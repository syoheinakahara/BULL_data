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 activeTab="2"/>
  </bookViews>
  <sheets>
    <sheet name="output" sheetId="103" r:id="rId1"/>
    <sheet name="gacha_162_base" sheetId="94" r:id="rId2"/>
    <sheet name="gacha_select_tables" sheetId="82" r:id="rId3"/>
    <sheet name="gacha_settle_tables" sheetId="96" r:id="rId4"/>
    <sheet name="gacha_bonus_tables" sheetId="98" r:id="rId5"/>
  </sheets>
  <externalReferences>
    <externalReference r:id="rId6"/>
  </externalReferences>
  <definedNames>
    <definedName name="_xlnm._FilterDatabase" localSheetId="1" hidden="1">gacha_162_base!$A$42:$B$68</definedName>
    <definedName name="_xlnm._FilterDatabase" localSheetId="4" hidden="1">gacha_bonus_tables!$B$1:$G$1</definedName>
    <definedName name="_xlnm._FilterDatabase" localSheetId="2" hidden="1">gacha_select_tables!$B$1:$M$327</definedName>
    <definedName name="_xlnm._FilterDatabase" localSheetId="3" hidden="1">gacha_settle_tables!$A$1:$R$18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82" l="1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2" i="82"/>
  <c r="H325" i="82"/>
  <c r="I325" i="82"/>
  <c r="D325" i="82"/>
  <c r="H324" i="82"/>
  <c r="I324" i="82"/>
  <c r="D324" i="82"/>
  <c r="H305" i="82"/>
  <c r="I305" i="82"/>
  <c r="D305" i="82"/>
  <c r="H304" i="82"/>
  <c r="I304" i="82"/>
  <c r="D304" i="82"/>
  <c r="H303" i="82"/>
  <c r="I303" i="82"/>
  <c r="D303" i="82"/>
  <c r="H302" i="82"/>
  <c r="I302" i="82"/>
  <c r="D302" i="82"/>
  <c r="H301" i="82"/>
  <c r="I301" i="82"/>
  <c r="D301" i="82"/>
  <c r="H300" i="82"/>
  <c r="I300" i="82"/>
  <c r="D300" i="82"/>
  <c r="H166" i="82"/>
  <c r="I166" i="82"/>
  <c r="D166" i="82"/>
  <c r="H165" i="82"/>
  <c r="I165" i="82"/>
  <c r="D165" i="82"/>
  <c r="H164" i="82"/>
  <c r="I164" i="82"/>
  <c r="D164" i="82"/>
  <c r="H192" i="82"/>
  <c r="I192" i="82"/>
  <c r="D192" i="82"/>
  <c r="H191" i="82"/>
  <c r="I191" i="82"/>
  <c r="D191" i="82"/>
  <c r="H168" i="82"/>
  <c r="I168" i="82"/>
  <c r="D168" i="82"/>
  <c r="H167" i="82"/>
  <c r="I167" i="82"/>
  <c r="D167" i="82"/>
  <c r="H163" i="82"/>
  <c r="I163" i="82"/>
  <c r="D163" i="82"/>
  <c r="H162" i="82"/>
  <c r="I162" i="82"/>
  <c r="D162" i="82"/>
  <c r="H161" i="82"/>
  <c r="I161" i="82"/>
  <c r="D161" i="82"/>
  <c r="H309" i="82"/>
  <c r="I309" i="82"/>
  <c r="D309" i="82"/>
  <c r="H308" i="82"/>
  <c r="I308" i="82"/>
  <c r="D308" i="82"/>
  <c r="H299" i="82"/>
  <c r="I299" i="82"/>
  <c r="D299" i="82"/>
  <c r="H298" i="82"/>
  <c r="I298" i="82"/>
  <c r="D298" i="82"/>
  <c r="H173" i="82"/>
  <c r="I173" i="82"/>
  <c r="D173" i="82"/>
  <c r="H172" i="82"/>
  <c r="I172" i="82"/>
  <c r="D172" i="82"/>
  <c r="H171" i="82"/>
  <c r="I171" i="82"/>
  <c r="D171" i="82"/>
  <c r="H160" i="82"/>
  <c r="I160" i="82"/>
  <c r="D160" i="82"/>
  <c r="H159" i="82"/>
  <c r="I159" i="82"/>
  <c r="D159" i="82"/>
  <c r="H158" i="82"/>
  <c r="I158" i="82"/>
  <c r="D158" i="82"/>
  <c r="H176" i="82"/>
  <c r="I176" i="82"/>
  <c r="D176" i="82"/>
  <c r="M9" i="96"/>
  <c r="M8" i="96"/>
  <c r="M7" i="96"/>
  <c r="M6" i="96"/>
  <c r="M5" i="96"/>
  <c r="M4" i="96"/>
  <c r="M3" i="96"/>
  <c r="M2" i="96"/>
  <c r="F8" i="96"/>
  <c r="G8" i="96"/>
  <c r="H8" i="96"/>
  <c r="I8" i="96"/>
  <c r="J8" i="96"/>
  <c r="K8" i="96"/>
  <c r="F9" i="96"/>
  <c r="G9" i="96"/>
  <c r="H9" i="96"/>
  <c r="I9" i="96"/>
  <c r="J9" i="96"/>
  <c r="K9" i="96"/>
  <c r="A8" i="96"/>
  <c r="C8" i="96"/>
  <c r="A9" i="96"/>
  <c r="C9" i="96"/>
  <c r="H156" i="82"/>
  <c r="I156" i="82"/>
  <c r="D156" i="82"/>
  <c r="A3" i="94"/>
  <c r="A4" i="94"/>
  <c r="A5" i="94"/>
  <c r="A6" i="94"/>
  <c r="A7" i="94"/>
  <c r="A8" i="94"/>
  <c r="A9" i="94"/>
  <c r="A10" i="94"/>
  <c r="A11" i="94"/>
  <c r="A12" i="94"/>
  <c r="A13" i="94"/>
  <c r="A20" i="94"/>
  <c r="A21" i="94"/>
  <c r="A22" i="94"/>
  <c r="A23" i="94"/>
  <c r="A24" i="94"/>
  <c r="A25" i="94"/>
  <c r="A26" i="94"/>
  <c r="A27" i="94"/>
  <c r="A28" i="94"/>
  <c r="A29" i="94"/>
  <c r="A30" i="94"/>
  <c r="A31" i="94"/>
  <c r="A32" i="94"/>
  <c r="A33" i="94"/>
  <c r="A34" i="94"/>
  <c r="N156" i="82"/>
  <c r="H111" i="82"/>
  <c r="I111" i="82"/>
  <c r="D111" i="82"/>
  <c r="N111" i="82"/>
  <c r="H313" i="82"/>
  <c r="I313" i="82"/>
  <c r="D313" i="82"/>
  <c r="H312" i="82"/>
  <c r="I312" i="82"/>
  <c r="D312" i="82"/>
  <c r="H297" i="82"/>
  <c r="I297" i="82"/>
  <c r="D297" i="82"/>
  <c r="H296" i="82"/>
  <c r="I296" i="82"/>
  <c r="D296" i="82"/>
  <c r="H177" i="82"/>
  <c r="I177" i="82"/>
  <c r="D177" i="82"/>
  <c r="H157" i="82"/>
  <c r="I157" i="82"/>
  <c r="D157" i="82"/>
  <c r="K7" i="96"/>
  <c r="J7" i="96"/>
  <c r="I7" i="96"/>
  <c r="H7" i="96"/>
  <c r="G7" i="96"/>
  <c r="F7" i="96"/>
  <c r="C7" i="96"/>
  <c r="A7" i="96"/>
  <c r="K6" i="96"/>
  <c r="J6" i="96"/>
  <c r="I6" i="96"/>
  <c r="H6" i="96"/>
  <c r="G6" i="96"/>
  <c r="F6" i="96"/>
  <c r="C6" i="96"/>
  <c r="A6" i="96"/>
  <c r="K5" i="96"/>
  <c r="J5" i="96"/>
  <c r="I5" i="96"/>
  <c r="H5" i="96"/>
  <c r="G5" i="96"/>
  <c r="F5" i="96"/>
  <c r="C5" i="96"/>
  <c r="A5" i="96"/>
  <c r="H151" i="82"/>
  <c r="I151" i="82"/>
  <c r="D151" i="82"/>
  <c r="H292" i="82"/>
  <c r="I292" i="82"/>
  <c r="D292" i="82"/>
  <c r="H262" i="82"/>
  <c r="I262" i="82"/>
  <c r="D262" i="82"/>
  <c r="H263" i="82"/>
  <c r="I263" i="82"/>
  <c r="D263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112" i="82"/>
  <c r="I112" i="82"/>
  <c r="D112" i="82"/>
  <c r="H113" i="82"/>
  <c r="I113" i="82"/>
  <c r="D113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293" i="82"/>
  <c r="I293" i="82"/>
  <c r="D293" i="82"/>
  <c r="H152" i="82"/>
  <c r="I152" i="82"/>
  <c r="D152" i="82"/>
  <c r="A2" i="96"/>
  <c r="A3" i="96"/>
  <c r="A4" i="96"/>
  <c r="G2" i="96"/>
  <c r="H2" i="96"/>
  <c r="C2" i="96"/>
  <c r="G3" i="96"/>
  <c r="H3" i="96"/>
  <c r="C3" i="96"/>
  <c r="G4" i="96"/>
  <c r="H4" i="96"/>
  <c r="C4" i="96"/>
  <c r="I2" i="96"/>
  <c r="J2" i="96"/>
  <c r="K2" i="96"/>
  <c r="I3" i="96"/>
  <c r="J3" i="96"/>
  <c r="K3" i="96"/>
  <c r="I4" i="96"/>
  <c r="J4" i="96"/>
  <c r="K4" i="96"/>
  <c r="F2" i="96"/>
  <c r="F3" i="96"/>
  <c r="F4" i="96"/>
  <c r="H195" i="82"/>
  <c r="I195" i="82"/>
  <c r="D195" i="82"/>
  <c r="N195" i="82"/>
  <c r="L195" i="82"/>
  <c r="K195" i="82"/>
  <c r="J195" i="82"/>
  <c r="G195" i="82"/>
  <c r="C195" i="82"/>
  <c r="A195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235" i="82"/>
  <c r="A234" i="82"/>
  <c r="A233" i="82"/>
  <c r="A232" i="82"/>
  <c r="A231" i="82"/>
  <c r="A230" i="82"/>
  <c r="A229" i="82"/>
  <c r="A228" i="82"/>
  <c r="A227" i="82"/>
  <c r="A226" i="82"/>
  <c r="A225" i="82"/>
  <c r="A224" i="82"/>
  <c r="A223" i="82"/>
  <c r="A222" i="82"/>
  <c r="A221" i="82"/>
  <c r="A220" i="82"/>
  <c r="A219" i="82"/>
  <c r="A218" i="82"/>
  <c r="A217" i="82"/>
  <c r="A216" i="82"/>
  <c r="A215" i="82"/>
  <c r="A214" i="82"/>
  <c r="A213" i="82"/>
  <c r="A212" i="82"/>
  <c r="A211" i="82"/>
  <c r="A210" i="82"/>
  <c r="A209" i="82"/>
  <c r="A208" i="82"/>
  <c r="A207" i="82"/>
  <c r="A206" i="82"/>
  <c r="A205" i="82"/>
  <c r="A204" i="82"/>
  <c r="A203" i="82"/>
  <c r="A202" i="82"/>
  <c r="A201" i="82"/>
  <c r="A200" i="82"/>
  <c r="A199" i="82"/>
  <c r="A198" i="82"/>
  <c r="A197" i="82"/>
  <c r="A196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H264" i="82"/>
  <c r="I264" i="82"/>
  <c r="D264" i="82"/>
  <c r="H265" i="82"/>
  <c r="I265" i="82"/>
  <c r="D265" i="82"/>
  <c r="H327" i="82"/>
  <c r="I327" i="82"/>
  <c r="D327" i="82"/>
  <c r="H326" i="82"/>
  <c r="I326" i="82"/>
  <c r="D326" i="82"/>
  <c r="H323" i="82"/>
  <c r="I323" i="82"/>
  <c r="D323" i="82"/>
  <c r="H322" i="82"/>
  <c r="I322" i="82"/>
  <c r="D322" i="82"/>
  <c r="H321" i="82"/>
  <c r="I321" i="82"/>
  <c r="D321" i="82"/>
  <c r="H320" i="82"/>
  <c r="I320" i="82"/>
  <c r="D320" i="82"/>
  <c r="H319" i="82"/>
  <c r="I319" i="82"/>
  <c r="D319" i="82"/>
  <c r="H318" i="82"/>
  <c r="I318" i="82"/>
  <c r="D318" i="82"/>
  <c r="H317" i="82"/>
  <c r="I317" i="82"/>
  <c r="D317" i="82"/>
  <c r="H316" i="82"/>
  <c r="I316" i="82"/>
  <c r="D316" i="82"/>
  <c r="H315" i="82"/>
  <c r="I315" i="82"/>
  <c r="D315" i="82"/>
  <c r="H314" i="82"/>
  <c r="I314" i="82"/>
  <c r="D314" i="82"/>
  <c r="H311" i="82"/>
  <c r="I311" i="82"/>
  <c r="D311" i="82"/>
  <c r="H310" i="82"/>
  <c r="I310" i="82"/>
  <c r="D310" i="82"/>
  <c r="H307" i="82"/>
  <c r="I307" i="82"/>
  <c r="D307" i="82"/>
  <c r="H306" i="82"/>
  <c r="I306" i="82"/>
  <c r="D306" i="82"/>
  <c r="H295" i="82"/>
  <c r="I295" i="82"/>
  <c r="D295" i="82"/>
  <c r="H294" i="82"/>
  <c r="I294" i="82"/>
  <c r="D294" i="82"/>
  <c r="H291" i="82"/>
  <c r="I291" i="82"/>
  <c r="D291" i="82"/>
  <c r="H290" i="82"/>
  <c r="I290" i="82"/>
  <c r="D290" i="82"/>
  <c r="H289" i="82"/>
  <c r="I289" i="82"/>
  <c r="D289" i="82"/>
  <c r="H288" i="82"/>
  <c r="I288" i="82"/>
  <c r="D288" i="82"/>
  <c r="H287" i="82"/>
  <c r="I287" i="82"/>
  <c r="D287" i="82"/>
  <c r="H286" i="82"/>
  <c r="I286" i="82"/>
  <c r="D286" i="82"/>
  <c r="H285" i="82"/>
  <c r="I285" i="82"/>
  <c r="D285" i="82"/>
  <c r="H284" i="82"/>
  <c r="I284" i="82"/>
  <c r="D284" i="82"/>
  <c r="H283" i="82"/>
  <c r="I283" i="82"/>
  <c r="D283" i="82"/>
  <c r="H282" i="82"/>
  <c r="I282" i="82"/>
  <c r="D282" i="82"/>
  <c r="H281" i="82"/>
  <c r="I281" i="82"/>
  <c r="D281" i="82"/>
  <c r="H280" i="82"/>
  <c r="I280" i="82"/>
  <c r="D280" i="82"/>
  <c r="H279" i="82"/>
  <c r="I279" i="82"/>
  <c r="D279" i="82"/>
  <c r="H278" i="82"/>
  <c r="I278" i="82"/>
  <c r="D278" i="82"/>
  <c r="H277" i="82"/>
  <c r="I277" i="82"/>
  <c r="D277" i="82"/>
  <c r="H276" i="82"/>
  <c r="I276" i="82"/>
  <c r="D276" i="82"/>
  <c r="H275" i="82"/>
  <c r="I275" i="82"/>
  <c r="D275" i="82"/>
  <c r="H274" i="82"/>
  <c r="I274" i="82"/>
  <c r="D274" i="82"/>
  <c r="H273" i="82"/>
  <c r="I273" i="82"/>
  <c r="D273" i="82"/>
  <c r="H272" i="82"/>
  <c r="I272" i="82"/>
  <c r="D272" i="82"/>
  <c r="H271" i="82"/>
  <c r="I271" i="82"/>
  <c r="D271" i="82"/>
  <c r="H270" i="82"/>
  <c r="I270" i="82"/>
  <c r="D270" i="82"/>
  <c r="H269" i="82"/>
  <c r="I269" i="82"/>
  <c r="D269" i="82"/>
  <c r="H268" i="82"/>
  <c r="I268" i="82"/>
  <c r="D268" i="82"/>
  <c r="H267" i="82"/>
  <c r="I267" i="82"/>
  <c r="D267" i="82"/>
  <c r="H266" i="82"/>
  <c r="I266" i="82"/>
  <c r="D266" i="82"/>
  <c r="H261" i="82"/>
  <c r="I261" i="82"/>
  <c r="D261" i="82"/>
  <c r="H260" i="82"/>
  <c r="I260" i="82"/>
  <c r="D260" i="82"/>
  <c r="H259" i="82"/>
  <c r="I259" i="82"/>
  <c r="D259" i="82"/>
  <c r="H258" i="82"/>
  <c r="I258" i="82"/>
  <c r="D258" i="82"/>
  <c r="H257" i="82"/>
  <c r="I257" i="82"/>
  <c r="D257" i="82"/>
  <c r="H256" i="82"/>
  <c r="I256" i="82"/>
  <c r="D256" i="82"/>
  <c r="H255" i="82"/>
  <c r="I255" i="82"/>
  <c r="D255" i="82"/>
  <c r="H254" i="82"/>
  <c r="I254" i="82"/>
  <c r="D254" i="82"/>
  <c r="H253" i="82"/>
  <c r="I253" i="82"/>
  <c r="D253" i="82"/>
  <c r="H252" i="82"/>
  <c r="I252" i="82"/>
  <c r="D252" i="82"/>
  <c r="H251" i="82"/>
  <c r="I251" i="82"/>
  <c r="D251" i="82"/>
  <c r="H250" i="82"/>
  <c r="I250" i="82"/>
  <c r="D250" i="82"/>
  <c r="H249" i="82"/>
  <c r="I249" i="82"/>
  <c r="D249" i="82"/>
  <c r="H248" i="82"/>
  <c r="I248" i="82"/>
  <c r="D248" i="82"/>
  <c r="H247" i="82"/>
  <c r="I247" i="82"/>
  <c r="D247" i="82"/>
  <c r="H246" i="82"/>
  <c r="I246" i="82"/>
  <c r="D246" i="82"/>
  <c r="H245" i="82"/>
  <c r="I245" i="82"/>
  <c r="D245" i="82"/>
  <c r="H244" i="82"/>
  <c r="I244" i="82"/>
  <c r="D244" i="82"/>
  <c r="H243" i="82"/>
  <c r="I243" i="82"/>
  <c r="D243" i="82"/>
  <c r="H242" i="82"/>
  <c r="I242" i="82"/>
  <c r="D242" i="82"/>
  <c r="H241" i="82"/>
  <c r="I241" i="82"/>
  <c r="D241" i="82"/>
  <c r="H240" i="82"/>
  <c r="I240" i="82"/>
  <c r="D240" i="82"/>
  <c r="H239" i="82"/>
  <c r="I239" i="82"/>
  <c r="D239" i="82"/>
  <c r="H238" i="82"/>
  <c r="I238" i="82"/>
  <c r="D238" i="82"/>
  <c r="H237" i="82"/>
  <c r="I237" i="82"/>
  <c r="D237" i="82"/>
  <c r="H236" i="82"/>
  <c r="I236" i="82"/>
  <c r="D236" i="82"/>
  <c r="H235" i="82"/>
  <c r="I235" i="82"/>
  <c r="D235" i="82"/>
  <c r="H234" i="82"/>
  <c r="I234" i="82"/>
  <c r="D234" i="82"/>
  <c r="H233" i="82"/>
  <c r="I233" i="82"/>
  <c r="D233" i="82"/>
  <c r="H232" i="82"/>
  <c r="I232" i="82"/>
  <c r="D232" i="82"/>
  <c r="H231" i="82"/>
  <c r="I231" i="82"/>
  <c r="D231" i="82"/>
  <c r="H230" i="82"/>
  <c r="I230" i="82"/>
  <c r="D230" i="82"/>
  <c r="H229" i="82"/>
  <c r="I229" i="82"/>
  <c r="D229" i="82"/>
  <c r="H228" i="82"/>
  <c r="I228" i="82"/>
  <c r="D228" i="82"/>
  <c r="H227" i="82"/>
  <c r="I227" i="82"/>
  <c r="D227" i="82"/>
  <c r="H226" i="82"/>
  <c r="I226" i="82"/>
  <c r="D226" i="82"/>
  <c r="H225" i="82"/>
  <c r="I225" i="82"/>
  <c r="D225" i="82"/>
  <c r="H224" i="82"/>
  <c r="I224" i="82"/>
  <c r="D224" i="82"/>
  <c r="H223" i="82"/>
  <c r="I223" i="82"/>
  <c r="D223" i="82"/>
  <c r="H222" i="82"/>
  <c r="I222" i="82"/>
  <c r="D222" i="82"/>
  <c r="H221" i="82"/>
  <c r="I221" i="82"/>
  <c r="D221" i="82"/>
  <c r="H220" i="82"/>
  <c r="I220" i="82"/>
  <c r="D220" i="82"/>
  <c r="H215" i="82"/>
  <c r="I215" i="82"/>
  <c r="D215" i="82"/>
  <c r="H214" i="82"/>
  <c r="I214" i="82"/>
  <c r="D214" i="82"/>
  <c r="H213" i="82"/>
  <c r="I213" i="82"/>
  <c r="D213" i="82"/>
  <c r="H212" i="82"/>
  <c r="I212" i="82"/>
  <c r="D212" i="82"/>
  <c r="H211" i="82"/>
  <c r="I211" i="82"/>
  <c r="D211" i="82"/>
  <c r="H210" i="82"/>
  <c r="I210" i="82"/>
  <c r="D210" i="82"/>
  <c r="H209" i="82"/>
  <c r="I209" i="82"/>
  <c r="D209" i="82"/>
  <c r="H208" i="82"/>
  <c r="I208" i="82"/>
  <c r="D208" i="82"/>
  <c r="H207" i="82"/>
  <c r="I207" i="82"/>
  <c r="D207" i="82"/>
  <c r="H206" i="82"/>
  <c r="I206" i="82"/>
  <c r="D206" i="82"/>
  <c r="H205" i="82"/>
  <c r="I205" i="82"/>
  <c r="D205" i="82"/>
  <c r="H204" i="82"/>
  <c r="I204" i="82"/>
  <c r="D204" i="82"/>
  <c r="H203" i="82"/>
  <c r="I203" i="82"/>
  <c r="D203" i="82"/>
  <c r="H202" i="82"/>
  <c r="I202" i="82"/>
  <c r="D202" i="82"/>
  <c r="H201" i="82"/>
  <c r="I201" i="82"/>
  <c r="D201" i="82"/>
  <c r="H200" i="82"/>
  <c r="I200" i="82"/>
  <c r="D200" i="82"/>
  <c r="H199" i="82"/>
  <c r="I199" i="82"/>
  <c r="D199" i="82"/>
  <c r="H198" i="82"/>
  <c r="I198" i="82"/>
  <c r="D198" i="82"/>
  <c r="H197" i="82"/>
  <c r="I197" i="82"/>
  <c r="D197" i="82"/>
  <c r="H196" i="82"/>
  <c r="I196" i="82"/>
  <c r="D196" i="82"/>
  <c r="H194" i="82"/>
  <c r="I194" i="82"/>
  <c r="D194" i="82"/>
  <c r="H193" i="82"/>
  <c r="I193" i="82"/>
  <c r="D193" i="82"/>
  <c r="H190" i="82"/>
  <c r="I190" i="82"/>
  <c r="D190" i="82"/>
  <c r="H189" i="82"/>
  <c r="I189" i="82"/>
  <c r="D189" i="82"/>
  <c r="H188" i="82"/>
  <c r="I188" i="82"/>
  <c r="D188" i="82"/>
  <c r="H187" i="82"/>
  <c r="I187" i="82"/>
  <c r="D187" i="82"/>
  <c r="H186" i="82"/>
  <c r="I186" i="82"/>
  <c r="D186" i="82"/>
  <c r="H185" i="82"/>
  <c r="I185" i="82"/>
  <c r="D185" i="82"/>
  <c r="H184" i="82"/>
  <c r="I184" i="82"/>
  <c r="D184" i="82"/>
  <c r="H183" i="82"/>
  <c r="I183" i="82"/>
  <c r="D183" i="82"/>
  <c r="H182" i="82"/>
  <c r="I182" i="82"/>
  <c r="D182" i="82"/>
  <c r="H181" i="82"/>
  <c r="I181" i="82"/>
  <c r="D181" i="82"/>
  <c r="H180" i="82"/>
  <c r="I180" i="82"/>
  <c r="D180" i="82"/>
  <c r="H179" i="82"/>
  <c r="I179" i="82"/>
  <c r="D179" i="82"/>
  <c r="H178" i="82"/>
  <c r="I178" i="82"/>
  <c r="D178" i="82"/>
  <c r="H175" i="82"/>
  <c r="I175" i="82"/>
  <c r="D175" i="82"/>
  <c r="H174" i="82"/>
  <c r="I174" i="82"/>
  <c r="D174" i="82"/>
  <c r="H170" i="82"/>
  <c r="I170" i="82"/>
  <c r="D170" i="82"/>
  <c r="H169" i="82"/>
  <c r="I169" i="82"/>
  <c r="D169" i="82"/>
  <c r="H155" i="82"/>
  <c r="I155" i="82"/>
  <c r="D155" i="82"/>
  <c r="H154" i="82"/>
  <c r="I154" i="82"/>
  <c r="D154" i="82"/>
  <c r="H153" i="82"/>
  <c r="I153" i="82"/>
  <c r="D153" i="82"/>
  <c r="H150" i="82"/>
  <c r="I150" i="82"/>
  <c r="D150" i="82"/>
  <c r="H149" i="82"/>
  <c r="I149" i="82"/>
  <c r="D149" i="82"/>
  <c r="H148" i="82"/>
  <c r="I148" i="82"/>
  <c r="D148" i="82"/>
  <c r="H147" i="82"/>
  <c r="I147" i="82"/>
  <c r="D147" i="82"/>
  <c r="H146" i="82"/>
  <c r="I146" i="82"/>
  <c r="D146" i="82"/>
  <c r="H145" i="82"/>
  <c r="I145" i="82"/>
  <c r="D145" i="82"/>
  <c r="H144" i="82"/>
  <c r="I144" i="82"/>
  <c r="D144" i="82"/>
  <c r="H143" i="82"/>
  <c r="I143" i="82"/>
  <c r="D143" i="82"/>
  <c r="H142" i="82"/>
  <c r="I142" i="82"/>
  <c r="D142" i="82"/>
  <c r="H141" i="82"/>
  <c r="I141" i="82"/>
  <c r="D141" i="82"/>
  <c r="H140" i="82"/>
  <c r="I140" i="82"/>
  <c r="D140" i="82"/>
  <c r="H139" i="82"/>
  <c r="I139" i="82"/>
  <c r="D139" i="82"/>
  <c r="H138" i="82"/>
  <c r="I138" i="82"/>
  <c r="D138" i="82"/>
  <c r="H137" i="82"/>
  <c r="I137" i="82"/>
  <c r="D137" i="82"/>
  <c r="H136" i="82"/>
  <c r="I136" i="82"/>
  <c r="D136" i="82"/>
  <c r="H135" i="82"/>
  <c r="I135" i="82"/>
  <c r="D135" i="82"/>
  <c r="H134" i="82"/>
  <c r="I134" i="82"/>
  <c r="D134" i="82"/>
  <c r="H133" i="82"/>
  <c r="I133" i="82"/>
  <c r="D133" i="82"/>
  <c r="H132" i="82"/>
  <c r="I132" i="82"/>
  <c r="D132" i="82"/>
  <c r="H131" i="82"/>
  <c r="I131" i="82"/>
  <c r="D131" i="82"/>
  <c r="H130" i="82"/>
  <c r="I130" i="82"/>
  <c r="D130" i="82"/>
  <c r="H129" i="82"/>
  <c r="I129" i="82"/>
  <c r="D129" i="82"/>
  <c r="H128" i="82"/>
  <c r="I128" i="82"/>
  <c r="D128" i="82"/>
  <c r="H127" i="82"/>
  <c r="I127" i="82"/>
  <c r="D127" i="82"/>
  <c r="H126" i="82"/>
  <c r="I126" i="82"/>
  <c r="D126" i="82"/>
  <c r="H125" i="82"/>
  <c r="I125" i="82"/>
  <c r="D125" i="82"/>
  <c r="H124" i="82"/>
  <c r="I124" i="82"/>
  <c r="D124" i="82"/>
  <c r="H123" i="82"/>
  <c r="I123" i="82"/>
  <c r="D123" i="82"/>
  <c r="H122" i="82"/>
  <c r="I122" i="82"/>
  <c r="D122" i="82"/>
  <c r="H121" i="82"/>
  <c r="I121" i="82"/>
  <c r="D121" i="82"/>
  <c r="H120" i="82"/>
  <c r="I120" i="82"/>
  <c r="D120" i="82"/>
  <c r="H119" i="82"/>
  <c r="I119" i="82"/>
  <c r="D119" i="82"/>
  <c r="H118" i="82"/>
  <c r="I118" i="82"/>
  <c r="D118" i="82"/>
  <c r="H117" i="82"/>
  <c r="I117" i="82"/>
  <c r="D117" i="82"/>
  <c r="H116" i="82"/>
  <c r="I116" i="82"/>
  <c r="D116" i="82"/>
  <c r="H115" i="82"/>
  <c r="I115" i="82"/>
  <c r="D115" i="82"/>
  <c r="H114" i="82"/>
  <c r="I114" i="82"/>
  <c r="D114" i="82"/>
  <c r="H110" i="82"/>
  <c r="I110" i="82"/>
  <c r="D110" i="82"/>
  <c r="H109" i="82"/>
  <c r="I109" i="82"/>
  <c r="D109" i="82"/>
  <c r="H108" i="82"/>
  <c r="I108" i="82"/>
  <c r="D108" i="82"/>
  <c r="H107" i="82"/>
  <c r="I107" i="82"/>
  <c r="D107" i="82"/>
  <c r="H106" i="82"/>
  <c r="I106" i="82"/>
  <c r="D106" i="82"/>
  <c r="H105" i="82"/>
  <c r="I105" i="82"/>
  <c r="D105" i="82"/>
  <c r="H104" i="82"/>
  <c r="I104" i="82"/>
  <c r="D104" i="82"/>
  <c r="H103" i="82"/>
  <c r="I103" i="82"/>
  <c r="D103" i="82"/>
  <c r="H102" i="82"/>
  <c r="I102" i="82"/>
  <c r="D102" i="82"/>
  <c r="H101" i="82"/>
  <c r="I101" i="82"/>
  <c r="D101" i="82"/>
  <c r="H100" i="82"/>
  <c r="I100" i="82"/>
  <c r="D100" i="82"/>
  <c r="H99" i="82"/>
  <c r="I99" i="82"/>
  <c r="D99" i="82"/>
  <c r="H98" i="82"/>
  <c r="I98" i="82"/>
  <c r="D98" i="82"/>
  <c r="H97" i="82"/>
  <c r="I97" i="82"/>
  <c r="D97" i="82"/>
  <c r="H96" i="82"/>
  <c r="I96" i="82"/>
  <c r="D96" i="82"/>
  <c r="H95" i="82"/>
  <c r="I95" i="82"/>
  <c r="D95" i="82"/>
  <c r="H94" i="82"/>
  <c r="I94" i="82"/>
  <c r="D94" i="82"/>
  <c r="H93" i="82"/>
  <c r="I93" i="82"/>
  <c r="D93" i="82"/>
  <c r="H92" i="82"/>
  <c r="I92" i="82"/>
  <c r="D92" i="82"/>
  <c r="H91" i="82"/>
  <c r="I91" i="82"/>
  <c r="D91" i="82"/>
  <c r="H90" i="82"/>
  <c r="I90" i="82"/>
  <c r="D90" i="82"/>
  <c r="H89" i="82"/>
  <c r="I89" i="82"/>
  <c r="D89" i="82"/>
  <c r="H88" i="82"/>
  <c r="I88" i="82"/>
  <c r="D88" i="82"/>
  <c r="H87" i="82"/>
  <c r="I87" i="82"/>
  <c r="D87" i="82"/>
  <c r="H86" i="82"/>
  <c r="I86" i="82"/>
  <c r="D86" i="82"/>
  <c r="H85" i="82"/>
  <c r="I85" i="82"/>
  <c r="D85" i="82"/>
  <c r="H84" i="82"/>
  <c r="I84" i="82"/>
  <c r="D84" i="82"/>
  <c r="H83" i="82"/>
  <c r="I83" i="82"/>
  <c r="D83" i="82"/>
  <c r="H82" i="82"/>
  <c r="I82" i="82"/>
  <c r="D82" i="82"/>
  <c r="H81" i="82"/>
  <c r="I81" i="82"/>
  <c r="D81" i="82"/>
  <c r="H80" i="82"/>
  <c r="I80" i="82"/>
  <c r="D80" i="82"/>
  <c r="H79" i="82"/>
  <c r="I79" i="82"/>
  <c r="D79" i="82"/>
  <c r="H78" i="82"/>
  <c r="I78" i="82"/>
  <c r="D78" i="82"/>
  <c r="H77" i="82"/>
  <c r="I77" i="82"/>
  <c r="D77" i="82"/>
  <c r="H76" i="82"/>
  <c r="I76" i="82"/>
  <c r="D76" i="82"/>
  <c r="H75" i="82"/>
  <c r="I75" i="82"/>
  <c r="D75" i="82"/>
  <c r="H74" i="82"/>
  <c r="I74" i="82"/>
  <c r="D74" i="82"/>
  <c r="H73" i="82"/>
  <c r="I73" i="82"/>
  <c r="D73" i="82"/>
  <c r="H72" i="82"/>
  <c r="I72" i="82"/>
  <c r="D72" i="82"/>
  <c r="H71" i="82"/>
  <c r="I71" i="82"/>
  <c r="D71" i="82"/>
  <c r="H70" i="82"/>
  <c r="I70" i="82"/>
  <c r="D70" i="82"/>
  <c r="H69" i="82"/>
  <c r="I69" i="82"/>
  <c r="D69" i="82"/>
  <c r="H68" i="82"/>
  <c r="I68" i="82"/>
  <c r="D68" i="82"/>
  <c r="H67" i="82"/>
  <c r="I67" i="82"/>
  <c r="D67" i="82"/>
  <c r="H66" i="82"/>
  <c r="I66" i="82"/>
  <c r="D66" i="82"/>
  <c r="H65" i="82"/>
  <c r="I65" i="82"/>
  <c r="D65" i="82"/>
  <c r="H64" i="82"/>
  <c r="I64" i="82"/>
  <c r="D64" i="82"/>
  <c r="H63" i="82"/>
  <c r="I63" i="82"/>
  <c r="D63" i="82"/>
  <c r="H62" i="82"/>
  <c r="I62" i="82"/>
  <c r="D62" i="82"/>
  <c r="H61" i="82"/>
  <c r="I61" i="82"/>
  <c r="D61" i="82"/>
  <c r="H60" i="82"/>
  <c r="I60" i="82"/>
  <c r="D60" i="82"/>
  <c r="H59" i="82"/>
  <c r="I59" i="82"/>
  <c r="D59" i="82"/>
  <c r="H58" i="82"/>
  <c r="I58" i="82"/>
  <c r="D58" i="82"/>
  <c r="H57" i="82"/>
  <c r="I57" i="82"/>
  <c r="D57" i="82"/>
  <c r="H56" i="82"/>
  <c r="I56" i="82"/>
  <c r="D56" i="82"/>
  <c r="H55" i="82"/>
  <c r="I55" i="82"/>
  <c r="D55" i="82"/>
  <c r="H54" i="82"/>
  <c r="I54" i="82"/>
  <c r="D54" i="82"/>
  <c r="H53" i="82"/>
  <c r="I53" i="82"/>
  <c r="D53" i="82"/>
  <c r="H52" i="82"/>
  <c r="I52" i="82"/>
  <c r="D52" i="82"/>
  <c r="H51" i="82"/>
  <c r="I51" i="82"/>
  <c r="D51" i="82"/>
  <c r="H50" i="82"/>
  <c r="I50" i="82"/>
  <c r="D50" i="82"/>
  <c r="H49" i="82"/>
  <c r="I49" i="82"/>
  <c r="D49" i="82"/>
  <c r="H48" i="82"/>
  <c r="I48" i="82"/>
  <c r="D48" i="82"/>
  <c r="H41" i="82"/>
  <c r="I41" i="82"/>
  <c r="D41" i="82"/>
  <c r="H40" i="82"/>
  <c r="I40" i="82"/>
  <c r="D40" i="82"/>
  <c r="H39" i="82"/>
  <c r="I39" i="82"/>
  <c r="D39" i="82"/>
  <c r="H38" i="82"/>
  <c r="I38" i="82"/>
  <c r="D38" i="82"/>
  <c r="H37" i="82"/>
  <c r="I37" i="82"/>
  <c r="D37" i="82"/>
  <c r="H36" i="82"/>
  <c r="I36" i="82"/>
  <c r="D36" i="82"/>
  <c r="H35" i="82"/>
  <c r="I35" i="82"/>
  <c r="D35" i="82"/>
  <c r="H34" i="82"/>
  <c r="I34" i="82"/>
  <c r="D34" i="82"/>
  <c r="H33" i="82"/>
  <c r="I33" i="82"/>
  <c r="D33" i="82"/>
  <c r="H32" i="82"/>
  <c r="I32" i="82"/>
  <c r="D32" i="82"/>
  <c r="H31" i="82"/>
  <c r="I31" i="82"/>
  <c r="D31" i="82"/>
  <c r="H30" i="82"/>
  <c r="I30" i="82"/>
  <c r="D30" i="82"/>
  <c r="H29" i="82"/>
  <c r="I29" i="82"/>
  <c r="D29" i="82"/>
  <c r="H28" i="82"/>
  <c r="I28" i="82"/>
  <c r="D28" i="82"/>
  <c r="H27" i="82"/>
  <c r="I27" i="82"/>
  <c r="D27" i="82"/>
  <c r="H26" i="82"/>
  <c r="I26" i="82"/>
  <c r="D26" i="82"/>
  <c r="H25" i="82"/>
  <c r="I25" i="82"/>
  <c r="D25" i="82"/>
  <c r="H24" i="82"/>
  <c r="I24" i="82"/>
  <c r="D24" i="82"/>
  <c r="H23" i="82"/>
  <c r="I23" i="82"/>
  <c r="D23" i="82"/>
  <c r="H22" i="82"/>
  <c r="I22" i="82"/>
  <c r="D22" i="82"/>
  <c r="H21" i="82"/>
  <c r="I21" i="82"/>
  <c r="D21" i="82"/>
  <c r="H20" i="82"/>
  <c r="I20" i="82"/>
  <c r="D20" i="82"/>
  <c r="H19" i="82"/>
  <c r="I19" i="82"/>
  <c r="D19" i="82"/>
  <c r="H18" i="82"/>
  <c r="I18" i="82"/>
  <c r="D18" i="82"/>
  <c r="H17" i="82"/>
  <c r="I17" i="82"/>
  <c r="D17" i="82"/>
  <c r="H16" i="82"/>
  <c r="I16" i="82"/>
  <c r="D16" i="82"/>
  <c r="H15" i="82"/>
  <c r="I15" i="82"/>
  <c r="D15" i="82"/>
  <c r="H14" i="82"/>
  <c r="I14" i="82"/>
  <c r="D14" i="82"/>
  <c r="H13" i="82"/>
  <c r="I13" i="82"/>
  <c r="D13" i="82"/>
  <c r="H12" i="82"/>
  <c r="I12" i="82"/>
  <c r="D12" i="82"/>
  <c r="H11" i="82"/>
  <c r="I11" i="82"/>
  <c r="D11" i="82"/>
  <c r="H10" i="82"/>
  <c r="I10" i="82"/>
  <c r="D10" i="82"/>
  <c r="H9" i="82"/>
  <c r="I9" i="82"/>
  <c r="D9" i="82"/>
  <c r="H8" i="82"/>
  <c r="I8" i="82"/>
  <c r="D8" i="82"/>
  <c r="H7" i="82"/>
  <c r="I7" i="82"/>
  <c r="D7" i="82"/>
  <c r="H6" i="82"/>
  <c r="I6" i="82"/>
  <c r="D6" i="82"/>
  <c r="H5" i="82"/>
  <c r="I5" i="82"/>
  <c r="D5" i="82"/>
  <c r="H4" i="82"/>
  <c r="I4" i="82"/>
  <c r="D4" i="82"/>
  <c r="H3" i="82"/>
  <c r="I3" i="82"/>
  <c r="D3" i="82"/>
  <c r="G117" i="82"/>
  <c r="A2" i="94"/>
  <c r="N327" i="82"/>
  <c r="N326" i="82"/>
  <c r="N325" i="82"/>
  <c r="N324" i="82"/>
  <c r="N323" i="82"/>
  <c r="N322" i="82"/>
  <c r="N321" i="82"/>
  <c r="N320" i="82"/>
  <c r="N319" i="82"/>
  <c r="N318" i="82"/>
  <c r="N317" i="82"/>
  <c r="N316" i="82"/>
  <c r="N315" i="82"/>
  <c r="N314" i="82"/>
  <c r="N313" i="82"/>
  <c r="N312" i="82"/>
  <c r="N311" i="82"/>
  <c r="N310" i="82"/>
  <c r="N309" i="82"/>
  <c r="N308" i="82"/>
  <c r="N307" i="82"/>
  <c r="N306" i="82"/>
  <c r="N305" i="82"/>
  <c r="N304" i="82"/>
  <c r="N303" i="82"/>
  <c r="N302" i="82"/>
  <c r="N301" i="82"/>
  <c r="N300" i="82"/>
  <c r="N299" i="82"/>
  <c r="N298" i="82"/>
  <c r="N297" i="82"/>
  <c r="N296" i="82"/>
  <c r="N295" i="82"/>
  <c r="N294" i="82"/>
  <c r="N293" i="82"/>
  <c r="N292" i="82"/>
  <c r="N291" i="82"/>
  <c r="N290" i="82"/>
  <c r="N289" i="82"/>
  <c r="N288" i="82"/>
  <c r="N287" i="82"/>
  <c r="N286" i="82"/>
  <c r="N285" i="82"/>
  <c r="N284" i="82"/>
  <c r="N283" i="82"/>
  <c r="N282" i="82"/>
  <c r="N281" i="82"/>
  <c r="N280" i="82"/>
  <c r="N279" i="82"/>
  <c r="N278" i="82"/>
  <c r="N277" i="82"/>
  <c r="N276" i="82"/>
  <c r="N275" i="82"/>
  <c r="N274" i="82"/>
  <c r="N273" i="82"/>
  <c r="N272" i="82"/>
  <c r="N271" i="82"/>
  <c r="N270" i="82"/>
  <c r="N269" i="82"/>
  <c r="N268" i="82"/>
  <c r="N267" i="82"/>
  <c r="N266" i="82"/>
  <c r="N265" i="82"/>
  <c r="N264" i="82"/>
  <c r="N263" i="82"/>
  <c r="N262" i="82"/>
  <c r="N261" i="82"/>
  <c r="N260" i="82"/>
  <c r="N259" i="82"/>
  <c r="N258" i="82"/>
  <c r="N257" i="82"/>
  <c r="N256" i="82"/>
  <c r="N255" i="82"/>
  <c r="N254" i="82"/>
  <c r="N253" i="82"/>
  <c r="N252" i="82"/>
  <c r="N251" i="82"/>
  <c r="N250" i="82"/>
  <c r="N249" i="82"/>
  <c r="N248" i="82"/>
  <c r="N247" i="82"/>
  <c r="N246" i="82"/>
  <c r="N245" i="82"/>
  <c r="N244" i="82"/>
  <c r="N243" i="82"/>
  <c r="N242" i="82"/>
  <c r="N241" i="82"/>
  <c r="N240" i="82"/>
  <c r="N239" i="82"/>
  <c r="N238" i="82"/>
  <c r="N237" i="82"/>
  <c r="N236" i="82"/>
  <c r="N235" i="82"/>
  <c r="N234" i="82"/>
  <c r="N233" i="82"/>
  <c r="N232" i="82"/>
  <c r="N231" i="82"/>
  <c r="N230" i="82"/>
  <c r="N229" i="82"/>
  <c r="N228" i="82"/>
  <c r="N227" i="82"/>
  <c r="N226" i="82"/>
  <c r="N225" i="82"/>
  <c r="N224" i="82"/>
  <c r="N223" i="82"/>
  <c r="N222" i="82"/>
  <c r="N221" i="82"/>
  <c r="N220" i="82"/>
  <c r="N219" i="82"/>
  <c r="N218" i="82"/>
  <c r="N217" i="82"/>
  <c r="N216" i="82"/>
  <c r="N215" i="82"/>
  <c r="N214" i="82"/>
  <c r="N213" i="82"/>
  <c r="N212" i="82"/>
  <c r="N211" i="82"/>
  <c r="N210" i="82"/>
  <c r="N209" i="82"/>
  <c r="N208" i="82"/>
  <c r="N207" i="82"/>
  <c r="N206" i="82"/>
  <c r="N205" i="82"/>
  <c r="N204" i="82"/>
  <c r="N203" i="82"/>
  <c r="N202" i="82"/>
  <c r="N201" i="82"/>
  <c r="N200" i="82"/>
  <c r="N199" i="82"/>
  <c r="N198" i="82"/>
  <c r="N197" i="82"/>
  <c r="N196" i="82"/>
  <c r="N194" i="82"/>
  <c r="N193" i="82"/>
  <c r="N192" i="82"/>
  <c r="N191" i="82"/>
  <c r="N190" i="82"/>
  <c r="N189" i="82"/>
  <c r="N188" i="82"/>
  <c r="N187" i="82"/>
  <c r="N186" i="82"/>
  <c r="N185" i="82"/>
  <c r="N184" i="82"/>
  <c r="N183" i="82"/>
  <c r="N182" i="82"/>
  <c r="N181" i="82"/>
  <c r="N180" i="82"/>
  <c r="N179" i="82"/>
  <c r="N178" i="82"/>
  <c r="N177" i="82"/>
  <c r="N176" i="82"/>
  <c r="N175" i="82"/>
  <c r="N174" i="82"/>
  <c r="N173" i="82"/>
  <c r="N172" i="82"/>
  <c r="N171" i="82"/>
  <c r="N170" i="82"/>
  <c r="N169" i="82"/>
  <c r="N168" i="82"/>
  <c r="N167" i="82"/>
  <c r="N166" i="82"/>
  <c r="N165" i="82"/>
  <c r="N164" i="82"/>
  <c r="N163" i="82"/>
  <c r="N162" i="82"/>
  <c r="N161" i="82"/>
  <c r="N160" i="82"/>
  <c r="N159" i="82"/>
  <c r="N158" i="82"/>
  <c r="N157" i="82"/>
  <c r="N155" i="82"/>
  <c r="N154" i="82"/>
  <c r="N153" i="82"/>
  <c r="N152" i="82"/>
  <c r="N151" i="82"/>
  <c r="N150" i="82"/>
  <c r="N149" i="82"/>
  <c r="N148" i="82"/>
  <c r="N147" i="82"/>
  <c r="N146" i="82"/>
  <c r="N145" i="82"/>
  <c r="N144" i="82"/>
  <c r="N143" i="82"/>
  <c r="N142" i="82"/>
  <c r="N141" i="82"/>
  <c r="N140" i="82"/>
  <c r="N139" i="82"/>
  <c r="N138" i="82"/>
  <c r="N137" i="82"/>
  <c r="N136" i="82"/>
  <c r="N135" i="82"/>
  <c r="N134" i="82"/>
  <c r="N133" i="82"/>
  <c r="N132" i="82"/>
  <c r="N131" i="82"/>
  <c r="N130" i="82"/>
  <c r="N129" i="82"/>
  <c r="N128" i="82"/>
  <c r="N127" i="82"/>
  <c r="N126" i="82"/>
  <c r="N125" i="82"/>
  <c r="N124" i="82"/>
  <c r="N123" i="82"/>
  <c r="N122" i="82"/>
  <c r="N121" i="82"/>
  <c r="N120" i="82"/>
  <c r="N119" i="82"/>
  <c r="N118" i="82"/>
  <c r="N117" i="82"/>
  <c r="N116" i="82"/>
  <c r="N115" i="82"/>
  <c r="N114" i="82"/>
  <c r="N113" i="82"/>
  <c r="N112" i="82"/>
  <c r="N110" i="82"/>
  <c r="N109" i="82"/>
  <c r="N108" i="82"/>
  <c r="N107" i="82"/>
  <c r="N106" i="82"/>
  <c r="N105" i="82"/>
  <c r="N104" i="82"/>
  <c r="N103" i="82"/>
  <c r="N102" i="82"/>
  <c r="N101" i="82"/>
  <c r="N100" i="82"/>
  <c r="N99" i="82"/>
  <c r="N98" i="82"/>
  <c r="N97" i="82"/>
  <c r="N96" i="82"/>
  <c r="N95" i="82"/>
  <c r="N94" i="82"/>
  <c r="N93" i="82"/>
  <c r="N92" i="82"/>
  <c r="N91" i="82"/>
  <c r="N90" i="82"/>
  <c r="N89" i="82"/>
  <c r="N88" i="82"/>
  <c r="N87" i="82"/>
  <c r="N86" i="82"/>
  <c r="N85" i="82"/>
  <c r="N84" i="82"/>
  <c r="N83" i="82"/>
  <c r="N82" i="82"/>
  <c r="N81" i="82"/>
  <c r="N80" i="82"/>
  <c r="N79" i="82"/>
  <c r="N78" i="82"/>
  <c r="N77" i="82"/>
  <c r="N76" i="82"/>
  <c r="N75" i="82"/>
  <c r="N74" i="82"/>
  <c r="N73" i="82"/>
  <c r="N72" i="82"/>
  <c r="N71" i="82"/>
  <c r="N70" i="82"/>
  <c r="N69" i="82"/>
  <c r="N68" i="82"/>
  <c r="N67" i="82"/>
  <c r="N66" i="82"/>
  <c r="N65" i="82"/>
  <c r="N64" i="82"/>
  <c r="N63" i="82"/>
  <c r="N62" i="82"/>
  <c r="N61" i="82"/>
  <c r="N60" i="82"/>
  <c r="N59" i="82"/>
  <c r="N58" i="82"/>
  <c r="N57" i="82"/>
  <c r="N56" i="82"/>
  <c r="N55" i="82"/>
  <c r="N54" i="82"/>
  <c r="N53" i="82"/>
  <c r="N52" i="82"/>
  <c r="N51" i="82"/>
  <c r="N50" i="82"/>
  <c r="N49" i="82"/>
  <c r="N48" i="82"/>
  <c r="N47" i="82"/>
  <c r="N46" i="82"/>
  <c r="N45" i="82"/>
  <c r="N44" i="82"/>
  <c r="N43" i="82"/>
  <c r="N42" i="82"/>
  <c r="N41" i="82"/>
  <c r="N40" i="82"/>
  <c r="N39" i="82"/>
  <c r="N38" i="82"/>
  <c r="N37" i="82"/>
  <c r="N36" i="82"/>
  <c r="N35" i="82"/>
  <c r="N34" i="82"/>
  <c r="N33" i="82"/>
  <c r="N32" i="82"/>
  <c r="N31" i="82"/>
  <c r="N30" i="82"/>
  <c r="N29" i="82"/>
  <c r="N28" i="82"/>
  <c r="N27" i="82"/>
  <c r="N26" i="82"/>
  <c r="N25" i="82"/>
  <c r="N24" i="82"/>
  <c r="N23" i="82"/>
  <c r="N22" i="82"/>
  <c r="N21" i="82"/>
  <c r="N20" i="82"/>
  <c r="N19" i="82"/>
  <c r="N18" i="82"/>
  <c r="N17" i="82"/>
  <c r="N16" i="82"/>
  <c r="N15" i="82"/>
  <c r="N14" i="82"/>
  <c r="N13" i="82"/>
  <c r="N12" i="82"/>
  <c r="N11" i="82"/>
  <c r="N10" i="82"/>
  <c r="N9" i="82"/>
  <c r="N8" i="82"/>
  <c r="N7" i="82"/>
  <c r="N6" i="82"/>
  <c r="N5" i="82"/>
  <c r="N4" i="82"/>
  <c r="N3" i="82"/>
  <c r="H2" i="82"/>
  <c r="I2" i="82"/>
  <c r="D2" i="82"/>
  <c r="N2" i="82"/>
  <c r="L327" i="82"/>
  <c r="K327" i="82"/>
  <c r="J327" i="82"/>
  <c r="G327" i="82"/>
  <c r="C327" i="82"/>
  <c r="L326" i="82"/>
  <c r="K326" i="82"/>
  <c r="J326" i="82"/>
  <c r="G326" i="82"/>
  <c r="C326" i="82"/>
  <c r="L325" i="82"/>
  <c r="K325" i="82"/>
  <c r="J325" i="82"/>
  <c r="G325" i="82"/>
  <c r="C325" i="82"/>
  <c r="L324" i="82"/>
  <c r="K324" i="82"/>
  <c r="J324" i="82"/>
  <c r="G324" i="82"/>
  <c r="C324" i="82"/>
  <c r="L323" i="82"/>
  <c r="K323" i="82"/>
  <c r="J323" i="82"/>
  <c r="G323" i="82"/>
  <c r="C323" i="82"/>
  <c r="L322" i="82"/>
  <c r="K322" i="82"/>
  <c r="J322" i="82"/>
  <c r="G322" i="82"/>
  <c r="C322" i="82"/>
  <c r="L321" i="82"/>
  <c r="K321" i="82"/>
  <c r="J321" i="82"/>
  <c r="G321" i="82"/>
  <c r="C321" i="82"/>
  <c r="L320" i="82"/>
  <c r="K320" i="82"/>
  <c r="J320" i="82"/>
  <c r="G320" i="82"/>
  <c r="C320" i="82"/>
  <c r="L319" i="82"/>
  <c r="K319" i="82"/>
  <c r="J319" i="82"/>
  <c r="G319" i="82"/>
  <c r="C319" i="82"/>
  <c r="L318" i="82"/>
  <c r="K318" i="82"/>
  <c r="J318" i="82"/>
  <c r="G318" i="82"/>
  <c r="C318" i="82"/>
  <c r="L317" i="82"/>
  <c r="K317" i="82"/>
  <c r="J317" i="82"/>
  <c r="G317" i="82"/>
  <c r="C317" i="82"/>
  <c r="L316" i="82"/>
  <c r="K316" i="82"/>
  <c r="J316" i="82"/>
  <c r="G316" i="82"/>
  <c r="C316" i="82"/>
  <c r="L315" i="82"/>
  <c r="K315" i="82"/>
  <c r="J315" i="82"/>
  <c r="G315" i="82"/>
  <c r="C315" i="82"/>
  <c r="L314" i="82"/>
  <c r="K314" i="82"/>
  <c r="J314" i="82"/>
  <c r="G314" i="82"/>
  <c r="C314" i="82"/>
  <c r="L313" i="82"/>
  <c r="K313" i="82"/>
  <c r="J313" i="82"/>
  <c r="G313" i="82"/>
  <c r="C313" i="82"/>
  <c r="L312" i="82"/>
  <c r="K312" i="82"/>
  <c r="J312" i="82"/>
  <c r="G312" i="82"/>
  <c r="C312" i="82"/>
  <c r="L311" i="82"/>
  <c r="K311" i="82"/>
  <c r="J311" i="82"/>
  <c r="G311" i="82"/>
  <c r="C311" i="82"/>
  <c r="L310" i="82"/>
  <c r="K310" i="82"/>
  <c r="J310" i="82"/>
  <c r="G310" i="82"/>
  <c r="C310" i="82"/>
  <c r="L309" i="82"/>
  <c r="K309" i="82"/>
  <c r="J309" i="82"/>
  <c r="G309" i="82"/>
  <c r="C309" i="82"/>
  <c r="L308" i="82"/>
  <c r="K308" i="82"/>
  <c r="J308" i="82"/>
  <c r="G308" i="82"/>
  <c r="C308" i="82"/>
  <c r="L307" i="82"/>
  <c r="K307" i="82"/>
  <c r="J307" i="82"/>
  <c r="G307" i="82"/>
  <c r="C307" i="82"/>
  <c r="L306" i="82"/>
  <c r="K306" i="82"/>
  <c r="J306" i="82"/>
  <c r="G306" i="82"/>
  <c r="C306" i="82"/>
  <c r="L305" i="82"/>
  <c r="K305" i="82"/>
  <c r="J305" i="82"/>
  <c r="G305" i="82"/>
  <c r="C305" i="82"/>
  <c r="L304" i="82"/>
  <c r="K304" i="82"/>
  <c r="J304" i="82"/>
  <c r="G304" i="82"/>
  <c r="C304" i="82"/>
  <c r="L303" i="82"/>
  <c r="K303" i="82"/>
  <c r="J303" i="82"/>
  <c r="G303" i="82"/>
  <c r="C303" i="82"/>
  <c r="L302" i="82"/>
  <c r="K302" i="82"/>
  <c r="J302" i="82"/>
  <c r="G302" i="82"/>
  <c r="C302" i="82"/>
  <c r="L301" i="82"/>
  <c r="K301" i="82"/>
  <c r="J301" i="82"/>
  <c r="G301" i="82"/>
  <c r="C301" i="82"/>
  <c r="L300" i="82"/>
  <c r="K300" i="82"/>
  <c r="J300" i="82"/>
  <c r="G300" i="82"/>
  <c r="C300" i="82"/>
  <c r="L299" i="82"/>
  <c r="K299" i="82"/>
  <c r="J299" i="82"/>
  <c r="G299" i="82"/>
  <c r="C299" i="82"/>
  <c r="L298" i="82"/>
  <c r="K298" i="82"/>
  <c r="J298" i="82"/>
  <c r="G298" i="82"/>
  <c r="C298" i="82"/>
  <c r="L297" i="82"/>
  <c r="K297" i="82"/>
  <c r="J297" i="82"/>
  <c r="G297" i="82"/>
  <c r="C297" i="82"/>
  <c r="L296" i="82"/>
  <c r="K296" i="82"/>
  <c r="J296" i="82"/>
  <c r="G296" i="82"/>
  <c r="C296" i="82"/>
  <c r="L295" i="82"/>
  <c r="K295" i="82"/>
  <c r="J295" i="82"/>
  <c r="G295" i="82"/>
  <c r="C295" i="82"/>
  <c r="L294" i="82"/>
  <c r="K294" i="82"/>
  <c r="J294" i="82"/>
  <c r="G294" i="82"/>
  <c r="C294" i="82"/>
  <c r="L293" i="82"/>
  <c r="K293" i="82"/>
  <c r="J293" i="82"/>
  <c r="G293" i="82"/>
  <c r="C293" i="82"/>
  <c r="L292" i="82"/>
  <c r="K292" i="82"/>
  <c r="J292" i="82"/>
  <c r="G292" i="82"/>
  <c r="C292" i="82"/>
  <c r="L291" i="82"/>
  <c r="K291" i="82"/>
  <c r="J291" i="82"/>
  <c r="G291" i="82"/>
  <c r="C291" i="82"/>
  <c r="L290" i="82"/>
  <c r="K290" i="82"/>
  <c r="J290" i="82"/>
  <c r="G290" i="82"/>
  <c r="C290" i="82"/>
  <c r="L289" i="82"/>
  <c r="K289" i="82"/>
  <c r="J289" i="82"/>
  <c r="G289" i="82"/>
  <c r="C289" i="82"/>
  <c r="L288" i="82"/>
  <c r="K288" i="82"/>
  <c r="J288" i="82"/>
  <c r="G288" i="82"/>
  <c r="C288" i="82"/>
  <c r="L287" i="82"/>
  <c r="K287" i="82"/>
  <c r="J287" i="82"/>
  <c r="G287" i="82"/>
  <c r="C287" i="82"/>
  <c r="L286" i="82"/>
  <c r="K286" i="82"/>
  <c r="J286" i="82"/>
  <c r="G286" i="82"/>
  <c r="C286" i="82"/>
  <c r="L285" i="82"/>
  <c r="K285" i="82"/>
  <c r="J285" i="82"/>
  <c r="G285" i="82"/>
  <c r="C285" i="82"/>
  <c r="L284" i="82"/>
  <c r="K284" i="82"/>
  <c r="J284" i="82"/>
  <c r="G284" i="82"/>
  <c r="C284" i="82"/>
  <c r="L283" i="82"/>
  <c r="K283" i="82"/>
  <c r="J283" i="82"/>
  <c r="G283" i="82"/>
  <c r="C283" i="82"/>
  <c r="L282" i="82"/>
  <c r="K282" i="82"/>
  <c r="J282" i="82"/>
  <c r="G282" i="82"/>
  <c r="C282" i="82"/>
  <c r="L281" i="82"/>
  <c r="K281" i="82"/>
  <c r="J281" i="82"/>
  <c r="G281" i="82"/>
  <c r="C281" i="82"/>
  <c r="L280" i="82"/>
  <c r="K280" i="82"/>
  <c r="J280" i="82"/>
  <c r="G280" i="82"/>
  <c r="C280" i="82"/>
  <c r="L279" i="82"/>
  <c r="K279" i="82"/>
  <c r="J279" i="82"/>
  <c r="G279" i="82"/>
  <c r="C279" i="82"/>
  <c r="L278" i="82"/>
  <c r="K278" i="82"/>
  <c r="J278" i="82"/>
  <c r="G278" i="82"/>
  <c r="C278" i="82"/>
  <c r="L277" i="82"/>
  <c r="K277" i="82"/>
  <c r="J277" i="82"/>
  <c r="G277" i="82"/>
  <c r="C277" i="82"/>
  <c r="L276" i="82"/>
  <c r="K276" i="82"/>
  <c r="J276" i="82"/>
  <c r="G276" i="82"/>
  <c r="C276" i="82"/>
  <c r="L275" i="82"/>
  <c r="K275" i="82"/>
  <c r="J275" i="82"/>
  <c r="G275" i="82"/>
  <c r="C275" i="82"/>
  <c r="L274" i="82"/>
  <c r="K274" i="82"/>
  <c r="J274" i="82"/>
  <c r="G274" i="82"/>
  <c r="C274" i="82"/>
  <c r="L273" i="82"/>
  <c r="K273" i="82"/>
  <c r="J273" i="82"/>
  <c r="G273" i="82"/>
  <c r="C273" i="82"/>
  <c r="L272" i="82"/>
  <c r="K272" i="82"/>
  <c r="J272" i="82"/>
  <c r="G272" i="82"/>
  <c r="C272" i="82"/>
  <c r="L271" i="82"/>
  <c r="K271" i="82"/>
  <c r="J271" i="82"/>
  <c r="G271" i="82"/>
  <c r="C271" i="82"/>
  <c r="L270" i="82"/>
  <c r="K270" i="82"/>
  <c r="J270" i="82"/>
  <c r="G270" i="82"/>
  <c r="C270" i="82"/>
  <c r="L269" i="82"/>
  <c r="K269" i="82"/>
  <c r="J269" i="82"/>
  <c r="G269" i="82"/>
  <c r="C269" i="82"/>
  <c r="L268" i="82"/>
  <c r="K268" i="82"/>
  <c r="J268" i="82"/>
  <c r="G268" i="82"/>
  <c r="C268" i="82"/>
  <c r="L267" i="82"/>
  <c r="K267" i="82"/>
  <c r="J267" i="82"/>
  <c r="G267" i="82"/>
  <c r="C267" i="82"/>
  <c r="L266" i="82"/>
  <c r="K266" i="82"/>
  <c r="J266" i="82"/>
  <c r="G266" i="82"/>
  <c r="C266" i="82"/>
  <c r="L265" i="82"/>
  <c r="K265" i="82"/>
  <c r="J265" i="82"/>
  <c r="G265" i="82"/>
  <c r="C265" i="82"/>
  <c r="L264" i="82"/>
  <c r="K264" i="82"/>
  <c r="J264" i="82"/>
  <c r="G264" i="82"/>
  <c r="C264" i="82"/>
  <c r="L263" i="82"/>
  <c r="K263" i="82"/>
  <c r="J263" i="82"/>
  <c r="G263" i="82"/>
  <c r="C263" i="82"/>
  <c r="L262" i="82"/>
  <c r="K262" i="82"/>
  <c r="J262" i="82"/>
  <c r="G262" i="82"/>
  <c r="C262" i="82"/>
  <c r="L261" i="82"/>
  <c r="K261" i="82"/>
  <c r="J261" i="82"/>
  <c r="G261" i="82"/>
  <c r="C261" i="82"/>
  <c r="L260" i="82"/>
  <c r="K260" i="82"/>
  <c r="J260" i="82"/>
  <c r="G260" i="82"/>
  <c r="C260" i="82"/>
  <c r="L259" i="82"/>
  <c r="K259" i="82"/>
  <c r="J259" i="82"/>
  <c r="G259" i="82"/>
  <c r="C259" i="82"/>
  <c r="L258" i="82"/>
  <c r="K258" i="82"/>
  <c r="J258" i="82"/>
  <c r="G258" i="82"/>
  <c r="C258" i="82"/>
  <c r="L257" i="82"/>
  <c r="K257" i="82"/>
  <c r="J257" i="82"/>
  <c r="G257" i="82"/>
  <c r="C257" i="82"/>
  <c r="L256" i="82"/>
  <c r="K256" i="82"/>
  <c r="J256" i="82"/>
  <c r="G256" i="82"/>
  <c r="C256" i="82"/>
  <c r="L255" i="82"/>
  <c r="K255" i="82"/>
  <c r="J255" i="82"/>
  <c r="G255" i="82"/>
  <c r="C255" i="82"/>
  <c r="L254" i="82"/>
  <c r="K254" i="82"/>
  <c r="J254" i="82"/>
  <c r="G254" i="82"/>
  <c r="C254" i="82"/>
  <c r="L253" i="82"/>
  <c r="K253" i="82"/>
  <c r="J253" i="82"/>
  <c r="G253" i="82"/>
  <c r="C253" i="82"/>
  <c r="L252" i="82"/>
  <c r="K252" i="82"/>
  <c r="J252" i="82"/>
  <c r="G252" i="82"/>
  <c r="C252" i="82"/>
  <c r="L251" i="82"/>
  <c r="K251" i="82"/>
  <c r="J251" i="82"/>
  <c r="G251" i="82"/>
  <c r="C251" i="82"/>
  <c r="L250" i="82"/>
  <c r="K250" i="82"/>
  <c r="J250" i="82"/>
  <c r="G250" i="82"/>
  <c r="C250" i="82"/>
  <c r="L249" i="82"/>
  <c r="K249" i="82"/>
  <c r="J249" i="82"/>
  <c r="G249" i="82"/>
  <c r="C249" i="82"/>
  <c r="L248" i="82"/>
  <c r="K248" i="82"/>
  <c r="J248" i="82"/>
  <c r="G248" i="82"/>
  <c r="C248" i="82"/>
  <c r="L247" i="82"/>
  <c r="K247" i="82"/>
  <c r="J247" i="82"/>
  <c r="G247" i="82"/>
  <c r="C247" i="82"/>
  <c r="L246" i="82"/>
  <c r="K246" i="82"/>
  <c r="J246" i="82"/>
  <c r="G246" i="82"/>
  <c r="C246" i="82"/>
  <c r="L245" i="82"/>
  <c r="K245" i="82"/>
  <c r="J245" i="82"/>
  <c r="G245" i="82"/>
  <c r="C245" i="82"/>
  <c r="L244" i="82"/>
  <c r="K244" i="82"/>
  <c r="J244" i="82"/>
  <c r="G244" i="82"/>
  <c r="C244" i="82"/>
  <c r="L243" i="82"/>
  <c r="K243" i="82"/>
  <c r="J243" i="82"/>
  <c r="G243" i="82"/>
  <c r="C243" i="82"/>
  <c r="L242" i="82"/>
  <c r="K242" i="82"/>
  <c r="J242" i="82"/>
  <c r="G242" i="82"/>
  <c r="C242" i="82"/>
  <c r="L241" i="82"/>
  <c r="K241" i="82"/>
  <c r="J241" i="82"/>
  <c r="G241" i="82"/>
  <c r="C241" i="82"/>
  <c r="L240" i="82"/>
  <c r="K240" i="82"/>
  <c r="J240" i="82"/>
  <c r="G240" i="82"/>
  <c r="C240" i="82"/>
  <c r="L239" i="82"/>
  <c r="K239" i="82"/>
  <c r="J239" i="82"/>
  <c r="G239" i="82"/>
  <c r="C239" i="82"/>
  <c r="L238" i="82"/>
  <c r="K238" i="82"/>
  <c r="J238" i="82"/>
  <c r="G238" i="82"/>
  <c r="C238" i="82"/>
  <c r="L237" i="82"/>
  <c r="K237" i="82"/>
  <c r="J237" i="82"/>
  <c r="G237" i="82"/>
  <c r="C237" i="82"/>
  <c r="L236" i="82"/>
  <c r="K236" i="82"/>
  <c r="J236" i="82"/>
  <c r="G236" i="82"/>
  <c r="C236" i="82"/>
  <c r="L235" i="82"/>
  <c r="K235" i="82"/>
  <c r="J235" i="82"/>
  <c r="G235" i="82"/>
  <c r="C235" i="82"/>
  <c r="L234" i="82"/>
  <c r="K234" i="82"/>
  <c r="J234" i="82"/>
  <c r="G234" i="82"/>
  <c r="C234" i="82"/>
  <c r="L233" i="82"/>
  <c r="K233" i="82"/>
  <c r="J233" i="82"/>
  <c r="G233" i="82"/>
  <c r="C233" i="82"/>
  <c r="L232" i="82"/>
  <c r="K232" i="82"/>
  <c r="J232" i="82"/>
  <c r="G232" i="82"/>
  <c r="C232" i="82"/>
  <c r="L231" i="82"/>
  <c r="K231" i="82"/>
  <c r="J231" i="82"/>
  <c r="G231" i="82"/>
  <c r="C231" i="82"/>
  <c r="L230" i="82"/>
  <c r="K230" i="82"/>
  <c r="J230" i="82"/>
  <c r="G230" i="82"/>
  <c r="C230" i="82"/>
  <c r="L229" i="82"/>
  <c r="K229" i="82"/>
  <c r="J229" i="82"/>
  <c r="G229" i="82"/>
  <c r="C229" i="82"/>
  <c r="L228" i="82"/>
  <c r="K228" i="82"/>
  <c r="J228" i="82"/>
  <c r="G228" i="82"/>
  <c r="C228" i="82"/>
  <c r="L227" i="82"/>
  <c r="K227" i="82"/>
  <c r="J227" i="82"/>
  <c r="G227" i="82"/>
  <c r="C227" i="82"/>
  <c r="L226" i="82"/>
  <c r="K226" i="82"/>
  <c r="J226" i="82"/>
  <c r="G226" i="82"/>
  <c r="C226" i="82"/>
  <c r="L225" i="82"/>
  <c r="K225" i="82"/>
  <c r="J225" i="82"/>
  <c r="G225" i="82"/>
  <c r="C225" i="82"/>
  <c r="L224" i="82"/>
  <c r="K224" i="82"/>
  <c r="J224" i="82"/>
  <c r="G224" i="82"/>
  <c r="C224" i="82"/>
  <c r="L223" i="82"/>
  <c r="K223" i="82"/>
  <c r="J223" i="82"/>
  <c r="G223" i="82"/>
  <c r="C223" i="82"/>
  <c r="L222" i="82"/>
  <c r="K222" i="82"/>
  <c r="J222" i="82"/>
  <c r="G222" i="82"/>
  <c r="C222" i="82"/>
  <c r="L221" i="82"/>
  <c r="K221" i="82"/>
  <c r="J221" i="82"/>
  <c r="G221" i="82"/>
  <c r="C221" i="82"/>
  <c r="L220" i="82"/>
  <c r="K220" i="82"/>
  <c r="J220" i="82"/>
  <c r="G220" i="82"/>
  <c r="C220" i="82"/>
  <c r="L219" i="82"/>
  <c r="K219" i="82"/>
  <c r="J219" i="82"/>
  <c r="G219" i="82"/>
  <c r="C219" i="82"/>
  <c r="L218" i="82"/>
  <c r="K218" i="82"/>
  <c r="J218" i="82"/>
  <c r="G218" i="82"/>
  <c r="C218" i="82"/>
  <c r="L217" i="82"/>
  <c r="K217" i="82"/>
  <c r="J217" i="82"/>
  <c r="G217" i="82"/>
  <c r="C217" i="82"/>
  <c r="L216" i="82"/>
  <c r="K216" i="82"/>
  <c r="J216" i="82"/>
  <c r="G216" i="82"/>
  <c r="C216" i="82"/>
  <c r="L215" i="82"/>
  <c r="K215" i="82"/>
  <c r="J215" i="82"/>
  <c r="G215" i="82"/>
  <c r="C215" i="82"/>
  <c r="L214" i="82"/>
  <c r="K214" i="82"/>
  <c r="J214" i="82"/>
  <c r="G214" i="82"/>
  <c r="C214" i="82"/>
  <c r="L213" i="82"/>
  <c r="K213" i="82"/>
  <c r="J213" i="82"/>
  <c r="G213" i="82"/>
  <c r="C213" i="82"/>
  <c r="L212" i="82"/>
  <c r="K212" i="82"/>
  <c r="J212" i="82"/>
  <c r="G212" i="82"/>
  <c r="C212" i="82"/>
  <c r="L211" i="82"/>
  <c r="K211" i="82"/>
  <c r="J211" i="82"/>
  <c r="G211" i="82"/>
  <c r="C211" i="82"/>
  <c r="L210" i="82"/>
  <c r="K210" i="82"/>
  <c r="J210" i="82"/>
  <c r="G210" i="82"/>
  <c r="C210" i="82"/>
  <c r="L209" i="82"/>
  <c r="K209" i="82"/>
  <c r="J209" i="82"/>
  <c r="G209" i="82"/>
  <c r="C209" i="82"/>
  <c r="L208" i="82"/>
  <c r="K208" i="82"/>
  <c r="J208" i="82"/>
  <c r="G208" i="82"/>
  <c r="C208" i="82"/>
  <c r="L207" i="82"/>
  <c r="K207" i="82"/>
  <c r="J207" i="82"/>
  <c r="G207" i="82"/>
  <c r="C207" i="82"/>
  <c r="L206" i="82"/>
  <c r="K206" i="82"/>
  <c r="J206" i="82"/>
  <c r="G206" i="82"/>
  <c r="C206" i="82"/>
  <c r="L205" i="82"/>
  <c r="K205" i="82"/>
  <c r="J205" i="82"/>
  <c r="G205" i="82"/>
  <c r="C205" i="82"/>
  <c r="L204" i="82"/>
  <c r="K204" i="82"/>
  <c r="J204" i="82"/>
  <c r="G204" i="82"/>
  <c r="C204" i="82"/>
  <c r="L203" i="82"/>
  <c r="K203" i="82"/>
  <c r="J203" i="82"/>
  <c r="G203" i="82"/>
  <c r="C203" i="82"/>
  <c r="L202" i="82"/>
  <c r="K202" i="82"/>
  <c r="J202" i="82"/>
  <c r="G202" i="82"/>
  <c r="C202" i="82"/>
  <c r="L201" i="82"/>
  <c r="K201" i="82"/>
  <c r="J201" i="82"/>
  <c r="G201" i="82"/>
  <c r="C201" i="82"/>
  <c r="L200" i="82"/>
  <c r="K200" i="82"/>
  <c r="J200" i="82"/>
  <c r="G200" i="82"/>
  <c r="C200" i="82"/>
  <c r="L199" i="82"/>
  <c r="K199" i="82"/>
  <c r="J199" i="82"/>
  <c r="G199" i="82"/>
  <c r="C199" i="82"/>
  <c r="L198" i="82"/>
  <c r="K198" i="82"/>
  <c r="J198" i="82"/>
  <c r="G198" i="82"/>
  <c r="C198" i="82"/>
  <c r="L197" i="82"/>
  <c r="K197" i="82"/>
  <c r="J197" i="82"/>
  <c r="G197" i="82"/>
  <c r="C197" i="82"/>
  <c r="L196" i="82"/>
  <c r="K196" i="82"/>
  <c r="J196" i="82"/>
  <c r="G196" i="82"/>
  <c r="C196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L194" i="82"/>
  <c r="K194" i="82"/>
  <c r="J194" i="82"/>
  <c r="G194" i="82"/>
  <c r="L193" i="82"/>
  <c r="K193" i="82"/>
  <c r="J193" i="82"/>
  <c r="G193" i="82"/>
  <c r="L192" i="82"/>
  <c r="K192" i="82"/>
  <c r="J192" i="82"/>
  <c r="G192" i="82"/>
  <c r="L191" i="82"/>
  <c r="K191" i="82"/>
  <c r="J191" i="82"/>
  <c r="G191" i="82"/>
  <c r="L190" i="82"/>
  <c r="K190" i="82"/>
  <c r="J190" i="82"/>
  <c r="G190" i="82"/>
  <c r="L189" i="82"/>
  <c r="K189" i="82"/>
  <c r="J189" i="82"/>
  <c r="G189" i="82"/>
  <c r="L188" i="82"/>
  <c r="K188" i="82"/>
  <c r="J188" i="82"/>
  <c r="G188" i="82"/>
  <c r="L187" i="82"/>
  <c r="K187" i="82"/>
  <c r="J187" i="82"/>
  <c r="G187" i="82"/>
  <c r="L186" i="82"/>
  <c r="K186" i="82"/>
  <c r="J186" i="82"/>
  <c r="G186" i="82"/>
  <c r="L185" i="82"/>
  <c r="K185" i="82"/>
  <c r="J185" i="82"/>
  <c r="G185" i="82"/>
  <c r="L184" i="82"/>
  <c r="K184" i="82"/>
  <c r="J184" i="82"/>
  <c r="G184" i="82"/>
  <c r="L183" i="82"/>
  <c r="K183" i="82"/>
  <c r="J183" i="82"/>
  <c r="G183" i="82"/>
  <c r="L182" i="82"/>
  <c r="K182" i="82"/>
  <c r="J182" i="82"/>
  <c r="G182" i="82"/>
  <c r="L181" i="82"/>
  <c r="K181" i="82"/>
  <c r="J181" i="82"/>
  <c r="G181" i="82"/>
  <c r="L180" i="82"/>
  <c r="K180" i="82"/>
  <c r="J180" i="82"/>
  <c r="G180" i="82"/>
  <c r="L179" i="82"/>
  <c r="K179" i="82"/>
  <c r="J179" i="82"/>
  <c r="G179" i="82"/>
  <c r="L178" i="82"/>
  <c r="K178" i="82"/>
  <c r="J178" i="82"/>
  <c r="G178" i="82"/>
  <c r="L177" i="82"/>
  <c r="K177" i="82"/>
  <c r="J177" i="82"/>
  <c r="G177" i="82"/>
  <c r="L176" i="82"/>
  <c r="K176" i="82"/>
  <c r="J176" i="82"/>
  <c r="G176" i="82"/>
  <c r="L175" i="82"/>
  <c r="K175" i="82"/>
  <c r="J175" i="82"/>
  <c r="G175" i="82"/>
  <c r="L174" i="82"/>
  <c r="K174" i="82"/>
  <c r="J174" i="82"/>
  <c r="G174" i="82"/>
  <c r="L173" i="82"/>
  <c r="K173" i="82"/>
  <c r="J173" i="82"/>
  <c r="G173" i="82"/>
  <c r="L172" i="82"/>
  <c r="K172" i="82"/>
  <c r="J172" i="82"/>
  <c r="G172" i="82"/>
  <c r="L171" i="82"/>
  <c r="K171" i="82"/>
  <c r="J171" i="82"/>
  <c r="G171" i="82"/>
  <c r="L170" i="82"/>
  <c r="K170" i="82"/>
  <c r="J170" i="82"/>
  <c r="G170" i="82"/>
  <c r="L169" i="82"/>
  <c r="K169" i="82"/>
  <c r="J169" i="82"/>
  <c r="G169" i="82"/>
  <c r="L168" i="82"/>
  <c r="K168" i="82"/>
  <c r="J168" i="82"/>
  <c r="G168" i="82"/>
  <c r="L167" i="82"/>
  <c r="K167" i="82"/>
  <c r="J167" i="82"/>
  <c r="G167" i="82"/>
  <c r="L166" i="82"/>
  <c r="K166" i="82"/>
  <c r="J166" i="82"/>
  <c r="G166" i="82"/>
  <c r="L165" i="82"/>
  <c r="K165" i="82"/>
  <c r="J165" i="82"/>
  <c r="G165" i="82"/>
  <c r="L164" i="82"/>
  <c r="K164" i="82"/>
  <c r="J164" i="82"/>
  <c r="G164" i="82"/>
  <c r="L163" i="82"/>
  <c r="K163" i="82"/>
  <c r="J163" i="82"/>
  <c r="G163" i="82"/>
  <c r="L162" i="82"/>
  <c r="K162" i="82"/>
  <c r="J162" i="82"/>
  <c r="G162" i="82"/>
  <c r="L161" i="82"/>
  <c r="K161" i="82"/>
  <c r="J161" i="82"/>
  <c r="G161" i="82"/>
  <c r="L160" i="82"/>
  <c r="K160" i="82"/>
  <c r="J160" i="82"/>
  <c r="G160" i="82"/>
  <c r="L159" i="82"/>
  <c r="K159" i="82"/>
  <c r="J159" i="82"/>
  <c r="G159" i="82"/>
  <c r="L158" i="82"/>
  <c r="K158" i="82"/>
  <c r="J158" i="82"/>
  <c r="G158" i="82"/>
  <c r="L157" i="82"/>
  <c r="K157" i="82"/>
  <c r="J157" i="82"/>
  <c r="G157" i="82"/>
  <c r="L156" i="82"/>
  <c r="K156" i="82"/>
  <c r="J156" i="82"/>
  <c r="G156" i="82"/>
  <c r="L155" i="82"/>
  <c r="K155" i="82"/>
  <c r="J155" i="82"/>
  <c r="G155" i="82"/>
  <c r="L154" i="82"/>
  <c r="K154" i="82"/>
  <c r="J154" i="82"/>
  <c r="G154" i="82"/>
  <c r="L153" i="82"/>
  <c r="K153" i="82"/>
  <c r="J153" i="82"/>
  <c r="G153" i="82"/>
  <c r="L152" i="82"/>
  <c r="K152" i="82"/>
  <c r="J152" i="82"/>
  <c r="G152" i="82"/>
  <c r="L151" i="82"/>
  <c r="K151" i="82"/>
  <c r="J151" i="82"/>
  <c r="G151" i="82"/>
  <c r="L150" i="82"/>
  <c r="K150" i="82"/>
  <c r="J150" i="82"/>
  <c r="G150" i="82"/>
  <c r="L149" i="82"/>
  <c r="K149" i="82"/>
  <c r="J149" i="82"/>
  <c r="G149" i="82"/>
  <c r="L148" i="82"/>
  <c r="K148" i="82"/>
  <c r="J148" i="82"/>
  <c r="G148" i="82"/>
  <c r="L147" i="82"/>
  <c r="K147" i="82"/>
  <c r="J147" i="82"/>
  <c r="G147" i="82"/>
  <c r="L146" i="82"/>
  <c r="K146" i="82"/>
  <c r="J146" i="82"/>
  <c r="G146" i="82"/>
  <c r="L145" i="82"/>
  <c r="K145" i="82"/>
  <c r="J145" i="82"/>
  <c r="G145" i="82"/>
  <c r="L144" i="82"/>
  <c r="K144" i="82"/>
  <c r="J144" i="82"/>
  <c r="G144" i="82"/>
  <c r="L143" i="82"/>
  <c r="K143" i="82"/>
  <c r="J143" i="82"/>
  <c r="G143" i="82"/>
  <c r="L142" i="82"/>
  <c r="K142" i="82"/>
  <c r="J142" i="82"/>
  <c r="G142" i="82"/>
  <c r="L141" i="82"/>
  <c r="K141" i="82"/>
  <c r="J141" i="82"/>
  <c r="G141" i="82"/>
  <c r="L140" i="82"/>
  <c r="K140" i="82"/>
  <c r="J140" i="82"/>
  <c r="G140" i="82"/>
  <c r="L139" i="82"/>
  <c r="K139" i="82"/>
  <c r="J139" i="82"/>
  <c r="G139" i="82"/>
  <c r="L138" i="82"/>
  <c r="K138" i="82"/>
  <c r="J138" i="82"/>
  <c r="G138" i="82"/>
  <c r="L137" i="82"/>
  <c r="K137" i="82"/>
  <c r="J137" i="82"/>
  <c r="G137" i="82"/>
  <c r="L136" i="82"/>
  <c r="K136" i="82"/>
  <c r="J136" i="82"/>
  <c r="G136" i="82"/>
  <c r="L135" i="82"/>
  <c r="K135" i="82"/>
  <c r="J135" i="82"/>
  <c r="G135" i="82"/>
  <c r="L134" i="82"/>
  <c r="K134" i="82"/>
  <c r="J134" i="82"/>
  <c r="G134" i="82"/>
  <c r="L133" i="82"/>
  <c r="K133" i="82"/>
  <c r="J133" i="82"/>
  <c r="G133" i="82"/>
  <c r="L132" i="82"/>
  <c r="K132" i="82"/>
  <c r="J132" i="82"/>
  <c r="G132" i="82"/>
  <c r="L131" i="82"/>
  <c r="K131" i="82"/>
  <c r="J131" i="82"/>
  <c r="G131" i="82"/>
  <c r="L130" i="82"/>
  <c r="K130" i="82"/>
  <c r="J130" i="82"/>
  <c r="G130" i="82"/>
  <c r="L129" i="82"/>
  <c r="K129" i="82"/>
  <c r="J129" i="82"/>
  <c r="G129" i="82"/>
  <c r="L128" i="82"/>
  <c r="K128" i="82"/>
  <c r="J128" i="82"/>
  <c r="G128" i="82"/>
  <c r="L127" i="82"/>
  <c r="K127" i="82"/>
  <c r="J127" i="82"/>
  <c r="G127" i="82"/>
  <c r="L126" i="82"/>
  <c r="K126" i="82"/>
  <c r="J126" i="82"/>
  <c r="G126" i="82"/>
  <c r="L125" i="82"/>
  <c r="K125" i="82"/>
  <c r="J125" i="82"/>
  <c r="G125" i="82"/>
  <c r="L124" i="82"/>
  <c r="K124" i="82"/>
  <c r="J124" i="82"/>
  <c r="G124" i="82"/>
  <c r="L123" i="82"/>
  <c r="K123" i="82"/>
  <c r="J123" i="82"/>
  <c r="G123" i="82"/>
  <c r="L122" i="82"/>
  <c r="K122" i="82"/>
  <c r="J122" i="82"/>
  <c r="G122" i="82"/>
  <c r="L121" i="82"/>
  <c r="K121" i="82"/>
  <c r="J121" i="82"/>
  <c r="G121" i="82"/>
  <c r="L120" i="82"/>
  <c r="K120" i="82"/>
  <c r="J120" i="82"/>
  <c r="G120" i="82"/>
  <c r="L119" i="82"/>
  <c r="K119" i="82"/>
  <c r="J119" i="82"/>
  <c r="G119" i="82"/>
  <c r="L118" i="82"/>
  <c r="K118" i="82"/>
  <c r="J118" i="82"/>
  <c r="G118" i="82"/>
  <c r="L117" i="82"/>
  <c r="K117" i="82"/>
  <c r="J117" i="82"/>
  <c r="L116" i="82"/>
  <c r="K116" i="82"/>
  <c r="J116" i="82"/>
  <c r="G116" i="82"/>
  <c r="L115" i="82"/>
  <c r="K115" i="82"/>
  <c r="J115" i="82"/>
  <c r="G115" i="82"/>
  <c r="L114" i="82"/>
  <c r="K114" i="82"/>
  <c r="J114" i="82"/>
  <c r="G114" i="82"/>
  <c r="L113" i="82"/>
  <c r="K113" i="82"/>
  <c r="J113" i="82"/>
  <c r="G113" i="82"/>
  <c r="L112" i="82"/>
  <c r="K112" i="82"/>
  <c r="J112" i="82"/>
  <c r="G112" i="82"/>
  <c r="L111" i="82"/>
  <c r="K111" i="82"/>
  <c r="J111" i="82"/>
  <c r="G111" i="82"/>
  <c r="L110" i="82"/>
  <c r="K110" i="82"/>
  <c r="J110" i="82"/>
  <c r="G110" i="82"/>
  <c r="L109" i="82"/>
  <c r="K109" i="82"/>
  <c r="J109" i="82"/>
  <c r="G109" i="82"/>
  <c r="L108" i="82"/>
  <c r="K108" i="82"/>
  <c r="J108" i="82"/>
  <c r="G108" i="82"/>
  <c r="L107" i="82"/>
  <c r="K107" i="82"/>
  <c r="J107" i="82"/>
  <c r="G107" i="82"/>
  <c r="L106" i="82"/>
  <c r="K106" i="82"/>
  <c r="J106" i="82"/>
  <c r="G106" i="82"/>
  <c r="L105" i="82"/>
  <c r="K105" i="82"/>
  <c r="J105" i="82"/>
  <c r="G105" i="82"/>
  <c r="L104" i="82"/>
  <c r="K104" i="82"/>
  <c r="J104" i="82"/>
  <c r="G104" i="82"/>
  <c r="L103" i="82"/>
  <c r="K103" i="82"/>
  <c r="J103" i="82"/>
  <c r="G103" i="82"/>
  <c r="L102" i="82"/>
  <c r="K102" i="82"/>
  <c r="J102" i="82"/>
  <c r="G102" i="82"/>
  <c r="L101" i="82"/>
  <c r="K101" i="82"/>
  <c r="J101" i="82"/>
  <c r="G101" i="82"/>
  <c r="L100" i="82"/>
  <c r="K100" i="82"/>
  <c r="J100" i="82"/>
  <c r="G100" i="82"/>
  <c r="L99" i="82"/>
  <c r="K99" i="82"/>
  <c r="J99" i="82"/>
  <c r="G99" i="82"/>
  <c r="L98" i="82"/>
  <c r="K98" i="82"/>
  <c r="J98" i="82"/>
  <c r="G98" i="82"/>
  <c r="L97" i="82"/>
  <c r="K97" i="82"/>
  <c r="J97" i="82"/>
  <c r="G97" i="82"/>
  <c r="L96" i="82"/>
  <c r="K96" i="82"/>
  <c r="J96" i="82"/>
  <c r="G96" i="82"/>
  <c r="L95" i="82"/>
  <c r="K95" i="82"/>
  <c r="J95" i="82"/>
  <c r="G95" i="82"/>
  <c r="L94" i="82"/>
  <c r="K94" i="82"/>
  <c r="J94" i="82"/>
  <c r="G94" i="82"/>
  <c r="L93" i="82"/>
  <c r="K93" i="82"/>
  <c r="J93" i="82"/>
  <c r="G93" i="82"/>
  <c r="L92" i="82"/>
  <c r="K92" i="82"/>
  <c r="J92" i="82"/>
  <c r="G92" i="82"/>
  <c r="L91" i="82"/>
  <c r="K91" i="82"/>
  <c r="J91" i="82"/>
  <c r="G91" i="82"/>
  <c r="L90" i="82"/>
  <c r="K90" i="82"/>
  <c r="J90" i="82"/>
  <c r="G90" i="82"/>
  <c r="L89" i="82"/>
  <c r="K89" i="82"/>
  <c r="J89" i="82"/>
  <c r="G89" i="82"/>
  <c r="L88" i="82"/>
  <c r="K88" i="82"/>
  <c r="J88" i="82"/>
  <c r="G88" i="82"/>
  <c r="L87" i="82"/>
  <c r="K87" i="82"/>
  <c r="J87" i="82"/>
  <c r="G87" i="82"/>
  <c r="L86" i="82"/>
  <c r="K86" i="82"/>
  <c r="J86" i="82"/>
  <c r="G86" i="82"/>
  <c r="L85" i="82"/>
  <c r="K85" i="82"/>
  <c r="J85" i="82"/>
  <c r="G85" i="82"/>
  <c r="L84" i="82"/>
  <c r="K84" i="82"/>
  <c r="J84" i="82"/>
  <c r="G84" i="82"/>
  <c r="L83" i="82"/>
  <c r="K83" i="82"/>
  <c r="J83" i="82"/>
  <c r="G83" i="82"/>
  <c r="L82" i="82"/>
  <c r="K82" i="82"/>
  <c r="J82" i="82"/>
  <c r="G82" i="82"/>
  <c r="L81" i="82"/>
  <c r="K81" i="82"/>
  <c r="J81" i="82"/>
  <c r="G81" i="82"/>
  <c r="L80" i="82"/>
  <c r="K80" i="82"/>
  <c r="J80" i="82"/>
  <c r="G80" i="82"/>
  <c r="L79" i="82"/>
  <c r="K79" i="82"/>
  <c r="J79" i="82"/>
  <c r="G79" i="82"/>
  <c r="L78" i="82"/>
  <c r="K78" i="82"/>
  <c r="J78" i="82"/>
  <c r="G78" i="82"/>
  <c r="L77" i="82"/>
  <c r="K77" i="82"/>
  <c r="J77" i="82"/>
  <c r="G77" i="82"/>
  <c r="L76" i="82"/>
  <c r="K76" i="82"/>
  <c r="J76" i="82"/>
  <c r="G76" i="82"/>
  <c r="L75" i="82"/>
  <c r="K75" i="82"/>
  <c r="J75" i="82"/>
  <c r="G75" i="82"/>
  <c r="L74" i="82"/>
  <c r="K74" i="82"/>
  <c r="J74" i="82"/>
  <c r="G74" i="82"/>
  <c r="L73" i="82"/>
  <c r="K73" i="82"/>
  <c r="J73" i="82"/>
  <c r="G73" i="82"/>
  <c r="L72" i="82"/>
  <c r="K72" i="82"/>
  <c r="J72" i="82"/>
  <c r="G72" i="82"/>
  <c r="L71" i="82"/>
  <c r="K71" i="82"/>
  <c r="J71" i="82"/>
  <c r="G71" i="82"/>
  <c r="L70" i="82"/>
  <c r="K70" i="82"/>
  <c r="J70" i="82"/>
  <c r="G70" i="82"/>
  <c r="L69" i="82"/>
  <c r="K69" i="82"/>
  <c r="J69" i="82"/>
  <c r="G69" i="82"/>
  <c r="L68" i="82"/>
  <c r="K68" i="82"/>
  <c r="J68" i="82"/>
  <c r="G68" i="82"/>
  <c r="L67" i="82"/>
  <c r="K67" i="82"/>
  <c r="J67" i="82"/>
  <c r="G67" i="82"/>
  <c r="L66" i="82"/>
  <c r="K66" i="82"/>
  <c r="J66" i="82"/>
  <c r="G66" i="82"/>
  <c r="L65" i="82"/>
  <c r="K65" i="82"/>
  <c r="J65" i="82"/>
  <c r="G65" i="82"/>
  <c r="L64" i="82"/>
  <c r="K64" i="82"/>
  <c r="J64" i="82"/>
  <c r="G64" i="82"/>
  <c r="L63" i="82"/>
  <c r="K63" i="82"/>
  <c r="J63" i="82"/>
  <c r="G63" i="82"/>
  <c r="L62" i="82"/>
  <c r="K62" i="82"/>
  <c r="J62" i="82"/>
  <c r="G62" i="82"/>
  <c r="L61" i="82"/>
  <c r="K61" i="82"/>
  <c r="J61" i="82"/>
  <c r="G61" i="82"/>
  <c r="L60" i="82"/>
  <c r="K60" i="82"/>
  <c r="J60" i="82"/>
  <c r="G60" i="82"/>
  <c r="L59" i="82"/>
  <c r="K59" i="82"/>
  <c r="J59" i="82"/>
  <c r="G59" i="82"/>
  <c r="L58" i="82"/>
  <c r="K58" i="82"/>
  <c r="J58" i="82"/>
  <c r="G58" i="82"/>
  <c r="L57" i="82"/>
  <c r="K57" i="82"/>
  <c r="J57" i="82"/>
  <c r="G57" i="82"/>
  <c r="L56" i="82"/>
  <c r="K56" i="82"/>
  <c r="J56" i="82"/>
  <c r="G56" i="82"/>
  <c r="L55" i="82"/>
  <c r="K55" i="82"/>
  <c r="J55" i="82"/>
  <c r="G55" i="82"/>
  <c r="L54" i="82"/>
  <c r="K54" i="82"/>
  <c r="J54" i="82"/>
  <c r="G54" i="82"/>
  <c r="L53" i="82"/>
  <c r="K53" i="82"/>
  <c r="J53" i="82"/>
  <c r="G53" i="82"/>
  <c r="L52" i="82"/>
  <c r="K52" i="82"/>
  <c r="J52" i="82"/>
  <c r="G52" i="82"/>
  <c r="L51" i="82"/>
  <c r="K51" i="82"/>
  <c r="J51" i="82"/>
  <c r="G51" i="82"/>
  <c r="L50" i="82"/>
  <c r="K50" i="82"/>
  <c r="J50" i="82"/>
  <c r="G50" i="82"/>
  <c r="L49" i="82"/>
  <c r="K49" i="82"/>
  <c r="J49" i="82"/>
  <c r="G49" i="82"/>
  <c r="L48" i="82"/>
  <c r="K48" i="82"/>
  <c r="J48" i="82"/>
  <c r="G48" i="82"/>
  <c r="L47" i="82"/>
  <c r="K47" i="82"/>
  <c r="J47" i="82"/>
  <c r="G47" i="82"/>
  <c r="L46" i="82"/>
  <c r="K46" i="82"/>
  <c r="J46" i="82"/>
  <c r="G46" i="82"/>
  <c r="L45" i="82"/>
  <c r="K45" i="82"/>
  <c r="J45" i="82"/>
  <c r="G45" i="82"/>
  <c r="L44" i="82"/>
  <c r="K44" i="82"/>
  <c r="J44" i="82"/>
  <c r="G44" i="82"/>
  <c r="L43" i="82"/>
  <c r="K43" i="82"/>
  <c r="J43" i="82"/>
  <c r="G43" i="82"/>
  <c r="L42" i="82"/>
  <c r="K42" i="82"/>
  <c r="J42" i="82"/>
  <c r="G42" i="82"/>
  <c r="L41" i="82"/>
  <c r="K41" i="82"/>
  <c r="J41" i="82"/>
  <c r="G41" i="82"/>
  <c r="L40" i="82"/>
  <c r="K40" i="82"/>
  <c r="J40" i="82"/>
  <c r="G40" i="82"/>
  <c r="L39" i="82"/>
  <c r="K39" i="82"/>
  <c r="J39" i="82"/>
  <c r="G39" i="82"/>
  <c r="L38" i="82"/>
  <c r="K38" i="82"/>
  <c r="J38" i="82"/>
  <c r="G38" i="82"/>
  <c r="L37" i="82"/>
  <c r="K37" i="82"/>
  <c r="J37" i="82"/>
  <c r="G37" i="82"/>
  <c r="L36" i="82"/>
  <c r="K36" i="82"/>
  <c r="J36" i="82"/>
  <c r="G36" i="82"/>
  <c r="L35" i="82"/>
  <c r="K35" i="82"/>
  <c r="J35" i="82"/>
  <c r="G35" i="82"/>
  <c r="L34" i="82"/>
  <c r="K34" i="82"/>
  <c r="J34" i="82"/>
  <c r="G34" i="82"/>
  <c r="L33" i="82"/>
  <c r="K33" i="82"/>
  <c r="J33" i="82"/>
  <c r="G33" i="82"/>
  <c r="L32" i="82"/>
  <c r="K32" i="82"/>
  <c r="J32" i="82"/>
  <c r="G32" i="82"/>
  <c r="L31" i="82"/>
  <c r="K31" i="82"/>
  <c r="J31" i="82"/>
  <c r="G31" i="82"/>
  <c r="L30" i="82"/>
  <c r="K30" i="82"/>
  <c r="J30" i="82"/>
  <c r="G30" i="82"/>
  <c r="L29" i="82"/>
  <c r="K29" i="82"/>
  <c r="J29" i="82"/>
  <c r="G29" i="82"/>
  <c r="L28" i="82"/>
  <c r="K28" i="82"/>
  <c r="J28" i="82"/>
  <c r="G28" i="82"/>
  <c r="L27" i="82"/>
  <c r="K27" i="82"/>
  <c r="J27" i="82"/>
  <c r="G27" i="82"/>
  <c r="L26" i="82"/>
  <c r="K26" i="82"/>
  <c r="J26" i="82"/>
  <c r="G26" i="82"/>
  <c r="L25" i="82"/>
  <c r="K25" i="82"/>
  <c r="J25" i="82"/>
  <c r="G25" i="82"/>
  <c r="L24" i="82"/>
  <c r="K24" i="82"/>
  <c r="J24" i="82"/>
  <c r="G24" i="82"/>
  <c r="L23" i="82"/>
  <c r="K23" i="82"/>
  <c r="J23" i="82"/>
  <c r="G23" i="82"/>
  <c r="L22" i="82"/>
  <c r="K22" i="82"/>
  <c r="J22" i="82"/>
  <c r="G22" i="82"/>
  <c r="L21" i="82"/>
  <c r="K21" i="82"/>
  <c r="J21" i="82"/>
  <c r="G21" i="82"/>
  <c r="L20" i="82"/>
  <c r="K20" i="82"/>
  <c r="J20" i="82"/>
  <c r="G20" i="82"/>
  <c r="L19" i="82"/>
  <c r="K19" i="82"/>
  <c r="J19" i="82"/>
  <c r="G19" i="82"/>
  <c r="L18" i="82"/>
  <c r="K18" i="82"/>
  <c r="J18" i="82"/>
  <c r="G18" i="82"/>
  <c r="L17" i="82"/>
  <c r="K17" i="82"/>
  <c r="J17" i="82"/>
  <c r="G17" i="82"/>
  <c r="L16" i="82"/>
  <c r="K16" i="82"/>
  <c r="J16" i="82"/>
  <c r="G16" i="82"/>
  <c r="L15" i="82"/>
  <c r="K15" i="82"/>
  <c r="J15" i="82"/>
  <c r="G15" i="82"/>
  <c r="L14" i="82"/>
  <c r="K14" i="82"/>
  <c r="J14" i="82"/>
  <c r="G14" i="82"/>
  <c r="L13" i="82"/>
  <c r="K13" i="82"/>
  <c r="J13" i="82"/>
  <c r="G13" i="82"/>
  <c r="L12" i="82"/>
  <c r="K12" i="82"/>
  <c r="J12" i="82"/>
  <c r="G12" i="82"/>
  <c r="L11" i="82"/>
  <c r="K11" i="82"/>
  <c r="J11" i="82"/>
  <c r="G11" i="82"/>
  <c r="L10" i="82"/>
  <c r="K10" i="82"/>
  <c r="J10" i="82"/>
  <c r="G10" i="82"/>
  <c r="L9" i="82"/>
  <c r="K9" i="82"/>
  <c r="J9" i="82"/>
  <c r="G9" i="82"/>
  <c r="L8" i="82"/>
  <c r="K8" i="82"/>
  <c r="J8" i="82"/>
  <c r="G8" i="82"/>
  <c r="L7" i="82"/>
  <c r="K7" i="82"/>
  <c r="J7" i="82"/>
  <c r="G7" i="82"/>
  <c r="L6" i="82"/>
  <c r="K6" i="82"/>
  <c r="J6" i="82"/>
  <c r="G6" i="82"/>
  <c r="L5" i="82"/>
  <c r="K5" i="82"/>
  <c r="J5" i="82"/>
  <c r="G5" i="82"/>
  <c r="L4" i="82"/>
  <c r="K4" i="82"/>
  <c r="J4" i="82"/>
  <c r="G4" i="82"/>
  <c r="L3" i="82"/>
  <c r="K3" i="82"/>
  <c r="J3" i="82"/>
  <c r="G3" i="82"/>
  <c r="C2" i="82"/>
  <c r="L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<sst xmlns="http://schemas.openxmlformats.org/spreadsheetml/2006/main" count="149" uniqueCount="85">
  <si>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</si>
  <si>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</si>
  <si>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</si>
  <si>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</si>
  <si>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</si>
  <si>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</si>
  <si>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</si>
  <si>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</si>
  <si>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</si>
  <si>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</si>
  <si>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</si>
  <si>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</si>
  <si>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</si>
  <si>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</si>
  <si>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</si>
  <si>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</si>
  <si>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</si>
  <si>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</si>
  <si>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</si>
  <si>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</si>
  <si>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</si>
  <si>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</si>
  <si>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</si>
  <si>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</si>
  <si>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</si>
  <si>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</si>
  <si>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</si>
  <si>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</si>
  <si>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</si>
  <si>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</si>
  <si>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</si>
  <si>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</si>
  <si>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</si>
  <si>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</si>
  <si>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</si>
  <si>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</si>
  <si>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</si>
  <si>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</si>
  <si>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</si>
  <si>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</si>
  <si>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</si>
  <si>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</si>
  <si>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</si>
  <si>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</si>
  <si>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</si>
  <si>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</si>
  <si>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</si>
  <si>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</si>
  <si>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</si>
  <si>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</si>
  <si>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</si>
  <si>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</si>
  <si>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</si>
  <si>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</si>
  <si>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</si>
  <si>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</si>
  <si>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</si>
  <si>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</si>
  <si>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</si>
  <si>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</si>
  <si>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</si>
  <si>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</si>
  <si>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</si>
  <si>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</si>
  <si>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</si>
  <si>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</si>
  <si>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</si>
  <si>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</si>
  <si>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</si>
  <si>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</si>
  <si>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</si>
  <si>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</si>
  <si>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</si>
  <si>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</si>
  <si>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</si>
  <si>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</si>
  <si>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</si>
  <si>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</si>
  <si>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</si>
  <si>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</si>
  <si>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pick</t>
    <phoneticPr fontId="11"/>
  </si>
  <si>
    <t>pick</t>
    <phoneticPr fontId="11"/>
  </si>
  <si>
    <t>pick</t>
    <phoneticPr fontId="11"/>
  </si>
  <si>
    <t>PremiumS</t>
    <phoneticPr fontId="11"/>
  </si>
  <si>
    <t>PremiumSS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</si>
</sst>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</borders>
  <cellStyleXfs count="3389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45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44" fillId="22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44" fillId="0" borderId="1" xfId="0" applyFont="1" applyBorder="1" applyAlignment="1">
      <alignment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3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4" borderId="1" xfId="2978" applyFont="1" applyFill="1" applyBorder="1"/>
    <xf numFmtId="0" fontId="4" fillId="24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4" borderId="1" xfId="0" applyFont="1" applyFill="1" applyBorder="1"/>
    <xf numFmtId="0" fontId="2" fillId="0" borderId="1" xfId="3036" applyFont="1" applyBorder="1"/>
    <xf numFmtId="0" fontId="0" fillId="25" borderId="16" xfId="0" applyFill="1" applyBorder="1" applyAlignment="1">
      <alignment vertical="center"/>
    </xf>
    <xf numFmtId="0" fontId="0" fillId="25" borderId="17" xfId="0" applyFill="1" applyBorder="1" applyAlignment="1">
      <alignment vertical="center"/>
    </xf>
    <xf numFmtId="0" fontId="0" fillId="25" borderId="18" xfId="0" applyFill="1" applyBorder="1" applyAlignment="1">
      <alignment vertical="center"/>
    </xf>
    <xf numFmtId="0" fontId="15" fillId="26" borderId="1" xfId="0" applyFont="1" applyFill="1" applyBorder="1" applyAlignment="1">
      <alignment horizontal="right" vertical="center"/>
    </xf>
    <xf numFmtId="0" fontId="16" fillId="3" borderId="0" xfId="2" applyFont="1" applyFill="1" applyBorder="1" applyAlignment="1">
      <alignment vertical="center"/>
    </xf>
    <xf numFmtId="0" fontId="0" fillId="4" borderId="0" xfId="0" applyFill="1" applyBorder="1"/>
    <xf numFmtId="0" fontId="16" fillId="0" borderId="0" xfId="2" applyFont="1" applyBorder="1" applyAlignment="1">
      <alignment vertical="center"/>
    </xf>
  </cellXfs>
  <cellStyles count="3389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2</v>
          </cell>
          <cell r="J377" t="str">
            <v>Drop1S</v>
          </cell>
          <cell r="K377" t="str">
            <v>balance</v>
          </cell>
          <cell r="L377" t="str">
            <v>バランスタイプ</v>
          </cell>
          <cell r="M377" t="str">
            <v>human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3</v>
          </cell>
          <cell r="J378" t="str">
            <v>Drop1S</v>
          </cell>
          <cell r="K378" t="str">
            <v>balance</v>
          </cell>
          <cell r="L378" t="str">
            <v>バランスタイプ</v>
          </cell>
          <cell r="M378" t="str">
            <v>human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balance</v>
          </cell>
          <cell r="L475" t="str">
            <v>バランスタイプ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balance</v>
          </cell>
          <cell r="L476" t="str">
            <v>バランスタイプ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ロキ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華麗なるサディスト ロキ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attack</v>
          </cell>
          <cell r="L482" t="str">
            <v>攻撃タイプ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attack</v>
          </cell>
          <cell r="L483" t="str">
            <v>攻撃タイプ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attack</v>
          </cell>
          <cell r="L484" t="str">
            <v>攻撃タイプ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attack</v>
          </cell>
          <cell r="L485" t="str">
            <v>攻撃タイプ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attack</v>
          </cell>
          <cell r="L486" t="str">
            <v>攻撃タイプ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human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yellow</v>
          </cell>
          <cell r="I491">
            <v>4</v>
          </cell>
          <cell r="J491" t="str">
            <v>PremiumS</v>
          </cell>
          <cell r="K491" t="str">
            <v>attack</v>
          </cell>
          <cell r="L491" t="str">
            <v>攻撃タイプ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イル・グリム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yellow</v>
          </cell>
          <cell r="I492">
            <v>4</v>
          </cell>
          <cell r="J492" t="str">
            <v>PremiumS</v>
          </cell>
          <cell r="K492" t="str">
            <v>attack</v>
          </cell>
          <cell r="L492" t="str">
            <v>攻撃タイプ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yellow</v>
          </cell>
          <cell r="I493">
            <v>4</v>
          </cell>
          <cell r="J493" t="str">
            <v>PremiumS</v>
          </cell>
          <cell r="K493" t="str">
            <v>attack</v>
          </cell>
          <cell r="L493" t="str">
            <v>攻撃タイプ</v>
          </cell>
          <cell r="M493" t="str">
            <v>human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yellow</v>
          </cell>
          <cell r="I494">
            <v>4</v>
          </cell>
          <cell r="J494" t="str">
            <v>PremiumS</v>
          </cell>
          <cell r="K494" t="str">
            <v>attack</v>
          </cell>
          <cell r="L494" t="str">
            <v>攻撃タイプ</v>
          </cell>
          <cell r="M494" t="str">
            <v>human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yellow</v>
          </cell>
          <cell r="I495">
            <v>4</v>
          </cell>
          <cell r="J495" t="str">
            <v>PremiumS</v>
          </cell>
          <cell r="K495" t="str">
            <v>attack</v>
          </cell>
          <cell r="L495" t="str">
            <v>攻撃タイプ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yellow</v>
          </cell>
          <cell r="I496">
            <v>4</v>
          </cell>
          <cell r="J496" t="str">
            <v>PremiumS</v>
          </cell>
          <cell r="K496" t="str">
            <v>attack</v>
          </cell>
          <cell r="L496" t="str">
            <v>攻撃タイプ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yellow</v>
          </cell>
          <cell r="I497">
            <v>4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yellow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yellow</v>
          </cell>
          <cell r="I499">
            <v>4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</v>
          </cell>
          <cell r="K500" t="str">
            <v>attack</v>
          </cell>
          <cell r="L500" t="str">
            <v>攻撃タイプ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断決の鋭鋏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4</v>
          </cell>
          <cell r="J501" t="str">
            <v>PremiumS</v>
          </cell>
          <cell r="K501" t="str">
            <v>attack</v>
          </cell>
          <cell r="L501" t="str">
            <v>攻撃タイプ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脈動の禁髪 ラプンツェル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4</v>
          </cell>
          <cell r="J502" t="str">
            <v>PremiumS</v>
          </cell>
          <cell r="K502" t="str">
            <v>attack</v>
          </cell>
          <cell r="L502" t="str">
            <v>攻撃タイプ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yellow</v>
          </cell>
          <cell r="I503">
            <v>4</v>
          </cell>
          <cell r="J503" t="str">
            <v>PremiumS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yellow</v>
          </cell>
          <cell r="I504">
            <v>4</v>
          </cell>
          <cell r="J504" t="str">
            <v>PremiumS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yellow</v>
          </cell>
          <cell r="I505">
            <v>4</v>
          </cell>
          <cell r="J505" t="str">
            <v>PremiumS</v>
          </cell>
          <cell r="K505" t="str">
            <v>attack</v>
          </cell>
          <cell r="L505" t="str">
            <v>攻撃タイプ</v>
          </cell>
          <cell r="M505" t="str">
            <v>human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yellow</v>
          </cell>
          <cell r="I506">
            <v>4</v>
          </cell>
          <cell r="J506" t="str">
            <v>PremiumS</v>
          </cell>
          <cell r="K506" t="str">
            <v>attack</v>
          </cell>
          <cell r="L506" t="str">
            <v>攻撃タイプ</v>
          </cell>
          <cell r="M506" t="str">
            <v>human</v>
          </cell>
        </row>
        <row r="507">
          <cell r="A507">
            <v>506</v>
          </cell>
          <cell r="B507" t="str">
            <v>ja</v>
          </cell>
          <cell r="C507" t="str">
            <v>アイソ・レイト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yellow</v>
          </cell>
          <cell r="I507">
            <v>4</v>
          </cell>
          <cell r="J507" t="str">
            <v>PremiumS</v>
          </cell>
          <cell r="K507" t="str">
            <v>attack</v>
          </cell>
          <cell r="L507" t="str">
            <v>攻撃タイプ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アイソ・レイト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yellow</v>
          </cell>
          <cell r="I508">
            <v>4</v>
          </cell>
          <cell r="J508" t="str">
            <v>PremiumS</v>
          </cell>
          <cell r="K508" t="str">
            <v>attack</v>
          </cell>
          <cell r="L508" t="str">
            <v>攻撃タイプ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PremiumS</v>
          </cell>
          <cell r="K509" t="str">
            <v>attack</v>
          </cell>
          <cell r="L509" t="str">
            <v>攻撃タイプ</v>
          </cell>
          <cell r="M509" t="str">
            <v>human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4</v>
          </cell>
          <cell r="J510" t="str">
            <v>PremiumS</v>
          </cell>
          <cell r="K510" t="str">
            <v>attack</v>
          </cell>
          <cell r="L510" t="str">
            <v>攻撃タイプ</v>
          </cell>
          <cell r="M510" t="str">
            <v>human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yellow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yellow</v>
          </cell>
          <cell r="I512">
            <v>4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お年玉ダック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4</v>
          </cell>
          <cell r="J525" t="str">
            <v>PremiumS</v>
          </cell>
          <cell r="K525" t="str">
            <v>attack</v>
          </cell>
          <cell r="L525" t="str">
            <v>攻撃タイプ</v>
          </cell>
          <cell r="M525" t="str">
            <v>human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yellow</v>
          </cell>
          <cell r="I526">
            <v>4</v>
          </cell>
          <cell r="J526" t="str">
            <v>PremiumS</v>
          </cell>
          <cell r="K526" t="str">
            <v>attack</v>
          </cell>
          <cell r="L526" t="str">
            <v>攻撃タイプ</v>
          </cell>
          <cell r="M526" t="str">
            <v>human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yellow</v>
          </cell>
          <cell r="I527">
            <v>4</v>
          </cell>
          <cell r="J527" t="str">
            <v>PremiumS</v>
          </cell>
          <cell r="K527" t="str">
            <v>attack</v>
          </cell>
          <cell r="L527" t="str">
            <v>攻撃タイプ</v>
          </cell>
          <cell r="M527" t="str">
            <v>human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attack</v>
          </cell>
          <cell r="L528" t="str">
            <v>攻撃タイプ</v>
          </cell>
          <cell r="M528" t="str">
            <v>human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4</v>
          </cell>
          <cell r="J529" t="str">
            <v>PremiumS</v>
          </cell>
          <cell r="K529" t="str">
            <v>attack</v>
          </cell>
          <cell r="L529" t="str">
            <v>攻撃タイプ</v>
          </cell>
          <cell r="M529" t="str">
            <v>human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yellow</v>
          </cell>
          <cell r="I530">
            <v>4</v>
          </cell>
          <cell r="J530" t="str">
            <v>PremiumS</v>
          </cell>
          <cell r="K530" t="str">
            <v>attack</v>
          </cell>
          <cell r="L530" t="str">
            <v>攻撃タイプ</v>
          </cell>
          <cell r="M530" t="str">
            <v>human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yellow</v>
          </cell>
          <cell r="I531">
            <v>4</v>
          </cell>
          <cell r="J531" t="str">
            <v>PremiumS</v>
          </cell>
          <cell r="K531" t="str">
            <v>attack</v>
          </cell>
          <cell r="L531" t="str">
            <v>攻撃タイプ</v>
          </cell>
          <cell r="M531" t="str">
            <v>human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yellow</v>
          </cell>
          <cell r="I532">
            <v>4</v>
          </cell>
          <cell r="J532" t="str">
            <v>PremiumS</v>
          </cell>
          <cell r="K532" t="str">
            <v>attack</v>
          </cell>
          <cell r="L532" t="str">
            <v>攻撃タイプ</v>
          </cell>
          <cell r="M532" t="str">
            <v>human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4</v>
          </cell>
          <cell r="J533" t="str">
            <v>PremiumS</v>
          </cell>
          <cell r="K533" t="str">
            <v>attack</v>
          </cell>
          <cell r="L533" t="str">
            <v>攻撃タイプ</v>
          </cell>
          <cell r="M533" t="str">
            <v>human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yellow</v>
          </cell>
          <cell r="I534">
            <v>4</v>
          </cell>
          <cell r="J534" t="str">
            <v>PremiumS</v>
          </cell>
          <cell r="K534" t="str">
            <v>attack</v>
          </cell>
          <cell r="L534" t="str">
            <v>攻撃タイプ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yellow</v>
          </cell>
          <cell r="I535">
            <v>4</v>
          </cell>
          <cell r="J535" t="str">
            <v>PremiumS</v>
          </cell>
          <cell r="K535" t="str">
            <v>attack</v>
          </cell>
          <cell r="L535" t="str">
            <v>攻撃タイプ</v>
          </cell>
          <cell r="M535" t="str">
            <v>human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yellow</v>
          </cell>
          <cell r="I536">
            <v>4</v>
          </cell>
          <cell r="J536" t="str">
            <v>PremiumS</v>
          </cell>
          <cell r="K536" t="str">
            <v>attack</v>
          </cell>
          <cell r="L536" t="str">
            <v>攻撃タイプ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4</v>
          </cell>
          <cell r="J537" t="str">
            <v>PremiumS</v>
          </cell>
          <cell r="K537" t="str">
            <v>attack</v>
          </cell>
          <cell r="L537" t="str">
            <v>攻撃タイプ</v>
          </cell>
          <cell r="M537" t="str">
            <v>human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yellow</v>
          </cell>
          <cell r="I538">
            <v>4</v>
          </cell>
          <cell r="J538" t="str">
            <v>PremiumS</v>
          </cell>
          <cell r="K538" t="str">
            <v>attack</v>
          </cell>
          <cell r="L538" t="str">
            <v>攻撃タイプ</v>
          </cell>
          <cell r="M538" t="str">
            <v>human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4</v>
          </cell>
          <cell r="J539" t="str">
            <v>PremiumS</v>
          </cell>
          <cell r="K539" t="str">
            <v>attack</v>
          </cell>
          <cell r="L539" t="str">
            <v>攻撃タイプ</v>
          </cell>
          <cell r="M539" t="str">
            <v>human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yellow</v>
          </cell>
          <cell r="I540">
            <v>4</v>
          </cell>
          <cell r="J540" t="str">
            <v>PremiumS</v>
          </cell>
          <cell r="K540" t="str">
            <v>attack</v>
          </cell>
          <cell r="L540" t="str">
            <v>攻撃タイプ</v>
          </cell>
          <cell r="M540" t="str">
            <v>human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yellow</v>
          </cell>
          <cell r="I541">
            <v>4</v>
          </cell>
          <cell r="J541" t="str">
            <v>PremiumS</v>
          </cell>
          <cell r="K541" t="str">
            <v>attack</v>
          </cell>
          <cell r="L541" t="str">
            <v>攻撃タイプ</v>
          </cell>
          <cell r="M541" t="str">
            <v>human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yellow</v>
          </cell>
          <cell r="I542">
            <v>4</v>
          </cell>
          <cell r="J542" t="str">
            <v>PremiumS</v>
          </cell>
          <cell r="K542" t="str">
            <v>attack</v>
          </cell>
          <cell r="L542" t="str">
            <v>攻撃タイプ</v>
          </cell>
          <cell r="M542" t="str">
            <v>human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yellow</v>
          </cell>
          <cell r="I543">
            <v>4</v>
          </cell>
          <cell r="J543" t="str">
            <v>PremiumS</v>
          </cell>
          <cell r="K543" t="str">
            <v>attack</v>
          </cell>
          <cell r="L543" t="str">
            <v>攻撃タイプ</v>
          </cell>
          <cell r="M543" t="str">
            <v>human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</v>
          </cell>
          <cell r="K544" t="str">
            <v>attack</v>
          </cell>
          <cell r="L544" t="str">
            <v>攻撃タイプ</v>
          </cell>
          <cell r="M544" t="str">
            <v>human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4</v>
          </cell>
          <cell r="J545" t="str">
            <v>PremiumS</v>
          </cell>
          <cell r="K545" t="str">
            <v>attack</v>
          </cell>
          <cell r="L545" t="str">
            <v>攻撃タイプ</v>
          </cell>
          <cell r="M545" t="str">
            <v>human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</v>
          </cell>
          <cell r="K546" t="str">
            <v>attack</v>
          </cell>
          <cell r="L546" t="str">
            <v>攻撃タイプ</v>
          </cell>
          <cell r="M546" t="str">
            <v>human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4</v>
          </cell>
          <cell r="J547" t="str">
            <v>PremiumS</v>
          </cell>
          <cell r="K547" t="str">
            <v>attack</v>
          </cell>
          <cell r="L547" t="str">
            <v>攻撃タイプ</v>
          </cell>
          <cell r="M547" t="str">
            <v>human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yellow</v>
          </cell>
          <cell r="I548">
            <v>4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human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yellow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human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yellow</v>
          </cell>
          <cell r="I550">
            <v>4</v>
          </cell>
          <cell r="J550" t="str">
            <v>PremiumS</v>
          </cell>
          <cell r="K550" t="str">
            <v>attack</v>
          </cell>
          <cell r="L550" t="str">
            <v>攻撃タイプ</v>
          </cell>
          <cell r="M550" t="str">
            <v>human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yellow</v>
          </cell>
          <cell r="I551">
            <v>4</v>
          </cell>
          <cell r="J551" t="str">
            <v>PremiumS</v>
          </cell>
          <cell r="K551" t="str">
            <v>attack</v>
          </cell>
          <cell r="L551" t="str">
            <v>攻撃タイプ</v>
          </cell>
          <cell r="M551" t="str">
            <v>human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yellow</v>
          </cell>
          <cell r="I552">
            <v>4</v>
          </cell>
          <cell r="J552" t="str">
            <v>PremiumS</v>
          </cell>
          <cell r="K552" t="str">
            <v>attack</v>
          </cell>
          <cell r="L552" t="str">
            <v>攻撃タイプ</v>
          </cell>
          <cell r="M552" t="str">
            <v>human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yellow</v>
          </cell>
          <cell r="I553">
            <v>4</v>
          </cell>
          <cell r="J553" t="str">
            <v>PremiumS</v>
          </cell>
          <cell r="K553" t="str">
            <v>attack</v>
          </cell>
          <cell r="L553" t="str">
            <v>攻撃タイプ</v>
          </cell>
          <cell r="M553" t="str">
            <v>human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yellow</v>
          </cell>
          <cell r="I554">
            <v>4</v>
          </cell>
          <cell r="J554" t="str">
            <v>PremiumS</v>
          </cell>
          <cell r="K554" t="str">
            <v>attack</v>
          </cell>
          <cell r="L554" t="str">
            <v>攻撃タイプ</v>
          </cell>
          <cell r="M554" t="str">
            <v>human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yellow</v>
          </cell>
          <cell r="I555">
            <v>4</v>
          </cell>
          <cell r="J555" t="str">
            <v>PremiumS</v>
          </cell>
          <cell r="K555" t="str">
            <v>attack</v>
          </cell>
          <cell r="L555" t="str">
            <v>攻撃タイプ</v>
          </cell>
          <cell r="M555" t="str">
            <v>human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yellow</v>
          </cell>
          <cell r="I556">
            <v>4</v>
          </cell>
          <cell r="J556" t="str">
            <v>PremiumS</v>
          </cell>
          <cell r="K556" t="str">
            <v>attack</v>
          </cell>
          <cell r="L556" t="str">
            <v>攻撃タイプ</v>
          </cell>
          <cell r="M556" t="str">
            <v>human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yellow</v>
          </cell>
          <cell r="I557">
            <v>4</v>
          </cell>
          <cell r="J557" t="str">
            <v>PremiumS</v>
          </cell>
          <cell r="K557" t="str">
            <v>attack</v>
          </cell>
          <cell r="L557" t="str">
            <v>攻撃タイプ</v>
          </cell>
          <cell r="M557" t="str">
            <v>human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yellow</v>
          </cell>
          <cell r="I558">
            <v>4</v>
          </cell>
          <cell r="J558" t="str">
            <v>PremiumS</v>
          </cell>
          <cell r="K558" t="str">
            <v>attack</v>
          </cell>
          <cell r="L558" t="str">
            <v>攻撃タイプ</v>
          </cell>
          <cell r="M558" t="str">
            <v>human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yellow</v>
          </cell>
          <cell r="I559">
            <v>4</v>
          </cell>
          <cell r="J559" t="str">
            <v>PremiumS</v>
          </cell>
          <cell r="K559" t="str">
            <v>attack</v>
          </cell>
          <cell r="L559" t="str">
            <v>攻撃タイプ</v>
          </cell>
          <cell r="M559" t="str">
            <v>human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yellow</v>
          </cell>
          <cell r="I560">
            <v>4</v>
          </cell>
          <cell r="J560" t="str">
            <v>PremiumS</v>
          </cell>
          <cell r="K560" t="str">
            <v>attack</v>
          </cell>
          <cell r="L560" t="str">
            <v>攻撃タイプ</v>
          </cell>
          <cell r="M560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J3" sqref="J3"/>
    </sheetView>
  </sheetViews>
  <sheetFormatPr baseColWidth="12" defaultRowHeight="18" x14ac:dyDescent="0"/>
  <cols>
    <col min="1" max="1" width="12.83203125" style="26"/>
    <col min="2" max="2" width="14.83203125" style="26" bestFit="1" customWidth="1"/>
    <col min="3" max="4" width="12.83203125" style="26"/>
    <col min="5" max="5" width="24.5" style="26" customWidth="1"/>
    <col min="6" max="6" width="22.1640625" style="26" bestFit="1" customWidth="1"/>
    <col min="7" max="16384" width="12.83203125" style="26"/>
  </cols>
  <sheetData>
    <row r="1" spans="1:15">
      <c r="A1" s="36" t="s">
        <v>70</v>
      </c>
      <c r="B1" s="24" t="s">
        <v>54</v>
      </c>
      <c r="C1" s="24" t="s">
        <v>55</v>
      </c>
      <c r="D1" s="24" t="s">
        <v>56</v>
      </c>
      <c r="E1" s="24" t="s">
        <v>57</v>
      </c>
      <c r="F1" s="24" t="s">
        <v>58</v>
      </c>
      <c r="G1" s="24" t="s">
        <v>59</v>
      </c>
      <c r="H1" s="24"/>
      <c r="I1" s="24"/>
      <c r="J1" s="24"/>
      <c r="K1" s="24"/>
      <c r="L1" s="25"/>
      <c r="M1" s="25"/>
      <c r="N1" s="25"/>
      <c r="O1" s="25"/>
    </row>
    <row r="2" spans="1:15">
      <c r="A2" s="37" t="s">
        <v>71</v>
      </c>
      <c r="B2" s="27" t="s">
        <v>67</v>
      </c>
      <c r="C2" s="27" t="str">
        <f ca="1">MID(
  CELL("filename",B1),
  FIND("New_",CELL("filename",B1))+4,
  FIND(".xlsm",CELL("filename",B1))-FIND("New_",CELL("filename",B1))-4
)</f>
        <v>162</v>
      </c>
      <c r="D2" s="27" t="s">
        <v>60</v>
      </c>
      <c r="E2" s="25" t="str">
        <f ca="1">B2&amp;C2&amp;D2</f>
        <v>gacha_select_tables_162.tmp</v>
      </c>
      <c r="F2" s="27" t="s">
        <v>62</v>
      </c>
      <c r="G2" s="29" t="s">
        <v>21</v>
      </c>
      <c r="H2" s="30" t="s">
        <v>0</v>
      </c>
      <c r="I2" s="30" t="s">
        <v>11</v>
      </c>
      <c r="J2" s="30" t="s">
        <v>12</v>
      </c>
      <c r="K2" s="30" t="s">
        <v>13</v>
      </c>
      <c r="L2" s="30" t="s">
        <v>14</v>
      </c>
      <c r="M2" s="30" t="s">
        <v>15</v>
      </c>
      <c r="N2" s="30" t="s">
        <v>16</v>
      </c>
      <c r="O2" s="30" t="s">
        <v>17</v>
      </c>
    </row>
    <row r="3" spans="1:15">
      <c r="A3" s="37" t="s">
        <v>71</v>
      </c>
      <c r="B3" s="35" t="s">
        <v>68</v>
      </c>
      <c r="C3" s="27" t="str">
        <f ca="1">MID(
  CELL("filename",B2),
  FIND("New_",CELL("filename",B2))+4,
  FIND(".xlsm",CELL("filename",B2))-FIND("New_",CELL("filename",B2))-4
)</f>
        <v>162</v>
      </c>
      <c r="D3" s="27" t="s">
        <v>61</v>
      </c>
      <c r="E3" s="25" t="str">
        <f ca="1">B3&amp;C3&amp;D3</f>
        <v>gacha_settle_tables_162.tmp</v>
      </c>
      <c r="F3" s="27" t="s">
        <v>63</v>
      </c>
      <c r="G3" s="29" t="s">
        <v>21</v>
      </c>
      <c r="H3" s="30" t="s">
        <v>0</v>
      </c>
      <c r="I3" s="30" t="s">
        <v>11</v>
      </c>
      <c r="J3" s="30" t="s">
        <v>12</v>
      </c>
      <c r="K3" s="30" t="s">
        <v>13</v>
      </c>
      <c r="L3" s="30" t="s">
        <v>14</v>
      </c>
      <c r="M3" s="30" t="s">
        <v>15</v>
      </c>
      <c r="N3" s="30" t="s">
        <v>16</v>
      </c>
      <c r="O3" s="30" t="s">
        <v>17</v>
      </c>
    </row>
    <row r="4" spans="1:15">
      <c r="A4" s="37" t="s">
        <v>71</v>
      </c>
      <c r="B4" s="35" t="s">
        <v>69</v>
      </c>
      <c r="C4" s="27" t="str">
        <f ca="1">MID(
  CELL("filename",B3),
  FIND("New_",CELL("filename",B3))+4,
  FIND(".xlsm",CELL("filename",B3))-FIND("New_",CELL("filename",B3))-4
)</f>
        <v>162</v>
      </c>
      <c r="D4" s="27" t="s">
        <v>61</v>
      </c>
      <c r="E4" s="25" t="str">
        <f ca="1">B4&amp;C4&amp;D4</f>
        <v>gacha_bonus_tables_162.tmp</v>
      </c>
      <c r="F4" s="27" t="s">
        <v>64</v>
      </c>
      <c r="G4" s="29" t="s">
        <v>23</v>
      </c>
      <c r="H4" s="31" t="s">
        <v>26</v>
      </c>
      <c r="I4" s="29" t="s">
        <v>24</v>
      </c>
      <c r="J4" s="28"/>
      <c r="K4" s="28"/>
      <c r="L4" s="28"/>
      <c r="M4" s="28"/>
      <c r="N4" s="28"/>
      <c r="O4" s="28"/>
    </row>
    <row r="5" spans="1:15">
      <c r="A5" s="37" t="s">
        <v>71</v>
      </c>
      <c r="B5" s="27" t="s">
        <v>65</v>
      </c>
      <c r="C5" s="27" t="str">
        <f ca="1">MID(
  CELL("filename",B4),
  FIND("New_",CELL("filename",B4))+4,
  FIND(".xlsm",CELL("filename",B4))-FIND("New_",CELL("filename",B4))-4
)</f>
        <v>162</v>
      </c>
      <c r="D5" s="27" t="s">
        <v>61</v>
      </c>
      <c r="E5" s="25" t="str">
        <f ca="1">B5&amp;C5&amp;D5</f>
        <v>gifts_tmp_162.tmp</v>
      </c>
      <c r="F5" s="27" t="s">
        <v>64</v>
      </c>
      <c r="G5" s="31" t="s">
        <v>34</v>
      </c>
      <c r="H5" s="32" t="s">
        <v>42</v>
      </c>
      <c r="I5" s="31" t="s">
        <v>35</v>
      </c>
      <c r="J5" s="31" t="s">
        <v>36</v>
      </c>
      <c r="K5" s="31" t="s">
        <v>36</v>
      </c>
      <c r="L5" s="31" t="s">
        <v>37</v>
      </c>
      <c r="M5" s="31" t="s">
        <v>37</v>
      </c>
      <c r="N5" s="31" t="s">
        <v>37</v>
      </c>
      <c r="O5" s="27"/>
    </row>
    <row r="6" spans="1:15">
      <c r="A6" s="37" t="s">
        <v>71</v>
      </c>
      <c r="B6" s="27" t="s">
        <v>66</v>
      </c>
      <c r="C6" s="27" t="str">
        <f ca="1">MID(
  CELL("filename",B5),
  FIND("New_",CELL("filename",B5))+4,
  FIND(".xlsm",CELL("filename",B5))-FIND("New_",CELL("filename",B5))-4
)</f>
        <v>162</v>
      </c>
      <c r="D6" s="27" t="s">
        <v>61</v>
      </c>
      <c r="E6" s="25" t="str">
        <f ca="1">B6&amp;C6&amp;D6</f>
        <v>gifts_i18n_162.tmp</v>
      </c>
      <c r="F6" s="27" t="s">
        <v>64</v>
      </c>
      <c r="G6" s="31" t="s">
        <v>25</v>
      </c>
      <c r="H6" s="33" t="s">
        <v>38</v>
      </c>
      <c r="I6" s="33" t="s">
        <v>39</v>
      </c>
      <c r="J6" s="33" t="s">
        <v>40</v>
      </c>
      <c r="K6" s="33" t="s">
        <v>41</v>
      </c>
      <c r="L6" s="34"/>
      <c r="M6" s="31"/>
      <c r="N6" s="31"/>
      <c r="O6" s="27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E45"/>
  <sheetViews>
    <sheetView workbookViewId="0">
      <selection activeCell="C35" sqref="C35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7" t="str">
        <f>0&amp;C2&amp;D2</f>
        <v>0</v>
      </c>
      <c r="C2" s="38"/>
    </row>
    <row r="3" spans="1:5">
      <c r="A3" s="17" t="str">
        <f t="shared" ref="A3:A13" si="0">0&amp;C3&amp;D3&amp;E3</f>
        <v>0PremiumW4</v>
      </c>
      <c r="B3">
        <v>9082</v>
      </c>
      <c r="C3" s="39" t="s">
        <v>72</v>
      </c>
      <c r="D3">
        <v>4</v>
      </c>
    </row>
    <row r="4" spans="1:5">
      <c r="A4" s="17" t="str">
        <f t="shared" si="0"/>
        <v>0PremiumN4</v>
      </c>
      <c r="B4">
        <v>17073</v>
      </c>
      <c r="C4" s="39" t="s">
        <v>73</v>
      </c>
      <c r="D4">
        <v>4</v>
      </c>
    </row>
    <row r="5" spans="1:5">
      <c r="A5" s="17" t="str">
        <f t="shared" si="0"/>
        <v>0PremiumS4</v>
      </c>
      <c r="B5">
        <v>17073</v>
      </c>
      <c r="C5" s="39" t="s">
        <v>74</v>
      </c>
      <c r="D5">
        <v>4</v>
      </c>
    </row>
    <row r="6" spans="1:5">
      <c r="A6" s="17" t="str">
        <f t="shared" si="0"/>
        <v>0PremiumS4pick</v>
      </c>
      <c r="B6">
        <v>18800</v>
      </c>
      <c r="C6" s="39" t="s">
        <v>83</v>
      </c>
      <c r="D6">
        <v>4</v>
      </c>
      <c r="E6" t="s">
        <v>80</v>
      </c>
    </row>
    <row r="7" spans="1:5">
      <c r="A7" s="17" t="str">
        <f t="shared" si="0"/>
        <v>0PremiumSS4</v>
      </c>
      <c r="B7">
        <v>783</v>
      </c>
      <c r="C7" s="39" t="s">
        <v>75</v>
      </c>
      <c r="D7">
        <v>4</v>
      </c>
    </row>
    <row r="8" spans="1:5">
      <c r="A8" s="17" t="str">
        <f t="shared" si="0"/>
        <v>0PremiumSS4pick</v>
      </c>
      <c r="B8">
        <v>18800</v>
      </c>
      <c r="C8" s="39" t="s">
        <v>84</v>
      </c>
      <c r="D8">
        <v>4</v>
      </c>
      <c r="E8" t="s">
        <v>80</v>
      </c>
    </row>
    <row r="9" spans="1:5">
      <c r="A9" s="17" t="str">
        <f t="shared" si="0"/>
        <v>0PremiumN5</v>
      </c>
      <c r="B9">
        <v>1090</v>
      </c>
      <c r="C9" s="40" t="s">
        <v>73</v>
      </c>
      <c r="D9">
        <v>5</v>
      </c>
    </row>
    <row r="10" spans="1:5">
      <c r="A10" s="17" t="str">
        <f t="shared" si="0"/>
        <v>0PremiumS5</v>
      </c>
      <c r="B10">
        <v>1090</v>
      </c>
      <c r="C10" s="39" t="s">
        <v>74</v>
      </c>
      <c r="D10">
        <v>5</v>
      </c>
    </row>
    <row r="11" spans="1:5">
      <c r="A11" s="17" t="str">
        <f t="shared" si="0"/>
        <v>0PremiumS5pick</v>
      </c>
      <c r="B11">
        <v>1200</v>
      </c>
      <c r="C11" s="39" t="s">
        <v>83</v>
      </c>
      <c r="D11">
        <v>5</v>
      </c>
      <c r="E11" t="s">
        <v>80</v>
      </c>
    </row>
    <row r="12" spans="1:5">
      <c r="A12" s="17" t="str">
        <f t="shared" si="0"/>
        <v>0PremiumSS5</v>
      </c>
      <c r="B12">
        <v>50</v>
      </c>
      <c r="C12" s="39" t="s">
        <v>75</v>
      </c>
      <c r="D12">
        <v>5</v>
      </c>
    </row>
    <row r="13" spans="1:5">
      <c r="A13" s="17" t="str">
        <f t="shared" si="0"/>
        <v>0PremiumSS5pick</v>
      </c>
      <c r="B13">
        <v>1200</v>
      </c>
      <c r="C13" s="39" t="s">
        <v>84</v>
      </c>
      <c r="D13">
        <v>5</v>
      </c>
      <c r="E13" t="s">
        <v>80</v>
      </c>
    </row>
    <row r="14" spans="1:5">
      <c r="A14" s="17"/>
      <c r="C14" s="39"/>
    </row>
    <row r="15" spans="1:5">
      <c r="A15" s="17"/>
      <c r="C15" s="40"/>
    </row>
    <row r="16" spans="1:5">
      <c r="A16" s="17"/>
    </row>
    <row r="17" spans="1:5">
      <c r="A17" s="17"/>
    </row>
    <row r="18" spans="1:5">
      <c r="A18" s="17"/>
    </row>
    <row r="19" spans="1:5">
      <c r="A19" s="10"/>
    </row>
    <row r="20" spans="1:5">
      <c r="A20" s="10" t="str">
        <f t="shared" ref="A20:A34" si="1">1&amp;C20&amp;D20&amp;E20</f>
        <v>1PremiumW3</v>
      </c>
      <c r="B20">
        <v>16187</v>
      </c>
      <c r="C20" t="s">
        <v>72</v>
      </c>
      <c r="D20">
        <v>3</v>
      </c>
    </row>
    <row r="21" spans="1:5">
      <c r="A21" s="10" t="str">
        <f t="shared" si="1"/>
        <v>1PremiumN3</v>
      </c>
      <c r="B21">
        <v>24280</v>
      </c>
      <c r="C21" t="s">
        <v>73</v>
      </c>
      <c r="D21">
        <v>3</v>
      </c>
    </row>
    <row r="22" spans="1:5">
      <c r="A22" s="10" t="str">
        <f t="shared" si="1"/>
        <v>1PremiumS3</v>
      </c>
      <c r="B22">
        <v>25558</v>
      </c>
      <c r="C22" t="s">
        <v>74</v>
      </c>
      <c r="D22">
        <v>3</v>
      </c>
    </row>
    <row r="23" spans="1:5">
      <c r="A23" s="10" t="str">
        <f t="shared" si="1"/>
        <v>1PremiumS3pick</v>
      </c>
      <c r="B23">
        <v>29100</v>
      </c>
      <c r="C23" t="s">
        <v>83</v>
      </c>
      <c r="D23">
        <v>3</v>
      </c>
      <c r="E23" t="s">
        <v>81</v>
      </c>
    </row>
    <row r="24" spans="1:5">
      <c r="A24" s="10" t="str">
        <f t="shared" si="1"/>
        <v>1PremiumW4</v>
      </c>
      <c r="B24">
        <v>5396</v>
      </c>
      <c r="C24" t="s">
        <v>72</v>
      </c>
      <c r="D24">
        <v>4</v>
      </c>
    </row>
    <row r="25" spans="1:5">
      <c r="A25" s="10" t="str">
        <f t="shared" si="1"/>
        <v>1PremiumN4</v>
      </c>
      <c r="B25">
        <v>5989</v>
      </c>
      <c r="C25" t="s">
        <v>73</v>
      </c>
      <c r="D25">
        <v>4</v>
      </c>
    </row>
    <row r="26" spans="1:5">
      <c r="A26" s="10" t="str">
        <f t="shared" si="1"/>
        <v>1PremiumS4</v>
      </c>
      <c r="B26">
        <v>6304</v>
      </c>
      <c r="C26" t="s">
        <v>74</v>
      </c>
      <c r="D26">
        <v>4</v>
      </c>
    </row>
    <row r="27" spans="1:5">
      <c r="A27" s="10" t="str">
        <f t="shared" si="1"/>
        <v>1PremiumS4pick</v>
      </c>
      <c r="B27">
        <v>7178</v>
      </c>
      <c r="C27" t="s">
        <v>83</v>
      </c>
      <c r="D27">
        <v>4</v>
      </c>
      <c r="E27" t="s">
        <v>80</v>
      </c>
    </row>
    <row r="28" spans="1:5">
      <c r="A28" s="10" t="str">
        <f t="shared" si="1"/>
        <v>1PremiumSS4</v>
      </c>
      <c r="B28">
        <v>1512</v>
      </c>
      <c r="C28" t="s">
        <v>75</v>
      </c>
      <c r="D28">
        <v>4</v>
      </c>
    </row>
    <row r="29" spans="1:5">
      <c r="A29" s="10" t="str">
        <f t="shared" si="1"/>
        <v>1PremiumSS4pick</v>
      </c>
      <c r="B29">
        <v>36278</v>
      </c>
      <c r="C29" t="s">
        <v>84</v>
      </c>
      <c r="D29">
        <v>4</v>
      </c>
      <c r="E29" t="s">
        <v>80</v>
      </c>
    </row>
    <row r="30" spans="1:5">
      <c r="A30" s="10" t="str">
        <f t="shared" si="1"/>
        <v>1PremiumN5</v>
      </c>
      <c r="B30">
        <v>2104</v>
      </c>
      <c r="C30" t="s">
        <v>73</v>
      </c>
      <c r="D30">
        <v>5</v>
      </c>
    </row>
    <row r="31" spans="1:5">
      <c r="A31" s="10" t="str">
        <f t="shared" si="1"/>
        <v>1PremiumS5</v>
      </c>
      <c r="B31">
        <v>2215</v>
      </c>
      <c r="C31" t="s">
        <v>74</v>
      </c>
      <c r="D31">
        <v>5</v>
      </c>
    </row>
    <row r="32" spans="1:5">
      <c r="A32" s="10" t="str">
        <f t="shared" si="1"/>
        <v>1PremiumS5pick</v>
      </c>
      <c r="B32">
        <v>2522</v>
      </c>
      <c r="C32" t="s">
        <v>83</v>
      </c>
      <c r="D32">
        <v>5</v>
      </c>
      <c r="E32" t="s">
        <v>82</v>
      </c>
    </row>
    <row r="33" spans="1:5">
      <c r="A33" s="10" t="str">
        <f t="shared" si="1"/>
        <v>1PremiumSS5</v>
      </c>
      <c r="B33">
        <v>105</v>
      </c>
      <c r="C33" t="s">
        <v>75</v>
      </c>
      <c r="D33">
        <v>5</v>
      </c>
    </row>
    <row r="34" spans="1:5">
      <c r="A34" s="10" t="str">
        <f t="shared" si="1"/>
        <v>1PremiumSS5pick</v>
      </c>
      <c r="B34">
        <v>2522</v>
      </c>
      <c r="C34" t="s">
        <v>84</v>
      </c>
      <c r="D34">
        <v>5</v>
      </c>
      <c r="E34" t="s">
        <v>80</v>
      </c>
    </row>
    <row r="35" spans="1:5">
      <c r="A35" s="10"/>
    </row>
    <row r="36" spans="1:5">
      <c r="A36" s="10"/>
    </row>
    <row r="37" spans="1:5">
      <c r="A37" s="10"/>
    </row>
    <row r="38" spans="1:5">
      <c r="A38" s="10"/>
    </row>
    <row r="39" spans="1:5">
      <c r="A39" s="10"/>
    </row>
    <row r="40" spans="1:5">
      <c r="A40" s="10"/>
    </row>
    <row r="41" spans="1:5">
      <c r="A41" s="10"/>
    </row>
    <row r="42" spans="1:5">
      <c r="A42" s="10"/>
    </row>
    <row r="43" spans="1:5">
      <c r="A43" s="10"/>
    </row>
    <row r="44" spans="1:5">
      <c r="A44" s="10"/>
    </row>
    <row r="45" spans="1:5">
      <c r="A45" s="10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27"/>
  <sheetViews>
    <sheetView showGridLines="0" tabSelected="1" zoomScale="75" zoomScaleNormal="75" zoomScalePageLayoutView="75" workbookViewId="0">
      <pane ySplit="1" topLeftCell="A2" activePane="bottomLeft" state="frozen"/>
      <selection activeCell="M24" sqref="M24"/>
      <selection pane="bottomLeft" activeCell="B300" sqref="B300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3.1640625" style="1" bestFit="1" customWidth="1"/>
    <col min="14" max="14" width="11.33203125" style="1" bestFit="1" customWidth="1"/>
    <col min="15" max="16384" width="12.83203125" style="1"/>
  </cols>
  <sheetData>
    <row r="1" spans="1:19" ht="21" customHeight="1">
      <c r="A1" s="7" t="s">
        <v>10</v>
      </c>
      <c r="B1" s="19" t="s">
        <v>20</v>
      </c>
      <c r="C1" s="3" t="s">
        <v>43</v>
      </c>
      <c r="D1" s="3" t="s">
        <v>44</v>
      </c>
      <c r="E1" s="23" t="s">
        <v>45</v>
      </c>
      <c r="F1" s="23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3" t="s">
        <v>52</v>
      </c>
      <c r="N1" s="23" t="s">
        <v>53</v>
      </c>
      <c r="O1" s="9" t="s">
        <v>13</v>
      </c>
      <c r="P1" s="9" t="s">
        <v>14</v>
      </c>
      <c r="Q1" s="9" t="s">
        <v>15</v>
      </c>
      <c r="R1" s="9" t="s">
        <v>16</v>
      </c>
      <c r="S1" s="9" t="s">
        <v>17</v>
      </c>
    </row>
    <row r="2" spans="1:19" ht="21" customHeight="1">
      <c r="A2" s="7" t="str">
        <f>B2&amp;F2</f>
        <v>1621126</v>
      </c>
      <c r="B2" s="2" t="str">
        <f>162&amp;E2</f>
        <v>1621</v>
      </c>
      <c r="C2" s="8" t="str">
        <f t="shared" ref="C2" si="0">E2&amp;H2&amp;I2</f>
        <v>1PremiumW3</v>
      </c>
      <c r="D2" s="8" t="str">
        <f t="shared" ref="D2:D65" si="1">E2&amp;H2&amp;I2</f>
        <v>1PremiumW3</v>
      </c>
      <c r="E2" s="11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5">
        <v>1</v>
      </c>
      <c r="N2" s="18">
        <f>VLOOKUP(D2,gacha_162_base!A:B,2,FALSE)</f>
        <v>16187</v>
      </c>
      <c r="O2" s="14">
        <v>0</v>
      </c>
      <c r="P2" s="14">
        <v>0</v>
      </c>
      <c r="Q2" s="14">
        <v>0</v>
      </c>
      <c r="R2" s="14">
        <v>0</v>
      </c>
      <c r="S2" s="14">
        <v>1</v>
      </c>
    </row>
    <row r="3" spans="1:19" ht="21" customHeight="1">
      <c r="A3" s="7" t="str">
        <f t="shared" ref="A3:A66" si="2">B3&amp;F3</f>
        <v>1621127</v>
      </c>
      <c r="B3" s="2" t="str">
        <f t="shared" ref="B3:B66" si="3">162&amp;E3</f>
        <v>1621</v>
      </c>
      <c r="C3" s="8" t="str">
        <f t="shared" ref="C3:C66" si="4">E3&amp;H3&amp;I3</f>
        <v>1PremiumW4</v>
      </c>
      <c r="D3" s="8" t="str">
        <f t="shared" si="1"/>
        <v>1PremiumW4</v>
      </c>
      <c r="E3" s="11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5">
        <v>1</v>
      </c>
      <c r="N3" s="18">
        <f>VLOOKUP(D3,gacha_162_base!A:B,2,FALSE)</f>
        <v>5396</v>
      </c>
      <c r="O3" s="14">
        <v>0</v>
      </c>
      <c r="P3" s="14">
        <v>0</v>
      </c>
      <c r="Q3" s="14">
        <v>0</v>
      </c>
      <c r="R3" s="14">
        <v>0</v>
      </c>
      <c r="S3" s="14">
        <v>1</v>
      </c>
    </row>
    <row r="4" spans="1:19" ht="21" customHeight="1">
      <c r="A4" s="7" t="str">
        <f t="shared" si="2"/>
        <v>1621128</v>
      </c>
      <c r="B4" s="2" t="str">
        <f t="shared" si="3"/>
        <v>1621</v>
      </c>
      <c r="C4" s="8" t="str">
        <f t="shared" si="4"/>
        <v>1PremiumW3</v>
      </c>
      <c r="D4" s="8" t="str">
        <f t="shared" si="1"/>
        <v>1PremiumW3</v>
      </c>
      <c r="E4" s="11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5">
        <v>1</v>
      </c>
      <c r="N4" s="18">
        <f>VLOOKUP(D4,gacha_162_base!A:B,2,FALSE)</f>
        <v>16187</v>
      </c>
      <c r="O4" s="14">
        <v>0</v>
      </c>
      <c r="P4" s="14">
        <v>0</v>
      </c>
      <c r="Q4" s="14">
        <v>0</v>
      </c>
      <c r="R4" s="14">
        <v>0</v>
      </c>
      <c r="S4" s="14">
        <v>1</v>
      </c>
    </row>
    <row r="5" spans="1:19" ht="21" customHeight="1">
      <c r="A5" s="7" t="str">
        <f t="shared" si="2"/>
        <v>1621129</v>
      </c>
      <c r="B5" s="2" t="str">
        <f t="shared" si="3"/>
        <v>1621</v>
      </c>
      <c r="C5" s="8" t="str">
        <f t="shared" si="4"/>
        <v>1PremiumW4</v>
      </c>
      <c r="D5" s="8" t="str">
        <f t="shared" si="1"/>
        <v>1PremiumW4</v>
      </c>
      <c r="E5" s="11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5">
        <v>1</v>
      </c>
      <c r="N5" s="18">
        <f>VLOOKUP(D5,gacha_162_base!A:B,2,FALSE)</f>
        <v>5396</v>
      </c>
      <c r="O5" s="14">
        <v>0</v>
      </c>
      <c r="P5" s="14">
        <v>0</v>
      </c>
      <c r="Q5" s="14">
        <v>0</v>
      </c>
      <c r="R5" s="14">
        <v>0</v>
      </c>
      <c r="S5" s="14">
        <v>1</v>
      </c>
    </row>
    <row r="6" spans="1:19" ht="21" customHeight="1">
      <c r="A6" s="7" t="str">
        <f t="shared" si="2"/>
        <v>1621130</v>
      </c>
      <c r="B6" s="2" t="str">
        <f t="shared" si="3"/>
        <v>1621</v>
      </c>
      <c r="C6" s="8" t="str">
        <f t="shared" si="4"/>
        <v>1PremiumW3</v>
      </c>
      <c r="D6" s="8" t="str">
        <f t="shared" si="1"/>
        <v>1PremiumW3</v>
      </c>
      <c r="E6" s="11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5">
        <v>1</v>
      </c>
      <c r="N6" s="18">
        <f>VLOOKUP(D6,gacha_162_base!A:B,2,FALSE)</f>
        <v>16187</v>
      </c>
      <c r="O6" s="14">
        <v>0</v>
      </c>
      <c r="P6" s="14">
        <v>0</v>
      </c>
      <c r="Q6" s="14">
        <v>0</v>
      </c>
      <c r="R6" s="14">
        <v>0</v>
      </c>
      <c r="S6" s="14">
        <v>1</v>
      </c>
    </row>
    <row r="7" spans="1:19" ht="21" customHeight="1">
      <c r="A7" s="7" t="str">
        <f t="shared" si="2"/>
        <v>1621131</v>
      </c>
      <c r="B7" s="2" t="str">
        <f t="shared" si="3"/>
        <v>1621</v>
      </c>
      <c r="C7" s="8" t="str">
        <f t="shared" si="4"/>
        <v>1PremiumW4</v>
      </c>
      <c r="D7" s="8" t="str">
        <f t="shared" si="1"/>
        <v>1PremiumW4</v>
      </c>
      <c r="E7" s="11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5">
        <v>1</v>
      </c>
      <c r="N7" s="18">
        <f>VLOOKUP(D7,gacha_162_base!A:B,2,FALSE)</f>
        <v>5396</v>
      </c>
      <c r="O7" s="14">
        <v>0</v>
      </c>
      <c r="P7" s="14">
        <v>0</v>
      </c>
      <c r="Q7" s="14">
        <v>0</v>
      </c>
      <c r="R7" s="14">
        <v>0</v>
      </c>
      <c r="S7" s="14">
        <v>1</v>
      </c>
    </row>
    <row r="8" spans="1:19" ht="21" customHeight="1">
      <c r="A8" s="7" t="str">
        <f t="shared" si="2"/>
        <v>1621132</v>
      </c>
      <c r="B8" s="2" t="str">
        <f t="shared" si="3"/>
        <v>1621</v>
      </c>
      <c r="C8" s="8" t="str">
        <f t="shared" si="4"/>
        <v>1PremiumW3</v>
      </c>
      <c r="D8" s="8" t="str">
        <f t="shared" si="1"/>
        <v>1PremiumW3</v>
      </c>
      <c r="E8" s="11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5">
        <v>1</v>
      </c>
      <c r="N8" s="18">
        <f>VLOOKUP(D8,gacha_162_base!A:B,2,FALSE)</f>
        <v>16187</v>
      </c>
      <c r="O8" s="14">
        <v>0</v>
      </c>
      <c r="P8" s="14">
        <v>0</v>
      </c>
      <c r="Q8" s="14">
        <v>0</v>
      </c>
      <c r="R8" s="14">
        <v>0</v>
      </c>
      <c r="S8" s="14">
        <v>1</v>
      </c>
    </row>
    <row r="9" spans="1:19" ht="21" customHeight="1">
      <c r="A9" s="7" t="str">
        <f t="shared" si="2"/>
        <v>1621133</v>
      </c>
      <c r="B9" s="2" t="str">
        <f t="shared" si="3"/>
        <v>1621</v>
      </c>
      <c r="C9" s="8" t="str">
        <f t="shared" si="4"/>
        <v>1PremiumW4</v>
      </c>
      <c r="D9" s="8" t="str">
        <f t="shared" si="1"/>
        <v>1PremiumW4</v>
      </c>
      <c r="E9" s="11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5">
        <v>1</v>
      </c>
      <c r="N9" s="18">
        <f>VLOOKUP(D9,gacha_162_base!A:B,2,FALSE)</f>
        <v>5396</v>
      </c>
      <c r="O9" s="14">
        <v>0</v>
      </c>
      <c r="P9" s="14">
        <v>0</v>
      </c>
      <c r="Q9" s="14">
        <v>0</v>
      </c>
      <c r="R9" s="14">
        <v>0</v>
      </c>
      <c r="S9" s="14">
        <v>1</v>
      </c>
    </row>
    <row r="10" spans="1:19" ht="21" customHeight="1">
      <c r="A10" s="7" t="str">
        <f t="shared" si="2"/>
        <v>1621134</v>
      </c>
      <c r="B10" s="2" t="str">
        <f t="shared" si="3"/>
        <v>1621</v>
      </c>
      <c r="C10" s="8" t="str">
        <f t="shared" si="4"/>
        <v>1PremiumW3</v>
      </c>
      <c r="D10" s="8" t="str">
        <f t="shared" si="1"/>
        <v>1PremiumW3</v>
      </c>
      <c r="E10" s="11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5">
        <v>1</v>
      </c>
      <c r="N10" s="18">
        <f>VLOOKUP(D10,gacha_162_base!A:B,2,FALSE)</f>
        <v>16187</v>
      </c>
      <c r="O10" s="14">
        <v>0</v>
      </c>
      <c r="P10" s="14">
        <v>0</v>
      </c>
      <c r="Q10" s="14">
        <v>0</v>
      </c>
      <c r="R10" s="14">
        <v>0</v>
      </c>
      <c r="S10" s="14">
        <v>1</v>
      </c>
    </row>
    <row r="11" spans="1:19" ht="21" customHeight="1">
      <c r="A11" s="7" t="str">
        <f t="shared" si="2"/>
        <v>1621135</v>
      </c>
      <c r="B11" s="2" t="str">
        <f t="shared" si="3"/>
        <v>1621</v>
      </c>
      <c r="C11" s="8" t="str">
        <f t="shared" si="4"/>
        <v>1PremiumW4</v>
      </c>
      <c r="D11" s="8" t="str">
        <f t="shared" si="1"/>
        <v>1PremiumW4</v>
      </c>
      <c r="E11" s="11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5">
        <v>1</v>
      </c>
      <c r="N11" s="18">
        <f>VLOOKUP(D11,gacha_162_base!A:B,2,FALSE)</f>
        <v>5396</v>
      </c>
      <c r="O11" s="14">
        <v>0</v>
      </c>
      <c r="P11" s="14">
        <v>0</v>
      </c>
      <c r="Q11" s="14">
        <v>0</v>
      </c>
      <c r="R11" s="14">
        <v>0</v>
      </c>
      <c r="S11" s="14">
        <v>1</v>
      </c>
    </row>
    <row r="12" spans="1:19" ht="21" customHeight="1">
      <c r="A12" s="7" t="str">
        <f t="shared" si="2"/>
        <v>1621136</v>
      </c>
      <c r="B12" s="2" t="str">
        <f t="shared" si="3"/>
        <v>1621</v>
      </c>
      <c r="C12" s="8" t="str">
        <f t="shared" si="4"/>
        <v>1PremiumW3</v>
      </c>
      <c r="D12" s="8" t="str">
        <f t="shared" si="1"/>
        <v>1PremiumW3</v>
      </c>
      <c r="E12" s="11">
        <v>1</v>
      </c>
      <c r="F12" s="10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5">
        <v>1</v>
      </c>
      <c r="N12" s="18">
        <f>VLOOKUP(D12,gacha_162_base!A:B,2,FALSE)</f>
        <v>16187</v>
      </c>
      <c r="O12" s="14">
        <v>0</v>
      </c>
      <c r="P12" s="14">
        <v>0</v>
      </c>
      <c r="Q12" s="14">
        <v>0</v>
      </c>
      <c r="R12" s="14">
        <v>0</v>
      </c>
      <c r="S12" s="14">
        <v>1</v>
      </c>
    </row>
    <row r="13" spans="1:19" ht="21" customHeight="1">
      <c r="A13" s="7" t="str">
        <f t="shared" si="2"/>
        <v>1621137</v>
      </c>
      <c r="B13" s="2" t="str">
        <f t="shared" si="3"/>
        <v>1621</v>
      </c>
      <c r="C13" s="8" t="str">
        <f t="shared" si="4"/>
        <v>1PremiumW4</v>
      </c>
      <c r="D13" s="8" t="str">
        <f t="shared" si="1"/>
        <v>1PremiumW4</v>
      </c>
      <c r="E13" s="11">
        <v>1</v>
      </c>
      <c r="F13" s="10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5">
        <v>1</v>
      </c>
      <c r="N13" s="18">
        <f>VLOOKUP(D13,gacha_162_base!A:B,2,FALSE)</f>
        <v>5396</v>
      </c>
      <c r="O13" s="14">
        <v>0</v>
      </c>
      <c r="P13" s="14">
        <v>0</v>
      </c>
      <c r="Q13" s="14">
        <v>0</v>
      </c>
      <c r="R13" s="14">
        <v>0</v>
      </c>
      <c r="S13" s="14">
        <v>1</v>
      </c>
    </row>
    <row r="14" spans="1:19" ht="21" customHeight="1">
      <c r="A14" s="7" t="str">
        <f t="shared" si="2"/>
        <v>1621138</v>
      </c>
      <c r="B14" s="2" t="str">
        <f t="shared" si="3"/>
        <v>1621</v>
      </c>
      <c r="C14" s="8" t="str">
        <f t="shared" si="4"/>
        <v>1PremiumW3</v>
      </c>
      <c r="D14" s="8" t="str">
        <f t="shared" si="1"/>
        <v>1PremiumW3</v>
      </c>
      <c r="E14" s="11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5">
        <v>1</v>
      </c>
      <c r="N14" s="18">
        <f>VLOOKUP(D14,gacha_162_base!A:B,2,FALSE)</f>
        <v>16187</v>
      </c>
      <c r="O14" s="14">
        <v>0</v>
      </c>
      <c r="P14" s="14">
        <v>0</v>
      </c>
      <c r="Q14" s="14">
        <v>0</v>
      </c>
      <c r="R14" s="14">
        <v>0</v>
      </c>
      <c r="S14" s="14">
        <v>1</v>
      </c>
    </row>
    <row r="15" spans="1:19" ht="21" customHeight="1">
      <c r="A15" s="7" t="str">
        <f t="shared" si="2"/>
        <v>1621139</v>
      </c>
      <c r="B15" s="2" t="str">
        <f t="shared" si="3"/>
        <v>1621</v>
      </c>
      <c r="C15" s="8" t="str">
        <f t="shared" si="4"/>
        <v>1PremiumW4</v>
      </c>
      <c r="D15" s="8" t="str">
        <f t="shared" si="1"/>
        <v>1PremiumW4</v>
      </c>
      <c r="E15" s="11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5">
        <v>1</v>
      </c>
      <c r="N15" s="18">
        <f>VLOOKUP(D15,gacha_162_base!A:B,2,FALSE)</f>
        <v>5396</v>
      </c>
      <c r="O15" s="14">
        <v>0</v>
      </c>
      <c r="P15" s="14">
        <v>0</v>
      </c>
      <c r="Q15" s="14">
        <v>0</v>
      </c>
      <c r="R15" s="14">
        <v>0</v>
      </c>
      <c r="S15" s="14">
        <v>1</v>
      </c>
    </row>
    <row r="16" spans="1:19" ht="21" customHeight="1">
      <c r="A16" s="7" t="str">
        <f t="shared" si="2"/>
        <v>1621140</v>
      </c>
      <c r="B16" s="2" t="str">
        <f t="shared" si="3"/>
        <v>1621</v>
      </c>
      <c r="C16" s="8" t="str">
        <f t="shared" si="4"/>
        <v>1PremiumW3</v>
      </c>
      <c r="D16" s="8" t="str">
        <f t="shared" si="1"/>
        <v>1PremiumW3</v>
      </c>
      <c r="E16" s="11">
        <v>1</v>
      </c>
      <c r="F16" s="13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5">
        <v>1</v>
      </c>
      <c r="N16" s="18">
        <f>VLOOKUP(D16,gacha_162_base!A:B,2,FALSE)</f>
        <v>16187</v>
      </c>
      <c r="O16" s="14">
        <v>0</v>
      </c>
      <c r="P16" s="14">
        <v>0</v>
      </c>
      <c r="Q16" s="14">
        <v>0</v>
      </c>
      <c r="R16" s="14">
        <v>0</v>
      </c>
      <c r="S16" s="14">
        <v>1</v>
      </c>
    </row>
    <row r="17" spans="1:19" ht="21" customHeight="1">
      <c r="A17" s="7" t="str">
        <f t="shared" si="2"/>
        <v>1621141</v>
      </c>
      <c r="B17" s="2" t="str">
        <f t="shared" si="3"/>
        <v>1621</v>
      </c>
      <c r="C17" s="8" t="str">
        <f t="shared" si="4"/>
        <v>1PremiumW4</v>
      </c>
      <c r="D17" s="8" t="str">
        <f t="shared" si="1"/>
        <v>1PremiumW4</v>
      </c>
      <c r="E17" s="11">
        <v>1</v>
      </c>
      <c r="F17" s="15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5">
        <v>1</v>
      </c>
      <c r="N17" s="18">
        <f>VLOOKUP(D17,gacha_162_base!A:B,2,FALSE)</f>
        <v>5396</v>
      </c>
      <c r="O17" s="14">
        <v>0</v>
      </c>
      <c r="P17" s="14">
        <v>0</v>
      </c>
      <c r="Q17" s="14">
        <v>0</v>
      </c>
      <c r="R17" s="14">
        <v>0</v>
      </c>
      <c r="S17" s="14">
        <v>1</v>
      </c>
    </row>
    <row r="18" spans="1:19" ht="21" customHeight="1">
      <c r="A18" s="7" t="str">
        <f t="shared" si="2"/>
        <v>1621142</v>
      </c>
      <c r="B18" s="2" t="str">
        <f t="shared" si="3"/>
        <v>1621</v>
      </c>
      <c r="C18" s="8" t="str">
        <f t="shared" si="4"/>
        <v>1PremiumW3</v>
      </c>
      <c r="D18" s="8" t="str">
        <f t="shared" si="1"/>
        <v>1PremiumW3</v>
      </c>
      <c r="E18" s="11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5">
        <v>1</v>
      </c>
      <c r="N18" s="18">
        <f>VLOOKUP(D18,gacha_162_base!A:B,2,FALSE)</f>
        <v>16187</v>
      </c>
      <c r="O18" s="14">
        <v>0</v>
      </c>
      <c r="P18" s="14">
        <v>0</v>
      </c>
      <c r="Q18" s="14">
        <v>0</v>
      </c>
      <c r="R18" s="14">
        <v>0</v>
      </c>
      <c r="S18" s="14">
        <v>1</v>
      </c>
    </row>
    <row r="19" spans="1:19" s="16" customFormat="1" ht="21" customHeight="1" thickBot="1">
      <c r="A19" s="7" t="str">
        <f t="shared" si="2"/>
        <v>1621143</v>
      </c>
      <c r="B19" s="2" t="str">
        <f t="shared" si="3"/>
        <v>1621</v>
      </c>
      <c r="C19" s="8" t="str">
        <f t="shared" si="4"/>
        <v>1PremiumW4</v>
      </c>
      <c r="D19" s="8" t="str">
        <f t="shared" si="1"/>
        <v>1PremiumW4</v>
      </c>
      <c r="E19" s="11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5">
        <v>1</v>
      </c>
      <c r="N19" s="18">
        <f>VLOOKUP(D19,gacha_162_base!A:B,2,FALSE)</f>
        <v>5396</v>
      </c>
      <c r="O19" s="14">
        <v>0</v>
      </c>
      <c r="P19" s="14">
        <v>0</v>
      </c>
      <c r="Q19" s="14">
        <v>0</v>
      </c>
      <c r="R19" s="14">
        <v>0</v>
      </c>
      <c r="S19" s="14">
        <v>1</v>
      </c>
    </row>
    <row r="20" spans="1:19" ht="21" customHeight="1">
      <c r="A20" s="7" t="str">
        <f t="shared" si="2"/>
        <v>1621144</v>
      </c>
      <c r="B20" s="2" t="str">
        <f t="shared" si="3"/>
        <v>1621</v>
      </c>
      <c r="C20" s="8" t="str">
        <f t="shared" si="4"/>
        <v>1PremiumW3</v>
      </c>
      <c r="D20" s="8" t="str">
        <f t="shared" si="1"/>
        <v>1PremiumW3</v>
      </c>
      <c r="E20" s="11">
        <v>1</v>
      </c>
      <c r="F20" s="13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5">
        <v>1</v>
      </c>
      <c r="N20" s="18">
        <f>VLOOKUP(D20,gacha_162_base!A:B,2,FALSE)</f>
        <v>16187</v>
      </c>
      <c r="O20" s="14">
        <v>0</v>
      </c>
      <c r="P20" s="14">
        <v>0</v>
      </c>
      <c r="Q20" s="14">
        <v>0</v>
      </c>
      <c r="R20" s="14">
        <v>0</v>
      </c>
      <c r="S20" s="14">
        <v>1</v>
      </c>
    </row>
    <row r="21" spans="1:19" ht="21" customHeight="1">
      <c r="A21" s="7" t="str">
        <f t="shared" si="2"/>
        <v>1621145</v>
      </c>
      <c r="B21" s="2" t="str">
        <f t="shared" si="3"/>
        <v>1621</v>
      </c>
      <c r="C21" s="8" t="str">
        <f t="shared" si="4"/>
        <v>1PremiumW4</v>
      </c>
      <c r="D21" s="8" t="str">
        <f t="shared" si="1"/>
        <v>1PremiumW4</v>
      </c>
      <c r="E21" s="11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5">
        <v>1</v>
      </c>
      <c r="N21" s="18">
        <f>VLOOKUP(D21,gacha_162_base!A:B,2,FALSE)</f>
        <v>5396</v>
      </c>
      <c r="O21" s="14">
        <v>0</v>
      </c>
      <c r="P21" s="14">
        <v>0</v>
      </c>
      <c r="Q21" s="14">
        <v>0</v>
      </c>
      <c r="R21" s="14">
        <v>0</v>
      </c>
      <c r="S21" s="14">
        <v>1</v>
      </c>
    </row>
    <row r="22" spans="1:19" ht="21" customHeight="1">
      <c r="A22" s="7" t="str">
        <f t="shared" si="2"/>
        <v>1621146</v>
      </c>
      <c r="B22" s="2" t="str">
        <f t="shared" si="3"/>
        <v>1621</v>
      </c>
      <c r="C22" s="8" t="str">
        <f t="shared" si="4"/>
        <v>1PremiumW3</v>
      </c>
      <c r="D22" s="8" t="str">
        <f t="shared" si="1"/>
        <v>1PremiumW3</v>
      </c>
      <c r="E22" s="11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5">
        <v>1</v>
      </c>
      <c r="N22" s="18">
        <f>VLOOKUP(D22,gacha_162_base!A:B,2,FALSE)</f>
        <v>16187</v>
      </c>
      <c r="O22" s="14">
        <v>0</v>
      </c>
      <c r="P22" s="14">
        <v>0</v>
      </c>
      <c r="Q22" s="14">
        <v>0</v>
      </c>
      <c r="R22" s="14">
        <v>0</v>
      </c>
      <c r="S22" s="14">
        <v>1</v>
      </c>
    </row>
    <row r="23" spans="1:19" ht="21" customHeight="1">
      <c r="A23" s="7" t="str">
        <f t="shared" si="2"/>
        <v>1621147</v>
      </c>
      <c r="B23" s="2" t="str">
        <f t="shared" si="3"/>
        <v>1621</v>
      </c>
      <c r="C23" s="8" t="str">
        <f t="shared" si="4"/>
        <v>1PremiumW4</v>
      </c>
      <c r="D23" s="8" t="str">
        <f t="shared" si="1"/>
        <v>1PremiumW4</v>
      </c>
      <c r="E23" s="11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5">
        <v>1</v>
      </c>
      <c r="N23" s="18">
        <f>VLOOKUP(D23,gacha_162_base!A:B,2,FALSE)</f>
        <v>5396</v>
      </c>
      <c r="O23" s="14">
        <v>0</v>
      </c>
      <c r="P23" s="14">
        <v>0</v>
      </c>
      <c r="Q23" s="14">
        <v>0</v>
      </c>
      <c r="R23" s="14">
        <v>0</v>
      </c>
      <c r="S23" s="14">
        <v>1</v>
      </c>
    </row>
    <row r="24" spans="1:19" ht="21" customHeight="1">
      <c r="A24" s="7" t="str">
        <f t="shared" si="2"/>
        <v>1621148</v>
      </c>
      <c r="B24" s="2" t="str">
        <f t="shared" si="3"/>
        <v>1621</v>
      </c>
      <c r="C24" s="8" t="str">
        <f t="shared" si="4"/>
        <v>1PremiumW3</v>
      </c>
      <c r="D24" s="8" t="str">
        <f t="shared" si="1"/>
        <v>1PremiumW3</v>
      </c>
      <c r="E24" s="11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5">
        <v>1</v>
      </c>
      <c r="N24" s="18">
        <f>VLOOKUP(D24,gacha_162_base!A:B,2,FALSE)</f>
        <v>16187</v>
      </c>
      <c r="O24" s="14">
        <v>0</v>
      </c>
      <c r="P24" s="14">
        <v>0</v>
      </c>
      <c r="Q24" s="14">
        <v>0</v>
      </c>
      <c r="R24" s="14">
        <v>0</v>
      </c>
      <c r="S24" s="14">
        <v>1</v>
      </c>
    </row>
    <row r="25" spans="1:19" ht="21" customHeight="1">
      <c r="A25" s="7" t="str">
        <f t="shared" si="2"/>
        <v>1621149</v>
      </c>
      <c r="B25" s="2" t="str">
        <f t="shared" si="3"/>
        <v>1621</v>
      </c>
      <c r="C25" s="8" t="str">
        <f t="shared" si="4"/>
        <v>1PremiumW4</v>
      </c>
      <c r="D25" s="8" t="str">
        <f t="shared" si="1"/>
        <v>1PremiumW4</v>
      </c>
      <c r="E25" s="11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5">
        <v>1</v>
      </c>
      <c r="N25" s="18">
        <f>VLOOKUP(D25,gacha_162_base!A:B,2,FALSE)</f>
        <v>5396</v>
      </c>
      <c r="O25" s="14">
        <v>0</v>
      </c>
      <c r="P25" s="14">
        <v>0</v>
      </c>
      <c r="Q25" s="14">
        <v>0</v>
      </c>
      <c r="R25" s="14">
        <v>0</v>
      </c>
      <c r="S25" s="14">
        <v>1</v>
      </c>
    </row>
    <row r="26" spans="1:19" ht="21" customHeight="1">
      <c r="A26" s="7" t="str">
        <f t="shared" si="2"/>
        <v>1621150</v>
      </c>
      <c r="B26" s="2" t="str">
        <f t="shared" si="3"/>
        <v>1621</v>
      </c>
      <c r="C26" s="8" t="str">
        <f t="shared" si="4"/>
        <v>1PremiumW3</v>
      </c>
      <c r="D26" s="8" t="str">
        <f t="shared" si="1"/>
        <v>1PremiumW3</v>
      </c>
      <c r="E26" s="11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5">
        <v>1</v>
      </c>
      <c r="N26" s="18">
        <f>VLOOKUP(D26,gacha_162_base!A:B,2,FALSE)</f>
        <v>16187</v>
      </c>
      <c r="O26" s="14">
        <v>0</v>
      </c>
      <c r="P26" s="14">
        <v>0</v>
      </c>
      <c r="Q26" s="14">
        <v>0</v>
      </c>
      <c r="R26" s="14">
        <v>0</v>
      </c>
      <c r="S26" s="14">
        <v>1</v>
      </c>
    </row>
    <row r="27" spans="1:19" ht="21" customHeight="1">
      <c r="A27" s="7" t="str">
        <f t="shared" si="2"/>
        <v>1621151</v>
      </c>
      <c r="B27" s="2" t="str">
        <f t="shared" si="3"/>
        <v>1621</v>
      </c>
      <c r="C27" s="8" t="str">
        <f t="shared" si="4"/>
        <v>1PremiumW4</v>
      </c>
      <c r="D27" s="8" t="str">
        <f t="shared" si="1"/>
        <v>1PremiumW4</v>
      </c>
      <c r="E27" s="11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5">
        <v>1</v>
      </c>
      <c r="N27" s="18">
        <f>VLOOKUP(D27,gacha_162_base!A:B,2,FALSE)</f>
        <v>5396</v>
      </c>
      <c r="O27" s="14">
        <v>0</v>
      </c>
      <c r="P27" s="14">
        <v>0</v>
      </c>
      <c r="Q27" s="14">
        <v>0</v>
      </c>
      <c r="R27" s="14">
        <v>0</v>
      </c>
      <c r="S27" s="14">
        <v>1</v>
      </c>
    </row>
    <row r="28" spans="1:19" ht="21" customHeight="1">
      <c r="A28" s="7" t="str">
        <f t="shared" si="2"/>
        <v>1621152</v>
      </c>
      <c r="B28" s="2" t="str">
        <f t="shared" si="3"/>
        <v>1621</v>
      </c>
      <c r="C28" s="8" t="str">
        <f t="shared" si="4"/>
        <v>1PremiumW3</v>
      </c>
      <c r="D28" s="8" t="str">
        <f t="shared" si="1"/>
        <v>1PremiumW3</v>
      </c>
      <c r="E28" s="11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5">
        <v>1</v>
      </c>
      <c r="N28" s="18">
        <f>VLOOKUP(D28,gacha_162_base!A:B,2,FALSE)</f>
        <v>16187</v>
      </c>
      <c r="O28" s="14">
        <v>0</v>
      </c>
      <c r="P28" s="14">
        <v>0</v>
      </c>
      <c r="Q28" s="14">
        <v>0</v>
      </c>
      <c r="R28" s="14">
        <v>0</v>
      </c>
      <c r="S28" s="14">
        <v>1</v>
      </c>
    </row>
    <row r="29" spans="1:19" ht="21" customHeight="1">
      <c r="A29" s="7" t="str">
        <f t="shared" si="2"/>
        <v>1621153</v>
      </c>
      <c r="B29" s="2" t="str">
        <f t="shared" si="3"/>
        <v>1621</v>
      </c>
      <c r="C29" s="8" t="str">
        <f t="shared" si="4"/>
        <v>1PremiumW4</v>
      </c>
      <c r="D29" s="8" t="str">
        <f t="shared" si="1"/>
        <v>1PremiumW4</v>
      </c>
      <c r="E29" s="11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5">
        <v>1</v>
      </c>
      <c r="N29" s="18">
        <f>VLOOKUP(D29,gacha_162_base!A:B,2,FALSE)</f>
        <v>5396</v>
      </c>
      <c r="O29" s="14">
        <v>0</v>
      </c>
      <c r="P29" s="14">
        <v>0</v>
      </c>
      <c r="Q29" s="14">
        <v>0</v>
      </c>
      <c r="R29" s="14">
        <v>0</v>
      </c>
      <c r="S29" s="14">
        <v>1</v>
      </c>
    </row>
    <row r="30" spans="1:19" ht="21" customHeight="1">
      <c r="A30" s="7" t="str">
        <f t="shared" si="2"/>
        <v>1621154</v>
      </c>
      <c r="B30" s="2" t="str">
        <f t="shared" si="3"/>
        <v>1621</v>
      </c>
      <c r="C30" s="8" t="str">
        <f t="shared" si="4"/>
        <v>1PremiumW3</v>
      </c>
      <c r="D30" s="8" t="str">
        <f t="shared" si="1"/>
        <v>1PremiumW3</v>
      </c>
      <c r="E30" s="11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5">
        <v>1</v>
      </c>
      <c r="N30" s="18">
        <f>VLOOKUP(D30,gacha_162_base!A:B,2,FALSE)</f>
        <v>16187</v>
      </c>
      <c r="O30" s="14">
        <v>0</v>
      </c>
      <c r="P30" s="14">
        <v>0</v>
      </c>
      <c r="Q30" s="14">
        <v>0</v>
      </c>
      <c r="R30" s="14">
        <v>0</v>
      </c>
      <c r="S30" s="14">
        <v>1</v>
      </c>
    </row>
    <row r="31" spans="1:19" ht="21" customHeight="1">
      <c r="A31" s="7" t="str">
        <f t="shared" si="2"/>
        <v>1621155</v>
      </c>
      <c r="B31" s="2" t="str">
        <f t="shared" si="3"/>
        <v>1621</v>
      </c>
      <c r="C31" s="8" t="str">
        <f t="shared" si="4"/>
        <v>1PremiumW4</v>
      </c>
      <c r="D31" s="8" t="str">
        <f t="shared" si="1"/>
        <v>1PremiumW4</v>
      </c>
      <c r="E31" s="11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5">
        <v>1</v>
      </c>
      <c r="N31" s="18">
        <f>VLOOKUP(D31,gacha_162_base!A:B,2,FALSE)</f>
        <v>5396</v>
      </c>
      <c r="O31" s="14">
        <v>0</v>
      </c>
      <c r="P31" s="14">
        <v>0</v>
      </c>
      <c r="Q31" s="14">
        <v>0</v>
      </c>
      <c r="R31" s="14">
        <v>0</v>
      </c>
      <c r="S31" s="14">
        <v>1</v>
      </c>
    </row>
    <row r="32" spans="1:19" ht="21" customHeight="1">
      <c r="A32" s="7" t="str">
        <f t="shared" si="2"/>
        <v>1621156</v>
      </c>
      <c r="B32" s="2" t="str">
        <f t="shared" si="3"/>
        <v>1621</v>
      </c>
      <c r="C32" s="8" t="str">
        <f t="shared" si="4"/>
        <v>1PremiumW3</v>
      </c>
      <c r="D32" s="8" t="str">
        <f t="shared" si="1"/>
        <v>1PremiumW3</v>
      </c>
      <c r="E32" s="11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5">
        <v>1</v>
      </c>
      <c r="N32" s="18">
        <f>VLOOKUP(D32,gacha_162_base!A:B,2,FALSE)</f>
        <v>16187</v>
      </c>
      <c r="O32" s="14">
        <v>0</v>
      </c>
      <c r="P32" s="14">
        <v>0</v>
      </c>
      <c r="Q32" s="14">
        <v>0</v>
      </c>
      <c r="R32" s="14">
        <v>0</v>
      </c>
      <c r="S32" s="14">
        <v>1</v>
      </c>
    </row>
    <row r="33" spans="1:19" ht="21" customHeight="1">
      <c r="A33" s="7" t="str">
        <f t="shared" si="2"/>
        <v>1621157</v>
      </c>
      <c r="B33" s="2" t="str">
        <f t="shared" si="3"/>
        <v>1621</v>
      </c>
      <c r="C33" s="8" t="str">
        <f t="shared" si="4"/>
        <v>1PremiumW4</v>
      </c>
      <c r="D33" s="8" t="str">
        <f t="shared" si="1"/>
        <v>1PremiumW4</v>
      </c>
      <c r="E33" s="11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5">
        <v>1</v>
      </c>
      <c r="N33" s="18">
        <f>VLOOKUP(D33,gacha_162_base!A:B,2,FALSE)</f>
        <v>5396</v>
      </c>
      <c r="O33" s="14">
        <v>0</v>
      </c>
      <c r="P33" s="14">
        <v>0</v>
      </c>
      <c r="Q33" s="14">
        <v>0</v>
      </c>
      <c r="R33" s="14">
        <v>0</v>
      </c>
      <c r="S33" s="14">
        <v>1</v>
      </c>
    </row>
    <row r="34" spans="1:19" ht="21" customHeight="1">
      <c r="A34" s="7" t="str">
        <f t="shared" si="2"/>
        <v>1621158</v>
      </c>
      <c r="B34" s="2" t="str">
        <f t="shared" si="3"/>
        <v>1621</v>
      </c>
      <c r="C34" s="8" t="str">
        <f t="shared" si="4"/>
        <v>1PremiumW3</v>
      </c>
      <c r="D34" s="8" t="str">
        <f t="shared" si="1"/>
        <v>1PremiumW3</v>
      </c>
      <c r="E34" s="11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5">
        <v>1</v>
      </c>
      <c r="N34" s="18">
        <f>VLOOKUP(D34,gacha_162_base!A:B,2,FALSE)</f>
        <v>16187</v>
      </c>
      <c r="O34" s="14">
        <v>0</v>
      </c>
      <c r="P34" s="14">
        <v>0</v>
      </c>
      <c r="Q34" s="14">
        <v>0</v>
      </c>
      <c r="R34" s="14">
        <v>0</v>
      </c>
      <c r="S34" s="14">
        <v>1</v>
      </c>
    </row>
    <row r="35" spans="1:19" ht="21" customHeight="1">
      <c r="A35" s="7" t="str">
        <f t="shared" si="2"/>
        <v>1621159</v>
      </c>
      <c r="B35" s="2" t="str">
        <f t="shared" si="3"/>
        <v>1621</v>
      </c>
      <c r="C35" s="8" t="str">
        <f t="shared" si="4"/>
        <v>1PremiumW4</v>
      </c>
      <c r="D35" s="8" t="str">
        <f t="shared" si="1"/>
        <v>1PremiumW4</v>
      </c>
      <c r="E35" s="11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5">
        <v>1</v>
      </c>
      <c r="N35" s="18">
        <f>VLOOKUP(D35,gacha_162_base!A:B,2,FALSE)</f>
        <v>5396</v>
      </c>
      <c r="O35" s="14">
        <v>0</v>
      </c>
      <c r="P35" s="14">
        <v>0</v>
      </c>
      <c r="Q35" s="14">
        <v>0</v>
      </c>
      <c r="R35" s="14">
        <v>0</v>
      </c>
      <c r="S35" s="14">
        <v>1</v>
      </c>
    </row>
    <row r="36" spans="1:19" ht="21" customHeight="1">
      <c r="A36" s="7" t="str">
        <f t="shared" si="2"/>
        <v>1621160</v>
      </c>
      <c r="B36" s="2" t="str">
        <f t="shared" si="3"/>
        <v>1621</v>
      </c>
      <c r="C36" s="8" t="str">
        <f t="shared" si="4"/>
        <v>1PremiumW3</v>
      </c>
      <c r="D36" s="8" t="str">
        <f t="shared" si="1"/>
        <v>1PremiumW3</v>
      </c>
      <c r="E36" s="11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5">
        <v>1</v>
      </c>
      <c r="N36" s="18">
        <f>VLOOKUP(D36,gacha_162_base!A:B,2,FALSE)</f>
        <v>16187</v>
      </c>
      <c r="O36" s="14">
        <v>0</v>
      </c>
      <c r="P36" s="14">
        <v>0</v>
      </c>
      <c r="Q36" s="14">
        <v>0</v>
      </c>
      <c r="R36" s="14">
        <v>0</v>
      </c>
      <c r="S36" s="14">
        <v>1</v>
      </c>
    </row>
    <row r="37" spans="1:19" ht="21" customHeight="1">
      <c r="A37" s="7" t="str">
        <f t="shared" si="2"/>
        <v>1621161</v>
      </c>
      <c r="B37" s="2" t="str">
        <f t="shared" si="3"/>
        <v>1621</v>
      </c>
      <c r="C37" s="8" t="str">
        <f t="shared" si="4"/>
        <v>1PremiumW4</v>
      </c>
      <c r="D37" s="8" t="str">
        <f t="shared" si="1"/>
        <v>1PremiumW4</v>
      </c>
      <c r="E37" s="11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5">
        <v>1</v>
      </c>
      <c r="N37" s="18">
        <f>VLOOKUP(D37,gacha_162_base!A:B,2,FALSE)</f>
        <v>5396</v>
      </c>
      <c r="O37" s="14">
        <v>0</v>
      </c>
      <c r="P37" s="14">
        <v>0</v>
      </c>
      <c r="Q37" s="14">
        <v>0</v>
      </c>
      <c r="R37" s="14">
        <v>0</v>
      </c>
      <c r="S37" s="14">
        <v>1</v>
      </c>
    </row>
    <row r="38" spans="1:19" ht="21" customHeight="1">
      <c r="A38" s="7" t="str">
        <f t="shared" si="2"/>
        <v>1621162</v>
      </c>
      <c r="B38" s="2" t="str">
        <f t="shared" si="3"/>
        <v>1621</v>
      </c>
      <c r="C38" s="8" t="str">
        <f t="shared" si="4"/>
        <v>1PremiumW3</v>
      </c>
      <c r="D38" s="8" t="str">
        <f t="shared" si="1"/>
        <v>1PremiumW3</v>
      </c>
      <c r="E38" s="11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5">
        <v>1</v>
      </c>
      <c r="N38" s="18">
        <f>VLOOKUP(D38,gacha_162_base!A:B,2,FALSE)</f>
        <v>16187</v>
      </c>
      <c r="O38" s="14">
        <v>0</v>
      </c>
      <c r="P38" s="14">
        <v>0</v>
      </c>
      <c r="Q38" s="14">
        <v>0</v>
      </c>
      <c r="R38" s="14">
        <v>0</v>
      </c>
      <c r="S38" s="14">
        <v>1</v>
      </c>
    </row>
    <row r="39" spans="1:19" ht="21" customHeight="1">
      <c r="A39" s="7" t="str">
        <f t="shared" si="2"/>
        <v>1621163</v>
      </c>
      <c r="B39" s="2" t="str">
        <f t="shared" si="3"/>
        <v>1621</v>
      </c>
      <c r="C39" s="8" t="str">
        <f t="shared" si="4"/>
        <v>1PremiumW4</v>
      </c>
      <c r="D39" s="8" t="str">
        <f t="shared" si="1"/>
        <v>1PremiumW4</v>
      </c>
      <c r="E39" s="11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5">
        <v>1</v>
      </c>
      <c r="N39" s="18">
        <f>VLOOKUP(D39,gacha_162_base!A:B,2,FALSE)</f>
        <v>5396</v>
      </c>
      <c r="O39" s="14">
        <v>0</v>
      </c>
      <c r="P39" s="14">
        <v>0</v>
      </c>
      <c r="Q39" s="14">
        <v>0</v>
      </c>
      <c r="R39" s="14">
        <v>0</v>
      </c>
      <c r="S39" s="14">
        <v>1</v>
      </c>
    </row>
    <row r="40" spans="1:19" ht="21" customHeight="1">
      <c r="A40" s="7" t="str">
        <f t="shared" si="2"/>
        <v>1621164</v>
      </c>
      <c r="B40" s="2" t="str">
        <f t="shared" si="3"/>
        <v>1621</v>
      </c>
      <c r="C40" s="8" t="str">
        <f t="shared" si="4"/>
        <v>1PremiumW3</v>
      </c>
      <c r="D40" s="8" t="str">
        <f t="shared" si="1"/>
        <v>1PremiumW3</v>
      </c>
      <c r="E40" s="11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5">
        <v>1</v>
      </c>
      <c r="N40" s="18">
        <f>VLOOKUP(D40,gacha_162_base!A:B,2,FALSE)</f>
        <v>16187</v>
      </c>
      <c r="O40" s="14">
        <v>0</v>
      </c>
      <c r="P40" s="14">
        <v>0</v>
      </c>
      <c r="Q40" s="14">
        <v>0</v>
      </c>
      <c r="R40" s="14">
        <v>0</v>
      </c>
      <c r="S40" s="14">
        <v>1</v>
      </c>
    </row>
    <row r="41" spans="1:19" ht="21" customHeight="1">
      <c r="A41" s="7" t="str">
        <f t="shared" si="2"/>
        <v>1621165</v>
      </c>
      <c r="B41" s="2" t="str">
        <f t="shared" si="3"/>
        <v>1621</v>
      </c>
      <c r="C41" s="8" t="str">
        <f t="shared" si="4"/>
        <v>1PremiumW4</v>
      </c>
      <c r="D41" s="8" t="str">
        <f t="shared" si="1"/>
        <v>1PremiumW4</v>
      </c>
      <c r="E41" s="11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5">
        <v>1</v>
      </c>
      <c r="N41" s="18">
        <f>VLOOKUP(D41,gacha_162_base!A:B,2,FALSE)</f>
        <v>5396</v>
      </c>
      <c r="O41" s="14">
        <v>0</v>
      </c>
      <c r="P41" s="14">
        <v>0</v>
      </c>
      <c r="Q41" s="14">
        <v>0</v>
      </c>
      <c r="R41" s="14">
        <v>0</v>
      </c>
      <c r="S41" s="14">
        <v>1</v>
      </c>
    </row>
    <row r="42" spans="1:19" ht="21" customHeight="1">
      <c r="A42" s="7" t="str">
        <f t="shared" si="2"/>
        <v>1621166</v>
      </c>
      <c r="B42" s="2" t="str">
        <f t="shared" si="3"/>
        <v>1621</v>
      </c>
      <c r="C42" s="8" t="str">
        <f t="shared" si="4"/>
        <v>1PremiumN3</v>
      </c>
      <c r="D42" s="8" t="str">
        <f t="shared" si="1"/>
        <v>1PremiumN3</v>
      </c>
      <c r="E42" s="11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5">
        <v>1</v>
      </c>
      <c r="N42" s="18">
        <f>VLOOKUP(D42,gacha_162_base!A:B,2,FALSE)</f>
        <v>24280</v>
      </c>
      <c r="O42" s="14">
        <v>0</v>
      </c>
      <c r="P42" s="14">
        <v>0</v>
      </c>
      <c r="Q42" s="14">
        <v>0</v>
      </c>
      <c r="R42" s="14">
        <v>0</v>
      </c>
      <c r="S42" s="14">
        <v>1</v>
      </c>
    </row>
    <row r="43" spans="1:19" ht="21" customHeight="1">
      <c r="A43" s="7" t="str">
        <f t="shared" si="2"/>
        <v>1621167</v>
      </c>
      <c r="B43" s="2" t="str">
        <f t="shared" si="3"/>
        <v>1621</v>
      </c>
      <c r="C43" s="8" t="str">
        <f t="shared" si="4"/>
        <v>1PremiumN4</v>
      </c>
      <c r="D43" s="8" t="str">
        <f t="shared" si="1"/>
        <v>1PremiumN4</v>
      </c>
      <c r="E43" s="11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5">
        <v>1</v>
      </c>
      <c r="N43" s="18">
        <f>VLOOKUP(D43,gacha_162_base!A:B,2,FALSE)</f>
        <v>5989</v>
      </c>
      <c r="O43" s="14">
        <v>0</v>
      </c>
      <c r="P43" s="14">
        <v>0</v>
      </c>
      <c r="Q43" s="14">
        <v>0</v>
      </c>
      <c r="R43" s="14">
        <v>0</v>
      </c>
      <c r="S43" s="14">
        <v>1</v>
      </c>
    </row>
    <row r="44" spans="1:19" ht="21" customHeight="1">
      <c r="A44" s="7" t="str">
        <f t="shared" si="2"/>
        <v>1621168</v>
      </c>
      <c r="B44" s="2" t="str">
        <f t="shared" si="3"/>
        <v>1621</v>
      </c>
      <c r="C44" s="8" t="str">
        <f t="shared" si="4"/>
        <v>1PremiumN5</v>
      </c>
      <c r="D44" s="8" t="str">
        <f t="shared" si="1"/>
        <v>1PremiumN5</v>
      </c>
      <c r="E44" s="11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5">
        <v>1</v>
      </c>
      <c r="N44" s="18">
        <f>VLOOKUP(D44,gacha_162_base!A:B,2,FALSE)</f>
        <v>2104</v>
      </c>
      <c r="O44" s="14">
        <v>0</v>
      </c>
      <c r="P44" s="14">
        <v>0</v>
      </c>
      <c r="Q44" s="14">
        <v>0</v>
      </c>
      <c r="R44" s="14">
        <v>0</v>
      </c>
      <c r="S44" s="14">
        <v>1</v>
      </c>
    </row>
    <row r="45" spans="1:19" ht="21" customHeight="1">
      <c r="A45" s="7" t="str">
        <f t="shared" si="2"/>
        <v>1621169</v>
      </c>
      <c r="B45" s="2" t="str">
        <f t="shared" si="3"/>
        <v>1621</v>
      </c>
      <c r="C45" s="8" t="str">
        <f t="shared" si="4"/>
        <v>1PremiumN3</v>
      </c>
      <c r="D45" s="8" t="str">
        <f t="shared" si="1"/>
        <v>1PremiumN3</v>
      </c>
      <c r="E45" s="11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5">
        <v>1</v>
      </c>
      <c r="N45" s="18">
        <f>VLOOKUP(D45,gacha_162_base!A:B,2,FALSE)</f>
        <v>24280</v>
      </c>
      <c r="O45" s="14">
        <v>0</v>
      </c>
      <c r="P45" s="14">
        <v>0</v>
      </c>
      <c r="Q45" s="14">
        <v>0</v>
      </c>
      <c r="R45" s="14">
        <v>0</v>
      </c>
      <c r="S45" s="14">
        <v>1</v>
      </c>
    </row>
    <row r="46" spans="1:19" ht="21" customHeight="1">
      <c r="A46" s="7" t="str">
        <f t="shared" si="2"/>
        <v>1621170</v>
      </c>
      <c r="B46" s="2" t="str">
        <f t="shared" si="3"/>
        <v>1621</v>
      </c>
      <c r="C46" s="8" t="str">
        <f t="shared" si="4"/>
        <v>1PremiumN4</v>
      </c>
      <c r="D46" s="8" t="str">
        <f t="shared" si="1"/>
        <v>1PremiumN4</v>
      </c>
      <c r="E46" s="11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5">
        <v>1</v>
      </c>
      <c r="N46" s="18">
        <f>VLOOKUP(D46,gacha_162_base!A:B,2,FALSE)</f>
        <v>5989</v>
      </c>
      <c r="O46" s="14">
        <v>0</v>
      </c>
      <c r="P46" s="14">
        <v>0</v>
      </c>
      <c r="Q46" s="14">
        <v>0</v>
      </c>
      <c r="R46" s="14">
        <v>0</v>
      </c>
      <c r="S46" s="14">
        <v>1</v>
      </c>
    </row>
    <row r="47" spans="1:19" ht="21" customHeight="1">
      <c r="A47" s="7" t="str">
        <f t="shared" si="2"/>
        <v>1621171</v>
      </c>
      <c r="B47" s="2" t="str">
        <f t="shared" si="3"/>
        <v>1621</v>
      </c>
      <c r="C47" s="8" t="str">
        <f t="shared" si="4"/>
        <v>1PremiumN5</v>
      </c>
      <c r="D47" s="8" t="str">
        <f t="shared" si="1"/>
        <v>1PremiumN5</v>
      </c>
      <c r="E47" s="11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5">
        <v>1</v>
      </c>
      <c r="N47" s="18">
        <f>VLOOKUP(D47,gacha_162_base!A:B,2,FALSE)</f>
        <v>2104</v>
      </c>
      <c r="O47" s="14">
        <v>0</v>
      </c>
      <c r="P47" s="14">
        <v>0</v>
      </c>
      <c r="Q47" s="14">
        <v>0</v>
      </c>
      <c r="R47" s="14">
        <v>0</v>
      </c>
      <c r="S47" s="14">
        <v>1</v>
      </c>
    </row>
    <row r="48" spans="1:19" ht="21" customHeight="1">
      <c r="A48" s="7" t="str">
        <f t="shared" si="2"/>
        <v>1621172</v>
      </c>
      <c r="B48" s="2" t="str">
        <f t="shared" si="3"/>
        <v>1621</v>
      </c>
      <c r="C48" s="8" t="str">
        <f t="shared" si="4"/>
        <v>1PremiumN3</v>
      </c>
      <c r="D48" s="8" t="str">
        <f t="shared" si="1"/>
        <v>1PremiumN3</v>
      </c>
      <c r="E48" s="11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5">
        <v>1</v>
      </c>
      <c r="N48" s="18">
        <f>VLOOKUP(D48,gacha_162_base!A:B,2,FALSE)</f>
        <v>24280</v>
      </c>
      <c r="O48" s="14">
        <v>0</v>
      </c>
      <c r="P48" s="14">
        <v>0</v>
      </c>
      <c r="Q48" s="14">
        <v>0</v>
      </c>
      <c r="R48" s="14">
        <v>0</v>
      </c>
      <c r="S48" s="14">
        <v>1</v>
      </c>
    </row>
    <row r="49" spans="1:19" ht="21" customHeight="1">
      <c r="A49" s="7" t="str">
        <f t="shared" si="2"/>
        <v>1621173</v>
      </c>
      <c r="B49" s="2" t="str">
        <f t="shared" si="3"/>
        <v>1621</v>
      </c>
      <c r="C49" s="8" t="str">
        <f t="shared" si="4"/>
        <v>1PremiumN4</v>
      </c>
      <c r="D49" s="8" t="str">
        <f t="shared" si="1"/>
        <v>1PremiumN4</v>
      </c>
      <c r="E49" s="11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5">
        <v>1</v>
      </c>
      <c r="N49" s="18">
        <f>VLOOKUP(D49,gacha_162_base!A:B,2,FALSE)</f>
        <v>5989</v>
      </c>
      <c r="O49" s="14">
        <v>0</v>
      </c>
      <c r="P49" s="14">
        <v>0</v>
      </c>
      <c r="Q49" s="14">
        <v>0</v>
      </c>
      <c r="R49" s="14">
        <v>0</v>
      </c>
      <c r="S49" s="14">
        <v>1</v>
      </c>
    </row>
    <row r="50" spans="1:19" ht="21" customHeight="1">
      <c r="A50" s="7" t="str">
        <f t="shared" si="2"/>
        <v>1621174</v>
      </c>
      <c r="B50" s="2" t="str">
        <f t="shared" si="3"/>
        <v>1621</v>
      </c>
      <c r="C50" s="8" t="str">
        <f t="shared" si="4"/>
        <v>1PremiumN5</v>
      </c>
      <c r="D50" s="8" t="str">
        <f t="shared" si="1"/>
        <v>1PremiumN5</v>
      </c>
      <c r="E50" s="11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5">
        <v>1</v>
      </c>
      <c r="N50" s="18">
        <f>VLOOKUP(D50,gacha_162_base!A:B,2,FALSE)</f>
        <v>2104</v>
      </c>
      <c r="O50" s="14">
        <v>0</v>
      </c>
      <c r="P50" s="14">
        <v>0</v>
      </c>
      <c r="Q50" s="14">
        <v>0</v>
      </c>
      <c r="R50" s="14">
        <v>0</v>
      </c>
      <c r="S50" s="14">
        <v>1</v>
      </c>
    </row>
    <row r="51" spans="1:19" ht="21" customHeight="1">
      <c r="A51" s="7" t="str">
        <f t="shared" si="2"/>
        <v>1621175</v>
      </c>
      <c r="B51" s="2" t="str">
        <f t="shared" si="3"/>
        <v>1621</v>
      </c>
      <c r="C51" s="8" t="str">
        <f t="shared" si="4"/>
        <v>1PremiumN3</v>
      </c>
      <c r="D51" s="8" t="str">
        <f t="shared" si="1"/>
        <v>1PremiumN3</v>
      </c>
      <c r="E51" s="11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5">
        <v>1</v>
      </c>
      <c r="N51" s="18">
        <f>VLOOKUP(D51,gacha_162_base!A:B,2,FALSE)</f>
        <v>24280</v>
      </c>
      <c r="O51" s="14">
        <v>0</v>
      </c>
      <c r="P51" s="14">
        <v>0</v>
      </c>
      <c r="Q51" s="14">
        <v>0</v>
      </c>
      <c r="R51" s="14">
        <v>0</v>
      </c>
      <c r="S51" s="14">
        <v>1</v>
      </c>
    </row>
    <row r="52" spans="1:19" ht="21" customHeight="1">
      <c r="A52" s="7" t="str">
        <f t="shared" si="2"/>
        <v>1621176</v>
      </c>
      <c r="B52" s="2" t="str">
        <f t="shared" si="3"/>
        <v>1621</v>
      </c>
      <c r="C52" s="8" t="str">
        <f t="shared" si="4"/>
        <v>1PremiumN4</v>
      </c>
      <c r="D52" s="8" t="str">
        <f t="shared" si="1"/>
        <v>1PremiumN4</v>
      </c>
      <c r="E52" s="11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5">
        <v>1</v>
      </c>
      <c r="N52" s="18">
        <f>VLOOKUP(D52,gacha_162_base!A:B,2,FALSE)</f>
        <v>5989</v>
      </c>
      <c r="O52" s="14">
        <v>0</v>
      </c>
      <c r="P52" s="14">
        <v>0</v>
      </c>
      <c r="Q52" s="14">
        <v>0</v>
      </c>
      <c r="R52" s="14">
        <v>0</v>
      </c>
      <c r="S52" s="14">
        <v>1</v>
      </c>
    </row>
    <row r="53" spans="1:19" ht="21" customHeight="1">
      <c r="A53" s="7" t="str">
        <f t="shared" si="2"/>
        <v>1621177</v>
      </c>
      <c r="B53" s="2" t="str">
        <f t="shared" si="3"/>
        <v>1621</v>
      </c>
      <c r="C53" s="8" t="str">
        <f t="shared" si="4"/>
        <v>1PremiumN5</v>
      </c>
      <c r="D53" s="8" t="str">
        <f t="shared" si="1"/>
        <v>1PremiumN5</v>
      </c>
      <c r="E53" s="11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5">
        <v>1</v>
      </c>
      <c r="N53" s="18">
        <f>VLOOKUP(D53,gacha_162_base!A:B,2,FALSE)</f>
        <v>2104</v>
      </c>
      <c r="O53" s="14">
        <v>0</v>
      </c>
      <c r="P53" s="14">
        <v>0</v>
      </c>
      <c r="Q53" s="14">
        <v>0</v>
      </c>
      <c r="R53" s="14">
        <v>0</v>
      </c>
      <c r="S53" s="14">
        <v>1</v>
      </c>
    </row>
    <row r="54" spans="1:19" ht="21" customHeight="1">
      <c r="A54" s="7" t="str">
        <f t="shared" si="2"/>
        <v>1621178</v>
      </c>
      <c r="B54" s="2" t="str">
        <f t="shared" si="3"/>
        <v>1621</v>
      </c>
      <c r="C54" s="8" t="str">
        <f t="shared" si="4"/>
        <v>1PremiumN3</v>
      </c>
      <c r="D54" s="8" t="str">
        <f t="shared" si="1"/>
        <v>1PremiumN3</v>
      </c>
      <c r="E54" s="11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5">
        <v>1</v>
      </c>
      <c r="N54" s="18">
        <f>VLOOKUP(D54,gacha_162_base!A:B,2,FALSE)</f>
        <v>24280</v>
      </c>
      <c r="O54" s="14">
        <v>0</v>
      </c>
      <c r="P54" s="14">
        <v>0</v>
      </c>
      <c r="Q54" s="14">
        <v>0</v>
      </c>
      <c r="R54" s="14">
        <v>0</v>
      </c>
      <c r="S54" s="14">
        <v>1</v>
      </c>
    </row>
    <row r="55" spans="1:19" ht="21" customHeight="1">
      <c r="A55" s="7" t="str">
        <f t="shared" si="2"/>
        <v>1621179</v>
      </c>
      <c r="B55" s="2" t="str">
        <f t="shared" si="3"/>
        <v>1621</v>
      </c>
      <c r="C55" s="8" t="str">
        <f t="shared" si="4"/>
        <v>1PremiumN4</v>
      </c>
      <c r="D55" s="8" t="str">
        <f t="shared" si="1"/>
        <v>1PremiumN4</v>
      </c>
      <c r="E55" s="11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5">
        <v>1</v>
      </c>
      <c r="N55" s="18">
        <f>VLOOKUP(D55,gacha_162_base!A:B,2,FALSE)</f>
        <v>5989</v>
      </c>
      <c r="O55" s="14">
        <v>0</v>
      </c>
      <c r="P55" s="14">
        <v>0</v>
      </c>
      <c r="Q55" s="14">
        <v>0</v>
      </c>
      <c r="R55" s="14">
        <v>0</v>
      </c>
      <c r="S55" s="14">
        <v>1</v>
      </c>
    </row>
    <row r="56" spans="1:19" ht="21" customHeight="1">
      <c r="A56" s="7" t="str">
        <f t="shared" si="2"/>
        <v>1621180</v>
      </c>
      <c r="B56" s="2" t="str">
        <f t="shared" si="3"/>
        <v>1621</v>
      </c>
      <c r="C56" s="8" t="str">
        <f t="shared" si="4"/>
        <v>1PremiumN5</v>
      </c>
      <c r="D56" s="8" t="str">
        <f t="shared" si="1"/>
        <v>1PremiumN5</v>
      </c>
      <c r="E56" s="11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5">
        <v>1</v>
      </c>
      <c r="N56" s="18">
        <f>VLOOKUP(D56,gacha_162_base!A:B,2,FALSE)</f>
        <v>2104</v>
      </c>
      <c r="O56" s="14">
        <v>0</v>
      </c>
      <c r="P56" s="14">
        <v>0</v>
      </c>
      <c r="Q56" s="14">
        <v>0</v>
      </c>
      <c r="R56" s="14">
        <v>0</v>
      </c>
      <c r="S56" s="14">
        <v>1</v>
      </c>
    </row>
    <row r="57" spans="1:19" ht="21" customHeight="1">
      <c r="A57" s="7" t="str">
        <f t="shared" si="2"/>
        <v>1621181</v>
      </c>
      <c r="B57" s="2" t="str">
        <f t="shared" si="3"/>
        <v>1621</v>
      </c>
      <c r="C57" s="8" t="str">
        <f t="shared" si="4"/>
        <v>1PremiumN3</v>
      </c>
      <c r="D57" s="8" t="str">
        <f t="shared" si="1"/>
        <v>1PremiumN3</v>
      </c>
      <c r="E57" s="11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5">
        <v>1</v>
      </c>
      <c r="N57" s="18">
        <f>VLOOKUP(D57,gacha_162_base!A:B,2,FALSE)</f>
        <v>24280</v>
      </c>
      <c r="O57" s="14">
        <v>0</v>
      </c>
      <c r="P57" s="14">
        <v>0</v>
      </c>
      <c r="Q57" s="14">
        <v>0</v>
      </c>
      <c r="R57" s="14">
        <v>0</v>
      </c>
      <c r="S57" s="14">
        <v>1</v>
      </c>
    </row>
    <row r="58" spans="1:19" ht="21" customHeight="1">
      <c r="A58" s="7" t="str">
        <f t="shared" si="2"/>
        <v>1621182</v>
      </c>
      <c r="B58" s="2" t="str">
        <f t="shared" si="3"/>
        <v>1621</v>
      </c>
      <c r="C58" s="8" t="str">
        <f t="shared" si="4"/>
        <v>1PremiumN4</v>
      </c>
      <c r="D58" s="8" t="str">
        <f t="shared" si="1"/>
        <v>1PremiumN4</v>
      </c>
      <c r="E58" s="11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5">
        <v>1</v>
      </c>
      <c r="N58" s="18">
        <f>VLOOKUP(D58,gacha_162_base!A:B,2,FALSE)</f>
        <v>5989</v>
      </c>
      <c r="O58" s="14">
        <v>0</v>
      </c>
      <c r="P58" s="14">
        <v>0</v>
      </c>
      <c r="Q58" s="14">
        <v>0</v>
      </c>
      <c r="R58" s="14">
        <v>0</v>
      </c>
      <c r="S58" s="14">
        <v>1</v>
      </c>
    </row>
    <row r="59" spans="1:19" ht="21" customHeight="1">
      <c r="A59" s="7" t="str">
        <f t="shared" si="2"/>
        <v>1621183</v>
      </c>
      <c r="B59" s="2" t="str">
        <f t="shared" si="3"/>
        <v>1621</v>
      </c>
      <c r="C59" s="8" t="str">
        <f t="shared" si="4"/>
        <v>1PremiumN5</v>
      </c>
      <c r="D59" s="8" t="str">
        <f t="shared" si="1"/>
        <v>1PremiumN5</v>
      </c>
      <c r="E59" s="11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5">
        <v>1</v>
      </c>
      <c r="N59" s="18">
        <f>VLOOKUP(D59,gacha_162_base!A:B,2,FALSE)</f>
        <v>2104</v>
      </c>
      <c r="O59" s="14">
        <v>0</v>
      </c>
      <c r="P59" s="14">
        <v>0</v>
      </c>
      <c r="Q59" s="14">
        <v>0</v>
      </c>
      <c r="R59" s="14">
        <v>0</v>
      </c>
      <c r="S59" s="14">
        <v>1</v>
      </c>
    </row>
    <row r="60" spans="1:19" ht="21" customHeight="1">
      <c r="A60" s="7" t="str">
        <f t="shared" si="2"/>
        <v>1621184</v>
      </c>
      <c r="B60" s="2" t="str">
        <f t="shared" si="3"/>
        <v>1621</v>
      </c>
      <c r="C60" s="8" t="str">
        <f t="shared" si="4"/>
        <v>1PremiumN3</v>
      </c>
      <c r="D60" s="8" t="str">
        <f t="shared" si="1"/>
        <v>1PremiumN3</v>
      </c>
      <c r="E60" s="11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5">
        <v>1</v>
      </c>
      <c r="N60" s="18">
        <f>VLOOKUP(D60,gacha_162_base!A:B,2,FALSE)</f>
        <v>24280</v>
      </c>
      <c r="O60" s="14">
        <v>0</v>
      </c>
      <c r="P60" s="14">
        <v>0</v>
      </c>
      <c r="Q60" s="14">
        <v>0</v>
      </c>
      <c r="R60" s="14">
        <v>0</v>
      </c>
      <c r="S60" s="14">
        <v>1</v>
      </c>
    </row>
    <row r="61" spans="1:19" ht="21" customHeight="1">
      <c r="A61" s="7" t="str">
        <f t="shared" si="2"/>
        <v>1621185</v>
      </c>
      <c r="B61" s="2" t="str">
        <f t="shared" si="3"/>
        <v>1621</v>
      </c>
      <c r="C61" s="8" t="str">
        <f t="shared" si="4"/>
        <v>1PremiumN4</v>
      </c>
      <c r="D61" s="8" t="str">
        <f t="shared" si="1"/>
        <v>1PremiumN4</v>
      </c>
      <c r="E61" s="11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5">
        <v>1</v>
      </c>
      <c r="N61" s="18">
        <f>VLOOKUP(D61,gacha_162_base!A:B,2,FALSE)</f>
        <v>5989</v>
      </c>
      <c r="O61" s="14">
        <v>0</v>
      </c>
      <c r="P61" s="14">
        <v>0</v>
      </c>
      <c r="Q61" s="14">
        <v>0</v>
      </c>
      <c r="R61" s="14">
        <v>0</v>
      </c>
      <c r="S61" s="14">
        <v>1</v>
      </c>
    </row>
    <row r="62" spans="1:19" ht="21" customHeight="1">
      <c r="A62" s="7" t="str">
        <f t="shared" si="2"/>
        <v>1621186</v>
      </c>
      <c r="B62" s="2" t="str">
        <f t="shared" si="3"/>
        <v>1621</v>
      </c>
      <c r="C62" s="8" t="str">
        <f t="shared" si="4"/>
        <v>1PremiumN5</v>
      </c>
      <c r="D62" s="8" t="str">
        <f t="shared" si="1"/>
        <v>1PremiumN5</v>
      </c>
      <c r="E62" s="11">
        <v>1</v>
      </c>
      <c r="F62" s="10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5">
        <v>1</v>
      </c>
      <c r="N62" s="18">
        <f>VLOOKUP(D62,gacha_162_base!A:B,2,FALSE)</f>
        <v>2104</v>
      </c>
      <c r="O62" s="14">
        <v>0</v>
      </c>
      <c r="P62" s="14">
        <v>0</v>
      </c>
      <c r="Q62" s="14">
        <v>0</v>
      </c>
      <c r="R62" s="14">
        <v>0</v>
      </c>
      <c r="S62" s="14">
        <v>1</v>
      </c>
    </row>
    <row r="63" spans="1:19" ht="21" customHeight="1">
      <c r="A63" s="7" t="str">
        <f t="shared" si="2"/>
        <v>1621187</v>
      </c>
      <c r="B63" s="2" t="str">
        <f t="shared" si="3"/>
        <v>1621</v>
      </c>
      <c r="C63" s="8" t="str">
        <f t="shared" si="4"/>
        <v>1PremiumN3</v>
      </c>
      <c r="D63" s="8" t="str">
        <f t="shared" si="1"/>
        <v>1PremiumN3</v>
      </c>
      <c r="E63" s="11">
        <v>1</v>
      </c>
      <c r="F63" s="10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5">
        <v>1</v>
      </c>
      <c r="N63" s="18">
        <f>VLOOKUP(D63,gacha_162_base!A:B,2,FALSE)</f>
        <v>24280</v>
      </c>
      <c r="O63" s="14">
        <v>0</v>
      </c>
      <c r="P63" s="14">
        <v>0</v>
      </c>
      <c r="Q63" s="14">
        <v>0</v>
      </c>
      <c r="R63" s="14">
        <v>0</v>
      </c>
      <c r="S63" s="14">
        <v>1</v>
      </c>
    </row>
    <row r="64" spans="1:19" ht="21" customHeight="1">
      <c r="A64" s="7" t="str">
        <f t="shared" si="2"/>
        <v>1621188</v>
      </c>
      <c r="B64" s="2" t="str">
        <f t="shared" si="3"/>
        <v>1621</v>
      </c>
      <c r="C64" s="8" t="str">
        <f t="shared" si="4"/>
        <v>1PremiumN4</v>
      </c>
      <c r="D64" s="8" t="str">
        <f t="shared" si="1"/>
        <v>1PremiumN4</v>
      </c>
      <c r="E64" s="11">
        <v>1</v>
      </c>
      <c r="F64" s="10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5">
        <v>1</v>
      </c>
      <c r="N64" s="18">
        <f>VLOOKUP(D64,gacha_162_base!A:B,2,FALSE)</f>
        <v>5989</v>
      </c>
      <c r="O64" s="14">
        <v>0</v>
      </c>
      <c r="P64" s="14">
        <v>0</v>
      </c>
      <c r="Q64" s="14">
        <v>0</v>
      </c>
      <c r="R64" s="14">
        <v>0</v>
      </c>
      <c r="S64" s="14">
        <v>1</v>
      </c>
    </row>
    <row r="65" spans="1:19" ht="21" customHeight="1">
      <c r="A65" s="7" t="str">
        <f t="shared" si="2"/>
        <v>1621189</v>
      </c>
      <c r="B65" s="2" t="str">
        <f t="shared" si="3"/>
        <v>1621</v>
      </c>
      <c r="C65" s="8" t="str">
        <f t="shared" si="4"/>
        <v>1PremiumN5</v>
      </c>
      <c r="D65" s="8" t="str">
        <f t="shared" si="1"/>
        <v>1PremiumN5</v>
      </c>
      <c r="E65" s="11">
        <v>1</v>
      </c>
      <c r="F65" s="10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5">
        <v>1</v>
      </c>
      <c r="N65" s="18">
        <f>VLOOKUP(D65,gacha_162_base!A:B,2,FALSE)</f>
        <v>2104</v>
      </c>
      <c r="O65" s="14">
        <v>0</v>
      </c>
      <c r="P65" s="14">
        <v>0</v>
      </c>
      <c r="Q65" s="14">
        <v>0</v>
      </c>
      <c r="R65" s="14">
        <v>0</v>
      </c>
      <c r="S65" s="14">
        <v>1</v>
      </c>
    </row>
    <row r="66" spans="1:19" s="12" customFormat="1" ht="21" customHeight="1" thickBot="1">
      <c r="A66" s="7" t="str">
        <f t="shared" si="2"/>
        <v>1621190</v>
      </c>
      <c r="B66" s="2" t="str">
        <f t="shared" si="3"/>
        <v>1621</v>
      </c>
      <c r="C66" s="8" t="str">
        <f t="shared" si="4"/>
        <v>1PremiumN3</v>
      </c>
      <c r="D66" s="8" t="str">
        <f t="shared" ref="D66:D129" si="5">E66&amp;H66&amp;I66</f>
        <v>1PremiumN3</v>
      </c>
      <c r="E66" s="11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5">
        <v>1</v>
      </c>
      <c r="N66" s="18">
        <f>VLOOKUP(D66,gacha_162_base!A:B,2,FALSE)</f>
        <v>24280</v>
      </c>
      <c r="O66" s="14">
        <v>0</v>
      </c>
      <c r="P66" s="14">
        <v>0</v>
      </c>
      <c r="Q66" s="14">
        <v>0</v>
      </c>
      <c r="R66" s="14">
        <v>0</v>
      </c>
      <c r="S66" s="14">
        <v>1</v>
      </c>
    </row>
    <row r="67" spans="1:19" ht="21" customHeight="1">
      <c r="A67" s="7" t="str">
        <f t="shared" ref="A67:A130" si="6">B67&amp;F67</f>
        <v>1621191</v>
      </c>
      <c r="B67" s="2" t="str">
        <f t="shared" ref="B67:B130" si="7">162&amp;E67</f>
        <v>1621</v>
      </c>
      <c r="C67" s="8" t="str">
        <f t="shared" ref="C67:C130" si="8">E67&amp;H67&amp;I67</f>
        <v>1PremiumN4</v>
      </c>
      <c r="D67" s="8" t="str">
        <f t="shared" si="5"/>
        <v>1PremiumN4</v>
      </c>
      <c r="E67" s="11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5">
        <v>1</v>
      </c>
      <c r="N67" s="18">
        <f>VLOOKUP(D67,gacha_162_base!A:B,2,FALSE)</f>
        <v>5989</v>
      </c>
      <c r="O67" s="14">
        <v>0</v>
      </c>
      <c r="P67" s="14">
        <v>0</v>
      </c>
      <c r="Q67" s="14">
        <v>0</v>
      </c>
      <c r="R67" s="14">
        <v>0</v>
      </c>
      <c r="S67" s="14">
        <v>1</v>
      </c>
    </row>
    <row r="68" spans="1:19" ht="21" customHeight="1">
      <c r="A68" s="7" t="str">
        <f t="shared" si="6"/>
        <v>1621192</v>
      </c>
      <c r="B68" s="2" t="str">
        <f t="shared" si="7"/>
        <v>1621</v>
      </c>
      <c r="C68" s="8" t="str">
        <f t="shared" si="8"/>
        <v>1PremiumN5</v>
      </c>
      <c r="D68" s="8" t="str">
        <f t="shared" si="5"/>
        <v>1PremiumN5</v>
      </c>
      <c r="E68" s="11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5">
        <v>1</v>
      </c>
      <c r="N68" s="18">
        <f>VLOOKUP(D68,gacha_162_base!A:B,2,FALSE)</f>
        <v>2104</v>
      </c>
      <c r="O68" s="14">
        <v>0</v>
      </c>
      <c r="P68" s="14">
        <v>0</v>
      </c>
      <c r="Q68" s="14">
        <v>0</v>
      </c>
      <c r="R68" s="14">
        <v>0</v>
      </c>
      <c r="S68" s="14">
        <v>1</v>
      </c>
    </row>
    <row r="69" spans="1:19" ht="21" customHeight="1">
      <c r="A69" s="7" t="str">
        <f t="shared" si="6"/>
        <v>1621193</v>
      </c>
      <c r="B69" s="2" t="str">
        <f t="shared" si="7"/>
        <v>1621</v>
      </c>
      <c r="C69" s="8" t="str">
        <f t="shared" si="8"/>
        <v>1PremiumN3</v>
      </c>
      <c r="D69" s="8" t="str">
        <f t="shared" si="5"/>
        <v>1PremiumN3</v>
      </c>
      <c r="E69" s="11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5">
        <v>1</v>
      </c>
      <c r="N69" s="18">
        <f>VLOOKUP(D69,gacha_162_base!A:B,2,FALSE)</f>
        <v>24280</v>
      </c>
      <c r="O69" s="14">
        <v>0</v>
      </c>
      <c r="P69" s="14">
        <v>0</v>
      </c>
      <c r="Q69" s="14">
        <v>0</v>
      </c>
      <c r="R69" s="14">
        <v>0</v>
      </c>
      <c r="S69" s="14">
        <v>1</v>
      </c>
    </row>
    <row r="70" spans="1:19" ht="21" customHeight="1">
      <c r="A70" s="7" t="str">
        <f t="shared" si="6"/>
        <v>1621194</v>
      </c>
      <c r="B70" s="2" t="str">
        <f t="shared" si="7"/>
        <v>1621</v>
      </c>
      <c r="C70" s="8" t="str">
        <f t="shared" si="8"/>
        <v>1PremiumN4</v>
      </c>
      <c r="D70" s="8" t="str">
        <f t="shared" si="5"/>
        <v>1PremiumN4</v>
      </c>
      <c r="E70" s="11">
        <v>1</v>
      </c>
      <c r="F70" s="13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5">
        <v>1</v>
      </c>
      <c r="N70" s="18">
        <f>VLOOKUP(D70,gacha_162_base!A:B,2,FALSE)</f>
        <v>5989</v>
      </c>
      <c r="O70" s="14">
        <v>0</v>
      </c>
      <c r="P70" s="14">
        <v>0</v>
      </c>
      <c r="Q70" s="14">
        <v>0</v>
      </c>
      <c r="R70" s="14">
        <v>0</v>
      </c>
      <c r="S70" s="14">
        <v>1</v>
      </c>
    </row>
    <row r="71" spans="1:19" ht="21" customHeight="1">
      <c r="A71" s="7" t="str">
        <f t="shared" si="6"/>
        <v>1621195</v>
      </c>
      <c r="B71" s="2" t="str">
        <f t="shared" si="7"/>
        <v>1621</v>
      </c>
      <c r="C71" s="8" t="str">
        <f t="shared" si="8"/>
        <v>1PremiumN5</v>
      </c>
      <c r="D71" s="8" t="str">
        <f t="shared" si="5"/>
        <v>1PremiumN5</v>
      </c>
      <c r="E71" s="11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5">
        <v>1</v>
      </c>
      <c r="N71" s="18">
        <f>VLOOKUP(D71,gacha_162_base!A:B,2,FALSE)</f>
        <v>2104</v>
      </c>
      <c r="O71" s="14">
        <v>0</v>
      </c>
      <c r="P71" s="14">
        <v>0</v>
      </c>
      <c r="Q71" s="14">
        <v>0</v>
      </c>
      <c r="R71" s="14">
        <v>0</v>
      </c>
      <c r="S71" s="14">
        <v>1</v>
      </c>
    </row>
    <row r="72" spans="1:19" ht="21" customHeight="1">
      <c r="A72" s="7" t="str">
        <f t="shared" si="6"/>
        <v>1621196</v>
      </c>
      <c r="B72" s="2" t="str">
        <f t="shared" si="7"/>
        <v>1621</v>
      </c>
      <c r="C72" s="8" t="str">
        <f t="shared" si="8"/>
        <v>1PremiumN3</v>
      </c>
      <c r="D72" s="8" t="str">
        <f t="shared" si="5"/>
        <v>1PremiumN3</v>
      </c>
      <c r="E72" s="11">
        <v>1</v>
      </c>
      <c r="F72" s="13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5">
        <v>1</v>
      </c>
      <c r="N72" s="18">
        <f>VLOOKUP(D72,gacha_162_base!A:B,2,FALSE)</f>
        <v>24280</v>
      </c>
      <c r="O72" s="14">
        <v>0</v>
      </c>
      <c r="P72" s="14">
        <v>0</v>
      </c>
      <c r="Q72" s="14">
        <v>0</v>
      </c>
      <c r="R72" s="14">
        <v>0</v>
      </c>
      <c r="S72" s="14">
        <v>1</v>
      </c>
    </row>
    <row r="73" spans="1:19" ht="21" customHeight="1">
      <c r="A73" s="7" t="str">
        <f t="shared" si="6"/>
        <v>1621197</v>
      </c>
      <c r="B73" s="2" t="str">
        <f t="shared" si="7"/>
        <v>1621</v>
      </c>
      <c r="C73" s="8" t="str">
        <f t="shared" si="8"/>
        <v>1PremiumN4</v>
      </c>
      <c r="D73" s="8" t="str">
        <f t="shared" si="5"/>
        <v>1PremiumN4</v>
      </c>
      <c r="E73" s="11">
        <v>1</v>
      </c>
      <c r="F73" s="15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5">
        <v>1</v>
      </c>
      <c r="N73" s="18">
        <f>VLOOKUP(D73,gacha_162_base!A:B,2,FALSE)</f>
        <v>5989</v>
      </c>
      <c r="O73" s="14">
        <v>0</v>
      </c>
      <c r="P73" s="14">
        <v>0</v>
      </c>
      <c r="Q73" s="14">
        <v>0</v>
      </c>
      <c r="R73" s="14">
        <v>0</v>
      </c>
      <c r="S73" s="14">
        <v>1</v>
      </c>
    </row>
    <row r="74" spans="1:19" ht="21" customHeight="1">
      <c r="A74" s="7" t="str">
        <f t="shared" si="6"/>
        <v>1621198</v>
      </c>
      <c r="B74" s="2" t="str">
        <f t="shared" si="7"/>
        <v>1621</v>
      </c>
      <c r="C74" s="8" t="str">
        <f t="shared" si="8"/>
        <v>1PremiumN5</v>
      </c>
      <c r="D74" s="8" t="str">
        <f t="shared" si="5"/>
        <v>1PremiumN5</v>
      </c>
      <c r="E74" s="11">
        <v>1</v>
      </c>
      <c r="F74" s="15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5">
        <v>1</v>
      </c>
      <c r="N74" s="18">
        <f>VLOOKUP(D74,gacha_162_base!A:B,2,FALSE)</f>
        <v>2104</v>
      </c>
      <c r="O74" s="14">
        <v>0</v>
      </c>
      <c r="P74" s="14">
        <v>0</v>
      </c>
      <c r="Q74" s="14">
        <v>0</v>
      </c>
      <c r="R74" s="14">
        <v>0</v>
      </c>
      <c r="S74" s="14">
        <v>1</v>
      </c>
    </row>
    <row r="75" spans="1:19" ht="21" customHeight="1">
      <c r="A75" s="7" t="str">
        <f t="shared" si="6"/>
        <v>1621199</v>
      </c>
      <c r="B75" s="2" t="str">
        <f t="shared" si="7"/>
        <v>1621</v>
      </c>
      <c r="C75" s="8" t="str">
        <f t="shared" si="8"/>
        <v>1PremiumN3</v>
      </c>
      <c r="D75" s="8" t="str">
        <f t="shared" si="5"/>
        <v>1PremiumN3</v>
      </c>
      <c r="E75" s="11">
        <v>1</v>
      </c>
      <c r="F75" s="15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5">
        <v>1</v>
      </c>
      <c r="N75" s="18">
        <f>VLOOKUP(D75,gacha_162_base!A:B,2,FALSE)</f>
        <v>24280</v>
      </c>
      <c r="O75" s="14">
        <v>0</v>
      </c>
      <c r="P75" s="14">
        <v>0</v>
      </c>
      <c r="Q75" s="14">
        <v>0</v>
      </c>
      <c r="R75" s="14">
        <v>0</v>
      </c>
      <c r="S75" s="14">
        <v>1</v>
      </c>
    </row>
    <row r="76" spans="1:19" ht="21" customHeight="1">
      <c r="A76" s="7" t="str">
        <f t="shared" si="6"/>
        <v>1621200</v>
      </c>
      <c r="B76" s="2" t="str">
        <f t="shared" si="7"/>
        <v>1621</v>
      </c>
      <c r="C76" s="8" t="str">
        <f t="shared" si="8"/>
        <v>1PremiumN4</v>
      </c>
      <c r="D76" s="8" t="str">
        <f t="shared" si="5"/>
        <v>1PremiumN4</v>
      </c>
      <c r="E76" s="11">
        <v>1</v>
      </c>
      <c r="F76" s="15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5">
        <v>1</v>
      </c>
      <c r="N76" s="18">
        <f>VLOOKUP(D76,gacha_162_base!A:B,2,FALSE)</f>
        <v>5989</v>
      </c>
      <c r="O76" s="14">
        <v>0</v>
      </c>
      <c r="P76" s="14">
        <v>0</v>
      </c>
      <c r="Q76" s="14">
        <v>0</v>
      </c>
      <c r="R76" s="14">
        <v>0</v>
      </c>
      <c r="S76" s="14">
        <v>1</v>
      </c>
    </row>
    <row r="77" spans="1:19" ht="21" customHeight="1">
      <c r="A77" s="7" t="str">
        <f t="shared" si="6"/>
        <v>1621201</v>
      </c>
      <c r="B77" s="2" t="str">
        <f t="shared" si="7"/>
        <v>1621</v>
      </c>
      <c r="C77" s="8" t="str">
        <f t="shared" si="8"/>
        <v>1PremiumN5</v>
      </c>
      <c r="D77" s="8" t="str">
        <f t="shared" si="5"/>
        <v>1PremiumN5</v>
      </c>
      <c r="E77" s="11">
        <v>1</v>
      </c>
      <c r="F77" s="1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5">
        <v>1</v>
      </c>
      <c r="N77" s="18">
        <f>VLOOKUP(D77,gacha_162_base!A:B,2,FALSE)</f>
        <v>2104</v>
      </c>
      <c r="O77" s="14">
        <v>0</v>
      </c>
      <c r="P77" s="14">
        <v>0</v>
      </c>
      <c r="Q77" s="14">
        <v>0</v>
      </c>
      <c r="R77" s="14">
        <v>0</v>
      </c>
      <c r="S77" s="14">
        <v>1</v>
      </c>
    </row>
    <row r="78" spans="1:19" ht="21" customHeight="1">
      <c r="A78" s="7" t="str">
        <f t="shared" si="6"/>
        <v>1621202</v>
      </c>
      <c r="B78" s="2" t="str">
        <f t="shared" si="7"/>
        <v>1621</v>
      </c>
      <c r="C78" s="8" t="str">
        <f t="shared" si="8"/>
        <v>1PremiumN3</v>
      </c>
      <c r="D78" s="8" t="str">
        <f t="shared" si="5"/>
        <v>1PremiumN3</v>
      </c>
      <c r="E78" s="11">
        <v>1</v>
      </c>
      <c r="F78" s="1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5">
        <v>1</v>
      </c>
      <c r="N78" s="18">
        <f>VLOOKUP(D78,gacha_162_base!A:B,2,FALSE)</f>
        <v>24280</v>
      </c>
      <c r="O78" s="14">
        <v>0</v>
      </c>
      <c r="P78" s="14">
        <v>0</v>
      </c>
      <c r="Q78" s="14">
        <v>0</v>
      </c>
      <c r="R78" s="14">
        <v>0</v>
      </c>
      <c r="S78" s="14">
        <v>1</v>
      </c>
    </row>
    <row r="79" spans="1:19" ht="21" customHeight="1">
      <c r="A79" s="7" t="str">
        <f t="shared" si="6"/>
        <v>1621203</v>
      </c>
      <c r="B79" s="2" t="str">
        <f t="shared" si="7"/>
        <v>1621</v>
      </c>
      <c r="C79" s="8" t="str">
        <f t="shared" si="8"/>
        <v>1PremiumN4</v>
      </c>
      <c r="D79" s="8" t="str">
        <f t="shared" si="5"/>
        <v>1PremiumN4</v>
      </c>
      <c r="E79" s="11">
        <v>1</v>
      </c>
      <c r="F79" s="1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5">
        <v>1</v>
      </c>
      <c r="N79" s="18">
        <f>VLOOKUP(D79,gacha_162_base!A:B,2,FALSE)</f>
        <v>5989</v>
      </c>
      <c r="O79" s="14">
        <v>0</v>
      </c>
      <c r="P79" s="14">
        <v>0</v>
      </c>
      <c r="Q79" s="14">
        <v>0</v>
      </c>
      <c r="R79" s="14">
        <v>0</v>
      </c>
      <c r="S79" s="14">
        <v>1</v>
      </c>
    </row>
    <row r="80" spans="1:19" ht="21" customHeight="1">
      <c r="A80" s="7" t="str">
        <f t="shared" si="6"/>
        <v>1621204</v>
      </c>
      <c r="B80" s="2" t="str">
        <f t="shared" si="7"/>
        <v>1621</v>
      </c>
      <c r="C80" s="8" t="str">
        <f t="shared" si="8"/>
        <v>1PremiumN5</v>
      </c>
      <c r="D80" s="8" t="str">
        <f t="shared" si="5"/>
        <v>1PremiumN5</v>
      </c>
      <c r="E80" s="11">
        <v>1</v>
      </c>
      <c r="F80" s="1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5">
        <v>1</v>
      </c>
      <c r="N80" s="18">
        <f>VLOOKUP(D80,gacha_162_base!A:B,2,FALSE)</f>
        <v>2104</v>
      </c>
      <c r="O80" s="14">
        <v>0</v>
      </c>
      <c r="P80" s="14">
        <v>0</v>
      </c>
      <c r="Q80" s="14">
        <v>0</v>
      </c>
      <c r="R80" s="14">
        <v>0</v>
      </c>
      <c r="S80" s="14">
        <v>1</v>
      </c>
    </row>
    <row r="81" spans="1:19" ht="21" customHeight="1">
      <c r="A81" s="7" t="str">
        <f t="shared" si="6"/>
        <v>1621205</v>
      </c>
      <c r="B81" s="2" t="str">
        <f t="shared" si="7"/>
        <v>1621</v>
      </c>
      <c r="C81" s="8" t="str">
        <f t="shared" si="8"/>
        <v>1PremiumN3</v>
      </c>
      <c r="D81" s="8" t="str">
        <f t="shared" si="5"/>
        <v>1PremiumN3</v>
      </c>
      <c r="E81" s="11">
        <v>1</v>
      </c>
      <c r="F81" s="1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5">
        <v>1</v>
      </c>
      <c r="N81" s="18">
        <f>VLOOKUP(D81,gacha_162_base!A:B,2,FALSE)</f>
        <v>24280</v>
      </c>
      <c r="O81" s="14">
        <v>0</v>
      </c>
      <c r="P81" s="14">
        <v>0</v>
      </c>
      <c r="Q81" s="14">
        <v>0</v>
      </c>
      <c r="R81" s="14">
        <v>0</v>
      </c>
      <c r="S81" s="14">
        <v>1</v>
      </c>
    </row>
    <row r="82" spans="1:19" ht="21" customHeight="1">
      <c r="A82" s="7" t="str">
        <f t="shared" si="6"/>
        <v>1621206</v>
      </c>
      <c r="B82" s="2" t="str">
        <f t="shared" si="7"/>
        <v>1621</v>
      </c>
      <c r="C82" s="8" t="str">
        <f t="shared" si="8"/>
        <v>1PremiumN4</v>
      </c>
      <c r="D82" s="8" t="str">
        <f t="shared" si="5"/>
        <v>1PremiumN4</v>
      </c>
      <c r="E82" s="11">
        <v>1</v>
      </c>
      <c r="F82" s="1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5">
        <v>1</v>
      </c>
      <c r="N82" s="18">
        <f>VLOOKUP(D82,gacha_162_base!A:B,2,FALSE)</f>
        <v>5989</v>
      </c>
      <c r="O82" s="14">
        <v>0</v>
      </c>
      <c r="P82" s="14">
        <v>0</v>
      </c>
      <c r="Q82" s="14">
        <v>0</v>
      </c>
      <c r="R82" s="14">
        <v>0</v>
      </c>
      <c r="S82" s="14">
        <v>1</v>
      </c>
    </row>
    <row r="83" spans="1:19" ht="21" customHeight="1">
      <c r="A83" s="7" t="str">
        <f t="shared" si="6"/>
        <v>1621207</v>
      </c>
      <c r="B83" s="2" t="str">
        <f t="shared" si="7"/>
        <v>1621</v>
      </c>
      <c r="C83" s="8" t="str">
        <f t="shared" si="8"/>
        <v>1PremiumN5</v>
      </c>
      <c r="D83" s="8" t="str">
        <f t="shared" si="5"/>
        <v>1PremiumN5</v>
      </c>
      <c r="E83" s="11">
        <v>1</v>
      </c>
      <c r="F83" s="1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5">
        <v>1</v>
      </c>
      <c r="N83" s="18">
        <f>VLOOKUP(D83,gacha_162_base!A:B,2,FALSE)</f>
        <v>2104</v>
      </c>
      <c r="O83" s="14">
        <v>0</v>
      </c>
      <c r="P83" s="14">
        <v>0</v>
      </c>
      <c r="Q83" s="14">
        <v>0</v>
      </c>
      <c r="R83" s="14">
        <v>0</v>
      </c>
      <c r="S83" s="14">
        <v>1</v>
      </c>
    </row>
    <row r="84" spans="1:19" ht="21" customHeight="1">
      <c r="A84" s="7" t="str">
        <f t="shared" si="6"/>
        <v>1621208</v>
      </c>
      <c r="B84" s="2" t="str">
        <f t="shared" si="7"/>
        <v>1621</v>
      </c>
      <c r="C84" s="8" t="str">
        <f t="shared" si="8"/>
        <v>1PremiumN3</v>
      </c>
      <c r="D84" s="8" t="str">
        <f t="shared" si="5"/>
        <v>1PremiumN3</v>
      </c>
      <c r="E84" s="11">
        <v>1</v>
      </c>
      <c r="F84" s="1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5">
        <v>1</v>
      </c>
      <c r="N84" s="18">
        <f>VLOOKUP(D84,gacha_162_base!A:B,2,FALSE)</f>
        <v>24280</v>
      </c>
      <c r="O84" s="14">
        <v>0</v>
      </c>
      <c r="P84" s="14">
        <v>0</v>
      </c>
      <c r="Q84" s="14">
        <v>0</v>
      </c>
      <c r="R84" s="14">
        <v>0</v>
      </c>
      <c r="S84" s="14">
        <v>1</v>
      </c>
    </row>
    <row r="85" spans="1:19" ht="21" customHeight="1">
      <c r="A85" s="7" t="str">
        <f t="shared" si="6"/>
        <v>1621209</v>
      </c>
      <c r="B85" s="2" t="str">
        <f t="shared" si="7"/>
        <v>1621</v>
      </c>
      <c r="C85" s="8" t="str">
        <f t="shared" si="8"/>
        <v>1PremiumN4</v>
      </c>
      <c r="D85" s="8" t="str">
        <f t="shared" si="5"/>
        <v>1PremiumN4</v>
      </c>
      <c r="E85" s="11">
        <v>1</v>
      </c>
      <c r="F85" s="1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5">
        <v>1</v>
      </c>
      <c r="N85" s="18">
        <f>VLOOKUP(D85,gacha_162_base!A:B,2,FALSE)</f>
        <v>5989</v>
      </c>
      <c r="O85" s="14">
        <v>0</v>
      </c>
      <c r="P85" s="14">
        <v>0</v>
      </c>
      <c r="Q85" s="14">
        <v>0</v>
      </c>
      <c r="R85" s="14">
        <v>0</v>
      </c>
      <c r="S85" s="14">
        <v>1</v>
      </c>
    </row>
    <row r="86" spans="1:19" ht="21" customHeight="1">
      <c r="A86" s="7" t="str">
        <f t="shared" si="6"/>
        <v>1621210</v>
      </c>
      <c r="B86" s="2" t="str">
        <f t="shared" si="7"/>
        <v>1621</v>
      </c>
      <c r="C86" s="8" t="str">
        <f t="shared" si="8"/>
        <v>1PremiumN5</v>
      </c>
      <c r="D86" s="8" t="str">
        <f t="shared" si="5"/>
        <v>1PremiumN5</v>
      </c>
      <c r="E86" s="11">
        <v>1</v>
      </c>
      <c r="F86" s="1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5">
        <v>1</v>
      </c>
      <c r="N86" s="18">
        <f>VLOOKUP(D86,gacha_162_base!A:B,2,FALSE)</f>
        <v>2104</v>
      </c>
      <c r="O86" s="14">
        <v>0</v>
      </c>
      <c r="P86" s="14">
        <v>0</v>
      </c>
      <c r="Q86" s="14">
        <v>0</v>
      </c>
      <c r="R86" s="14">
        <v>0</v>
      </c>
      <c r="S86" s="14">
        <v>1</v>
      </c>
    </row>
    <row r="87" spans="1:19" ht="21" customHeight="1">
      <c r="A87" s="7" t="str">
        <f t="shared" si="6"/>
        <v>1621211</v>
      </c>
      <c r="B87" s="2" t="str">
        <f t="shared" si="7"/>
        <v>1621</v>
      </c>
      <c r="C87" s="8" t="str">
        <f t="shared" si="8"/>
        <v>1PremiumN3</v>
      </c>
      <c r="D87" s="8" t="str">
        <f t="shared" si="5"/>
        <v>1PremiumN3</v>
      </c>
      <c r="E87" s="11">
        <v>1</v>
      </c>
      <c r="F87" s="1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5">
        <v>1</v>
      </c>
      <c r="N87" s="18">
        <f>VLOOKUP(D87,gacha_162_base!A:B,2,FALSE)</f>
        <v>24280</v>
      </c>
      <c r="O87" s="14">
        <v>0</v>
      </c>
      <c r="P87" s="14">
        <v>0</v>
      </c>
      <c r="Q87" s="14">
        <v>0</v>
      </c>
      <c r="R87" s="14">
        <v>0</v>
      </c>
      <c r="S87" s="14">
        <v>1</v>
      </c>
    </row>
    <row r="88" spans="1:19" ht="21" customHeight="1">
      <c r="A88" s="7" t="str">
        <f t="shared" si="6"/>
        <v>1621212</v>
      </c>
      <c r="B88" s="2" t="str">
        <f t="shared" si="7"/>
        <v>1621</v>
      </c>
      <c r="C88" s="8" t="str">
        <f t="shared" si="8"/>
        <v>1PremiumN4</v>
      </c>
      <c r="D88" s="8" t="str">
        <f t="shared" si="5"/>
        <v>1PremiumN4</v>
      </c>
      <c r="E88" s="11">
        <v>1</v>
      </c>
      <c r="F88" s="1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5">
        <v>1</v>
      </c>
      <c r="N88" s="18">
        <f>VLOOKUP(D88,gacha_162_base!A:B,2,FALSE)</f>
        <v>5989</v>
      </c>
      <c r="O88" s="14">
        <v>0</v>
      </c>
      <c r="P88" s="14">
        <v>0</v>
      </c>
      <c r="Q88" s="14">
        <v>0</v>
      </c>
      <c r="R88" s="14">
        <v>0</v>
      </c>
      <c r="S88" s="14">
        <v>1</v>
      </c>
    </row>
    <row r="89" spans="1:19" ht="21" customHeight="1">
      <c r="A89" s="7" t="str">
        <f t="shared" si="6"/>
        <v>1621213</v>
      </c>
      <c r="B89" s="2" t="str">
        <f t="shared" si="7"/>
        <v>1621</v>
      </c>
      <c r="C89" s="8" t="str">
        <f t="shared" si="8"/>
        <v>1PremiumN5</v>
      </c>
      <c r="D89" s="8" t="str">
        <f t="shared" si="5"/>
        <v>1PremiumN5</v>
      </c>
      <c r="E89" s="11">
        <v>1</v>
      </c>
      <c r="F89" s="1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5">
        <v>1</v>
      </c>
      <c r="N89" s="18">
        <f>VLOOKUP(D89,gacha_162_base!A:B,2,FALSE)</f>
        <v>2104</v>
      </c>
      <c r="O89" s="14">
        <v>0</v>
      </c>
      <c r="P89" s="14">
        <v>0</v>
      </c>
      <c r="Q89" s="14">
        <v>0</v>
      </c>
      <c r="R89" s="14">
        <v>0</v>
      </c>
      <c r="S89" s="14">
        <v>1</v>
      </c>
    </row>
    <row r="90" spans="1:19" ht="21" customHeight="1">
      <c r="A90" s="7" t="str">
        <f t="shared" si="6"/>
        <v>1621214</v>
      </c>
      <c r="B90" s="2" t="str">
        <f t="shared" si="7"/>
        <v>1621</v>
      </c>
      <c r="C90" s="8" t="str">
        <f t="shared" si="8"/>
        <v>1PremiumN3</v>
      </c>
      <c r="D90" s="8" t="str">
        <f t="shared" si="5"/>
        <v>1PremiumN3</v>
      </c>
      <c r="E90" s="11">
        <v>1</v>
      </c>
      <c r="F90" s="1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5">
        <v>1</v>
      </c>
      <c r="N90" s="18">
        <f>VLOOKUP(D90,gacha_162_base!A:B,2,FALSE)</f>
        <v>24280</v>
      </c>
      <c r="O90" s="14">
        <v>0</v>
      </c>
      <c r="P90" s="14">
        <v>0</v>
      </c>
      <c r="Q90" s="14">
        <v>0</v>
      </c>
      <c r="R90" s="14">
        <v>0</v>
      </c>
      <c r="S90" s="14">
        <v>1</v>
      </c>
    </row>
    <row r="91" spans="1:19" ht="21" customHeight="1">
      <c r="A91" s="7" t="str">
        <f t="shared" si="6"/>
        <v>1621215</v>
      </c>
      <c r="B91" s="2" t="str">
        <f t="shared" si="7"/>
        <v>1621</v>
      </c>
      <c r="C91" s="8" t="str">
        <f t="shared" si="8"/>
        <v>1PremiumN4</v>
      </c>
      <c r="D91" s="8" t="str">
        <f t="shared" si="5"/>
        <v>1PremiumN4</v>
      </c>
      <c r="E91" s="11">
        <v>1</v>
      </c>
      <c r="F91" s="1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5">
        <v>1</v>
      </c>
      <c r="N91" s="18">
        <f>VLOOKUP(D91,gacha_162_base!A:B,2,FALSE)</f>
        <v>5989</v>
      </c>
      <c r="O91" s="14">
        <v>0</v>
      </c>
      <c r="P91" s="14">
        <v>0</v>
      </c>
      <c r="Q91" s="14">
        <v>0</v>
      </c>
      <c r="R91" s="14">
        <v>0</v>
      </c>
      <c r="S91" s="14">
        <v>1</v>
      </c>
    </row>
    <row r="92" spans="1:19" ht="21" customHeight="1">
      <c r="A92" s="7" t="str">
        <f t="shared" si="6"/>
        <v>1621216</v>
      </c>
      <c r="B92" s="2" t="str">
        <f t="shared" si="7"/>
        <v>1621</v>
      </c>
      <c r="C92" s="8" t="str">
        <f t="shared" si="8"/>
        <v>1PremiumN5</v>
      </c>
      <c r="D92" s="8" t="str">
        <f t="shared" si="5"/>
        <v>1PremiumN5</v>
      </c>
      <c r="E92" s="11">
        <v>1</v>
      </c>
      <c r="F92" s="1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5">
        <v>1</v>
      </c>
      <c r="N92" s="18">
        <f>VLOOKUP(D92,gacha_162_base!A:B,2,FALSE)</f>
        <v>2104</v>
      </c>
      <c r="O92" s="14">
        <v>0</v>
      </c>
      <c r="P92" s="14">
        <v>0</v>
      </c>
      <c r="Q92" s="14">
        <v>0</v>
      </c>
      <c r="R92" s="14">
        <v>0</v>
      </c>
      <c r="S92" s="14">
        <v>1</v>
      </c>
    </row>
    <row r="93" spans="1:19" ht="21" customHeight="1">
      <c r="A93" s="7" t="str">
        <f t="shared" si="6"/>
        <v>1621217</v>
      </c>
      <c r="B93" s="2" t="str">
        <f t="shared" si="7"/>
        <v>1621</v>
      </c>
      <c r="C93" s="8" t="str">
        <f t="shared" si="8"/>
        <v>1PremiumN3</v>
      </c>
      <c r="D93" s="8" t="str">
        <f t="shared" si="5"/>
        <v>1PremiumN3</v>
      </c>
      <c r="E93" s="11">
        <v>1</v>
      </c>
      <c r="F93" s="1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5">
        <v>1</v>
      </c>
      <c r="N93" s="18">
        <f>VLOOKUP(D93,gacha_162_base!A:B,2,FALSE)</f>
        <v>24280</v>
      </c>
      <c r="O93" s="14">
        <v>0</v>
      </c>
      <c r="P93" s="14">
        <v>0</v>
      </c>
      <c r="Q93" s="14">
        <v>0</v>
      </c>
      <c r="R93" s="14">
        <v>0</v>
      </c>
      <c r="S93" s="14">
        <v>1</v>
      </c>
    </row>
    <row r="94" spans="1:19" ht="21" customHeight="1">
      <c r="A94" s="7" t="str">
        <f t="shared" si="6"/>
        <v>1621218</v>
      </c>
      <c r="B94" s="2" t="str">
        <f t="shared" si="7"/>
        <v>1621</v>
      </c>
      <c r="C94" s="8" t="str">
        <f t="shared" si="8"/>
        <v>1PremiumN4</v>
      </c>
      <c r="D94" s="8" t="str">
        <f t="shared" si="5"/>
        <v>1PremiumN4</v>
      </c>
      <c r="E94" s="11">
        <v>1</v>
      </c>
      <c r="F94" s="1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5">
        <v>1</v>
      </c>
      <c r="N94" s="18">
        <f>VLOOKUP(D94,gacha_162_base!A:B,2,FALSE)</f>
        <v>5989</v>
      </c>
      <c r="O94" s="14">
        <v>0</v>
      </c>
      <c r="P94" s="14">
        <v>0</v>
      </c>
      <c r="Q94" s="14">
        <v>0</v>
      </c>
      <c r="R94" s="14">
        <v>0</v>
      </c>
      <c r="S94" s="14">
        <v>1</v>
      </c>
    </row>
    <row r="95" spans="1:19" ht="21" customHeight="1">
      <c r="A95" s="7" t="str">
        <f t="shared" si="6"/>
        <v>1621219</v>
      </c>
      <c r="B95" s="2" t="str">
        <f t="shared" si="7"/>
        <v>1621</v>
      </c>
      <c r="C95" s="8" t="str">
        <f t="shared" si="8"/>
        <v>1PremiumN5</v>
      </c>
      <c r="D95" s="8" t="str">
        <f t="shared" si="5"/>
        <v>1PremiumN5</v>
      </c>
      <c r="E95" s="11">
        <v>1</v>
      </c>
      <c r="F95" s="1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5">
        <v>1</v>
      </c>
      <c r="N95" s="18">
        <f>VLOOKUP(D95,gacha_162_base!A:B,2,FALSE)</f>
        <v>2104</v>
      </c>
      <c r="O95" s="14">
        <v>0</v>
      </c>
      <c r="P95" s="14">
        <v>0</v>
      </c>
      <c r="Q95" s="14">
        <v>0</v>
      </c>
      <c r="R95" s="14">
        <v>0</v>
      </c>
      <c r="S95" s="14">
        <v>1</v>
      </c>
    </row>
    <row r="96" spans="1:19" ht="21" customHeight="1">
      <c r="A96" s="7" t="str">
        <f t="shared" si="6"/>
        <v>1621220</v>
      </c>
      <c r="B96" s="2" t="str">
        <f t="shared" si="7"/>
        <v>1621</v>
      </c>
      <c r="C96" s="8" t="str">
        <f t="shared" si="8"/>
        <v>1PremiumN3</v>
      </c>
      <c r="D96" s="8" t="str">
        <f t="shared" si="5"/>
        <v>1PremiumN3</v>
      </c>
      <c r="E96" s="11">
        <v>1</v>
      </c>
      <c r="F96" s="1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5">
        <v>1</v>
      </c>
      <c r="N96" s="18">
        <f>VLOOKUP(D96,gacha_162_base!A:B,2,FALSE)</f>
        <v>24280</v>
      </c>
      <c r="O96" s="14">
        <v>0</v>
      </c>
      <c r="P96" s="14">
        <v>0</v>
      </c>
      <c r="Q96" s="14">
        <v>0</v>
      </c>
      <c r="R96" s="14">
        <v>0</v>
      </c>
      <c r="S96" s="14">
        <v>1</v>
      </c>
    </row>
    <row r="97" spans="1:19" ht="21" customHeight="1">
      <c r="A97" s="7" t="str">
        <f t="shared" si="6"/>
        <v>1621221</v>
      </c>
      <c r="B97" s="2" t="str">
        <f t="shared" si="7"/>
        <v>1621</v>
      </c>
      <c r="C97" s="8" t="str">
        <f t="shared" si="8"/>
        <v>1PremiumN4</v>
      </c>
      <c r="D97" s="8" t="str">
        <f t="shared" si="5"/>
        <v>1PremiumN4</v>
      </c>
      <c r="E97" s="11">
        <v>1</v>
      </c>
      <c r="F97" s="1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5">
        <v>1</v>
      </c>
      <c r="N97" s="18">
        <f>VLOOKUP(D97,gacha_162_base!A:B,2,FALSE)</f>
        <v>5989</v>
      </c>
      <c r="O97" s="14">
        <v>0</v>
      </c>
      <c r="P97" s="14">
        <v>0</v>
      </c>
      <c r="Q97" s="14">
        <v>0</v>
      </c>
      <c r="R97" s="14">
        <v>0</v>
      </c>
      <c r="S97" s="14">
        <v>1</v>
      </c>
    </row>
    <row r="98" spans="1:19" ht="21" customHeight="1">
      <c r="A98" s="7" t="str">
        <f t="shared" si="6"/>
        <v>1621222</v>
      </c>
      <c r="B98" s="2" t="str">
        <f t="shared" si="7"/>
        <v>1621</v>
      </c>
      <c r="C98" s="8" t="str">
        <f t="shared" si="8"/>
        <v>1PremiumN5</v>
      </c>
      <c r="D98" s="8" t="str">
        <f t="shared" si="5"/>
        <v>1PremiumN5</v>
      </c>
      <c r="E98" s="11">
        <v>1</v>
      </c>
      <c r="F98" s="1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5">
        <v>1</v>
      </c>
      <c r="N98" s="18">
        <f>VLOOKUP(D98,gacha_162_base!A:B,2,FALSE)</f>
        <v>2104</v>
      </c>
      <c r="O98" s="14">
        <v>0</v>
      </c>
      <c r="P98" s="14">
        <v>0</v>
      </c>
      <c r="Q98" s="14">
        <v>0</v>
      </c>
      <c r="R98" s="14">
        <v>0</v>
      </c>
      <c r="S98" s="14">
        <v>1</v>
      </c>
    </row>
    <row r="99" spans="1:19" ht="21" customHeight="1">
      <c r="A99" s="7" t="str">
        <f t="shared" si="6"/>
        <v>1621223</v>
      </c>
      <c r="B99" s="2" t="str">
        <f t="shared" si="7"/>
        <v>1621</v>
      </c>
      <c r="C99" s="8" t="str">
        <f t="shared" si="8"/>
        <v>1PremiumN3</v>
      </c>
      <c r="D99" s="8" t="str">
        <f t="shared" si="5"/>
        <v>1PremiumN3</v>
      </c>
      <c r="E99" s="11">
        <v>1</v>
      </c>
      <c r="F99" s="1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5">
        <v>1</v>
      </c>
      <c r="N99" s="18">
        <f>VLOOKUP(D99,gacha_162_base!A:B,2,FALSE)</f>
        <v>24280</v>
      </c>
      <c r="O99" s="14">
        <v>0</v>
      </c>
      <c r="P99" s="14">
        <v>0</v>
      </c>
      <c r="Q99" s="14">
        <v>0</v>
      </c>
      <c r="R99" s="14">
        <v>0</v>
      </c>
      <c r="S99" s="14">
        <v>1</v>
      </c>
    </row>
    <row r="100" spans="1:19" ht="21" customHeight="1">
      <c r="A100" s="7" t="str">
        <f t="shared" si="6"/>
        <v>1621224</v>
      </c>
      <c r="B100" s="2" t="str">
        <f t="shared" si="7"/>
        <v>1621</v>
      </c>
      <c r="C100" s="8" t="str">
        <f t="shared" si="8"/>
        <v>1PremiumN4</v>
      </c>
      <c r="D100" s="8" t="str">
        <f t="shared" si="5"/>
        <v>1PremiumN4</v>
      </c>
      <c r="E100" s="11">
        <v>1</v>
      </c>
      <c r="F100" s="1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5">
        <v>1</v>
      </c>
      <c r="N100" s="18">
        <f>VLOOKUP(D100,gacha_162_base!A:B,2,FALSE)</f>
        <v>5989</v>
      </c>
      <c r="O100" s="14">
        <v>0</v>
      </c>
      <c r="P100" s="14">
        <v>0</v>
      </c>
      <c r="Q100" s="14">
        <v>0</v>
      </c>
      <c r="R100" s="14">
        <v>0</v>
      </c>
      <c r="S100" s="14">
        <v>1</v>
      </c>
    </row>
    <row r="101" spans="1:19" ht="21" customHeight="1">
      <c r="A101" s="7" t="str">
        <f t="shared" si="6"/>
        <v>1621225</v>
      </c>
      <c r="B101" s="2" t="str">
        <f t="shared" si="7"/>
        <v>1621</v>
      </c>
      <c r="C101" s="8" t="str">
        <f t="shared" si="8"/>
        <v>1PremiumN5</v>
      </c>
      <c r="D101" s="8" t="str">
        <f t="shared" si="5"/>
        <v>1PremiumN5</v>
      </c>
      <c r="E101" s="11">
        <v>1</v>
      </c>
      <c r="F101" s="1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5">
        <v>1</v>
      </c>
      <c r="N101" s="18">
        <f>VLOOKUP(D101,gacha_162_base!A:B,2,FALSE)</f>
        <v>2104</v>
      </c>
      <c r="O101" s="14">
        <v>0</v>
      </c>
      <c r="P101" s="14">
        <v>0</v>
      </c>
      <c r="Q101" s="14">
        <v>0</v>
      </c>
      <c r="R101" s="14">
        <v>0</v>
      </c>
      <c r="S101" s="14">
        <v>1</v>
      </c>
    </row>
    <row r="102" spans="1:19" ht="21" customHeight="1">
      <c r="A102" s="7" t="str">
        <f t="shared" si="6"/>
        <v>1621226</v>
      </c>
      <c r="B102" s="2" t="str">
        <f t="shared" si="7"/>
        <v>1621</v>
      </c>
      <c r="C102" s="8" t="str">
        <f t="shared" si="8"/>
        <v>1PremiumS3</v>
      </c>
      <c r="D102" s="8" t="str">
        <f t="shared" si="5"/>
        <v>1PremiumS3</v>
      </c>
      <c r="E102" s="11">
        <v>1</v>
      </c>
      <c r="F102" s="1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5">
        <v>1</v>
      </c>
      <c r="N102" s="18">
        <f>VLOOKUP(D102,gacha_162_base!A:B,2,FALSE)</f>
        <v>25558</v>
      </c>
      <c r="O102" s="14">
        <v>0</v>
      </c>
      <c r="P102" s="14">
        <v>0</v>
      </c>
      <c r="Q102" s="14">
        <v>0</v>
      </c>
      <c r="R102" s="14">
        <v>0</v>
      </c>
      <c r="S102" s="14">
        <v>1</v>
      </c>
    </row>
    <row r="103" spans="1:19" ht="21" customHeight="1">
      <c r="A103" s="7" t="str">
        <f t="shared" si="6"/>
        <v>1621227</v>
      </c>
      <c r="B103" s="2" t="str">
        <f t="shared" si="7"/>
        <v>1621</v>
      </c>
      <c r="C103" s="8" t="str">
        <f t="shared" si="8"/>
        <v>1PremiumS4</v>
      </c>
      <c r="D103" s="8" t="str">
        <f t="shared" si="5"/>
        <v>1PremiumS4</v>
      </c>
      <c r="E103" s="11">
        <v>1</v>
      </c>
      <c r="F103" s="1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5">
        <v>1</v>
      </c>
      <c r="N103" s="18">
        <f>VLOOKUP(D103,gacha_162_base!A:B,2,FALSE)</f>
        <v>6304</v>
      </c>
      <c r="O103" s="14">
        <v>0</v>
      </c>
      <c r="P103" s="14">
        <v>0</v>
      </c>
      <c r="Q103" s="14">
        <v>0</v>
      </c>
      <c r="R103" s="14">
        <v>0</v>
      </c>
      <c r="S103" s="14">
        <v>1</v>
      </c>
    </row>
    <row r="104" spans="1:19" ht="21" customHeight="1">
      <c r="A104" s="7" t="str">
        <f t="shared" si="6"/>
        <v>1621228</v>
      </c>
      <c r="B104" s="2" t="str">
        <f t="shared" si="7"/>
        <v>1621</v>
      </c>
      <c r="C104" s="8" t="str">
        <f t="shared" si="8"/>
        <v>1PremiumS5</v>
      </c>
      <c r="D104" s="8" t="str">
        <f t="shared" si="5"/>
        <v>1PremiumS5</v>
      </c>
      <c r="E104" s="11">
        <v>1</v>
      </c>
      <c r="F104" s="1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5">
        <v>1</v>
      </c>
      <c r="N104" s="18">
        <f>VLOOKUP(D104,gacha_162_base!A:B,2,FALSE)</f>
        <v>2215</v>
      </c>
      <c r="O104" s="14">
        <v>0</v>
      </c>
      <c r="P104" s="14">
        <v>0</v>
      </c>
      <c r="Q104" s="14">
        <v>0</v>
      </c>
      <c r="R104" s="14">
        <v>0</v>
      </c>
      <c r="S104" s="14">
        <v>1</v>
      </c>
    </row>
    <row r="105" spans="1:19" ht="21" customHeight="1">
      <c r="A105" s="7" t="str">
        <f t="shared" si="6"/>
        <v>1621229</v>
      </c>
      <c r="B105" s="2" t="str">
        <f t="shared" si="7"/>
        <v>1621</v>
      </c>
      <c r="C105" s="8" t="str">
        <f t="shared" si="8"/>
        <v>1PremiumS3</v>
      </c>
      <c r="D105" s="8" t="str">
        <f t="shared" si="5"/>
        <v>1PremiumS3</v>
      </c>
      <c r="E105" s="11">
        <v>1</v>
      </c>
      <c r="F105" s="1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5">
        <v>1</v>
      </c>
      <c r="N105" s="18">
        <f>VLOOKUP(D105,gacha_162_base!A:B,2,FALSE)</f>
        <v>25558</v>
      </c>
      <c r="O105" s="14">
        <v>0</v>
      </c>
      <c r="P105" s="14">
        <v>0</v>
      </c>
      <c r="Q105" s="14">
        <v>0</v>
      </c>
      <c r="R105" s="14">
        <v>0</v>
      </c>
      <c r="S105" s="14">
        <v>1</v>
      </c>
    </row>
    <row r="106" spans="1:19" ht="21" customHeight="1">
      <c r="A106" s="7" t="str">
        <f t="shared" si="6"/>
        <v>1621230</v>
      </c>
      <c r="B106" s="2" t="str">
        <f t="shared" si="7"/>
        <v>1621</v>
      </c>
      <c r="C106" s="8" t="str">
        <f t="shared" si="8"/>
        <v>1PremiumS4</v>
      </c>
      <c r="D106" s="8" t="str">
        <f t="shared" si="5"/>
        <v>1PremiumS4</v>
      </c>
      <c r="E106" s="11">
        <v>1</v>
      </c>
      <c r="F106" s="1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5">
        <v>1</v>
      </c>
      <c r="N106" s="18">
        <f>VLOOKUP(D106,gacha_162_base!A:B,2,FALSE)</f>
        <v>6304</v>
      </c>
      <c r="O106" s="14">
        <v>0</v>
      </c>
      <c r="P106" s="14">
        <v>0</v>
      </c>
      <c r="Q106" s="14">
        <v>0</v>
      </c>
      <c r="R106" s="14">
        <v>0</v>
      </c>
      <c r="S106" s="14">
        <v>1</v>
      </c>
    </row>
    <row r="107" spans="1:19" ht="21" customHeight="1">
      <c r="A107" s="7" t="str">
        <f t="shared" si="6"/>
        <v>1621231</v>
      </c>
      <c r="B107" s="2" t="str">
        <f t="shared" si="7"/>
        <v>1621</v>
      </c>
      <c r="C107" s="8" t="str">
        <f t="shared" si="8"/>
        <v>1PremiumS5</v>
      </c>
      <c r="D107" s="8" t="str">
        <f t="shared" si="5"/>
        <v>1PremiumS5</v>
      </c>
      <c r="E107" s="11">
        <v>1</v>
      </c>
      <c r="F107" s="1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5">
        <v>1</v>
      </c>
      <c r="N107" s="18">
        <f>VLOOKUP(D107,gacha_162_base!A:B,2,FALSE)</f>
        <v>2215</v>
      </c>
      <c r="O107" s="14">
        <v>0</v>
      </c>
      <c r="P107" s="14">
        <v>0</v>
      </c>
      <c r="Q107" s="14">
        <v>0</v>
      </c>
      <c r="R107" s="14">
        <v>0</v>
      </c>
      <c r="S107" s="14">
        <v>1</v>
      </c>
    </row>
    <row r="108" spans="1:19" ht="21" customHeight="1">
      <c r="A108" s="7" t="str">
        <f t="shared" si="6"/>
        <v>1621232</v>
      </c>
      <c r="B108" s="2" t="str">
        <f t="shared" si="7"/>
        <v>1621</v>
      </c>
      <c r="C108" s="8" t="str">
        <f t="shared" si="8"/>
        <v>1PremiumS3</v>
      </c>
      <c r="D108" s="8" t="str">
        <f t="shared" si="5"/>
        <v>1PremiumS3</v>
      </c>
      <c r="E108" s="11">
        <v>1</v>
      </c>
      <c r="F108" s="1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5">
        <v>1</v>
      </c>
      <c r="N108" s="18">
        <f>VLOOKUP(D108,gacha_162_base!A:B,2,FALSE)</f>
        <v>25558</v>
      </c>
      <c r="O108" s="14">
        <v>0</v>
      </c>
      <c r="P108" s="14">
        <v>0</v>
      </c>
      <c r="Q108" s="14">
        <v>0</v>
      </c>
      <c r="R108" s="14">
        <v>0</v>
      </c>
      <c r="S108" s="14">
        <v>1</v>
      </c>
    </row>
    <row r="109" spans="1:19" ht="21" customHeight="1">
      <c r="A109" s="7" t="str">
        <f t="shared" si="6"/>
        <v>1621233</v>
      </c>
      <c r="B109" s="2" t="str">
        <f t="shared" si="7"/>
        <v>1621</v>
      </c>
      <c r="C109" s="8" t="str">
        <f t="shared" si="8"/>
        <v>1PremiumS4</v>
      </c>
      <c r="D109" s="8" t="str">
        <f t="shared" si="5"/>
        <v>1PremiumS4</v>
      </c>
      <c r="E109" s="11">
        <v>1</v>
      </c>
      <c r="F109" s="1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5">
        <v>1</v>
      </c>
      <c r="N109" s="18">
        <f>VLOOKUP(D109,gacha_162_base!A:B,2,FALSE)</f>
        <v>6304</v>
      </c>
      <c r="O109" s="14">
        <v>0</v>
      </c>
      <c r="P109" s="14">
        <v>0</v>
      </c>
      <c r="Q109" s="14">
        <v>0</v>
      </c>
      <c r="R109" s="14">
        <v>0</v>
      </c>
      <c r="S109" s="14">
        <v>1</v>
      </c>
    </row>
    <row r="110" spans="1:19" ht="21" customHeight="1">
      <c r="A110" s="7" t="str">
        <f t="shared" si="6"/>
        <v>1621234</v>
      </c>
      <c r="B110" s="2" t="str">
        <f t="shared" si="7"/>
        <v>1621</v>
      </c>
      <c r="C110" s="8" t="str">
        <f t="shared" si="8"/>
        <v>1PremiumS5</v>
      </c>
      <c r="D110" s="8" t="str">
        <f t="shared" si="5"/>
        <v>1PremiumS5</v>
      </c>
      <c r="E110" s="11">
        <v>1</v>
      </c>
      <c r="F110" s="1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5">
        <v>1</v>
      </c>
      <c r="N110" s="18">
        <f>VLOOKUP(D110,gacha_162_base!A:B,2,FALSE)</f>
        <v>2215</v>
      </c>
      <c r="O110" s="14">
        <v>0</v>
      </c>
      <c r="P110" s="14">
        <v>0</v>
      </c>
      <c r="Q110" s="14">
        <v>0</v>
      </c>
      <c r="R110" s="14">
        <v>0</v>
      </c>
      <c r="S110" s="14">
        <v>1</v>
      </c>
    </row>
    <row r="111" spans="1:19" ht="21" customHeight="1">
      <c r="A111" s="7" t="str">
        <f t="shared" si="6"/>
        <v>1621235</v>
      </c>
      <c r="B111" s="2" t="str">
        <f t="shared" si="7"/>
        <v>1621</v>
      </c>
      <c r="C111" s="8" t="str">
        <f t="shared" si="8"/>
        <v>1PremiumS3</v>
      </c>
      <c r="D111" s="8" t="str">
        <f t="shared" si="5"/>
        <v>1PremiumS3</v>
      </c>
      <c r="E111" s="11">
        <v>1</v>
      </c>
      <c r="F111" s="1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5">
        <v>1</v>
      </c>
      <c r="N111" s="18">
        <f>VLOOKUP(D111,gacha_162_base!A:B,2,FALSE)</f>
        <v>25558</v>
      </c>
      <c r="O111" s="14">
        <v>0</v>
      </c>
      <c r="P111" s="14">
        <v>0</v>
      </c>
      <c r="Q111" s="14">
        <v>0</v>
      </c>
      <c r="R111" s="14">
        <v>0</v>
      </c>
      <c r="S111" s="14">
        <v>1</v>
      </c>
    </row>
    <row r="112" spans="1:19" ht="21" customHeight="1">
      <c r="A112" s="7" t="str">
        <f t="shared" si="6"/>
        <v>1621236</v>
      </c>
      <c r="B112" s="2" t="str">
        <f t="shared" si="7"/>
        <v>1621</v>
      </c>
      <c r="C112" s="8" t="str">
        <f t="shared" si="8"/>
        <v>1PremiumS4</v>
      </c>
      <c r="D112" s="8" t="str">
        <f t="shared" si="5"/>
        <v>1PremiumS4</v>
      </c>
      <c r="E112" s="11">
        <v>1</v>
      </c>
      <c r="F112" s="1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5">
        <v>1</v>
      </c>
      <c r="N112" s="18">
        <f>VLOOKUP(D112,gacha_162_base!A:B,2,FALSE)</f>
        <v>6304</v>
      </c>
      <c r="O112" s="14">
        <v>0</v>
      </c>
      <c r="P112" s="14">
        <v>0</v>
      </c>
      <c r="Q112" s="14">
        <v>0</v>
      </c>
      <c r="R112" s="14">
        <v>0</v>
      </c>
      <c r="S112" s="14">
        <v>1</v>
      </c>
    </row>
    <row r="113" spans="1:19" ht="21" customHeight="1">
      <c r="A113" s="7" t="str">
        <f t="shared" si="6"/>
        <v>1621237</v>
      </c>
      <c r="B113" s="2" t="str">
        <f t="shared" si="7"/>
        <v>1621</v>
      </c>
      <c r="C113" s="8" t="str">
        <f t="shared" si="8"/>
        <v>1PremiumS5</v>
      </c>
      <c r="D113" s="8" t="str">
        <f t="shared" si="5"/>
        <v>1PremiumS5</v>
      </c>
      <c r="E113" s="11">
        <v>1</v>
      </c>
      <c r="F113" s="1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5">
        <v>1</v>
      </c>
      <c r="N113" s="18">
        <f>VLOOKUP(D113,gacha_162_base!A:B,2,FALSE)</f>
        <v>2215</v>
      </c>
      <c r="O113" s="14">
        <v>0</v>
      </c>
      <c r="P113" s="14">
        <v>0</v>
      </c>
      <c r="Q113" s="14">
        <v>0</v>
      </c>
      <c r="R113" s="14">
        <v>0</v>
      </c>
      <c r="S113" s="14">
        <v>1</v>
      </c>
    </row>
    <row r="114" spans="1:19" ht="21" customHeight="1">
      <c r="A114" s="7" t="str">
        <f t="shared" si="6"/>
        <v>1621238</v>
      </c>
      <c r="B114" s="2" t="str">
        <f t="shared" si="7"/>
        <v>1621</v>
      </c>
      <c r="C114" s="8" t="str">
        <f t="shared" si="8"/>
        <v>1PremiumS3</v>
      </c>
      <c r="D114" s="8" t="str">
        <f t="shared" si="5"/>
        <v>1PremiumS3</v>
      </c>
      <c r="E114" s="11">
        <v>1</v>
      </c>
      <c r="F114" s="1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5">
        <v>1</v>
      </c>
      <c r="N114" s="18">
        <f>VLOOKUP(D114,gacha_162_base!A:B,2,FALSE)</f>
        <v>25558</v>
      </c>
      <c r="O114" s="14">
        <v>0</v>
      </c>
      <c r="P114" s="14">
        <v>0</v>
      </c>
      <c r="Q114" s="14">
        <v>0</v>
      </c>
      <c r="R114" s="14">
        <v>0</v>
      </c>
      <c r="S114" s="14">
        <v>1</v>
      </c>
    </row>
    <row r="115" spans="1:19" ht="21" customHeight="1">
      <c r="A115" s="7" t="str">
        <f t="shared" si="6"/>
        <v>1621239</v>
      </c>
      <c r="B115" s="2" t="str">
        <f t="shared" si="7"/>
        <v>1621</v>
      </c>
      <c r="C115" s="8" t="str">
        <f t="shared" si="8"/>
        <v>1PremiumS4</v>
      </c>
      <c r="D115" s="8" t="str">
        <f t="shared" si="5"/>
        <v>1PremiumS4</v>
      </c>
      <c r="E115" s="11">
        <v>1</v>
      </c>
      <c r="F115" s="1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5">
        <v>1</v>
      </c>
      <c r="N115" s="18">
        <f>VLOOKUP(D115,gacha_162_base!A:B,2,FALSE)</f>
        <v>6304</v>
      </c>
      <c r="O115" s="14">
        <v>0</v>
      </c>
      <c r="P115" s="14">
        <v>0</v>
      </c>
      <c r="Q115" s="14">
        <v>0</v>
      </c>
      <c r="R115" s="14">
        <v>0</v>
      </c>
      <c r="S115" s="14">
        <v>1</v>
      </c>
    </row>
    <row r="116" spans="1:19" ht="21" customHeight="1">
      <c r="A116" s="7" t="str">
        <f t="shared" si="6"/>
        <v>1621240</v>
      </c>
      <c r="B116" s="2" t="str">
        <f t="shared" si="7"/>
        <v>1621</v>
      </c>
      <c r="C116" s="8" t="str">
        <f t="shared" si="8"/>
        <v>1PremiumS5</v>
      </c>
      <c r="D116" s="8" t="str">
        <f t="shared" si="5"/>
        <v>1PremiumS5</v>
      </c>
      <c r="E116" s="11">
        <v>1</v>
      </c>
      <c r="F116" s="1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5">
        <v>1</v>
      </c>
      <c r="N116" s="18">
        <f>VLOOKUP(D116,gacha_162_base!A:B,2,FALSE)</f>
        <v>2215</v>
      </c>
      <c r="O116" s="14">
        <v>0</v>
      </c>
      <c r="P116" s="14">
        <v>0</v>
      </c>
      <c r="Q116" s="14">
        <v>0</v>
      </c>
      <c r="R116" s="14">
        <v>0</v>
      </c>
      <c r="S116" s="14">
        <v>1</v>
      </c>
    </row>
    <row r="117" spans="1:19" ht="21" customHeight="1">
      <c r="A117" s="7" t="str">
        <f t="shared" si="6"/>
        <v>1621241</v>
      </c>
      <c r="B117" s="2" t="str">
        <f t="shared" si="7"/>
        <v>1621</v>
      </c>
      <c r="C117" s="8" t="str">
        <f t="shared" si="8"/>
        <v>1PremiumS3</v>
      </c>
      <c r="D117" s="8" t="str">
        <f t="shared" si="5"/>
        <v>1PremiumS3</v>
      </c>
      <c r="E117" s="11">
        <v>1</v>
      </c>
      <c r="F117" s="1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5">
        <v>1</v>
      </c>
      <c r="N117" s="18">
        <f>VLOOKUP(D117,gacha_162_base!A:B,2,FALSE)</f>
        <v>25558</v>
      </c>
      <c r="O117" s="14">
        <v>0</v>
      </c>
      <c r="P117" s="14">
        <v>0</v>
      </c>
      <c r="Q117" s="14">
        <v>0</v>
      </c>
      <c r="R117" s="14">
        <v>0</v>
      </c>
      <c r="S117" s="14">
        <v>1</v>
      </c>
    </row>
    <row r="118" spans="1:19" ht="21" customHeight="1">
      <c r="A118" s="7" t="str">
        <f t="shared" si="6"/>
        <v>1621242</v>
      </c>
      <c r="B118" s="2" t="str">
        <f t="shared" si="7"/>
        <v>1621</v>
      </c>
      <c r="C118" s="8" t="str">
        <f t="shared" si="8"/>
        <v>1PremiumS4</v>
      </c>
      <c r="D118" s="8" t="str">
        <f t="shared" si="5"/>
        <v>1PremiumS4</v>
      </c>
      <c r="E118" s="11">
        <v>1</v>
      </c>
      <c r="F118" s="1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5">
        <v>1</v>
      </c>
      <c r="N118" s="18">
        <f>VLOOKUP(D118,gacha_162_base!A:B,2,FALSE)</f>
        <v>6304</v>
      </c>
      <c r="O118" s="14">
        <v>0</v>
      </c>
      <c r="P118" s="14">
        <v>0</v>
      </c>
      <c r="Q118" s="14">
        <v>0</v>
      </c>
      <c r="R118" s="14">
        <v>0</v>
      </c>
      <c r="S118" s="14">
        <v>1</v>
      </c>
    </row>
    <row r="119" spans="1:19" ht="21" customHeight="1">
      <c r="A119" s="7" t="str">
        <f t="shared" si="6"/>
        <v>1621243</v>
      </c>
      <c r="B119" s="2" t="str">
        <f t="shared" si="7"/>
        <v>1621</v>
      </c>
      <c r="C119" s="8" t="str">
        <f t="shared" si="8"/>
        <v>1PremiumS5</v>
      </c>
      <c r="D119" s="8" t="str">
        <f t="shared" si="5"/>
        <v>1PremiumS5</v>
      </c>
      <c r="E119" s="11">
        <v>1</v>
      </c>
      <c r="F119" s="1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5">
        <v>1</v>
      </c>
      <c r="N119" s="18">
        <f>VLOOKUP(D119,gacha_162_base!A:B,2,FALSE)</f>
        <v>2215</v>
      </c>
      <c r="O119" s="14">
        <v>0</v>
      </c>
      <c r="P119" s="14">
        <v>0</v>
      </c>
      <c r="Q119" s="14">
        <v>0</v>
      </c>
      <c r="R119" s="14">
        <v>0</v>
      </c>
      <c r="S119" s="14">
        <v>1</v>
      </c>
    </row>
    <row r="120" spans="1:19" ht="21" customHeight="1">
      <c r="A120" s="7" t="str">
        <f t="shared" si="6"/>
        <v>1621244</v>
      </c>
      <c r="B120" s="2" t="str">
        <f t="shared" si="7"/>
        <v>1621</v>
      </c>
      <c r="C120" s="8" t="str">
        <f t="shared" si="8"/>
        <v>1PremiumS3</v>
      </c>
      <c r="D120" s="8" t="str">
        <f t="shared" si="5"/>
        <v>1PremiumS3</v>
      </c>
      <c r="E120" s="11">
        <v>1</v>
      </c>
      <c r="F120" s="1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5">
        <v>1</v>
      </c>
      <c r="N120" s="18">
        <f>VLOOKUP(D120,gacha_162_base!A:B,2,FALSE)</f>
        <v>25558</v>
      </c>
      <c r="O120" s="14">
        <v>0</v>
      </c>
      <c r="P120" s="14">
        <v>0</v>
      </c>
      <c r="Q120" s="14">
        <v>0</v>
      </c>
      <c r="R120" s="14">
        <v>0</v>
      </c>
      <c r="S120" s="14">
        <v>1</v>
      </c>
    </row>
    <row r="121" spans="1:19" ht="21" customHeight="1">
      <c r="A121" s="7" t="str">
        <f t="shared" si="6"/>
        <v>1621245</v>
      </c>
      <c r="B121" s="2" t="str">
        <f t="shared" si="7"/>
        <v>1621</v>
      </c>
      <c r="C121" s="8" t="str">
        <f t="shared" si="8"/>
        <v>1PremiumS4</v>
      </c>
      <c r="D121" s="8" t="str">
        <f t="shared" si="5"/>
        <v>1PremiumS4</v>
      </c>
      <c r="E121" s="11">
        <v>1</v>
      </c>
      <c r="F121" s="1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5">
        <v>1</v>
      </c>
      <c r="N121" s="18">
        <f>VLOOKUP(D121,gacha_162_base!A:B,2,FALSE)</f>
        <v>6304</v>
      </c>
      <c r="O121" s="14">
        <v>0</v>
      </c>
      <c r="P121" s="14">
        <v>0</v>
      </c>
      <c r="Q121" s="14">
        <v>0</v>
      </c>
      <c r="R121" s="14">
        <v>0</v>
      </c>
      <c r="S121" s="14">
        <v>1</v>
      </c>
    </row>
    <row r="122" spans="1:19" ht="21" customHeight="1">
      <c r="A122" s="7" t="str">
        <f t="shared" si="6"/>
        <v>1621246</v>
      </c>
      <c r="B122" s="2" t="str">
        <f t="shared" si="7"/>
        <v>1621</v>
      </c>
      <c r="C122" s="8" t="str">
        <f t="shared" si="8"/>
        <v>1PremiumS5</v>
      </c>
      <c r="D122" s="8" t="str">
        <f t="shared" si="5"/>
        <v>1PremiumS5</v>
      </c>
      <c r="E122" s="11">
        <v>1</v>
      </c>
      <c r="F122" s="1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5">
        <v>1</v>
      </c>
      <c r="N122" s="18">
        <f>VLOOKUP(D122,gacha_162_base!A:B,2,FALSE)</f>
        <v>2215</v>
      </c>
      <c r="O122" s="14">
        <v>0</v>
      </c>
      <c r="P122" s="14">
        <v>0</v>
      </c>
      <c r="Q122" s="14">
        <v>0</v>
      </c>
      <c r="R122" s="14">
        <v>0</v>
      </c>
      <c r="S122" s="14">
        <v>1</v>
      </c>
    </row>
    <row r="123" spans="1:19" ht="21" customHeight="1">
      <c r="A123" s="7" t="str">
        <f t="shared" si="6"/>
        <v>1621247</v>
      </c>
      <c r="B123" s="2" t="str">
        <f t="shared" si="7"/>
        <v>1621</v>
      </c>
      <c r="C123" s="8" t="str">
        <f t="shared" si="8"/>
        <v>1PremiumS3</v>
      </c>
      <c r="D123" s="8" t="str">
        <f t="shared" si="5"/>
        <v>1PremiumS3</v>
      </c>
      <c r="E123" s="11">
        <v>1</v>
      </c>
      <c r="F123" s="1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5">
        <v>1</v>
      </c>
      <c r="N123" s="18">
        <f>VLOOKUP(D123,gacha_162_base!A:B,2,FALSE)</f>
        <v>25558</v>
      </c>
      <c r="O123" s="14">
        <v>0</v>
      </c>
      <c r="P123" s="14">
        <v>0</v>
      </c>
      <c r="Q123" s="14">
        <v>0</v>
      </c>
      <c r="R123" s="14">
        <v>0</v>
      </c>
      <c r="S123" s="14">
        <v>1</v>
      </c>
    </row>
    <row r="124" spans="1:19" ht="21" customHeight="1">
      <c r="A124" s="7" t="str">
        <f t="shared" si="6"/>
        <v>1621248</v>
      </c>
      <c r="B124" s="2" t="str">
        <f t="shared" si="7"/>
        <v>1621</v>
      </c>
      <c r="C124" s="8" t="str">
        <f t="shared" si="8"/>
        <v>1PremiumS4</v>
      </c>
      <c r="D124" s="8" t="str">
        <f t="shared" si="5"/>
        <v>1PremiumS4</v>
      </c>
      <c r="E124" s="11">
        <v>1</v>
      </c>
      <c r="F124" s="1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5">
        <v>1</v>
      </c>
      <c r="N124" s="18">
        <f>VLOOKUP(D124,gacha_162_base!A:B,2,FALSE)</f>
        <v>6304</v>
      </c>
      <c r="O124" s="14">
        <v>0</v>
      </c>
      <c r="P124" s="14">
        <v>0</v>
      </c>
      <c r="Q124" s="14">
        <v>0</v>
      </c>
      <c r="R124" s="14">
        <v>0</v>
      </c>
      <c r="S124" s="14">
        <v>1</v>
      </c>
    </row>
    <row r="125" spans="1:19" ht="21" customHeight="1">
      <c r="A125" s="7" t="str">
        <f t="shared" si="6"/>
        <v>1621249</v>
      </c>
      <c r="B125" s="2" t="str">
        <f t="shared" si="7"/>
        <v>1621</v>
      </c>
      <c r="C125" s="8" t="str">
        <f t="shared" si="8"/>
        <v>1PremiumS5</v>
      </c>
      <c r="D125" s="8" t="str">
        <f t="shared" si="5"/>
        <v>1PremiumS5</v>
      </c>
      <c r="E125" s="11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5">
        <v>1</v>
      </c>
      <c r="N125" s="18">
        <f>VLOOKUP(D125,gacha_162_base!A:B,2,FALSE)</f>
        <v>2215</v>
      </c>
      <c r="O125" s="14">
        <v>0</v>
      </c>
      <c r="P125" s="14">
        <v>0</v>
      </c>
      <c r="Q125" s="14">
        <v>0</v>
      </c>
      <c r="R125" s="14">
        <v>0</v>
      </c>
      <c r="S125" s="14">
        <v>1</v>
      </c>
    </row>
    <row r="126" spans="1:19" ht="21" customHeight="1">
      <c r="A126" s="7" t="str">
        <f t="shared" si="6"/>
        <v>1621250</v>
      </c>
      <c r="B126" s="2" t="str">
        <f t="shared" si="7"/>
        <v>1621</v>
      </c>
      <c r="C126" s="8" t="str">
        <f t="shared" si="8"/>
        <v>1PremiumS3</v>
      </c>
      <c r="D126" s="8" t="str">
        <f t="shared" si="5"/>
        <v>1PremiumS3</v>
      </c>
      <c r="E126" s="11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5">
        <v>1</v>
      </c>
      <c r="N126" s="18">
        <f>VLOOKUP(D126,gacha_162_base!A:B,2,FALSE)</f>
        <v>25558</v>
      </c>
      <c r="O126" s="14">
        <v>0</v>
      </c>
      <c r="P126" s="14">
        <v>0</v>
      </c>
      <c r="Q126" s="14">
        <v>0</v>
      </c>
      <c r="R126" s="14">
        <v>0</v>
      </c>
      <c r="S126" s="14">
        <v>1</v>
      </c>
    </row>
    <row r="127" spans="1:19" ht="21" customHeight="1">
      <c r="A127" s="7" t="str">
        <f t="shared" si="6"/>
        <v>1621251</v>
      </c>
      <c r="B127" s="2" t="str">
        <f t="shared" si="7"/>
        <v>1621</v>
      </c>
      <c r="C127" s="8" t="str">
        <f t="shared" si="8"/>
        <v>1PremiumS4</v>
      </c>
      <c r="D127" s="8" t="str">
        <f t="shared" si="5"/>
        <v>1PremiumS4</v>
      </c>
      <c r="E127" s="11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5">
        <v>1</v>
      </c>
      <c r="N127" s="18">
        <f>VLOOKUP(D127,gacha_162_base!A:B,2,FALSE)</f>
        <v>6304</v>
      </c>
      <c r="O127" s="14">
        <v>0</v>
      </c>
      <c r="P127" s="14">
        <v>0</v>
      </c>
      <c r="Q127" s="14">
        <v>0</v>
      </c>
      <c r="R127" s="14">
        <v>0</v>
      </c>
      <c r="S127" s="14">
        <v>1</v>
      </c>
    </row>
    <row r="128" spans="1:19" ht="21" customHeight="1">
      <c r="A128" s="7" t="str">
        <f t="shared" si="6"/>
        <v>1621252</v>
      </c>
      <c r="B128" s="2" t="str">
        <f t="shared" si="7"/>
        <v>1621</v>
      </c>
      <c r="C128" s="8" t="str">
        <f t="shared" si="8"/>
        <v>1PremiumS5</v>
      </c>
      <c r="D128" s="8" t="str">
        <f t="shared" si="5"/>
        <v>1PremiumS5</v>
      </c>
      <c r="E128" s="11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5">
        <v>1</v>
      </c>
      <c r="N128" s="18">
        <f>VLOOKUP(D128,gacha_162_base!A:B,2,FALSE)</f>
        <v>2215</v>
      </c>
      <c r="O128" s="14">
        <v>0</v>
      </c>
      <c r="P128" s="14">
        <v>0</v>
      </c>
      <c r="Q128" s="14">
        <v>0</v>
      </c>
      <c r="R128" s="14">
        <v>0</v>
      </c>
      <c r="S128" s="14">
        <v>1</v>
      </c>
    </row>
    <row r="129" spans="1:19" ht="21" customHeight="1">
      <c r="A129" s="7" t="str">
        <f t="shared" si="6"/>
        <v>1621253</v>
      </c>
      <c r="B129" s="2" t="str">
        <f t="shared" si="7"/>
        <v>1621</v>
      </c>
      <c r="C129" s="8" t="str">
        <f t="shared" si="8"/>
        <v>1PremiumS3</v>
      </c>
      <c r="D129" s="8" t="str">
        <f t="shared" si="5"/>
        <v>1PremiumS3</v>
      </c>
      <c r="E129" s="11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5">
        <v>1</v>
      </c>
      <c r="N129" s="18">
        <f>VLOOKUP(D129,gacha_162_base!A:B,2,FALSE)</f>
        <v>25558</v>
      </c>
      <c r="O129" s="14">
        <v>0</v>
      </c>
      <c r="P129" s="14">
        <v>0</v>
      </c>
      <c r="Q129" s="14">
        <v>0</v>
      </c>
      <c r="R129" s="14">
        <v>0</v>
      </c>
      <c r="S129" s="14">
        <v>1</v>
      </c>
    </row>
    <row r="130" spans="1:19" ht="21" customHeight="1">
      <c r="A130" s="7" t="str">
        <f t="shared" si="6"/>
        <v>1621254</v>
      </c>
      <c r="B130" s="2" t="str">
        <f t="shared" si="7"/>
        <v>1621</v>
      </c>
      <c r="C130" s="8" t="str">
        <f t="shared" si="8"/>
        <v>1PremiumS4</v>
      </c>
      <c r="D130" s="8" t="str">
        <f t="shared" ref="D130:D193" si="9">E130&amp;H130&amp;I130</f>
        <v>1PremiumS4</v>
      </c>
      <c r="E130" s="11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5">
        <v>1</v>
      </c>
      <c r="N130" s="18">
        <f>VLOOKUP(D130,gacha_162_base!A:B,2,FALSE)</f>
        <v>6304</v>
      </c>
      <c r="O130" s="14">
        <v>0</v>
      </c>
      <c r="P130" s="14">
        <v>0</v>
      </c>
      <c r="Q130" s="14">
        <v>0</v>
      </c>
      <c r="R130" s="14">
        <v>0</v>
      </c>
      <c r="S130" s="14">
        <v>1</v>
      </c>
    </row>
    <row r="131" spans="1:19" ht="21" customHeight="1">
      <c r="A131" s="7" t="str">
        <f t="shared" ref="A131:A194" si="10">B131&amp;F131</f>
        <v>1621255</v>
      </c>
      <c r="B131" s="2" t="str">
        <f t="shared" ref="B131:B194" si="11">162&amp;E131</f>
        <v>1621</v>
      </c>
      <c r="C131" s="8" t="str">
        <f t="shared" ref="C131:C194" si="12">E131&amp;H131&amp;I131</f>
        <v>1PremiumS5</v>
      </c>
      <c r="D131" s="8" t="str">
        <f t="shared" si="9"/>
        <v>1PremiumS5</v>
      </c>
      <c r="E131" s="11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5">
        <v>1</v>
      </c>
      <c r="N131" s="18">
        <f>VLOOKUP(D131,gacha_162_base!A:B,2,FALSE)</f>
        <v>2215</v>
      </c>
      <c r="O131" s="14">
        <v>0</v>
      </c>
      <c r="P131" s="14">
        <v>0</v>
      </c>
      <c r="Q131" s="14">
        <v>0</v>
      </c>
      <c r="R131" s="14">
        <v>0</v>
      </c>
      <c r="S131" s="14">
        <v>1</v>
      </c>
    </row>
    <row r="132" spans="1:19" ht="21" customHeight="1">
      <c r="A132" s="7" t="str">
        <f t="shared" si="10"/>
        <v>1621256</v>
      </c>
      <c r="B132" s="2" t="str">
        <f t="shared" si="11"/>
        <v>1621</v>
      </c>
      <c r="C132" s="8" t="str">
        <f t="shared" si="12"/>
        <v>1PremiumS3</v>
      </c>
      <c r="D132" s="8" t="str">
        <f t="shared" si="9"/>
        <v>1PremiumS3</v>
      </c>
      <c r="E132" s="11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5">
        <v>1</v>
      </c>
      <c r="N132" s="18">
        <f>VLOOKUP(D132,gacha_162_base!A:B,2,FALSE)</f>
        <v>25558</v>
      </c>
      <c r="O132" s="14">
        <v>0</v>
      </c>
      <c r="P132" s="14">
        <v>0</v>
      </c>
      <c r="Q132" s="14">
        <v>0</v>
      </c>
      <c r="R132" s="14">
        <v>0</v>
      </c>
      <c r="S132" s="14">
        <v>1</v>
      </c>
    </row>
    <row r="133" spans="1:19" ht="21" customHeight="1">
      <c r="A133" s="7" t="str">
        <f t="shared" si="10"/>
        <v>1621257</v>
      </c>
      <c r="B133" s="2" t="str">
        <f t="shared" si="11"/>
        <v>1621</v>
      </c>
      <c r="C133" s="8" t="str">
        <f t="shared" si="12"/>
        <v>1PremiumS4</v>
      </c>
      <c r="D133" s="8" t="str">
        <f t="shared" si="9"/>
        <v>1PremiumS4</v>
      </c>
      <c r="E133" s="11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5">
        <v>1</v>
      </c>
      <c r="N133" s="18">
        <f>VLOOKUP(D133,gacha_162_base!A:B,2,FALSE)</f>
        <v>6304</v>
      </c>
      <c r="O133" s="14">
        <v>0</v>
      </c>
      <c r="P133" s="14">
        <v>0</v>
      </c>
      <c r="Q133" s="14">
        <v>0</v>
      </c>
      <c r="R133" s="14">
        <v>0</v>
      </c>
      <c r="S133" s="14">
        <v>1</v>
      </c>
    </row>
    <row r="134" spans="1:19" ht="21" customHeight="1">
      <c r="A134" s="7" t="str">
        <f t="shared" si="10"/>
        <v>1621258</v>
      </c>
      <c r="B134" s="2" t="str">
        <f t="shared" si="11"/>
        <v>1621</v>
      </c>
      <c r="C134" s="8" t="str">
        <f t="shared" si="12"/>
        <v>1PremiumS5</v>
      </c>
      <c r="D134" s="8" t="str">
        <f t="shared" si="9"/>
        <v>1PremiumS5</v>
      </c>
      <c r="E134" s="11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5">
        <v>1</v>
      </c>
      <c r="N134" s="18">
        <f>VLOOKUP(D134,gacha_162_base!A:B,2,FALSE)</f>
        <v>2215</v>
      </c>
      <c r="O134" s="14">
        <v>0</v>
      </c>
      <c r="P134" s="14">
        <v>0</v>
      </c>
      <c r="Q134" s="14">
        <v>0</v>
      </c>
      <c r="R134" s="14">
        <v>0</v>
      </c>
      <c r="S134" s="14">
        <v>1</v>
      </c>
    </row>
    <row r="135" spans="1:19" ht="21" customHeight="1">
      <c r="A135" s="7" t="str">
        <f t="shared" si="10"/>
        <v>1621259</v>
      </c>
      <c r="B135" s="2" t="str">
        <f t="shared" si="11"/>
        <v>1621</v>
      </c>
      <c r="C135" s="8" t="str">
        <f t="shared" si="12"/>
        <v>1PremiumS3</v>
      </c>
      <c r="D135" s="8" t="str">
        <f t="shared" si="9"/>
        <v>1PremiumS3</v>
      </c>
      <c r="E135" s="11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5">
        <v>1</v>
      </c>
      <c r="N135" s="18">
        <f>VLOOKUP(D135,gacha_162_base!A:B,2,FALSE)</f>
        <v>25558</v>
      </c>
      <c r="O135" s="14">
        <v>0</v>
      </c>
      <c r="P135" s="14">
        <v>0</v>
      </c>
      <c r="Q135" s="14">
        <v>0</v>
      </c>
      <c r="R135" s="14">
        <v>0</v>
      </c>
      <c r="S135" s="14">
        <v>1</v>
      </c>
    </row>
    <row r="136" spans="1:19" ht="21" customHeight="1">
      <c r="A136" s="7" t="str">
        <f t="shared" si="10"/>
        <v>1621260</v>
      </c>
      <c r="B136" s="2" t="str">
        <f t="shared" si="11"/>
        <v>1621</v>
      </c>
      <c r="C136" s="8" t="str">
        <f t="shared" si="12"/>
        <v>1PremiumS4</v>
      </c>
      <c r="D136" s="8" t="str">
        <f t="shared" si="9"/>
        <v>1PremiumS4</v>
      </c>
      <c r="E136" s="11">
        <v>1</v>
      </c>
      <c r="F136" s="10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5">
        <v>1</v>
      </c>
      <c r="N136" s="18">
        <f>VLOOKUP(D136,gacha_162_base!A:B,2,FALSE)</f>
        <v>6304</v>
      </c>
      <c r="O136" s="14">
        <v>0</v>
      </c>
      <c r="P136" s="14">
        <v>0</v>
      </c>
      <c r="Q136" s="14">
        <v>0</v>
      </c>
      <c r="R136" s="14">
        <v>0</v>
      </c>
      <c r="S136" s="14">
        <v>1</v>
      </c>
    </row>
    <row r="137" spans="1:19" ht="21" customHeight="1">
      <c r="A137" s="7" t="str">
        <f t="shared" si="10"/>
        <v>1621261</v>
      </c>
      <c r="B137" s="2" t="str">
        <f t="shared" si="11"/>
        <v>1621</v>
      </c>
      <c r="C137" s="8" t="str">
        <f t="shared" si="12"/>
        <v>1PremiumS5</v>
      </c>
      <c r="D137" s="8" t="str">
        <f t="shared" si="9"/>
        <v>1PremiumS5</v>
      </c>
      <c r="E137" s="11">
        <v>1</v>
      </c>
      <c r="F137" s="10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5">
        <v>1</v>
      </c>
      <c r="N137" s="18">
        <f>VLOOKUP(D137,gacha_162_base!A:B,2,FALSE)</f>
        <v>2215</v>
      </c>
      <c r="O137" s="14">
        <v>0</v>
      </c>
      <c r="P137" s="14">
        <v>0</v>
      </c>
      <c r="Q137" s="14">
        <v>0</v>
      </c>
      <c r="R137" s="14">
        <v>0</v>
      </c>
      <c r="S137" s="14">
        <v>1</v>
      </c>
    </row>
    <row r="138" spans="1:19" ht="21" customHeight="1">
      <c r="A138" s="7" t="str">
        <f t="shared" si="10"/>
        <v>1621320</v>
      </c>
      <c r="B138" s="2" t="str">
        <f t="shared" si="11"/>
        <v>1621</v>
      </c>
      <c r="C138" s="8" t="str">
        <f t="shared" si="12"/>
        <v>1PremiumSS4</v>
      </c>
      <c r="D138" s="8" t="str">
        <f t="shared" si="9"/>
        <v>1PremiumSS4</v>
      </c>
      <c r="E138" s="11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5">
        <v>1</v>
      </c>
      <c r="N138" s="18">
        <f>VLOOKUP(D138,gacha_162_base!A:B,2,FALSE)</f>
        <v>1512</v>
      </c>
      <c r="O138" s="14">
        <v>0</v>
      </c>
      <c r="P138" s="14">
        <v>0</v>
      </c>
      <c r="Q138" s="14">
        <v>0</v>
      </c>
      <c r="R138" s="14">
        <v>0</v>
      </c>
      <c r="S138" s="14">
        <v>1</v>
      </c>
    </row>
    <row r="139" spans="1:19" ht="21" customHeight="1">
      <c r="A139" s="7" t="str">
        <f t="shared" si="10"/>
        <v>1621321</v>
      </c>
      <c r="B139" s="2" t="str">
        <f t="shared" si="11"/>
        <v>1621</v>
      </c>
      <c r="C139" s="8" t="str">
        <f t="shared" si="12"/>
        <v>1PremiumSS5</v>
      </c>
      <c r="D139" s="8" t="str">
        <f t="shared" si="9"/>
        <v>1PremiumSS5</v>
      </c>
      <c r="E139" s="11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5">
        <v>1</v>
      </c>
      <c r="N139" s="18">
        <f>VLOOKUP(D139,gacha_162_base!A:B,2,FALSE)</f>
        <v>105</v>
      </c>
      <c r="O139" s="14">
        <v>0</v>
      </c>
      <c r="P139" s="14">
        <v>0</v>
      </c>
      <c r="Q139" s="14">
        <v>0</v>
      </c>
      <c r="R139" s="14">
        <v>0</v>
      </c>
      <c r="S139" s="14">
        <v>1</v>
      </c>
    </row>
    <row r="140" spans="1:19" ht="21" customHeight="1">
      <c r="A140" s="7" t="str">
        <f t="shared" si="10"/>
        <v>1621322</v>
      </c>
      <c r="B140" s="2" t="str">
        <f t="shared" si="11"/>
        <v>1621</v>
      </c>
      <c r="C140" s="8" t="str">
        <f t="shared" si="12"/>
        <v>1PremiumSS4</v>
      </c>
      <c r="D140" s="8" t="str">
        <f t="shared" si="9"/>
        <v>1PremiumSS4</v>
      </c>
      <c r="E140" s="11">
        <v>1</v>
      </c>
      <c r="F140" s="13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5">
        <v>1</v>
      </c>
      <c r="N140" s="18">
        <f>VLOOKUP(D140,gacha_162_base!A:B,2,FALSE)</f>
        <v>1512</v>
      </c>
      <c r="O140" s="14">
        <v>0</v>
      </c>
      <c r="P140" s="14">
        <v>0</v>
      </c>
      <c r="Q140" s="14">
        <v>0</v>
      </c>
      <c r="R140" s="14">
        <v>0</v>
      </c>
      <c r="S140" s="14">
        <v>1</v>
      </c>
    </row>
    <row r="141" spans="1:19" ht="21" customHeight="1">
      <c r="A141" s="7" t="str">
        <f t="shared" si="10"/>
        <v>1621323</v>
      </c>
      <c r="B141" s="2" t="str">
        <f t="shared" si="11"/>
        <v>1621</v>
      </c>
      <c r="C141" s="8" t="str">
        <f t="shared" si="12"/>
        <v>1PremiumSS5</v>
      </c>
      <c r="D141" s="8" t="str">
        <f t="shared" si="9"/>
        <v>1PremiumSS5</v>
      </c>
      <c r="E141" s="11">
        <v>1</v>
      </c>
      <c r="F141" s="15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5">
        <v>1</v>
      </c>
      <c r="N141" s="18">
        <f>VLOOKUP(D141,gacha_162_base!A:B,2,FALSE)</f>
        <v>105</v>
      </c>
      <c r="O141" s="14">
        <v>0</v>
      </c>
      <c r="P141" s="14">
        <v>0</v>
      </c>
      <c r="Q141" s="14">
        <v>0</v>
      </c>
      <c r="R141" s="14">
        <v>0</v>
      </c>
      <c r="S141" s="14">
        <v>1</v>
      </c>
    </row>
    <row r="142" spans="1:19" ht="21" customHeight="1">
      <c r="A142" s="7" t="str">
        <f t="shared" si="10"/>
        <v>1621324</v>
      </c>
      <c r="B142" s="2" t="str">
        <f t="shared" si="11"/>
        <v>1621</v>
      </c>
      <c r="C142" s="8" t="str">
        <f t="shared" si="12"/>
        <v>1PremiumSS4</v>
      </c>
      <c r="D142" s="8" t="str">
        <f t="shared" si="9"/>
        <v>1PremiumSS4</v>
      </c>
      <c r="E142" s="11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5">
        <v>1</v>
      </c>
      <c r="N142" s="18">
        <f>VLOOKUP(D142,gacha_162_base!A:B,2,FALSE)</f>
        <v>1512</v>
      </c>
      <c r="O142" s="14">
        <v>0</v>
      </c>
      <c r="P142" s="14">
        <v>0</v>
      </c>
      <c r="Q142" s="14">
        <v>0</v>
      </c>
      <c r="R142" s="14">
        <v>0</v>
      </c>
      <c r="S142" s="14">
        <v>1</v>
      </c>
    </row>
    <row r="143" spans="1:19" s="16" customFormat="1" ht="21" customHeight="1" thickBot="1">
      <c r="A143" s="7" t="str">
        <f t="shared" si="10"/>
        <v>1621325</v>
      </c>
      <c r="B143" s="2" t="str">
        <f t="shared" si="11"/>
        <v>1621</v>
      </c>
      <c r="C143" s="8" t="str">
        <f t="shared" si="12"/>
        <v>1PremiumSS5</v>
      </c>
      <c r="D143" s="8" t="str">
        <f t="shared" si="9"/>
        <v>1PremiumSS5</v>
      </c>
      <c r="E143" s="11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5">
        <v>1</v>
      </c>
      <c r="N143" s="18">
        <f>VLOOKUP(D143,gacha_162_base!A:B,2,FALSE)</f>
        <v>105</v>
      </c>
      <c r="O143" s="14">
        <v>0</v>
      </c>
      <c r="P143" s="14">
        <v>0</v>
      </c>
      <c r="Q143" s="14">
        <v>0</v>
      </c>
      <c r="R143" s="14">
        <v>0</v>
      </c>
      <c r="S143" s="14">
        <v>1</v>
      </c>
    </row>
    <row r="144" spans="1:19" ht="21" customHeight="1">
      <c r="A144" s="7" t="str">
        <f t="shared" si="10"/>
        <v>1621326</v>
      </c>
      <c r="B144" s="2" t="str">
        <f t="shared" si="11"/>
        <v>1621</v>
      </c>
      <c r="C144" s="8" t="str">
        <f t="shared" si="12"/>
        <v>1PremiumSS4</v>
      </c>
      <c r="D144" s="8" t="str">
        <f t="shared" si="9"/>
        <v>1PremiumSS4</v>
      </c>
      <c r="E144" s="11">
        <v>1</v>
      </c>
      <c r="F144" s="13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5">
        <v>1</v>
      </c>
      <c r="N144" s="18">
        <f>VLOOKUP(D144,gacha_162_base!A:B,2,FALSE)</f>
        <v>1512</v>
      </c>
      <c r="O144" s="14">
        <v>0</v>
      </c>
      <c r="P144" s="14">
        <v>0</v>
      </c>
      <c r="Q144" s="14">
        <v>0</v>
      </c>
      <c r="R144" s="14">
        <v>0</v>
      </c>
      <c r="S144" s="14">
        <v>1</v>
      </c>
    </row>
    <row r="145" spans="1:19" ht="21" customHeight="1">
      <c r="A145" s="7" t="str">
        <f t="shared" si="10"/>
        <v>1621327</v>
      </c>
      <c r="B145" s="2" t="str">
        <f t="shared" si="11"/>
        <v>1621</v>
      </c>
      <c r="C145" s="8" t="str">
        <f t="shared" si="12"/>
        <v>1PremiumSS5</v>
      </c>
      <c r="D145" s="8" t="str">
        <f t="shared" si="9"/>
        <v>1PremiumSS5</v>
      </c>
      <c r="E145" s="11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5">
        <v>1</v>
      </c>
      <c r="N145" s="18">
        <f>VLOOKUP(D145,gacha_162_base!A:B,2,FALSE)</f>
        <v>105</v>
      </c>
      <c r="O145" s="14">
        <v>0</v>
      </c>
      <c r="P145" s="14">
        <v>0</v>
      </c>
      <c r="Q145" s="14">
        <v>0</v>
      </c>
      <c r="R145" s="14">
        <v>0</v>
      </c>
      <c r="S145" s="14">
        <v>1</v>
      </c>
    </row>
    <row r="146" spans="1:19" ht="21" customHeight="1">
      <c r="A146" s="7" t="str">
        <f t="shared" si="10"/>
        <v>1621380</v>
      </c>
      <c r="B146" s="2" t="str">
        <f t="shared" si="11"/>
        <v>1621</v>
      </c>
      <c r="C146" s="8" t="str">
        <f t="shared" si="12"/>
        <v>1PremiumS3</v>
      </c>
      <c r="D146" s="8" t="str">
        <f t="shared" si="9"/>
        <v>1PremiumS3</v>
      </c>
      <c r="E146" s="11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5">
        <v>1</v>
      </c>
      <c r="N146" s="18">
        <f>VLOOKUP(D146,gacha_162_base!A:B,2,FALSE)</f>
        <v>25558</v>
      </c>
      <c r="O146" s="14">
        <v>0</v>
      </c>
      <c r="P146" s="14">
        <v>0</v>
      </c>
      <c r="Q146" s="14">
        <v>0</v>
      </c>
      <c r="R146" s="14">
        <v>0</v>
      </c>
      <c r="S146" s="14">
        <v>1</v>
      </c>
    </row>
    <row r="147" spans="1:19" ht="21" customHeight="1">
      <c r="A147" s="7" t="str">
        <f t="shared" si="10"/>
        <v>1621381</v>
      </c>
      <c r="B147" s="2" t="str">
        <f t="shared" si="11"/>
        <v>1621</v>
      </c>
      <c r="C147" s="8" t="str">
        <f t="shared" si="12"/>
        <v>1PremiumS4</v>
      </c>
      <c r="D147" s="8" t="str">
        <f t="shared" si="9"/>
        <v>1PremiumS4</v>
      </c>
      <c r="E147" s="11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5">
        <v>1</v>
      </c>
      <c r="N147" s="18">
        <f>VLOOKUP(D147,gacha_162_base!A:B,2,FALSE)</f>
        <v>6304</v>
      </c>
      <c r="O147" s="14">
        <v>0</v>
      </c>
      <c r="P147" s="14">
        <v>0</v>
      </c>
      <c r="Q147" s="14">
        <v>0</v>
      </c>
      <c r="R147" s="14">
        <v>0</v>
      </c>
      <c r="S147" s="14">
        <v>1</v>
      </c>
    </row>
    <row r="148" spans="1:19" ht="21" customHeight="1">
      <c r="A148" s="7" t="str">
        <f t="shared" si="10"/>
        <v>1621382</v>
      </c>
      <c r="B148" s="2" t="str">
        <f t="shared" si="11"/>
        <v>1621</v>
      </c>
      <c r="C148" s="8" t="str">
        <f t="shared" si="12"/>
        <v>1PremiumS5</v>
      </c>
      <c r="D148" s="8" t="str">
        <f t="shared" si="9"/>
        <v>1PremiumS5</v>
      </c>
      <c r="E148" s="11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5">
        <v>1</v>
      </c>
      <c r="N148" s="18">
        <f>VLOOKUP(D148,gacha_162_base!A:B,2,FALSE)</f>
        <v>2215</v>
      </c>
      <c r="O148" s="14">
        <v>0</v>
      </c>
      <c r="P148" s="14">
        <v>0</v>
      </c>
      <c r="Q148" s="14">
        <v>0</v>
      </c>
      <c r="R148" s="14">
        <v>0</v>
      </c>
      <c r="S148" s="14">
        <v>1</v>
      </c>
    </row>
    <row r="149" spans="1:19" ht="21" customHeight="1">
      <c r="A149" s="7" t="str">
        <f t="shared" si="10"/>
        <v>1621383</v>
      </c>
      <c r="B149" s="2" t="str">
        <f t="shared" si="11"/>
        <v>1621</v>
      </c>
      <c r="C149" s="8" t="str">
        <f t="shared" si="12"/>
        <v>1PremiumSS4</v>
      </c>
      <c r="D149" s="8" t="str">
        <f t="shared" si="9"/>
        <v>1PremiumSS4</v>
      </c>
      <c r="E149" s="11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5">
        <v>1</v>
      </c>
      <c r="N149" s="18">
        <f>VLOOKUP(D149,gacha_162_base!A:B,2,FALSE)</f>
        <v>1512</v>
      </c>
      <c r="O149" s="14">
        <v>0</v>
      </c>
      <c r="P149" s="14">
        <v>0</v>
      </c>
      <c r="Q149" s="14">
        <v>0</v>
      </c>
      <c r="R149" s="14">
        <v>0</v>
      </c>
      <c r="S149" s="14">
        <v>1</v>
      </c>
    </row>
    <row r="150" spans="1:19" ht="21" customHeight="1">
      <c r="A150" s="7" t="str">
        <f t="shared" si="10"/>
        <v>1621384</v>
      </c>
      <c r="B150" s="2" t="str">
        <f t="shared" si="11"/>
        <v>1621</v>
      </c>
      <c r="C150" s="8" t="str">
        <f t="shared" si="12"/>
        <v>1PremiumSS5</v>
      </c>
      <c r="D150" s="8" t="str">
        <f t="shared" si="9"/>
        <v>1PremiumSS5</v>
      </c>
      <c r="E150" s="11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5">
        <v>1</v>
      </c>
      <c r="N150" s="18">
        <f>VLOOKUP(D150,gacha_162_base!A:B,2,FALSE)</f>
        <v>105</v>
      </c>
      <c r="O150" s="14">
        <v>0</v>
      </c>
      <c r="P150" s="14">
        <v>0</v>
      </c>
      <c r="Q150" s="14">
        <v>0</v>
      </c>
      <c r="R150" s="14">
        <v>0</v>
      </c>
      <c r="S150" s="14">
        <v>1</v>
      </c>
    </row>
    <row r="151" spans="1:19" ht="21" customHeight="1">
      <c r="A151" s="7" t="str">
        <f t="shared" si="10"/>
        <v>1621385</v>
      </c>
      <c r="B151" s="2" t="str">
        <f t="shared" si="11"/>
        <v>1621</v>
      </c>
      <c r="C151" s="8" t="str">
        <f t="shared" si="12"/>
        <v>1PremiumSS4</v>
      </c>
      <c r="D151" s="8" t="str">
        <f t="shared" si="9"/>
        <v>1PremiumSS4</v>
      </c>
      <c r="E151" s="11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5">
        <v>1</v>
      </c>
      <c r="N151" s="18">
        <f>VLOOKUP(D151,gacha_162_base!A:B,2,FALSE)</f>
        <v>1512</v>
      </c>
      <c r="O151" s="14">
        <v>0</v>
      </c>
      <c r="P151" s="14">
        <v>0</v>
      </c>
      <c r="Q151" s="14">
        <v>0</v>
      </c>
      <c r="R151" s="14">
        <v>0</v>
      </c>
      <c r="S151" s="14">
        <v>1</v>
      </c>
    </row>
    <row r="152" spans="1:19" ht="21" customHeight="1">
      <c r="A152" s="7" t="str">
        <f t="shared" si="10"/>
        <v>1621386</v>
      </c>
      <c r="B152" s="2" t="str">
        <f t="shared" si="11"/>
        <v>1621</v>
      </c>
      <c r="C152" s="8" t="str">
        <f t="shared" si="12"/>
        <v>1PremiumSS5</v>
      </c>
      <c r="D152" s="8" t="str">
        <f>E152&amp;H152&amp;I152</f>
        <v>1PremiumSS5</v>
      </c>
      <c r="E152" s="11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5">
        <v>1</v>
      </c>
      <c r="N152" s="18">
        <f>VLOOKUP(D152,gacha_162_base!A:B,2,FALSE)</f>
        <v>105</v>
      </c>
      <c r="O152" s="14">
        <v>0</v>
      </c>
      <c r="P152" s="14">
        <v>0</v>
      </c>
      <c r="Q152" s="14">
        <v>0</v>
      </c>
      <c r="R152" s="14">
        <v>0</v>
      </c>
      <c r="S152" s="14">
        <v>1</v>
      </c>
    </row>
    <row r="153" spans="1:19" ht="21" customHeight="1">
      <c r="A153" s="7" t="str">
        <f t="shared" si="10"/>
        <v>1621387</v>
      </c>
      <c r="B153" s="2" t="str">
        <f t="shared" si="11"/>
        <v>1621</v>
      </c>
      <c r="C153" s="8" t="str">
        <f t="shared" si="12"/>
        <v>1PremiumS3</v>
      </c>
      <c r="D153" s="8" t="str">
        <f t="shared" si="9"/>
        <v>1PremiumS3</v>
      </c>
      <c r="E153" s="11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5">
        <v>1</v>
      </c>
      <c r="N153" s="18">
        <f>VLOOKUP(D153,gacha_162_base!A:B,2,FALSE)</f>
        <v>25558</v>
      </c>
      <c r="O153" s="14">
        <v>0</v>
      </c>
      <c r="P153" s="14">
        <v>0</v>
      </c>
      <c r="Q153" s="14">
        <v>0</v>
      </c>
      <c r="R153" s="14">
        <v>0</v>
      </c>
      <c r="S153" s="14">
        <v>1</v>
      </c>
    </row>
    <row r="154" spans="1:19" ht="21" customHeight="1">
      <c r="A154" s="7" t="str">
        <f t="shared" si="10"/>
        <v>1621388</v>
      </c>
      <c r="B154" s="2" t="str">
        <f t="shared" si="11"/>
        <v>1621</v>
      </c>
      <c r="C154" s="8" t="str">
        <f t="shared" si="12"/>
        <v>1PremiumS4</v>
      </c>
      <c r="D154" s="8" t="str">
        <f t="shared" si="9"/>
        <v>1PremiumS4</v>
      </c>
      <c r="E154" s="11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5">
        <v>1</v>
      </c>
      <c r="N154" s="18">
        <f>VLOOKUP(D154,gacha_162_base!A:B,2,FALSE)</f>
        <v>6304</v>
      </c>
      <c r="O154" s="14">
        <v>0</v>
      </c>
      <c r="P154" s="14">
        <v>0</v>
      </c>
      <c r="Q154" s="14">
        <v>0</v>
      </c>
      <c r="R154" s="14">
        <v>0</v>
      </c>
      <c r="S154" s="14">
        <v>1</v>
      </c>
    </row>
    <row r="155" spans="1:19" ht="21" customHeight="1">
      <c r="A155" s="7" t="str">
        <f t="shared" si="10"/>
        <v>1621389</v>
      </c>
      <c r="B155" s="2" t="str">
        <f t="shared" si="11"/>
        <v>1621</v>
      </c>
      <c r="C155" s="8" t="str">
        <f t="shared" si="12"/>
        <v>1PremiumS5</v>
      </c>
      <c r="D155" s="8" t="str">
        <f t="shared" si="9"/>
        <v>1PremiumS5</v>
      </c>
      <c r="E155" s="11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5">
        <v>1</v>
      </c>
      <c r="N155" s="18">
        <f>VLOOKUP(D155,gacha_162_base!A:B,2,FALSE)</f>
        <v>2215</v>
      </c>
      <c r="O155" s="14">
        <v>0</v>
      </c>
      <c r="P155" s="14">
        <v>0</v>
      </c>
      <c r="Q155" s="14">
        <v>0</v>
      </c>
      <c r="R155" s="14">
        <v>0</v>
      </c>
      <c r="S155" s="14">
        <v>1</v>
      </c>
    </row>
    <row r="156" spans="1:19" ht="21" customHeight="1">
      <c r="A156" s="7" t="str">
        <f t="shared" si="10"/>
        <v>1621390</v>
      </c>
      <c r="B156" s="2" t="str">
        <f t="shared" si="11"/>
        <v>1621</v>
      </c>
      <c r="C156" s="8" t="str">
        <f t="shared" si="12"/>
        <v>1PremiumSS4</v>
      </c>
      <c r="D156" s="8" t="str">
        <f>E156&amp;H156&amp;I156&amp;"pick"</f>
        <v>1PremiumSS4pick</v>
      </c>
      <c r="E156" s="11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5">
        <v>1</v>
      </c>
      <c r="N156" s="18">
        <f>VLOOKUP(D156,gacha_162_base!A:B,2,FALSE)</f>
        <v>36278</v>
      </c>
      <c r="O156" s="14">
        <v>0</v>
      </c>
      <c r="P156" s="14">
        <v>0</v>
      </c>
      <c r="Q156" s="14">
        <v>0</v>
      </c>
      <c r="R156" s="14">
        <v>0</v>
      </c>
      <c r="S156" s="14">
        <v>1</v>
      </c>
    </row>
    <row r="157" spans="1:19" ht="21" customHeight="1">
      <c r="A157" s="7" t="str">
        <f t="shared" si="10"/>
        <v>1621391</v>
      </c>
      <c r="B157" s="2" t="str">
        <f t="shared" si="11"/>
        <v>1621</v>
      </c>
      <c r="C157" s="8" t="str">
        <f t="shared" si="12"/>
        <v>1PremiumSS5</v>
      </c>
      <c r="D157" s="8" t="str">
        <f>E157&amp;H157&amp;I157&amp;"pick"</f>
        <v>1PremiumSS5pick</v>
      </c>
      <c r="E157" s="11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5">
        <v>1</v>
      </c>
      <c r="N157" s="18">
        <f>VLOOKUP(D157,gacha_162_base!A:B,2,FALSE)</f>
        <v>2522</v>
      </c>
      <c r="O157" s="14">
        <v>0</v>
      </c>
      <c r="P157" s="14">
        <v>0</v>
      </c>
      <c r="Q157" s="14">
        <v>0</v>
      </c>
      <c r="R157" s="14">
        <v>0</v>
      </c>
      <c r="S157" s="14">
        <v>1</v>
      </c>
    </row>
    <row r="158" spans="1:19" ht="21" customHeight="1">
      <c r="A158" s="7" t="str">
        <f t="shared" si="10"/>
        <v>1621392</v>
      </c>
      <c r="B158" s="2" t="str">
        <f t="shared" si="11"/>
        <v>1621</v>
      </c>
      <c r="C158" s="8" t="str">
        <f t="shared" si="12"/>
        <v>1PremiumS3</v>
      </c>
      <c r="D158" s="8" t="str">
        <f>E158&amp;H158&amp;I158</f>
        <v>1PremiumS3</v>
      </c>
      <c r="E158" s="11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5">
        <v>1</v>
      </c>
      <c r="N158" s="18">
        <f>VLOOKUP(D158,gacha_162_base!A:B,2,FALSE)</f>
        <v>25558</v>
      </c>
      <c r="O158" s="14">
        <v>0</v>
      </c>
      <c r="P158" s="14">
        <v>0</v>
      </c>
      <c r="Q158" s="14">
        <v>0</v>
      </c>
      <c r="R158" s="14">
        <v>0</v>
      </c>
      <c r="S158" s="14">
        <v>1</v>
      </c>
    </row>
    <row r="159" spans="1:19" ht="21" customHeight="1">
      <c r="A159" s="7" t="str">
        <f t="shared" si="10"/>
        <v>1621393</v>
      </c>
      <c r="B159" s="2" t="str">
        <f t="shared" si="11"/>
        <v>1621</v>
      </c>
      <c r="C159" s="8" t="str">
        <f t="shared" si="12"/>
        <v>1PremiumS4</v>
      </c>
      <c r="D159" s="8" t="str">
        <f>E159&amp;H159&amp;I159</f>
        <v>1PremiumS4</v>
      </c>
      <c r="E159" s="11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5">
        <v>1</v>
      </c>
      <c r="N159" s="18">
        <f>VLOOKUP(D159,gacha_162_base!A:B,2,FALSE)</f>
        <v>6304</v>
      </c>
      <c r="O159" s="14">
        <v>0</v>
      </c>
      <c r="P159" s="14">
        <v>0</v>
      </c>
      <c r="Q159" s="14">
        <v>0</v>
      </c>
      <c r="R159" s="14">
        <v>0</v>
      </c>
      <c r="S159" s="14">
        <v>1</v>
      </c>
    </row>
    <row r="160" spans="1:19" ht="21" customHeight="1">
      <c r="A160" s="7" t="str">
        <f t="shared" si="10"/>
        <v>1621394</v>
      </c>
      <c r="B160" s="2" t="str">
        <f t="shared" si="11"/>
        <v>1621</v>
      </c>
      <c r="C160" s="8" t="str">
        <f t="shared" si="12"/>
        <v>1PremiumS5</v>
      </c>
      <c r="D160" s="8" t="str">
        <f>E160&amp;H160&amp;I160</f>
        <v>1PremiumS5</v>
      </c>
      <c r="E160" s="11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5">
        <v>1</v>
      </c>
      <c r="N160" s="18">
        <f>VLOOKUP(D160,gacha_162_base!A:B,2,FALSE)</f>
        <v>2215</v>
      </c>
      <c r="O160" s="14">
        <v>0</v>
      </c>
      <c r="P160" s="14">
        <v>0</v>
      </c>
      <c r="Q160" s="14">
        <v>0</v>
      </c>
      <c r="R160" s="14">
        <v>0</v>
      </c>
      <c r="S160" s="14">
        <v>1</v>
      </c>
    </row>
    <row r="161" spans="1:19" ht="21" customHeight="1">
      <c r="A161" s="7" t="str">
        <f t="shared" si="10"/>
        <v>1621395</v>
      </c>
      <c r="B161" s="2" t="str">
        <f t="shared" si="11"/>
        <v>1621</v>
      </c>
      <c r="C161" s="8" t="str">
        <f t="shared" si="12"/>
        <v>1PremiumS3</v>
      </c>
      <c r="D161" s="8" t="str">
        <f t="shared" ref="D161:D168" si="13">E161&amp;H161&amp;I161&amp;"pick"</f>
        <v>1PremiumS3pick</v>
      </c>
      <c r="E161" s="11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5">
        <v>1</v>
      </c>
      <c r="N161" s="18">
        <f>VLOOKUP(D161,gacha_162_base!A:B,2,FALSE)</f>
        <v>29100</v>
      </c>
      <c r="O161" s="14">
        <v>0</v>
      </c>
      <c r="P161" s="14">
        <v>0</v>
      </c>
      <c r="Q161" s="14">
        <v>0</v>
      </c>
      <c r="R161" s="14">
        <v>0</v>
      </c>
      <c r="S161" s="14">
        <v>1</v>
      </c>
    </row>
    <row r="162" spans="1:19" ht="21" customHeight="1">
      <c r="A162" s="7" t="str">
        <f t="shared" si="10"/>
        <v>1621396</v>
      </c>
      <c r="B162" s="2" t="str">
        <f t="shared" si="11"/>
        <v>1621</v>
      </c>
      <c r="C162" s="8" t="str">
        <f t="shared" si="12"/>
        <v>1PremiumS4</v>
      </c>
      <c r="D162" s="8" t="str">
        <f t="shared" si="13"/>
        <v>1PremiumS4pick</v>
      </c>
      <c r="E162" s="11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5">
        <v>1</v>
      </c>
      <c r="N162" s="18">
        <f>VLOOKUP(D162,gacha_162_base!A:B,2,FALSE)</f>
        <v>7178</v>
      </c>
      <c r="O162" s="14">
        <v>0</v>
      </c>
      <c r="P162" s="14">
        <v>0</v>
      </c>
      <c r="Q162" s="14">
        <v>0</v>
      </c>
      <c r="R162" s="14">
        <v>0</v>
      </c>
      <c r="S162" s="14">
        <v>1</v>
      </c>
    </row>
    <row r="163" spans="1:19" ht="21" customHeight="1">
      <c r="A163" s="7" t="str">
        <f t="shared" si="10"/>
        <v>1621397</v>
      </c>
      <c r="B163" s="2" t="str">
        <f t="shared" si="11"/>
        <v>1621</v>
      </c>
      <c r="C163" s="8" t="str">
        <f t="shared" si="12"/>
        <v>1PremiumS5</v>
      </c>
      <c r="D163" s="8" t="str">
        <f t="shared" si="13"/>
        <v>1PremiumS5pick</v>
      </c>
      <c r="E163" s="11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5">
        <v>1</v>
      </c>
      <c r="N163" s="18">
        <f>VLOOKUP(D163,gacha_162_base!A:B,2,FALSE)</f>
        <v>2522</v>
      </c>
      <c r="O163" s="14">
        <v>0</v>
      </c>
      <c r="P163" s="14">
        <v>0</v>
      </c>
      <c r="Q163" s="14">
        <v>0</v>
      </c>
      <c r="R163" s="14">
        <v>0</v>
      </c>
      <c r="S163" s="14">
        <v>1</v>
      </c>
    </row>
    <row r="164" spans="1:19" ht="21" customHeight="1">
      <c r="A164" s="7" t="str">
        <f t="shared" si="10"/>
        <v>1621398</v>
      </c>
      <c r="B164" s="2" t="str">
        <f t="shared" si="11"/>
        <v>1621</v>
      </c>
      <c r="C164" s="8" t="str">
        <f t="shared" si="12"/>
        <v>1PremiumSS4</v>
      </c>
      <c r="D164" s="8" t="str">
        <f t="shared" si="13"/>
        <v>1PremiumSS4pick</v>
      </c>
      <c r="E164" s="11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5">
        <v>1</v>
      </c>
      <c r="N164" s="18">
        <f>VLOOKUP(D164,gacha_162_base!A:B,2,FALSE)</f>
        <v>36278</v>
      </c>
      <c r="O164" s="14">
        <v>0</v>
      </c>
      <c r="P164" s="14">
        <v>0</v>
      </c>
      <c r="Q164" s="14">
        <v>0</v>
      </c>
      <c r="R164" s="14">
        <v>0</v>
      </c>
      <c r="S164" s="14">
        <v>1</v>
      </c>
    </row>
    <row r="165" spans="1:19" ht="21" customHeight="1">
      <c r="A165" s="7" t="str">
        <f t="shared" si="10"/>
        <v>1621399</v>
      </c>
      <c r="B165" s="2" t="str">
        <f t="shared" si="11"/>
        <v>1621</v>
      </c>
      <c r="C165" s="8" t="str">
        <f t="shared" si="12"/>
        <v>1PremiumSS5</v>
      </c>
      <c r="D165" s="8" t="str">
        <f t="shared" si="13"/>
        <v>1PremiumSS5pick</v>
      </c>
      <c r="E165" s="11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5">
        <v>1</v>
      </c>
      <c r="N165" s="18">
        <f>VLOOKUP(D165,gacha_162_base!A:B,2,FALSE)</f>
        <v>2522</v>
      </c>
      <c r="O165" s="14">
        <v>0</v>
      </c>
      <c r="P165" s="14">
        <v>0</v>
      </c>
      <c r="Q165" s="14">
        <v>0</v>
      </c>
      <c r="R165" s="14">
        <v>0</v>
      </c>
      <c r="S165" s="14">
        <v>1</v>
      </c>
    </row>
    <row r="166" spans="1:19" ht="21" customHeight="1">
      <c r="A166" s="7" t="str">
        <f t="shared" si="10"/>
        <v>1621400</v>
      </c>
      <c r="B166" s="2" t="str">
        <f t="shared" si="11"/>
        <v>1621</v>
      </c>
      <c r="C166" s="8" t="str">
        <f t="shared" si="12"/>
        <v>1PremiumS3</v>
      </c>
      <c r="D166" s="8" t="str">
        <f t="shared" si="13"/>
        <v>1PremiumS3pick</v>
      </c>
      <c r="E166" s="11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5">
        <v>1</v>
      </c>
      <c r="N166" s="18">
        <f>VLOOKUP(D166,gacha_162_base!A:B,2,FALSE)</f>
        <v>29100</v>
      </c>
      <c r="O166" s="14">
        <v>0</v>
      </c>
      <c r="P166" s="14">
        <v>0</v>
      </c>
      <c r="Q166" s="14">
        <v>0</v>
      </c>
      <c r="R166" s="14">
        <v>0</v>
      </c>
      <c r="S166" s="14">
        <v>1</v>
      </c>
    </row>
    <row r="167" spans="1:19" ht="21" customHeight="1">
      <c r="A167" s="7" t="str">
        <f t="shared" si="10"/>
        <v>1621401</v>
      </c>
      <c r="B167" s="2" t="str">
        <f t="shared" si="11"/>
        <v>1621</v>
      </c>
      <c r="C167" s="8" t="str">
        <f t="shared" si="12"/>
        <v>1PremiumS4</v>
      </c>
      <c r="D167" s="8" t="str">
        <f t="shared" si="13"/>
        <v>1PremiumS4pick</v>
      </c>
      <c r="E167" s="11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5">
        <v>1</v>
      </c>
      <c r="N167" s="18">
        <f>VLOOKUP(D167,gacha_162_base!A:B,2,FALSE)</f>
        <v>7178</v>
      </c>
      <c r="O167" s="14">
        <v>0</v>
      </c>
      <c r="P167" s="14">
        <v>0</v>
      </c>
      <c r="Q167" s="14">
        <v>0</v>
      </c>
      <c r="R167" s="14">
        <v>0</v>
      </c>
      <c r="S167" s="14">
        <v>1</v>
      </c>
    </row>
    <row r="168" spans="1:19" ht="21" customHeight="1">
      <c r="A168" s="7" t="str">
        <f t="shared" si="10"/>
        <v>1621402</v>
      </c>
      <c r="B168" s="2" t="str">
        <f t="shared" si="11"/>
        <v>1621</v>
      </c>
      <c r="C168" s="8" t="str">
        <f t="shared" si="12"/>
        <v>1PremiumS5</v>
      </c>
      <c r="D168" s="8" t="str">
        <f t="shared" si="13"/>
        <v>1PremiumS5pick</v>
      </c>
      <c r="E168" s="11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5">
        <v>1</v>
      </c>
      <c r="N168" s="18">
        <f>VLOOKUP(D168,gacha_162_base!A:B,2,FALSE)</f>
        <v>2522</v>
      </c>
      <c r="O168" s="14">
        <v>0</v>
      </c>
      <c r="P168" s="14">
        <v>0</v>
      </c>
      <c r="Q168" s="14">
        <v>0</v>
      </c>
      <c r="R168" s="14">
        <v>0</v>
      </c>
      <c r="S168" s="14">
        <v>1</v>
      </c>
    </row>
    <row r="169" spans="1:19" ht="21" customHeight="1">
      <c r="A169" s="7" t="str">
        <f t="shared" si="10"/>
        <v>1621403</v>
      </c>
      <c r="B169" s="2" t="str">
        <f t="shared" si="11"/>
        <v>1621</v>
      </c>
      <c r="C169" s="8" t="str">
        <f t="shared" si="12"/>
        <v>1PremiumSS4</v>
      </c>
      <c r="D169" s="8" t="str">
        <f t="shared" si="9"/>
        <v>1PremiumSS4</v>
      </c>
      <c r="E169" s="11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5">
        <v>1</v>
      </c>
      <c r="N169" s="18">
        <f>VLOOKUP(D169,gacha_162_base!A:B,2,FALSE)</f>
        <v>1512</v>
      </c>
      <c r="O169" s="14">
        <v>0</v>
      </c>
      <c r="P169" s="14">
        <v>0</v>
      </c>
      <c r="Q169" s="14">
        <v>0</v>
      </c>
      <c r="R169" s="14">
        <v>0</v>
      </c>
      <c r="S169" s="14">
        <v>1</v>
      </c>
    </row>
    <row r="170" spans="1:19" ht="21" customHeight="1">
      <c r="A170" s="7" t="str">
        <f t="shared" si="10"/>
        <v>1621404</v>
      </c>
      <c r="B170" s="2" t="str">
        <f t="shared" si="11"/>
        <v>1621</v>
      </c>
      <c r="C170" s="8" t="str">
        <f t="shared" si="12"/>
        <v>1PremiumSS5</v>
      </c>
      <c r="D170" s="8" t="str">
        <f t="shared" si="9"/>
        <v>1PremiumSS5</v>
      </c>
      <c r="E170" s="11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5">
        <v>1</v>
      </c>
      <c r="N170" s="18">
        <f>VLOOKUP(D170,gacha_162_base!A:B,2,FALSE)</f>
        <v>105</v>
      </c>
      <c r="O170" s="14">
        <v>0</v>
      </c>
      <c r="P170" s="14">
        <v>0</v>
      </c>
      <c r="Q170" s="14">
        <v>0</v>
      </c>
      <c r="R170" s="14">
        <v>0</v>
      </c>
      <c r="S170" s="14">
        <v>1</v>
      </c>
    </row>
    <row r="171" spans="1:19" ht="21" customHeight="1">
      <c r="A171" s="7" t="str">
        <f t="shared" si="10"/>
        <v>1621405</v>
      </c>
      <c r="B171" s="2" t="str">
        <f t="shared" si="11"/>
        <v>1621</v>
      </c>
      <c r="C171" s="8" t="str">
        <f t="shared" si="12"/>
        <v>1PremiumS3</v>
      </c>
      <c r="D171" s="8" t="str">
        <f>E171&amp;H171&amp;I171</f>
        <v>1PremiumS3</v>
      </c>
      <c r="E171" s="11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5">
        <v>1</v>
      </c>
      <c r="N171" s="18">
        <f>VLOOKUP(D171,gacha_162_base!A:B,2,FALSE)</f>
        <v>25558</v>
      </c>
      <c r="O171" s="14">
        <v>0</v>
      </c>
      <c r="P171" s="14">
        <v>0</v>
      </c>
      <c r="Q171" s="14">
        <v>0</v>
      </c>
      <c r="R171" s="14">
        <v>0</v>
      </c>
      <c r="S171" s="14">
        <v>1</v>
      </c>
    </row>
    <row r="172" spans="1:19" ht="21" customHeight="1">
      <c r="A172" s="7" t="str">
        <f t="shared" si="10"/>
        <v>1621406</v>
      </c>
      <c r="B172" s="2" t="str">
        <f t="shared" si="11"/>
        <v>1621</v>
      </c>
      <c r="C172" s="8" t="str">
        <f t="shared" si="12"/>
        <v>1PremiumS4</v>
      </c>
      <c r="D172" s="8" t="str">
        <f>E172&amp;H172&amp;I172</f>
        <v>1PremiumS4</v>
      </c>
      <c r="E172" s="11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5">
        <v>1</v>
      </c>
      <c r="N172" s="18">
        <f>VLOOKUP(D172,gacha_162_base!A:B,2,FALSE)</f>
        <v>6304</v>
      </c>
      <c r="O172" s="14">
        <v>0</v>
      </c>
      <c r="P172" s="14">
        <v>0</v>
      </c>
      <c r="Q172" s="14">
        <v>0</v>
      </c>
      <c r="R172" s="14">
        <v>0</v>
      </c>
      <c r="S172" s="14">
        <v>1</v>
      </c>
    </row>
    <row r="173" spans="1:19" ht="21" customHeight="1">
      <c r="A173" s="7" t="str">
        <f t="shared" si="10"/>
        <v>1621407</v>
      </c>
      <c r="B173" s="2" t="str">
        <f t="shared" si="11"/>
        <v>1621</v>
      </c>
      <c r="C173" s="8" t="str">
        <f t="shared" si="12"/>
        <v>1PremiumS5</v>
      </c>
      <c r="D173" s="8" t="str">
        <f>E173&amp;H173&amp;I173</f>
        <v>1PremiumS5</v>
      </c>
      <c r="E173" s="11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5">
        <v>1</v>
      </c>
      <c r="N173" s="18">
        <f>VLOOKUP(D173,gacha_162_base!A:B,2,FALSE)</f>
        <v>2215</v>
      </c>
      <c r="O173" s="14">
        <v>0</v>
      </c>
      <c r="P173" s="14">
        <v>0</v>
      </c>
      <c r="Q173" s="14">
        <v>0</v>
      </c>
      <c r="R173" s="14">
        <v>0</v>
      </c>
      <c r="S173" s="14">
        <v>1</v>
      </c>
    </row>
    <row r="174" spans="1:19" ht="21" customHeight="1">
      <c r="A174" s="7" t="str">
        <f t="shared" si="10"/>
        <v>1621408</v>
      </c>
      <c r="B174" s="2" t="str">
        <f t="shared" si="11"/>
        <v>1621</v>
      </c>
      <c r="C174" s="8" t="str">
        <f t="shared" si="12"/>
        <v>1PremiumSS4</v>
      </c>
      <c r="D174" s="8" t="str">
        <f t="shared" si="9"/>
        <v>1PremiumSS4</v>
      </c>
      <c r="E174" s="11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5">
        <v>1</v>
      </c>
      <c r="N174" s="18">
        <f>VLOOKUP(D174,gacha_162_base!A:B,2,FALSE)</f>
        <v>1512</v>
      </c>
      <c r="O174" s="14">
        <v>0</v>
      </c>
      <c r="P174" s="14">
        <v>0</v>
      </c>
      <c r="Q174" s="14">
        <v>0</v>
      </c>
      <c r="R174" s="14">
        <v>0</v>
      </c>
      <c r="S174" s="14">
        <v>1</v>
      </c>
    </row>
    <row r="175" spans="1:19" ht="21" customHeight="1">
      <c r="A175" s="7" t="str">
        <f t="shared" si="10"/>
        <v>1621409</v>
      </c>
      <c r="B175" s="2" t="str">
        <f t="shared" si="11"/>
        <v>1621</v>
      </c>
      <c r="C175" s="8" t="str">
        <f t="shared" si="12"/>
        <v>1PremiumSS5</v>
      </c>
      <c r="D175" s="8" t="str">
        <f t="shared" si="9"/>
        <v>1PremiumSS5</v>
      </c>
      <c r="E175" s="11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5">
        <v>1</v>
      </c>
      <c r="N175" s="18">
        <f>VLOOKUP(D175,gacha_162_base!A:B,2,FALSE)</f>
        <v>105</v>
      </c>
      <c r="O175" s="14">
        <v>0</v>
      </c>
      <c r="P175" s="14">
        <v>0</v>
      </c>
      <c r="Q175" s="14">
        <v>0</v>
      </c>
      <c r="R175" s="14">
        <v>0</v>
      </c>
      <c r="S175" s="14">
        <v>1</v>
      </c>
    </row>
    <row r="176" spans="1:19" ht="21" customHeight="1">
      <c r="A176" s="7" t="str">
        <f t="shared" si="10"/>
        <v>1621434</v>
      </c>
      <c r="B176" s="2" t="str">
        <f t="shared" si="11"/>
        <v>1621</v>
      </c>
      <c r="C176" s="8" t="str">
        <f t="shared" si="12"/>
        <v>1PremiumSS4</v>
      </c>
      <c r="D176" s="8" t="str">
        <f>E176&amp;H176&amp;I176</f>
        <v>1PremiumSS4</v>
      </c>
      <c r="E176" s="11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5">
        <v>1</v>
      </c>
      <c r="N176" s="18">
        <f>VLOOKUP(D176,gacha_162_base!A:B,2,FALSE)</f>
        <v>1512</v>
      </c>
      <c r="O176" s="14">
        <v>0</v>
      </c>
      <c r="P176" s="14">
        <v>0</v>
      </c>
      <c r="Q176" s="14">
        <v>0</v>
      </c>
      <c r="R176" s="14">
        <v>0</v>
      </c>
      <c r="S176" s="14">
        <v>1</v>
      </c>
    </row>
    <row r="177" spans="1:19" ht="21" customHeight="1">
      <c r="A177" s="7" t="str">
        <f t="shared" si="10"/>
        <v>1621435</v>
      </c>
      <c r="B177" s="2" t="str">
        <f t="shared" si="11"/>
        <v>1621</v>
      </c>
      <c r="C177" s="8" t="str">
        <f t="shared" si="12"/>
        <v>1PremiumSS5</v>
      </c>
      <c r="D177" s="8" t="str">
        <f>E177&amp;H177&amp;I177&amp;"pick"</f>
        <v>1PremiumSS5pick</v>
      </c>
      <c r="E177" s="11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5">
        <v>1</v>
      </c>
      <c r="N177" s="18">
        <f>VLOOKUP(D177,gacha_162_base!A:B,2,FALSE)</f>
        <v>2522</v>
      </c>
      <c r="O177" s="14">
        <v>0</v>
      </c>
      <c r="P177" s="14">
        <v>0</v>
      </c>
      <c r="Q177" s="14">
        <v>0</v>
      </c>
      <c r="R177" s="14">
        <v>0</v>
      </c>
      <c r="S177" s="14">
        <v>1</v>
      </c>
    </row>
    <row r="178" spans="1:19" ht="21" customHeight="1">
      <c r="A178" s="7" t="str">
        <f t="shared" si="10"/>
        <v>1621436</v>
      </c>
      <c r="B178" s="2" t="str">
        <f t="shared" si="11"/>
        <v>1621</v>
      </c>
      <c r="C178" s="8" t="str">
        <f t="shared" si="12"/>
        <v>1PremiumS3</v>
      </c>
      <c r="D178" s="8" t="str">
        <f t="shared" si="9"/>
        <v>1PremiumS3</v>
      </c>
      <c r="E178" s="11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5">
        <v>1</v>
      </c>
      <c r="N178" s="18">
        <f>VLOOKUP(D178,gacha_162_base!A:B,2,FALSE)</f>
        <v>25558</v>
      </c>
      <c r="O178" s="14">
        <v>0</v>
      </c>
      <c r="P178" s="14">
        <v>0</v>
      </c>
      <c r="Q178" s="14">
        <v>0</v>
      </c>
      <c r="R178" s="14">
        <v>0</v>
      </c>
      <c r="S178" s="14">
        <v>1</v>
      </c>
    </row>
    <row r="179" spans="1:19" ht="21" customHeight="1">
      <c r="A179" s="7" t="str">
        <f t="shared" si="10"/>
        <v>1621437</v>
      </c>
      <c r="B179" s="2" t="str">
        <f t="shared" si="11"/>
        <v>1621</v>
      </c>
      <c r="C179" s="8" t="str">
        <f t="shared" si="12"/>
        <v>1PremiumS4</v>
      </c>
      <c r="D179" s="8" t="str">
        <f t="shared" si="9"/>
        <v>1PremiumS4</v>
      </c>
      <c r="E179" s="11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5">
        <v>1</v>
      </c>
      <c r="N179" s="18">
        <f>VLOOKUP(D179,gacha_162_base!A:B,2,FALSE)</f>
        <v>6304</v>
      </c>
      <c r="O179" s="14">
        <v>0</v>
      </c>
      <c r="P179" s="14">
        <v>0</v>
      </c>
      <c r="Q179" s="14">
        <v>0</v>
      </c>
      <c r="R179" s="14">
        <v>0</v>
      </c>
      <c r="S179" s="14">
        <v>1</v>
      </c>
    </row>
    <row r="180" spans="1:19" ht="21" customHeight="1">
      <c r="A180" s="7" t="str">
        <f t="shared" si="10"/>
        <v>1621438</v>
      </c>
      <c r="B180" s="2" t="str">
        <f t="shared" si="11"/>
        <v>1621</v>
      </c>
      <c r="C180" s="8" t="str">
        <f t="shared" si="12"/>
        <v>1PremiumS5</v>
      </c>
      <c r="D180" s="8" t="str">
        <f t="shared" si="9"/>
        <v>1PremiumS5</v>
      </c>
      <c r="E180" s="11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5">
        <v>1</v>
      </c>
      <c r="N180" s="18">
        <f>VLOOKUP(D180,gacha_162_base!A:B,2,FALSE)</f>
        <v>2215</v>
      </c>
      <c r="O180" s="14">
        <v>0</v>
      </c>
      <c r="P180" s="14">
        <v>0</v>
      </c>
      <c r="Q180" s="14">
        <v>0</v>
      </c>
      <c r="R180" s="14">
        <v>0</v>
      </c>
      <c r="S180" s="14">
        <v>1</v>
      </c>
    </row>
    <row r="181" spans="1:19" ht="21" customHeight="1">
      <c r="A181" s="7" t="str">
        <f t="shared" si="10"/>
        <v>1621439</v>
      </c>
      <c r="B181" s="2" t="str">
        <f t="shared" si="11"/>
        <v>1621</v>
      </c>
      <c r="C181" s="8" t="str">
        <f t="shared" si="12"/>
        <v>1PremiumS3</v>
      </c>
      <c r="D181" s="8" t="str">
        <f t="shared" si="9"/>
        <v>1PremiumS3</v>
      </c>
      <c r="E181" s="11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5">
        <v>1</v>
      </c>
      <c r="N181" s="18">
        <f>VLOOKUP(D181,gacha_162_base!A:B,2,FALSE)</f>
        <v>25558</v>
      </c>
      <c r="O181" s="14">
        <v>0</v>
      </c>
      <c r="P181" s="14">
        <v>0</v>
      </c>
      <c r="Q181" s="14">
        <v>0</v>
      </c>
      <c r="R181" s="14">
        <v>0</v>
      </c>
      <c r="S181" s="14">
        <v>1</v>
      </c>
    </row>
    <row r="182" spans="1:19" ht="21" customHeight="1">
      <c r="A182" s="7" t="str">
        <f t="shared" si="10"/>
        <v>1621440</v>
      </c>
      <c r="B182" s="2" t="str">
        <f t="shared" si="11"/>
        <v>1621</v>
      </c>
      <c r="C182" s="8" t="str">
        <f t="shared" si="12"/>
        <v>1PremiumS4</v>
      </c>
      <c r="D182" s="8" t="str">
        <f t="shared" si="9"/>
        <v>1PremiumS4</v>
      </c>
      <c r="E182" s="11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5">
        <v>1</v>
      </c>
      <c r="N182" s="18">
        <f>VLOOKUP(D182,gacha_162_base!A:B,2,FALSE)</f>
        <v>6304</v>
      </c>
      <c r="O182" s="14">
        <v>0</v>
      </c>
      <c r="P182" s="14">
        <v>0</v>
      </c>
      <c r="Q182" s="14">
        <v>0</v>
      </c>
      <c r="R182" s="14">
        <v>0</v>
      </c>
      <c r="S182" s="14">
        <v>1</v>
      </c>
    </row>
    <row r="183" spans="1:19" ht="21" customHeight="1">
      <c r="A183" s="7" t="str">
        <f t="shared" si="10"/>
        <v>1621441</v>
      </c>
      <c r="B183" s="2" t="str">
        <f t="shared" si="11"/>
        <v>1621</v>
      </c>
      <c r="C183" s="8" t="str">
        <f t="shared" si="12"/>
        <v>1PremiumS5</v>
      </c>
      <c r="D183" s="8" t="str">
        <f t="shared" si="9"/>
        <v>1PremiumS5</v>
      </c>
      <c r="E183" s="11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5">
        <v>1</v>
      </c>
      <c r="N183" s="18">
        <f>VLOOKUP(D183,gacha_162_base!A:B,2,FALSE)</f>
        <v>2215</v>
      </c>
      <c r="O183" s="14">
        <v>0</v>
      </c>
      <c r="P183" s="14">
        <v>0</v>
      </c>
      <c r="Q183" s="14">
        <v>0</v>
      </c>
      <c r="R183" s="14">
        <v>0</v>
      </c>
      <c r="S183" s="14">
        <v>1</v>
      </c>
    </row>
    <row r="184" spans="1:19" ht="21" customHeight="1">
      <c r="A184" s="7" t="str">
        <f t="shared" si="10"/>
        <v>1621442</v>
      </c>
      <c r="B184" s="2" t="str">
        <f t="shared" si="11"/>
        <v>1621</v>
      </c>
      <c r="C184" s="8" t="str">
        <f t="shared" si="12"/>
        <v>1PremiumSS4</v>
      </c>
      <c r="D184" s="8" t="str">
        <f t="shared" si="9"/>
        <v>1PremiumSS4</v>
      </c>
      <c r="E184" s="11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5">
        <v>1</v>
      </c>
      <c r="N184" s="18">
        <f>VLOOKUP(D184,gacha_162_base!A:B,2,FALSE)</f>
        <v>1512</v>
      </c>
      <c r="O184" s="14">
        <v>0</v>
      </c>
      <c r="P184" s="14">
        <v>0</v>
      </c>
      <c r="Q184" s="14">
        <v>0</v>
      </c>
      <c r="R184" s="14">
        <v>0</v>
      </c>
      <c r="S184" s="14">
        <v>1</v>
      </c>
    </row>
    <row r="185" spans="1:19" ht="21" customHeight="1">
      <c r="A185" s="7" t="str">
        <f t="shared" si="10"/>
        <v>1621443</v>
      </c>
      <c r="B185" s="2" t="str">
        <f t="shared" si="11"/>
        <v>1621</v>
      </c>
      <c r="C185" s="8" t="str">
        <f t="shared" si="12"/>
        <v>1PremiumSS5</v>
      </c>
      <c r="D185" s="8" t="str">
        <f t="shared" si="9"/>
        <v>1PremiumSS5</v>
      </c>
      <c r="E185" s="11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5">
        <v>1</v>
      </c>
      <c r="N185" s="18">
        <f>VLOOKUP(D185,gacha_162_base!A:B,2,FALSE)</f>
        <v>105</v>
      </c>
      <c r="O185" s="14">
        <v>0</v>
      </c>
      <c r="P185" s="14">
        <v>0</v>
      </c>
      <c r="Q185" s="14">
        <v>0</v>
      </c>
      <c r="R185" s="14">
        <v>0</v>
      </c>
      <c r="S185" s="14">
        <v>1</v>
      </c>
    </row>
    <row r="186" spans="1:19" ht="21" customHeight="1">
      <c r="A186" s="7" t="str">
        <f t="shared" si="10"/>
        <v>1621462</v>
      </c>
      <c r="B186" s="2" t="str">
        <f t="shared" si="11"/>
        <v>1621</v>
      </c>
      <c r="C186" s="8" t="str">
        <f t="shared" si="12"/>
        <v>1PremiumS3</v>
      </c>
      <c r="D186" s="8" t="str">
        <f t="shared" si="9"/>
        <v>1PremiumS3</v>
      </c>
      <c r="E186" s="11">
        <v>1</v>
      </c>
      <c r="F186" s="10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5">
        <v>1</v>
      </c>
      <c r="N186" s="18">
        <f>VLOOKUP(D186,gacha_162_base!A:B,2,FALSE)</f>
        <v>25558</v>
      </c>
      <c r="O186" s="14">
        <v>0</v>
      </c>
      <c r="P186" s="14">
        <v>0</v>
      </c>
      <c r="Q186" s="14">
        <v>0</v>
      </c>
      <c r="R186" s="14">
        <v>0</v>
      </c>
      <c r="S186" s="14">
        <v>1</v>
      </c>
    </row>
    <row r="187" spans="1:19" ht="21" customHeight="1">
      <c r="A187" s="7" t="str">
        <f t="shared" si="10"/>
        <v>1621463</v>
      </c>
      <c r="B187" s="2" t="str">
        <f t="shared" si="11"/>
        <v>1621</v>
      </c>
      <c r="C187" s="8" t="str">
        <f t="shared" si="12"/>
        <v>1PremiumS4</v>
      </c>
      <c r="D187" s="8" t="str">
        <f t="shared" si="9"/>
        <v>1PremiumS4</v>
      </c>
      <c r="E187" s="11">
        <v>1</v>
      </c>
      <c r="F187" s="10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5">
        <v>1</v>
      </c>
      <c r="N187" s="18">
        <f>VLOOKUP(D187,gacha_162_base!A:B,2,FALSE)</f>
        <v>6304</v>
      </c>
      <c r="O187" s="14">
        <v>0</v>
      </c>
      <c r="P187" s="14">
        <v>0</v>
      </c>
      <c r="Q187" s="14">
        <v>0</v>
      </c>
      <c r="R187" s="14">
        <v>0</v>
      </c>
      <c r="S187" s="14">
        <v>1</v>
      </c>
    </row>
    <row r="188" spans="1:19" ht="21" customHeight="1">
      <c r="A188" s="7" t="str">
        <f t="shared" si="10"/>
        <v>1621464</v>
      </c>
      <c r="B188" s="2" t="str">
        <f t="shared" si="11"/>
        <v>1621</v>
      </c>
      <c r="C188" s="8" t="str">
        <f t="shared" si="12"/>
        <v>1PremiumS5</v>
      </c>
      <c r="D188" s="8" t="str">
        <f t="shared" si="9"/>
        <v>1PremiumS5</v>
      </c>
      <c r="E188" s="11">
        <v>1</v>
      </c>
      <c r="F188" s="10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5">
        <v>1</v>
      </c>
      <c r="N188" s="18">
        <f>VLOOKUP(D188,gacha_162_base!A:B,2,FALSE)</f>
        <v>2215</v>
      </c>
      <c r="O188" s="14">
        <v>0</v>
      </c>
      <c r="P188" s="14">
        <v>0</v>
      </c>
      <c r="Q188" s="14">
        <v>0</v>
      </c>
      <c r="R188" s="14">
        <v>0</v>
      </c>
      <c r="S188" s="14">
        <v>1</v>
      </c>
    </row>
    <row r="189" spans="1:19" ht="21" customHeight="1">
      <c r="A189" s="7" t="str">
        <f t="shared" si="10"/>
        <v>1621465</v>
      </c>
      <c r="B189" s="2" t="str">
        <f t="shared" si="11"/>
        <v>1621</v>
      </c>
      <c r="C189" s="8" t="str">
        <f t="shared" si="12"/>
        <v>1PremiumSS4</v>
      </c>
      <c r="D189" s="8" t="str">
        <f t="shared" si="9"/>
        <v>1PremiumSS4</v>
      </c>
      <c r="E189" s="11">
        <v>1</v>
      </c>
      <c r="F189" s="10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5">
        <v>1</v>
      </c>
      <c r="N189" s="18">
        <f>VLOOKUP(D189,gacha_162_base!A:B,2,FALSE)</f>
        <v>1512</v>
      </c>
      <c r="O189" s="14">
        <v>0</v>
      </c>
      <c r="P189" s="14">
        <v>0</v>
      </c>
      <c r="Q189" s="14">
        <v>0</v>
      </c>
      <c r="R189" s="14">
        <v>0</v>
      </c>
      <c r="S189" s="14">
        <v>1</v>
      </c>
    </row>
    <row r="190" spans="1:19" s="12" customFormat="1" ht="21" customHeight="1" thickBot="1">
      <c r="A190" s="7" t="str">
        <f t="shared" si="10"/>
        <v>1621466</v>
      </c>
      <c r="B190" s="2" t="str">
        <f t="shared" si="11"/>
        <v>1621</v>
      </c>
      <c r="C190" s="8" t="str">
        <f t="shared" si="12"/>
        <v>1PremiumSS5</v>
      </c>
      <c r="D190" s="8" t="str">
        <f t="shared" si="9"/>
        <v>1PremiumSS5</v>
      </c>
      <c r="E190" s="11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5">
        <v>1</v>
      </c>
      <c r="N190" s="18">
        <f>VLOOKUP(D190,gacha_162_base!A:B,2,FALSE)</f>
        <v>105</v>
      </c>
      <c r="O190" s="14">
        <v>0</v>
      </c>
      <c r="P190" s="14">
        <v>0</v>
      </c>
      <c r="Q190" s="14">
        <v>0</v>
      </c>
      <c r="R190" s="14">
        <v>0</v>
      </c>
      <c r="S190" s="14">
        <v>1</v>
      </c>
    </row>
    <row r="191" spans="1:19" ht="21" customHeight="1">
      <c r="A191" s="7" t="str">
        <f t="shared" si="10"/>
        <v>1621467</v>
      </c>
      <c r="B191" s="2" t="str">
        <f t="shared" si="11"/>
        <v>1621</v>
      </c>
      <c r="C191" s="8" t="str">
        <f t="shared" si="12"/>
        <v>1PremiumSS4</v>
      </c>
      <c r="D191" s="8" t="str">
        <f>E191&amp;H191&amp;I191&amp;"pick"</f>
        <v>1PremiumSS4pick</v>
      </c>
      <c r="E191" s="11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5">
        <v>1</v>
      </c>
      <c r="N191" s="18">
        <f>VLOOKUP(D191,gacha_162_base!A:B,2,FALSE)</f>
        <v>36278</v>
      </c>
      <c r="O191" s="14">
        <v>0</v>
      </c>
      <c r="P191" s="14">
        <v>0</v>
      </c>
      <c r="Q191" s="14">
        <v>0</v>
      </c>
      <c r="R191" s="14">
        <v>0</v>
      </c>
      <c r="S191" s="14">
        <v>1</v>
      </c>
    </row>
    <row r="192" spans="1:19" ht="21" customHeight="1">
      <c r="A192" s="7" t="str">
        <f t="shared" si="10"/>
        <v>1621468</v>
      </c>
      <c r="B192" s="2" t="str">
        <f t="shared" si="11"/>
        <v>1621</v>
      </c>
      <c r="C192" s="8" t="str">
        <f t="shared" si="12"/>
        <v>1PremiumSS5</v>
      </c>
      <c r="D192" s="8" t="str">
        <f>E192&amp;H192&amp;I192&amp;"pick"</f>
        <v>1PremiumSS5pick</v>
      </c>
      <c r="E192" s="11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5">
        <v>1</v>
      </c>
      <c r="N192" s="18">
        <f>VLOOKUP(D192,gacha_162_base!A:B,2,FALSE)</f>
        <v>2522</v>
      </c>
      <c r="O192" s="14">
        <v>0</v>
      </c>
      <c r="P192" s="14">
        <v>0</v>
      </c>
      <c r="Q192" s="14">
        <v>0</v>
      </c>
      <c r="R192" s="14">
        <v>0</v>
      </c>
      <c r="S192" s="14">
        <v>1</v>
      </c>
    </row>
    <row r="193" spans="1:19" ht="21" customHeight="1">
      <c r="A193" s="7" t="str">
        <f t="shared" si="10"/>
        <v>1621469</v>
      </c>
      <c r="B193" s="2" t="str">
        <f t="shared" si="11"/>
        <v>1621</v>
      </c>
      <c r="C193" s="8" t="str">
        <f t="shared" si="12"/>
        <v>1PremiumS3</v>
      </c>
      <c r="D193" s="8" t="str">
        <f t="shared" si="9"/>
        <v>1PremiumS3</v>
      </c>
      <c r="E193" s="11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5">
        <v>1</v>
      </c>
      <c r="N193" s="18">
        <f>VLOOKUP(D193,gacha_162_base!A:B,2,FALSE)</f>
        <v>25558</v>
      </c>
      <c r="O193" s="14">
        <v>0</v>
      </c>
      <c r="P193" s="14">
        <v>0</v>
      </c>
      <c r="Q193" s="14">
        <v>0</v>
      </c>
      <c r="R193" s="14">
        <v>0</v>
      </c>
      <c r="S193" s="14">
        <v>1</v>
      </c>
    </row>
    <row r="194" spans="1:19" ht="21" customHeight="1">
      <c r="A194" s="7" t="str">
        <f t="shared" si="10"/>
        <v>1621470</v>
      </c>
      <c r="B194" s="2" t="str">
        <f t="shared" si="11"/>
        <v>1621</v>
      </c>
      <c r="C194" s="8" t="str">
        <f t="shared" si="12"/>
        <v>1PremiumS4</v>
      </c>
      <c r="D194" s="8" t="str">
        <f t="shared" ref="D194:D257" si="14">E194&amp;H194&amp;I194</f>
        <v>1PremiumS4</v>
      </c>
      <c r="E194" s="11">
        <v>1</v>
      </c>
      <c r="F194" s="13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5">
        <v>1</v>
      </c>
      <c r="N194" s="18">
        <f>VLOOKUP(D194,gacha_162_base!A:B,2,FALSE)</f>
        <v>6304</v>
      </c>
      <c r="O194" s="14">
        <v>0</v>
      </c>
      <c r="P194" s="14">
        <v>0</v>
      </c>
      <c r="Q194" s="14">
        <v>0</v>
      </c>
      <c r="R194" s="14">
        <v>0</v>
      </c>
      <c r="S194" s="14">
        <v>1</v>
      </c>
    </row>
    <row r="195" spans="1:19" ht="21" customHeight="1">
      <c r="A195" s="7" t="str">
        <f t="shared" ref="A195" si="15">B195&amp;F195</f>
        <v>1621471</v>
      </c>
      <c r="B195" s="2" t="str">
        <f t="shared" ref="B195:B258" si="16">162&amp;E195</f>
        <v>1621</v>
      </c>
      <c r="C195" s="8" t="str">
        <f t="shared" ref="C195" si="17">E195&amp;H195&amp;I195</f>
        <v>1PremiumS5</v>
      </c>
      <c r="D195" s="8" t="str">
        <f t="shared" ref="D195" si="18">E195&amp;H195&amp;I195</f>
        <v>1PremiumS5</v>
      </c>
      <c r="E195" s="11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5">
        <v>1</v>
      </c>
      <c r="N195" s="18">
        <f>VLOOKUP(D195,gacha_162_base!A:B,2,FALSE)</f>
        <v>2215</v>
      </c>
      <c r="O195" s="14">
        <v>0</v>
      </c>
      <c r="P195" s="14">
        <v>0</v>
      </c>
      <c r="Q195" s="14">
        <v>0</v>
      </c>
      <c r="R195" s="14">
        <v>0</v>
      </c>
      <c r="S195" s="14">
        <v>1</v>
      </c>
    </row>
    <row r="196" spans="1:19" ht="21" customHeight="1">
      <c r="A196" s="7" t="str">
        <f t="shared" ref="A196:A258" si="19">B196&amp;F196</f>
        <v>1620127</v>
      </c>
      <c r="B196" s="2" t="str">
        <f t="shared" si="16"/>
        <v>1620</v>
      </c>
      <c r="C196" s="8" t="str">
        <f t="shared" ref="C196:C230" si="20">E196&amp;H196&amp;I196</f>
        <v>0PremiumW4</v>
      </c>
      <c r="D196" s="8" t="str">
        <f t="shared" si="14"/>
        <v>0PremiumW4</v>
      </c>
      <c r="E196" s="11">
        <v>0</v>
      </c>
      <c r="F196" s="6">
        <v>127</v>
      </c>
      <c r="G196" s="8" t="str">
        <f>VLOOKUP(F196,[1]characters!$A:$C,3,FALSE)</f>
        <v>狂喜の賢者 ユノ</v>
      </c>
      <c r="H196" s="8" t="str">
        <f>VLOOKUP(F196,[1]characters!$A:$J,10,FALSE)</f>
        <v>PremiumW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human</v>
      </c>
      <c r="M196" s="5">
        <v>1</v>
      </c>
      <c r="N196" s="18">
        <f>VLOOKUP(D196,gacha_162_base!A:B,2,FALSE)</f>
        <v>9082</v>
      </c>
      <c r="O196" s="14">
        <v>0</v>
      </c>
      <c r="P196" s="14">
        <v>0</v>
      </c>
      <c r="Q196" s="14">
        <v>0</v>
      </c>
      <c r="R196" s="14">
        <v>0</v>
      </c>
      <c r="S196" s="14">
        <v>1</v>
      </c>
    </row>
    <row r="197" spans="1:19" ht="21" customHeight="1">
      <c r="A197" s="7" t="str">
        <f t="shared" si="19"/>
        <v>1620129</v>
      </c>
      <c r="B197" s="2" t="str">
        <f t="shared" si="16"/>
        <v>1620</v>
      </c>
      <c r="C197" s="8" t="str">
        <f t="shared" si="20"/>
        <v>0PremiumW4</v>
      </c>
      <c r="D197" s="8" t="str">
        <f t="shared" si="14"/>
        <v>0PremiumW4</v>
      </c>
      <c r="E197" s="11">
        <v>0</v>
      </c>
      <c r="F197" s="6">
        <v>129</v>
      </c>
      <c r="G197" s="8" t="str">
        <f>VLOOKUP(F197,[1]characters!$A:$C,3,FALSE)</f>
        <v>孤高の狼憑き アマラ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green</v>
      </c>
      <c r="K197" s="8" t="str">
        <f>VLOOKUP(F197,[1]characters!$A:$K,11,FALSE)</f>
        <v>attack</v>
      </c>
      <c r="L197" s="8" t="str">
        <f>VLOOKUP(F197,[1]characters!$A:$M,13,FALSE)</f>
        <v>human</v>
      </c>
      <c r="M197" s="5">
        <v>1</v>
      </c>
      <c r="N197" s="18">
        <f>VLOOKUP(D197,gacha_162_base!A:B,2,FALSE)</f>
        <v>9082</v>
      </c>
      <c r="O197" s="14">
        <v>0</v>
      </c>
      <c r="P197" s="14">
        <v>0</v>
      </c>
      <c r="Q197" s="14">
        <v>0</v>
      </c>
      <c r="R197" s="14">
        <v>0</v>
      </c>
      <c r="S197" s="14">
        <v>1</v>
      </c>
    </row>
    <row r="198" spans="1:19" ht="21" customHeight="1">
      <c r="A198" s="7" t="str">
        <f t="shared" si="19"/>
        <v>1620131</v>
      </c>
      <c r="B198" s="2" t="str">
        <f t="shared" si="16"/>
        <v>1620</v>
      </c>
      <c r="C198" s="8" t="str">
        <f t="shared" si="20"/>
        <v>0PremiumW4</v>
      </c>
      <c r="D198" s="8" t="str">
        <f t="shared" si="14"/>
        <v>0PremiumW4</v>
      </c>
      <c r="E198" s="11">
        <v>0</v>
      </c>
      <c r="F198" s="6">
        <v>131</v>
      </c>
      <c r="G198" s="8" t="str">
        <f>VLOOKUP(F198,[1]characters!$A:$C,3,FALSE)</f>
        <v>月下の人狼 ローレンス</v>
      </c>
      <c r="H198" s="8" t="str">
        <f>VLOOKUP(F198,[1]characters!$A:$J,10,FALSE)</f>
        <v>PremiumW</v>
      </c>
      <c r="I198" s="8">
        <f>VLOOKUP(F198,[1]characters!$A:$I,9,FALSE)</f>
        <v>4</v>
      </c>
      <c r="J198" s="8" t="str">
        <f>VLOOKUP(F198,[1]characters!$A:$H,8,FALSE)</f>
        <v>blue</v>
      </c>
      <c r="K198" s="8" t="str">
        <f>VLOOKUP(F198,[1]characters!$A:$K,11,FALSE)</f>
        <v>attack</v>
      </c>
      <c r="L198" s="8" t="str">
        <f>VLOOKUP(F198,[1]characters!$A:$M,13,FALSE)</f>
        <v>animal</v>
      </c>
      <c r="M198" s="5">
        <v>1</v>
      </c>
      <c r="N198" s="18">
        <f>VLOOKUP(D198,gacha_162_base!A:B,2,FALSE)</f>
        <v>9082</v>
      </c>
      <c r="O198" s="14">
        <v>0</v>
      </c>
      <c r="P198" s="14">
        <v>0</v>
      </c>
      <c r="Q198" s="14">
        <v>0</v>
      </c>
      <c r="R198" s="14">
        <v>0</v>
      </c>
      <c r="S198" s="14">
        <v>1</v>
      </c>
    </row>
    <row r="199" spans="1:19" ht="21" customHeight="1">
      <c r="A199" s="7" t="str">
        <f t="shared" si="19"/>
        <v>1620133</v>
      </c>
      <c r="B199" s="2" t="str">
        <f t="shared" si="16"/>
        <v>1620</v>
      </c>
      <c r="C199" s="8" t="str">
        <f t="shared" si="20"/>
        <v>0PremiumW4</v>
      </c>
      <c r="D199" s="8" t="str">
        <f t="shared" si="14"/>
        <v>0PremiumW4</v>
      </c>
      <c r="E199" s="11">
        <v>0</v>
      </c>
      <c r="F199" s="6">
        <v>133</v>
      </c>
      <c r="G199" s="8" t="str">
        <f>VLOOKUP(F199,[1]characters!$A:$C,3,FALSE)</f>
        <v>迅雷の刀剣 ハヤト</v>
      </c>
      <c r="H199" s="8" t="str">
        <f>VLOOKUP(F199,[1]characters!$A:$J,10,FALSE)</f>
        <v>PremiumW</v>
      </c>
      <c r="I199" s="8">
        <f>VLOOKUP(F199,[1]characters!$A:$I,9,FALSE)</f>
        <v>4</v>
      </c>
      <c r="J199" s="8" t="str">
        <f>VLOOKUP(F199,[1]characters!$A:$H,8,FALSE)</f>
        <v>yellow</v>
      </c>
      <c r="K199" s="8" t="str">
        <f>VLOOKUP(F199,[1]characters!$A:$K,11,FALSE)</f>
        <v>attack</v>
      </c>
      <c r="L199" s="8" t="str">
        <f>VLOOKUP(F199,[1]characters!$A:$M,13,FALSE)</f>
        <v>human</v>
      </c>
      <c r="M199" s="5">
        <v>1</v>
      </c>
      <c r="N199" s="18">
        <f>VLOOKUP(D199,gacha_162_base!A:B,2,FALSE)</f>
        <v>9082</v>
      </c>
      <c r="O199" s="14">
        <v>0</v>
      </c>
      <c r="P199" s="14">
        <v>0</v>
      </c>
      <c r="Q199" s="14">
        <v>0</v>
      </c>
      <c r="R199" s="14">
        <v>0</v>
      </c>
      <c r="S199" s="14">
        <v>1</v>
      </c>
    </row>
    <row r="200" spans="1:19" ht="21" customHeight="1">
      <c r="A200" s="7" t="str">
        <f t="shared" si="19"/>
        <v>1620135</v>
      </c>
      <c r="B200" s="2" t="str">
        <f t="shared" si="16"/>
        <v>1620</v>
      </c>
      <c r="C200" s="8" t="str">
        <f t="shared" si="20"/>
        <v>0PremiumW4</v>
      </c>
      <c r="D200" s="8" t="str">
        <f t="shared" si="14"/>
        <v>0PremiumW4</v>
      </c>
      <c r="E200" s="11">
        <v>0</v>
      </c>
      <c r="F200" s="6">
        <v>135</v>
      </c>
      <c r="G200" s="8" t="str">
        <f>VLOOKUP(F200,[1]characters!$A:$C,3,FALSE)</f>
        <v>京の炎華夕霧</v>
      </c>
      <c r="H200" s="8" t="str">
        <f>VLOOKUP(F200,[1]characters!$A:$J,10,FALSE)</f>
        <v>PremiumW</v>
      </c>
      <c r="I200" s="8">
        <f>VLOOKUP(F200,[1]characters!$A:$I,9,FALSE)</f>
        <v>4</v>
      </c>
      <c r="J200" s="8" t="str">
        <f>VLOOKUP(F200,[1]characters!$A:$H,8,FALSE)</f>
        <v>red</v>
      </c>
      <c r="K200" s="8" t="str">
        <f>VLOOKUP(F200,[1]characters!$A:$K,11,FALSE)</f>
        <v>balance</v>
      </c>
      <c r="L200" s="8" t="str">
        <f>VLOOKUP(F200,[1]characters!$A:$M,13,FALSE)</f>
        <v>human</v>
      </c>
      <c r="M200" s="5">
        <v>1</v>
      </c>
      <c r="N200" s="18">
        <f>VLOOKUP(D200,gacha_162_base!A:B,2,FALSE)</f>
        <v>9082</v>
      </c>
      <c r="O200" s="14">
        <v>0</v>
      </c>
      <c r="P200" s="14">
        <v>0</v>
      </c>
      <c r="Q200" s="14">
        <v>0</v>
      </c>
      <c r="R200" s="14">
        <v>0</v>
      </c>
      <c r="S200" s="14">
        <v>1</v>
      </c>
    </row>
    <row r="201" spans="1:19" ht="21" customHeight="1">
      <c r="A201" s="7" t="str">
        <f t="shared" si="19"/>
        <v>1620137</v>
      </c>
      <c r="B201" s="2" t="str">
        <f t="shared" si="16"/>
        <v>1620</v>
      </c>
      <c r="C201" s="8" t="str">
        <f t="shared" si="20"/>
        <v>0PremiumW4</v>
      </c>
      <c r="D201" s="8" t="str">
        <f t="shared" si="14"/>
        <v>0PremiumW4</v>
      </c>
      <c r="E201" s="11">
        <v>0</v>
      </c>
      <c r="F201" s="10">
        <v>137</v>
      </c>
      <c r="G201" s="8" t="str">
        <f>VLOOKUP(F201,[1]characters!$A:$C,3,FALSE)</f>
        <v>清福の仕立屋 チハヤ</v>
      </c>
      <c r="H201" s="8" t="str">
        <f>VLOOKUP(F201,[1]characters!$A:$J,10,FALSE)</f>
        <v>PremiumW</v>
      </c>
      <c r="I201" s="8">
        <f>VLOOKUP(F201,[1]characters!$A:$I,9,FALSE)</f>
        <v>4</v>
      </c>
      <c r="J201" s="8" t="str">
        <f>VLOOKUP(F201,[1]characters!$A:$H,8,FALSE)</f>
        <v>green</v>
      </c>
      <c r="K201" s="8" t="str">
        <f>VLOOKUP(F201,[1]characters!$A:$K,11,FALSE)</f>
        <v>balance</v>
      </c>
      <c r="L201" s="8" t="str">
        <f>VLOOKUP(F201,[1]characters!$A:$M,13,FALSE)</f>
        <v>human</v>
      </c>
      <c r="M201" s="5">
        <v>1</v>
      </c>
      <c r="N201" s="18">
        <f>VLOOKUP(D201,gacha_162_base!A:B,2,FALSE)</f>
        <v>9082</v>
      </c>
      <c r="O201" s="14">
        <v>0</v>
      </c>
      <c r="P201" s="14">
        <v>0</v>
      </c>
      <c r="Q201" s="14">
        <v>0</v>
      </c>
      <c r="R201" s="14">
        <v>0</v>
      </c>
      <c r="S201" s="14">
        <v>1</v>
      </c>
    </row>
    <row r="202" spans="1:19" ht="21" customHeight="1">
      <c r="A202" s="7" t="str">
        <f t="shared" si="19"/>
        <v>1620139</v>
      </c>
      <c r="B202" s="2" t="str">
        <f t="shared" si="16"/>
        <v>1620</v>
      </c>
      <c r="C202" s="8" t="str">
        <f t="shared" si="20"/>
        <v>0PremiumW4</v>
      </c>
      <c r="D202" s="8" t="str">
        <f t="shared" si="14"/>
        <v>0PremiumW4</v>
      </c>
      <c r="E202" s="11">
        <v>0</v>
      </c>
      <c r="F202" s="6">
        <v>139</v>
      </c>
      <c r="G202" s="8" t="str">
        <f>VLOOKUP(F202,[1]characters!$A:$C,3,FALSE)</f>
        <v>蒼昇刃姫 トモエ</v>
      </c>
      <c r="H202" s="8" t="str">
        <f>VLOOKUP(F202,[1]characters!$A:$J,10,FALSE)</f>
        <v>PremiumW</v>
      </c>
      <c r="I202" s="8">
        <f>VLOOKUP(F202,[1]characters!$A:$I,9,FALSE)</f>
        <v>4</v>
      </c>
      <c r="J202" s="8" t="str">
        <f>VLOOKUP(F202,[1]characters!$A:$H,8,FALSE)</f>
        <v>blue</v>
      </c>
      <c r="K202" s="8" t="str">
        <f>VLOOKUP(F202,[1]characters!$A:$K,11,FALSE)</f>
        <v>balance</v>
      </c>
      <c r="L202" s="8" t="str">
        <f>VLOOKUP(F202,[1]characters!$A:$M,13,FALSE)</f>
        <v>human</v>
      </c>
      <c r="M202" s="5">
        <v>1</v>
      </c>
      <c r="N202" s="18">
        <f>VLOOKUP(D202,gacha_162_base!A:B,2,FALSE)</f>
        <v>9082</v>
      </c>
      <c r="O202" s="14">
        <v>0</v>
      </c>
      <c r="P202" s="14">
        <v>0</v>
      </c>
      <c r="Q202" s="14">
        <v>0</v>
      </c>
      <c r="R202" s="14">
        <v>0</v>
      </c>
      <c r="S202" s="14">
        <v>1</v>
      </c>
    </row>
    <row r="203" spans="1:19" ht="21" customHeight="1">
      <c r="A203" s="7" t="str">
        <f t="shared" si="19"/>
        <v>1620141</v>
      </c>
      <c r="B203" s="2" t="str">
        <f t="shared" si="16"/>
        <v>1620</v>
      </c>
      <c r="C203" s="8" t="str">
        <f t="shared" si="20"/>
        <v>0PremiumW4</v>
      </c>
      <c r="D203" s="8" t="str">
        <f t="shared" si="14"/>
        <v>0PremiumW4</v>
      </c>
      <c r="E203" s="11">
        <v>0</v>
      </c>
      <c r="F203" s="15">
        <v>141</v>
      </c>
      <c r="G203" s="8" t="str">
        <f>VLOOKUP(F203,[1]characters!$A:$C,3,FALSE)</f>
        <v>妖狐演舞 タマモ</v>
      </c>
      <c r="H203" s="8" t="str">
        <f>VLOOKUP(F203,[1]characters!$A:$J,10,FALSE)</f>
        <v>PremiumW</v>
      </c>
      <c r="I203" s="8">
        <f>VLOOKUP(F203,[1]characters!$A:$I,9,FALSE)</f>
        <v>4</v>
      </c>
      <c r="J203" s="8" t="str">
        <f>VLOOKUP(F203,[1]characters!$A:$H,8,FALSE)</f>
        <v>yellow</v>
      </c>
      <c r="K203" s="8" t="str">
        <f>VLOOKUP(F203,[1]characters!$A:$K,11,FALSE)</f>
        <v>balance</v>
      </c>
      <c r="L203" s="8" t="str">
        <f>VLOOKUP(F203,[1]characters!$A:$M,13,FALSE)</f>
        <v>animal</v>
      </c>
      <c r="M203" s="5">
        <v>1</v>
      </c>
      <c r="N203" s="18">
        <f>VLOOKUP(D203,gacha_162_base!A:B,2,FALSE)</f>
        <v>9082</v>
      </c>
      <c r="O203" s="14">
        <v>0</v>
      </c>
      <c r="P203" s="14">
        <v>0</v>
      </c>
      <c r="Q203" s="14">
        <v>0</v>
      </c>
      <c r="R203" s="14">
        <v>0</v>
      </c>
      <c r="S203" s="14">
        <v>1</v>
      </c>
    </row>
    <row r="204" spans="1:19" ht="21" customHeight="1">
      <c r="A204" s="7" t="str">
        <f t="shared" si="19"/>
        <v>1620143</v>
      </c>
      <c r="B204" s="2" t="str">
        <f t="shared" si="16"/>
        <v>1620</v>
      </c>
      <c r="C204" s="8" t="str">
        <f t="shared" si="20"/>
        <v>0PremiumW4</v>
      </c>
      <c r="D204" s="8" t="str">
        <f t="shared" si="14"/>
        <v>0PremiumW4</v>
      </c>
      <c r="E204" s="11">
        <v>0</v>
      </c>
      <c r="F204" s="6">
        <v>143</v>
      </c>
      <c r="G204" s="8" t="str">
        <f>VLOOKUP(F204,[1]characters!$A:$C,3,FALSE)</f>
        <v>深紅の死神 赤ずきん</v>
      </c>
      <c r="H204" s="8" t="str">
        <f>VLOOKUP(F204,[1]characters!$A:$J,10,FALSE)</f>
        <v>PremiumW</v>
      </c>
      <c r="I204" s="8">
        <f>VLOOKUP(F204,[1]characters!$A:$I,9,FALSE)</f>
        <v>4</v>
      </c>
      <c r="J204" s="8" t="str">
        <f>VLOOKUP(F204,[1]characters!$A:$H,8,FALSE)</f>
        <v>red</v>
      </c>
      <c r="K204" s="8" t="str">
        <f>VLOOKUP(F204,[1]characters!$A:$K,11,FALSE)</f>
        <v>balance</v>
      </c>
      <c r="L204" s="8" t="str">
        <f>VLOOKUP(F204,[1]characters!$A:$M,13,FALSE)</f>
        <v>human</v>
      </c>
      <c r="M204" s="5">
        <v>1</v>
      </c>
      <c r="N204" s="18">
        <f>VLOOKUP(D204,gacha_162_base!A:B,2,FALSE)</f>
        <v>9082</v>
      </c>
      <c r="O204" s="14">
        <v>0</v>
      </c>
      <c r="P204" s="14">
        <v>0</v>
      </c>
      <c r="Q204" s="14">
        <v>0</v>
      </c>
      <c r="R204" s="14">
        <v>0</v>
      </c>
      <c r="S204" s="14">
        <v>1</v>
      </c>
    </row>
    <row r="205" spans="1:19" ht="21" customHeight="1">
      <c r="A205" s="7" t="str">
        <f t="shared" si="19"/>
        <v>1620145</v>
      </c>
      <c r="B205" s="2" t="str">
        <f t="shared" si="16"/>
        <v>1620</v>
      </c>
      <c r="C205" s="8" t="str">
        <f t="shared" si="20"/>
        <v>0PremiumW4</v>
      </c>
      <c r="D205" s="8" t="str">
        <f t="shared" si="14"/>
        <v>0PremiumW4</v>
      </c>
      <c r="E205" s="11">
        <v>0</v>
      </c>
      <c r="F205" s="6">
        <v>145</v>
      </c>
      <c r="G205" s="8" t="str">
        <f>VLOOKUP(F205,[1]characters!$A:$C,3,FALSE)</f>
        <v>魔性妖艶 かぐや</v>
      </c>
      <c r="H205" s="8" t="str">
        <f>VLOOKUP(F205,[1]characters!$A:$J,10,FALSE)</f>
        <v>PremiumW</v>
      </c>
      <c r="I205" s="8">
        <f>VLOOKUP(F205,[1]characters!$A:$I,9,FALSE)</f>
        <v>4</v>
      </c>
      <c r="J205" s="8" t="str">
        <f>VLOOKUP(F205,[1]characters!$A:$H,8,FALSE)</f>
        <v>green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5">
        <v>1</v>
      </c>
      <c r="N205" s="18">
        <f>VLOOKUP(D205,gacha_162_base!A:B,2,FALSE)</f>
        <v>9082</v>
      </c>
      <c r="O205" s="14">
        <v>0</v>
      </c>
      <c r="P205" s="14">
        <v>0</v>
      </c>
      <c r="Q205" s="14">
        <v>0</v>
      </c>
      <c r="R205" s="14">
        <v>0</v>
      </c>
      <c r="S205" s="14">
        <v>1</v>
      </c>
    </row>
    <row r="206" spans="1:19" ht="21" customHeight="1">
      <c r="A206" s="7" t="str">
        <f t="shared" si="19"/>
        <v>1620147</v>
      </c>
      <c r="B206" s="2" t="str">
        <f t="shared" si="16"/>
        <v>1620</v>
      </c>
      <c r="C206" s="8" t="str">
        <f t="shared" si="20"/>
        <v>0PremiumW4</v>
      </c>
      <c r="D206" s="8" t="str">
        <f t="shared" si="14"/>
        <v>0PremiumW4</v>
      </c>
      <c r="E206" s="11">
        <v>0</v>
      </c>
      <c r="F206" s="6">
        <v>147</v>
      </c>
      <c r="G206" s="8" t="str">
        <f>VLOOKUP(F206,[1]characters!$A:$C,3,FALSE)</f>
        <v>蒼き閃光 元マーメイド</v>
      </c>
      <c r="H206" s="8" t="str">
        <f>VLOOKUP(F206,[1]characters!$A:$J,10,FALSE)</f>
        <v>PremiumW</v>
      </c>
      <c r="I206" s="8">
        <f>VLOOKUP(F206,[1]characters!$A:$I,9,FALSE)</f>
        <v>4</v>
      </c>
      <c r="J206" s="8" t="str">
        <f>VLOOKUP(F206,[1]characters!$A:$H,8,FALSE)</f>
        <v>blue</v>
      </c>
      <c r="K206" s="8" t="str">
        <f>VLOOKUP(F206,[1]characters!$A:$K,11,FALSE)</f>
        <v>hp</v>
      </c>
      <c r="L206" s="8" t="str">
        <f>VLOOKUP(F206,[1]characters!$A:$M,13,FALSE)</f>
        <v>human</v>
      </c>
      <c r="M206" s="5">
        <v>1</v>
      </c>
      <c r="N206" s="18">
        <f>VLOOKUP(D206,gacha_162_base!A:B,2,FALSE)</f>
        <v>9082</v>
      </c>
      <c r="O206" s="14">
        <v>0</v>
      </c>
      <c r="P206" s="14">
        <v>0</v>
      </c>
      <c r="Q206" s="14">
        <v>0</v>
      </c>
      <c r="R206" s="14">
        <v>0</v>
      </c>
      <c r="S206" s="14">
        <v>1</v>
      </c>
    </row>
    <row r="207" spans="1:19" ht="21" customHeight="1">
      <c r="A207" s="7" t="str">
        <f t="shared" si="19"/>
        <v>1620149</v>
      </c>
      <c r="B207" s="2" t="str">
        <f t="shared" si="16"/>
        <v>1620</v>
      </c>
      <c r="C207" s="8" t="str">
        <f t="shared" si="20"/>
        <v>0PremiumW4</v>
      </c>
      <c r="D207" s="8" t="str">
        <f t="shared" si="14"/>
        <v>0PremiumW4</v>
      </c>
      <c r="E207" s="11">
        <v>0</v>
      </c>
      <c r="F207" s="6">
        <v>149</v>
      </c>
      <c r="G207" s="8" t="str">
        <f>VLOOKUP(F207,[1]characters!$A:$C,3,FALSE)</f>
        <v>雷撃蹴技を極めし者 シンデレラ</v>
      </c>
      <c r="H207" s="8" t="str">
        <f>VLOOKUP(F207,[1]characters!$A:$J,10,FALSE)</f>
        <v>PremiumW</v>
      </c>
      <c r="I207" s="8">
        <f>VLOOKUP(F207,[1]characters!$A:$I,9,FALSE)</f>
        <v>4</v>
      </c>
      <c r="J207" s="8" t="str">
        <f>VLOOKUP(F207,[1]characters!$A:$H,8,FALSE)</f>
        <v>yellow</v>
      </c>
      <c r="K207" s="8" t="str">
        <f>VLOOKUP(F207,[1]characters!$A:$K,11,FALSE)</f>
        <v>balance</v>
      </c>
      <c r="L207" s="8" t="str">
        <f>VLOOKUP(F207,[1]characters!$A:$M,13,FALSE)</f>
        <v>human</v>
      </c>
      <c r="M207" s="5">
        <v>1</v>
      </c>
      <c r="N207" s="18">
        <f>VLOOKUP(D207,gacha_162_base!A:B,2,FALSE)</f>
        <v>9082</v>
      </c>
      <c r="O207" s="14">
        <v>0</v>
      </c>
      <c r="P207" s="14">
        <v>0</v>
      </c>
      <c r="Q207" s="14">
        <v>0</v>
      </c>
      <c r="R207" s="14">
        <v>0</v>
      </c>
      <c r="S207" s="14">
        <v>1</v>
      </c>
    </row>
    <row r="208" spans="1:19" ht="21" customHeight="1">
      <c r="A208" s="7" t="str">
        <f t="shared" si="19"/>
        <v>1620151</v>
      </c>
      <c r="B208" s="2" t="str">
        <f t="shared" si="16"/>
        <v>1620</v>
      </c>
      <c r="C208" s="8" t="str">
        <f t="shared" si="20"/>
        <v>0PremiumW4</v>
      </c>
      <c r="D208" s="8" t="str">
        <f t="shared" si="14"/>
        <v>0PremiumW4</v>
      </c>
      <c r="E208" s="11">
        <v>0</v>
      </c>
      <c r="F208" s="6">
        <v>151</v>
      </c>
      <c r="G208" s="8" t="str">
        <f>VLOOKUP(F208,[1]characters!$A:$C,3,FALSE)</f>
        <v>毒煙の処刑人サキ</v>
      </c>
      <c r="H208" s="8" t="str">
        <f>VLOOKUP(F208,[1]characters!$A:$J,10,FALSE)</f>
        <v>PremiumW</v>
      </c>
      <c r="I208" s="8">
        <f>VLOOKUP(F208,[1]characters!$A:$I,9,FALSE)</f>
        <v>4</v>
      </c>
      <c r="J208" s="8" t="str">
        <f>VLOOKUP(F208,[1]characters!$A:$H,8,FALSE)</f>
        <v>red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5">
        <v>1</v>
      </c>
      <c r="N208" s="18">
        <f>VLOOKUP(D208,gacha_162_base!A:B,2,FALSE)</f>
        <v>9082</v>
      </c>
      <c r="O208" s="14">
        <v>0</v>
      </c>
      <c r="P208" s="14">
        <v>0</v>
      </c>
      <c r="Q208" s="14">
        <v>0</v>
      </c>
      <c r="R208" s="14">
        <v>0</v>
      </c>
      <c r="S208" s="14">
        <v>1</v>
      </c>
    </row>
    <row r="209" spans="1:19" ht="21" customHeight="1">
      <c r="A209" s="7" t="str">
        <f t="shared" si="19"/>
        <v>1620153</v>
      </c>
      <c r="B209" s="2" t="str">
        <f t="shared" si="16"/>
        <v>1620</v>
      </c>
      <c r="C209" s="8" t="str">
        <f t="shared" si="20"/>
        <v>0PremiumW4</v>
      </c>
      <c r="D209" s="8" t="str">
        <f t="shared" si="14"/>
        <v>0PremiumW4</v>
      </c>
      <c r="E209" s="11">
        <v>0</v>
      </c>
      <c r="F209" s="6">
        <v>153</v>
      </c>
      <c r="G209" s="8" t="str">
        <f>VLOOKUP(F209,[1]characters!$A:$C,3,FALSE)</f>
        <v>拳聖ランラン</v>
      </c>
      <c r="H209" s="8" t="str">
        <f>VLOOKUP(F209,[1]characters!$A:$J,10,FALSE)</f>
        <v>PremiumW</v>
      </c>
      <c r="I209" s="8">
        <f>VLOOKUP(F209,[1]characters!$A:$I,9,FALSE)</f>
        <v>4</v>
      </c>
      <c r="J209" s="8" t="str">
        <f>VLOOKUP(F209,[1]characters!$A:$H,8,FALSE)</f>
        <v>green</v>
      </c>
      <c r="K209" s="8" t="str">
        <f>VLOOKUP(F209,[1]characters!$A:$K,11,FALSE)</f>
        <v>heal</v>
      </c>
      <c r="L209" s="8" t="str">
        <f>VLOOKUP(F209,[1]characters!$A:$M,13,FALSE)</f>
        <v>human</v>
      </c>
      <c r="M209" s="5">
        <v>1</v>
      </c>
      <c r="N209" s="18">
        <f>VLOOKUP(D209,gacha_162_base!A:B,2,FALSE)</f>
        <v>9082</v>
      </c>
      <c r="O209" s="14">
        <v>0</v>
      </c>
      <c r="P209" s="14">
        <v>0</v>
      </c>
      <c r="Q209" s="14">
        <v>0</v>
      </c>
      <c r="R209" s="14">
        <v>0</v>
      </c>
      <c r="S209" s="14">
        <v>1</v>
      </c>
    </row>
    <row r="210" spans="1:19" ht="21" customHeight="1">
      <c r="A210" s="7" t="str">
        <f t="shared" si="19"/>
        <v>1620155</v>
      </c>
      <c r="B210" s="2" t="str">
        <f t="shared" si="16"/>
        <v>1620</v>
      </c>
      <c r="C210" s="8" t="str">
        <f t="shared" si="20"/>
        <v>0PremiumW4</v>
      </c>
      <c r="D210" s="8" t="str">
        <f t="shared" si="14"/>
        <v>0PremiumW4</v>
      </c>
      <c r="E210" s="11">
        <v>0</v>
      </c>
      <c r="F210" s="6">
        <v>155</v>
      </c>
      <c r="G210" s="8" t="str">
        <f>VLOOKUP(F210,[1]characters!$A:$C,3,FALSE)</f>
        <v>隻眼の掃除屋 ハンナ</v>
      </c>
      <c r="H210" s="8" t="str">
        <f>VLOOKUP(F210,[1]characters!$A:$J,10,FALSE)</f>
        <v>PremiumW</v>
      </c>
      <c r="I210" s="8">
        <f>VLOOKUP(F210,[1]characters!$A:$I,9,FALSE)</f>
        <v>4</v>
      </c>
      <c r="J210" s="8" t="str">
        <f>VLOOKUP(F210,[1]characters!$A:$H,8,FALSE)</f>
        <v>blue</v>
      </c>
      <c r="K210" s="8" t="str">
        <f>VLOOKUP(F210,[1]characters!$A:$K,11,FALSE)</f>
        <v>heal</v>
      </c>
      <c r="L210" s="8" t="str">
        <f>VLOOKUP(F210,[1]characters!$A:$M,13,FALSE)</f>
        <v>human</v>
      </c>
      <c r="M210" s="5">
        <v>1</v>
      </c>
      <c r="N210" s="18">
        <f>VLOOKUP(D210,gacha_162_base!A:B,2,FALSE)</f>
        <v>9082</v>
      </c>
      <c r="O210" s="14">
        <v>0</v>
      </c>
      <c r="P210" s="14">
        <v>0</v>
      </c>
      <c r="Q210" s="14">
        <v>0</v>
      </c>
      <c r="R210" s="14">
        <v>0</v>
      </c>
      <c r="S210" s="14">
        <v>1</v>
      </c>
    </row>
    <row r="211" spans="1:19" ht="21" customHeight="1">
      <c r="A211" s="7" t="str">
        <f t="shared" si="19"/>
        <v>1620157</v>
      </c>
      <c r="B211" s="2" t="str">
        <f t="shared" si="16"/>
        <v>1620</v>
      </c>
      <c r="C211" s="8" t="str">
        <f t="shared" si="20"/>
        <v>0PremiumW4</v>
      </c>
      <c r="D211" s="8" t="str">
        <f t="shared" si="14"/>
        <v>0PremiumW4</v>
      </c>
      <c r="E211" s="11">
        <v>0</v>
      </c>
      <c r="F211" s="6">
        <v>157</v>
      </c>
      <c r="G211" s="8" t="str">
        <f>VLOOKUP(F211,[1]characters!$A:$C,3,FALSE)</f>
        <v>雷光舞姫 エレナ</v>
      </c>
      <c r="H211" s="8" t="str">
        <f>VLOOKUP(F211,[1]characters!$A:$J,10,FALSE)</f>
        <v>PremiumW</v>
      </c>
      <c r="I211" s="8">
        <f>VLOOKUP(F211,[1]characters!$A:$I,9,FALSE)</f>
        <v>4</v>
      </c>
      <c r="J211" s="8" t="str">
        <f>VLOOKUP(F211,[1]characters!$A:$H,8,FALSE)</f>
        <v>yellow</v>
      </c>
      <c r="K211" s="8" t="str">
        <f>VLOOKUP(F211,[1]characters!$A:$K,11,FALSE)</f>
        <v>heal</v>
      </c>
      <c r="L211" s="8" t="str">
        <f>VLOOKUP(F211,[1]characters!$A:$M,13,FALSE)</f>
        <v>human</v>
      </c>
      <c r="M211" s="5">
        <v>1</v>
      </c>
      <c r="N211" s="18">
        <f>VLOOKUP(D211,gacha_162_base!A:B,2,FALSE)</f>
        <v>9082</v>
      </c>
      <c r="O211" s="14">
        <v>0</v>
      </c>
      <c r="P211" s="14">
        <v>0</v>
      </c>
      <c r="Q211" s="14">
        <v>0</v>
      </c>
      <c r="R211" s="14">
        <v>0</v>
      </c>
      <c r="S211" s="14">
        <v>1</v>
      </c>
    </row>
    <row r="212" spans="1:19" ht="21" customHeight="1">
      <c r="A212" s="7" t="str">
        <f t="shared" si="19"/>
        <v>1620159</v>
      </c>
      <c r="B212" s="2" t="str">
        <f t="shared" si="16"/>
        <v>1620</v>
      </c>
      <c r="C212" s="8" t="str">
        <f t="shared" si="20"/>
        <v>0PremiumW4</v>
      </c>
      <c r="D212" s="8" t="str">
        <f t="shared" si="14"/>
        <v>0PremiumW4</v>
      </c>
      <c r="E212" s="11">
        <v>0</v>
      </c>
      <c r="F212" s="6">
        <v>159</v>
      </c>
      <c r="G212" s="8" t="str">
        <f>VLOOKUP(F212,[1]characters!$A:$C,3,FALSE)</f>
        <v>邪を狩りし者 シャルロッテ</v>
      </c>
      <c r="H212" s="8" t="str">
        <f>VLOOKUP(F212,[1]characters!$A:$J,10,FALSE)</f>
        <v>PremiumW</v>
      </c>
      <c r="I212" s="8">
        <f>VLOOKUP(F212,[1]characters!$A:$I,9,FALSE)</f>
        <v>4</v>
      </c>
      <c r="J212" s="8" t="str">
        <f>VLOOKUP(F212,[1]characters!$A:$H,8,FALSE)</f>
        <v>red</v>
      </c>
      <c r="K212" s="8" t="str">
        <f>VLOOKUP(F212,[1]characters!$A:$K,11,FALSE)</f>
        <v>heal</v>
      </c>
      <c r="L212" s="8" t="str">
        <f>VLOOKUP(F212,[1]characters!$A:$M,13,FALSE)</f>
        <v>human</v>
      </c>
      <c r="M212" s="5">
        <v>1</v>
      </c>
      <c r="N212" s="18">
        <f>VLOOKUP(D212,gacha_162_base!A:B,2,FALSE)</f>
        <v>9082</v>
      </c>
      <c r="O212" s="14">
        <v>0</v>
      </c>
      <c r="P212" s="14">
        <v>0</v>
      </c>
      <c r="Q212" s="14">
        <v>0</v>
      </c>
      <c r="R212" s="14">
        <v>0</v>
      </c>
      <c r="S212" s="14">
        <v>1</v>
      </c>
    </row>
    <row r="213" spans="1:19" ht="21" customHeight="1">
      <c r="A213" s="7" t="str">
        <f t="shared" si="19"/>
        <v>1620161</v>
      </c>
      <c r="B213" s="2" t="str">
        <f t="shared" si="16"/>
        <v>1620</v>
      </c>
      <c r="C213" s="8" t="str">
        <f t="shared" si="20"/>
        <v>0PremiumW4</v>
      </c>
      <c r="D213" s="8" t="str">
        <f t="shared" si="14"/>
        <v>0PremiumW4</v>
      </c>
      <c r="E213" s="11">
        <v>0</v>
      </c>
      <c r="F213" s="6">
        <v>161</v>
      </c>
      <c r="G213" s="8" t="str">
        <f>VLOOKUP(F213,[1]characters!$A:$C,3,FALSE)</f>
        <v>咆哮の先導者 クリエ</v>
      </c>
      <c r="H213" s="8" t="str">
        <f>VLOOKUP(F213,[1]characters!$A:$J,10,FALSE)</f>
        <v>PremiumW</v>
      </c>
      <c r="I213" s="8">
        <f>VLOOKUP(F213,[1]characters!$A:$I,9,FALSE)</f>
        <v>4</v>
      </c>
      <c r="J213" s="8" t="str">
        <f>VLOOKUP(F213,[1]characters!$A:$H,8,FALSE)</f>
        <v>green</v>
      </c>
      <c r="K213" s="8" t="str">
        <f>VLOOKUP(F213,[1]characters!$A:$K,11,FALSE)</f>
        <v>balance</v>
      </c>
      <c r="L213" s="8" t="str">
        <f>VLOOKUP(F213,[1]characters!$A:$M,13,FALSE)</f>
        <v>human</v>
      </c>
      <c r="M213" s="5">
        <v>1</v>
      </c>
      <c r="N213" s="18">
        <f>VLOOKUP(D213,gacha_162_base!A:B,2,FALSE)</f>
        <v>9082</v>
      </c>
      <c r="O213" s="14">
        <v>0</v>
      </c>
      <c r="P213" s="14">
        <v>0</v>
      </c>
      <c r="Q213" s="14">
        <v>0</v>
      </c>
      <c r="R213" s="14">
        <v>0</v>
      </c>
      <c r="S213" s="14">
        <v>1</v>
      </c>
    </row>
    <row r="214" spans="1:19" ht="21" customHeight="1">
      <c r="A214" s="7" t="str">
        <f t="shared" si="19"/>
        <v>1620163</v>
      </c>
      <c r="B214" s="2" t="str">
        <f t="shared" si="16"/>
        <v>1620</v>
      </c>
      <c r="C214" s="8" t="str">
        <f t="shared" si="20"/>
        <v>0PremiumW4</v>
      </c>
      <c r="D214" s="8" t="str">
        <f t="shared" si="14"/>
        <v>0PremiumW4</v>
      </c>
      <c r="E214" s="11">
        <v>0</v>
      </c>
      <c r="F214" s="6">
        <v>163</v>
      </c>
      <c r="G214" s="8" t="str">
        <f>VLOOKUP(F214,[1]characters!$A:$C,3,FALSE)</f>
        <v>冷酷な狂嬢 クララ</v>
      </c>
      <c r="H214" s="8" t="str">
        <f>VLOOKUP(F214,[1]characters!$A:$J,10,FALSE)</f>
        <v>PremiumW</v>
      </c>
      <c r="I214" s="8">
        <f>VLOOKUP(F214,[1]characters!$A:$I,9,FALSE)</f>
        <v>4</v>
      </c>
      <c r="J214" s="8" t="str">
        <f>VLOOKUP(F214,[1]characters!$A:$H,8,FALSE)</f>
        <v>blue</v>
      </c>
      <c r="K214" s="8" t="str">
        <f>VLOOKUP(F214,[1]characters!$A:$K,11,FALSE)</f>
        <v>attack</v>
      </c>
      <c r="L214" s="8" t="str">
        <f>VLOOKUP(F214,[1]characters!$A:$M,13,FALSE)</f>
        <v>human</v>
      </c>
      <c r="M214" s="5">
        <v>1</v>
      </c>
      <c r="N214" s="18">
        <f>VLOOKUP(D214,gacha_162_base!A:B,2,FALSE)</f>
        <v>9082</v>
      </c>
      <c r="O214" s="14">
        <v>0</v>
      </c>
      <c r="P214" s="14">
        <v>0</v>
      </c>
      <c r="Q214" s="14">
        <v>0</v>
      </c>
      <c r="R214" s="14">
        <v>0</v>
      </c>
      <c r="S214" s="14">
        <v>1</v>
      </c>
    </row>
    <row r="215" spans="1:19" ht="21" customHeight="1">
      <c r="A215" s="7" t="str">
        <f t="shared" si="19"/>
        <v>1620165</v>
      </c>
      <c r="B215" s="2" t="str">
        <f t="shared" si="16"/>
        <v>1620</v>
      </c>
      <c r="C215" s="8" t="str">
        <f t="shared" si="20"/>
        <v>0PremiumW4</v>
      </c>
      <c r="D215" s="8" t="str">
        <f t="shared" si="14"/>
        <v>0PremiumW4</v>
      </c>
      <c r="E215" s="11">
        <v>0</v>
      </c>
      <c r="F215" s="6">
        <v>165</v>
      </c>
      <c r="G215" s="8" t="str">
        <f>VLOOKUP(F215,[1]characters!$A:$C,3,FALSE)</f>
        <v>イブとたったひとりのトモダチ</v>
      </c>
      <c r="H215" s="8" t="str">
        <f>VLOOKUP(F215,[1]characters!$A:$J,10,FALSE)</f>
        <v>PremiumW</v>
      </c>
      <c r="I215" s="8">
        <f>VLOOKUP(F215,[1]characters!$A:$I,9,FALSE)</f>
        <v>4</v>
      </c>
      <c r="J215" s="8" t="str">
        <f>VLOOKUP(F215,[1]characters!$A:$H,8,FALSE)</f>
        <v>yellow</v>
      </c>
      <c r="K215" s="8" t="str">
        <f>VLOOKUP(F215,[1]characters!$A:$K,11,FALSE)</f>
        <v>technical</v>
      </c>
      <c r="L215" s="8" t="str">
        <f>VLOOKUP(F215,[1]characters!$A:$M,13,FALSE)</f>
        <v>human</v>
      </c>
      <c r="M215" s="5">
        <v>1</v>
      </c>
      <c r="N215" s="18">
        <f>VLOOKUP(D215,gacha_162_base!A:B,2,FALSE)</f>
        <v>9082</v>
      </c>
      <c r="O215" s="14">
        <v>0</v>
      </c>
      <c r="P215" s="14">
        <v>0</v>
      </c>
      <c r="Q215" s="14">
        <v>0</v>
      </c>
      <c r="R215" s="14">
        <v>0</v>
      </c>
      <c r="S215" s="14">
        <v>1</v>
      </c>
    </row>
    <row r="216" spans="1:19" ht="21" customHeight="1">
      <c r="A216" s="7" t="str">
        <f t="shared" si="19"/>
        <v>1620167</v>
      </c>
      <c r="B216" s="2" t="str">
        <f t="shared" si="16"/>
        <v>1620</v>
      </c>
      <c r="C216" s="8" t="str">
        <f t="shared" si="20"/>
        <v>0PremiumN4</v>
      </c>
      <c r="D216" s="8" t="str">
        <f t="shared" si="14"/>
        <v>0PremiumN4</v>
      </c>
      <c r="E216" s="11">
        <v>0</v>
      </c>
      <c r="F216" s="6">
        <v>167</v>
      </c>
      <c r="G216" s="8" t="str">
        <f>VLOOKUP(F216,[1]characters!$A:$C,3,FALSE)</f>
        <v>逆徒 ベリアル</v>
      </c>
      <c r="H216" s="8" t="str">
        <f>VLOOKUP(F216,[1]characters!$A:$J,10,FALSE)</f>
        <v>PremiumN</v>
      </c>
      <c r="I216" s="8">
        <f>VLOOKUP(F216,[1]characters!$A:$I,9,FALSE)</f>
        <v>4</v>
      </c>
      <c r="J216" s="8" t="str">
        <f>VLOOKUP(F216,[1]characters!$A:$H,8,FALSE)</f>
        <v>red</v>
      </c>
      <c r="K216" s="8" t="str">
        <f>VLOOKUP(F216,[1]characters!$A:$K,11,FALSE)</f>
        <v>attack</v>
      </c>
      <c r="L216" s="8" t="str">
        <f>VLOOKUP(F216,[1]characters!$A:$M,13,FALSE)</f>
        <v>god</v>
      </c>
      <c r="M216" s="5">
        <v>1</v>
      </c>
      <c r="N216" s="18">
        <f>VLOOKUP(D216,gacha_162_base!A:B,2,FALSE)</f>
        <v>17073</v>
      </c>
      <c r="O216" s="14">
        <v>0</v>
      </c>
      <c r="P216" s="14">
        <v>0</v>
      </c>
      <c r="Q216" s="14">
        <v>0</v>
      </c>
      <c r="R216" s="14">
        <v>0</v>
      </c>
      <c r="S216" s="14">
        <v>1</v>
      </c>
    </row>
    <row r="217" spans="1:19" ht="21" customHeight="1">
      <c r="A217" s="7" t="str">
        <f t="shared" si="19"/>
        <v>1620168</v>
      </c>
      <c r="B217" s="2" t="str">
        <f t="shared" si="16"/>
        <v>1620</v>
      </c>
      <c r="C217" s="8" t="str">
        <f t="shared" si="20"/>
        <v>0PremiumN5</v>
      </c>
      <c r="D217" s="8" t="str">
        <f t="shared" si="14"/>
        <v>0PremiumN5</v>
      </c>
      <c r="E217" s="11">
        <v>0</v>
      </c>
      <c r="F217" s="6">
        <v>168</v>
      </c>
      <c r="G217" s="8" t="str">
        <f>VLOOKUP(F217,[1]characters!$A:$C,3,FALSE)</f>
        <v>猛進の大逆者 ベリアル</v>
      </c>
      <c r="H217" s="8" t="str">
        <f>VLOOKUP(F217,[1]characters!$A:$J,10,FALSE)</f>
        <v>PremiumN</v>
      </c>
      <c r="I217" s="8">
        <f>VLOOKUP(F217,[1]characters!$A:$I,9,FALSE)</f>
        <v>5</v>
      </c>
      <c r="J217" s="8" t="str">
        <f>VLOOKUP(F217,[1]characters!$A:$H,8,FALSE)</f>
        <v>red</v>
      </c>
      <c r="K217" s="8" t="str">
        <f>VLOOKUP(F217,[1]characters!$A:$K,11,FALSE)</f>
        <v>attack</v>
      </c>
      <c r="L217" s="8" t="str">
        <f>VLOOKUP(F217,[1]characters!$A:$M,13,FALSE)</f>
        <v>god</v>
      </c>
      <c r="M217" s="5">
        <v>1</v>
      </c>
      <c r="N217" s="18">
        <f>VLOOKUP(D217,gacha_162_base!A:B,2,FALSE)</f>
        <v>1090</v>
      </c>
      <c r="O217" s="14">
        <v>0</v>
      </c>
      <c r="P217" s="14">
        <v>0</v>
      </c>
      <c r="Q217" s="14">
        <v>0</v>
      </c>
      <c r="R217" s="14">
        <v>0</v>
      </c>
      <c r="S217" s="14">
        <v>1</v>
      </c>
    </row>
    <row r="218" spans="1:19" ht="21" customHeight="1">
      <c r="A218" s="7" t="str">
        <f t="shared" si="19"/>
        <v>1620170</v>
      </c>
      <c r="B218" s="2" t="str">
        <f t="shared" si="16"/>
        <v>1620</v>
      </c>
      <c r="C218" s="8" t="str">
        <f t="shared" si="20"/>
        <v>0PremiumN4</v>
      </c>
      <c r="D218" s="8" t="str">
        <f t="shared" si="14"/>
        <v>0PremiumN4</v>
      </c>
      <c r="E218" s="11">
        <v>0</v>
      </c>
      <c r="F218" s="6">
        <v>170</v>
      </c>
      <c r="G218" s="8" t="str">
        <f>VLOOKUP(F218,[1]characters!$A:$C,3,FALSE)</f>
        <v>識徒 オセ</v>
      </c>
      <c r="H218" s="8" t="str">
        <f>VLOOKUP(F218,[1]characters!$A:$J,10,FALSE)</f>
        <v>PremiumN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attack</v>
      </c>
      <c r="L218" s="8" t="str">
        <f>VLOOKUP(F218,[1]characters!$A:$M,13,FALSE)</f>
        <v>god</v>
      </c>
      <c r="M218" s="5">
        <v>1</v>
      </c>
      <c r="N218" s="18">
        <f>VLOOKUP(D218,gacha_162_base!A:B,2,FALSE)</f>
        <v>17073</v>
      </c>
      <c r="O218" s="14">
        <v>0</v>
      </c>
      <c r="P218" s="14">
        <v>0</v>
      </c>
      <c r="Q218" s="14">
        <v>0</v>
      </c>
      <c r="R218" s="14">
        <v>0</v>
      </c>
      <c r="S218" s="14">
        <v>1</v>
      </c>
    </row>
    <row r="219" spans="1:19" ht="21" customHeight="1">
      <c r="A219" s="7" t="str">
        <f t="shared" si="19"/>
        <v>1620171</v>
      </c>
      <c r="B219" s="2" t="str">
        <f t="shared" si="16"/>
        <v>1620</v>
      </c>
      <c r="C219" s="8" t="str">
        <f t="shared" si="20"/>
        <v>0PremiumN5</v>
      </c>
      <c r="D219" s="8" t="str">
        <f t="shared" si="14"/>
        <v>0PremiumN5</v>
      </c>
      <c r="E219" s="11">
        <v>0</v>
      </c>
      <c r="F219" s="6">
        <v>171</v>
      </c>
      <c r="G219" s="8" t="str">
        <f>VLOOKUP(F219,[1]characters!$A:$C,3,FALSE)</f>
        <v>精解の預知者 オセ</v>
      </c>
      <c r="H219" s="8" t="str">
        <f>VLOOKUP(F219,[1]characters!$A:$J,10,FALSE)</f>
        <v>PremiumN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attack</v>
      </c>
      <c r="L219" s="8" t="str">
        <f>VLOOKUP(F219,[1]characters!$A:$M,13,FALSE)</f>
        <v>god</v>
      </c>
      <c r="M219" s="5">
        <v>1</v>
      </c>
      <c r="N219" s="18">
        <f>VLOOKUP(D219,gacha_162_base!A:B,2,FALSE)</f>
        <v>1090</v>
      </c>
      <c r="O219" s="14">
        <v>0</v>
      </c>
      <c r="P219" s="14">
        <v>0</v>
      </c>
      <c r="Q219" s="14">
        <v>0</v>
      </c>
      <c r="R219" s="14">
        <v>0</v>
      </c>
      <c r="S219" s="14">
        <v>1</v>
      </c>
    </row>
    <row r="220" spans="1:19" ht="21" customHeight="1">
      <c r="A220" s="7" t="str">
        <f t="shared" si="19"/>
        <v>1620173</v>
      </c>
      <c r="B220" s="2" t="str">
        <f t="shared" si="16"/>
        <v>1620</v>
      </c>
      <c r="C220" s="8" t="str">
        <f t="shared" si="20"/>
        <v>0PremiumN4</v>
      </c>
      <c r="D220" s="8" t="str">
        <f t="shared" si="14"/>
        <v>0PremiumN4</v>
      </c>
      <c r="E220" s="11">
        <v>0</v>
      </c>
      <c r="F220" s="6">
        <v>173</v>
      </c>
      <c r="G220" s="8" t="str">
        <f>VLOOKUP(F220,[1]characters!$A:$C,3,FALSE)</f>
        <v>公爵 フォルネウス</v>
      </c>
      <c r="H220" s="8" t="str">
        <f>VLOOKUP(F220,[1]characters!$A:$J,10,FALSE)</f>
        <v>PremiumN</v>
      </c>
      <c r="I220" s="8">
        <f>VLOOKUP(F220,[1]characters!$A:$I,9,FALSE)</f>
        <v>4</v>
      </c>
      <c r="J220" s="8" t="str">
        <f>VLOOKUP(F220,[1]characters!$A:$H,8,FALSE)</f>
        <v>blue</v>
      </c>
      <c r="K220" s="8" t="str">
        <f>VLOOKUP(F220,[1]characters!$A:$K,11,FALSE)</f>
        <v>attack</v>
      </c>
      <c r="L220" s="8" t="str">
        <f>VLOOKUP(F220,[1]characters!$A:$M,13,FALSE)</f>
        <v>god</v>
      </c>
      <c r="M220" s="5">
        <v>1</v>
      </c>
      <c r="N220" s="18">
        <f>VLOOKUP(D220,gacha_162_base!A:B,2,FALSE)</f>
        <v>17073</v>
      </c>
      <c r="O220" s="14">
        <v>0</v>
      </c>
      <c r="P220" s="14">
        <v>0</v>
      </c>
      <c r="Q220" s="14">
        <v>0</v>
      </c>
      <c r="R220" s="14">
        <v>0</v>
      </c>
      <c r="S220" s="14">
        <v>1</v>
      </c>
    </row>
    <row r="221" spans="1:19" ht="21" customHeight="1">
      <c r="A221" s="7" t="str">
        <f t="shared" si="19"/>
        <v>1620174</v>
      </c>
      <c r="B221" s="2" t="str">
        <f t="shared" si="16"/>
        <v>1620</v>
      </c>
      <c r="C221" s="8" t="str">
        <f t="shared" si="20"/>
        <v>0PremiumN5</v>
      </c>
      <c r="D221" s="8" t="str">
        <f t="shared" si="14"/>
        <v>0PremiumN5</v>
      </c>
      <c r="E221" s="11">
        <v>0</v>
      </c>
      <c r="F221" s="6">
        <v>174</v>
      </c>
      <c r="G221" s="8" t="str">
        <f>VLOOKUP(F221,[1]characters!$A:$C,3,FALSE)</f>
        <v>偽愛の大公爵 フォルネウス</v>
      </c>
      <c r="H221" s="8" t="str">
        <f>VLOOKUP(F221,[1]characters!$A:$J,10,FALSE)</f>
        <v>PremiumN</v>
      </c>
      <c r="I221" s="8">
        <f>VLOOKUP(F221,[1]characters!$A:$I,9,FALSE)</f>
        <v>5</v>
      </c>
      <c r="J221" s="8" t="str">
        <f>VLOOKUP(F221,[1]characters!$A:$H,8,FALSE)</f>
        <v>blue</v>
      </c>
      <c r="K221" s="8" t="str">
        <f>VLOOKUP(F221,[1]characters!$A:$K,11,FALSE)</f>
        <v>attack</v>
      </c>
      <c r="L221" s="8" t="str">
        <f>VLOOKUP(F221,[1]characters!$A:$M,13,FALSE)</f>
        <v>god</v>
      </c>
      <c r="M221" s="5">
        <v>1</v>
      </c>
      <c r="N221" s="18">
        <f>VLOOKUP(D221,gacha_162_base!A:B,2,FALSE)</f>
        <v>1090</v>
      </c>
      <c r="O221" s="14">
        <v>0</v>
      </c>
      <c r="P221" s="14">
        <v>0</v>
      </c>
      <c r="Q221" s="14">
        <v>0</v>
      </c>
      <c r="R221" s="14">
        <v>0</v>
      </c>
      <c r="S221" s="14">
        <v>1</v>
      </c>
    </row>
    <row r="222" spans="1:19" ht="21" customHeight="1">
      <c r="A222" s="7" t="str">
        <f t="shared" si="19"/>
        <v>1620176</v>
      </c>
      <c r="B222" s="2" t="str">
        <f t="shared" si="16"/>
        <v>1620</v>
      </c>
      <c r="C222" s="8" t="str">
        <f t="shared" si="20"/>
        <v>0PremiumN4</v>
      </c>
      <c r="D222" s="8" t="str">
        <f t="shared" si="14"/>
        <v>0PremiumN4</v>
      </c>
      <c r="E222" s="11">
        <v>0</v>
      </c>
      <c r="F222" s="6">
        <v>176</v>
      </c>
      <c r="G222" s="8" t="str">
        <f>VLOOKUP(F222,[1]characters!$A:$C,3,FALSE)</f>
        <v>異教徒 バフォメット</v>
      </c>
      <c r="H222" s="8" t="str">
        <f>VLOOKUP(F222,[1]characters!$A:$J,10,FALSE)</f>
        <v>PremiumN</v>
      </c>
      <c r="I222" s="8">
        <f>VLOOKUP(F222,[1]characters!$A:$I,9,FALSE)</f>
        <v>4</v>
      </c>
      <c r="J222" s="8" t="str">
        <f>VLOOKUP(F222,[1]characters!$A:$H,8,FALSE)</f>
        <v>yellow</v>
      </c>
      <c r="K222" s="8" t="str">
        <f>VLOOKUP(F222,[1]characters!$A:$K,11,FALSE)</f>
        <v>attack</v>
      </c>
      <c r="L222" s="8" t="str">
        <f>VLOOKUP(F222,[1]characters!$A:$M,13,FALSE)</f>
        <v>god</v>
      </c>
      <c r="M222" s="5">
        <v>1</v>
      </c>
      <c r="N222" s="18">
        <f>VLOOKUP(D222,gacha_162_base!A:B,2,FALSE)</f>
        <v>17073</v>
      </c>
      <c r="O222" s="14">
        <v>0</v>
      </c>
      <c r="P222" s="14">
        <v>0</v>
      </c>
      <c r="Q222" s="14">
        <v>0</v>
      </c>
      <c r="R222" s="14">
        <v>0</v>
      </c>
      <c r="S222" s="14">
        <v>1</v>
      </c>
    </row>
    <row r="223" spans="1:19" ht="21" customHeight="1">
      <c r="A223" s="7" t="str">
        <f t="shared" si="19"/>
        <v>1620177</v>
      </c>
      <c r="B223" s="2" t="str">
        <f t="shared" si="16"/>
        <v>1620</v>
      </c>
      <c r="C223" s="8" t="str">
        <f t="shared" si="20"/>
        <v>0PremiumN5</v>
      </c>
      <c r="D223" s="8" t="str">
        <f t="shared" si="14"/>
        <v>0PremiumN5</v>
      </c>
      <c r="E223" s="11">
        <v>0</v>
      </c>
      <c r="F223" s="6">
        <v>177</v>
      </c>
      <c r="G223" s="8" t="str">
        <f>VLOOKUP(F223,[1]characters!$A:$C,3,FALSE)</f>
        <v>黒魔の異端師 バフォメット</v>
      </c>
      <c r="H223" s="8" t="str">
        <f>VLOOKUP(F223,[1]characters!$A:$J,10,FALSE)</f>
        <v>PremiumN</v>
      </c>
      <c r="I223" s="8">
        <f>VLOOKUP(F223,[1]characters!$A:$I,9,FALSE)</f>
        <v>5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god</v>
      </c>
      <c r="M223" s="5">
        <v>1</v>
      </c>
      <c r="N223" s="18">
        <f>VLOOKUP(D223,gacha_162_base!A:B,2,FALSE)</f>
        <v>1090</v>
      </c>
      <c r="O223" s="14">
        <v>0</v>
      </c>
      <c r="P223" s="14">
        <v>0</v>
      </c>
      <c r="Q223" s="14">
        <v>0</v>
      </c>
      <c r="R223" s="14">
        <v>0</v>
      </c>
      <c r="S223" s="14">
        <v>1</v>
      </c>
    </row>
    <row r="224" spans="1:19" ht="21" customHeight="1">
      <c r="A224" s="7" t="str">
        <f t="shared" si="19"/>
        <v>1620179</v>
      </c>
      <c r="B224" s="2" t="str">
        <f t="shared" si="16"/>
        <v>1620</v>
      </c>
      <c r="C224" s="8" t="str">
        <f t="shared" si="20"/>
        <v>0PremiumN4</v>
      </c>
      <c r="D224" s="8" t="str">
        <f t="shared" si="14"/>
        <v>0PremiumN4</v>
      </c>
      <c r="E224" s="11">
        <v>0</v>
      </c>
      <c r="F224" s="6">
        <v>179</v>
      </c>
      <c r="G224" s="8" t="str">
        <f>VLOOKUP(F224,[1]characters!$A:$C,3,FALSE)</f>
        <v>番犬 ケルベロス</v>
      </c>
      <c r="H224" s="8" t="str">
        <f>VLOOKUP(F224,[1]characters!$A:$J,10,FALSE)</f>
        <v>PremiumN</v>
      </c>
      <c r="I224" s="8">
        <f>VLOOKUP(F224,[1]characters!$A:$I,9,FALSE)</f>
        <v>4</v>
      </c>
      <c r="J224" s="8" t="str">
        <f>VLOOKUP(F224,[1]characters!$A:$H,8,FALSE)</f>
        <v>red</v>
      </c>
      <c r="K224" s="8" t="str">
        <f>VLOOKUP(F224,[1]characters!$A:$K,11,FALSE)</f>
        <v>balance</v>
      </c>
      <c r="L224" s="8" t="str">
        <f>VLOOKUP(F224,[1]characters!$A:$M,13,FALSE)</f>
        <v>animal</v>
      </c>
      <c r="M224" s="5">
        <v>1</v>
      </c>
      <c r="N224" s="18">
        <f>VLOOKUP(D224,gacha_162_base!A:B,2,FALSE)</f>
        <v>17073</v>
      </c>
      <c r="O224" s="14">
        <v>0</v>
      </c>
      <c r="P224" s="14">
        <v>0</v>
      </c>
      <c r="Q224" s="14">
        <v>0</v>
      </c>
      <c r="R224" s="14">
        <v>0</v>
      </c>
      <c r="S224" s="14">
        <v>1</v>
      </c>
    </row>
    <row r="225" spans="1:19" ht="21" customHeight="1">
      <c r="A225" s="7" t="str">
        <f t="shared" si="19"/>
        <v>1620180</v>
      </c>
      <c r="B225" s="2" t="str">
        <f t="shared" si="16"/>
        <v>1620</v>
      </c>
      <c r="C225" s="8" t="str">
        <f t="shared" si="20"/>
        <v>0PremiumN5</v>
      </c>
      <c r="D225" s="8" t="str">
        <f t="shared" si="14"/>
        <v>0PremiumN5</v>
      </c>
      <c r="E225" s="11">
        <v>0</v>
      </c>
      <c r="F225" s="6">
        <v>180</v>
      </c>
      <c r="G225" s="8" t="str">
        <f>VLOOKUP(F225,[1]characters!$A:$C,3,FALSE)</f>
        <v>地獄の大門番 ケルベロス</v>
      </c>
      <c r="H225" s="8" t="str">
        <f>VLOOKUP(F225,[1]characters!$A:$J,10,FALSE)</f>
        <v>PremiumN</v>
      </c>
      <c r="I225" s="8">
        <f>VLOOKUP(F225,[1]characters!$A:$I,9,FALSE)</f>
        <v>5</v>
      </c>
      <c r="J225" s="8" t="str">
        <f>VLOOKUP(F225,[1]characters!$A:$H,8,FALSE)</f>
        <v>red</v>
      </c>
      <c r="K225" s="8" t="str">
        <f>VLOOKUP(F225,[1]characters!$A:$K,11,FALSE)</f>
        <v>balance</v>
      </c>
      <c r="L225" s="8" t="str">
        <f>VLOOKUP(F225,[1]characters!$A:$M,13,FALSE)</f>
        <v>animal</v>
      </c>
      <c r="M225" s="5">
        <v>1</v>
      </c>
      <c r="N225" s="18">
        <f>VLOOKUP(D225,gacha_162_base!A:B,2,FALSE)</f>
        <v>1090</v>
      </c>
      <c r="O225" s="14">
        <v>0</v>
      </c>
      <c r="P225" s="14">
        <v>0</v>
      </c>
      <c r="Q225" s="14">
        <v>0</v>
      </c>
      <c r="R225" s="14">
        <v>0</v>
      </c>
      <c r="S225" s="14">
        <v>1</v>
      </c>
    </row>
    <row r="226" spans="1:19" ht="21" customHeight="1">
      <c r="A226" s="7" t="str">
        <f t="shared" si="19"/>
        <v>1620182</v>
      </c>
      <c r="B226" s="2" t="str">
        <f t="shared" si="16"/>
        <v>1620</v>
      </c>
      <c r="C226" s="8" t="str">
        <f t="shared" si="20"/>
        <v>0PremiumN4</v>
      </c>
      <c r="D226" s="8" t="str">
        <f t="shared" si="14"/>
        <v>0PremiumN4</v>
      </c>
      <c r="E226" s="11">
        <v>0</v>
      </c>
      <c r="F226" s="6">
        <v>182</v>
      </c>
      <c r="G226" s="8" t="str">
        <f>VLOOKUP(F226,[1]characters!$A:$C,3,FALSE)</f>
        <v>放蕩者 ベヒモス</v>
      </c>
      <c r="H226" s="8" t="str">
        <f>VLOOKUP(F226,[1]characters!$A:$J,10,FALSE)</f>
        <v>PremiumN</v>
      </c>
      <c r="I226" s="8">
        <f>VLOOKUP(F226,[1]characters!$A:$I,9,FALSE)</f>
        <v>4</v>
      </c>
      <c r="J226" s="8" t="str">
        <f>VLOOKUP(F226,[1]characters!$A:$H,8,FALSE)</f>
        <v>green</v>
      </c>
      <c r="K226" s="8" t="str">
        <f>VLOOKUP(F226,[1]characters!$A:$K,11,FALSE)</f>
        <v>hp</v>
      </c>
      <c r="L226" s="8" t="str">
        <f>VLOOKUP(F226,[1]characters!$A:$M,13,FALSE)</f>
        <v>animal</v>
      </c>
      <c r="M226" s="5">
        <v>1</v>
      </c>
      <c r="N226" s="18">
        <f>VLOOKUP(D226,gacha_162_base!A:B,2,FALSE)</f>
        <v>17073</v>
      </c>
      <c r="O226" s="14">
        <v>0</v>
      </c>
      <c r="P226" s="14">
        <v>0</v>
      </c>
      <c r="Q226" s="14">
        <v>0</v>
      </c>
      <c r="R226" s="14">
        <v>0</v>
      </c>
      <c r="S226" s="14">
        <v>1</v>
      </c>
    </row>
    <row r="227" spans="1:19" ht="21" customHeight="1">
      <c r="A227" s="7" t="str">
        <f t="shared" si="19"/>
        <v>1620183</v>
      </c>
      <c r="B227" s="2" t="str">
        <f t="shared" si="16"/>
        <v>1620</v>
      </c>
      <c r="C227" s="8" t="str">
        <f t="shared" si="20"/>
        <v>0PremiumN5</v>
      </c>
      <c r="D227" s="8" t="str">
        <f t="shared" si="14"/>
        <v>0PremiumN5</v>
      </c>
      <c r="E227" s="11">
        <v>0</v>
      </c>
      <c r="F227" s="6">
        <v>183</v>
      </c>
      <c r="G227" s="8" t="str">
        <f>VLOOKUP(F227,[1]characters!$A:$C,3,FALSE)</f>
        <v>鈍重な彷徨者 ベヒモス</v>
      </c>
      <c r="H227" s="8" t="str">
        <f>VLOOKUP(F227,[1]characters!$A:$J,10,FALSE)</f>
        <v>PremiumN</v>
      </c>
      <c r="I227" s="8">
        <f>VLOOKUP(F227,[1]characters!$A:$I,9,FALSE)</f>
        <v>5</v>
      </c>
      <c r="J227" s="8" t="str">
        <f>VLOOKUP(F227,[1]characters!$A:$H,8,FALSE)</f>
        <v>green</v>
      </c>
      <c r="K227" s="8" t="str">
        <f>VLOOKUP(F227,[1]characters!$A:$K,11,FALSE)</f>
        <v>hp</v>
      </c>
      <c r="L227" s="8" t="str">
        <f>VLOOKUP(F227,[1]characters!$A:$M,13,FALSE)</f>
        <v>animal</v>
      </c>
      <c r="M227" s="5">
        <v>1</v>
      </c>
      <c r="N227" s="18">
        <f>VLOOKUP(D227,gacha_162_base!A:B,2,FALSE)</f>
        <v>1090</v>
      </c>
      <c r="O227" s="14">
        <v>0</v>
      </c>
      <c r="P227" s="14">
        <v>0</v>
      </c>
      <c r="Q227" s="14">
        <v>0</v>
      </c>
      <c r="R227" s="14">
        <v>0</v>
      </c>
      <c r="S227" s="14">
        <v>1</v>
      </c>
    </row>
    <row r="228" spans="1:19" ht="21" customHeight="1">
      <c r="A228" s="7" t="str">
        <f t="shared" si="19"/>
        <v>1620185</v>
      </c>
      <c r="B228" s="2" t="str">
        <f t="shared" si="16"/>
        <v>1620</v>
      </c>
      <c r="C228" s="8" t="str">
        <f t="shared" si="20"/>
        <v>0PremiumN4</v>
      </c>
      <c r="D228" s="8" t="str">
        <f t="shared" si="14"/>
        <v>0PremiumN4</v>
      </c>
      <c r="E228" s="11">
        <v>0</v>
      </c>
      <c r="F228" s="6">
        <v>185</v>
      </c>
      <c r="G228" s="8" t="str">
        <f>VLOOKUP(F228,[1]characters!$A:$C,3,FALSE)</f>
        <v>海姫 クラーケン</v>
      </c>
      <c r="H228" s="8" t="str">
        <f>VLOOKUP(F228,[1]characters!$A:$J,10,FALSE)</f>
        <v>PremiumN</v>
      </c>
      <c r="I228" s="8">
        <f>VLOOKUP(F228,[1]characters!$A:$I,9,FALSE)</f>
        <v>4</v>
      </c>
      <c r="J228" s="8" t="str">
        <f>VLOOKUP(F228,[1]characters!$A:$H,8,FALSE)</f>
        <v>blue</v>
      </c>
      <c r="K228" s="8" t="str">
        <f>VLOOKUP(F228,[1]characters!$A:$K,11,FALSE)</f>
        <v>heal</v>
      </c>
      <c r="L228" s="8" t="str">
        <f>VLOOKUP(F228,[1]characters!$A:$M,13,FALSE)</f>
        <v>animal</v>
      </c>
      <c r="M228" s="5">
        <v>1</v>
      </c>
      <c r="N228" s="18">
        <f>VLOOKUP(D228,gacha_162_base!A:B,2,FALSE)</f>
        <v>17073</v>
      </c>
      <c r="O228" s="14">
        <v>0</v>
      </c>
      <c r="P228" s="14">
        <v>0</v>
      </c>
      <c r="Q228" s="14">
        <v>0</v>
      </c>
      <c r="R228" s="14">
        <v>0</v>
      </c>
      <c r="S228" s="14">
        <v>1</v>
      </c>
    </row>
    <row r="229" spans="1:19" ht="21" customHeight="1">
      <c r="A229" s="7" t="str">
        <f t="shared" si="19"/>
        <v>1620186</v>
      </c>
      <c r="B229" s="2" t="str">
        <f t="shared" si="16"/>
        <v>1620</v>
      </c>
      <c r="C229" s="8" t="str">
        <f t="shared" si="20"/>
        <v>0PremiumN5</v>
      </c>
      <c r="D229" s="8" t="str">
        <f t="shared" si="14"/>
        <v>0PremiumN5</v>
      </c>
      <c r="E229" s="11">
        <v>0</v>
      </c>
      <c r="F229" s="10">
        <v>186</v>
      </c>
      <c r="G229" s="8" t="str">
        <f>VLOOKUP(F229,[1]characters!$A:$C,3,FALSE)</f>
        <v>誇り高き多触姫・クラーケン</v>
      </c>
      <c r="H229" s="8" t="str">
        <f>VLOOKUP(F229,[1]characters!$A:$J,10,FALSE)</f>
        <v>PremiumN</v>
      </c>
      <c r="I229" s="8">
        <f>VLOOKUP(F229,[1]characters!$A:$I,9,FALSE)</f>
        <v>5</v>
      </c>
      <c r="J229" s="8" t="str">
        <f>VLOOKUP(F229,[1]characters!$A:$H,8,FALSE)</f>
        <v>blue</v>
      </c>
      <c r="K229" s="8" t="str">
        <f>VLOOKUP(F229,[1]characters!$A:$K,11,FALSE)</f>
        <v>heal</v>
      </c>
      <c r="L229" s="8" t="str">
        <f>VLOOKUP(F229,[1]characters!$A:$M,13,FALSE)</f>
        <v>animal</v>
      </c>
      <c r="M229" s="5">
        <v>1</v>
      </c>
      <c r="N229" s="18">
        <f>VLOOKUP(D229,gacha_162_base!A:B,2,FALSE)</f>
        <v>1090</v>
      </c>
      <c r="O229" s="14">
        <v>0</v>
      </c>
      <c r="P229" s="14">
        <v>0</v>
      </c>
      <c r="Q229" s="14">
        <v>0</v>
      </c>
      <c r="R229" s="14">
        <v>0</v>
      </c>
      <c r="S229" s="14">
        <v>1</v>
      </c>
    </row>
    <row r="230" spans="1:19" ht="21" customHeight="1">
      <c r="A230" s="7" t="str">
        <f t="shared" si="19"/>
        <v>1620188</v>
      </c>
      <c r="B230" s="2" t="str">
        <f t="shared" si="16"/>
        <v>1620</v>
      </c>
      <c r="C230" s="8" t="str">
        <f t="shared" si="20"/>
        <v>0PremiumN4</v>
      </c>
      <c r="D230" s="8" t="str">
        <f t="shared" si="14"/>
        <v>0PremiumN4</v>
      </c>
      <c r="E230" s="11">
        <v>0</v>
      </c>
      <c r="F230" s="10">
        <v>188</v>
      </c>
      <c r="G230" s="8" t="str">
        <f>VLOOKUP(F230,[1]characters!$A:$C,3,FALSE)</f>
        <v>猛禽 ホルス</v>
      </c>
      <c r="H230" s="8" t="str">
        <f>VLOOKUP(F230,[1]characters!$A:$J,10,FALSE)</f>
        <v>PremiumN</v>
      </c>
      <c r="I230" s="8">
        <f>VLOOKUP(F230,[1]characters!$A:$I,9,FALSE)</f>
        <v>4</v>
      </c>
      <c r="J230" s="8" t="str">
        <f>VLOOKUP(F230,[1]characters!$A:$H,8,FALSE)</f>
        <v>yellow</v>
      </c>
      <c r="K230" s="8" t="str">
        <f>VLOOKUP(F230,[1]characters!$A:$K,11,FALSE)</f>
        <v>attack</v>
      </c>
      <c r="L230" s="8" t="str">
        <f>VLOOKUP(F230,[1]characters!$A:$M,13,FALSE)</f>
        <v>animal</v>
      </c>
      <c r="M230" s="5">
        <v>1</v>
      </c>
      <c r="N230" s="18">
        <f>VLOOKUP(D230,gacha_162_base!A:B,2,FALSE)</f>
        <v>17073</v>
      </c>
      <c r="O230" s="14">
        <v>0</v>
      </c>
      <c r="P230" s="14">
        <v>0</v>
      </c>
      <c r="Q230" s="14">
        <v>0</v>
      </c>
      <c r="R230" s="14">
        <v>0</v>
      </c>
      <c r="S230" s="14">
        <v>1</v>
      </c>
    </row>
    <row r="231" spans="1:19" ht="21" customHeight="1">
      <c r="A231" s="7" t="str">
        <f t="shared" si="19"/>
        <v>1620189</v>
      </c>
      <c r="B231" s="2" t="str">
        <f t="shared" si="16"/>
        <v>1620</v>
      </c>
      <c r="C231" s="8" t="str">
        <f t="shared" ref="C231:C273" si="21">E231&amp;H231&amp;I231</f>
        <v>0PremiumN5</v>
      </c>
      <c r="D231" s="8" t="str">
        <f t="shared" si="14"/>
        <v>0PremiumN5</v>
      </c>
      <c r="E231" s="11">
        <v>0</v>
      </c>
      <c r="F231" s="10">
        <v>189</v>
      </c>
      <c r="G231" s="8" t="str">
        <f>VLOOKUP(F231,[1]characters!$A:$C,3,FALSE)</f>
        <v>迅雷の王禽 ホルス</v>
      </c>
      <c r="H231" s="8" t="str">
        <f>VLOOKUP(F231,[1]characters!$A:$J,10,FALSE)</f>
        <v>PremiumN</v>
      </c>
      <c r="I231" s="8">
        <f>VLOOKUP(F231,[1]characters!$A:$I,9,FALSE)</f>
        <v>5</v>
      </c>
      <c r="J231" s="8" t="str">
        <f>VLOOKUP(F231,[1]characters!$A:$H,8,FALSE)</f>
        <v>yellow</v>
      </c>
      <c r="K231" s="8" t="str">
        <f>VLOOKUP(F231,[1]characters!$A:$K,11,FALSE)</f>
        <v>attack</v>
      </c>
      <c r="L231" s="8" t="str">
        <f>VLOOKUP(F231,[1]characters!$A:$M,13,FALSE)</f>
        <v>animal</v>
      </c>
      <c r="M231" s="5">
        <v>1</v>
      </c>
      <c r="N231" s="18">
        <f>VLOOKUP(D231,gacha_162_base!A:B,2,FALSE)</f>
        <v>1090</v>
      </c>
      <c r="O231" s="14">
        <v>0</v>
      </c>
      <c r="P231" s="14">
        <v>0</v>
      </c>
      <c r="Q231" s="14">
        <v>0</v>
      </c>
      <c r="R231" s="14">
        <v>0</v>
      </c>
      <c r="S231" s="14">
        <v>1</v>
      </c>
    </row>
    <row r="232" spans="1:19" ht="21" customHeight="1">
      <c r="A232" s="7" t="str">
        <f t="shared" si="19"/>
        <v>1620191</v>
      </c>
      <c r="B232" s="2" t="str">
        <f t="shared" si="16"/>
        <v>1620</v>
      </c>
      <c r="C232" s="8" t="str">
        <f t="shared" si="21"/>
        <v>0PremiumN4</v>
      </c>
      <c r="D232" s="8" t="str">
        <f t="shared" si="14"/>
        <v>0PremiumN4</v>
      </c>
      <c r="E232" s="11">
        <v>0</v>
      </c>
      <c r="F232" s="6">
        <v>191</v>
      </c>
      <c r="G232" s="8" t="str">
        <f>VLOOKUP(F232,[1]characters!$A:$C,3,FALSE)</f>
        <v>始祖 卑弥呼</v>
      </c>
      <c r="H232" s="8" t="str">
        <f>VLOOKUP(F232,[1]characters!$A:$J,10,FALSE)</f>
        <v>PremiumN</v>
      </c>
      <c r="I232" s="8">
        <f>VLOOKUP(F232,[1]characters!$A:$I,9,FALSE)</f>
        <v>4</v>
      </c>
      <c r="J232" s="8" t="str">
        <f>VLOOKUP(F232,[1]characters!$A:$H,8,FALSE)</f>
        <v>red</v>
      </c>
      <c r="K232" s="8" t="str">
        <f>VLOOKUP(F232,[1]characters!$A:$K,11,FALSE)</f>
        <v>balance</v>
      </c>
      <c r="L232" s="8" t="str">
        <f>VLOOKUP(F232,[1]characters!$A:$M,13,FALSE)</f>
        <v>human</v>
      </c>
      <c r="M232" s="5">
        <v>1</v>
      </c>
      <c r="N232" s="18">
        <f>VLOOKUP(D232,gacha_162_base!A:B,2,FALSE)</f>
        <v>17073</v>
      </c>
      <c r="O232" s="14">
        <v>0</v>
      </c>
      <c r="P232" s="14">
        <v>0</v>
      </c>
      <c r="Q232" s="14">
        <v>0</v>
      </c>
      <c r="R232" s="14">
        <v>0</v>
      </c>
      <c r="S232" s="14">
        <v>1</v>
      </c>
    </row>
    <row r="233" spans="1:19" ht="21" customHeight="1">
      <c r="A233" s="7" t="str">
        <f t="shared" si="19"/>
        <v>1620192</v>
      </c>
      <c r="B233" s="2" t="str">
        <f t="shared" si="16"/>
        <v>1620</v>
      </c>
      <c r="C233" s="8" t="str">
        <f t="shared" si="21"/>
        <v>0PremiumN5</v>
      </c>
      <c r="D233" s="8" t="str">
        <f t="shared" si="14"/>
        <v>0PremiumN5</v>
      </c>
      <c r="E233" s="11">
        <v>0</v>
      </c>
      <c r="F233" s="6">
        <v>192</v>
      </c>
      <c r="G233" s="8" t="str">
        <f>VLOOKUP(F233,[1]characters!$A:$C,3,FALSE)</f>
        <v>荘厳なる始祖帝 卑弥呼</v>
      </c>
      <c r="H233" s="8" t="str">
        <f>VLOOKUP(F233,[1]characters!$A:$J,10,FALSE)</f>
        <v>PremiumN</v>
      </c>
      <c r="I233" s="8">
        <f>VLOOKUP(F233,[1]characters!$A:$I,9,FALSE)</f>
        <v>5</v>
      </c>
      <c r="J233" s="8" t="str">
        <f>VLOOKUP(F233,[1]characters!$A:$H,8,FALSE)</f>
        <v>red</v>
      </c>
      <c r="K233" s="8" t="str">
        <f>VLOOKUP(F233,[1]characters!$A:$K,11,FALSE)</f>
        <v>balance</v>
      </c>
      <c r="L233" s="8" t="str">
        <f>VLOOKUP(F233,[1]characters!$A:$M,13,FALSE)</f>
        <v>human</v>
      </c>
      <c r="M233" s="5">
        <v>1</v>
      </c>
      <c r="N233" s="18">
        <f>VLOOKUP(D233,gacha_162_base!A:B,2,FALSE)</f>
        <v>1090</v>
      </c>
      <c r="O233" s="14">
        <v>0</v>
      </c>
      <c r="P233" s="14">
        <v>0</v>
      </c>
      <c r="Q233" s="14">
        <v>0</v>
      </c>
      <c r="R233" s="14">
        <v>0</v>
      </c>
      <c r="S233" s="14">
        <v>1</v>
      </c>
    </row>
    <row r="234" spans="1:19" ht="21" customHeight="1">
      <c r="A234" s="7" t="str">
        <f t="shared" si="19"/>
        <v>1620194</v>
      </c>
      <c r="B234" s="2" t="str">
        <f t="shared" si="16"/>
        <v>1620</v>
      </c>
      <c r="C234" s="8" t="str">
        <f t="shared" si="21"/>
        <v>0PremiumN4</v>
      </c>
      <c r="D234" s="8" t="str">
        <f t="shared" si="14"/>
        <v>0PremiumN4</v>
      </c>
      <c r="E234" s="11">
        <v>0</v>
      </c>
      <c r="F234" s="13">
        <v>194</v>
      </c>
      <c r="G234" s="8" t="str">
        <f>VLOOKUP(F234,[1]characters!$A:$C,3,FALSE)</f>
        <v>スナイパー ロビンフッド</v>
      </c>
      <c r="H234" s="8" t="str">
        <f>VLOOKUP(F234,[1]characters!$A:$J,10,FALSE)</f>
        <v>PremiumN</v>
      </c>
      <c r="I234" s="8">
        <f>VLOOKUP(F234,[1]characters!$A:$I,9,FALSE)</f>
        <v>4</v>
      </c>
      <c r="J234" s="8" t="str">
        <f>VLOOKUP(F234,[1]characters!$A:$H,8,FALSE)</f>
        <v>green</v>
      </c>
      <c r="K234" s="8" t="str">
        <f>VLOOKUP(F234,[1]characters!$A:$K,11,FALSE)</f>
        <v>balance</v>
      </c>
      <c r="L234" s="8" t="str">
        <f>VLOOKUP(F234,[1]characters!$A:$M,13,FALSE)</f>
        <v>human</v>
      </c>
      <c r="M234" s="5">
        <v>1</v>
      </c>
      <c r="N234" s="18">
        <f>VLOOKUP(D234,gacha_162_base!A:B,2,FALSE)</f>
        <v>17073</v>
      </c>
      <c r="O234" s="14">
        <v>0</v>
      </c>
      <c r="P234" s="14">
        <v>0</v>
      </c>
      <c r="Q234" s="14">
        <v>0</v>
      </c>
      <c r="R234" s="14">
        <v>0</v>
      </c>
      <c r="S234" s="14">
        <v>1</v>
      </c>
    </row>
    <row r="235" spans="1:19" ht="21" customHeight="1">
      <c r="A235" s="7" t="str">
        <f t="shared" si="19"/>
        <v>1620195</v>
      </c>
      <c r="B235" s="2" t="str">
        <f t="shared" si="16"/>
        <v>1620</v>
      </c>
      <c r="C235" s="8" t="str">
        <f t="shared" si="21"/>
        <v>0PremiumN5</v>
      </c>
      <c r="D235" s="8" t="str">
        <f t="shared" si="14"/>
        <v>0PremiumN5</v>
      </c>
      <c r="E235" s="11">
        <v>0</v>
      </c>
      <c r="F235" s="6">
        <v>195</v>
      </c>
      <c r="G235" s="8" t="str">
        <f>VLOOKUP(F235,[1]characters!$A:$C,3,FALSE)</f>
        <v>グランドハンター ロビンフッド</v>
      </c>
      <c r="H235" s="8" t="str">
        <f>VLOOKUP(F235,[1]characters!$A:$J,10,FALSE)</f>
        <v>PremiumN</v>
      </c>
      <c r="I235" s="8">
        <f>VLOOKUP(F235,[1]characters!$A:$I,9,FALSE)</f>
        <v>5</v>
      </c>
      <c r="J235" s="8" t="str">
        <f>VLOOKUP(F235,[1]characters!$A:$H,8,FALSE)</f>
        <v>green</v>
      </c>
      <c r="K235" s="8" t="str">
        <f>VLOOKUP(F235,[1]characters!$A:$K,11,FALSE)</f>
        <v>balance</v>
      </c>
      <c r="L235" s="8" t="str">
        <f>VLOOKUP(F235,[1]characters!$A:$M,13,FALSE)</f>
        <v>human</v>
      </c>
      <c r="M235" s="5">
        <v>1</v>
      </c>
      <c r="N235" s="18">
        <f>VLOOKUP(D235,gacha_162_base!A:B,2,FALSE)</f>
        <v>1090</v>
      </c>
      <c r="O235" s="14">
        <v>0</v>
      </c>
      <c r="P235" s="14">
        <v>0</v>
      </c>
      <c r="Q235" s="14">
        <v>0</v>
      </c>
      <c r="R235" s="14">
        <v>0</v>
      </c>
      <c r="S235" s="14">
        <v>1</v>
      </c>
    </row>
    <row r="236" spans="1:19" ht="21" customHeight="1">
      <c r="A236" s="7" t="str">
        <f t="shared" si="19"/>
        <v>1620197</v>
      </c>
      <c r="B236" s="2" t="str">
        <f t="shared" si="16"/>
        <v>1620</v>
      </c>
      <c r="C236" s="8" t="str">
        <f t="shared" si="21"/>
        <v>0PremiumN4</v>
      </c>
      <c r="D236" s="8" t="str">
        <f t="shared" si="14"/>
        <v>0PremiumN4</v>
      </c>
      <c r="E236" s="11">
        <v>0</v>
      </c>
      <c r="F236" s="15">
        <v>197</v>
      </c>
      <c r="G236" s="8" t="str">
        <f>VLOOKUP(F236,[1]characters!$A:$C,3,FALSE)</f>
        <v>鉄腕 アキレス</v>
      </c>
      <c r="H236" s="8" t="str">
        <f>VLOOKUP(F236,[1]characters!$A:$J,10,FALSE)</f>
        <v>PremiumN</v>
      </c>
      <c r="I236" s="8">
        <f>VLOOKUP(F236,[1]characters!$A:$I,9,FALSE)</f>
        <v>4</v>
      </c>
      <c r="J236" s="8" t="str">
        <f>VLOOKUP(F236,[1]characters!$A:$H,8,FALSE)</f>
        <v>yellow</v>
      </c>
      <c r="K236" s="8" t="str">
        <f>VLOOKUP(F236,[1]characters!$A:$K,11,FALSE)</f>
        <v>balance</v>
      </c>
      <c r="L236" s="8" t="str">
        <f>VLOOKUP(F236,[1]characters!$A:$M,13,FALSE)</f>
        <v>human</v>
      </c>
      <c r="M236" s="5">
        <v>1</v>
      </c>
      <c r="N236" s="18">
        <f>VLOOKUP(D236,gacha_162_base!A:B,2,FALSE)</f>
        <v>17073</v>
      </c>
      <c r="O236" s="14">
        <v>0</v>
      </c>
      <c r="P236" s="14">
        <v>0</v>
      </c>
      <c r="Q236" s="14">
        <v>0</v>
      </c>
      <c r="R236" s="14">
        <v>0</v>
      </c>
      <c r="S236" s="14">
        <v>1</v>
      </c>
    </row>
    <row r="237" spans="1:19" ht="21" customHeight="1">
      <c r="A237" s="7" t="str">
        <f t="shared" si="19"/>
        <v>1620198</v>
      </c>
      <c r="B237" s="2" t="str">
        <f t="shared" si="16"/>
        <v>1620</v>
      </c>
      <c r="C237" s="8" t="str">
        <f t="shared" si="21"/>
        <v>0PremiumN5</v>
      </c>
      <c r="D237" s="8" t="str">
        <f t="shared" si="14"/>
        <v>0PremiumN5</v>
      </c>
      <c r="E237" s="11">
        <v>0</v>
      </c>
      <c r="F237" s="15">
        <v>198</v>
      </c>
      <c r="G237" s="8" t="str">
        <f>VLOOKUP(F237,[1]characters!$A:$C,3,FALSE)</f>
        <v>砕骨の剛腕 アキレス</v>
      </c>
      <c r="H237" s="8" t="str">
        <f>VLOOKUP(F237,[1]characters!$A:$J,10,FALSE)</f>
        <v>PremiumN</v>
      </c>
      <c r="I237" s="8">
        <f>VLOOKUP(F237,[1]characters!$A:$I,9,FALSE)</f>
        <v>5</v>
      </c>
      <c r="J237" s="8" t="str">
        <f>VLOOKUP(F237,[1]characters!$A:$H,8,FALSE)</f>
        <v>yellow</v>
      </c>
      <c r="K237" s="8" t="str">
        <f>VLOOKUP(F237,[1]characters!$A:$K,11,FALSE)</f>
        <v>balance</v>
      </c>
      <c r="L237" s="8" t="str">
        <f>VLOOKUP(F237,[1]characters!$A:$M,13,FALSE)</f>
        <v>human</v>
      </c>
      <c r="M237" s="5">
        <v>1</v>
      </c>
      <c r="N237" s="18">
        <f>VLOOKUP(D237,gacha_162_base!A:B,2,FALSE)</f>
        <v>1090</v>
      </c>
      <c r="O237" s="14">
        <v>0</v>
      </c>
      <c r="P237" s="14">
        <v>0</v>
      </c>
      <c r="Q237" s="14">
        <v>0</v>
      </c>
      <c r="R237" s="14">
        <v>0</v>
      </c>
      <c r="S237" s="14">
        <v>1</v>
      </c>
    </row>
    <row r="238" spans="1:19" ht="21" customHeight="1">
      <c r="A238" s="7" t="str">
        <f t="shared" si="19"/>
        <v>1620200</v>
      </c>
      <c r="B238" s="2" t="str">
        <f t="shared" si="16"/>
        <v>1620</v>
      </c>
      <c r="C238" s="8" t="str">
        <f t="shared" si="21"/>
        <v>0PremiumN4</v>
      </c>
      <c r="D238" s="8" t="str">
        <f t="shared" si="14"/>
        <v>0PremiumN4</v>
      </c>
      <c r="E238" s="11">
        <v>0</v>
      </c>
      <c r="F238" s="15">
        <v>200</v>
      </c>
      <c r="G238" s="8" t="str">
        <f>VLOOKUP(F238,[1]characters!$A:$C,3,FALSE)</f>
        <v>大剣士 ジークフリート</v>
      </c>
      <c r="H238" s="8" t="str">
        <f>VLOOKUP(F238,[1]characters!$A:$J,10,FALSE)</f>
        <v>PremiumN</v>
      </c>
      <c r="I238" s="8">
        <f>VLOOKUP(F238,[1]characters!$A:$I,9,FALSE)</f>
        <v>4</v>
      </c>
      <c r="J238" s="8" t="str">
        <f>VLOOKUP(F238,[1]characters!$A:$H,8,FALSE)</f>
        <v>blue</v>
      </c>
      <c r="K238" s="8" t="str">
        <f>VLOOKUP(F238,[1]characters!$A:$K,11,FALSE)</f>
        <v>balance</v>
      </c>
      <c r="L238" s="8" t="str">
        <f>VLOOKUP(F238,[1]characters!$A:$M,13,FALSE)</f>
        <v>human</v>
      </c>
      <c r="M238" s="5">
        <v>1</v>
      </c>
      <c r="N238" s="18">
        <f>VLOOKUP(D238,gacha_162_base!A:B,2,FALSE)</f>
        <v>17073</v>
      </c>
      <c r="O238" s="14">
        <v>0</v>
      </c>
      <c r="P238" s="14">
        <v>0</v>
      </c>
      <c r="Q238" s="14">
        <v>0</v>
      </c>
      <c r="R238" s="14">
        <v>0</v>
      </c>
      <c r="S238" s="14">
        <v>1</v>
      </c>
    </row>
    <row r="239" spans="1:19" ht="21" customHeight="1">
      <c r="A239" s="7" t="str">
        <f t="shared" si="19"/>
        <v>1620201</v>
      </c>
      <c r="B239" s="2" t="str">
        <f t="shared" si="16"/>
        <v>1620</v>
      </c>
      <c r="C239" s="8" t="str">
        <f t="shared" si="21"/>
        <v>0PremiumN5</v>
      </c>
      <c r="D239" s="8" t="str">
        <f t="shared" si="14"/>
        <v>0PremiumN5</v>
      </c>
      <c r="E239" s="11">
        <v>0</v>
      </c>
      <c r="F239" s="1">
        <v>201</v>
      </c>
      <c r="G239" s="8" t="str">
        <f>VLOOKUP(F239,[1]characters!$A:$C,3,FALSE)</f>
        <v>斬空の大破剣 ジークフリート</v>
      </c>
      <c r="H239" s="8" t="str">
        <f>VLOOKUP(F239,[1]characters!$A:$J,10,FALSE)</f>
        <v>PremiumN</v>
      </c>
      <c r="I239" s="8">
        <f>VLOOKUP(F239,[1]characters!$A:$I,9,FALSE)</f>
        <v>5</v>
      </c>
      <c r="J239" s="8" t="str">
        <f>VLOOKUP(F239,[1]characters!$A:$H,8,FALSE)</f>
        <v>blue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5">
        <v>1</v>
      </c>
      <c r="N239" s="18">
        <f>VLOOKUP(D239,gacha_162_base!A:B,2,FALSE)</f>
        <v>1090</v>
      </c>
      <c r="O239" s="14">
        <v>0</v>
      </c>
      <c r="P239" s="14">
        <v>0</v>
      </c>
      <c r="Q239" s="14">
        <v>0</v>
      </c>
      <c r="R239" s="14">
        <v>0</v>
      </c>
      <c r="S239" s="14">
        <v>1</v>
      </c>
    </row>
    <row r="240" spans="1:19" ht="21" customHeight="1">
      <c r="A240" s="7" t="str">
        <f t="shared" si="19"/>
        <v>1620203</v>
      </c>
      <c r="B240" s="2" t="str">
        <f t="shared" si="16"/>
        <v>1620</v>
      </c>
      <c r="C240" s="8" t="str">
        <f t="shared" si="21"/>
        <v>0PremiumN4</v>
      </c>
      <c r="D240" s="8" t="str">
        <f t="shared" si="14"/>
        <v>0PremiumN4</v>
      </c>
      <c r="E240" s="11">
        <v>0</v>
      </c>
      <c r="F240" s="1">
        <v>203</v>
      </c>
      <c r="G240" s="8" t="str">
        <f>VLOOKUP(F240,[1]characters!$A:$C,3,FALSE)</f>
        <v>焔神 プロメテウス</v>
      </c>
      <c r="H240" s="8" t="str">
        <f>VLOOKUP(F240,[1]characters!$A:$J,10,FALSE)</f>
        <v>PremiumN</v>
      </c>
      <c r="I240" s="8">
        <f>VLOOKUP(F240,[1]characters!$A:$I,9,FALSE)</f>
        <v>4</v>
      </c>
      <c r="J240" s="8" t="str">
        <f>VLOOKUP(F240,[1]characters!$A:$H,8,FALSE)</f>
        <v>red</v>
      </c>
      <c r="K240" s="8" t="str">
        <f>VLOOKUP(F240,[1]characters!$A:$K,11,FALSE)</f>
        <v>hp</v>
      </c>
      <c r="L240" s="8" t="str">
        <f>VLOOKUP(F240,[1]characters!$A:$M,13,FALSE)</f>
        <v>god</v>
      </c>
      <c r="M240" s="5">
        <v>1</v>
      </c>
      <c r="N240" s="18">
        <f>VLOOKUP(D240,gacha_162_base!A:B,2,FALSE)</f>
        <v>17073</v>
      </c>
      <c r="O240" s="14">
        <v>0</v>
      </c>
      <c r="P240" s="14">
        <v>0</v>
      </c>
      <c r="Q240" s="14">
        <v>0</v>
      </c>
      <c r="R240" s="14">
        <v>0</v>
      </c>
      <c r="S240" s="14">
        <v>1</v>
      </c>
    </row>
    <row r="241" spans="1:19" ht="21" customHeight="1">
      <c r="A241" s="7" t="str">
        <f t="shared" si="19"/>
        <v>1620204</v>
      </c>
      <c r="B241" s="2" t="str">
        <f t="shared" si="16"/>
        <v>1620</v>
      </c>
      <c r="C241" s="8" t="str">
        <f t="shared" si="21"/>
        <v>0PremiumN5</v>
      </c>
      <c r="D241" s="8" t="str">
        <f t="shared" si="14"/>
        <v>0PremiumN5</v>
      </c>
      <c r="E241" s="11">
        <v>0</v>
      </c>
      <c r="F241" s="1">
        <v>204</v>
      </c>
      <c r="G241" s="8" t="str">
        <f>VLOOKUP(F241,[1]characters!$A:$C,3,FALSE)</f>
        <v>慟哭の巨焔 プロメテウス</v>
      </c>
      <c r="H241" s="8" t="str">
        <f>VLOOKUP(F241,[1]characters!$A:$J,10,FALSE)</f>
        <v>PremiumN</v>
      </c>
      <c r="I241" s="8">
        <f>VLOOKUP(F241,[1]characters!$A:$I,9,FALSE)</f>
        <v>5</v>
      </c>
      <c r="J241" s="8" t="str">
        <f>VLOOKUP(F241,[1]characters!$A:$H,8,FALSE)</f>
        <v>red</v>
      </c>
      <c r="K241" s="8" t="str">
        <f>VLOOKUP(F241,[1]characters!$A:$K,11,FALSE)</f>
        <v>hp</v>
      </c>
      <c r="L241" s="8" t="str">
        <f>VLOOKUP(F241,[1]characters!$A:$M,13,FALSE)</f>
        <v>god</v>
      </c>
      <c r="M241" s="5">
        <v>1</v>
      </c>
      <c r="N241" s="18">
        <f>VLOOKUP(D241,gacha_162_base!A:B,2,FALSE)</f>
        <v>1090</v>
      </c>
      <c r="O241" s="14">
        <v>0</v>
      </c>
      <c r="P241" s="14">
        <v>0</v>
      </c>
      <c r="Q241" s="14">
        <v>0</v>
      </c>
      <c r="R241" s="14">
        <v>0</v>
      </c>
      <c r="S241" s="14">
        <v>1</v>
      </c>
    </row>
    <row r="242" spans="1:19" ht="21" customHeight="1">
      <c r="A242" s="7" t="str">
        <f t="shared" si="19"/>
        <v>1620206</v>
      </c>
      <c r="B242" s="2" t="str">
        <f t="shared" si="16"/>
        <v>1620</v>
      </c>
      <c r="C242" s="8" t="str">
        <f t="shared" si="21"/>
        <v>0PremiumN4</v>
      </c>
      <c r="D242" s="8" t="str">
        <f t="shared" si="14"/>
        <v>0PremiumN4</v>
      </c>
      <c r="E242" s="11">
        <v>0</v>
      </c>
      <c r="F242" s="1">
        <v>206</v>
      </c>
      <c r="G242" s="8" t="str">
        <f>VLOOKUP(F242,[1]characters!$A:$C,3,FALSE)</f>
        <v>美神 アフロディーテ</v>
      </c>
      <c r="H242" s="8" t="str">
        <f>VLOOKUP(F242,[1]characters!$A:$J,10,FALSE)</f>
        <v>PremiumN</v>
      </c>
      <c r="I242" s="8">
        <f>VLOOKUP(F242,[1]characters!$A:$I,9,FALSE)</f>
        <v>4</v>
      </c>
      <c r="J242" s="8" t="str">
        <f>VLOOKUP(F242,[1]characters!$A:$H,8,FALSE)</f>
        <v>green</v>
      </c>
      <c r="K242" s="8" t="str">
        <f>VLOOKUP(F242,[1]characters!$A:$K,11,FALSE)</f>
        <v>hp</v>
      </c>
      <c r="L242" s="8" t="str">
        <f>VLOOKUP(F242,[1]characters!$A:$M,13,FALSE)</f>
        <v>god</v>
      </c>
      <c r="M242" s="5">
        <v>1</v>
      </c>
      <c r="N242" s="18">
        <f>VLOOKUP(D242,gacha_162_base!A:B,2,FALSE)</f>
        <v>17073</v>
      </c>
      <c r="O242" s="14">
        <v>0</v>
      </c>
      <c r="P242" s="14">
        <v>0</v>
      </c>
      <c r="Q242" s="14">
        <v>0</v>
      </c>
      <c r="R242" s="14">
        <v>0</v>
      </c>
      <c r="S242" s="14">
        <v>1</v>
      </c>
    </row>
    <row r="243" spans="1:19" ht="21" customHeight="1">
      <c r="A243" s="7" t="str">
        <f t="shared" si="19"/>
        <v>1620207</v>
      </c>
      <c r="B243" s="2" t="str">
        <f t="shared" si="16"/>
        <v>1620</v>
      </c>
      <c r="C243" s="8" t="str">
        <f t="shared" si="21"/>
        <v>0PremiumN5</v>
      </c>
      <c r="D243" s="8" t="str">
        <f t="shared" si="14"/>
        <v>0PremiumN5</v>
      </c>
      <c r="E243" s="11">
        <v>0</v>
      </c>
      <c r="F243" s="1">
        <v>207</v>
      </c>
      <c r="G243" s="8" t="str">
        <f>VLOOKUP(F243,[1]characters!$A:$C,3,FALSE)</f>
        <v>豊穣の麗神・アフロディーテ</v>
      </c>
      <c r="H243" s="8" t="str">
        <f>VLOOKUP(F243,[1]characters!$A:$J,10,FALSE)</f>
        <v>PremiumN</v>
      </c>
      <c r="I243" s="8">
        <f>VLOOKUP(F243,[1]characters!$A:$I,9,FALSE)</f>
        <v>5</v>
      </c>
      <c r="J243" s="8" t="str">
        <f>VLOOKUP(F243,[1]characters!$A:$H,8,FALSE)</f>
        <v>green</v>
      </c>
      <c r="K243" s="8" t="str">
        <f>VLOOKUP(F243,[1]characters!$A:$K,11,FALSE)</f>
        <v>hp</v>
      </c>
      <c r="L243" s="8" t="str">
        <f>VLOOKUP(F243,[1]characters!$A:$M,13,FALSE)</f>
        <v>god</v>
      </c>
      <c r="M243" s="5">
        <v>1</v>
      </c>
      <c r="N243" s="18">
        <f>VLOOKUP(D243,gacha_162_base!A:B,2,FALSE)</f>
        <v>1090</v>
      </c>
      <c r="O243" s="14">
        <v>0</v>
      </c>
      <c r="P243" s="14">
        <v>0</v>
      </c>
      <c r="Q243" s="14">
        <v>0</v>
      </c>
      <c r="R243" s="14">
        <v>0</v>
      </c>
      <c r="S243" s="14">
        <v>1</v>
      </c>
    </row>
    <row r="244" spans="1:19" ht="21" customHeight="1">
      <c r="A244" s="7" t="str">
        <f t="shared" si="19"/>
        <v>1620209</v>
      </c>
      <c r="B244" s="2" t="str">
        <f t="shared" si="16"/>
        <v>1620</v>
      </c>
      <c r="C244" s="8" t="str">
        <f t="shared" si="21"/>
        <v>0PremiumN4</v>
      </c>
      <c r="D244" s="8" t="str">
        <f t="shared" si="14"/>
        <v>0PremiumN4</v>
      </c>
      <c r="E244" s="11">
        <v>0</v>
      </c>
      <c r="F244" s="1">
        <v>209</v>
      </c>
      <c r="G244" s="8" t="str">
        <f>VLOOKUP(F244,[1]characters!$A:$C,3,FALSE)</f>
        <v>孤神 テティス</v>
      </c>
      <c r="H244" s="8" t="str">
        <f>VLOOKUP(F244,[1]characters!$A:$J,10,FALSE)</f>
        <v>PremiumN</v>
      </c>
      <c r="I244" s="8">
        <f>VLOOKUP(F244,[1]characters!$A:$I,9,FALSE)</f>
        <v>4</v>
      </c>
      <c r="J244" s="8" t="str">
        <f>VLOOKUP(F244,[1]characters!$A:$H,8,FALSE)</f>
        <v>blue</v>
      </c>
      <c r="K244" s="8" t="str">
        <f>VLOOKUP(F244,[1]characters!$A:$K,11,FALSE)</f>
        <v>hp</v>
      </c>
      <c r="L244" s="8" t="str">
        <f>VLOOKUP(F244,[1]characters!$A:$M,13,FALSE)</f>
        <v>god</v>
      </c>
      <c r="M244" s="5">
        <v>1</v>
      </c>
      <c r="N244" s="18">
        <f>VLOOKUP(D244,gacha_162_base!A:B,2,FALSE)</f>
        <v>17073</v>
      </c>
      <c r="O244" s="14">
        <v>0</v>
      </c>
      <c r="P244" s="14">
        <v>0</v>
      </c>
      <c r="Q244" s="14">
        <v>0</v>
      </c>
      <c r="R244" s="14">
        <v>0</v>
      </c>
      <c r="S244" s="14">
        <v>1</v>
      </c>
    </row>
    <row r="245" spans="1:19" ht="21" customHeight="1">
      <c r="A245" s="7" t="str">
        <f t="shared" si="19"/>
        <v>1620210</v>
      </c>
      <c r="B245" s="2" t="str">
        <f t="shared" si="16"/>
        <v>1620</v>
      </c>
      <c r="C245" s="8" t="str">
        <f t="shared" si="21"/>
        <v>0PremiumN5</v>
      </c>
      <c r="D245" s="8" t="str">
        <f t="shared" si="14"/>
        <v>0PremiumN5</v>
      </c>
      <c r="E245" s="11">
        <v>0</v>
      </c>
      <c r="F245" s="1">
        <v>210</v>
      </c>
      <c r="G245" s="8" t="str">
        <f>VLOOKUP(F245,[1]characters!$A:$C,3,FALSE)</f>
        <v>海底の孤高神 テティス</v>
      </c>
      <c r="H245" s="8" t="str">
        <f>VLOOKUP(F245,[1]characters!$A:$J,10,FALSE)</f>
        <v>PremiumN</v>
      </c>
      <c r="I245" s="8">
        <f>VLOOKUP(F245,[1]characters!$A:$I,9,FALSE)</f>
        <v>5</v>
      </c>
      <c r="J245" s="8" t="str">
        <f>VLOOKUP(F245,[1]characters!$A:$H,8,FALSE)</f>
        <v>blue</v>
      </c>
      <c r="K245" s="8" t="str">
        <f>VLOOKUP(F245,[1]characters!$A:$K,11,FALSE)</f>
        <v>hp</v>
      </c>
      <c r="L245" s="8" t="str">
        <f>VLOOKUP(F245,[1]characters!$A:$M,13,FALSE)</f>
        <v>god</v>
      </c>
      <c r="M245" s="5">
        <v>1</v>
      </c>
      <c r="N245" s="18">
        <f>VLOOKUP(D245,gacha_162_base!A:B,2,FALSE)</f>
        <v>1090</v>
      </c>
      <c r="O245" s="14">
        <v>0</v>
      </c>
      <c r="P245" s="14">
        <v>0</v>
      </c>
      <c r="Q245" s="14">
        <v>0</v>
      </c>
      <c r="R245" s="14">
        <v>0</v>
      </c>
      <c r="S245" s="14">
        <v>1</v>
      </c>
    </row>
    <row r="246" spans="1:19" ht="21" customHeight="1">
      <c r="A246" s="7" t="str">
        <f t="shared" si="19"/>
        <v>1620212</v>
      </c>
      <c r="B246" s="2" t="str">
        <f t="shared" si="16"/>
        <v>1620</v>
      </c>
      <c r="C246" s="8" t="str">
        <f t="shared" si="21"/>
        <v>0PremiumN4</v>
      </c>
      <c r="D246" s="8" t="str">
        <f t="shared" si="14"/>
        <v>0PremiumN4</v>
      </c>
      <c r="E246" s="11">
        <v>0</v>
      </c>
      <c r="F246" s="1">
        <v>212</v>
      </c>
      <c r="G246" s="8" t="str">
        <f>VLOOKUP(F246,[1]characters!$A:$C,3,FALSE)</f>
        <v>星神 アストライアー</v>
      </c>
      <c r="H246" s="8" t="str">
        <f>VLOOKUP(F246,[1]characters!$A:$J,10,FALSE)</f>
        <v>PremiumN</v>
      </c>
      <c r="I246" s="8">
        <f>VLOOKUP(F246,[1]characters!$A:$I,9,FALSE)</f>
        <v>4</v>
      </c>
      <c r="J246" s="8" t="str">
        <f>VLOOKUP(F246,[1]characters!$A:$H,8,FALSE)</f>
        <v>yellow</v>
      </c>
      <c r="K246" s="8" t="str">
        <f>VLOOKUP(F246,[1]characters!$A:$K,11,FALSE)</f>
        <v>balance</v>
      </c>
      <c r="L246" s="8" t="str">
        <f>VLOOKUP(F246,[1]characters!$A:$M,13,FALSE)</f>
        <v>god</v>
      </c>
      <c r="M246" s="5">
        <v>1</v>
      </c>
      <c r="N246" s="18">
        <f>VLOOKUP(D246,gacha_162_base!A:B,2,FALSE)</f>
        <v>17073</v>
      </c>
      <c r="O246" s="14">
        <v>0</v>
      </c>
      <c r="P246" s="14">
        <v>0</v>
      </c>
      <c r="Q246" s="14">
        <v>0</v>
      </c>
      <c r="R246" s="14">
        <v>0</v>
      </c>
      <c r="S246" s="14">
        <v>1</v>
      </c>
    </row>
    <row r="247" spans="1:19" ht="21" customHeight="1">
      <c r="A247" s="7" t="str">
        <f t="shared" si="19"/>
        <v>1620213</v>
      </c>
      <c r="B247" s="2" t="str">
        <f t="shared" si="16"/>
        <v>1620</v>
      </c>
      <c r="C247" s="8" t="str">
        <f t="shared" si="21"/>
        <v>0PremiumN5</v>
      </c>
      <c r="D247" s="8" t="str">
        <f t="shared" si="14"/>
        <v>0PremiumN5</v>
      </c>
      <c r="E247" s="11">
        <v>0</v>
      </c>
      <c r="F247" s="1">
        <v>213</v>
      </c>
      <c r="G247" s="8" t="str">
        <f>VLOOKUP(F247,[1]characters!$A:$C,3,FALSE)</f>
        <v>満天の星降神 アストライアー</v>
      </c>
      <c r="H247" s="8" t="str">
        <f>VLOOKUP(F247,[1]characters!$A:$J,10,FALSE)</f>
        <v>PremiumN</v>
      </c>
      <c r="I247" s="8">
        <f>VLOOKUP(F247,[1]characters!$A:$I,9,FALSE)</f>
        <v>5</v>
      </c>
      <c r="J247" s="8" t="str">
        <f>VLOOKUP(F247,[1]characters!$A:$H,8,FALSE)</f>
        <v>yellow</v>
      </c>
      <c r="K247" s="8" t="str">
        <f>VLOOKUP(F247,[1]characters!$A:$K,11,FALSE)</f>
        <v>balance</v>
      </c>
      <c r="L247" s="8" t="str">
        <f>VLOOKUP(F247,[1]characters!$A:$M,13,FALSE)</f>
        <v>god</v>
      </c>
      <c r="M247" s="5">
        <v>1</v>
      </c>
      <c r="N247" s="18">
        <f>VLOOKUP(D247,gacha_162_base!A:B,2,FALSE)</f>
        <v>1090</v>
      </c>
      <c r="O247" s="14">
        <v>0</v>
      </c>
      <c r="P247" s="14">
        <v>0</v>
      </c>
      <c r="Q247" s="14">
        <v>0</v>
      </c>
      <c r="R247" s="14">
        <v>0</v>
      </c>
      <c r="S247" s="14">
        <v>1</v>
      </c>
    </row>
    <row r="248" spans="1:19" ht="21" customHeight="1">
      <c r="A248" s="7" t="str">
        <f t="shared" si="19"/>
        <v>1620215</v>
      </c>
      <c r="B248" s="2" t="str">
        <f t="shared" si="16"/>
        <v>1620</v>
      </c>
      <c r="C248" s="8" t="str">
        <f t="shared" si="21"/>
        <v>0PremiumN4</v>
      </c>
      <c r="D248" s="8" t="str">
        <f t="shared" si="14"/>
        <v>0PremiumN4</v>
      </c>
      <c r="E248" s="11">
        <v>0</v>
      </c>
      <c r="F248" s="1">
        <v>215</v>
      </c>
      <c r="G248" s="8" t="str">
        <f>VLOOKUP(F248,[1]characters!$A:$C,3,FALSE)</f>
        <v>死導者 アズラエル</v>
      </c>
      <c r="H248" s="8" t="str">
        <f>VLOOKUP(F248,[1]characters!$A:$J,10,FALSE)</f>
        <v>PremiumN</v>
      </c>
      <c r="I248" s="8">
        <f>VLOOKUP(F248,[1]characters!$A:$I,9,FALSE)</f>
        <v>4</v>
      </c>
      <c r="J248" s="8" t="str">
        <f>VLOOKUP(F248,[1]characters!$A:$H,8,FALSE)</f>
        <v>red</v>
      </c>
      <c r="K248" s="8" t="str">
        <f>VLOOKUP(F248,[1]characters!$A:$K,11,FALSE)</f>
        <v>balance</v>
      </c>
      <c r="L248" s="8" t="str">
        <f>VLOOKUP(F248,[1]characters!$A:$M,13,FALSE)</f>
        <v>god</v>
      </c>
      <c r="M248" s="5">
        <v>1</v>
      </c>
      <c r="N248" s="18">
        <f>VLOOKUP(D248,gacha_162_base!A:B,2,FALSE)</f>
        <v>17073</v>
      </c>
      <c r="O248" s="14">
        <v>0</v>
      </c>
      <c r="P248" s="14">
        <v>0</v>
      </c>
      <c r="Q248" s="14">
        <v>0</v>
      </c>
      <c r="R248" s="14">
        <v>0</v>
      </c>
      <c r="S248" s="14">
        <v>1</v>
      </c>
    </row>
    <row r="249" spans="1:19" ht="21" customHeight="1">
      <c r="A249" s="7" t="str">
        <f t="shared" si="19"/>
        <v>1620216</v>
      </c>
      <c r="B249" s="2" t="str">
        <f t="shared" si="16"/>
        <v>1620</v>
      </c>
      <c r="C249" s="8" t="str">
        <f t="shared" si="21"/>
        <v>0PremiumN5</v>
      </c>
      <c r="D249" s="8" t="str">
        <f t="shared" si="14"/>
        <v>0PremiumN5</v>
      </c>
      <c r="E249" s="11">
        <v>0</v>
      </c>
      <c r="F249" s="1">
        <v>216</v>
      </c>
      <c r="G249" s="8" t="str">
        <f>VLOOKUP(F249,[1]characters!$A:$C,3,FALSE)</f>
        <v>百読の死導司書 アズラエル</v>
      </c>
      <c r="H249" s="8" t="str">
        <f>VLOOKUP(F249,[1]characters!$A:$J,10,FALSE)</f>
        <v>PremiumN</v>
      </c>
      <c r="I249" s="8">
        <f>VLOOKUP(F249,[1]characters!$A:$I,9,FALSE)</f>
        <v>5</v>
      </c>
      <c r="J249" s="8" t="str">
        <f>VLOOKUP(F249,[1]characters!$A:$H,8,FALSE)</f>
        <v>red</v>
      </c>
      <c r="K249" s="8" t="str">
        <f>VLOOKUP(F249,[1]characters!$A:$K,11,FALSE)</f>
        <v>balance</v>
      </c>
      <c r="L249" s="8" t="str">
        <f>VLOOKUP(F249,[1]characters!$A:$M,13,FALSE)</f>
        <v>god</v>
      </c>
      <c r="M249" s="5">
        <v>1</v>
      </c>
      <c r="N249" s="18">
        <f>VLOOKUP(D249,gacha_162_base!A:B,2,FALSE)</f>
        <v>1090</v>
      </c>
      <c r="O249" s="14">
        <v>0</v>
      </c>
      <c r="P249" s="14">
        <v>0</v>
      </c>
      <c r="Q249" s="14">
        <v>0</v>
      </c>
      <c r="R249" s="14">
        <v>0</v>
      </c>
      <c r="S249" s="14">
        <v>1</v>
      </c>
    </row>
    <row r="250" spans="1:19" ht="21" customHeight="1">
      <c r="A250" s="7" t="str">
        <f t="shared" si="19"/>
        <v>1620218</v>
      </c>
      <c r="B250" s="2" t="str">
        <f t="shared" si="16"/>
        <v>1620</v>
      </c>
      <c r="C250" s="8" t="str">
        <f t="shared" si="21"/>
        <v>0PremiumN4</v>
      </c>
      <c r="D250" s="8" t="str">
        <f t="shared" si="14"/>
        <v>0PremiumN4</v>
      </c>
      <c r="E250" s="11">
        <v>0</v>
      </c>
      <c r="F250" s="1">
        <v>218</v>
      </c>
      <c r="G250" s="8" t="str">
        <f>VLOOKUP(F250,[1]characters!$A:$C,3,FALSE)</f>
        <v>聖蛇 ケツァクアトル</v>
      </c>
      <c r="H250" s="8" t="str">
        <f>VLOOKUP(F250,[1]characters!$A:$J,10,FALSE)</f>
        <v>PremiumN</v>
      </c>
      <c r="I250" s="8">
        <f>VLOOKUP(F250,[1]characters!$A:$I,9,FALSE)</f>
        <v>4</v>
      </c>
      <c r="J250" s="8" t="str">
        <f>VLOOKUP(F250,[1]characters!$A:$H,8,FALSE)</f>
        <v>green</v>
      </c>
      <c r="K250" s="8" t="str">
        <f>VLOOKUP(F250,[1]characters!$A:$K,11,FALSE)</f>
        <v>hp</v>
      </c>
      <c r="L250" s="8" t="str">
        <f>VLOOKUP(F250,[1]characters!$A:$M,13,FALSE)</f>
        <v>dragon</v>
      </c>
      <c r="M250" s="5">
        <v>1</v>
      </c>
      <c r="N250" s="18">
        <f>VLOOKUP(D250,gacha_162_base!A:B,2,FALSE)</f>
        <v>17073</v>
      </c>
      <c r="O250" s="14">
        <v>0</v>
      </c>
      <c r="P250" s="14">
        <v>0</v>
      </c>
      <c r="Q250" s="14">
        <v>0</v>
      </c>
      <c r="R250" s="14">
        <v>0</v>
      </c>
      <c r="S250" s="14">
        <v>1</v>
      </c>
    </row>
    <row r="251" spans="1:19" ht="21" customHeight="1">
      <c r="A251" s="7" t="str">
        <f t="shared" si="19"/>
        <v>1620219</v>
      </c>
      <c r="B251" s="2" t="str">
        <f t="shared" si="16"/>
        <v>1620</v>
      </c>
      <c r="C251" s="8" t="str">
        <f t="shared" si="21"/>
        <v>0PremiumN5</v>
      </c>
      <c r="D251" s="8" t="str">
        <f t="shared" si="14"/>
        <v>0PremiumN5</v>
      </c>
      <c r="E251" s="11">
        <v>0</v>
      </c>
      <c r="F251" s="1">
        <v>219</v>
      </c>
      <c r="G251" s="8" t="str">
        <f>VLOOKUP(F251,[1]characters!$A:$C,3,FALSE)</f>
        <v>覇翼の聖蛇竜 ケツァクアトル</v>
      </c>
      <c r="H251" s="8" t="str">
        <f>VLOOKUP(F251,[1]characters!$A:$J,10,FALSE)</f>
        <v>PremiumN</v>
      </c>
      <c r="I251" s="8">
        <f>VLOOKUP(F251,[1]characters!$A:$I,9,FALSE)</f>
        <v>5</v>
      </c>
      <c r="J251" s="8" t="str">
        <f>VLOOKUP(F251,[1]characters!$A:$H,8,FALSE)</f>
        <v>green</v>
      </c>
      <c r="K251" s="8" t="str">
        <f>VLOOKUP(F251,[1]characters!$A:$K,11,FALSE)</f>
        <v>hp</v>
      </c>
      <c r="L251" s="8" t="str">
        <f>VLOOKUP(F251,[1]characters!$A:$M,13,FALSE)</f>
        <v>dragon</v>
      </c>
      <c r="M251" s="5">
        <v>1</v>
      </c>
      <c r="N251" s="18">
        <f>VLOOKUP(D251,gacha_162_base!A:B,2,FALSE)</f>
        <v>1090</v>
      </c>
      <c r="O251" s="14">
        <v>0</v>
      </c>
      <c r="P251" s="14">
        <v>0</v>
      </c>
      <c r="Q251" s="14">
        <v>0</v>
      </c>
      <c r="R251" s="14">
        <v>0</v>
      </c>
      <c r="S251" s="14">
        <v>1</v>
      </c>
    </row>
    <row r="252" spans="1:19" ht="21" customHeight="1">
      <c r="A252" s="7" t="str">
        <f t="shared" si="19"/>
        <v>1620221</v>
      </c>
      <c r="B252" s="2" t="str">
        <f t="shared" si="16"/>
        <v>1620</v>
      </c>
      <c r="C252" s="8" t="str">
        <f t="shared" si="21"/>
        <v>0PremiumN4</v>
      </c>
      <c r="D252" s="8" t="str">
        <f t="shared" si="14"/>
        <v>0PremiumN4</v>
      </c>
      <c r="E252" s="11">
        <v>0</v>
      </c>
      <c r="F252" s="1">
        <v>221</v>
      </c>
      <c r="G252" s="8" t="str">
        <f>VLOOKUP(F252,[1]characters!$A:$C,3,FALSE)</f>
        <v>宰相 ルキフグス</v>
      </c>
      <c r="H252" s="8" t="str">
        <f>VLOOKUP(F252,[1]characters!$A:$J,10,FALSE)</f>
        <v>PremiumN</v>
      </c>
      <c r="I252" s="8">
        <f>VLOOKUP(F252,[1]characters!$A:$I,9,FALSE)</f>
        <v>4</v>
      </c>
      <c r="J252" s="8" t="str">
        <f>VLOOKUP(F252,[1]characters!$A:$H,8,FALSE)</f>
        <v>blue</v>
      </c>
      <c r="K252" s="8" t="str">
        <f>VLOOKUP(F252,[1]characters!$A:$K,11,FALSE)</f>
        <v>balance</v>
      </c>
      <c r="L252" s="8" t="str">
        <f>VLOOKUP(F252,[1]characters!$A:$M,13,FALSE)</f>
        <v>god</v>
      </c>
      <c r="M252" s="5">
        <v>1</v>
      </c>
      <c r="N252" s="18">
        <f>VLOOKUP(D252,gacha_162_base!A:B,2,FALSE)</f>
        <v>17073</v>
      </c>
      <c r="O252" s="14">
        <v>0</v>
      </c>
      <c r="P252" s="14">
        <v>0</v>
      </c>
      <c r="Q252" s="14">
        <v>0</v>
      </c>
      <c r="R252" s="14">
        <v>0</v>
      </c>
      <c r="S252" s="14">
        <v>1</v>
      </c>
    </row>
    <row r="253" spans="1:19" ht="21" customHeight="1">
      <c r="A253" s="7" t="str">
        <f t="shared" si="19"/>
        <v>1620222</v>
      </c>
      <c r="B253" s="2" t="str">
        <f t="shared" si="16"/>
        <v>1620</v>
      </c>
      <c r="C253" s="8" t="str">
        <f t="shared" si="21"/>
        <v>0PremiumN5</v>
      </c>
      <c r="D253" s="8" t="str">
        <f t="shared" si="14"/>
        <v>0PremiumN5</v>
      </c>
      <c r="E253" s="11">
        <v>0</v>
      </c>
      <c r="F253" s="1">
        <v>222</v>
      </c>
      <c r="G253" s="8" t="str">
        <f>VLOOKUP(F253,[1]characters!$A:$C,3,FALSE)</f>
        <v>避光の鉄鎖宰相 ルキフグス</v>
      </c>
      <c r="H253" s="8" t="str">
        <f>VLOOKUP(F253,[1]characters!$A:$J,10,FALSE)</f>
        <v>PremiumN</v>
      </c>
      <c r="I253" s="8">
        <f>VLOOKUP(F253,[1]characters!$A:$I,9,FALSE)</f>
        <v>5</v>
      </c>
      <c r="J253" s="8" t="str">
        <f>VLOOKUP(F253,[1]characters!$A:$H,8,FALSE)</f>
        <v>blue</v>
      </c>
      <c r="K253" s="8" t="str">
        <f>VLOOKUP(F253,[1]characters!$A:$K,11,FALSE)</f>
        <v>balance</v>
      </c>
      <c r="L253" s="8" t="str">
        <f>VLOOKUP(F253,[1]characters!$A:$M,13,FALSE)</f>
        <v>god</v>
      </c>
      <c r="M253" s="5">
        <v>1</v>
      </c>
      <c r="N253" s="18">
        <f>VLOOKUP(D253,gacha_162_base!A:B,2,FALSE)</f>
        <v>1090</v>
      </c>
      <c r="O253" s="14">
        <v>0</v>
      </c>
      <c r="P253" s="14">
        <v>0</v>
      </c>
      <c r="Q253" s="14">
        <v>0</v>
      </c>
      <c r="R253" s="14">
        <v>0</v>
      </c>
      <c r="S253" s="14">
        <v>1</v>
      </c>
    </row>
    <row r="254" spans="1:19" ht="21" customHeight="1">
      <c r="A254" s="7" t="str">
        <f t="shared" si="19"/>
        <v>1620224</v>
      </c>
      <c r="B254" s="2" t="str">
        <f t="shared" si="16"/>
        <v>1620</v>
      </c>
      <c r="C254" s="8" t="str">
        <f t="shared" si="21"/>
        <v>0PremiumN4</v>
      </c>
      <c r="D254" s="8" t="str">
        <f t="shared" si="14"/>
        <v>0PremiumN4</v>
      </c>
      <c r="E254" s="11">
        <v>0</v>
      </c>
      <c r="F254" s="1">
        <v>224</v>
      </c>
      <c r="G254" s="8" t="str">
        <f>VLOOKUP(F254,[1]characters!$A:$C,3,FALSE)</f>
        <v>巨腕 ヘラクレス</v>
      </c>
      <c r="H254" s="8" t="str">
        <f>VLOOKUP(F254,[1]characters!$A:$J,10,FALSE)</f>
        <v>PremiumN</v>
      </c>
      <c r="I254" s="8">
        <f>VLOOKUP(F254,[1]characters!$A:$I,9,FALSE)</f>
        <v>4</v>
      </c>
      <c r="J254" s="8" t="str">
        <f>VLOOKUP(F254,[1]characters!$A:$H,8,FALSE)</f>
        <v>yellow</v>
      </c>
      <c r="K254" s="8" t="str">
        <f>VLOOKUP(F254,[1]characters!$A:$K,11,FALSE)</f>
        <v>balance</v>
      </c>
      <c r="L254" s="8" t="str">
        <f>VLOOKUP(F254,[1]characters!$A:$M,13,FALSE)</f>
        <v>human</v>
      </c>
      <c r="M254" s="5">
        <v>1</v>
      </c>
      <c r="N254" s="18">
        <f>VLOOKUP(D254,gacha_162_base!A:B,2,FALSE)</f>
        <v>17073</v>
      </c>
      <c r="O254" s="14">
        <v>0</v>
      </c>
      <c r="P254" s="14">
        <v>0</v>
      </c>
      <c r="Q254" s="14">
        <v>0</v>
      </c>
      <c r="R254" s="14">
        <v>0</v>
      </c>
      <c r="S254" s="14">
        <v>1</v>
      </c>
    </row>
    <row r="255" spans="1:19" ht="21" customHeight="1">
      <c r="A255" s="7" t="str">
        <f t="shared" si="19"/>
        <v>1620225</v>
      </c>
      <c r="B255" s="2" t="str">
        <f t="shared" si="16"/>
        <v>1620</v>
      </c>
      <c r="C255" s="8" t="str">
        <f t="shared" si="21"/>
        <v>0PremiumN5</v>
      </c>
      <c r="D255" s="8" t="str">
        <f t="shared" si="14"/>
        <v>0PremiumN5</v>
      </c>
      <c r="E255" s="11">
        <v>0</v>
      </c>
      <c r="F255" s="1">
        <v>225</v>
      </c>
      <c r="G255" s="8" t="str">
        <f>VLOOKUP(F255,[1]characters!$A:$C,3,FALSE)</f>
        <v>咆哮の巨獅腕 ヘラクレス</v>
      </c>
      <c r="H255" s="8" t="str">
        <f>VLOOKUP(F255,[1]characters!$A:$J,10,FALSE)</f>
        <v>PremiumN</v>
      </c>
      <c r="I255" s="8">
        <f>VLOOKUP(F255,[1]characters!$A:$I,9,FALSE)</f>
        <v>5</v>
      </c>
      <c r="J255" s="8" t="str">
        <f>VLOOKUP(F255,[1]characters!$A:$H,8,FALSE)</f>
        <v>yellow</v>
      </c>
      <c r="K255" s="8" t="str">
        <f>VLOOKUP(F255,[1]characters!$A:$K,11,FALSE)</f>
        <v>balance</v>
      </c>
      <c r="L255" s="8" t="str">
        <f>VLOOKUP(F255,[1]characters!$A:$M,13,FALSE)</f>
        <v>human</v>
      </c>
      <c r="M255" s="5">
        <v>1</v>
      </c>
      <c r="N255" s="18">
        <f>VLOOKUP(D255,gacha_162_base!A:B,2,FALSE)</f>
        <v>1090</v>
      </c>
      <c r="O255" s="14">
        <v>0</v>
      </c>
      <c r="P255" s="14">
        <v>0</v>
      </c>
      <c r="Q255" s="14">
        <v>0</v>
      </c>
      <c r="R255" s="14">
        <v>0</v>
      </c>
      <c r="S255" s="14">
        <v>1</v>
      </c>
    </row>
    <row r="256" spans="1:19" ht="21" customHeight="1">
      <c r="A256" s="7" t="str">
        <f t="shared" si="19"/>
        <v>1620227</v>
      </c>
      <c r="B256" s="2" t="str">
        <f t="shared" si="16"/>
        <v>1620</v>
      </c>
      <c r="C256" s="8" t="str">
        <f t="shared" si="21"/>
        <v>0PremiumS4</v>
      </c>
      <c r="D256" s="8" t="str">
        <f t="shared" si="14"/>
        <v>0PremiumS4</v>
      </c>
      <c r="E256" s="11">
        <v>0</v>
      </c>
      <c r="F256" s="1">
        <v>227</v>
      </c>
      <c r="G256" s="8" t="str">
        <f>VLOOKUP(F256,[1]characters!$A:$C,3,FALSE)</f>
        <v>滅弾 アレス</v>
      </c>
      <c r="H256" s="8" t="str">
        <f>VLOOKUP(F256,[1]characters!$A:$J,10,FALSE)</f>
        <v>PremiumS</v>
      </c>
      <c r="I256" s="8">
        <f>VLOOKUP(F256,[1]characters!$A:$I,9,FALSE)</f>
        <v>4</v>
      </c>
      <c r="J256" s="8" t="str">
        <f>VLOOKUP(F256,[1]characters!$A:$H,8,FALSE)</f>
        <v>red</v>
      </c>
      <c r="K256" s="8" t="str">
        <f>VLOOKUP(F256,[1]characters!$A:$K,11,FALSE)</f>
        <v>attack</v>
      </c>
      <c r="L256" s="8" t="str">
        <f>VLOOKUP(F256,[1]characters!$A:$M,13,FALSE)</f>
        <v>god</v>
      </c>
      <c r="M256" s="5">
        <v>1</v>
      </c>
      <c r="N256" s="18">
        <f>VLOOKUP(D256,gacha_162_base!A:B,2,FALSE)</f>
        <v>17073</v>
      </c>
      <c r="O256" s="14">
        <v>0</v>
      </c>
      <c r="P256" s="14">
        <v>0</v>
      </c>
      <c r="Q256" s="14">
        <v>0</v>
      </c>
      <c r="R256" s="14">
        <v>0</v>
      </c>
      <c r="S256" s="14">
        <v>1</v>
      </c>
    </row>
    <row r="257" spans="1:19" ht="21" customHeight="1">
      <c r="A257" s="7" t="str">
        <f t="shared" si="19"/>
        <v>1620228</v>
      </c>
      <c r="B257" s="2" t="str">
        <f t="shared" si="16"/>
        <v>1620</v>
      </c>
      <c r="C257" s="8" t="str">
        <f t="shared" si="21"/>
        <v>0PremiumS5</v>
      </c>
      <c r="D257" s="8" t="str">
        <f t="shared" si="14"/>
        <v>0PremiumS5</v>
      </c>
      <c r="E257" s="11">
        <v>0</v>
      </c>
      <c r="F257" s="1">
        <v>228</v>
      </c>
      <c r="G257" s="8" t="str">
        <f>VLOOKUP(F257,[1]characters!$A:$C,3,FALSE)</f>
        <v>殲滅の掃射砲 アレス</v>
      </c>
      <c r="H257" s="8" t="str">
        <f>VLOOKUP(F257,[1]characters!$A:$J,10,FALSE)</f>
        <v>PremiumS</v>
      </c>
      <c r="I257" s="8">
        <f>VLOOKUP(F257,[1]characters!$A:$I,9,FALSE)</f>
        <v>5</v>
      </c>
      <c r="J257" s="8" t="str">
        <f>VLOOKUP(F257,[1]characters!$A:$H,8,FALSE)</f>
        <v>red</v>
      </c>
      <c r="K257" s="8" t="str">
        <f>VLOOKUP(F257,[1]characters!$A:$K,11,FALSE)</f>
        <v>attack</v>
      </c>
      <c r="L257" s="8" t="str">
        <f>VLOOKUP(F257,[1]characters!$A:$M,13,FALSE)</f>
        <v>god</v>
      </c>
      <c r="M257" s="5">
        <v>1</v>
      </c>
      <c r="N257" s="18">
        <f>VLOOKUP(D257,gacha_162_base!A:B,2,FALSE)</f>
        <v>1090</v>
      </c>
      <c r="O257" s="14">
        <v>0</v>
      </c>
      <c r="P257" s="14">
        <v>0</v>
      </c>
      <c r="Q257" s="14">
        <v>0</v>
      </c>
      <c r="R257" s="14">
        <v>0</v>
      </c>
      <c r="S257" s="14">
        <v>1</v>
      </c>
    </row>
    <row r="258" spans="1:19" ht="21" customHeight="1">
      <c r="A258" s="7" t="str">
        <f t="shared" si="19"/>
        <v>1620230</v>
      </c>
      <c r="B258" s="2" t="str">
        <f t="shared" si="16"/>
        <v>1620</v>
      </c>
      <c r="C258" s="8" t="str">
        <f t="shared" si="21"/>
        <v>0PremiumS4</v>
      </c>
      <c r="D258" s="8" t="str">
        <f t="shared" ref="D258:D321" si="22">E258&amp;H258&amp;I258</f>
        <v>0PremiumS4</v>
      </c>
      <c r="E258" s="11">
        <v>0</v>
      </c>
      <c r="F258" s="1">
        <v>230</v>
      </c>
      <c r="G258" s="8" t="str">
        <f>VLOOKUP(F258,[1]characters!$A:$C,3,FALSE)</f>
        <v>毒銃 ヨルムンガンド</v>
      </c>
      <c r="H258" s="8" t="str">
        <f>VLOOKUP(F258,[1]characters!$A:$J,10,FALSE)</f>
        <v>PremiumS</v>
      </c>
      <c r="I258" s="8">
        <f>VLOOKUP(F258,[1]characters!$A:$I,9,FALSE)</f>
        <v>4</v>
      </c>
      <c r="J258" s="8" t="str">
        <f>VLOOKUP(F258,[1]characters!$A:$H,8,FALSE)</f>
        <v>green</v>
      </c>
      <c r="K258" s="8" t="str">
        <f>VLOOKUP(F258,[1]characters!$A:$K,11,FALSE)</f>
        <v>technical</v>
      </c>
      <c r="L258" s="8" t="str">
        <f>VLOOKUP(F258,[1]characters!$A:$M,13,FALSE)</f>
        <v>dragon</v>
      </c>
      <c r="M258" s="5">
        <v>1</v>
      </c>
      <c r="N258" s="18">
        <f>VLOOKUP(D258,gacha_162_base!A:B,2,FALSE)</f>
        <v>17073</v>
      </c>
      <c r="O258" s="14">
        <v>0</v>
      </c>
      <c r="P258" s="14">
        <v>0</v>
      </c>
      <c r="Q258" s="14">
        <v>0</v>
      </c>
      <c r="R258" s="14">
        <v>0</v>
      </c>
      <c r="S258" s="14">
        <v>1</v>
      </c>
    </row>
    <row r="259" spans="1:19" ht="21" customHeight="1">
      <c r="A259" s="7" t="str">
        <f t="shared" ref="A259:A322" si="23">B259&amp;F259</f>
        <v>1620231</v>
      </c>
      <c r="B259" s="2" t="str">
        <f t="shared" ref="B259:B322" si="24">162&amp;E259</f>
        <v>1620</v>
      </c>
      <c r="C259" s="8" t="str">
        <f t="shared" si="21"/>
        <v>0PremiumS5</v>
      </c>
      <c r="D259" s="8" t="str">
        <f t="shared" si="22"/>
        <v>0PremiumS5</v>
      </c>
      <c r="E259" s="11">
        <v>0</v>
      </c>
      <c r="F259" s="1">
        <v>231</v>
      </c>
      <c r="G259" s="8" t="str">
        <f>VLOOKUP(F259,[1]characters!$A:$C,3,FALSE)</f>
        <v>必中の咬銃 ヨルムンガンド</v>
      </c>
      <c r="H259" s="8" t="str">
        <f>VLOOKUP(F259,[1]characters!$A:$J,10,FALSE)</f>
        <v>PremiumS</v>
      </c>
      <c r="I259" s="8">
        <f>VLOOKUP(F259,[1]characters!$A:$I,9,FALSE)</f>
        <v>5</v>
      </c>
      <c r="J259" s="8" t="str">
        <f>VLOOKUP(F259,[1]characters!$A:$H,8,FALSE)</f>
        <v>green</v>
      </c>
      <c r="K259" s="8" t="str">
        <f>VLOOKUP(F259,[1]characters!$A:$K,11,FALSE)</f>
        <v>technical</v>
      </c>
      <c r="L259" s="8" t="str">
        <f>VLOOKUP(F259,[1]characters!$A:$M,13,FALSE)</f>
        <v>dragon</v>
      </c>
      <c r="M259" s="5">
        <v>1</v>
      </c>
      <c r="N259" s="18">
        <f>VLOOKUP(D259,gacha_162_base!A:B,2,FALSE)</f>
        <v>1090</v>
      </c>
      <c r="O259" s="14">
        <v>0</v>
      </c>
      <c r="P259" s="14">
        <v>0</v>
      </c>
      <c r="Q259" s="14">
        <v>0</v>
      </c>
      <c r="R259" s="14">
        <v>0</v>
      </c>
      <c r="S259" s="14">
        <v>1</v>
      </c>
    </row>
    <row r="260" spans="1:19" ht="21" customHeight="1">
      <c r="A260" s="7" t="str">
        <f t="shared" si="23"/>
        <v>1620233</v>
      </c>
      <c r="B260" s="2" t="str">
        <f t="shared" si="24"/>
        <v>1620</v>
      </c>
      <c r="C260" s="8" t="str">
        <f t="shared" si="21"/>
        <v>0PremiumS4</v>
      </c>
      <c r="D260" s="8" t="str">
        <f t="shared" si="22"/>
        <v>0PremiumS4</v>
      </c>
      <c r="E260" s="11">
        <v>0</v>
      </c>
      <c r="F260" s="1">
        <v>233</v>
      </c>
      <c r="G260" s="8" t="str">
        <f>VLOOKUP(F260,[1]characters!$A:$C,3,FALSE)</f>
        <v>遂行 パーシヴァル</v>
      </c>
      <c r="H260" s="8" t="str">
        <f>VLOOKUP(F260,[1]characters!$A:$J,10,FALSE)</f>
        <v>PremiumS</v>
      </c>
      <c r="I260" s="8">
        <f>VLOOKUP(F260,[1]characters!$A:$I,9,FALSE)</f>
        <v>4</v>
      </c>
      <c r="J260" s="8" t="str">
        <f>VLOOKUP(F260,[1]characters!$A:$H,8,FALSE)</f>
        <v>blue</v>
      </c>
      <c r="K260" s="8" t="str">
        <f>VLOOKUP(F260,[1]characters!$A:$K,11,FALSE)</f>
        <v>technical</v>
      </c>
      <c r="L260" s="8" t="str">
        <f>VLOOKUP(F260,[1]characters!$A:$M,13,FALSE)</f>
        <v>human</v>
      </c>
      <c r="M260" s="5">
        <v>1</v>
      </c>
      <c r="N260" s="18">
        <f>VLOOKUP(D260,gacha_162_base!A:B,2,FALSE)</f>
        <v>17073</v>
      </c>
      <c r="O260" s="14">
        <v>0</v>
      </c>
      <c r="P260" s="14">
        <v>0</v>
      </c>
      <c r="Q260" s="14">
        <v>0</v>
      </c>
      <c r="R260" s="14">
        <v>0</v>
      </c>
      <c r="S260" s="14">
        <v>1</v>
      </c>
    </row>
    <row r="261" spans="1:19" ht="21" customHeight="1">
      <c r="A261" s="7" t="str">
        <f t="shared" si="23"/>
        <v>1620234</v>
      </c>
      <c r="B261" s="2" t="str">
        <f t="shared" si="24"/>
        <v>1620</v>
      </c>
      <c r="C261" s="8" t="str">
        <f t="shared" si="21"/>
        <v>0PremiumS5</v>
      </c>
      <c r="D261" s="8" t="str">
        <f t="shared" si="22"/>
        <v>0PremiumS5</v>
      </c>
      <c r="E261" s="11">
        <v>0</v>
      </c>
      <c r="F261" s="1">
        <v>234</v>
      </c>
      <c r="G261" s="8" t="str">
        <f>VLOOKUP(F261,[1]characters!$A:$C,3,FALSE)</f>
        <v>精密なる照準 パーシヴァル</v>
      </c>
      <c r="H261" s="8" t="str">
        <f>VLOOKUP(F261,[1]characters!$A:$J,10,FALSE)</f>
        <v>PremiumS</v>
      </c>
      <c r="I261" s="8">
        <f>VLOOKUP(F261,[1]characters!$A:$I,9,FALSE)</f>
        <v>5</v>
      </c>
      <c r="J261" s="8" t="str">
        <f>VLOOKUP(F261,[1]characters!$A:$H,8,FALSE)</f>
        <v>blue</v>
      </c>
      <c r="K261" s="8" t="str">
        <f>VLOOKUP(F261,[1]characters!$A:$K,11,FALSE)</f>
        <v>technical</v>
      </c>
      <c r="L261" s="8" t="str">
        <f>VLOOKUP(F261,[1]characters!$A:$M,13,FALSE)</f>
        <v>human</v>
      </c>
      <c r="M261" s="5">
        <v>1</v>
      </c>
      <c r="N261" s="18">
        <f>VLOOKUP(D261,gacha_162_base!A:B,2,FALSE)</f>
        <v>1090</v>
      </c>
      <c r="O261" s="14">
        <v>0</v>
      </c>
      <c r="P261" s="14">
        <v>0</v>
      </c>
      <c r="Q261" s="14">
        <v>0</v>
      </c>
      <c r="R261" s="14">
        <v>0</v>
      </c>
      <c r="S261" s="14">
        <v>1</v>
      </c>
    </row>
    <row r="262" spans="1:19" ht="21" customHeight="1">
      <c r="A262" s="7" t="str">
        <f t="shared" si="23"/>
        <v>1620236</v>
      </c>
      <c r="B262" s="2" t="str">
        <f t="shared" si="24"/>
        <v>1620</v>
      </c>
      <c r="C262" s="8" t="str">
        <f t="shared" si="21"/>
        <v>0PremiumS4</v>
      </c>
      <c r="D262" s="8" t="str">
        <f t="shared" si="22"/>
        <v>0PremiumS4</v>
      </c>
      <c r="E262" s="11">
        <v>0</v>
      </c>
      <c r="F262" s="1">
        <v>236</v>
      </c>
      <c r="G262" s="8" t="str">
        <f>VLOOKUP(F262,[1]characters!$A:$C,3,FALSE)</f>
        <v>神産 イザナミ</v>
      </c>
      <c r="H262" s="8" t="str">
        <f>VLOOKUP(F262,[1]characters!$A:$J,10,FALSE)</f>
        <v>PremiumS</v>
      </c>
      <c r="I262" s="8">
        <f>VLOOKUP(F262,[1]characters!$A:$I,9,FALSE)</f>
        <v>4</v>
      </c>
      <c r="J262" s="8" t="str">
        <f>VLOOKUP(F262,[1]characters!$A:$H,8,FALSE)</f>
        <v>yellow</v>
      </c>
      <c r="K262" s="8" t="str">
        <f>VLOOKUP(F262,[1]characters!$A:$K,11,FALSE)</f>
        <v>attack</v>
      </c>
      <c r="L262" s="8" t="str">
        <f>VLOOKUP(F262,[1]characters!$A:$M,13,FALSE)</f>
        <v>god</v>
      </c>
      <c r="M262" s="5">
        <v>1</v>
      </c>
      <c r="N262" s="18">
        <f>VLOOKUP(D262,gacha_162_base!A:B,2,FALSE)</f>
        <v>17073</v>
      </c>
      <c r="O262" s="14">
        <v>0</v>
      </c>
      <c r="P262" s="14">
        <v>0</v>
      </c>
      <c r="Q262" s="14">
        <v>0</v>
      </c>
      <c r="R262" s="14">
        <v>0</v>
      </c>
      <c r="S262" s="14">
        <v>1</v>
      </c>
    </row>
    <row r="263" spans="1:19" ht="21" customHeight="1">
      <c r="A263" s="7" t="str">
        <f t="shared" si="23"/>
        <v>1620237</v>
      </c>
      <c r="B263" s="2" t="str">
        <f t="shared" si="24"/>
        <v>1620</v>
      </c>
      <c r="C263" s="8" t="str">
        <f t="shared" si="21"/>
        <v>0PremiumS5</v>
      </c>
      <c r="D263" s="8" t="str">
        <f t="shared" si="22"/>
        <v>0PremiumS5</v>
      </c>
      <c r="E263" s="11">
        <v>0</v>
      </c>
      <c r="F263" s="1">
        <v>237</v>
      </c>
      <c r="G263" s="8" t="str">
        <f>VLOOKUP(F263,[1]characters!$A:$C,3,FALSE)</f>
        <v>森羅万象の神母 イザナミ</v>
      </c>
      <c r="H263" s="8" t="str">
        <f>VLOOKUP(F263,[1]characters!$A:$J,10,FALSE)</f>
        <v>PremiumS</v>
      </c>
      <c r="I263" s="8">
        <f>VLOOKUP(F263,[1]characters!$A:$I,9,FALSE)</f>
        <v>5</v>
      </c>
      <c r="J263" s="8" t="str">
        <f>VLOOKUP(F263,[1]characters!$A:$H,8,FALSE)</f>
        <v>yellow</v>
      </c>
      <c r="K263" s="8" t="str">
        <f>VLOOKUP(F263,[1]characters!$A:$K,11,FALSE)</f>
        <v>attack</v>
      </c>
      <c r="L263" s="8" t="str">
        <f>VLOOKUP(F263,[1]characters!$A:$M,13,FALSE)</f>
        <v>god</v>
      </c>
      <c r="M263" s="5">
        <v>1</v>
      </c>
      <c r="N263" s="18">
        <f>VLOOKUP(D263,gacha_162_base!A:B,2,FALSE)</f>
        <v>1090</v>
      </c>
      <c r="O263" s="14">
        <v>0</v>
      </c>
      <c r="P263" s="14">
        <v>0</v>
      </c>
      <c r="Q263" s="14">
        <v>0</v>
      </c>
      <c r="R263" s="14">
        <v>0</v>
      </c>
      <c r="S263" s="14">
        <v>1</v>
      </c>
    </row>
    <row r="264" spans="1:19" ht="21" customHeight="1">
      <c r="A264" s="7" t="str">
        <f t="shared" si="23"/>
        <v>1620239</v>
      </c>
      <c r="B264" s="2" t="str">
        <f t="shared" si="24"/>
        <v>1620</v>
      </c>
      <c r="C264" s="8" t="str">
        <f t="shared" si="21"/>
        <v>0PremiumS4</v>
      </c>
      <c r="D264" s="8" t="str">
        <f t="shared" si="22"/>
        <v>0PremiumS4</v>
      </c>
      <c r="E264" s="11">
        <v>0</v>
      </c>
      <c r="F264" s="1">
        <v>239</v>
      </c>
      <c r="G264" s="8" t="str">
        <f>VLOOKUP(F264,[1]characters!$A:$C,3,FALSE)</f>
        <v>豪炎の天使 ウリエル</v>
      </c>
      <c r="H264" s="8" t="str">
        <f>VLOOKUP(F264,[1]characters!$A:$J,10,FALSE)</f>
        <v>PremiumS</v>
      </c>
      <c r="I264" s="8">
        <f>VLOOKUP(F264,[1]characters!$A:$I,9,FALSE)</f>
        <v>4</v>
      </c>
      <c r="J264" s="8" t="str">
        <f>VLOOKUP(F264,[1]characters!$A:$H,8,FALSE)</f>
        <v>red</v>
      </c>
      <c r="K264" s="8" t="str">
        <f>VLOOKUP(F264,[1]characters!$A:$K,11,FALSE)</f>
        <v>hp</v>
      </c>
      <c r="L264" s="8" t="str">
        <f>VLOOKUP(F264,[1]characters!$A:$M,13,FALSE)</f>
        <v>machine</v>
      </c>
      <c r="M264" s="5">
        <v>1</v>
      </c>
      <c r="N264" s="18">
        <f>VLOOKUP(D264,gacha_162_base!A:B,2,FALSE)</f>
        <v>17073</v>
      </c>
      <c r="O264" s="14">
        <v>0</v>
      </c>
      <c r="P264" s="14">
        <v>0</v>
      </c>
      <c r="Q264" s="14">
        <v>0</v>
      </c>
      <c r="R264" s="14">
        <v>0</v>
      </c>
      <c r="S264" s="14">
        <v>1</v>
      </c>
    </row>
    <row r="265" spans="1:19" ht="21" customHeight="1">
      <c r="A265" s="7" t="str">
        <f t="shared" si="23"/>
        <v>1620240</v>
      </c>
      <c r="B265" s="2" t="str">
        <f t="shared" si="24"/>
        <v>1620</v>
      </c>
      <c r="C265" s="8" t="str">
        <f t="shared" si="21"/>
        <v>0PremiumS5</v>
      </c>
      <c r="D265" s="8" t="str">
        <f t="shared" si="22"/>
        <v>0PremiumS5</v>
      </c>
      <c r="E265" s="11">
        <v>0</v>
      </c>
      <c r="F265" s="1">
        <v>240</v>
      </c>
      <c r="G265" s="8" t="str">
        <f>VLOOKUP(F265,[1]characters!$A:$C,3,FALSE)</f>
        <v>轟炎の天使 ウリエル・スレイヤー</v>
      </c>
      <c r="H265" s="8" t="str">
        <f>VLOOKUP(F265,[1]characters!$A:$J,10,FALSE)</f>
        <v>PremiumS</v>
      </c>
      <c r="I265" s="8">
        <f>VLOOKUP(F265,[1]characters!$A:$I,9,FALSE)</f>
        <v>5</v>
      </c>
      <c r="J265" s="8" t="str">
        <f>VLOOKUP(F265,[1]characters!$A:$H,8,FALSE)</f>
        <v>red</v>
      </c>
      <c r="K265" s="8" t="str">
        <f>VLOOKUP(F265,[1]characters!$A:$K,11,FALSE)</f>
        <v>hp</v>
      </c>
      <c r="L265" s="8" t="str">
        <f>VLOOKUP(F265,[1]characters!$A:$M,13,FALSE)</f>
        <v>machine</v>
      </c>
      <c r="M265" s="5">
        <v>1</v>
      </c>
      <c r="N265" s="18">
        <f>VLOOKUP(D265,gacha_162_base!A:B,2,FALSE)</f>
        <v>1090</v>
      </c>
      <c r="O265" s="14">
        <v>0</v>
      </c>
      <c r="P265" s="14">
        <v>0</v>
      </c>
      <c r="Q265" s="14">
        <v>0</v>
      </c>
      <c r="R265" s="14">
        <v>0</v>
      </c>
      <c r="S265" s="14">
        <v>1</v>
      </c>
    </row>
    <row r="266" spans="1:19" ht="21" customHeight="1">
      <c r="A266" s="7" t="str">
        <f t="shared" si="23"/>
        <v>1620242</v>
      </c>
      <c r="B266" s="2" t="str">
        <f t="shared" si="24"/>
        <v>1620</v>
      </c>
      <c r="C266" s="8" t="str">
        <f t="shared" si="21"/>
        <v>0PremiumS4</v>
      </c>
      <c r="D266" s="8" t="str">
        <f t="shared" si="22"/>
        <v>0PremiumS4</v>
      </c>
      <c r="E266" s="11">
        <v>0</v>
      </c>
      <c r="F266" s="1">
        <v>242</v>
      </c>
      <c r="G266" s="8" t="str">
        <f>VLOOKUP(F266,[1]characters!$A:$C,3,FALSE)</f>
        <v>百花の天使 ガブリエル</v>
      </c>
      <c r="H266" s="8" t="str">
        <f>VLOOKUP(F266,[1]characters!$A:$J,10,FALSE)</f>
        <v>PremiumS</v>
      </c>
      <c r="I266" s="8">
        <f>VLOOKUP(F266,[1]characters!$A:$I,9,FALSE)</f>
        <v>4</v>
      </c>
      <c r="J266" s="8" t="str">
        <f>VLOOKUP(F266,[1]characters!$A:$H,8,FALSE)</f>
        <v>green</v>
      </c>
      <c r="K266" s="8" t="str">
        <f>VLOOKUP(F266,[1]characters!$A:$K,11,FALSE)</f>
        <v>balance</v>
      </c>
      <c r="L266" s="8" t="str">
        <f>VLOOKUP(F266,[1]characters!$A:$M,13,FALSE)</f>
        <v>machine</v>
      </c>
      <c r="M266" s="5">
        <v>1</v>
      </c>
      <c r="N266" s="18">
        <f>VLOOKUP(D266,gacha_162_base!A:B,2,FALSE)</f>
        <v>17073</v>
      </c>
      <c r="O266" s="14">
        <v>0</v>
      </c>
      <c r="P266" s="14">
        <v>0</v>
      </c>
      <c r="Q266" s="14">
        <v>0</v>
      </c>
      <c r="R266" s="14">
        <v>0</v>
      </c>
      <c r="S266" s="14">
        <v>1</v>
      </c>
    </row>
    <row r="267" spans="1:19" ht="21" customHeight="1">
      <c r="A267" s="7" t="str">
        <f t="shared" si="23"/>
        <v>1620243</v>
      </c>
      <c r="B267" s="2" t="str">
        <f t="shared" si="24"/>
        <v>1620</v>
      </c>
      <c r="C267" s="8" t="str">
        <f t="shared" si="21"/>
        <v>0PremiumS5</v>
      </c>
      <c r="D267" s="8" t="str">
        <f t="shared" si="22"/>
        <v>0PremiumS5</v>
      </c>
      <c r="E267" s="11">
        <v>0</v>
      </c>
      <c r="F267" s="1">
        <v>243</v>
      </c>
      <c r="G267" s="8" t="str">
        <f>VLOOKUP(F267,[1]characters!$A:$C,3,FALSE)</f>
        <v>万花の天使 ガブリエル・ブルーム</v>
      </c>
      <c r="H267" s="8" t="str">
        <f>VLOOKUP(F267,[1]characters!$A:$J,10,FALSE)</f>
        <v>PremiumS</v>
      </c>
      <c r="I267" s="8">
        <f>VLOOKUP(F267,[1]characters!$A:$I,9,FALSE)</f>
        <v>5</v>
      </c>
      <c r="J267" s="8" t="str">
        <f>VLOOKUP(F267,[1]characters!$A:$H,8,FALSE)</f>
        <v>green</v>
      </c>
      <c r="K267" s="8" t="str">
        <f>VLOOKUP(F267,[1]characters!$A:$K,11,FALSE)</f>
        <v>balance</v>
      </c>
      <c r="L267" s="8" t="str">
        <f>VLOOKUP(F267,[1]characters!$A:$M,13,FALSE)</f>
        <v>machine</v>
      </c>
      <c r="M267" s="5">
        <v>1</v>
      </c>
      <c r="N267" s="18">
        <f>VLOOKUP(D267,gacha_162_base!A:B,2,FALSE)</f>
        <v>1090</v>
      </c>
      <c r="O267" s="14">
        <v>0</v>
      </c>
      <c r="P267" s="14">
        <v>0</v>
      </c>
      <c r="Q267" s="14">
        <v>0</v>
      </c>
      <c r="R267" s="14">
        <v>0</v>
      </c>
      <c r="S267" s="14">
        <v>1</v>
      </c>
    </row>
    <row r="268" spans="1:19" ht="21" customHeight="1">
      <c r="A268" s="7" t="str">
        <f t="shared" si="23"/>
        <v>1620245</v>
      </c>
      <c r="B268" s="2" t="str">
        <f t="shared" si="24"/>
        <v>1620</v>
      </c>
      <c r="C268" s="8" t="str">
        <f t="shared" si="21"/>
        <v>0PremiumS4</v>
      </c>
      <c r="D268" s="8" t="str">
        <f t="shared" si="22"/>
        <v>0PremiumS4</v>
      </c>
      <c r="E268" s="11">
        <v>0</v>
      </c>
      <c r="F268" s="1">
        <v>245</v>
      </c>
      <c r="G268" s="8" t="str">
        <f>VLOOKUP(F268,[1]characters!$A:$C,3,FALSE)</f>
        <v>鎮癒の天使 ラファエル</v>
      </c>
      <c r="H268" s="8" t="str">
        <f>VLOOKUP(F268,[1]characters!$A:$J,10,FALSE)</f>
        <v>PremiumS</v>
      </c>
      <c r="I268" s="8">
        <f>VLOOKUP(F268,[1]characters!$A:$I,9,FALSE)</f>
        <v>4</v>
      </c>
      <c r="J268" s="8" t="str">
        <f>VLOOKUP(F268,[1]characters!$A:$H,8,FALSE)</f>
        <v>blue</v>
      </c>
      <c r="K268" s="8" t="str">
        <f>VLOOKUP(F268,[1]characters!$A:$K,11,FALSE)</f>
        <v>balance</v>
      </c>
      <c r="L268" s="8" t="str">
        <f>VLOOKUP(F268,[1]characters!$A:$M,13,FALSE)</f>
        <v>machine</v>
      </c>
      <c r="M268" s="5">
        <v>1</v>
      </c>
      <c r="N268" s="18">
        <f>VLOOKUP(D268,gacha_162_base!A:B,2,FALSE)</f>
        <v>17073</v>
      </c>
      <c r="O268" s="14">
        <v>0</v>
      </c>
      <c r="P268" s="14">
        <v>0</v>
      </c>
      <c r="Q268" s="14">
        <v>0</v>
      </c>
      <c r="R268" s="14">
        <v>0</v>
      </c>
      <c r="S268" s="14">
        <v>1</v>
      </c>
    </row>
    <row r="269" spans="1:19" ht="21" customHeight="1">
      <c r="A269" s="7" t="str">
        <f t="shared" si="23"/>
        <v>1620246</v>
      </c>
      <c r="B269" s="2" t="str">
        <f t="shared" si="24"/>
        <v>1620</v>
      </c>
      <c r="C269" s="8" t="str">
        <f t="shared" si="21"/>
        <v>0PremiumS5</v>
      </c>
      <c r="D269" s="8" t="str">
        <f t="shared" si="22"/>
        <v>0PremiumS5</v>
      </c>
      <c r="E269" s="11">
        <v>0</v>
      </c>
      <c r="F269" s="1">
        <v>246</v>
      </c>
      <c r="G269" s="8" t="str">
        <f>VLOOKUP(F269,[1]characters!$A:$C,3,FALSE)</f>
        <v>真癒の天使 ラファエル・メディカ</v>
      </c>
      <c r="H269" s="8" t="str">
        <f>VLOOKUP(F269,[1]characters!$A:$J,10,FALSE)</f>
        <v>PremiumS</v>
      </c>
      <c r="I269" s="8">
        <f>VLOOKUP(F269,[1]characters!$A:$I,9,FALSE)</f>
        <v>5</v>
      </c>
      <c r="J269" s="8" t="str">
        <f>VLOOKUP(F269,[1]characters!$A:$H,8,FALSE)</f>
        <v>blue</v>
      </c>
      <c r="K269" s="8" t="str">
        <f>VLOOKUP(F269,[1]characters!$A:$K,11,FALSE)</f>
        <v>balance</v>
      </c>
      <c r="L269" s="8" t="str">
        <f>VLOOKUP(F269,[1]characters!$A:$M,13,FALSE)</f>
        <v>machine</v>
      </c>
      <c r="M269" s="5">
        <v>1</v>
      </c>
      <c r="N269" s="18">
        <f>VLOOKUP(D269,gacha_162_base!A:B,2,FALSE)</f>
        <v>1090</v>
      </c>
      <c r="O269" s="14">
        <v>0</v>
      </c>
      <c r="P269" s="14">
        <v>0</v>
      </c>
      <c r="Q269" s="14">
        <v>0</v>
      </c>
      <c r="R269" s="14">
        <v>0</v>
      </c>
      <c r="S269" s="14">
        <v>1</v>
      </c>
    </row>
    <row r="270" spans="1:19" ht="21" customHeight="1">
      <c r="A270" s="7" t="str">
        <f t="shared" si="23"/>
        <v>1620248</v>
      </c>
      <c r="B270" s="2" t="str">
        <f t="shared" si="24"/>
        <v>1620</v>
      </c>
      <c r="C270" s="8" t="str">
        <f t="shared" si="21"/>
        <v>0PremiumS4</v>
      </c>
      <c r="D270" s="8" t="str">
        <f t="shared" si="22"/>
        <v>0PremiumS4</v>
      </c>
      <c r="E270" s="11">
        <v>0</v>
      </c>
      <c r="F270" s="1">
        <v>248</v>
      </c>
      <c r="G270" s="8" t="str">
        <f>VLOOKUP(F270,[1]characters!$A:$C,3,FALSE)</f>
        <v>彩電の天使 ミカエル</v>
      </c>
      <c r="H270" s="8" t="str">
        <f>VLOOKUP(F270,[1]characters!$A:$J,10,FALSE)</f>
        <v>PremiumS</v>
      </c>
      <c r="I270" s="8">
        <f>VLOOKUP(F270,[1]characters!$A:$I,9,FALSE)</f>
        <v>4</v>
      </c>
      <c r="J270" s="8" t="str">
        <f>VLOOKUP(F270,[1]characters!$A:$H,8,FALSE)</f>
        <v>yellow</v>
      </c>
      <c r="K270" s="8" t="str">
        <f>VLOOKUP(F270,[1]characters!$A:$K,11,FALSE)</f>
        <v>attack</v>
      </c>
      <c r="L270" s="8" t="str">
        <f>VLOOKUP(F270,[1]characters!$A:$M,13,FALSE)</f>
        <v>machine</v>
      </c>
      <c r="M270" s="5">
        <v>1</v>
      </c>
      <c r="N270" s="18">
        <f>VLOOKUP(D270,gacha_162_base!A:B,2,FALSE)</f>
        <v>17073</v>
      </c>
      <c r="O270" s="14">
        <v>0</v>
      </c>
      <c r="P270" s="14">
        <v>0</v>
      </c>
      <c r="Q270" s="14">
        <v>0</v>
      </c>
      <c r="R270" s="14">
        <v>0</v>
      </c>
      <c r="S270" s="14">
        <v>1</v>
      </c>
    </row>
    <row r="271" spans="1:19" ht="21" customHeight="1">
      <c r="A271" s="7" t="str">
        <f t="shared" si="23"/>
        <v>1620249</v>
      </c>
      <c r="B271" s="2" t="str">
        <f t="shared" si="24"/>
        <v>1620</v>
      </c>
      <c r="C271" s="8" t="str">
        <f t="shared" si="21"/>
        <v>0PremiumS5</v>
      </c>
      <c r="D271" s="8" t="str">
        <f t="shared" si="22"/>
        <v>0PremiumS5</v>
      </c>
      <c r="E271" s="11">
        <v>0</v>
      </c>
      <c r="F271" s="6">
        <v>249</v>
      </c>
      <c r="G271" s="8" t="str">
        <f>VLOOKUP(F271,[1]characters!$A:$C,3,FALSE)</f>
        <v>雷電の天使 ミカエル・ゲイナー</v>
      </c>
      <c r="H271" s="8" t="str">
        <f>VLOOKUP(F271,[1]characters!$A:$J,10,FALSE)</f>
        <v>PremiumS</v>
      </c>
      <c r="I271" s="8">
        <f>VLOOKUP(F271,[1]characters!$A:$I,9,FALSE)</f>
        <v>5</v>
      </c>
      <c r="J271" s="8" t="str">
        <f>VLOOKUP(F271,[1]characters!$A:$H,8,FALSE)</f>
        <v>yellow</v>
      </c>
      <c r="K271" s="8" t="str">
        <f>VLOOKUP(F271,[1]characters!$A:$K,11,FALSE)</f>
        <v>attack</v>
      </c>
      <c r="L271" s="8" t="str">
        <f>VLOOKUP(F271,[1]characters!$A:$M,13,FALSE)</f>
        <v>machine</v>
      </c>
      <c r="M271" s="5">
        <v>1</v>
      </c>
      <c r="N271" s="18">
        <f>VLOOKUP(D271,gacha_162_base!A:B,2,FALSE)</f>
        <v>1090</v>
      </c>
      <c r="O271" s="14">
        <v>0</v>
      </c>
      <c r="P271" s="14">
        <v>0</v>
      </c>
      <c r="Q271" s="14">
        <v>0</v>
      </c>
      <c r="R271" s="14">
        <v>0</v>
      </c>
      <c r="S271" s="14">
        <v>1</v>
      </c>
    </row>
    <row r="272" spans="1:19" ht="21" customHeight="1">
      <c r="A272" s="7" t="str">
        <f t="shared" si="23"/>
        <v>1620251</v>
      </c>
      <c r="B272" s="2" t="str">
        <f t="shared" si="24"/>
        <v>1620</v>
      </c>
      <c r="C272" s="8" t="str">
        <f t="shared" si="21"/>
        <v>0PremiumS4</v>
      </c>
      <c r="D272" s="8" t="str">
        <f t="shared" si="22"/>
        <v>0PremiumS4</v>
      </c>
      <c r="E272" s="11">
        <v>0</v>
      </c>
      <c r="F272" s="6">
        <v>251</v>
      </c>
      <c r="G272" s="8" t="str">
        <f>VLOOKUP(F272,[1]characters!$A:$C,3,FALSE)</f>
        <v>強欲 マンモン</v>
      </c>
      <c r="H272" s="8" t="str">
        <f>VLOOKUP(F272,[1]characters!$A:$J,10,FALSE)</f>
        <v>PremiumS</v>
      </c>
      <c r="I272" s="8">
        <f>VLOOKUP(F272,[1]characters!$A:$I,9,FALSE)</f>
        <v>4</v>
      </c>
      <c r="J272" s="8" t="str">
        <f>VLOOKUP(F272,[1]characters!$A:$H,8,FALSE)</f>
        <v>red</v>
      </c>
      <c r="K272" s="8" t="str">
        <f>VLOOKUP(F272,[1]characters!$A:$K,11,FALSE)</f>
        <v>balance</v>
      </c>
      <c r="L272" s="8" t="str">
        <f>VLOOKUP(F272,[1]characters!$A:$M,13,FALSE)</f>
        <v>god</v>
      </c>
      <c r="M272" s="5">
        <v>1</v>
      </c>
      <c r="N272" s="18">
        <f>VLOOKUP(D272,gacha_162_base!A:B,2,FALSE)</f>
        <v>17073</v>
      </c>
      <c r="O272" s="14">
        <v>0</v>
      </c>
      <c r="P272" s="14">
        <v>0</v>
      </c>
      <c r="Q272" s="14">
        <v>0</v>
      </c>
      <c r="R272" s="14">
        <v>0</v>
      </c>
      <c r="S272" s="14">
        <v>1</v>
      </c>
    </row>
    <row r="273" spans="1:19" ht="21" customHeight="1">
      <c r="A273" s="7" t="str">
        <f t="shared" si="23"/>
        <v>1620252</v>
      </c>
      <c r="B273" s="2" t="str">
        <f t="shared" si="24"/>
        <v>1620</v>
      </c>
      <c r="C273" s="8" t="str">
        <f t="shared" si="21"/>
        <v>0PremiumS5</v>
      </c>
      <c r="D273" s="8" t="str">
        <f t="shared" si="22"/>
        <v>0PremiumS5</v>
      </c>
      <c r="E273" s="11">
        <v>0</v>
      </c>
      <c r="F273" s="6">
        <v>252</v>
      </c>
      <c r="G273" s="8" t="str">
        <f>VLOOKUP(F273,[1]characters!$A:$C,3,FALSE)</f>
        <v>強欲の沸騰 マンモン</v>
      </c>
      <c r="H273" s="8" t="str">
        <f>VLOOKUP(F273,[1]characters!$A:$J,10,FALSE)</f>
        <v>PremiumS</v>
      </c>
      <c r="I273" s="8">
        <f>VLOOKUP(F273,[1]characters!$A:$I,9,FALSE)</f>
        <v>5</v>
      </c>
      <c r="J273" s="8" t="str">
        <f>VLOOKUP(F273,[1]characters!$A:$H,8,FALSE)</f>
        <v>red</v>
      </c>
      <c r="K273" s="8" t="str">
        <f>VLOOKUP(F273,[1]characters!$A:$K,11,FALSE)</f>
        <v>balance</v>
      </c>
      <c r="L273" s="8" t="str">
        <f>VLOOKUP(F273,[1]characters!$A:$M,13,FALSE)</f>
        <v>god</v>
      </c>
      <c r="M273" s="5">
        <v>1</v>
      </c>
      <c r="N273" s="18">
        <f>VLOOKUP(D273,gacha_162_base!A:B,2,FALSE)</f>
        <v>1090</v>
      </c>
      <c r="O273" s="14">
        <v>0</v>
      </c>
      <c r="P273" s="14">
        <v>0</v>
      </c>
      <c r="Q273" s="14">
        <v>0</v>
      </c>
      <c r="R273" s="14">
        <v>0</v>
      </c>
      <c r="S273" s="14">
        <v>1</v>
      </c>
    </row>
    <row r="274" spans="1:19" ht="21" customHeight="1">
      <c r="A274" s="7" t="str">
        <f t="shared" si="23"/>
        <v>1620254</v>
      </c>
      <c r="B274" s="2" t="str">
        <f t="shared" si="24"/>
        <v>1620</v>
      </c>
      <c r="C274" s="8" t="str">
        <f t="shared" ref="C274:C325" si="25">E274&amp;H274&amp;I274</f>
        <v>0PremiumS4</v>
      </c>
      <c r="D274" s="8" t="str">
        <f t="shared" si="22"/>
        <v>0PremiumS4</v>
      </c>
      <c r="E274" s="11">
        <v>0</v>
      </c>
      <c r="F274" s="6">
        <v>254</v>
      </c>
      <c r="G274" s="8" t="str">
        <f>VLOOKUP(F274,[1]characters!$A:$C,3,FALSE)</f>
        <v>怠惰 ベルフェゴール</v>
      </c>
      <c r="H274" s="8" t="str">
        <f>VLOOKUP(F274,[1]characters!$A:$J,10,FALSE)</f>
        <v>PremiumS</v>
      </c>
      <c r="I274" s="8">
        <f>VLOOKUP(F274,[1]characters!$A:$I,9,FALSE)</f>
        <v>4</v>
      </c>
      <c r="J274" s="8" t="str">
        <f>VLOOKUP(F274,[1]characters!$A:$H,8,FALSE)</f>
        <v>green</v>
      </c>
      <c r="K274" s="8" t="str">
        <f>VLOOKUP(F274,[1]characters!$A:$K,11,FALSE)</f>
        <v>technical</v>
      </c>
      <c r="L274" s="8" t="str">
        <f>VLOOKUP(F274,[1]characters!$A:$M,13,FALSE)</f>
        <v>god</v>
      </c>
      <c r="M274" s="5">
        <v>1</v>
      </c>
      <c r="N274" s="18">
        <f>VLOOKUP(D274,gacha_162_base!A:B,2,FALSE)</f>
        <v>17073</v>
      </c>
      <c r="O274" s="14">
        <v>0</v>
      </c>
      <c r="P274" s="14">
        <v>0</v>
      </c>
      <c r="Q274" s="14">
        <v>0</v>
      </c>
      <c r="R274" s="14">
        <v>0</v>
      </c>
      <c r="S274" s="14">
        <v>1</v>
      </c>
    </row>
    <row r="275" spans="1:19" ht="21" customHeight="1">
      <c r="A275" s="7" t="str">
        <f t="shared" si="23"/>
        <v>1620255</v>
      </c>
      <c r="B275" s="2" t="str">
        <f t="shared" si="24"/>
        <v>1620</v>
      </c>
      <c r="C275" s="8" t="str">
        <f t="shared" si="25"/>
        <v>0PremiumS5</v>
      </c>
      <c r="D275" s="8" t="str">
        <f t="shared" si="22"/>
        <v>0PremiumS5</v>
      </c>
      <c r="E275" s="11">
        <v>0</v>
      </c>
      <c r="F275" s="6">
        <v>255</v>
      </c>
      <c r="G275" s="8" t="str">
        <f>VLOOKUP(F275,[1]characters!$A:$C,3,FALSE)</f>
        <v>怠惰の頂点 ベルフェゴール</v>
      </c>
      <c r="H275" s="8" t="str">
        <f>VLOOKUP(F275,[1]characters!$A:$J,10,FALSE)</f>
        <v>PremiumS</v>
      </c>
      <c r="I275" s="8">
        <f>VLOOKUP(F275,[1]characters!$A:$I,9,FALSE)</f>
        <v>5</v>
      </c>
      <c r="J275" s="8" t="str">
        <f>VLOOKUP(F275,[1]characters!$A:$H,8,FALSE)</f>
        <v>green</v>
      </c>
      <c r="K275" s="8" t="str">
        <f>VLOOKUP(F275,[1]characters!$A:$K,11,FALSE)</f>
        <v>technical</v>
      </c>
      <c r="L275" s="8" t="str">
        <f>VLOOKUP(F275,[1]characters!$A:$M,13,FALSE)</f>
        <v>god</v>
      </c>
      <c r="M275" s="5">
        <v>1</v>
      </c>
      <c r="N275" s="18">
        <f>VLOOKUP(D275,gacha_162_base!A:B,2,FALSE)</f>
        <v>1090</v>
      </c>
      <c r="O275" s="14">
        <v>0</v>
      </c>
      <c r="P275" s="14">
        <v>0</v>
      </c>
      <c r="Q275" s="14">
        <v>0</v>
      </c>
      <c r="R275" s="14">
        <v>0</v>
      </c>
      <c r="S275" s="14">
        <v>1</v>
      </c>
    </row>
    <row r="276" spans="1:19" ht="21" customHeight="1">
      <c r="A276" s="7" t="str">
        <f t="shared" si="23"/>
        <v>1620257</v>
      </c>
      <c r="B276" s="2" t="str">
        <f t="shared" si="24"/>
        <v>1620</v>
      </c>
      <c r="C276" s="8" t="str">
        <f t="shared" si="25"/>
        <v>0PremiumS4</v>
      </c>
      <c r="D276" s="8" t="str">
        <f t="shared" si="22"/>
        <v>0PremiumS4</v>
      </c>
      <c r="E276" s="11">
        <v>0</v>
      </c>
      <c r="F276" s="6">
        <v>257</v>
      </c>
      <c r="G276" s="8" t="str">
        <f>VLOOKUP(F276,[1]characters!$A:$C,3,FALSE)</f>
        <v>色欲 アスモデウス</v>
      </c>
      <c r="H276" s="8" t="str">
        <f>VLOOKUP(F276,[1]characters!$A:$J,10,FALSE)</f>
        <v>PremiumS</v>
      </c>
      <c r="I276" s="8">
        <f>VLOOKUP(F276,[1]characters!$A:$I,9,FALSE)</f>
        <v>4</v>
      </c>
      <c r="J276" s="8" t="str">
        <f>VLOOKUP(F276,[1]characters!$A:$H,8,FALSE)</f>
        <v>blue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5">
        <v>1</v>
      </c>
      <c r="N276" s="18">
        <f>VLOOKUP(D276,gacha_162_base!A:B,2,FALSE)</f>
        <v>17073</v>
      </c>
      <c r="O276" s="14">
        <v>0</v>
      </c>
      <c r="P276" s="14">
        <v>0</v>
      </c>
      <c r="Q276" s="14">
        <v>0</v>
      </c>
      <c r="R276" s="14">
        <v>0</v>
      </c>
      <c r="S276" s="14">
        <v>1</v>
      </c>
    </row>
    <row r="277" spans="1:19" ht="21" customHeight="1">
      <c r="A277" s="7" t="str">
        <f t="shared" si="23"/>
        <v>1620258</v>
      </c>
      <c r="B277" s="2" t="str">
        <f t="shared" si="24"/>
        <v>1620</v>
      </c>
      <c r="C277" s="8" t="str">
        <f t="shared" si="25"/>
        <v>0PremiumS5</v>
      </c>
      <c r="D277" s="8" t="str">
        <f t="shared" si="22"/>
        <v>0PremiumS5</v>
      </c>
      <c r="E277" s="11">
        <v>0</v>
      </c>
      <c r="F277" s="6">
        <v>258</v>
      </c>
      <c r="G277" s="8" t="str">
        <f>VLOOKUP(F277,[1]characters!$A:$C,3,FALSE)</f>
        <v>色欲の源流 アスモデウス</v>
      </c>
      <c r="H277" s="8" t="str">
        <f>VLOOKUP(F277,[1]characters!$A:$J,10,FALSE)</f>
        <v>PremiumS</v>
      </c>
      <c r="I277" s="8">
        <f>VLOOKUP(F277,[1]characters!$A:$I,9,FALSE)</f>
        <v>5</v>
      </c>
      <c r="J277" s="8" t="str">
        <f>VLOOKUP(F277,[1]characters!$A:$H,8,FALSE)</f>
        <v>blue</v>
      </c>
      <c r="K277" s="8" t="str">
        <f>VLOOKUP(F277,[1]characters!$A:$K,11,FALSE)</f>
        <v>attack</v>
      </c>
      <c r="L277" s="8" t="str">
        <f>VLOOKUP(F277,[1]characters!$A:$M,13,FALSE)</f>
        <v>god</v>
      </c>
      <c r="M277" s="5">
        <v>1</v>
      </c>
      <c r="N277" s="18">
        <f>VLOOKUP(D277,gacha_162_base!A:B,2,FALSE)</f>
        <v>1090</v>
      </c>
      <c r="O277" s="14">
        <v>0</v>
      </c>
      <c r="P277" s="14">
        <v>0</v>
      </c>
      <c r="Q277" s="14">
        <v>0</v>
      </c>
      <c r="R277" s="14">
        <v>0</v>
      </c>
      <c r="S277" s="14">
        <v>1</v>
      </c>
    </row>
    <row r="278" spans="1:19" ht="21" customHeight="1">
      <c r="A278" s="7" t="str">
        <f t="shared" si="23"/>
        <v>1620260</v>
      </c>
      <c r="B278" s="2" t="str">
        <f t="shared" si="24"/>
        <v>1620</v>
      </c>
      <c r="C278" s="8" t="str">
        <f t="shared" si="25"/>
        <v>0PremiumS4</v>
      </c>
      <c r="D278" s="8" t="str">
        <f t="shared" si="22"/>
        <v>0PremiumS4</v>
      </c>
      <c r="E278" s="11">
        <v>0</v>
      </c>
      <c r="F278" s="10">
        <v>260</v>
      </c>
      <c r="G278" s="8" t="str">
        <f>VLOOKUP(F278,[1]characters!$A:$C,3,FALSE)</f>
        <v>輪廻 ウロボロス</v>
      </c>
      <c r="H278" s="8" t="str">
        <f>VLOOKUP(F278,[1]characters!$A:$J,10,FALSE)</f>
        <v>PremiumS</v>
      </c>
      <c r="I278" s="8">
        <f>VLOOKUP(F278,[1]characters!$A:$I,9,FALSE)</f>
        <v>4</v>
      </c>
      <c r="J278" s="8" t="str">
        <f>VLOOKUP(F278,[1]characters!$A:$H,8,FALSE)</f>
        <v>yellow</v>
      </c>
      <c r="K278" s="8" t="str">
        <f>VLOOKUP(F278,[1]characters!$A:$K,11,FALSE)</f>
        <v>balance</v>
      </c>
      <c r="L278" s="8" t="str">
        <f>VLOOKUP(F278,[1]characters!$A:$M,13,FALSE)</f>
        <v>dragon</v>
      </c>
      <c r="M278" s="5">
        <v>1</v>
      </c>
      <c r="N278" s="18">
        <f>VLOOKUP(D278,gacha_162_base!A:B,2,FALSE)</f>
        <v>17073</v>
      </c>
      <c r="O278" s="14">
        <v>0</v>
      </c>
      <c r="P278" s="14">
        <v>0</v>
      </c>
      <c r="Q278" s="14">
        <v>0</v>
      </c>
      <c r="R278" s="14">
        <v>0</v>
      </c>
      <c r="S278" s="14">
        <v>1</v>
      </c>
    </row>
    <row r="279" spans="1:19" ht="21" customHeight="1">
      <c r="A279" s="7" t="str">
        <f t="shared" si="23"/>
        <v>1620261</v>
      </c>
      <c r="B279" s="2" t="str">
        <f t="shared" si="24"/>
        <v>1620</v>
      </c>
      <c r="C279" s="8" t="str">
        <f t="shared" si="25"/>
        <v>0PremiumS5</v>
      </c>
      <c r="D279" s="8" t="str">
        <f t="shared" si="22"/>
        <v>0PremiumS5</v>
      </c>
      <c r="E279" s="11">
        <v>0</v>
      </c>
      <c r="F279" s="10">
        <v>261</v>
      </c>
      <c r="G279" s="8" t="str">
        <f>VLOOKUP(F279,[1]characters!$A:$C,3,FALSE)</f>
        <v>輪廻の蛇龍 ウロボロス</v>
      </c>
      <c r="H279" s="8" t="str">
        <f>VLOOKUP(F279,[1]characters!$A:$J,10,FALSE)</f>
        <v>PremiumS</v>
      </c>
      <c r="I279" s="8">
        <f>VLOOKUP(F279,[1]characters!$A:$I,9,FALSE)</f>
        <v>5</v>
      </c>
      <c r="J279" s="8" t="str">
        <f>VLOOKUP(F279,[1]characters!$A:$H,8,FALSE)</f>
        <v>yellow</v>
      </c>
      <c r="K279" s="8" t="str">
        <f>VLOOKUP(F279,[1]characters!$A:$K,11,FALSE)</f>
        <v>balance</v>
      </c>
      <c r="L279" s="8" t="str">
        <f>VLOOKUP(F279,[1]characters!$A:$M,13,FALSE)</f>
        <v>dragon</v>
      </c>
      <c r="M279" s="5">
        <v>1</v>
      </c>
      <c r="N279" s="18">
        <f>VLOOKUP(D279,gacha_162_base!A:B,2,FALSE)</f>
        <v>1090</v>
      </c>
      <c r="O279" s="14">
        <v>0</v>
      </c>
      <c r="P279" s="14">
        <v>0</v>
      </c>
      <c r="Q279" s="14">
        <v>0</v>
      </c>
      <c r="R279" s="14">
        <v>0</v>
      </c>
      <c r="S279" s="14">
        <v>1</v>
      </c>
    </row>
    <row r="280" spans="1:19" ht="21" customHeight="1">
      <c r="A280" s="7" t="str">
        <f t="shared" si="23"/>
        <v>1620320</v>
      </c>
      <c r="B280" s="2" t="str">
        <f t="shared" si="24"/>
        <v>1620</v>
      </c>
      <c r="C280" s="8" t="str">
        <f t="shared" si="25"/>
        <v>0PremiumSS4</v>
      </c>
      <c r="D280" s="8" t="str">
        <f t="shared" si="22"/>
        <v>0PremiumSS4</v>
      </c>
      <c r="E280" s="11">
        <v>0</v>
      </c>
      <c r="F280" s="6">
        <v>320</v>
      </c>
      <c r="G280" s="8" t="str">
        <f>VLOOKUP(F280,[1]characters!$A:$C,3,FALSE)</f>
        <v>烈志士 近藤勇</v>
      </c>
      <c r="H280" s="8" t="str">
        <f>VLOOKUP(F280,[1]characters!$A:$J,10,FALSE)</f>
        <v>PremiumSS</v>
      </c>
      <c r="I280" s="8">
        <f>VLOOKUP(F280,[1]characters!$A:$I,9,FALSE)</f>
        <v>4</v>
      </c>
      <c r="J280" s="8" t="str">
        <f>VLOOKUP(F280,[1]characters!$A:$H,8,FALSE)</f>
        <v>red</v>
      </c>
      <c r="K280" s="8" t="str">
        <f>VLOOKUP(F280,[1]characters!$A:$K,11,FALSE)</f>
        <v>hp</v>
      </c>
      <c r="L280" s="8" t="str">
        <f>VLOOKUP(F280,[1]characters!$A:$M,13,FALSE)</f>
        <v>human</v>
      </c>
      <c r="M280" s="5">
        <v>1</v>
      </c>
      <c r="N280" s="18">
        <f>VLOOKUP(D280,gacha_162_base!A:B,2,FALSE)</f>
        <v>783</v>
      </c>
      <c r="O280" s="14">
        <v>0</v>
      </c>
      <c r="P280" s="14">
        <v>0</v>
      </c>
      <c r="Q280" s="14">
        <v>0</v>
      </c>
      <c r="R280" s="14">
        <v>0</v>
      </c>
      <c r="S280" s="14">
        <v>1</v>
      </c>
    </row>
    <row r="281" spans="1:19" ht="21" customHeight="1">
      <c r="A281" s="7" t="str">
        <f t="shared" si="23"/>
        <v>1620321</v>
      </c>
      <c r="B281" s="2" t="str">
        <f t="shared" si="24"/>
        <v>1620</v>
      </c>
      <c r="C281" s="8" t="str">
        <f t="shared" si="25"/>
        <v>0PremiumSS5</v>
      </c>
      <c r="D281" s="8" t="str">
        <f t="shared" si="22"/>
        <v>0PremiumSS5</v>
      </c>
      <c r="E281" s="11">
        <v>0</v>
      </c>
      <c r="F281" s="6">
        <v>321</v>
      </c>
      <c r="G281" s="8" t="str">
        <f>VLOOKUP(F281,[1]characters!$A:$C,3,FALSE)</f>
        <v>巌鉄の烈志士 近藤勇</v>
      </c>
      <c r="H281" s="8" t="str">
        <f>VLOOKUP(F281,[1]characters!$A:$J,10,FALSE)</f>
        <v>PremiumSS</v>
      </c>
      <c r="I281" s="8">
        <f>VLOOKUP(F281,[1]characters!$A:$I,9,FALSE)</f>
        <v>5</v>
      </c>
      <c r="J281" s="8" t="str">
        <f>VLOOKUP(F281,[1]characters!$A:$H,8,FALSE)</f>
        <v>red</v>
      </c>
      <c r="K281" s="8" t="str">
        <f>VLOOKUP(F281,[1]characters!$A:$K,11,FALSE)</f>
        <v>hp</v>
      </c>
      <c r="L281" s="8" t="str">
        <f>VLOOKUP(F281,[1]characters!$A:$M,13,FALSE)</f>
        <v>human</v>
      </c>
      <c r="M281" s="5">
        <v>1</v>
      </c>
      <c r="N281" s="18">
        <f>VLOOKUP(D281,gacha_162_base!A:B,2,FALSE)</f>
        <v>50</v>
      </c>
      <c r="O281" s="14">
        <v>0</v>
      </c>
      <c r="P281" s="14">
        <v>0</v>
      </c>
      <c r="Q281" s="14">
        <v>0</v>
      </c>
      <c r="R281" s="14">
        <v>0</v>
      </c>
      <c r="S281" s="14">
        <v>1</v>
      </c>
    </row>
    <row r="282" spans="1:19" ht="21" customHeight="1">
      <c r="A282" s="7" t="str">
        <f t="shared" si="23"/>
        <v>1620322</v>
      </c>
      <c r="B282" s="2" t="str">
        <f t="shared" si="24"/>
        <v>1620</v>
      </c>
      <c r="C282" s="8" t="str">
        <f t="shared" si="25"/>
        <v>0PremiumSS4</v>
      </c>
      <c r="D282" s="8" t="str">
        <f t="shared" si="22"/>
        <v>0PremiumSS4</v>
      </c>
      <c r="E282" s="11">
        <v>0</v>
      </c>
      <c r="F282" s="13">
        <v>322</v>
      </c>
      <c r="G282" s="8" t="str">
        <f>VLOOKUP(F282,[1]characters!$A:$C,3,FALSE)</f>
        <v>愛志士 土方歳三</v>
      </c>
      <c r="H282" s="8" t="str">
        <f>VLOOKUP(F282,[1]characters!$A:$J,10,FALSE)</f>
        <v>PremiumSS</v>
      </c>
      <c r="I282" s="8">
        <f>VLOOKUP(F282,[1]characters!$A:$I,9,FALSE)</f>
        <v>4</v>
      </c>
      <c r="J282" s="8" t="str">
        <f>VLOOKUP(F282,[1]characters!$A:$H,8,FALSE)</f>
        <v>green</v>
      </c>
      <c r="K282" s="8" t="str">
        <f>VLOOKUP(F282,[1]characters!$A:$K,11,FALSE)</f>
        <v>attack</v>
      </c>
      <c r="L282" s="8" t="str">
        <f>VLOOKUP(F282,[1]characters!$A:$M,13,FALSE)</f>
        <v>human</v>
      </c>
      <c r="M282" s="5">
        <v>1</v>
      </c>
      <c r="N282" s="18">
        <f>VLOOKUP(D282,gacha_162_base!A:B,2,FALSE)</f>
        <v>783</v>
      </c>
      <c r="O282" s="14">
        <v>0</v>
      </c>
      <c r="P282" s="14">
        <v>0</v>
      </c>
      <c r="Q282" s="14">
        <v>0</v>
      </c>
      <c r="R282" s="14">
        <v>0</v>
      </c>
      <c r="S282" s="14">
        <v>1</v>
      </c>
    </row>
    <row r="283" spans="1:19" ht="21" customHeight="1">
      <c r="A283" s="7" t="str">
        <f t="shared" si="23"/>
        <v>1620323</v>
      </c>
      <c r="B283" s="2" t="str">
        <f t="shared" si="24"/>
        <v>1620</v>
      </c>
      <c r="C283" s="8" t="str">
        <f t="shared" si="25"/>
        <v>0PremiumSS5</v>
      </c>
      <c r="D283" s="8" t="str">
        <f t="shared" si="22"/>
        <v>0PremiumSS5</v>
      </c>
      <c r="E283" s="11">
        <v>0</v>
      </c>
      <c r="F283" s="15">
        <v>323</v>
      </c>
      <c r="G283" s="8" t="str">
        <f>VLOOKUP(F283,[1]characters!$A:$C,3,FALSE)</f>
        <v>流麗の愛志士 土方歳三</v>
      </c>
      <c r="H283" s="8" t="str">
        <f>VLOOKUP(F283,[1]characters!$A:$J,10,FALSE)</f>
        <v>PremiumSS</v>
      </c>
      <c r="I283" s="8">
        <f>VLOOKUP(F283,[1]characters!$A:$I,9,FALSE)</f>
        <v>5</v>
      </c>
      <c r="J283" s="8" t="str">
        <f>VLOOKUP(F283,[1]characters!$A:$H,8,FALSE)</f>
        <v>green</v>
      </c>
      <c r="K283" s="8" t="str">
        <f>VLOOKUP(F283,[1]characters!$A:$K,11,FALSE)</f>
        <v>attack</v>
      </c>
      <c r="L283" s="8" t="str">
        <f>VLOOKUP(F283,[1]characters!$A:$M,13,FALSE)</f>
        <v>human</v>
      </c>
      <c r="M283" s="5">
        <v>1</v>
      </c>
      <c r="N283" s="18">
        <f>VLOOKUP(D283,gacha_162_base!A:B,2,FALSE)</f>
        <v>50</v>
      </c>
      <c r="O283" s="14">
        <v>0</v>
      </c>
      <c r="P283" s="14">
        <v>0</v>
      </c>
      <c r="Q283" s="14">
        <v>0</v>
      </c>
      <c r="R283" s="14">
        <v>0</v>
      </c>
      <c r="S283" s="14">
        <v>1</v>
      </c>
    </row>
    <row r="284" spans="1:19" ht="21" customHeight="1">
      <c r="A284" s="7" t="str">
        <f t="shared" si="23"/>
        <v>1620324</v>
      </c>
      <c r="B284" s="2" t="str">
        <f t="shared" si="24"/>
        <v>1620</v>
      </c>
      <c r="C284" s="8" t="str">
        <f t="shared" si="25"/>
        <v>0PremiumSS4</v>
      </c>
      <c r="D284" s="8" t="str">
        <f t="shared" si="22"/>
        <v>0PremiumSS4</v>
      </c>
      <c r="E284" s="11">
        <v>0</v>
      </c>
      <c r="F284" s="6">
        <v>324</v>
      </c>
      <c r="G284" s="8" t="str">
        <f>VLOOKUP(F284,[1]characters!$A:$C,3,FALSE)</f>
        <v>凛志士 沖田総司</v>
      </c>
      <c r="H284" s="8" t="str">
        <f>VLOOKUP(F284,[1]characters!$A:$J,10,FALSE)</f>
        <v>PremiumSS</v>
      </c>
      <c r="I284" s="8">
        <f>VLOOKUP(F284,[1]characters!$A:$I,9,FALSE)</f>
        <v>4</v>
      </c>
      <c r="J284" s="8" t="str">
        <f>VLOOKUP(F284,[1]characters!$A:$H,8,FALSE)</f>
        <v>blue</v>
      </c>
      <c r="K284" s="8" t="str">
        <f>VLOOKUP(F284,[1]characters!$A:$K,11,FALSE)</f>
        <v>balance</v>
      </c>
      <c r="L284" s="8" t="str">
        <f>VLOOKUP(F284,[1]characters!$A:$M,13,FALSE)</f>
        <v>human</v>
      </c>
      <c r="M284" s="5">
        <v>1</v>
      </c>
      <c r="N284" s="18">
        <f>VLOOKUP(D284,gacha_162_base!A:B,2,FALSE)</f>
        <v>783</v>
      </c>
      <c r="O284" s="14">
        <v>0</v>
      </c>
      <c r="P284" s="14">
        <v>0</v>
      </c>
      <c r="Q284" s="14">
        <v>0</v>
      </c>
      <c r="R284" s="14">
        <v>0</v>
      </c>
      <c r="S284" s="14">
        <v>1</v>
      </c>
    </row>
    <row r="285" spans="1:19" ht="21" customHeight="1">
      <c r="A285" s="7" t="str">
        <f t="shared" si="23"/>
        <v>1620325</v>
      </c>
      <c r="B285" s="2" t="str">
        <f t="shared" si="24"/>
        <v>1620</v>
      </c>
      <c r="C285" s="8" t="str">
        <f t="shared" si="25"/>
        <v>0PremiumSS5</v>
      </c>
      <c r="D285" s="8" t="str">
        <f t="shared" si="22"/>
        <v>0PremiumSS5</v>
      </c>
      <c r="E285" s="11">
        <v>0</v>
      </c>
      <c r="F285" s="6">
        <v>325</v>
      </c>
      <c r="G285" s="8" t="str">
        <f>VLOOKUP(F285,[1]characters!$A:$C,3,FALSE)</f>
        <v>天賦の凛志士 沖田総司</v>
      </c>
      <c r="H285" s="8" t="str">
        <f>VLOOKUP(F285,[1]characters!$A:$J,10,FALSE)</f>
        <v>PremiumSS</v>
      </c>
      <c r="I285" s="8">
        <f>VLOOKUP(F285,[1]characters!$A:$I,9,FALSE)</f>
        <v>5</v>
      </c>
      <c r="J285" s="8" t="str">
        <f>VLOOKUP(F285,[1]characters!$A:$H,8,FALSE)</f>
        <v>blue</v>
      </c>
      <c r="K285" s="8" t="str">
        <f>VLOOKUP(F285,[1]characters!$A:$K,11,FALSE)</f>
        <v>balance</v>
      </c>
      <c r="L285" s="8" t="str">
        <f>VLOOKUP(F285,[1]characters!$A:$M,13,FALSE)</f>
        <v>human</v>
      </c>
      <c r="M285" s="5">
        <v>1</v>
      </c>
      <c r="N285" s="18">
        <f>VLOOKUP(D285,gacha_162_base!A:B,2,FALSE)</f>
        <v>50</v>
      </c>
      <c r="O285" s="14">
        <v>0</v>
      </c>
      <c r="P285" s="14">
        <v>0</v>
      </c>
      <c r="Q285" s="14">
        <v>0</v>
      </c>
      <c r="R285" s="14">
        <v>0</v>
      </c>
      <c r="S285" s="14">
        <v>1</v>
      </c>
    </row>
    <row r="286" spans="1:19" ht="21" customHeight="1">
      <c r="A286" s="7" t="str">
        <f t="shared" si="23"/>
        <v>1620326</v>
      </c>
      <c r="B286" s="2" t="str">
        <f t="shared" si="24"/>
        <v>1620</v>
      </c>
      <c r="C286" s="8" t="str">
        <f t="shared" si="25"/>
        <v>0PremiumSS4</v>
      </c>
      <c r="D286" s="8" t="str">
        <f t="shared" si="22"/>
        <v>0PremiumSS4</v>
      </c>
      <c r="E286" s="11">
        <v>0</v>
      </c>
      <c r="F286" s="13">
        <v>326</v>
      </c>
      <c r="G286" s="8" t="str">
        <f>VLOOKUP(F286,[1]characters!$A:$C,3,FALSE)</f>
        <v>妖志士 斎藤一</v>
      </c>
      <c r="H286" s="8" t="str">
        <f>VLOOKUP(F286,[1]characters!$A:$J,10,FALSE)</f>
        <v>PremiumSS</v>
      </c>
      <c r="I286" s="8">
        <f>VLOOKUP(F286,[1]characters!$A:$I,9,FALSE)</f>
        <v>4</v>
      </c>
      <c r="J286" s="8" t="str">
        <f>VLOOKUP(F286,[1]characters!$A:$H,8,FALSE)</f>
        <v>yellow</v>
      </c>
      <c r="K286" s="8" t="str">
        <f>VLOOKUP(F286,[1]characters!$A:$K,11,FALSE)</f>
        <v>technical</v>
      </c>
      <c r="L286" s="8" t="str">
        <f>VLOOKUP(F286,[1]characters!$A:$M,13,FALSE)</f>
        <v>human</v>
      </c>
      <c r="M286" s="5">
        <v>1</v>
      </c>
      <c r="N286" s="18">
        <f>VLOOKUP(D286,gacha_162_base!A:B,2,FALSE)</f>
        <v>783</v>
      </c>
      <c r="O286" s="14">
        <v>0</v>
      </c>
      <c r="P286" s="14">
        <v>0</v>
      </c>
      <c r="Q286" s="14">
        <v>0</v>
      </c>
      <c r="R286" s="14">
        <v>0</v>
      </c>
      <c r="S286" s="14">
        <v>1</v>
      </c>
    </row>
    <row r="287" spans="1:19" ht="21" customHeight="1">
      <c r="A287" s="7" t="str">
        <f t="shared" si="23"/>
        <v>1620327</v>
      </c>
      <c r="B287" s="2" t="str">
        <f t="shared" si="24"/>
        <v>1620</v>
      </c>
      <c r="C287" s="8" t="str">
        <f t="shared" si="25"/>
        <v>0PremiumSS5</v>
      </c>
      <c r="D287" s="8" t="str">
        <f t="shared" si="22"/>
        <v>0PremiumSS5</v>
      </c>
      <c r="E287" s="11">
        <v>0</v>
      </c>
      <c r="F287" s="6">
        <v>327</v>
      </c>
      <c r="G287" s="8" t="str">
        <f>VLOOKUP(F287,[1]characters!$A:$C,3,FALSE)</f>
        <v>千殺の妖志士 斎藤一</v>
      </c>
      <c r="H287" s="8" t="str">
        <f>VLOOKUP(F287,[1]characters!$A:$J,10,FALSE)</f>
        <v>PremiumSS</v>
      </c>
      <c r="I287" s="8">
        <f>VLOOKUP(F287,[1]characters!$A:$I,9,FALSE)</f>
        <v>5</v>
      </c>
      <c r="J287" s="8" t="str">
        <f>VLOOKUP(F287,[1]characters!$A:$H,8,FALSE)</f>
        <v>yellow</v>
      </c>
      <c r="K287" s="8" t="str">
        <f>VLOOKUP(F287,[1]characters!$A:$K,11,FALSE)</f>
        <v>technical</v>
      </c>
      <c r="L287" s="8" t="str">
        <f>VLOOKUP(F287,[1]characters!$A:$M,13,FALSE)</f>
        <v>human</v>
      </c>
      <c r="M287" s="5">
        <v>1</v>
      </c>
      <c r="N287" s="18">
        <f>VLOOKUP(D287,gacha_162_base!A:B,2,FALSE)</f>
        <v>50</v>
      </c>
      <c r="O287" s="14">
        <v>0</v>
      </c>
      <c r="P287" s="14">
        <v>0</v>
      </c>
      <c r="Q287" s="14">
        <v>0</v>
      </c>
      <c r="R287" s="14">
        <v>0</v>
      </c>
      <c r="S287" s="14">
        <v>1</v>
      </c>
    </row>
    <row r="288" spans="1:19" ht="21" customHeight="1">
      <c r="A288" s="7" t="str">
        <f t="shared" si="23"/>
        <v>1620381</v>
      </c>
      <c r="B288" s="2" t="str">
        <f t="shared" si="24"/>
        <v>1620</v>
      </c>
      <c r="C288" s="8" t="str">
        <f t="shared" si="25"/>
        <v>0PremiumS4</v>
      </c>
      <c r="D288" s="8" t="str">
        <f t="shared" si="22"/>
        <v>0PremiumS4</v>
      </c>
      <c r="E288" s="11">
        <v>0</v>
      </c>
      <c r="F288" s="6">
        <v>381</v>
      </c>
      <c r="G288" s="8" t="str">
        <f>VLOOKUP(F288,[1]characters!$A:$C,3,FALSE)</f>
        <v>肉食の恋火 バハムート</v>
      </c>
      <c r="H288" s="8" t="str">
        <f>VLOOKUP(F288,[1]characters!$A:$J,10,FALSE)</f>
        <v>PremiumS</v>
      </c>
      <c r="I288" s="8">
        <f>VLOOKUP(F288,[1]characters!$A:$I,9,FALSE)</f>
        <v>4</v>
      </c>
      <c r="J288" s="8" t="str">
        <f>VLOOKUP(F288,[1]characters!$A:$H,8,FALSE)</f>
        <v>red</v>
      </c>
      <c r="K288" s="8" t="str">
        <f>VLOOKUP(F288,[1]characters!$A:$K,11,FALSE)</f>
        <v>technical</v>
      </c>
      <c r="L288" s="8" t="str">
        <f>VLOOKUP(F288,[1]characters!$A:$M,13,FALSE)</f>
        <v>dragon</v>
      </c>
      <c r="M288" s="5">
        <v>1</v>
      </c>
      <c r="N288" s="18">
        <f>VLOOKUP(D288,gacha_162_base!A:B,2,FALSE)</f>
        <v>17073</v>
      </c>
      <c r="O288" s="14">
        <v>0</v>
      </c>
      <c r="P288" s="14">
        <v>0</v>
      </c>
      <c r="Q288" s="14">
        <v>0</v>
      </c>
      <c r="R288" s="14">
        <v>0</v>
      </c>
      <c r="S288" s="14">
        <v>1</v>
      </c>
    </row>
    <row r="289" spans="1:19" ht="21" customHeight="1">
      <c r="A289" s="7" t="str">
        <f t="shared" si="23"/>
        <v>1620382</v>
      </c>
      <c r="B289" s="2" t="str">
        <f t="shared" si="24"/>
        <v>1620</v>
      </c>
      <c r="C289" s="8" t="str">
        <f t="shared" si="25"/>
        <v>0PremiumS5</v>
      </c>
      <c r="D289" s="8" t="str">
        <f t="shared" si="22"/>
        <v>0PremiumS5</v>
      </c>
      <c r="E289" s="11">
        <v>0</v>
      </c>
      <c r="F289" s="6">
        <v>382</v>
      </c>
      <c r="G289" s="8" t="str">
        <f>VLOOKUP(F289,[1]characters!$A:$C,3,FALSE)</f>
        <v>激情の愛炎 バハムート</v>
      </c>
      <c r="H289" s="8" t="str">
        <f>VLOOKUP(F289,[1]characters!$A:$J,10,FALSE)</f>
        <v>PremiumS</v>
      </c>
      <c r="I289" s="8">
        <f>VLOOKUP(F289,[1]characters!$A:$I,9,FALSE)</f>
        <v>5</v>
      </c>
      <c r="J289" s="8" t="str">
        <f>VLOOKUP(F289,[1]characters!$A:$H,8,FALSE)</f>
        <v>red</v>
      </c>
      <c r="K289" s="8" t="str">
        <f>VLOOKUP(F289,[1]characters!$A:$K,11,FALSE)</f>
        <v>technical</v>
      </c>
      <c r="L289" s="8" t="str">
        <f>VLOOKUP(F289,[1]characters!$A:$M,13,FALSE)</f>
        <v>dragon</v>
      </c>
      <c r="M289" s="5">
        <v>1</v>
      </c>
      <c r="N289" s="18">
        <f>VLOOKUP(D289,gacha_162_base!A:B,2,FALSE)</f>
        <v>1090</v>
      </c>
      <c r="O289" s="14">
        <v>0</v>
      </c>
      <c r="P289" s="14">
        <v>0</v>
      </c>
      <c r="Q289" s="14">
        <v>0</v>
      </c>
      <c r="R289" s="14">
        <v>0</v>
      </c>
      <c r="S289" s="14">
        <v>1</v>
      </c>
    </row>
    <row r="290" spans="1:19" ht="21" customHeight="1">
      <c r="A290" s="7" t="str">
        <f t="shared" si="23"/>
        <v>1620383</v>
      </c>
      <c r="B290" s="2" t="str">
        <f t="shared" si="24"/>
        <v>1620</v>
      </c>
      <c r="C290" s="8" t="str">
        <f t="shared" si="25"/>
        <v>0PremiumSS4</v>
      </c>
      <c r="D290" s="8" t="str">
        <f t="shared" si="22"/>
        <v>0PremiumSS4</v>
      </c>
      <c r="E290" s="11">
        <v>0</v>
      </c>
      <c r="F290" s="6">
        <v>383</v>
      </c>
      <c r="G290" s="8" t="str">
        <f>VLOOKUP(F290,[1]characters!$A:$C,3,FALSE)</f>
        <v>酒宴の蟒蛇 ヤマタノオロチ</v>
      </c>
      <c r="H290" s="8" t="str">
        <f>VLOOKUP(F290,[1]characters!$A:$J,10,FALSE)</f>
        <v>PremiumSS</v>
      </c>
      <c r="I290" s="8">
        <f>VLOOKUP(F290,[1]characters!$A:$I,9,FALSE)</f>
        <v>4</v>
      </c>
      <c r="J290" s="8" t="str">
        <f>VLOOKUP(F290,[1]characters!$A:$H,8,FALSE)</f>
        <v>green</v>
      </c>
      <c r="K290" s="8" t="str">
        <f>VLOOKUP(F290,[1]characters!$A:$K,11,FALSE)</f>
        <v>hp</v>
      </c>
      <c r="L290" s="8" t="str">
        <f>VLOOKUP(F290,[1]characters!$A:$M,13,FALSE)</f>
        <v>dragon</v>
      </c>
      <c r="M290" s="5">
        <v>1</v>
      </c>
      <c r="N290" s="18">
        <f>VLOOKUP(D290,gacha_162_base!A:B,2,FALSE)</f>
        <v>783</v>
      </c>
      <c r="O290" s="14">
        <v>0</v>
      </c>
      <c r="P290" s="14">
        <v>0</v>
      </c>
      <c r="Q290" s="14">
        <v>0</v>
      </c>
      <c r="R290" s="14">
        <v>0</v>
      </c>
      <c r="S290" s="14">
        <v>1</v>
      </c>
    </row>
    <row r="291" spans="1:19" ht="21" customHeight="1">
      <c r="A291" s="7" t="str">
        <f t="shared" si="23"/>
        <v>1620384</v>
      </c>
      <c r="B291" s="2" t="str">
        <f t="shared" si="24"/>
        <v>1620</v>
      </c>
      <c r="C291" s="8" t="str">
        <f t="shared" si="25"/>
        <v>0PremiumSS5</v>
      </c>
      <c r="D291" s="8" t="str">
        <f t="shared" si="22"/>
        <v>0PremiumSS5</v>
      </c>
      <c r="E291" s="11">
        <v>0</v>
      </c>
      <c r="F291" s="6">
        <v>384</v>
      </c>
      <c r="G291" s="8" t="str">
        <f>VLOOKUP(F291,[1]characters!$A:$C,3,FALSE)</f>
        <v>破国の呑龍 ヤマタノオロチ</v>
      </c>
      <c r="H291" s="8" t="str">
        <f>VLOOKUP(F291,[1]characters!$A:$J,10,FALSE)</f>
        <v>PremiumSS</v>
      </c>
      <c r="I291" s="8">
        <f>VLOOKUP(F291,[1]characters!$A:$I,9,FALSE)</f>
        <v>5</v>
      </c>
      <c r="J291" s="8" t="str">
        <f>VLOOKUP(F291,[1]characters!$A:$H,8,FALSE)</f>
        <v>green</v>
      </c>
      <c r="K291" s="8" t="str">
        <f>VLOOKUP(F291,[1]characters!$A:$K,11,FALSE)</f>
        <v>hp</v>
      </c>
      <c r="L291" s="8" t="str">
        <f>VLOOKUP(F291,[1]characters!$A:$M,13,FALSE)</f>
        <v>dragon</v>
      </c>
      <c r="M291" s="5">
        <v>1</v>
      </c>
      <c r="N291" s="18">
        <f>VLOOKUP(D291,gacha_162_base!A:B,2,FALSE)</f>
        <v>50</v>
      </c>
      <c r="O291" s="14">
        <v>0</v>
      </c>
      <c r="P291" s="14">
        <v>0</v>
      </c>
      <c r="Q291" s="14">
        <v>0</v>
      </c>
      <c r="R291" s="14">
        <v>0</v>
      </c>
      <c r="S291" s="14">
        <v>1</v>
      </c>
    </row>
    <row r="292" spans="1:19" ht="21" customHeight="1">
      <c r="A292" s="7" t="str">
        <f t="shared" si="23"/>
        <v>1620385</v>
      </c>
      <c r="B292" s="2" t="str">
        <f t="shared" si="24"/>
        <v>1620</v>
      </c>
      <c r="C292" s="8" t="str">
        <f t="shared" si="25"/>
        <v>0PremiumSS4</v>
      </c>
      <c r="D292" s="8" t="str">
        <f t="shared" si="22"/>
        <v>0PremiumSS4</v>
      </c>
      <c r="E292" s="11">
        <v>0</v>
      </c>
      <c r="F292" s="6">
        <v>385</v>
      </c>
      <c r="G292" s="8" t="str">
        <f>VLOOKUP(F292,[1]characters!$A:$C,3,FALSE)</f>
        <v>波烈の出奔 リヴァイアサン</v>
      </c>
      <c r="H292" s="8" t="str">
        <f>VLOOKUP(F292,[1]characters!$A:$J,10,FALSE)</f>
        <v>PremiumSS</v>
      </c>
      <c r="I292" s="8">
        <f>VLOOKUP(F292,[1]characters!$A:$I,9,FALSE)</f>
        <v>4</v>
      </c>
      <c r="J292" s="8" t="str">
        <f>VLOOKUP(F292,[1]characters!$A:$H,8,FALSE)</f>
        <v>blue</v>
      </c>
      <c r="K292" s="8" t="str">
        <f>VLOOKUP(F292,[1]characters!$A:$K,11,FALSE)</f>
        <v>balance</v>
      </c>
      <c r="L292" s="8" t="str">
        <f>VLOOKUP(F292,[1]characters!$A:$M,13,FALSE)</f>
        <v>dragon</v>
      </c>
      <c r="M292" s="5">
        <v>1</v>
      </c>
      <c r="N292" s="18">
        <f>VLOOKUP(D292,gacha_162_base!A:B,2,FALSE)</f>
        <v>783</v>
      </c>
      <c r="O292" s="14">
        <v>0</v>
      </c>
      <c r="P292" s="14">
        <v>0</v>
      </c>
      <c r="Q292" s="14">
        <v>0</v>
      </c>
      <c r="R292" s="14">
        <v>0</v>
      </c>
      <c r="S292" s="14">
        <v>1</v>
      </c>
    </row>
    <row r="293" spans="1:19" ht="21" customHeight="1">
      <c r="A293" s="7" t="str">
        <f t="shared" si="23"/>
        <v>1620386</v>
      </c>
      <c r="B293" s="2" t="str">
        <f t="shared" si="24"/>
        <v>1620</v>
      </c>
      <c r="C293" s="8" t="str">
        <f t="shared" si="25"/>
        <v>0PremiumSS5</v>
      </c>
      <c r="D293" s="8" t="str">
        <f>E293&amp;H293&amp;I293</f>
        <v>0PremiumSS5</v>
      </c>
      <c r="E293" s="11">
        <v>0</v>
      </c>
      <c r="F293" s="6">
        <v>386</v>
      </c>
      <c r="G293" s="8" t="str">
        <f>VLOOKUP(F293,[1]characters!$A:$C,3,FALSE)</f>
        <v>氾乱の海龍 リヴァイアサン</v>
      </c>
      <c r="H293" s="8" t="str">
        <f>VLOOKUP(F293,[1]characters!$A:$J,10,FALSE)</f>
        <v>PremiumSS</v>
      </c>
      <c r="I293" s="8">
        <f>VLOOKUP(F293,[1]characters!$A:$I,9,FALSE)</f>
        <v>5</v>
      </c>
      <c r="J293" s="8" t="str">
        <f>VLOOKUP(F293,[1]characters!$A:$H,8,FALSE)</f>
        <v>blue</v>
      </c>
      <c r="K293" s="8" t="str">
        <f>VLOOKUP(F293,[1]characters!$A:$K,11,FALSE)</f>
        <v>balance</v>
      </c>
      <c r="L293" s="8" t="str">
        <f>VLOOKUP(F293,[1]characters!$A:$M,13,FALSE)</f>
        <v>dragon</v>
      </c>
      <c r="M293" s="5">
        <v>1</v>
      </c>
      <c r="N293" s="18">
        <f>VLOOKUP(D293,gacha_162_base!A:B,2,FALSE)</f>
        <v>50</v>
      </c>
      <c r="O293" s="14">
        <v>0</v>
      </c>
      <c r="P293" s="14">
        <v>0</v>
      </c>
      <c r="Q293" s="14">
        <v>0</v>
      </c>
      <c r="R293" s="14">
        <v>0</v>
      </c>
      <c r="S293" s="14">
        <v>1</v>
      </c>
    </row>
    <row r="294" spans="1:19" ht="21" customHeight="1">
      <c r="A294" s="7" t="str">
        <f t="shared" si="23"/>
        <v>1620388</v>
      </c>
      <c r="B294" s="2" t="str">
        <f t="shared" si="24"/>
        <v>1620</v>
      </c>
      <c r="C294" s="8" t="str">
        <f t="shared" si="25"/>
        <v>0PremiumS4</v>
      </c>
      <c r="D294" s="8" t="str">
        <f t="shared" si="22"/>
        <v>0PremiumS4</v>
      </c>
      <c r="E294" s="11">
        <v>0</v>
      </c>
      <c r="F294" s="6">
        <v>388</v>
      </c>
      <c r="G294" s="8" t="str">
        <f>VLOOKUP(F294,[1]characters!$A:$C,3,FALSE)</f>
        <v>神円の恋姫 スフィンクス</v>
      </c>
      <c r="H294" s="8" t="str">
        <f>VLOOKUP(F294,[1]characters!$A:$J,10,FALSE)</f>
        <v>PremiumS</v>
      </c>
      <c r="I294" s="8">
        <f>VLOOKUP(F294,[1]characters!$A:$I,9,FALSE)</f>
        <v>4</v>
      </c>
      <c r="J294" s="8" t="str">
        <f>VLOOKUP(F294,[1]characters!$A:$H,8,FALSE)</f>
        <v>yellow</v>
      </c>
      <c r="K294" s="8" t="str">
        <f>VLOOKUP(F294,[1]characters!$A:$K,11,FALSE)</f>
        <v>heal</v>
      </c>
      <c r="L294" s="8" t="str">
        <f>VLOOKUP(F294,[1]characters!$A:$M,13,FALSE)</f>
        <v>animal</v>
      </c>
      <c r="M294" s="5">
        <v>1</v>
      </c>
      <c r="N294" s="18">
        <f>VLOOKUP(D294,gacha_162_base!A:B,2,FALSE)</f>
        <v>17073</v>
      </c>
      <c r="O294" s="14">
        <v>0</v>
      </c>
      <c r="P294" s="14">
        <v>0</v>
      </c>
      <c r="Q294" s="14">
        <v>0</v>
      </c>
      <c r="R294" s="14">
        <v>0</v>
      </c>
      <c r="S294" s="14">
        <v>1</v>
      </c>
    </row>
    <row r="295" spans="1:19" ht="21" customHeight="1">
      <c r="A295" s="7" t="str">
        <f t="shared" si="23"/>
        <v>1620389</v>
      </c>
      <c r="B295" s="2" t="str">
        <f t="shared" si="24"/>
        <v>1620</v>
      </c>
      <c r="C295" s="8" t="str">
        <f t="shared" si="25"/>
        <v>0PremiumS5</v>
      </c>
      <c r="D295" s="8" t="str">
        <f t="shared" si="22"/>
        <v>0PremiumS5</v>
      </c>
      <c r="E295" s="11">
        <v>0</v>
      </c>
      <c r="F295" s="6">
        <v>389</v>
      </c>
      <c r="G295" s="8" t="str">
        <f>VLOOKUP(F295,[1]characters!$A:$C,3,FALSE)</f>
        <v>操神の愛姫 スフィンクス</v>
      </c>
      <c r="H295" s="8" t="str">
        <f>VLOOKUP(F295,[1]characters!$A:$J,10,FALSE)</f>
        <v>PremiumS</v>
      </c>
      <c r="I295" s="8">
        <f>VLOOKUP(F295,[1]characters!$A:$I,9,FALSE)</f>
        <v>5</v>
      </c>
      <c r="J295" s="8" t="str">
        <f>VLOOKUP(F295,[1]characters!$A:$H,8,FALSE)</f>
        <v>yellow</v>
      </c>
      <c r="K295" s="8" t="str">
        <f>VLOOKUP(F295,[1]characters!$A:$K,11,FALSE)</f>
        <v>heal</v>
      </c>
      <c r="L295" s="8" t="str">
        <f>VLOOKUP(F295,[1]characters!$A:$M,13,FALSE)</f>
        <v>animal</v>
      </c>
      <c r="M295" s="5">
        <v>1</v>
      </c>
      <c r="N295" s="18">
        <f>VLOOKUP(D295,gacha_162_base!A:B,2,FALSE)</f>
        <v>1090</v>
      </c>
      <c r="O295" s="14">
        <v>0</v>
      </c>
      <c r="P295" s="14">
        <v>0</v>
      </c>
      <c r="Q295" s="14">
        <v>0</v>
      </c>
      <c r="R295" s="14">
        <v>0</v>
      </c>
      <c r="S295" s="14">
        <v>1</v>
      </c>
    </row>
    <row r="296" spans="1:19" ht="21" customHeight="1">
      <c r="A296" s="7" t="str">
        <f t="shared" si="23"/>
        <v>1620390</v>
      </c>
      <c r="B296" s="2" t="str">
        <f t="shared" si="24"/>
        <v>1620</v>
      </c>
      <c r="C296" s="8" t="str">
        <f t="shared" si="25"/>
        <v>0PremiumSS4</v>
      </c>
      <c r="D296" s="8" t="str">
        <f>E296&amp;H296&amp;I296&amp;"pick"</f>
        <v>0PremiumSS4pick</v>
      </c>
      <c r="E296" s="11">
        <v>0</v>
      </c>
      <c r="F296" s="6">
        <v>390</v>
      </c>
      <c r="G296" s="8" t="str">
        <f>VLOOKUP(F296,[1]characters!$A:$C,3,FALSE)</f>
        <v>華環の旅客 親指姫</v>
      </c>
      <c r="H296" s="8" t="str">
        <f>VLOOKUP(F296,[1]characters!$A:$J,10,FALSE)</f>
        <v>PremiumSS</v>
      </c>
      <c r="I296" s="8">
        <f>VLOOKUP(F296,[1]characters!$A:$I,9,FALSE)</f>
        <v>4</v>
      </c>
      <c r="J296" s="8" t="str">
        <f>VLOOKUP(F296,[1]characters!$A:$H,8,FALSE)</f>
        <v>red</v>
      </c>
      <c r="K296" s="8" t="str">
        <f>VLOOKUP(F296,[1]characters!$A:$K,11,FALSE)</f>
        <v>heal</v>
      </c>
      <c r="L296" s="8" t="str">
        <f>VLOOKUP(F296,[1]characters!$A:$M,13,FALSE)</f>
        <v>human</v>
      </c>
      <c r="M296" s="5">
        <v>1</v>
      </c>
      <c r="N296" s="18">
        <f>VLOOKUP(D296,gacha_162_base!A:B,2,FALSE)</f>
        <v>18800</v>
      </c>
      <c r="O296" s="14">
        <v>0</v>
      </c>
      <c r="P296" s="14">
        <v>0</v>
      </c>
      <c r="Q296" s="14">
        <v>0</v>
      </c>
      <c r="R296" s="14">
        <v>0</v>
      </c>
      <c r="S296" s="14">
        <v>1</v>
      </c>
    </row>
    <row r="297" spans="1:19" ht="21" customHeight="1">
      <c r="A297" s="7" t="str">
        <f t="shared" si="23"/>
        <v>1620391</v>
      </c>
      <c r="B297" s="2" t="str">
        <f t="shared" si="24"/>
        <v>1620</v>
      </c>
      <c r="C297" s="8" t="str">
        <f t="shared" si="25"/>
        <v>0PremiumSS5</v>
      </c>
      <c r="D297" s="8" t="str">
        <f>E297&amp;H297&amp;I297&amp;"pick"</f>
        <v>0PremiumSS5pick</v>
      </c>
      <c r="E297" s="11">
        <v>0</v>
      </c>
      <c r="F297" s="6">
        <v>391</v>
      </c>
      <c r="G297" s="8" t="str">
        <f>VLOOKUP(F297,[1]characters!$A:$C,3,FALSE)</f>
        <v>燕翼の旅人 親指姫</v>
      </c>
      <c r="H297" s="8" t="str">
        <f>VLOOKUP(F297,[1]characters!$A:$J,10,FALSE)</f>
        <v>PremiumSS</v>
      </c>
      <c r="I297" s="8">
        <f>VLOOKUP(F297,[1]characters!$A:$I,9,FALSE)</f>
        <v>5</v>
      </c>
      <c r="J297" s="8" t="str">
        <f>VLOOKUP(F297,[1]characters!$A:$H,8,FALSE)</f>
        <v>red</v>
      </c>
      <c r="K297" s="8" t="str">
        <f>VLOOKUP(F297,[1]characters!$A:$K,11,FALSE)</f>
        <v>heal</v>
      </c>
      <c r="L297" s="8" t="str">
        <f>VLOOKUP(F297,[1]characters!$A:$M,13,FALSE)</f>
        <v>human</v>
      </c>
      <c r="M297" s="5">
        <v>1</v>
      </c>
      <c r="N297" s="18">
        <f>VLOOKUP(D297,gacha_162_base!A:B,2,FALSE)</f>
        <v>1200</v>
      </c>
      <c r="O297" s="14">
        <v>0</v>
      </c>
      <c r="P297" s="14">
        <v>0</v>
      </c>
      <c r="Q297" s="14">
        <v>0</v>
      </c>
      <c r="R297" s="14">
        <v>0</v>
      </c>
      <c r="S297" s="14">
        <v>1</v>
      </c>
    </row>
    <row r="298" spans="1:19" ht="21" customHeight="1">
      <c r="A298" s="7" t="str">
        <f t="shared" si="23"/>
        <v>1620393</v>
      </c>
      <c r="B298" s="2" t="str">
        <f t="shared" si="24"/>
        <v>1620</v>
      </c>
      <c r="C298" s="8" t="str">
        <f t="shared" si="25"/>
        <v>0PremiumS4</v>
      </c>
      <c r="D298" s="8" t="str">
        <f>E298&amp;H298&amp;I298</f>
        <v>0PremiumS4</v>
      </c>
      <c r="E298" s="11">
        <v>0</v>
      </c>
      <c r="F298" s="6">
        <v>393</v>
      </c>
      <c r="G298" s="8" t="str">
        <f>VLOOKUP(F298,[1]characters!$A:$C,3,FALSE)</f>
        <v>影縫い ピーターパン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green</v>
      </c>
      <c r="K298" s="8" t="str">
        <f>VLOOKUP(F298,[1]characters!$A:$K,11,FALSE)</f>
        <v>attack</v>
      </c>
      <c r="L298" s="8" t="str">
        <f>VLOOKUP(F298,[1]characters!$A:$M,13,FALSE)</f>
        <v>human</v>
      </c>
      <c r="M298" s="5">
        <v>1</v>
      </c>
      <c r="N298" s="18">
        <f>VLOOKUP(D298,gacha_162_base!A:B,2,FALSE)</f>
        <v>17073</v>
      </c>
      <c r="O298" s="14">
        <v>0</v>
      </c>
      <c r="P298" s="14">
        <v>0</v>
      </c>
      <c r="Q298" s="14">
        <v>0</v>
      </c>
      <c r="R298" s="14">
        <v>0</v>
      </c>
      <c r="S298" s="14">
        <v>1</v>
      </c>
    </row>
    <row r="299" spans="1:19" ht="21" customHeight="1">
      <c r="A299" s="7" t="str">
        <f t="shared" si="23"/>
        <v>1620394</v>
      </c>
      <c r="B299" s="2" t="str">
        <f t="shared" si="24"/>
        <v>1620</v>
      </c>
      <c r="C299" s="8" t="str">
        <f t="shared" si="25"/>
        <v>0PremiumS5</v>
      </c>
      <c r="D299" s="8" t="str">
        <f>E299&amp;H299&amp;I299</f>
        <v>0PremiumS5</v>
      </c>
      <c r="E299" s="11">
        <v>0</v>
      </c>
      <c r="F299" s="6">
        <v>394</v>
      </c>
      <c r="G299" s="8" t="str">
        <f>VLOOKUP(F299,[1]characters!$A:$C,3,FALSE)</f>
        <v>影求の悪童 ピーターパン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green</v>
      </c>
      <c r="K299" s="8" t="str">
        <f>VLOOKUP(F299,[1]characters!$A:$K,11,FALSE)</f>
        <v>attack</v>
      </c>
      <c r="L299" s="8" t="str">
        <f>VLOOKUP(F299,[1]characters!$A:$M,13,FALSE)</f>
        <v>human</v>
      </c>
      <c r="M299" s="5">
        <v>1</v>
      </c>
      <c r="N299" s="18">
        <f>VLOOKUP(D299,gacha_162_base!A:B,2,FALSE)</f>
        <v>1090</v>
      </c>
      <c r="O299" s="14">
        <v>0</v>
      </c>
      <c r="P299" s="14">
        <v>0</v>
      </c>
      <c r="Q299" s="14">
        <v>0</v>
      </c>
      <c r="R299" s="14">
        <v>0</v>
      </c>
      <c r="S299" s="14">
        <v>1</v>
      </c>
    </row>
    <row r="300" spans="1:19" ht="21" customHeight="1">
      <c r="A300" s="7" t="str">
        <f t="shared" si="23"/>
        <v>1620396</v>
      </c>
      <c r="B300" s="2" t="str">
        <f t="shared" si="24"/>
        <v>1620</v>
      </c>
      <c r="C300" s="8" t="str">
        <f t="shared" si="25"/>
        <v>0PremiumS4</v>
      </c>
      <c r="D300" s="8" t="str">
        <f t="shared" ref="D300:D305" si="26">E300&amp;H300&amp;I300&amp;"pick"</f>
        <v>0PremiumS4pick</v>
      </c>
      <c r="E300" s="11">
        <v>0</v>
      </c>
      <c r="F300" s="6">
        <v>396</v>
      </c>
      <c r="G300" s="8" t="str">
        <f>VLOOKUP(F300,[1]characters!$A:$C,3,FALSE)</f>
        <v>竜宮の水雷 乙姫</v>
      </c>
      <c r="H300" s="8" t="str">
        <f>VLOOKUP(F300,[1]characters!$A:$J,10,FALSE)</f>
        <v>PremiumS</v>
      </c>
      <c r="I300" s="8">
        <f>VLOOKUP(F300,[1]characters!$A:$I,9,FALSE)</f>
        <v>4</v>
      </c>
      <c r="J300" s="8" t="str">
        <f>VLOOKUP(F300,[1]characters!$A:$H,8,FALSE)</f>
        <v>blue</v>
      </c>
      <c r="K300" s="8" t="str">
        <f>VLOOKUP(F300,[1]characters!$A:$K,11,FALSE)</f>
        <v>hp</v>
      </c>
      <c r="L300" s="8" t="str">
        <f>VLOOKUP(F300,[1]characters!$A:$M,13,FALSE)</f>
        <v>human</v>
      </c>
      <c r="M300" s="5">
        <v>1</v>
      </c>
      <c r="N300" s="18">
        <f>VLOOKUP(D300,gacha_162_base!A:B,2,FALSE)</f>
        <v>18800</v>
      </c>
      <c r="O300" s="14">
        <v>0</v>
      </c>
      <c r="P300" s="14">
        <v>0</v>
      </c>
      <c r="Q300" s="14">
        <v>0</v>
      </c>
      <c r="R300" s="14">
        <v>0</v>
      </c>
      <c r="S300" s="14">
        <v>1</v>
      </c>
    </row>
    <row r="301" spans="1:19" ht="21" customHeight="1">
      <c r="A301" s="7" t="str">
        <f t="shared" si="23"/>
        <v>1620397</v>
      </c>
      <c r="B301" s="2" t="str">
        <f t="shared" si="24"/>
        <v>1620</v>
      </c>
      <c r="C301" s="8" t="str">
        <f t="shared" si="25"/>
        <v>0PremiumS5</v>
      </c>
      <c r="D301" s="8" t="str">
        <f t="shared" si="26"/>
        <v>0PremiumS5pick</v>
      </c>
      <c r="E301" s="11">
        <v>0</v>
      </c>
      <c r="F301" s="6">
        <v>397</v>
      </c>
      <c r="G301" s="8" t="str">
        <f>VLOOKUP(F301,[1]characters!$A:$C,3,FALSE)</f>
        <v>禁断の追箱 乙姫</v>
      </c>
      <c r="H301" s="8" t="str">
        <f>VLOOKUP(F301,[1]characters!$A:$J,10,FALSE)</f>
        <v>PremiumS</v>
      </c>
      <c r="I301" s="8">
        <f>VLOOKUP(F301,[1]characters!$A:$I,9,FALSE)</f>
        <v>5</v>
      </c>
      <c r="J301" s="8" t="str">
        <f>VLOOKUP(F301,[1]characters!$A:$H,8,FALSE)</f>
        <v>blue</v>
      </c>
      <c r="K301" s="8" t="str">
        <f>VLOOKUP(F301,[1]characters!$A:$K,11,FALSE)</f>
        <v>hp</v>
      </c>
      <c r="L301" s="8" t="str">
        <f>VLOOKUP(F301,[1]characters!$A:$M,13,FALSE)</f>
        <v>human</v>
      </c>
      <c r="M301" s="5">
        <v>1</v>
      </c>
      <c r="N301" s="18">
        <f>VLOOKUP(D301,gacha_162_base!A:B,2,FALSE)</f>
        <v>1200</v>
      </c>
      <c r="O301" s="14">
        <v>0</v>
      </c>
      <c r="P301" s="14">
        <v>0</v>
      </c>
      <c r="Q301" s="14">
        <v>0</v>
      </c>
      <c r="R301" s="14">
        <v>0</v>
      </c>
      <c r="S301" s="14">
        <v>1</v>
      </c>
    </row>
    <row r="302" spans="1:19" ht="21" customHeight="1">
      <c r="A302" s="7" t="str">
        <f t="shared" si="23"/>
        <v>1620398</v>
      </c>
      <c r="B302" s="2" t="str">
        <f t="shared" si="24"/>
        <v>1620</v>
      </c>
      <c r="C302" s="8" t="str">
        <f t="shared" si="25"/>
        <v>0PremiumSS4</v>
      </c>
      <c r="D302" s="8" t="str">
        <f t="shared" si="26"/>
        <v>0PremiumSS4pick</v>
      </c>
      <c r="E302" s="11">
        <v>0</v>
      </c>
      <c r="F302" s="6">
        <v>398</v>
      </c>
      <c r="G302" s="8" t="str">
        <f>VLOOKUP(F302,[1]characters!$A:$C,3,FALSE)</f>
        <v>ヘンゼル＆グレーテル</v>
      </c>
      <c r="H302" s="8" t="str">
        <f>VLOOKUP(F302,[1]characters!$A:$J,10,FALSE)</f>
        <v>PremiumSS</v>
      </c>
      <c r="I302" s="8">
        <f>VLOOKUP(F302,[1]characters!$A:$I,9,FALSE)</f>
        <v>4</v>
      </c>
      <c r="J302" s="8" t="str">
        <f>VLOOKUP(F302,[1]characters!$A:$H,8,FALSE)</f>
        <v>yellow</v>
      </c>
      <c r="K302" s="8" t="str">
        <f>VLOOKUP(F302,[1]characters!$A:$K,11,FALSE)</f>
        <v>balance</v>
      </c>
      <c r="L302" s="8" t="str">
        <f>VLOOKUP(F302,[1]characters!$A:$M,13,FALSE)</f>
        <v>human</v>
      </c>
      <c r="M302" s="5">
        <v>1</v>
      </c>
      <c r="N302" s="18">
        <f>VLOOKUP(D302,gacha_162_base!A:B,2,FALSE)</f>
        <v>18800</v>
      </c>
      <c r="O302" s="14">
        <v>0</v>
      </c>
      <c r="P302" s="14">
        <v>0</v>
      </c>
      <c r="Q302" s="14">
        <v>0</v>
      </c>
      <c r="R302" s="14">
        <v>0</v>
      </c>
      <c r="S302" s="14">
        <v>1</v>
      </c>
    </row>
    <row r="303" spans="1:19" ht="21" customHeight="1">
      <c r="A303" s="7" t="str">
        <f t="shared" si="23"/>
        <v>1620399</v>
      </c>
      <c r="B303" s="2" t="str">
        <f t="shared" si="24"/>
        <v>1620</v>
      </c>
      <c r="C303" s="8" t="str">
        <f t="shared" si="25"/>
        <v>0PremiumSS5</v>
      </c>
      <c r="D303" s="8" t="str">
        <f t="shared" si="26"/>
        <v>0PremiumSS5pick</v>
      </c>
      <c r="E303" s="11">
        <v>0</v>
      </c>
      <c r="F303" s="6">
        <v>399</v>
      </c>
      <c r="G303" s="8" t="str">
        <f>VLOOKUP(F303,[1]characters!$A:$C,3,FALSE)</f>
        <v>信愛の兄妹 ヘンゼル＆グレーテル</v>
      </c>
      <c r="H303" s="8" t="str">
        <f>VLOOKUP(F303,[1]characters!$A:$J,10,FALSE)</f>
        <v>PremiumSS</v>
      </c>
      <c r="I303" s="8">
        <f>VLOOKUP(F303,[1]characters!$A:$I,9,FALSE)</f>
        <v>5</v>
      </c>
      <c r="J303" s="8" t="str">
        <f>VLOOKUP(F303,[1]characters!$A:$H,8,FALSE)</f>
        <v>yellow</v>
      </c>
      <c r="K303" s="8" t="str">
        <f>VLOOKUP(F303,[1]characters!$A:$K,11,FALSE)</f>
        <v>balance</v>
      </c>
      <c r="L303" s="8" t="str">
        <f>VLOOKUP(F303,[1]characters!$A:$M,13,FALSE)</f>
        <v>human</v>
      </c>
      <c r="M303" s="5">
        <v>1</v>
      </c>
      <c r="N303" s="18">
        <f>VLOOKUP(D303,gacha_162_base!A:B,2,FALSE)</f>
        <v>1200</v>
      </c>
      <c r="O303" s="14">
        <v>0</v>
      </c>
      <c r="P303" s="14">
        <v>0</v>
      </c>
      <c r="Q303" s="14">
        <v>0</v>
      </c>
      <c r="R303" s="14">
        <v>0</v>
      </c>
      <c r="S303" s="14">
        <v>1</v>
      </c>
    </row>
    <row r="304" spans="1:19" ht="21" customHeight="1">
      <c r="A304" s="7" t="str">
        <f t="shared" si="23"/>
        <v>1620401</v>
      </c>
      <c r="B304" s="2" t="str">
        <f t="shared" si="24"/>
        <v>1620</v>
      </c>
      <c r="C304" s="8" t="str">
        <f t="shared" si="25"/>
        <v>0PremiumS4</v>
      </c>
      <c r="D304" s="8" t="str">
        <f t="shared" si="26"/>
        <v>0PremiumS4pick</v>
      </c>
      <c r="E304" s="11">
        <v>0</v>
      </c>
      <c r="F304" s="6">
        <v>401</v>
      </c>
      <c r="G304" s="8" t="str">
        <f>VLOOKUP(F304,[1]characters!$A:$C,3,FALSE)</f>
        <v>紅銀の孤狼 フェンリル</v>
      </c>
      <c r="H304" s="8" t="str">
        <f>VLOOKUP(F304,[1]characters!$A:$J,10,FALSE)</f>
        <v>PremiumS</v>
      </c>
      <c r="I304" s="8">
        <f>VLOOKUP(F304,[1]characters!$A:$I,9,FALSE)</f>
        <v>4</v>
      </c>
      <c r="J304" s="8" t="str">
        <f>VLOOKUP(F304,[1]characters!$A:$H,8,FALSE)</f>
        <v>red</v>
      </c>
      <c r="K304" s="8" t="str">
        <f>VLOOKUP(F304,[1]characters!$A:$K,11,FALSE)</f>
        <v>attack</v>
      </c>
      <c r="L304" s="8" t="str">
        <f>VLOOKUP(F304,[1]characters!$A:$M,13,FALSE)</f>
        <v>animal</v>
      </c>
      <c r="M304" s="5">
        <v>1</v>
      </c>
      <c r="N304" s="18">
        <f>VLOOKUP(D304,gacha_162_base!A:B,2,FALSE)</f>
        <v>18800</v>
      </c>
      <c r="O304" s="14">
        <v>0</v>
      </c>
      <c r="P304" s="14">
        <v>0</v>
      </c>
      <c r="Q304" s="14">
        <v>0</v>
      </c>
      <c r="R304" s="14">
        <v>0</v>
      </c>
      <c r="S304" s="14">
        <v>1</v>
      </c>
    </row>
    <row r="305" spans="1:19" ht="21" customHeight="1">
      <c r="A305" s="7" t="str">
        <f t="shared" si="23"/>
        <v>1620402</v>
      </c>
      <c r="B305" s="2" t="str">
        <f t="shared" si="24"/>
        <v>1620</v>
      </c>
      <c r="C305" s="8" t="str">
        <f t="shared" si="25"/>
        <v>0PremiumS5</v>
      </c>
      <c r="D305" s="8" t="str">
        <f t="shared" si="26"/>
        <v>0PremiumS5pick</v>
      </c>
      <c r="E305" s="11">
        <v>0</v>
      </c>
      <c r="F305" s="6">
        <v>402</v>
      </c>
      <c r="G305" s="8" t="str">
        <f>VLOOKUP(F305,[1]characters!$A:$C,3,FALSE)</f>
        <v>天災の神狼 フェンリル</v>
      </c>
      <c r="H305" s="8" t="str">
        <f>VLOOKUP(F305,[1]characters!$A:$J,10,FALSE)</f>
        <v>PremiumS</v>
      </c>
      <c r="I305" s="8">
        <f>VLOOKUP(F305,[1]characters!$A:$I,9,FALSE)</f>
        <v>5</v>
      </c>
      <c r="J305" s="8" t="str">
        <f>VLOOKUP(F305,[1]characters!$A:$H,8,FALSE)</f>
        <v>red</v>
      </c>
      <c r="K305" s="8" t="str">
        <f>VLOOKUP(F305,[1]characters!$A:$K,11,FALSE)</f>
        <v>attack</v>
      </c>
      <c r="L305" s="8" t="str">
        <f>VLOOKUP(F305,[1]characters!$A:$M,13,FALSE)</f>
        <v>animal</v>
      </c>
      <c r="M305" s="5">
        <v>1</v>
      </c>
      <c r="N305" s="18">
        <f>VLOOKUP(D305,gacha_162_base!A:B,2,FALSE)</f>
        <v>1200</v>
      </c>
      <c r="O305" s="14">
        <v>0</v>
      </c>
      <c r="P305" s="14">
        <v>0</v>
      </c>
      <c r="Q305" s="14">
        <v>0</v>
      </c>
      <c r="R305" s="14">
        <v>0</v>
      </c>
      <c r="S305" s="14">
        <v>1</v>
      </c>
    </row>
    <row r="306" spans="1:19" ht="21" customHeight="1">
      <c r="A306" s="7" t="str">
        <f t="shared" si="23"/>
        <v>1620403</v>
      </c>
      <c r="B306" s="2" t="str">
        <f t="shared" si="24"/>
        <v>1620</v>
      </c>
      <c r="C306" s="8" t="str">
        <f t="shared" si="25"/>
        <v>0PremiumSS4</v>
      </c>
      <c r="D306" s="8" t="str">
        <f t="shared" si="22"/>
        <v>0PremiumSS4</v>
      </c>
      <c r="E306" s="11">
        <v>0</v>
      </c>
      <c r="F306" s="6">
        <v>403</v>
      </c>
      <c r="G306" s="8" t="str">
        <f>VLOOKUP(F306,[1]characters!$A:$C,3,FALSE)</f>
        <v>静撃の翠眼 八咫烏</v>
      </c>
      <c r="H306" s="8" t="str">
        <f>VLOOKUP(F306,[1]characters!$A:$J,10,FALSE)</f>
        <v>PremiumSS</v>
      </c>
      <c r="I306" s="8">
        <f>VLOOKUP(F306,[1]characters!$A:$I,9,FALSE)</f>
        <v>4</v>
      </c>
      <c r="J306" s="8" t="str">
        <f>VLOOKUP(F306,[1]characters!$A:$H,8,FALSE)</f>
        <v>green</v>
      </c>
      <c r="K306" s="8" t="str">
        <f>VLOOKUP(F306,[1]characters!$A:$K,11,FALSE)</f>
        <v>balance</v>
      </c>
      <c r="L306" s="8" t="str">
        <f>VLOOKUP(F306,[1]characters!$A:$M,13,FALSE)</f>
        <v>animal</v>
      </c>
      <c r="M306" s="5">
        <v>1</v>
      </c>
      <c r="N306" s="18">
        <f>VLOOKUP(D306,gacha_162_base!A:B,2,FALSE)</f>
        <v>783</v>
      </c>
      <c r="O306" s="14">
        <v>0</v>
      </c>
      <c r="P306" s="14">
        <v>0</v>
      </c>
      <c r="Q306" s="14">
        <v>0</v>
      </c>
      <c r="R306" s="14">
        <v>0</v>
      </c>
      <c r="S306" s="14">
        <v>1</v>
      </c>
    </row>
    <row r="307" spans="1:19" ht="21" customHeight="1">
      <c r="A307" s="7" t="str">
        <f t="shared" si="23"/>
        <v>1620404</v>
      </c>
      <c r="B307" s="2" t="str">
        <f t="shared" si="24"/>
        <v>1620</v>
      </c>
      <c r="C307" s="8" t="str">
        <f t="shared" si="25"/>
        <v>0PremiumSS5</v>
      </c>
      <c r="D307" s="8" t="str">
        <f t="shared" si="22"/>
        <v>0PremiumSS5</v>
      </c>
      <c r="E307" s="11">
        <v>0</v>
      </c>
      <c r="F307" s="6">
        <v>404</v>
      </c>
      <c r="G307" s="8" t="str">
        <f>VLOOKUP(F307,[1]characters!$A:$C,3,FALSE)</f>
        <v>空襲の神眼 八咫烏</v>
      </c>
      <c r="H307" s="8" t="str">
        <f>VLOOKUP(F307,[1]characters!$A:$J,10,FALSE)</f>
        <v>PremiumSS</v>
      </c>
      <c r="I307" s="8">
        <f>VLOOKUP(F307,[1]characters!$A:$I,9,FALSE)</f>
        <v>5</v>
      </c>
      <c r="J307" s="8" t="str">
        <f>VLOOKUP(F307,[1]characters!$A:$H,8,FALSE)</f>
        <v>green</v>
      </c>
      <c r="K307" s="8" t="str">
        <f>VLOOKUP(F307,[1]characters!$A:$K,11,FALSE)</f>
        <v>balance</v>
      </c>
      <c r="L307" s="8" t="str">
        <f>VLOOKUP(F307,[1]characters!$A:$M,13,FALSE)</f>
        <v>animal</v>
      </c>
      <c r="M307" s="5">
        <v>1</v>
      </c>
      <c r="N307" s="18">
        <f>VLOOKUP(D307,gacha_162_base!A:B,2,FALSE)</f>
        <v>50</v>
      </c>
      <c r="O307" s="14">
        <v>0</v>
      </c>
      <c r="P307" s="14">
        <v>0</v>
      </c>
      <c r="Q307" s="14">
        <v>0</v>
      </c>
      <c r="R307" s="14">
        <v>0</v>
      </c>
      <c r="S307" s="14">
        <v>1</v>
      </c>
    </row>
    <row r="308" spans="1:19" ht="21" customHeight="1">
      <c r="A308" s="7" t="str">
        <f t="shared" si="23"/>
        <v>1620406</v>
      </c>
      <c r="B308" s="2" t="str">
        <f t="shared" si="24"/>
        <v>1620</v>
      </c>
      <c r="C308" s="8" t="str">
        <f t="shared" si="25"/>
        <v>0PremiumS4</v>
      </c>
      <c r="D308" s="8" t="str">
        <f>E308&amp;H308&amp;I308</f>
        <v>0PremiumS4</v>
      </c>
      <c r="E308" s="11">
        <v>0</v>
      </c>
      <c r="F308" s="6">
        <v>406</v>
      </c>
      <c r="G308" s="8" t="str">
        <f>VLOOKUP(F308,[1]characters!$A:$C,3,FALSE)</f>
        <v>美笑の蒼蛇 エキドナ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blue</v>
      </c>
      <c r="K308" s="8" t="str">
        <f>VLOOKUP(F308,[1]characters!$A:$K,11,FALSE)</f>
        <v>technical</v>
      </c>
      <c r="L308" s="8" t="str">
        <f>VLOOKUP(F308,[1]characters!$A:$M,13,FALSE)</f>
        <v>animal</v>
      </c>
      <c r="M308" s="5">
        <v>1</v>
      </c>
      <c r="N308" s="18">
        <f>VLOOKUP(D308,gacha_162_base!A:B,2,FALSE)</f>
        <v>17073</v>
      </c>
      <c r="O308" s="14">
        <v>0</v>
      </c>
      <c r="P308" s="14">
        <v>0</v>
      </c>
      <c r="Q308" s="14">
        <v>0</v>
      </c>
      <c r="R308" s="14">
        <v>0</v>
      </c>
      <c r="S308" s="14">
        <v>1</v>
      </c>
    </row>
    <row r="309" spans="1:19" ht="21" customHeight="1">
      <c r="A309" s="7" t="str">
        <f t="shared" si="23"/>
        <v>1620407</v>
      </c>
      <c r="B309" s="2" t="str">
        <f t="shared" si="24"/>
        <v>1620</v>
      </c>
      <c r="C309" s="8" t="str">
        <f t="shared" si="25"/>
        <v>0PremiumS5</v>
      </c>
      <c r="D309" s="8" t="str">
        <f>E309&amp;H309&amp;I309</f>
        <v>0PremiumS5</v>
      </c>
      <c r="E309" s="11">
        <v>0</v>
      </c>
      <c r="F309" s="6">
        <v>407</v>
      </c>
      <c r="G309" s="8" t="str">
        <f>VLOOKUP(F309,[1]characters!$A:$C,3,FALSE)</f>
        <v>蠱惑の飛刀 エキドナ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blue</v>
      </c>
      <c r="K309" s="8" t="str">
        <f>VLOOKUP(F309,[1]characters!$A:$K,11,FALSE)</f>
        <v>technical</v>
      </c>
      <c r="L309" s="8" t="str">
        <f>VLOOKUP(F309,[1]characters!$A:$M,13,FALSE)</f>
        <v>animal</v>
      </c>
      <c r="M309" s="5">
        <v>1</v>
      </c>
      <c r="N309" s="18">
        <f>VLOOKUP(D309,gacha_162_base!A:B,2,FALSE)</f>
        <v>1090</v>
      </c>
      <c r="O309" s="14">
        <v>0</v>
      </c>
      <c r="P309" s="14">
        <v>0</v>
      </c>
      <c r="Q309" s="14">
        <v>0</v>
      </c>
      <c r="R309" s="14">
        <v>0</v>
      </c>
      <c r="S309" s="14">
        <v>1</v>
      </c>
    </row>
    <row r="310" spans="1:19" ht="21" customHeight="1">
      <c r="A310" s="7" t="str">
        <f t="shared" si="23"/>
        <v>1620408</v>
      </c>
      <c r="B310" s="2" t="str">
        <f t="shared" si="24"/>
        <v>1620</v>
      </c>
      <c r="C310" s="8" t="str">
        <f t="shared" si="25"/>
        <v>0PremiumSS4</v>
      </c>
      <c r="D310" s="8" t="str">
        <f t="shared" si="22"/>
        <v>0PremiumSS4</v>
      </c>
      <c r="E310" s="11">
        <v>0</v>
      </c>
      <c r="F310" s="6">
        <v>408</v>
      </c>
      <c r="G310" s="8" t="str">
        <f>VLOOKUP(F310,[1]characters!$A:$C,3,FALSE)</f>
        <v>皇魔 アスタロト</v>
      </c>
      <c r="H310" s="8" t="str">
        <f>VLOOKUP(F310,[1]characters!$A:$J,10,FALSE)</f>
        <v>PremiumSS</v>
      </c>
      <c r="I310" s="8">
        <f>VLOOKUP(F310,[1]characters!$A:$I,9,FALSE)</f>
        <v>4</v>
      </c>
      <c r="J310" s="8" t="str">
        <f>VLOOKUP(F310,[1]characters!$A:$H,8,FALSE)</f>
        <v>yellow</v>
      </c>
      <c r="K310" s="8" t="str">
        <f>VLOOKUP(F310,[1]characters!$A:$K,11,FALSE)</f>
        <v>attack</v>
      </c>
      <c r="L310" s="8" t="str">
        <f>VLOOKUP(F310,[1]characters!$A:$M,13,FALSE)</f>
        <v>god</v>
      </c>
      <c r="M310" s="5">
        <v>1</v>
      </c>
      <c r="N310" s="18">
        <f>VLOOKUP(D310,gacha_162_base!A:B,2,FALSE)</f>
        <v>783</v>
      </c>
      <c r="O310" s="14">
        <v>0</v>
      </c>
      <c r="P310" s="14">
        <v>0</v>
      </c>
      <c r="Q310" s="14">
        <v>0</v>
      </c>
      <c r="R310" s="14">
        <v>0</v>
      </c>
      <c r="S310" s="14">
        <v>1</v>
      </c>
    </row>
    <row r="311" spans="1:19" ht="21" customHeight="1">
      <c r="A311" s="7" t="str">
        <f t="shared" si="23"/>
        <v>1620409</v>
      </c>
      <c r="B311" s="2" t="str">
        <f t="shared" si="24"/>
        <v>1620</v>
      </c>
      <c r="C311" s="8" t="str">
        <f t="shared" si="25"/>
        <v>0PremiumSS5</v>
      </c>
      <c r="D311" s="8" t="str">
        <f t="shared" si="22"/>
        <v>0PremiumSS5</v>
      </c>
      <c r="E311" s="11">
        <v>0</v>
      </c>
      <c r="F311" s="6">
        <v>409</v>
      </c>
      <c r="G311" s="8" t="str">
        <f>VLOOKUP(F311,[1]characters!$A:$C,3,FALSE)</f>
        <v>天眼の皇貴魔 アスタロト</v>
      </c>
      <c r="H311" s="8" t="str">
        <f>VLOOKUP(F311,[1]characters!$A:$J,10,FALSE)</f>
        <v>PremiumSS</v>
      </c>
      <c r="I311" s="8">
        <f>VLOOKUP(F311,[1]characters!$A:$I,9,FALSE)</f>
        <v>5</v>
      </c>
      <c r="J311" s="8" t="str">
        <f>VLOOKUP(F311,[1]characters!$A:$H,8,FALSE)</f>
        <v>yellow</v>
      </c>
      <c r="K311" s="8" t="str">
        <f>VLOOKUP(F311,[1]characters!$A:$K,11,FALSE)</f>
        <v>attack</v>
      </c>
      <c r="L311" s="8" t="str">
        <f>VLOOKUP(F311,[1]characters!$A:$M,13,FALSE)</f>
        <v>god</v>
      </c>
      <c r="M311" s="5">
        <v>1</v>
      </c>
      <c r="N311" s="18">
        <f>VLOOKUP(D311,gacha_162_base!A:B,2,FALSE)</f>
        <v>50</v>
      </c>
      <c r="O311" s="14">
        <v>0</v>
      </c>
      <c r="P311" s="14">
        <v>0</v>
      </c>
      <c r="Q311" s="14">
        <v>0</v>
      </c>
      <c r="R311" s="14">
        <v>0</v>
      </c>
      <c r="S311" s="14">
        <v>1</v>
      </c>
    </row>
    <row r="312" spans="1:19" ht="21" customHeight="1">
      <c r="A312" s="7" t="str">
        <f t="shared" si="23"/>
        <v>1620434</v>
      </c>
      <c r="B312" s="2" t="str">
        <f t="shared" si="24"/>
        <v>1620</v>
      </c>
      <c r="C312" s="8" t="str">
        <f t="shared" si="25"/>
        <v>0PremiumSS4</v>
      </c>
      <c r="D312" s="8" t="str">
        <f>E312&amp;H312&amp;I312&amp;"pick"</f>
        <v>0PremiumSS4pick</v>
      </c>
      <c r="E312" s="11">
        <v>0</v>
      </c>
      <c r="F312" s="6">
        <v>434</v>
      </c>
      <c r="G312" s="8" t="str">
        <f>VLOOKUP(F312,[1]characters!$A:$C,3,FALSE)</f>
        <v>D.R.T.H.</v>
      </c>
      <c r="H312" s="8" t="str">
        <f>VLOOKUP(F312,[1]characters!$A:$J,10,FALSE)</f>
        <v>PremiumSS</v>
      </c>
      <c r="I312" s="8">
        <f>VLOOKUP(F312,[1]characters!$A:$I,9,FALSE)</f>
        <v>4</v>
      </c>
      <c r="J312" s="8" t="str">
        <f>VLOOKUP(F312,[1]characters!$A:$H,8,FALSE)</f>
        <v>red</v>
      </c>
      <c r="K312" s="8" t="str">
        <f>VLOOKUP(F312,[1]characters!$A:$K,11,FALSE)</f>
        <v>balance</v>
      </c>
      <c r="L312" s="8" t="str">
        <f>VLOOKUP(F312,[1]characters!$A:$M,13,FALSE)</f>
        <v>human</v>
      </c>
      <c r="M312" s="5">
        <v>1</v>
      </c>
      <c r="N312" s="18">
        <f>VLOOKUP(D312,gacha_162_base!A:B,2,FALSE)</f>
        <v>18800</v>
      </c>
      <c r="O312" s="14">
        <v>0</v>
      </c>
      <c r="P312" s="14">
        <v>0</v>
      </c>
      <c r="Q312" s="14">
        <v>0</v>
      </c>
      <c r="R312" s="14">
        <v>0</v>
      </c>
      <c r="S312" s="14">
        <v>1</v>
      </c>
    </row>
    <row r="313" spans="1:19" ht="21" customHeight="1">
      <c r="A313" s="7" t="str">
        <f t="shared" si="23"/>
        <v>1620435</v>
      </c>
      <c r="B313" s="2" t="str">
        <f t="shared" si="24"/>
        <v>1620</v>
      </c>
      <c r="C313" s="8" t="str">
        <f t="shared" si="25"/>
        <v>0PremiumSS5</v>
      </c>
      <c r="D313" s="8" t="str">
        <f>E313&amp;H313&amp;I313&amp;"pick"</f>
        <v>0PremiumSS5pick</v>
      </c>
      <c r="E313" s="11">
        <v>0</v>
      </c>
      <c r="F313" s="6">
        <v>435</v>
      </c>
      <c r="G313" s="8" t="str">
        <f>VLOOKUP(F313,[1]characters!$A:$C,3,FALSE)</f>
        <v>曝弾の密偵 D.R.T.H.</v>
      </c>
      <c r="H313" s="8" t="str">
        <f>VLOOKUP(F313,[1]characters!$A:$J,10,FALSE)</f>
        <v>PremiumSS</v>
      </c>
      <c r="I313" s="8">
        <f>VLOOKUP(F313,[1]characters!$A:$I,9,FALSE)</f>
        <v>5</v>
      </c>
      <c r="J313" s="8" t="str">
        <f>VLOOKUP(F313,[1]characters!$A:$H,8,FALSE)</f>
        <v>red</v>
      </c>
      <c r="K313" s="8" t="str">
        <f>VLOOKUP(F313,[1]characters!$A:$K,11,FALSE)</f>
        <v>balance</v>
      </c>
      <c r="L313" s="8" t="str">
        <f>VLOOKUP(F313,[1]characters!$A:$M,13,FALSE)</f>
        <v>human</v>
      </c>
      <c r="M313" s="5">
        <v>1</v>
      </c>
      <c r="N313" s="18">
        <f>VLOOKUP(D313,gacha_162_base!A:B,2,FALSE)</f>
        <v>1200</v>
      </c>
      <c r="O313" s="14">
        <v>0</v>
      </c>
      <c r="P313" s="14">
        <v>0</v>
      </c>
      <c r="Q313" s="14">
        <v>0</v>
      </c>
      <c r="R313" s="14">
        <v>0</v>
      </c>
      <c r="S313" s="14">
        <v>1</v>
      </c>
    </row>
    <row r="314" spans="1:19" ht="21" customHeight="1">
      <c r="A314" s="7" t="str">
        <f t="shared" si="23"/>
        <v>1620437</v>
      </c>
      <c r="B314" s="2" t="str">
        <f t="shared" si="24"/>
        <v>1620</v>
      </c>
      <c r="C314" s="8" t="str">
        <f t="shared" si="25"/>
        <v>0PremiumS4</v>
      </c>
      <c r="D314" s="8" t="str">
        <f t="shared" si="22"/>
        <v>0PremiumS4</v>
      </c>
      <c r="E314" s="11">
        <v>0</v>
      </c>
      <c r="F314" s="6">
        <v>437</v>
      </c>
      <c r="G314" s="8" t="str">
        <f>VLOOKUP(F314,[1]characters!$A:$C,3,FALSE)</f>
        <v>忘却者 カカシ</v>
      </c>
      <c r="H314" s="8" t="str">
        <f>VLOOKUP(F314,[1]characters!$A:$J,10,FALSE)</f>
        <v>PremiumS</v>
      </c>
      <c r="I314" s="8">
        <f>VLOOKUP(F314,[1]characters!$A:$I,9,FALSE)</f>
        <v>4</v>
      </c>
      <c r="J314" s="8" t="str">
        <f>VLOOKUP(F314,[1]characters!$A:$H,8,FALSE)</f>
        <v>green</v>
      </c>
      <c r="K314" s="8" t="str">
        <f>VLOOKUP(F314,[1]characters!$A:$K,11,FALSE)</f>
        <v>technical</v>
      </c>
      <c r="L314" s="8" t="str">
        <f>VLOOKUP(F314,[1]characters!$A:$M,13,FALSE)</f>
        <v>human</v>
      </c>
      <c r="M314" s="5">
        <v>1</v>
      </c>
      <c r="N314" s="18">
        <f>VLOOKUP(D314,gacha_162_base!A:B,2,FALSE)</f>
        <v>17073</v>
      </c>
      <c r="O314" s="14">
        <v>0</v>
      </c>
      <c r="P314" s="14">
        <v>0</v>
      </c>
      <c r="Q314" s="14">
        <v>0</v>
      </c>
      <c r="R314" s="14">
        <v>0</v>
      </c>
      <c r="S314" s="14">
        <v>1</v>
      </c>
    </row>
    <row r="315" spans="1:19" ht="21" customHeight="1">
      <c r="A315" s="7" t="str">
        <f t="shared" si="23"/>
        <v>1620438</v>
      </c>
      <c r="B315" s="2" t="str">
        <f t="shared" si="24"/>
        <v>1620</v>
      </c>
      <c r="C315" s="8" t="str">
        <f t="shared" si="25"/>
        <v>0PremiumS5</v>
      </c>
      <c r="D315" s="8" t="str">
        <f t="shared" si="22"/>
        <v>0PremiumS5</v>
      </c>
      <c r="E315" s="11">
        <v>0</v>
      </c>
      <c r="F315" s="6">
        <v>438</v>
      </c>
      <c r="G315" s="8" t="str">
        <f>VLOOKUP(F315,[1]characters!$A:$C,3,FALSE)</f>
        <v>記憶の奪還 カカシ</v>
      </c>
      <c r="H315" s="8" t="str">
        <f>VLOOKUP(F315,[1]characters!$A:$J,10,FALSE)</f>
        <v>PremiumS</v>
      </c>
      <c r="I315" s="8">
        <f>VLOOKUP(F315,[1]characters!$A:$I,9,FALSE)</f>
        <v>5</v>
      </c>
      <c r="J315" s="8" t="str">
        <f>VLOOKUP(F315,[1]characters!$A:$H,8,FALSE)</f>
        <v>green</v>
      </c>
      <c r="K315" s="8" t="str">
        <f>VLOOKUP(F315,[1]characters!$A:$K,11,FALSE)</f>
        <v>technical</v>
      </c>
      <c r="L315" s="8" t="str">
        <f>VLOOKUP(F315,[1]characters!$A:$M,13,FALSE)</f>
        <v>human</v>
      </c>
      <c r="M315" s="5">
        <v>1</v>
      </c>
      <c r="N315" s="18">
        <f>VLOOKUP(D315,gacha_162_base!A:B,2,FALSE)</f>
        <v>1090</v>
      </c>
      <c r="O315" s="14">
        <v>0</v>
      </c>
      <c r="P315" s="14">
        <v>0</v>
      </c>
      <c r="Q315" s="14">
        <v>0</v>
      </c>
      <c r="R315" s="14">
        <v>0</v>
      </c>
      <c r="S315" s="14">
        <v>1</v>
      </c>
    </row>
    <row r="316" spans="1:19" ht="21" customHeight="1">
      <c r="A316" s="7" t="str">
        <f t="shared" si="23"/>
        <v>1620440</v>
      </c>
      <c r="B316" s="2" t="str">
        <f t="shared" si="24"/>
        <v>1620</v>
      </c>
      <c r="C316" s="8" t="str">
        <f t="shared" si="25"/>
        <v>0PremiumS4</v>
      </c>
      <c r="D316" s="8" t="str">
        <f t="shared" si="22"/>
        <v>0PremiumS4</v>
      </c>
      <c r="E316" s="11">
        <v>0</v>
      </c>
      <c r="F316" s="6">
        <v>440</v>
      </c>
      <c r="G316" s="8" t="str">
        <f>VLOOKUP(F316,[1]characters!$A:$C,3,FALSE)</f>
        <v>改良型 ブリキロガー</v>
      </c>
      <c r="H316" s="8" t="str">
        <f>VLOOKUP(F316,[1]characters!$A:$J,10,FALSE)</f>
        <v>PremiumS</v>
      </c>
      <c r="I316" s="8">
        <f>VLOOKUP(F316,[1]characters!$A:$I,9,FALSE)</f>
        <v>4</v>
      </c>
      <c r="J316" s="8" t="str">
        <f>VLOOKUP(F316,[1]characters!$A:$H,8,FALSE)</f>
        <v>blue</v>
      </c>
      <c r="K316" s="8" t="str">
        <f>VLOOKUP(F316,[1]characters!$A:$K,11,FALSE)</f>
        <v>attack</v>
      </c>
      <c r="L316" s="8" t="str">
        <f>VLOOKUP(F316,[1]characters!$A:$M,13,FALSE)</f>
        <v>machine</v>
      </c>
      <c r="M316" s="5">
        <v>1</v>
      </c>
      <c r="N316" s="18">
        <f>VLOOKUP(D316,gacha_162_base!A:B,2,FALSE)</f>
        <v>17073</v>
      </c>
      <c r="O316" s="14">
        <v>0</v>
      </c>
      <c r="P316" s="14">
        <v>0</v>
      </c>
      <c r="Q316" s="14">
        <v>0</v>
      </c>
      <c r="R316" s="14">
        <v>0</v>
      </c>
      <c r="S316" s="14">
        <v>1</v>
      </c>
    </row>
    <row r="317" spans="1:19" ht="21" customHeight="1">
      <c r="A317" s="7" t="str">
        <f t="shared" si="23"/>
        <v>1620441</v>
      </c>
      <c r="B317" s="2" t="str">
        <f t="shared" si="24"/>
        <v>1620</v>
      </c>
      <c r="C317" s="8" t="str">
        <f t="shared" si="25"/>
        <v>0PremiumS5</v>
      </c>
      <c r="D317" s="8" t="str">
        <f t="shared" si="22"/>
        <v>0PremiumS5</v>
      </c>
      <c r="E317" s="11">
        <v>0</v>
      </c>
      <c r="F317" s="6">
        <v>441</v>
      </c>
      <c r="G317" s="8" t="str">
        <f>VLOOKUP(F317,[1]characters!$A:$C,3,FALSE)</f>
        <v>求心の錻装 ブリキロガー</v>
      </c>
      <c r="H317" s="8" t="str">
        <f>VLOOKUP(F317,[1]characters!$A:$J,10,FALSE)</f>
        <v>PremiumS</v>
      </c>
      <c r="I317" s="8">
        <f>VLOOKUP(F317,[1]characters!$A:$I,9,FALSE)</f>
        <v>5</v>
      </c>
      <c r="J317" s="8" t="str">
        <f>VLOOKUP(F317,[1]characters!$A:$H,8,FALSE)</f>
        <v>blue</v>
      </c>
      <c r="K317" s="8" t="str">
        <f>VLOOKUP(F317,[1]characters!$A:$K,11,FALSE)</f>
        <v>attack</v>
      </c>
      <c r="L317" s="8" t="str">
        <f>VLOOKUP(F317,[1]characters!$A:$M,13,FALSE)</f>
        <v>machine</v>
      </c>
      <c r="M317" s="5">
        <v>1</v>
      </c>
      <c r="N317" s="18">
        <f>VLOOKUP(D317,gacha_162_base!A:B,2,FALSE)</f>
        <v>1090</v>
      </c>
      <c r="O317" s="14">
        <v>0</v>
      </c>
      <c r="P317" s="14">
        <v>0</v>
      </c>
      <c r="Q317" s="14">
        <v>0</v>
      </c>
      <c r="R317" s="14">
        <v>0</v>
      </c>
      <c r="S317" s="14">
        <v>1</v>
      </c>
    </row>
    <row r="318" spans="1:19" ht="21" customHeight="1">
      <c r="A318" s="7" t="str">
        <f t="shared" si="23"/>
        <v>1620442</v>
      </c>
      <c r="B318" s="2" t="str">
        <f t="shared" si="24"/>
        <v>1620</v>
      </c>
      <c r="C318" s="8" t="str">
        <f t="shared" si="25"/>
        <v>0PremiumSS4</v>
      </c>
      <c r="D318" s="8" t="str">
        <f t="shared" si="22"/>
        <v>0PremiumSS4</v>
      </c>
      <c r="E318" s="11">
        <v>0</v>
      </c>
      <c r="F318" s="6">
        <v>442</v>
      </c>
      <c r="G318" s="8" t="str">
        <f>VLOOKUP(F318,[1]characters!$A:$C,3,FALSE)</f>
        <v>ブレイブリー・ライオン</v>
      </c>
      <c r="H318" s="8" t="str">
        <f>VLOOKUP(F318,[1]characters!$A:$J,10,FALSE)</f>
        <v>PremiumSS</v>
      </c>
      <c r="I318" s="8">
        <f>VLOOKUP(F318,[1]characters!$A:$I,9,FALSE)</f>
        <v>4</v>
      </c>
      <c r="J318" s="8" t="str">
        <f>VLOOKUP(F318,[1]characters!$A:$H,8,FALSE)</f>
        <v>yellow</v>
      </c>
      <c r="K318" s="8" t="str">
        <f>VLOOKUP(F318,[1]characters!$A:$K,11,FALSE)</f>
        <v>hp</v>
      </c>
      <c r="L318" s="8" t="str">
        <f>VLOOKUP(F318,[1]characters!$A:$M,13,FALSE)</f>
        <v>animal</v>
      </c>
      <c r="M318" s="5">
        <v>1</v>
      </c>
      <c r="N318" s="18">
        <f>VLOOKUP(D318,gacha_162_base!A:B,2,FALSE)</f>
        <v>783</v>
      </c>
      <c r="O318" s="14">
        <v>0</v>
      </c>
      <c r="P318" s="14">
        <v>0</v>
      </c>
      <c r="Q318" s="14">
        <v>0</v>
      </c>
      <c r="R318" s="14">
        <v>0</v>
      </c>
      <c r="S318" s="14">
        <v>1</v>
      </c>
    </row>
    <row r="319" spans="1:19" ht="21" customHeight="1">
      <c r="A319" s="7" t="str">
        <f t="shared" si="23"/>
        <v>1620443</v>
      </c>
      <c r="B319" s="2" t="str">
        <f t="shared" si="24"/>
        <v>1620</v>
      </c>
      <c r="C319" s="8" t="str">
        <f t="shared" si="25"/>
        <v>0PremiumSS5</v>
      </c>
      <c r="D319" s="8" t="str">
        <f t="shared" si="22"/>
        <v>0PremiumSS5</v>
      </c>
      <c r="E319" s="11">
        <v>0</v>
      </c>
      <c r="F319" s="6">
        <v>443</v>
      </c>
      <c r="G319" s="8" t="str">
        <f>VLOOKUP(F319,[1]characters!$A:$C,3,FALSE)</f>
        <v>勇機結集 ブレイブリー・ライオン</v>
      </c>
      <c r="H319" s="8" t="str">
        <f>VLOOKUP(F319,[1]characters!$A:$J,10,FALSE)</f>
        <v>PremiumSS</v>
      </c>
      <c r="I319" s="8">
        <f>VLOOKUP(F319,[1]characters!$A:$I,9,FALSE)</f>
        <v>5</v>
      </c>
      <c r="J319" s="8" t="str">
        <f>VLOOKUP(F319,[1]characters!$A:$H,8,FALSE)</f>
        <v>yellow</v>
      </c>
      <c r="K319" s="8" t="str">
        <f>VLOOKUP(F319,[1]characters!$A:$K,11,FALSE)</f>
        <v>hp</v>
      </c>
      <c r="L319" s="8" t="str">
        <f>VLOOKUP(F319,[1]characters!$A:$M,13,FALSE)</f>
        <v>animal</v>
      </c>
      <c r="M319" s="5">
        <v>1</v>
      </c>
      <c r="N319" s="18">
        <f>VLOOKUP(D319,gacha_162_base!A:B,2,FALSE)</f>
        <v>50</v>
      </c>
      <c r="O319" s="14">
        <v>0</v>
      </c>
      <c r="P319" s="14">
        <v>0</v>
      </c>
      <c r="Q319" s="14">
        <v>0</v>
      </c>
      <c r="R319" s="14">
        <v>0</v>
      </c>
      <c r="S319" s="14">
        <v>1</v>
      </c>
    </row>
    <row r="320" spans="1:19" ht="21" customHeight="1">
      <c r="A320" s="7" t="str">
        <f t="shared" si="23"/>
        <v>1620463</v>
      </c>
      <c r="B320" s="2" t="str">
        <f t="shared" si="24"/>
        <v>1620</v>
      </c>
      <c r="C320" s="8" t="str">
        <f t="shared" si="25"/>
        <v>0PremiumS4</v>
      </c>
      <c r="D320" s="8" t="str">
        <f t="shared" si="22"/>
        <v>0PremiumS4</v>
      </c>
      <c r="E320" s="11">
        <v>0</v>
      </c>
      <c r="F320" s="10">
        <v>463</v>
      </c>
      <c r="G320" s="8" t="str">
        <f>VLOOKUP(F320,[1]characters!$A:$C,3,FALSE)</f>
        <v>燻銀 ガウェイン</v>
      </c>
      <c r="H320" s="8" t="str">
        <f>VLOOKUP(F320,[1]characters!$A:$J,10,FALSE)</f>
        <v>PremiumS</v>
      </c>
      <c r="I320" s="8">
        <f>VLOOKUP(F320,[1]characters!$A:$I,9,FALSE)</f>
        <v>4</v>
      </c>
      <c r="J320" s="8" t="str">
        <f>VLOOKUP(F320,[1]characters!$A:$H,8,FALSE)</f>
        <v>red</v>
      </c>
      <c r="K320" s="8" t="str">
        <f>VLOOKUP(F320,[1]characters!$A:$K,11,FALSE)</f>
        <v>hp</v>
      </c>
      <c r="L320" s="8" t="str">
        <f>VLOOKUP(F320,[1]characters!$A:$M,13,FALSE)</f>
        <v>human</v>
      </c>
      <c r="M320" s="5">
        <v>1</v>
      </c>
      <c r="N320" s="18">
        <f>VLOOKUP(D320,gacha_162_base!A:B,2,FALSE)</f>
        <v>17073</v>
      </c>
      <c r="O320" s="14">
        <v>0</v>
      </c>
      <c r="P320" s="14">
        <v>0</v>
      </c>
      <c r="Q320" s="14">
        <v>0</v>
      </c>
      <c r="R320" s="14">
        <v>0</v>
      </c>
      <c r="S320" s="14">
        <v>1</v>
      </c>
    </row>
    <row r="321" spans="1:19" ht="21" customHeight="1">
      <c r="A321" s="7" t="str">
        <f t="shared" si="23"/>
        <v>1620464</v>
      </c>
      <c r="B321" s="2" t="str">
        <f t="shared" si="24"/>
        <v>1620</v>
      </c>
      <c r="C321" s="8" t="str">
        <f t="shared" si="25"/>
        <v>0PremiumS5</v>
      </c>
      <c r="D321" s="8" t="str">
        <f t="shared" si="22"/>
        <v>0PremiumS5</v>
      </c>
      <c r="E321" s="11">
        <v>0</v>
      </c>
      <c r="F321" s="10">
        <v>464</v>
      </c>
      <c r="G321" s="8" t="str">
        <f>VLOOKUP(F321,[1]characters!$A:$C,3,FALSE)</f>
        <v>円熟の弾導 ガウェイン</v>
      </c>
      <c r="H321" s="8" t="str">
        <f>VLOOKUP(F321,[1]characters!$A:$J,10,FALSE)</f>
        <v>PremiumS</v>
      </c>
      <c r="I321" s="8">
        <f>VLOOKUP(F321,[1]characters!$A:$I,9,FALSE)</f>
        <v>5</v>
      </c>
      <c r="J321" s="8" t="str">
        <f>VLOOKUP(F321,[1]characters!$A:$H,8,FALSE)</f>
        <v>red</v>
      </c>
      <c r="K321" s="8" t="str">
        <f>VLOOKUP(F321,[1]characters!$A:$K,11,FALSE)</f>
        <v>hp</v>
      </c>
      <c r="L321" s="8" t="str">
        <f>VLOOKUP(F321,[1]characters!$A:$M,13,FALSE)</f>
        <v>human</v>
      </c>
      <c r="M321" s="5">
        <v>1</v>
      </c>
      <c r="N321" s="18">
        <f>VLOOKUP(D321,gacha_162_base!A:B,2,FALSE)</f>
        <v>1090</v>
      </c>
      <c r="O321" s="14">
        <v>0</v>
      </c>
      <c r="P321" s="14">
        <v>0</v>
      </c>
      <c r="Q321" s="14">
        <v>0</v>
      </c>
      <c r="R321" s="14">
        <v>0</v>
      </c>
      <c r="S321" s="14">
        <v>1</v>
      </c>
    </row>
    <row r="322" spans="1:19" ht="21" customHeight="1">
      <c r="A322" s="7" t="str">
        <f t="shared" si="23"/>
        <v>1620465</v>
      </c>
      <c r="B322" s="2" t="str">
        <f t="shared" si="24"/>
        <v>1620</v>
      </c>
      <c r="C322" s="8" t="str">
        <f t="shared" si="25"/>
        <v>0PremiumSS4</v>
      </c>
      <c r="D322" s="8" t="str">
        <f t="shared" ref="D322:D327" si="27">E322&amp;H322&amp;I322</f>
        <v>0PremiumSS4</v>
      </c>
      <c r="E322" s="11">
        <v>0</v>
      </c>
      <c r="F322" s="10">
        <v>465</v>
      </c>
      <c r="G322" s="8" t="str">
        <f>VLOOKUP(F322,[1]characters!$A:$C,3,FALSE)</f>
        <v>真撃 ランスロット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green</v>
      </c>
      <c r="K322" s="8" t="str">
        <f>VLOOKUP(F322,[1]characters!$A:$K,11,FALSE)</f>
        <v>balance</v>
      </c>
      <c r="L322" s="8" t="str">
        <f>VLOOKUP(F322,[1]characters!$A:$M,13,FALSE)</f>
        <v>human</v>
      </c>
      <c r="M322" s="5">
        <v>1</v>
      </c>
      <c r="N322" s="18">
        <f>VLOOKUP(D322,gacha_162_base!A:B,2,FALSE)</f>
        <v>783</v>
      </c>
      <c r="O322" s="14">
        <v>0</v>
      </c>
      <c r="P322" s="14">
        <v>0</v>
      </c>
      <c r="Q322" s="14">
        <v>0</v>
      </c>
      <c r="R322" s="14">
        <v>0</v>
      </c>
      <c r="S322" s="14">
        <v>1</v>
      </c>
    </row>
    <row r="323" spans="1:19" ht="21" customHeight="1">
      <c r="A323" s="7" t="str">
        <f t="shared" ref="A323:A327" si="28">B323&amp;F323</f>
        <v>1620466</v>
      </c>
      <c r="B323" s="2" t="str">
        <f t="shared" ref="B323:B327" si="29">162&amp;E323</f>
        <v>1620</v>
      </c>
      <c r="C323" s="8" t="str">
        <f t="shared" si="25"/>
        <v>0PremiumSS5</v>
      </c>
      <c r="D323" s="8" t="str">
        <f t="shared" si="27"/>
        <v>0PremiumSS5</v>
      </c>
      <c r="E323" s="11">
        <v>0</v>
      </c>
      <c r="F323" s="6">
        <v>466</v>
      </c>
      <c r="G323" s="8" t="str">
        <f>VLOOKUP(F323,[1]characters!$A:$C,3,FALSE)</f>
        <v>真断の勇覇 ランスロット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green</v>
      </c>
      <c r="K323" s="8" t="str">
        <f>VLOOKUP(F323,[1]characters!$A:$K,11,FALSE)</f>
        <v>balance</v>
      </c>
      <c r="L323" s="8" t="str">
        <f>VLOOKUP(F323,[1]characters!$A:$M,13,FALSE)</f>
        <v>human</v>
      </c>
      <c r="M323" s="5">
        <v>1</v>
      </c>
      <c r="N323" s="18">
        <f>VLOOKUP(D323,gacha_162_base!A:B,2,FALSE)</f>
        <v>50</v>
      </c>
      <c r="O323" s="14">
        <v>0</v>
      </c>
      <c r="P323" s="14">
        <v>0</v>
      </c>
      <c r="Q323" s="14">
        <v>0</v>
      </c>
      <c r="R323" s="14">
        <v>0</v>
      </c>
      <c r="S323" s="14">
        <v>1</v>
      </c>
    </row>
    <row r="324" spans="1:19" ht="21" customHeight="1">
      <c r="A324" s="7" t="str">
        <f t="shared" si="28"/>
        <v>1620467</v>
      </c>
      <c r="B324" s="2" t="str">
        <f t="shared" si="29"/>
        <v>1620</v>
      </c>
      <c r="C324" s="8" t="str">
        <f t="shared" si="25"/>
        <v>0PremiumSS4</v>
      </c>
      <c r="D324" s="8" t="str">
        <f>E324&amp;H324&amp;I324&amp;"pick"</f>
        <v>0PremiumSS4pick</v>
      </c>
      <c r="E324" s="11">
        <v>0</v>
      </c>
      <c r="F324" s="6">
        <v>467</v>
      </c>
      <c r="G324" s="8" t="str">
        <f>VLOOKUP(F324,[1]characters!$A:$C,3,FALSE)</f>
        <v>報復 モルドレッド</v>
      </c>
      <c r="H324" s="8" t="str">
        <f>VLOOKUP(F324,[1]characters!$A:$J,10,FALSE)</f>
        <v>PremiumSS</v>
      </c>
      <c r="I324" s="8">
        <f>VLOOKUP(F324,[1]characters!$A:$I,9,FALSE)</f>
        <v>4</v>
      </c>
      <c r="J324" s="8" t="str">
        <f>VLOOKUP(F324,[1]characters!$A:$H,8,FALSE)</f>
        <v>blue</v>
      </c>
      <c r="K324" s="8" t="str">
        <f>VLOOKUP(F324,[1]characters!$A:$K,11,FALSE)</f>
        <v>technical</v>
      </c>
      <c r="L324" s="8" t="str">
        <f>VLOOKUP(F324,[1]characters!$A:$M,13,FALSE)</f>
        <v>human</v>
      </c>
      <c r="M324" s="5">
        <v>1</v>
      </c>
      <c r="N324" s="18">
        <f>VLOOKUP(D324,gacha_162_base!A:B,2,FALSE)</f>
        <v>18800</v>
      </c>
      <c r="O324" s="14">
        <v>0</v>
      </c>
      <c r="P324" s="14">
        <v>0</v>
      </c>
      <c r="Q324" s="14">
        <v>0</v>
      </c>
      <c r="R324" s="14">
        <v>0</v>
      </c>
      <c r="S324" s="14">
        <v>1</v>
      </c>
    </row>
    <row r="325" spans="1:19" ht="21" customHeight="1">
      <c r="A325" s="7" t="str">
        <f t="shared" si="28"/>
        <v>1620468</v>
      </c>
      <c r="B325" s="2" t="str">
        <f t="shared" si="29"/>
        <v>1620</v>
      </c>
      <c r="C325" s="8" t="str">
        <f t="shared" si="25"/>
        <v>0PremiumSS5</v>
      </c>
      <c r="D325" s="8" t="str">
        <f>E325&amp;H325&amp;I325&amp;"pick"</f>
        <v>0PremiumSS5pick</v>
      </c>
      <c r="E325" s="11">
        <v>0</v>
      </c>
      <c r="F325" s="6">
        <v>468</v>
      </c>
      <c r="G325" s="8" t="str">
        <f>VLOOKUP(F325,[1]characters!$A:$C,3,FALSE)</f>
        <v>憎愛の尖鋒 モルドレッド</v>
      </c>
      <c r="H325" s="8" t="str">
        <f>VLOOKUP(F325,[1]characters!$A:$J,10,FALSE)</f>
        <v>PremiumSS</v>
      </c>
      <c r="I325" s="8">
        <f>VLOOKUP(F325,[1]characters!$A:$I,9,FALSE)</f>
        <v>5</v>
      </c>
      <c r="J325" s="8" t="str">
        <f>VLOOKUP(F325,[1]characters!$A:$H,8,FALSE)</f>
        <v>blue</v>
      </c>
      <c r="K325" s="8" t="str">
        <f>VLOOKUP(F325,[1]characters!$A:$K,11,FALSE)</f>
        <v>technical</v>
      </c>
      <c r="L325" s="8" t="str">
        <f>VLOOKUP(F325,[1]characters!$A:$M,13,FALSE)</f>
        <v>human</v>
      </c>
      <c r="M325" s="5">
        <v>1</v>
      </c>
      <c r="N325" s="18">
        <f>VLOOKUP(D325,gacha_162_base!A:B,2,FALSE)</f>
        <v>1200</v>
      </c>
      <c r="O325" s="14">
        <v>0</v>
      </c>
      <c r="P325" s="14">
        <v>0</v>
      </c>
      <c r="Q325" s="14">
        <v>0</v>
      </c>
      <c r="R325" s="14">
        <v>0</v>
      </c>
      <c r="S325" s="14">
        <v>1</v>
      </c>
    </row>
    <row r="326" spans="1:19" ht="21" customHeight="1">
      <c r="A326" s="7" t="str">
        <f t="shared" si="28"/>
        <v>1620470</v>
      </c>
      <c r="B326" s="2" t="str">
        <f t="shared" si="29"/>
        <v>1620</v>
      </c>
      <c r="C326" s="8" t="str">
        <f t="shared" ref="C326:C327" si="30">E326&amp;H326&amp;I326</f>
        <v>0PremiumS4</v>
      </c>
      <c r="D326" s="8" t="str">
        <f t="shared" si="27"/>
        <v>0PremiumS4</v>
      </c>
      <c r="E326" s="11">
        <v>0</v>
      </c>
      <c r="F326" s="13">
        <v>470</v>
      </c>
      <c r="G326" s="8" t="str">
        <f>VLOOKUP(F326,[1]characters!$A:$C,3,FALSE)</f>
        <v>純心 トリスタン</v>
      </c>
      <c r="H326" s="8" t="str">
        <f>VLOOKUP(F326,[1]characters!$A:$J,10,FALSE)</f>
        <v>PremiumS</v>
      </c>
      <c r="I326" s="8">
        <f>VLOOKUP(F326,[1]characters!$A:$I,9,FALSE)</f>
        <v>4</v>
      </c>
      <c r="J326" s="8" t="str">
        <f>VLOOKUP(F326,[1]characters!$A:$H,8,FALSE)</f>
        <v>yellow</v>
      </c>
      <c r="K326" s="8" t="str">
        <f>VLOOKUP(F326,[1]characters!$A:$K,11,FALSE)</f>
        <v>attack</v>
      </c>
      <c r="L326" s="8" t="str">
        <f>VLOOKUP(F326,[1]characters!$A:$M,13,FALSE)</f>
        <v>human</v>
      </c>
      <c r="M326" s="5">
        <v>1</v>
      </c>
      <c r="N326" s="18">
        <f>VLOOKUP(D326,gacha_162_base!A:B,2,FALSE)</f>
        <v>17073</v>
      </c>
      <c r="O326" s="14">
        <v>0</v>
      </c>
      <c r="P326" s="14">
        <v>0</v>
      </c>
      <c r="Q326" s="14">
        <v>0</v>
      </c>
      <c r="R326" s="14">
        <v>0</v>
      </c>
      <c r="S326" s="14">
        <v>1</v>
      </c>
    </row>
    <row r="327" spans="1:19" ht="21" customHeight="1">
      <c r="A327" s="7" t="str">
        <f t="shared" si="28"/>
        <v>1620471</v>
      </c>
      <c r="B327" s="2" t="str">
        <f t="shared" si="29"/>
        <v>1620</v>
      </c>
      <c r="C327" s="8" t="str">
        <f t="shared" si="30"/>
        <v>0PremiumS5</v>
      </c>
      <c r="D327" s="8" t="str">
        <f t="shared" si="27"/>
        <v>0PremiumS5</v>
      </c>
      <c r="E327" s="11">
        <v>0</v>
      </c>
      <c r="F327" s="6">
        <v>471</v>
      </c>
      <c r="G327" s="8" t="str">
        <f>VLOOKUP(F327,[1]characters!$A:$C,3,FALSE)</f>
        <v>不可避の爆激 トリスタン</v>
      </c>
      <c r="H327" s="8" t="str">
        <f>VLOOKUP(F327,[1]characters!$A:$J,10,FALSE)</f>
        <v>PremiumS</v>
      </c>
      <c r="I327" s="8">
        <f>VLOOKUP(F327,[1]characters!$A:$I,9,FALSE)</f>
        <v>5</v>
      </c>
      <c r="J327" s="8" t="str">
        <f>VLOOKUP(F327,[1]characters!$A:$H,8,FALSE)</f>
        <v>yellow</v>
      </c>
      <c r="K327" s="8" t="str">
        <f>VLOOKUP(F327,[1]characters!$A:$K,11,FALSE)</f>
        <v>attack</v>
      </c>
      <c r="L327" s="8" t="str">
        <f>VLOOKUP(F327,[1]characters!$A:$M,13,FALSE)</f>
        <v>human</v>
      </c>
      <c r="M327" s="5">
        <v>1</v>
      </c>
      <c r="N327" s="18">
        <f>VLOOKUP(D327,gacha_162_base!A:B,2,FALSE)</f>
        <v>1090</v>
      </c>
      <c r="O327" s="14">
        <v>0</v>
      </c>
      <c r="P327" s="14">
        <v>0</v>
      </c>
      <c r="Q327" s="14">
        <v>0</v>
      </c>
      <c r="R327" s="14">
        <v>0</v>
      </c>
      <c r="S327" s="14">
        <v>1</v>
      </c>
    </row>
  </sheetData>
  <autoFilter ref="B1:M327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31"/>
  <sheetViews>
    <sheetView showGridLines="0" workbookViewId="0">
      <pane ySplit="1" topLeftCell="A2" activePane="bottomLeft" state="frozen"/>
      <selection activeCell="M24" sqref="M24"/>
      <selection pane="bottomLeft" activeCell="C2" sqref="C2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10.5" style="1" bestFit="1" customWidth="1"/>
    <col min="13" max="13" width="8.664062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9" t="s">
        <v>20</v>
      </c>
      <c r="C1" s="3" t="s">
        <v>18</v>
      </c>
      <c r="D1" s="20" t="s">
        <v>19</v>
      </c>
      <c r="E1" s="19" t="s">
        <v>1</v>
      </c>
      <c r="F1" s="3" t="s">
        <v>5</v>
      </c>
      <c r="G1" s="20" t="s">
        <v>6</v>
      </c>
      <c r="H1" s="20" t="s">
        <v>4</v>
      </c>
      <c r="I1" s="20" t="s">
        <v>7</v>
      </c>
      <c r="J1" s="20" t="s">
        <v>8</v>
      </c>
      <c r="K1" s="20" t="s">
        <v>9</v>
      </c>
      <c r="L1" s="19" t="s">
        <v>2</v>
      </c>
      <c r="M1" s="19" t="s">
        <v>3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</row>
    <row r="2" spans="1:18" ht="21" customHeight="1">
      <c r="A2" s="7" t="str">
        <f t="shared" ref="A2:A4" si="0">B2&amp;E2&amp;L2</f>
        <v>16233961</v>
      </c>
      <c r="B2" s="2">
        <v>1623</v>
      </c>
      <c r="C2" s="8" t="str">
        <f t="shared" ref="C2:C4" si="1">D2&amp;G2&amp;H2</f>
        <v>PremiumS4</v>
      </c>
      <c r="D2" s="8"/>
      <c r="E2" s="10">
        <v>396</v>
      </c>
      <c r="F2" s="8" t="str">
        <f>VLOOKUP(E2,[1]characters!$A:$C,3,FALSE)</f>
        <v>竜宮の水雷 乙姫</v>
      </c>
      <c r="G2" s="8" t="str">
        <f>VLOOKUP(E2,[1]characters!$A:$J,10,FALSE)</f>
        <v>PremiumS</v>
      </c>
      <c r="H2" s="8">
        <f>VLOOKUP(E2,[1]characters!$A:$I,9,FALSE)</f>
        <v>4</v>
      </c>
      <c r="I2" s="8" t="str">
        <f>VLOOKUP(E2,[1]characters!$A:$H,8,FALSE)</f>
        <v>blue</v>
      </c>
      <c r="J2" s="8" t="str">
        <f>VLOOKUP(E2,[1]characters!$A:$K,11,FALSE)</f>
        <v>hp</v>
      </c>
      <c r="K2" s="8" t="str">
        <f>VLOOKUP(E2,[1]characters!$A:$M,13,FALSE)</f>
        <v>human</v>
      </c>
      <c r="L2" s="5">
        <v>1</v>
      </c>
      <c r="M2" s="18">
        <f>95*35</f>
        <v>3325</v>
      </c>
      <c r="N2" s="14">
        <v>0</v>
      </c>
      <c r="O2" s="14">
        <v>0</v>
      </c>
      <c r="P2" s="14">
        <v>0</v>
      </c>
      <c r="Q2" s="14">
        <v>0</v>
      </c>
      <c r="R2" s="14">
        <v>1</v>
      </c>
    </row>
    <row r="3" spans="1:18" ht="21" customHeight="1">
      <c r="A3" s="7" t="str">
        <f t="shared" si="0"/>
        <v>16233971</v>
      </c>
      <c r="B3" s="2">
        <v>1623</v>
      </c>
      <c r="C3" s="8" t="str">
        <f t="shared" si="1"/>
        <v>PremiumS5</v>
      </c>
      <c r="D3" s="8"/>
      <c r="E3" s="44">
        <v>397</v>
      </c>
      <c r="F3" s="8" t="str">
        <f>VLOOKUP(E3,[1]characters!$A:$C,3,FALSE)</f>
        <v>禁断の追箱 乙姫</v>
      </c>
      <c r="G3" s="8" t="str">
        <f>VLOOKUP(E3,[1]characters!$A:$J,10,FALSE)</f>
        <v>PremiumS</v>
      </c>
      <c r="H3" s="8">
        <f>VLOOKUP(E3,[1]characters!$A:$I,9,FALSE)</f>
        <v>5</v>
      </c>
      <c r="I3" s="8" t="str">
        <f>VLOOKUP(E3,[1]characters!$A:$H,8,FALSE)</f>
        <v>blue</v>
      </c>
      <c r="J3" s="8" t="str">
        <f>VLOOKUP(E3,[1]characters!$A:$K,11,FALSE)</f>
        <v>hp</v>
      </c>
      <c r="K3" s="8" t="str">
        <f>VLOOKUP(E3,[1]characters!$A:$M,13,FALSE)</f>
        <v>human</v>
      </c>
      <c r="L3" s="5">
        <v>1</v>
      </c>
      <c r="M3" s="18">
        <f>5*35</f>
        <v>175</v>
      </c>
      <c r="N3" s="14">
        <v>0</v>
      </c>
      <c r="O3" s="14">
        <v>0</v>
      </c>
      <c r="P3" s="14">
        <v>0</v>
      </c>
      <c r="Q3" s="14">
        <v>0</v>
      </c>
      <c r="R3" s="14">
        <v>1</v>
      </c>
    </row>
    <row r="4" spans="1:18" ht="21" customHeight="1">
      <c r="A4" s="7" t="str">
        <f t="shared" si="0"/>
        <v>16233981</v>
      </c>
      <c r="B4" s="2">
        <v>1623</v>
      </c>
      <c r="C4" s="8" t="str">
        <f t="shared" si="1"/>
        <v>PremiumSS4</v>
      </c>
      <c r="D4" s="8"/>
      <c r="E4" s="44">
        <v>398</v>
      </c>
      <c r="F4" s="8" t="str">
        <f>VLOOKUP(E4,[1]characters!$A:$C,3,FALSE)</f>
        <v>ヘンゼル＆グレーテル</v>
      </c>
      <c r="G4" s="8" t="str">
        <f>VLOOKUP(E4,[1]characters!$A:$J,10,FALSE)</f>
        <v>PremiumSS</v>
      </c>
      <c r="H4" s="8">
        <f>VLOOKUP(E4,[1]characters!$A:$I,9,FALSE)</f>
        <v>4</v>
      </c>
      <c r="I4" s="8" t="str">
        <f>VLOOKUP(E4,[1]characters!$A:$H,8,FALSE)</f>
        <v>yellow</v>
      </c>
      <c r="J4" s="8" t="str">
        <f>VLOOKUP(E4,[1]characters!$A:$K,11,FALSE)</f>
        <v>balance</v>
      </c>
      <c r="K4" s="8" t="str">
        <f>VLOOKUP(E4,[1]characters!$A:$M,13,FALSE)</f>
        <v>human</v>
      </c>
      <c r="L4" s="5">
        <v>1</v>
      </c>
      <c r="M4" s="18">
        <f>95*20</f>
        <v>1900</v>
      </c>
      <c r="N4" s="14">
        <v>0</v>
      </c>
      <c r="O4" s="14">
        <v>0</v>
      </c>
      <c r="P4" s="14">
        <v>0</v>
      </c>
      <c r="Q4" s="14">
        <v>0</v>
      </c>
      <c r="R4" s="14">
        <v>1</v>
      </c>
    </row>
    <row r="5" spans="1:18" ht="21" customHeight="1">
      <c r="A5" s="7" t="str">
        <f t="shared" ref="A5:A7" si="2">B5&amp;E5&amp;L5</f>
        <v>16233991</v>
      </c>
      <c r="B5" s="2">
        <v>1623</v>
      </c>
      <c r="C5" s="8" t="str">
        <f t="shared" ref="C5:C7" si="3">D5&amp;G5&amp;H5</f>
        <v>PremiumSS5</v>
      </c>
      <c r="D5" s="8"/>
      <c r="E5" s="6">
        <v>399</v>
      </c>
      <c r="F5" s="8" t="str">
        <f>VLOOKUP(E5,[1]characters!$A:$C,3,FALSE)</f>
        <v>信愛の兄妹 ヘンゼル＆グレーテル</v>
      </c>
      <c r="G5" s="8" t="str">
        <f>VLOOKUP(E5,[1]characters!$A:$J,10,FALSE)</f>
        <v>PremiumSS</v>
      </c>
      <c r="H5" s="8">
        <f>VLOOKUP(E5,[1]characters!$A:$I,9,FALSE)</f>
        <v>5</v>
      </c>
      <c r="I5" s="8" t="str">
        <f>VLOOKUP(E5,[1]characters!$A:$H,8,FALSE)</f>
        <v>yellow</v>
      </c>
      <c r="J5" s="8" t="str">
        <f>VLOOKUP(E5,[1]characters!$A:$K,11,FALSE)</f>
        <v>balance</v>
      </c>
      <c r="K5" s="8" t="str">
        <f>VLOOKUP(E5,[1]characters!$A:$M,13,FALSE)</f>
        <v>human</v>
      </c>
      <c r="L5" s="5">
        <v>1</v>
      </c>
      <c r="M5" s="18">
        <f>5*20</f>
        <v>100</v>
      </c>
      <c r="N5" s="14">
        <v>0</v>
      </c>
      <c r="O5" s="14">
        <v>0</v>
      </c>
      <c r="P5" s="14">
        <v>0</v>
      </c>
      <c r="Q5" s="14">
        <v>0</v>
      </c>
      <c r="R5" s="14">
        <v>1</v>
      </c>
    </row>
    <row r="6" spans="1:18" ht="21" customHeight="1">
      <c r="A6" s="7" t="str">
        <f t="shared" si="2"/>
        <v>16234011</v>
      </c>
      <c r="B6" s="2">
        <v>1623</v>
      </c>
      <c r="C6" s="8" t="str">
        <f t="shared" si="3"/>
        <v>PremiumS4</v>
      </c>
      <c r="D6" s="8"/>
      <c r="E6" s="44">
        <v>401</v>
      </c>
      <c r="F6" s="8" t="str">
        <f>VLOOKUP(E6,[1]characters!$A:$C,3,FALSE)</f>
        <v>紅銀の孤狼 フェンリル</v>
      </c>
      <c r="G6" s="8" t="str">
        <f>VLOOKUP(E6,[1]characters!$A:$J,10,FALSE)</f>
        <v>PremiumS</v>
      </c>
      <c r="H6" s="8">
        <f>VLOOKUP(E6,[1]characters!$A:$I,9,FALSE)</f>
        <v>4</v>
      </c>
      <c r="I6" s="8" t="str">
        <f>VLOOKUP(E6,[1]characters!$A:$H,8,FALSE)</f>
        <v>red</v>
      </c>
      <c r="J6" s="8" t="str">
        <f>VLOOKUP(E6,[1]characters!$A:$K,11,FALSE)</f>
        <v>attack</v>
      </c>
      <c r="K6" s="8" t="str">
        <f>VLOOKUP(E6,[1]characters!$A:$M,13,FALSE)</f>
        <v>animal</v>
      </c>
      <c r="L6" s="5">
        <v>1</v>
      </c>
      <c r="M6" s="18">
        <f>95*35</f>
        <v>3325</v>
      </c>
      <c r="N6" s="14">
        <v>0</v>
      </c>
      <c r="O6" s="14">
        <v>0</v>
      </c>
      <c r="P6" s="14">
        <v>0</v>
      </c>
      <c r="Q6" s="14">
        <v>0</v>
      </c>
      <c r="R6" s="14">
        <v>1</v>
      </c>
    </row>
    <row r="7" spans="1:18" ht="21" customHeight="1">
      <c r="A7" s="7" t="str">
        <f t="shared" si="2"/>
        <v>16234021</v>
      </c>
      <c r="B7" s="2">
        <v>1623</v>
      </c>
      <c r="C7" s="8" t="str">
        <f t="shared" si="3"/>
        <v>PremiumS5</v>
      </c>
      <c r="D7" s="8"/>
      <c r="E7" s="44">
        <v>402</v>
      </c>
      <c r="F7" s="8" t="str">
        <f>VLOOKUP(E7,[1]characters!$A:$C,3,FALSE)</f>
        <v>天災の神狼 フェンリル</v>
      </c>
      <c r="G7" s="8" t="str">
        <f>VLOOKUP(E7,[1]characters!$A:$J,10,FALSE)</f>
        <v>PremiumS</v>
      </c>
      <c r="H7" s="8">
        <f>VLOOKUP(E7,[1]characters!$A:$I,9,FALSE)</f>
        <v>5</v>
      </c>
      <c r="I7" s="8" t="str">
        <f>VLOOKUP(E7,[1]characters!$A:$H,8,FALSE)</f>
        <v>red</v>
      </c>
      <c r="J7" s="8" t="str">
        <f>VLOOKUP(E7,[1]characters!$A:$K,11,FALSE)</f>
        <v>attack</v>
      </c>
      <c r="K7" s="8" t="str">
        <f>VLOOKUP(E7,[1]characters!$A:$M,13,FALSE)</f>
        <v>animal</v>
      </c>
      <c r="L7" s="5">
        <v>1</v>
      </c>
      <c r="M7" s="18">
        <f>5*35</f>
        <v>175</v>
      </c>
      <c r="N7" s="14">
        <v>0</v>
      </c>
      <c r="O7" s="14">
        <v>0</v>
      </c>
      <c r="P7" s="14">
        <v>0</v>
      </c>
      <c r="Q7" s="14">
        <v>0</v>
      </c>
      <c r="R7" s="14">
        <v>1</v>
      </c>
    </row>
    <row r="8" spans="1:18" ht="21" customHeight="1">
      <c r="A8" s="7" t="str">
        <f t="shared" ref="A8:A9" si="4">B8&amp;E8&amp;L8</f>
        <v>16234671</v>
      </c>
      <c r="B8" s="2">
        <v>1623</v>
      </c>
      <c r="C8" s="8" t="str">
        <f t="shared" ref="C8:C9" si="5">D8&amp;G8&amp;H8</f>
        <v>PremiumSS4</v>
      </c>
      <c r="D8" s="2"/>
      <c r="E8" s="44">
        <v>467</v>
      </c>
      <c r="F8" s="8" t="str">
        <f>VLOOKUP(E8,[1]characters!$A:$C,3,FALSE)</f>
        <v>報復 モルドレッド</v>
      </c>
      <c r="G8" s="8" t="str">
        <f>VLOOKUP(E8,[1]characters!$A:$J,10,FALSE)</f>
        <v>PremiumSS</v>
      </c>
      <c r="H8" s="8">
        <f>VLOOKUP(E8,[1]characters!$A:$I,9,FALSE)</f>
        <v>4</v>
      </c>
      <c r="I8" s="8" t="str">
        <f>VLOOKUP(E8,[1]characters!$A:$H,8,FALSE)</f>
        <v>blue</v>
      </c>
      <c r="J8" s="8" t="str">
        <f>VLOOKUP(E8,[1]characters!$A:$K,11,FALSE)</f>
        <v>technical</v>
      </c>
      <c r="K8" s="8" t="str">
        <f>VLOOKUP(E8,[1]characters!$A:$M,13,FALSE)</f>
        <v>human</v>
      </c>
      <c r="L8" s="5">
        <v>1</v>
      </c>
      <c r="M8" s="18">
        <f>95*10</f>
        <v>950</v>
      </c>
      <c r="N8" s="14">
        <v>0</v>
      </c>
      <c r="O8" s="14">
        <v>0</v>
      </c>
      <c r="P8" s="14">
        <v>0</v>
      </c>
      <c r="Q8" s="14">
        <v>0</v>
      </c>
      <c r="R8" s="14">
        <v>1</v>
      </c>
    </row>
    <row r="9" spans="1:18" ht="21" customHeight="1">
      <c r="A9" s="7" t="str">
        <f t="shared" si="4"/>
        <v>16234681</v>
      </c>
      <c r="B9" s="2">
        <v>1623</v>
      </c>
      <c r="C9" s="8" t="str">
        <f t="shared" si="5"/>
        <v>PremiumSS5</v>
      </c>
      <c r="D9" s="2"/>
      <c r="E9" s="1">
        <v>468</v>
      </c>
      <c r="F9" s="8" t="str">
        <f>VLOOKUP(E9,[1]characters!$A:$C,3,FALSE)</f>
        <v>憎愛の尖鋒 モルドレッド</v>
      </c>
      <c r="G9" s="8" t="str">
        <f>VLOOKUP(E9,[1]characters!$A:$J,10,FALSE)</f>
        <v>PremiumSS</v>
      </c>
      <c r="H9" s="8">
        <f>VLOOKUP(E9,[1]characters!$A:$I,9,FALSE)</f>
        <v>5</v>
      </c>
      <c r="I9" s="8" t="str">
        <f>VLOOKUP(E9,[1]characters!$A:$H,8,FALSE)</f>
        <v>blue</v>
      </c>
      <c r="J9" s="8" t="str">
        <f>VLOOKUP(E9,[1]characters!$A:$K,11,FALSE)</f>
        <v>technical</v>
      </c>
      <c r="K9" s="8" t="str">
        <f>VLOOKUP(E9,[1]characters!$A:$M,13,FALSE)</f>
        <v>human</v>
      </c>
      <c r="L9" s="5">
        <v>1</v>
      </c>
      <c r="M9" s="18">
        <f>5*10</f>
        <v>50</v>
      </c>
      <c r="N9" s="14">
        <v>0</v>
      </c>
      <c r="O9" s="14">
        <v>0</v>
      </c>
      <c r="P9" s="14">
        <v>0</v>
      </c>
      <c r="Q9" s="14">
        <v>0</v>
      </c>
      <c r="R9" s="14">
        <v>1</v>
      </c>
    </row>
    <row r="10" spans="1:18" ht="21" customHeight="1">
      <c r="B10" s="2"/>
      <c r="C10" s="8"/>
      <c r="D10" s="8"/>
      <c r="F10" s="8"/>
      <c r="G10" s="8"/>
      <c r="H10" s="8"/>
      <c r="I10" s="8"/>
      <c r="J10" s="8"/>
      <c r="K10" s="8"/>
      <c r="L10" s="5"/>
      <c r="M10" s="18"/>
      <c r="N10" s="14"/>
      <c r="O10" s="14"/>
      <c r="P10" s="14"/>
      <c r="Q10" s="14"/>
      <c r="R10" s="14"/>
    </row>
    <row r="11" spans="1:18" ht="21" customHeight="1">
      <c r="B11" s="2"/>
      <c r="C11" s="8"/>
      <c r="D11" s="2"/>
      <c r="E11" s="6"/>
      <c r="F11" s="8"/>
      <c r="G11" s="8"/>
      <c r="H11" s="8"/>
      <c r="I11" s="8"/>
      <c r="J11" s="8"/>
      <c r="K11" s="8"/>
      <c r="L11" s="5"/>
      <c r="M11" s="18"/>
      <c r="N11" s="14"/>
      <c r="O11" s="14"/>
      <c r="P11" s="14"/>
      <c r="Q11" s="14"/>
      <c r="R11" s="14"/>
    </row>
    <row r="12" spans="1:18" ht="21" customHeight="1">
      <c r="B12" s="2"/>
      <c r="C12" s="8"/>
      <c r="D12" s="2"/>
      <c r="E12" s="6"/>
      <c r="F12" s="8"/>
      <c r="G12" s="8"/>
      <c r="H12" s="8"/>
      <c r="I12" s="8"/>
      <c r="J12" s="8"/>
      <c r="K12" s="8"/>
      <c r="L12" s="5"/>
      <c r="M12" s="2"/>
      <c r="N12" s="14"/>
      <c r="O12" s="14"/>
      <c r="P12" s="14"/>
      <c r="Q12" s="14"/>
      <c r="R12" s="14"/>
    </row>
    <row r="13" spans="1:18" ht="21" customHeight="1">
      <c r="B13" s="2"/>
      <c r="C13" s="8"/>
      <c r="D13" s="8"/>
      <c r="E13" s="6"/>
      <c r="F13" s="8"/>
      <c r="G13" s="8"/>
      <c r="H13" s="8"/>
      <c r="I13" s="8"/>
      <c r="J13" s="8"/>
      <c r="K13" s="8"/>
      <c r="L13" s="5"/>
      <c r="M13" s="2"/>
      <c r="N13" s="14"/>
      <c r="O13" s="14"/>
      <c r="P13" s="14"/>
      <c r="Q13" s="14"/>
      <c r="R13" s="14"/>
    </row>
    <row r="14" spans="1:18" ht="21" customHeight="1">
      <c r="B14" s="2"/>
      <c r="C14" s="8"/>
      <c r="D14" s="8"/>
      <c r="E14" s="6"/>
      <c r="F14" s="8"/>
      <c r="G14" s="8"/>
      <c r="H14" s="8"/>
      <c r="I14" s="8"/>
      <c r="J14" s="8"/>
      <c r="K14" s="8"/>
      <c r="L14" s="5"/>
      <c r="M14" s="18"/>
      <c r="N14" s="14"/>
      <c r="O14" s="14"/>
      <c r="P14" s="14"/>
      <c r="Q14" s="14"/>
      <c r="R14" s="14"/>
    </row>
    <row r="15" spans="1:18" ht="21" customHeight="1">
      <c r="B15" s="2"/>
      <c r="C15" s="8"/>
      <c r="D15" s="8"/>
      <c r="E15" s="6"/>
      <c r="F15" s="8"/>
      <c r="G15" s="8"/>
      <c r="H15" s="8"/>
      <c r="I15" s="8"/>
      <c r="J15" s="8"/>
      <c r="K15" s="8"/>
      <c r="L15" s="5"/>
      <c r="M15" s="18"/>
      <c r="N15" s="14"/>
      <c r="O15" s="14"/>
      <c r="P15" s="14"/>
      <c r="Q15" s="14"/>
      <c r="R15" s="14"/>
    </row>
    <row r="16" spans="1:18" ht="21" customHeight="1">
      <c r="B16" s="2"/>
      <c r="C16" s="8"/>
      <c r="D16" s="8"/>
      <c r="E16" s="6"/>
      <c r="F16" s="8"/>
      <c r="G16" s="8"/>
      <c r="H16" s="8"/>
      <c r="I16" s="8"/>
      <c r="J16" s="8"/>
      <c r="K16" s="8"/>
      <c r="L16" s="5"/>
      <c r="M16" s="18"/>
      <c r="N16" s="14"/>
      <c r="O16" s="14"/>
      <c r="P16" s="14"/>
      <c r="Q16" s="14"/>
      <c r="R16" s="14"/>
    </row>
    <row r="17" spans="2:18" ht="21" customHeight="1">
      <c r="B17" s="2"/>
      <c r="C17" s="8"/>
      <c r="D17" s="8"/>
      <c r="E17" s="6"/>
      <c r="F17" s="8"/>
      <c r="G17" s="8"/>
      <c r="H17" s="8"/>
      <c r="I17" s="8"/>
      <c r="J17" s="8"/>
      <c r="K17" s="8"/>
      <c r="L17" s="5"/>
      <c r="M17" s="2"/>
      <c r="N17" s="14"/>
      <c r="O17" s="14"/>
      <c r="P17" s="14"/>
      <c r="Q17" s="14"/>
      <c r="R17" s="14"/>
    </row>
    <row r="18" spans="2:18" ht="21" customHeight="1">
      <c r="B18" s="2"/>
      <c r="C18" s="8"/>
      <c r="D18" s="44"/>
      <c r="E18" s="6"/>
      <c r="F18" s="8"/>
      <c r="G18" s="8"/>
      <c r="H18" s="8"/>
      <c r="I18" s="8"/>
      <c r="J18" s="8"/>
      <c r="K18" s="8"/>
      <c r="L18" s="5"/>
      <c r="M18" s="44"/>
      <c r="N18" s="14"/>
      <c r="O18" s="14"/>
      <c r="P18" s="14"/>
      <c r="Q18" s="14"/>
      <c r="R18" s="14"/>
    </row>
    <row r="19" spans="2:18" ht="21" customHeight="1">
      <c r="B19" s="2"/>
      <c r="C19" s="8"/>
      <c r="E19" s="41"/>
      <c r="F19" s="8"/>
      <c r="G19" s="8"/>
      <c r="H19" s="8"/>
      <c r="I19" s="8"/>
      <c r="J19" s="8"/>
      <c r="K19" s="8"/>
      <c r="L19" s="5"/>
      <c r="N19" s="14"/>
      <c r="O19" s="14"/>
      <c r="P19" s="14"/>
      <c r="Q19" s="14"/>
      <c r="R19" s="14"/>
    </row>
    <row r="20" spans="2:18" ht="21" customHeight="1">
      <c r="B20" s="2"/>
      <c r="C20" s="8"/>
      <c r="D20" s="42"/>
      <c r="E20" s="41"/>
      <c r="F20" s="8"/>
      <c r="G20" s="8"/>
      <c r="H20" s="8"/>
      <c r="I20" s="8"/>
      <c r="J20" s="8"/>
      <c r="K20" s="8"/>
      <c r="L20" s="5"/>
      <c r="M20" s="43"/>
      <c r="N20" s="14"/>
      <c r="O20" s="14"/>
      <c r="P20" s="14"/>
      <c r="Q20" s="14"/>
      <c r="R20" s="14"/>
    </row>
    <row r="21" spans="2:18" ht="21" customHeight="1">
      <c r="B21" s="2"/>
      <c r="C21" s="8"/>
      <c r="D21" s="42"/>
      <c r="E21" s="41"/>
      <c r="F21" s="8"/>
      <c r="G21" s="8"/>
      <c r="H21" s="8"/>
      <c r="I21" s="8"/>
      <c r="J21" s="8"/>
      <c r="K21" s="8"/>
      <c r="L21" s="5"/>
      <c r="M21" s="43"/>
      <c r="N21" s="14"/>
      <c r="O21" s="14"/>
      <c r="P21" s="14"/>
      <c r="Q21" s="14"/>
      <c r="R21" s="14"/>
    </row>
    <row r="22" spans="2:18" ht="21" customHeight="1">
      <c r="B22" s="2"/>
      <c r="C22" s="8"/>
      <c r="D22" s="42"/>
      <c r="E22" s="41"/>
      <c r="F22" s="8"/>
      <c r="G22" s="8"/>
      <c r="H22" s="8"/>
      <c r="I22" s="8"/>
      <c r="J22" s="8"/>
      <c r="K22" s="8"/>
      <c r="L22" s="5"/>
      <c r="M22" s="43"/>
      <c r="N22" s="14"/>
      <c r="O22" s="14"/>
      <c r="P22" s="14"/>
      <c r="Q22" s="14"/>
      <c r="R22" s="14"/>
    </row>
    <row r="23" spans="2:18" ht="21" customHeight="1">
      <c r="B23" s="2"/>
      <c r="C23" s="8"/>
      <c r="D23" s="42"/>
      <c r="E23" s="41"/>
      <c r="F23" s="8"/>
      <c r="G23" s="8"/>
      <c r="H23" s="8"/>
      <c r="I23" s="8"/>
      <c r="J23" s="8"/>
      <c r="K23" s="8"/>
      <c r="L23" s="5"/>
      <c r="M23" s="43"/>
      <c r="N23" s="14"/>
      <c r="O23" s="14"/>
      <c r="P23" s="14"/>
      <c r="Q23" s="14"/>
      <c r="R23" s="14"/>
    </row>
    <row r="24" spans="2:18" ht="21" customHeight="1">
      <c r="B24" s="2"/>
      <c r="C24" s="8"/>
      <c r="E24" s="41"/>
      <c r="F24" s="8"/>
      <c r="G24" s="8"/>
      <c r="H24" s="8"/>
      <c r="I24" s="8"/>
      <c r="J24" s="8"/>
      <c r="K24" s="8"/>
      <c r="L24" s="5"/>
      <c r="N24" s="14"/>
      <c r="O24" s="14"/>
      <c r="P24" s="14"/>
      <c r="Q24" s="14"/>
      <c r="R24" s="14"/>
    </row>
    <row r="25" spans="2:18" ht="21" customHeight="1">
      <c r="B25" s="2"/>
      <c r="C25" s="8"/>
      <c r="E25" s="41"/>
      <c r="F25" s="8"/>
      <c r="G25" s="8"/>
      <c r="H25" s="8"/>
      <c r="I25" s="8"/>
      <c r="J25" s="8"/>
      <c r="K25" s="8"/>
      <c r="L25" s="5"/>
      <c r="N25" s="14"/>
      <c r="O25" s="14"/>
      <c r="P25" s="14"/>
      <c r="Q25" s="14"/>
      <c r="R25" s="14"/>
    </row>
    <row r="26" spans="2:18" ht="21" customHeight="1">
      <c r="B26" s="2"/>
      <c r="C26" s="8"/>
      <c r="E26" s="41"/>
      <c r="F26" s="8"/>
      <c r="G26" s="8"/>
      <c r="H26" s="8"/>
      <c r="I26" s="8"/>
      <c r="J26" s="8"/>
      <c r="K26" s="8"/>
      <c r="L26" s="5"/>
      <c r="N26" s="14"/>
      <c r="O26" s="14"/>
      <c r="P26" s="14"/>
      <c r="Q26" s="14"/>
      <c r="R26" s="14"/>
    </row>
    <row r="27" spans="2:18" ht="21" customHeight="1">
      <c r="B27" s="2"/>
      <c r="C27" s="8"/>
      <c r="E27" s="41"/>
      <c r="F27" s="8"/>
      <c r="G27" s="8"/>
      <c r="H27" s="8"/>
      <c r="I27" s="8"/>
      <c r="J27" s="8"/>
      <c r="K27" s="8"/>
      <c r="L27" s="5"/>
      <c r="N27" s="14"/>
      <c r="O27" s="14"/>
      <c r="P27" s="14"/>
      <c r="Q27" s="14"/>
      <c r="R27" s="14"/>
    </row>
    <row r="28" spans="2:18" ht="21" customHeight="1">
      <c r="B28" s="2"/>
      <c r="C28" s="8"/>
      <c r="E28" s="41"/>
      <c r="F28" s="8"/>
      <c r="G28" s="8"/>
      <c r="H28" s="8"/>
      <c r="I28" s="8"/>
      <c r="J28" s="8"/>
      <c r="K28" s="8"/>
      <c r="L28" s="5"/>
      <c r="N28" s="14"/>
      <c r="O28" s="14"/>
      <c r="P28" s="14"/>
      <c r="Q28" s="14"/>
      <c r="R28" s="14"/>
    </row>
    <row r="29" spans="2:18" ht="21" customHeight="1">
      <c r="B29" s="2"/>
      <c r="C29" s="8"/>
      <c r="E29" s="41"/>
      <c r="F29" s="8"/>
      <c r="G29" s="8"/>
      <c r="H29" s="8"/>
      <c r="I29" s="8"/>
      <c r="J29" s="8"/>
      <c r="K29" s="8"/>
      <c r="L29" s="5"/>
      <c r="N29" s="14"/>
      <c r="O29" s="14"/>
      <c r="P29" s="14"/>
      <c r="Q29" s="14"/>
      <c r="R29" s="14"/>
    </row>
    <row r="30" spans="2:18" ht="21" customHeight="1">
      <c r="B30" s="2"/>
      <c r="C30" s="8"/>
      <c r="E30" s="41"/>
      <c r="F30" s="8"/>
      <c r="G30" s="8"/>
      <c r="H30" s="8"/>
      <c r="I30" s="8"/>
      <c r="J30" s="8"/>
      <c r="K30" s="8"/>
      <c r="L30" s="5"/>
      <c r="N30" s="14"/>
      <c r="O30" s="14"/>
      <c r="P30" s="14"/>
      <c r="Q30" s="14"/>
      <c r="R30" s="14"/>
    </row>
    <row r="31" spans="2:18" ht="21" customHeight="1">
      <c r="B31" s="2"/>
      <c r="C31" s="8"/>
      <c r="E31" s="41"/>
      <c r="F31" s="8"/>
      <c r="G31" s="8"/>
      <c r="H31" s="8"/>
      <c r="I31" s="8"/>
      <c r="J31" s="8"/>
      <c r="K31" s="8"/>
      <c r="L31" s="5"/>
      <c r="N31" s="14"/>
      <c r="O31" s="14"/>
      <c r="P31" s="14"/>
      <c r="Q31" s="14"/>
      <c r="R31" s="14"/>
    </row>
  </sheetData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A2" sqref="A2"/>
    </sheetView>
  </sheetViews>
  <sheetFormatPr baseColWidth="12" defaultRowHeight="21" customHeight="1" outlineLevelCol="1" x14ac:dyDescent="0"/>
  <cols>
    <col min="1" max="1" width="12.83203125" style="21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9" t="s">
        <v>22</v>
      </c>
      <c r="C1" s="31" t="s">
        <v>25</v>
      </c>
      <c r="D1" s="22" t="s">
        <v>27</v>
      </c>
      <c r="E1" s="22" t="s">
        <v>28</v>
      </c>
      <c r="F1" s="22" t="s">
        <v>29</v>
      </c>
      <c r="G1" s="19" t="s">
        <v>3</v>
      </c>
      <c r="H1" s="19" t="s">
        <v>30</v>
      </c>
      <c r="I1" s="19" t="s">
        <v>31</v>
      </c>
      <c r="J1" s="19" t="s">
        <v>32</v>
      </c>
      <c r="K1" s="19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output</vt:lpstr>
      <vt:lpstr>gacha_162_base</vt:lpstr>
      <vt:lpstr>gacha_select_tables</vt:lpstr>
      <vt:lpstr>gacha_settle_tables</vt:lpstr>
      <vt:lpstr>gacha_bonus_tables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2015-12-10T08:52:45Z</dcterms:modified>
</cp:coreProperties>
</file>