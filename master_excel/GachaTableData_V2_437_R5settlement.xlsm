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firstSheet="1" activeTab="7"/>
  </bookViews>
  <sheets>
    <sheet name="確率の考え方" sheetId="110" r:id="rId1"/>
    <sheet name="Sheet1" sheetId="107" r:id="rId2"/>
    <sheet name="output" sheetId="103" r:id="rId3"/>
    <sheet name="input_437010" sheetId="157" r:id="rId4"/>
    <sheet name="tables_437010" sheetId="158" r:id="rId5"/>
    <sheet name="input_437100" sheetId="153" r:id="rId6"/>
    <sheet name="tables_437100" sheetId="154" r:id="rId7"/>
    <sheet name="tables_settle_437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tables_437010!$A$1:$V$294</definedName>
    <definedName name="_xlnm._FilterDatabase" localSheetId="6" hidden="1">tables_437100!$A$1:$V$294</definedName>
    <definedName name="_xlnm._FilterDatabase" localSheetId="7" hidden="1">tables_settle_437100!$A$1:$V$1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" i="154" l="1"/>
  <c r="Q3" i="154"/>
  <c r="J4" i="154"/>
  <c r="Q4" i="154"/>
  <c r="J5" i="154"/>
  <c r="Q5" i="154"/>
  <c r="J6" i="154"/>
  <c r="Q6" i="154"/>
  <c r="J7" i="154"/>
  <c r="Q7" i="154"/>
  <c r="J8" i="154"/>
  <c r="Q8" i="154"/>
  <c r="J9" i="154"/>
  <c r="Q9" i="154"/>
  <c r="J10" i="154"/>
  <c r="Q10" i="154"/>
  <c r="J11" i="154"/>
  <c r="Q11" i="154"/>
  <c r="J12" i="154"/>
  <c r="Q12" i="154"/>
  <c r="J13" i="154"/>
  <c r="Q13" i="154"/>
  <c r="J14" i="154"/>
  <c r="Q14" i="154"/>
  <c r="J15" i="154"/>
  <c r="Q15" i="154"/>
  <c r="J16" i="154"/>
  <c r="Q16" i="154"/>
  <c r="J17" i="154"/>
  <c r="Q17" i="154"/>
  <c r="J18" i="154"/>
  <c r="Q18" i="154"/>
  <c r="J19" i="154"/>
  <c r="Q19" i="154"/>
  <c r="J20" i="154"/>
  <c r="Q20" i="154"/>
  <c r="J21" i="154"/>
  <c r="Q21" i="154"/>
  <c r="J22" i="154"/>
  <c r="Q22" i="154"/>
  <c r="J23" i="154"/>
  <c r="Q23" i="154"/>
  <c r="J24" i="154"/>
  <c r="Q24" i="154"/>
  <c r="J25" i="154"/>
  <c r="Q25" i="154"/>
  <c r="J26" i="154"/>
  <c r="Q26" i="154"/>
  <c r="J27" i="154"/>
  <c r="Q27" i="154"/>
  <c r="J28" i="154"/>
  <c r="Q28" i="154"/>
  <c r="J29" i="154"/>
  <c r="Q29" i="154"/>
  <c r="J30" i="154"/>
  <c r="Q30" i="154"/>
  <c r="J31" i="154"/>
  <c r="Q31" i="154"/>
  <c r="J32" i="154"/>
  <c r="Q32" i="154"/>
  <c r="J33" i="154"/>
  <c r="Q33" i="154"/>
  <c r="J34" i="154"/>
  <c r="Q34" i="154"/>
  <c r="J35" i="154"/>
  <c r="Q35" i="154"/>
  <c r="J36" i="154"/>
  <c r="Q36" i="154"/>
  <c r="J37" i="154"/>
  <c r="Q37" i="154"/>
  <c r="J38" i="154"/>
  <c r="Q38" i="154"/>
  <c r="J39" i="154"/>
  <c r="Q39" i="154"/>
  <c r="J40" i="154"/>
  <c r="Q40" i="154"/>
  <c r="J41" i="154"/>
  <c r="Q41" i="154"/>
  <c r="J42" i="154"/>
  <c r="Q42" i="154"/>
  <c r="J43" i="154"/>
  <c r="Q43" i="154"/>
  <c r="J44" i="154"/>
  <c r="Q44" i="154"/>
  <c r="J45" i="154"/>
  <c r="Q45" i="154"/>
  <c r="J46" i="154"/>
  <c r="Q46" i="154"/>
  <c r="J47" i="154"/>
  <c r="Q47" i="154"/>
  <c r="J48" i="154"/>
  <c r="Q48" i="154"/>
  <c r="J49" i="154"/>
  <c r="Q49" i="154"/>
  <c r="J50" i="154"/>
  <c r="Q50" i="154"/>
  <c r="J51" i="154"/>
  <c r="Q51" i="154"/>
  <c r="J52" i="154"/>
  <c r="Q52" i="154"/>
  <c r="J53" i="154"/>
  <c r="Q53" i="154"/>
  <c r="J54" i="154"/>
  <c r="Q54" i="154"/>
  <c r="J55" i="154"/>
  <c r="Q55" i="154"/>
  <c r="J56" i="154"/>
  <c r="Q56" i="154"/>
  <c r="J57" i="154"/>
  <c r="Q57" i="154"/>
  <c r="J58" i="154"/>
  <c r="Q58" i="154"/>
  <c r="J59" i="154"/>
  <c r="Q59" i="154"/>
  <c r="J60" i="154"/>
  <c r="Q60" i="154"/>
  <c r="J61" i="154"/>
  <c r="Q61" i="154"/>
  <c r="J62" i="154"/>
  <c r="Q62" i="154"/>
  <c r="J63" i="154"/>
  <c r="Q63" i="154"/>
  <c r="J64" i="154"/>
  <c r="Q64" i="154"/>
  <c r="J65" i="154"/>
  <c r="Q65" i="154"/>
  <c r="J66" i="154"/>
  <c r="Q66" i="154"/>
  <c r="J67" i="154"/>
  <c r="Q67" i="154"/>
  <c r="J68" i="154"/>
  <c r="Q68" i="154"/>
  <c r="J69" i="154"/>
  <c r="Q69" i="154"/>
  <c r="J70" i="154"/>
  <c r="Q70" i="154"/>
  <c r="J71" i="154"/>
  <c r="Q71" i="154"/>
  <c r="J72" i="154"/>
  <c r="Q72" i="154"/>
  <c r="J73" i="154"/>
  <c r="Q73" i="154"/>
  <c r="J74" i="154"/>
  <c r="Q74" i="154"/>
  <c r="J75" i="154"/>
  <c r="Q75" i="154"/>
  <c r="J76" i="154"/>
  <c r="Q76" i="154"/>
  <c r="J77" i="154"/>
  <c r="Q77" i="154"/>
  <c r="J78" i="154"/>
  <c r="Q78" i="154"/>
  <c r="J79" i="154"/>
  <c r="Q79" i="154"/>
  <c r="J80" i="154"/>
  <c r="Q80" i="154"/>
  <c r="J81" i="154"/>
  <c r="Q81" i="154"/>
  <c r="J82" i="154"/>
  <c r="Q82" i="154"/>
  <c r="J83" i="154"/>
  <c r="Q83" i="154"/>
  <c r="J84" i="154"/>
  <c r="Q84" i="154"/>
  <c r="J85" i="154"/>
  <c r="Q85" i="154"/>
  <c r="J86" i="154"/>
  <c r="Q86" i="154"/>
  <c r="J87" i="154"/>
  <c r="Q87" i="154"/>
  <c r="J88" i="154"/>
  <c r="Q88" i="154"/>
  <c r="J89" i="154"/>
  <c r="Q89" i="154"/>
  <c r="J90" i="154"/>
  <c r="Q90" i="154"/>
  <c r="J91" i="154"/>
  <c r="Q91" i="154"/>
  <c r="J92" i="154"/>
  <c r="Q92" i="154"/>
  <c r="J93" i="154"/>
  <c r="Q93" i="154"/>
  <c r="J94" i="154"/>
  <c r="Q94" i="154"/>
  <c r="J95" i="154"/>
  <c r="Q95" i="154"/>
  <c r="J96" i="154"/>
  <c r="Q96" i="154"/>
  <c r="J97" i="154"/>
  <c r="Q97" i="154"/>
  <c r="J98" i="154"/>
  <c r="Q98" i="154"/>
  <c r="J99" i="154"/>
  <c r="Q99" i="154"/>
  <c r="J100" i="154"/>
  <c r="Q100" i="154"/>
  <c r="J101" i="154"/>
  <c r="Q101" i="154"/>
  <c r="J102" i="154"/>
  <c r="Q102" i="154"/>
  <c r="J103" i="154"/>
  <c r="Q103" i="154"/>
  <c r="J104" i="154"/>
  <c r="Q104" i="154"/>
  <c r="J105" i="154"/>
  <c r="Q105" i="154"/>
  <c r="J106" i="154"/>
  <c r="Q106" i="154"/>
  <c r="J107" i="154"/>
  <c r="Q107" i="154"/>
  <c r="J108" i="154"/>
  <c r="Q108" i="154"/>
  <c r="J109" i="154"/>
  <c r="Q109" i="154"/>
  <c r="J110" i="154"/>
  <c r="Q110" i="154"/>
  <c r="J111" i="154"/>
  <c r="Q111" i="154"/>
  <c r="J112" i="154"/>
  <c r="Q112" i="154"/>
  <c r="J113" i="154"/>
  <c r="Q113" i="154"/>
  <c r="J114" i="154"/>
  <c r="Q114" i="154"/>
  <c r="J115" i="154"/>
  <c r="Q115" i="154"/>
  <c r="J116" i="154"/>
  <c r="Q116" i="154"/>
  <c r="J117" i="154"/>
  <c r="Q117" i="154"/>
  <c r="J118" i="154"/>
  <c r="Q118" i="154"/>
  <c r="J119" i="154"/>
  <c r="Q119" i="154"/>
  <c r="J120" i="154"/>
  <c r="Q120" i="154"/>
  <c r="J121" i="154"/>
  <c r="Q121" i="154"/>
  <c r="J122" i="154"/>
  <c r="Q122" i="154"/>
  <c r="J123" i="154"/>
  <c r="Q123" i="154"/>
  <c r="J124" i="154"/>
  <c r="Q124" i="154"/>
  <c r="J125" i="154"/>
  <c r="Q125" i="154"/>
  <c r="J126" i="154"/>
  <c r="Q126" i="154"/>
  <c r="J127" i="154"/>
  <c r="Q127" i="154"/>
  <c r="J128" i="154"/>
  <c r="Q128" i="154"/>
  <c r="J129" i="154"/>
  <c r="Q129" i="154"/>
  <c r="J130" i="154"/>
  <c r="Q130" i="154"/>
  <c r="J131" i="154"/>
  <c r="Q131" i="154"/>
  <c r="J132" i="154"/>
  <c r="Q132" i="154"/>
  <c r="J133" i="154"/>
  <c r="Q133" i="154"/>
  <c r="J134" i="154"/>
  <c r="Q134" i="154"/>
  <c r="J135" i="154"/>
  <c r="Q135" i="154"/>
  <c r="J136" i="154"/>
  <c r="Q136" i="154"/>
  <c r="J137" i="154"/>
  <c r="Q137" i="154"/>
  <c r="J138" i="154"/>
  <c r="Q138" i="154"/>
  <c r="J139" i="154"/>
  <c r="Q139" i="154"/>
  <c r="J140" i="154"/>
  <c r="Q140" i="154"/>
  <c r="J141" i="154"/>
  <c r="Q141" i="154"/>
  <c r="J142" i="154"/>
  <c r="Q142" i="154"/>
  <c r="J143" i="154"/>
  <c r="Q143" i="154"/>
  <c r="J144" i="154"/>
  <c r="Q144" i="154"/>
  <c r="J145" i="154"/>
  <c r="Q145" i="154"/>
  <c r="J146" i="154"/>
  <c r="Q146" i="154"/>
  <c r="J147" i="154"/>
  <c r="Q147" i="154"/>
  <c r="J148" i="154"/>
  <c r="Q148" i="154"/>
  <c r="J149" i="154"/>
  <c r="Q149" i="154"/>
  <c r="J150" i="154"/>
  <c r="Q150" i="154"/>
  <c r="J151" i="154"/>
  <c r="Q151" i="154"/>
  <c r="J152" i="154"/>
  <c r="Q152" i="154"/>
  <c r="J153" i="154"/>
  <c r="Q153" i="154"/>
  <c r="J154" i="154"/>
  <c r="Q154" i="154"/>
  <c r="J155" i="154"/>
  <c r="Q155" i="154"/>
  <c r="J156" i="154"/>
  <c r="Q156" i="154"/>
  <c r="J157" i="154"/>
  <c r="Q157" i="154"/>
  <c r="J158" i="154"/>
  <c r="Q158" i="154"/>
  <c r="J159" i="154"/>
  <c r="Q159" i="154"/>
  <c r="J160" i="154"/>
  <c r="Q160" i="154"/>
  <c r="J161" i="154"/>
  <c r="Q161" i="154"/>
  <c r="J162" i="154"/>
  <c r="Q162" i="154"/>
  <c r="J163" i="154"/>
  <c r="Q163" i="154"/>
  <c r="J164" i="154"/>
  <c r="Q164" i="154"/>
  <c r="J165" i="154"/>
  <c r="Q165" i="154"/>
  <c r="J166" i="154"/>
  <c r="Q166" i="154"/>
  <c r="J167" i="154"/>
  <c r="Q167" i="154"/>
  <c r="J168" i="154"/>
  <c r="Q168" i="154"/>
  <c r="J169" i="154"/>
  <c r="Q169" i="154"/>
  <c r="J170" i="154"/>
  <c r="Q170" i="154"/>
  <c r="J171" i="154"/>
  <c r="Q171" i="154"/>
  <c r="J172" i="154"/>
  <c r="Q172" i="154"/>
  <c r="J173" i="154"/>
  <c r="Q173" i="154"/>
  <c r="J174" i="154"/>
  <c r="Q174" i="154"/>
  <c r="J175" i="154"/>
  <c r="Q175" i="154"/>
  <c r="J176" i="154"/>
  <c r="Q176" i="154"/>
  <c r="J177" i="154"/>
  <c r="Q177" i="154"/>
  <c r="J178" i="154"/>
  <c r="Q178" i="154"/>
  <c r="J179" i="154"/>
  <c r="Q179" i="154"/>
  <c r="J180" i="154"/>
  <c r="Q180" i="154"/>
  <c r="J181" i="154"/>
  <c r="Q181" i="154"/>
  <c r="J182" i="154"/>
  <c r="Q182" i="154"/>
  <c r="J183" i="154"/>
  <c r="Q183" i="154"/>
  <c r="J184" i="154"/>
  <c r="Q184" i="154"/>
  <c r="J185" i="154"/>
  <c r="Q185" i="154"/>
  <c r="J186" i="154"/>
  <c r="Q186" i="154"/>
  <c r="J187" i="154"/>
  <c r="Q187" i="154"/>
  <c r="J188" i="154"/>
  <c r="Q188" i="154"/>
  <c r="J189" i="154"/>
  <c r="Q189" i="154"/>
  <c r="J190" i="154"/>
  <c r="Q190" i="154"/>
  <c r="J191" i="154"/>
  <c r="Q191" i="154"/>
  <c r="J192" i="154"/>
  <c r="Q192" i="154"/>
  <c r="J193" i="154"/>
  <c r="Q193" i="154"/>
  <c r="J194" i="154"/>
  <c r="Q194" i="154"/>
  <c r="J195" i="154"/>
  <c r="Q195" i="154"/>
  <c r="J196" i="154"/>
  <c r="Q196" i="154"/>
  <c r="J197" i="154"/>
  <c r="Q197" i="154"/>
  <c r="J198" i="154"/>
  <c r="Q198" i="154"/>
  <c r="J199" i="154"/>
  <c r="Q199" i="154"/>
  <c r="J200" i="154"/>
  <c r="Q200" i="154"/>
  <c r="J201" i="154"/>
  <c r="Q201" i="154"/>
  <c r="J202" i="154"/>
  <c r="Q202" i="154"/>
  <c r="J203" i="154"/>
  <c r="Q203" i="154"/>
  <c r="J204" i="154"/>
  <c r="Q204" i="154"/>
  <c r="J205" i="154"/>
  <c r="Q205" i="154"/>
  <c r="J206" i="154"/>
  <c r="Q206" i="154"/>
  <c r="J207" i="154"/>
  <c r="Q207" i="154"/>
  <c r="J208" i="154"/>
  <c r="Q208" i="154"/>
  <c r="J209" i="154"/>
  <c r="Q209" i="154"/>
  <c r="J210" i="154"/>
  <c r="Q210" i="154"/>
  <c r="J211" i="154"/>
  <c r="Q211" i="154"/>
  <c r="J212" i="154"/>
  <c r="Q212" i="154"/>
  <c r="J213" i="154"/>
  <c r="Q213" i="154"/>
  <c r="J214" i="154"/>
  <c r="Q214" i="154"/>
  <c r="J215" i="154"/>
  <c r="Q215" i="154"/>
  <c r="J216" i="154"/>
  <c r="Q216" i="154"/>
  <c r="J217" i="154"/>
  <c r="Q217" i="154"/>
  <c r="J218" i="154"/>
  <c r="Q218" i="154"/>
  <c r="J219" i="154"/>
  <c r="Q219" i="154"/>
  <c r="J220" i="154"/>
  <c r="Q220" i="154"/>
  <c r="J221" i="154"/>
  <c r="Q221" i="154"/>
  <c r="J222" i="154"/>
  <c r="Q222" i="154"/>
  <c r="J223" i="154"/>
  <c r="Q223" i="154"/>
  <c r="J224" i="154"/>
  <c r="Q224" i="154"/>
  <c r="J225" i="154"/>
  <c r="Q225" i="154"/>
  <c r="J226" i="154"/>
  <c r="Q226" i="154"/>
  <c r="J227" i="154"/>
  <c r="Q227" i="154"/>
  <c r="J228" i="154"/>
  <c r="Q228" i="154"/>
  <c r="J229" i="154"/>
  <c r="Q229" i="154"/>
  <c r="J230" i="154"/>
  <c r="Q230" i="154"/>
  <c r="J231" i="154"/>
  <c r="Q231" i="154"/>
  <c r="J232" i="154"/>
  <c r="Q232" i="154"/>
  <c r="J233" i="154"/>
  <c r="Q233" i="154"/>
  <c r="J234" i="154"/>
  <c r="Q234" i="154"/>
  <c r="J235" i="154"/>
  <c r="Q235" i="154"/>
  <c r="J236" i="154"/>
  <c r="Q236" i="154"/>
  <c r="J237" i="154"/>
  <c r="Q237" i="154"/>
  <c r="J238" i="154"/>
  <c r="Q238" i="154"/>
  <c r="J239" i="154"/>
  <c r="Q239" i="154"/>
  <c r="J240" i="154"/>
  <c r="Q240" i="154"/>
  <c r="J241" i="154"/>
  <c r="Q241" i="154"/>
  <c r="J242" i="154"/>
  <c r="Q242" i="154"/>
  <c r="J243" i="154"/>
  <c r="Q243" i="154"/>
  <c r="J244" i="154"/>
  <c r="Q244" i="154"/>
  <c r="J245" i="154"/>
  <c r="Q245" i="154"/>
  <c r="J246" i="154"/>
  <c r="Q246" i="154"/>
  <c r="J247" i="154"/>
  <c r="Q247" i="154"/>
  <c r="J248" i="154"/>
  <c r="Q248" i="154"/>
  <c r="J249" i="154"/>
  <c r="Q249" i="154"/>
  <c r="J250" i="154"/>
  <c r="Q250" i="154"/>
  <c r="J251" i="154"/>
  <c r="Q251" i="154"/>
  <c r="J252" i="154"/>
  <c r="Q252" i="154"/>
  <c r="J253" i="154"/>
  <c r="Q253" i="154"/>
  <c r="J254" i="154"/>
  <c r="Q254" i="154"/>
  <c r="J255" i="154"/>
  <c r="Q255" i="154"/>
  <c r="J256" i="154"/>
  <c r="Q256" i="154"/>
  <c r="J257" i="154"/>
  <c r="Q257" i="154"/>
  <c r="J258" i="154"/>
  <c r="Q258" i="154"/>
  <c r="J259" i="154"/>
  <c r="Q259" i="154"/>
  <c r="J260" i="154"/>
  <c r="Q260" i="154"/>
  <c r="J261" i="154"/>
  <c r="Q261" i="154"/>
  <c r="J262" i="154"/>
  <c r="Q262" i="154"/>
  <c r="J263" i="154"/>
  <c r="Q263" i="154"/>
  <c r="J264" i="154"/>
  <c r="Q264" i="154"/>
  <c r="J265" i="154"/>
  <c r="Q265" i="154"/>
  <c r="J266" i="154"/>
  <c r="Q266" i="154"/>
  <c r="J267" i="154"/>
  <c r="Q267" i="154"/>
  <c r="J268" i="154"/>
  <c r="Q268" i="154"/>
  <c r="J269" i="154"/>
  <c r="Q269" i="154"/>
  <c r="J270" i="154"/>
  <c r="Q270" i="154"/>
  <c r="J271" i="154"/>
  <c r="Q271" i="154"/>
  <c r="J272" i="154"/>
  <c r="Q272" i="154"/>
  <c r="J273" i="154"/>
  <c r="Q273" i="154"/>
  <c r="J274" i="154"/>
  <c r="Q274" i="154"/>
  <c r="J275" i="154"/>
  <c r="Q275" i="154"/>
  <c r="J276" i="154"/>
  <c r="Q276" i="154"/>
  <c r="J277" i="154"/>
  <c r="Q277" i="154"/>
  <c r="J278" i="154"/>
  <c r="Q278" i="154"/>
  <c r="J279" i="154"/>
  <c r="Q279" i="154"/>
  <c r="J280" i="154"/>
  <c r="Q280" i="154"/>
  <c r="J281" i="154"/>
  <c r="Q281" i="154"/>
  <c r="J282" i="154"/>
  <c r="Q282" i="154"/>
  <c r="J283" i="154"/>
  <c r="Q283" i="154"/>
  <c r="J284" i="154"/>
  <c r="Q284" i="154"/>
  <c r="J285" i="154"/>
  <c r="Q285" i="154"/>
  <c r="J286" i="154"/>
  <c r="Q286" i="154"/>
  <c r="J287" i="154"/>
  <c r="Q287" i="154"/>
  <c r="J288" i="154"/>
  <c r="Q288" i="154"/>
  <c r="J289" i="154"/>
  <c r="Q289" i="154"/>
  <c r="J290" i="154"/>
  <c r="Q290" i="154"/>
  <c r="J291" i="154"/>
  <c r="Q291" i="154"/>
  <c r="J292" i="154"/>
  <c r="Q292" i="154"/>
  <c r="J293" i="154"/>
  <c r="Q293" i="154"/>
  <c r="J294" i="154"/>
  <c r="Q294" i="154"/>
  <c r="J295" i="154"/>
  <c r="Q295" i="154"/>
  <c r="J296" i="154"/>
  <c r="Q296" i="154"/>
  <c r="J297" i="154"/>
  <c r="Q297" i="154"/>
  <c r="J298" i="154"/>
  <c r="Q298" i="154"/>
  <c r="J299" i="154"/>
  <c r="Q299" i="154"/>
  <c r="J300" i="154"/>
  <c r="Q300" i="154"/>
  <c r="J301" i="154"/>
  <c r="Q301" i="154"/>
  <c r="J302" i="154"/>
  <c r="Q302" i="154"/>
  <c r="J303" i="154"/>
  <c r="Q303" i="154"/>
  <c r="J304" i="154"/>
  <c r="Q304" i="154"/>
  <c r="J305" i="154"/>
  <c r="Q305" i="154"/>
  <c r="J306" i="154"/>
  <c r="Q306" i="154"/>
  <c r="J307" i="154"/>
  <c r="Q307" i="154"/>
  <c r="J308" i="154"/>
  <c r="Q308" i="154"/>
  <c r="J309" i="154"/>
  <c r="Q309" i="154"/>
  <c r="J310" i="154"/>
  <c r="Q310" i="154"/>
  <c r="J311" i="154"/>
  <c r="Q311" i="154"/>
  <c r="J312" i="154"/>
  <c r="Q312" i="154"/>
  <c r="J313" i="154"/>
  <c r="Q313" i="154"/>
  <c r="J314" i="154"/>
  <c r="Q314" i="154"/>
  <c r="J315" i="154"/>
  <c r="Q315" i="154"/>
  <c r="J316" i="154"/>
  <c r="Q316" i="154"/>
  <c r="J317" i="154"/>
  <c r="Q317" i="154"/>
  <c r="J318" i="154"/>
  <c r="Q318" i="154"/>
  <c r="J319" i="154"/>
  <c r="Q319" i="154"/>
  <c r="J320" i="154"/>
  <c r="Q320" i="154"/>
  <c r="J321" i="154"/>
  <c r="Q321" i="154"/>
  <c r="J322" i="154"/>
  <c r="Q322" i="154"/>
  <c r="J323" i="154"/>
  <c r="Q323" i="154"/>
  <c r="J324" i="154"/>
  <c r="Q324" i="154"/>
  <c r="J325" i="154"/>
  <c r="Q325" i="154"/>
  <c r="J326" i="154"/>
  <c r="Q326" i="154"/>
  <c r="J327" i="154"/>
  <c r="Q327" i="154"/>
  <c r="J328" i="154"/>
  <c r="Q328" i="154"/>
  <c r="J329" i="154"/>
  <c r="Q329" i="154"/>
  <c r="J330" i="154"/>
  <c r="Q330" i="154"/>
  <c r="J2" i="154"/>
  <c r="Q2" i="154"/>
  <c r="J2" i="158"/>
  <c r="Q2" i="158"/>
  <c r="J3" i="158"/>
  <c r="Q3" i="158"/>
  <c r="J4" i="158"/>
  <c r="Q4" i="158"/>
  <c r="J5" i="158"/>
  <c r="Q5" i="158"/>
  <c r="J6" i="158"/>
  <c r="Q6" i="158"/>
  <c r="J7" i="158"/>
  <c r="Q7" i="158"/>
  <c r="J8" i="158"/>
  <c r="Q8" i="158"/>
  <c r="J9" i="158"/>
  <c r="Q9" i="158"/>
  <c r="J10" i="158"/>
  <c r="Q10" i="158"/>
  <c r="J11" i="158"/>
  <c r="Q11" i="158"/>
  <c r="J12" i="158"/>
  <c r="Q12" i="158"/>
  <c r="J13" i="158"/>
  <c r="Q13" i="158"/>
  <c r="J14" i="158"/>
  <c r="Q14" i="158"/>
  <c r="J15" i="158"/>
  <c r="Q15" i="158"/>
  <c r="J16" i="158"/>
  <c r="Q16" i="158"/>
  <c r="J17" i="158"/>
  <c r="Q17" i="158"/>
  <c r="J18" i="158"/>
  <c r="Q18" i="158"/>
  <c r="J19" i="158"/>
  <c r="Q19" i="158"/>
  <c r="J20" i="158"/>
  <c r="Q20" i="158"/>
  <c r="J21" i="158"/>
  <c r="Q21" i="158"/>
  <c r="J22" i="158"/>
  <c r="Q22" i="158"/>
  <c r="J23" i="158"/>
  <c r="Q23" i="158"/>
  <c r="J24" i="158"/>
  <c r="Q24" i="158"/>
  <c r="J25" i="158"/>
  <c r="Q25" i="158"/>
  <c r="J26" i="158"/>
  <c r="Q26" i="158"/>
  <c r="J27" i="158"/>
  <c r="Q27" i="158"/>
  <c r="J28" i="158"/>
  <c r="Q28" i="158"/>
  <c r="J29" i="158"/>
  <c r="Q29" i="158"/>
  <c r="J30" i="158"/>
  <c r="Q30" i="158"/>
  <c r="J31" i="158"/>
  <c r="Q31" i="158"/>
  <c r="J32" i="158"/>
  <c r="Q32" i="158"/>
  <c r="J33" i="158"/>
  <c r="Q33" i="158"/>
  <c r="J34" i="158"/>
  <c r="Q34" i="158"/>
  <c r="J35" i="158"/>
  <c r="Q35" i="158"/>
  <c r="J36" i="158"/>
  <c r="Q36" i="158"/>
  <c r="J37" i="158"/>
  <c r="Q37" i="158"/>
  <c r="J38" i="158"/>
  <c r="Q38" i="158"/>
  <c r="J39" i="158"/>
  <c r="Q39" i="158"/>
  <c r="J40" i="158"/>
  <c r="Q40" i="158"/>
  <c r="J41" i="158"/>
  <c r="Q41" i="158"/>
  <c r="J42" i="158"/>
  <c r="Q42" i="158"/>
  <c r="J43" i="158"/>
  <c r="Q43" i="158"/>
  <c r="J44" i="158"/>
  <c r="Q44" i="158"/>
  <c r="J45" i="158"/>
  <c r="Q45" i="158"/>
  <c r="J46" i="158"/>
  <c r="Q46" i="158"/>
  <c r="J47" i="158"/>
  <c r="Q47" i="158"/>
  <c r="J48" i="158"/>
  <c r="Q48" i="158"/>
  <c r="J49" i="158"/>
  <c r="Q49" i="158"/>
  <c r="J50" i="158"/>
  <c r="Q50" i="158"/>
  <c r="J51" i="158"/>
  <c r="Q51" i="158"/>
  <c r="J52" i="158"/>
  <c r="Q52" i="158"/>
  <c r="J53" i="158"/>
  <c r="Q53" i="158"/>
  <c r="J54" i="158"/>
  <c r="Q54" i="158"/>
  <c r="J55" i="158"/>
  <c r="Q55" i="158"/>
  <c r="J56" i="158"/>
  <c r="Q56" i="158"/>
  <c r="J57" i="158"/>
  <c r="Q57" i="158"/>
  <c r="J58" i="158"/>
  <c r="Q58" i="158"/>
  <c r="J59" i="158"/>
  <c r="Q59" i="158"/>
  <c r="J60" i="158"/>
  <c r="Q60" i="158"/>
  <c r="J61" i="158"/>
  <c r="Q61" i="158"/>
  <c r="J62" i="158"/>
  <c r="Q62" i="158"/>
  <c r="J63" i="158"/>
  <c r="Q63" i="158"/>
  <c r="J64" i="158"/>
  <c r="Q64" i="158"/>
  <c r="J65" i="158"/>
  <c r="Q65" i="158"/>
  <c r="J66" i="158"/>
  <c r="Q66" i="158"/>
  <c r="J67" i="158"/>
  <c r="Q67" i="158"/>
  <c r="J68" i="158"/>
  <c r="Q68" i="158"/>
  <c r="J69" i="158"/>
  <c r="Q69" i="158"/>
  <c r="J70" i="158"/>
  <c r="Q70" i="158"/>
  <c r="J71" i="158"/>
  <c r="Q71" i="158"/>
  <c r="J72" i="158"/>
  <c r="Q72" i="158"/>
  <c r="J73" i="158"/>
  <c r="Q73" i="158"/>
  <c r="J74" i="158"/>
  <c r="Q74" i="158"/>
  <c r="J75" i="158"/>
  <c r="Q75" i="158"/>
  <c r="J76" i="158"/>
  <c r="Q76" i="158"/>
  <c r="J77" i="158"/>
  <c r="Q77" i="158"/>
  <c r="J78" i="158"/>
  <c r="Q78" i="158"/>
  <c r="J79" i="158"/>
  <c r="Q79" i="158"/>
  <c r="J80" i="158"/>
  <c r="Q80" i="158"/>
  <c r="J81" i="158"/>
  <c r="Q81" i="158"/>
  <c r="J82" i="158"/>
  <c r="Q82" i="158"/>
  <c r="J83" i="158"/>
  <c r="Q83" i="158"/>
  <c r="J84" i="158"/>
  <c r="Q84" i="158"/>
  <c r="J85" i="158"/>
  <c r="Q85" i="158"/>
  <c r="J86" i="158"/>
  <c r="Q86" i="158"/>
  <c r="J87" i="158"/>
  <c r="Q87" i="158"/>
  <c r="J88" i="158"/>
  <c r="Q88" i="158"/>
  <c r="J89" i="158"/>
  <c r="Q89" i="158"/>
  <c r="J90" i="158"/>
  <c r="Q90" i="158"/>
  <c r="J91" i="158"/>
  <c r="Q91" i="158"/>
  <c r="J92" i="158"/>
  <c r="Q92" i="158"/>
  <c r="J93" i="158"/>
  <c r="Q93" i="158"/>
  <c r="J94" i="158"/>
  <c r="Q94" i="158"/>
  <c r="J95" i="158"/>
  <c r="Q95" i="158"/>
  <c r="J96" i="158"/>
  <c r="Q96" i="158"/>
  <c r="J97" i="158"/>
  <c r="Q97" i="158"/>
  <c r="J98" i="158"/>
  <c r="Q98" i="158"/>
  <c r="J99" i="158"/>
  <c r="Q99" i="158"/>
  <c r="J100" i="158"/>
  <c r="Q100" i="158"/>
  <c r="J101" i="158"/>
  <c r="Q101" i="158"/>
  <c r="J102" i="158"/>
  <c r="Q102" i="158"/>
  <c r="J103" i="158"/>
  <c r="Q103" i="158"/>
  <c r="J104" i="158"/>
  <c r="Q104" i="158"/>
  <c r="J105" i="158"/>
  <c r="Q105" i="158"/>
  <c r="J106" i="158"/>
  <c r="Q106" i="158"/>
  <c r="J107" i="158"/>
  <c r="Q107" i="158"/>
  <c r="J108" i="158"/>
  <c r="Q108" i="158"/>
  <c r="J109" i="158"/>
  <c r="Q109" i="158"/>
  <c r="J110" i="158"/>
  <c r="Q110" i="158"/>
  <c r="J111" i="158"/>
  <c r="Q111" i="158"/>
  <c r="J112" i="158"/>
  <c r="Q112" i="158"/>
  <c r="J113" i="158"/>
  <c r="Q113" i="158"/>
  <c r="J114" i="158"/>
  <c r="Q114" i="158"/>
  <c r="J115" i="158"/>
  <c r="Q115" i="158"/>
  <c r="J116" i="158"/>
  <c r="Q116" i="158"/>
  <c r="J117" i="158"/>
  <c r="Q117" i="158"/>
  <c r="J118" i="158"/>
  <c r="Q118" i="158"/>
  <c r="J119" i="158"/>
  <c r="Q119" i="158"/>
  <c r="J120" i="158"/>
  <c r="Q120" i="158"/>
  <c r="J121" i="158"/>
  <c r="Q121" i="158"/>
  <c r="J122" i="158"/>
  <c r="Q122" i="158"/>
  <c r="J123" i="158"/>
  <c r="Q123" i="158"/>
  <c r="J124" i="158"/>
  <c r="Q124" i="158"/>
  <c r="J125" i="158"/>
  <c r="Q125" i="158"/>
  <c r="J126" i="158"/>
  <c r="Q126" i="158"/>
  <c r="J127" i="158"/>
  <c r="Q127" i="158"/>
  <c r="J128" i="158"/>
  <c r="Q128" i="158"/>
  <c r="J129" i="158"/>
  <c r="Q129" i="158"/>
  <c r="J130" i="158"/>
  <c r="Q130" i="158"/>
  <c r="J131" i="158"/>
  <c r="Q131" i="158"/>
  <c r="J132" i="158"/>
  <c r="Q132" i="158"/>
  <c r="J133" i="158"/>
  <c r="Q133" i="158"/>
  <c r="J134" i="158"/>
  <c r="Q134" i="158"/>
  <c r="J135" i="158"/>
  <c r="Q135" i="158"/>
  <c r="J136" i="158"/>
  <c r="Q136" i="158"/>
  <c r="J137" i="158"/>
  <c r="Q137" i="158"/>
  <c r="J138" i="158"/>
  <c r="Q138" i="158"/>
  <c r="J139" i="158"/>
  <c r="Q139" i="158"/>
  <c r="J140" i="158"/>
  <c r="Q140" i="158"/>
  <c r="J141" i="158"/>
  <c r="Q141" i="158"/>
  <c r="J142" i="158"/>
  <c r="Q142" i="158"/>
  <c r="J143" i="158"/>
  <c r="Q143" i="158"/>
  <c r="J144" i="158"/>
  <c r="Q144" i="158"/>
  <c r="J145" i="158"/>
  <c r="Q145" i="158"/>
  <c r="J146" i="158"/>
  <c r="Q146" i="158"/>
  <c r="J147" i="158"/>
  <c r="Q147" i="158"/>
  <c r="J148" i="158"/>
  <c r="Q148" i="158"/>
  <c r="J149" i="158"/>
  <c r="Q149" i="158"/>
  <c r="J150" i="158"/>
  <c r="Q150" i="158"/>
  <c r="J151" i="158"/>
  <c r="Q151" i="158"/>
  <c r="J152" i="158"/>
  <c r="Q152" i="158"/>
  <c r="J153" i="158"/>
  <c r="Q153" i="158"/>
  <c r="J154" i="158"/>
  <c r="Q154" i="158"/>
  <c r="J155" i="158"/>
  <c r="Q155" i="158"/>
  <c r="J156" i="158"/>
  <c r="Q156" i="158"/>
  <c r="J157" i="158"/>
  <c r="Q157" i="158"/>
  <c r="J158" i="158"/>
  <c r="Q158" i="158"/>
  <c r="J159" i="158"/>
  <c r="Q159" i="158"/>
  <c r="J160" i="158"/>
  <c r="Q160" i="158"/>
  <c r="J161" i="158"/>
  <c r="Q161" i="158"/>
  <c r="J162" i="158"/>
  <c r="Q162" i="158"/>
  <c r="J163" i="158"/>
  <c r="Q163" i="158"/>
  <c r="J164" i="158"/>
  <c r="Q164" i="158"/>
  <c r="J165" i="158"/>
  <c r="Q165" i="158"/>
  <c r="J166" i="158"/>
  <c r="Q166" i="158"/>
  <c r="J167" i="158"/>
  <c r="Q167" i="158"/>
  <c r="J168" i="158"/>
  <c r="Q168" i="158"/>
  <c r="J169" i="158"/>
  <c r="Q169" i="158"/>
  <c r="J170" i="158"/>
  <c r="Q170" i="158"/>
  <c r="J171" i="158"/>
  <c r="Q171" i="158"/>
  <c r="J172" i="158"/>
  <c r="Q172" i="158"/>
  <c r="J173" i="158"/>
  <c r="Q173" i="158"/>
  <c r="J174" i="158"/>
  <c r="Q174" i="158"/>
  <c r="J175" i="158"/>
  <c r="Q175" i="158"/>
  <c r="J176" i="158"/>
  <c r="Q176" i="158"/>
  <c r="J177" i="158"/>
  <c r="Q177" i="158"/>
  <c r="J178" i="158"/>
  <c r="Q178" i="158"/>
  <c r="J179" i="158"/>
  <c r="Q179" i="158"/>
  <c r="J180" i="158"/>
  <c r="Q180" i="158"/>
  <c r="J181" i="158"/>
  <c r="Q181" i="158"/>
  <c r="J182" i="158"/>
  <c r="Q182" i="158"/>
  <c r="J183" i="158"/>
  <c r="Q183" i="158"/>
  <c r="J184" i="158"/>
  <c r="Q184" i="158"/>
  <c r="J185" i="158"/>
  <c r="Q185" i="158"/>
  <c r="J186" i="158"/>
  <c r="Q186" i="158"/>
  <c r="J187" i="158"/>
  <c r="Q187" i="158"/>
  <c r="J188" i="158"/>
  <c r="Q188" i="158"/>
  <c r="J189" i="158"/>
  <c r="Q189" i="158"/>
  <c r="J190" i="158"/>
  <c r="Q190" i="158"/>
  <c r="J191" i="158"/>
  <c r="Q191" i="158"/>
  <c r="J192" i="158"/>
  <c r="Q192" i="158"/>
  <c r="J193" i="158"/>
  <c r="Q193" i="158"/>
  <c r="J194" i="158"/>
  <c r="Q194" i="158"/>
  <c r="J195" i="158"/>
  <c r="Q195" i="158"/>
  <c r="J196" i="158"/>
  <c r="Q196" i="158"/>
  <c r="J197" i="158"/>
  <c r="Q197" i="158"/>
  <c r="J198" i="158"/>
  <c r="Q198" i="158"/>
  <c r="J199" i="158"/>
  <c r="Q199" i="158"/>
  <c r="J200" i="158"/>
  <c r="Q200" i="158"/>
  <c r="J201" i="158"/>
  <c r="Q201" i="158"/>
  <c r="J202" i="158"/>
  <c r="Q202" i="158"/>
  <c r="J203" i="158"/>
  <c r="Q203" i="158"/>
  <c r="J204" i="158"/>
  <c r="Q204" i="158"/>
  <c r="J205" i="158"/>
  <c r="Q205" i="158"/>
  <c r="J206" i="158"/>
  <c r="Q206" i="158"/>
  <c r="J207" i="158"/>
  <c r="Q207" i="158"/>
  <c r="J208" i="158"/>
  <c r="Q208" i="158"/>
  <c r="J209" i="158"/>
  <c r="Q209" i="158"/>
  <c r="J210" i="158"/>
  <c r="Q210" i="158"/>
  <c r="J211" i="158"/>
  <c r="Q211" i="158"/>
  <c r="J212" i="158"/>
  <c r="Q212" i="158"/>
  <c r="J213" i="158"/>
  <c r="Q213" i="158"/>
  <c r="J214" i="158"/>
  <c r="Q214" i="158"/>
  <c r="J215" i="158"/>
  <c r="Q215" i="158"/>
  <c r="J216" i="158"/>
  <c r="Q216" i="158"/>
  <c r="J217" i="158"/>
  <c r="Q217" i="158"/>
  <c r="J218" i="158"/>
  <c r="Q218" i="158"/>
  <c r="J219" i="158"/>
  <c r="Q219" i="158"/>
  <c r="J220" i="158"/>
  <c r="Q220" i="158"/>
  <c r="J221" i="158"/>
  <c r="Q221" i="158"/>
  <c r="J222" i="158"/>
  <c r="Q222" i="158"/>
  <c r="J223" i="158"/>
  <c r="Q223" i="158"/>
  <c r="J224" i="158"/>
  <c r="Q224" i="158"/>
  <c r="J225" i="158"/>
  <c r="Q225" i="158"/>
  <c r="J226" i="158"/>
  <c r="Q226" i="158"/>
  <c r="J227" i="158"/>
  <c r="Q227" i="158"/>
  <c r="J228" i="158"/>
  <c r="Q228" i="158"/>
  <c r="J229" i="158"/>
  <c r="Q229" i="158"/>
  <c r="J230" i="158"/>
  <c r="Q230" i="158"/>
  <c r="J231" i="158"/>
  <c r="Q231" i="158"/>
  <c r="J232" i="158"/>
  <c r="Q232" i="158"/>
  <c r="J233" i="158"/>
  <c r="Q233" i="158"/>
  <c r="J234" i="158"/>
  <c r="Q234" i="158"/>
  <c r="J235" i="158"/>
  <c r="Q235" i="158"/>
  <c r="J236" i="158"/>
  <c r="Q236" i="158"/>
  <c r="J237" i="158"/>
  <c r="Q237" i="158"/>
  <c r="J238" i="158"/>
  <c r="Q238" i="158"/>
  <c r="J239" i="158"/>
  <c r="Q239" i="158"/>
  <c r="J240" i="158"/>
  <c r="Q240" i="158"/>
  <c r="J241" i="158"/>
  <c r="Q241" i="158"/>
  <c r="J242" i="158"/>
  <c r="Q242" i="158"/>
  <c r="J243" i="158"/>
  <c r="Q243" i="158"/>
  <c r="J244" i="158"/>
  <c r="Q244" i="158"/>
  <c r="J245" i="158"/>
  <c r="Q245" i="158"/>
  <c r="J246" i="158"/>
  <c r="Q246" i="158"/>
  <c r="J247" i="158"/>
  <c r="Q247" i="158"/>
  <c r="J248" i="158"/>
  <c r="Q248" i="158"/>
  <c r="J249" i="158"/>
  <c r="Q249" i="158"/>
  <c r="J250" i="158"/>
  <c r="Q250" i="158"/>
  <c r="J251" i="158"/>
  <c r="Q251" i="158"/>
  <c r="J252" i="158"/>
  <c r="Q252" i="158"/>
  <c r="J253" i="158"/>
  <c r="Q253" i="158"/>
  <c r="J254" i="158"/>
  <c r="Q254" i="158"/>
  <c r="J255" i="158"/>
  <c r="Q255" i="158"/>
  <c r="J256" i="158"/>
  <c r="Q256" i="158"/>
  <c r="J257" i="158"/>
  <c r="Q257" i="158"/>
  <c r="J258" i="158"/>
  <c r="Q258" i="158"/>
  <c r="J259" i="158"/>
  <c r="Q259" i="158"/>
  <c r="J260" i="158"/>
  <c r="Q260" i="158"/>
  <c r="J261" i="158"/>
  <c r="Q261" i="158"/>
  <c r="J262" i="158"/>
  <c r="Q262" i="158"/>
  <c r="J263" i="158"/>
  <c r="Q263" i="158"/>
  <c r="J264" i="158"/>
  <c r="Q264" i="158"/>
  <c r="J265" i="158"/>
  <c r="Q265" i="158"/>
  <c r="J266" i="158"/>
  <c r="Q266" i="158"/>
  <c r="J267" i="158"/>
  <c r="Q267" i="158"/>
  <c r="J268" i="158"/>
  <c r="Q268" i="158"/>
  <c r="J269" i="158"/>
  <c r="Q269" i="158"/>
  <c r="J270" i="158"/>
  <c r="Q270" i="158"/>
  <c r="J271" i="158"/>
  <c r="Q271" i="158"/>
  <c r="J272" i="158"/>
  <c r="Q272" i="158"/>
  <c r="J273" i="158"/>
  <c r="Q273" i="158"/>
  <c r="J274" i="158"/>
  <c r="Q274" i="158"/>
  <c r="J275" i="158"/>
  <c r="Q275" i="158"/>
  <c r="J276" i="158"/>
  <c r="Q276" i="158"/>
  <c r="J277" i="158"/>
  <c r="Q277" i="158"/>
  <c r="J278" i="158"/>
  <c r="Q278" i="158"/>
  <c r="J279" i="158"/>
  <c r="Q279" i="158"/>
  <c r="J280" i="158"/>
  <c r="Q280" i="158"/>
  <c r="J281" i="158"/>
  <c r="Q281" i="158"/>
  <c r="J282" i="158"/>
  <c r="Q282" i="158"/>
  <c r="J283" i="158"/>
  <c r="Q283" i="158"/>
  <c r="J284" i="158"/>
  <c r="Q284" i="158"/>
  <c r="J285" i="158"/>
  <c r="Q285" i="158"/>
  <c r="J286" i="158"/>
  <c r="Q286" i="158"/>
  <c r="J287" i="158"/>
  <c r="Q287" i="158"/>
  <c r="J288" i="158"/>
  <c r="Q288" i="158"/>
  <c r="J289" i="158"/>
  <c r="Q289" i="158"/>
  <c r="J290" i="158"/>
  <c r="Q290" i="158"/>
  <c r="J291" i="158"/>
  <c r="Q291" i="158"/>
  <c r="J292" i="158"/>
  <c r="Q292" i="158"/>
  <c r="J293" i="158"/>
  <c r="Q293" i="158"/>
  <c r="J294" i="158"/>
  <c r="Q294" i="158"/>
  <c r="J295" i="158"/>
  <c r="Q295" i="158"/>
  <c r="J296" i="158"/>
  <c r="Q296" i="158"/>
  <c r="J297" i="158"/>
  <c r="Q297" i="158"/>
  <c r="J298" i="158"/>
  <c r="Q298" i="158"/>
  <c r="J299" i="158"/>
  <c r="Q299" i="158"/>
  <c r="J300" i="158"/>
  <c r="Q300" i="158"/>
  <c r="J301" i="158"/>
  <c r="Q301" i="158"/>
  <c r="J302" i="158"/>
  <c r="Q302" i="158"/>
  <c r="J303" i="158"/>
  <c r="Q303" i="158"/>
  <c r="J304" i="158"/>
  <c r="Q304" i="158"/>
  <c r="J305" i="158"/>
  <c r="Q305" i="158"/>
  <c r="J306" i="158"/>
  <c r="Q306" i="158"/>
  <c r="J307" i="158"/>
  <c r="Q307" i="158"/>
  <c r="J308" i="158"/>
  <c r="Q308" i="158"/>
  <c r="J309" i="158"/>
  <c r="Q309" i="158"/>
  <c r="J310" i="158"/>
  <c r="Q310" i="158"/>
  <c r="J311" i="158"/>
  <c r="Q311" i="158"/>
  <c r="J312" i="158"/>
  <c r="Q312" i="158"/>
  <c r="J313" i="158"/>
  <c r="Q313" i="158"/>
  <c r="J314" i="158"/>
  <c r="Q314" i="158"/>
  <c r="J315" i="158"/>
  <c r="Q315" i="158"/>
  <c r="J316" i="158"/>
  <c r="Q316" i="158"/>
  <c r="J317" i="158"/>
  <c r="Q317" i="158"/>
  <c r="J318" i="158"/>
  <c r="Q318" i="158"/>
  <c r="J319" i="158"/>
  <c r="Q319" i="158"/>
  <c r="J320" i="158"/>
  <c r="Q320" i="158"/>
  <c r="J321" i="158"/>
  <c r="Q321" i="158"/>
  <c r="J322" i="158"/>
  <c r="Q322" i="158"/>
  <c r="J323" i="158"/>
  <c r="Q323" i="158"/>
  <c r="J324" i="158"/>
  <c r="Q324" i="158"/>
  <c r="J325" i="158"/>
  <c r="Q325" i="158"/>
  <c r="J326" i="158"/>
  <c r="Q326" i="158"/>
  <c r="J327" i="158"/>
  <c r="Q327" i="158"/>
  <c r="J328" i="158"/>
  <c r="Q328" i="158"/>
  <c r="J329" i="158"/>
  <c r="Q329" i="158"/>
  <c r="J330" i="158"/>
  <c r="Q330" i="158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10" i="159"/>
  <c r="D10" i="159"/>
  <c r="J10" i="159"/>
  <c r="E10" i="159"/>
  <c r="F10" i="159"/>
  <c r="C10" i="159"/>
  <c r="H10" i="159"/>
  <c r="K10" i="159"/>
  <c r="L10" i="159"/>
  <c r="M10" i="159"/>
  <c r="N10" i="159"/>
  <c r="P10" i="159"/>
  <c r="I11" i="159"/>
  <c r="D11" i="159"/>
  <c r="J11" i="159"/>
  <c r="E11" i="159"/>
  <c r="F11" i="159"/>
  <c r="C11" i="159"/>
  <c r="H11" i="159"/>
  <c r="K11" i="159"/>
  <c r="L11" i="159"/>
  <c r="M11" i="159"/>
  <c r="N11" i="159"/>
  <c r="P11" i="159"/>
  <c r="I12" i="159"/>
  <c r="D12" i="159"/>
  <c r="J12" i="159"/>
  <c r="E12" i="159"/>
  <c r="F12" i="159"/>
  <c r="C12" i="159"/>
  <c r="H12" i="159"/>
  <c r="K12" i="159"/>
  <c r="L12" i="159"/>
  <c r="M12" i="159"/>
  <c r="N12" i="159"/>
  <c r="P12" i="159"/>
  <c r="I13" i="159"/>
  <c r="D13" i="159"/>
  <c r="J13" i="159"/>
  <c r="E13" i="159"/>
  <c r="F13" i="159"/>
  <c r="C13" i="159"/>
  <c r="H13" i="159"/>
  <c r="K13" i="159"/>
  <c r="L13" i="159"/>
  <c r="M13" i="159"/>
  <c r="N13" i="159"/>
  <c r="P13" i="159"/>
  <c r="I14" i="159"/>
  <c r="D14" i="159"/>
  <c r="J14" i="159"/>
  <c r="E14" i="159"/>
  <c r="F14" i="159"/>
  <c r="C14" i="159"/>
  <c r="H14" i="159"/>
  <c r="K14" i="159"/>
  <c r="L14" i="159"/>
  <c r="M14" i="159"/>
  <c r="N14" i="159"/>
  <c r="P14" i="159"/>
  <c r="I15" i="159"/>
  <c r="D15" i="159"/>
  <c r="J15" i="159"/>
  <c r="E15" i="159"/>
  <c r="F15" i="159"/>
  <c r="C15" i="159"/>
  <c r="H15" i="159"/>
  <c r="K15" i="159"/>
  <c r="L15" i="159"/>
  <c r="M15" i="159"/>
  <c r="N15" i="159"/>
  <c r="P15" i="159"/>
  <c r="I16" i="159"/>
  <c r="D16" i="159"/>
  <c r="J16" i="159"/>
  <c r="E16" i="159"/>
  <c r="F16" i="159"/>
  <c r="C16" i="159"/>
  <c r="H16" i="159"/>
  <c r="K16" i="159"/>
  <c r="L16" i="159"/>
  <c r="M16" i="159"/>
  <c r="N16" i="159"/>
  <c r="P16" i="159"/>
  <c r="I17" i="159"/>
  <c r="D17" i="159"/>
  <c r="J17" i="159"/>
  <c r="E17" i="159"/>
  <c r="F17" i="159"/>
  <c r="C17" i="159"/>
  <c r="H17" i="159"/>
  <c r="K17" i="159"/>
  <c r="L17" i="159"/>
  <c r="M17" i="159"/>
  <c r="N17" i="159"/>
  <c r="P17" i="159"/>
  <c r="I18" i="159"/>
  <c r="D18" i="159"/>
  <c r="J18" i="159"/>
  <c r="E18" i="159"/>
  <c r="F18" i="159"/>
  <c r="C18" i="159"/>
  <c r="H18" i="159"/>
  <c r="K18" i="159"/>
  <c r="L18" i="159"/>
  <c r="M18" i="159"/>
  <c r="N18" i="159"/>
  <c r="P18" i="159"/>
  <c r="I19" i="159"/>
  <c r="D19" i="159"/>
  <c r="J19" i="159"/>
  <c r="E19" i="159"/>
  <c r="F19" i="159"/>
  <c r="C19" i="159"/>
  <c r="H19" i="159"/>
  <c r="K19" i="159"/>
  <c r="L19" i="159"/>
  <c r="M19" i="159"/>
  <c r="N19" i="159"/>
  <c r="P19" i="159"/>
  <c r="I20" i="159"/>
  <c r="D20" i="159"/>
  <c r="J20" i="159"/>
  <c r="E20" i="159"/>
  <c r="F20" i="159"/>
  <c r="C20" i="159"/>
  <c r="H20" i="159"/>
  <c r="K20" i="159"/>
  <c r="L20" i="159"/>
  <c r="M20" i="159"/>
  <c r="N20" i="159"/>
  <c r="P20" i="159"/>
  <c r="I21" i="159"/>
  <c r="D21" i="159"/>
  <c r="J21" i="159"/>
  <c r="E21" i="159"/>
  <c r="F21" i="159"/>
  <c r="C21" i="159"/>
  <c r="H21" i="159"/>
  <c r="K21" i="159"/>
  <c r="L21" i="159"/>
  <c r="M21" i="159"/>
  <c r="N21" i="159"/>
  <c r="P21" i="159"/>
  <c r="I22" i="159"/>
  <c r="D22" i="159"/>
  <c r="J22" i="159"/>
  <c r="E22" i="159"/>
  <c r="F22" i="159"/>
  <c r="C22" i="159"/>
  <c r="H22" i="159"/>
  <c r="K22" i="159"/>
  <c r="L22" i="159"/>
  <c r="M22" i="159"/>
  <c r="N22" i="159"/>
  <c r="P22" i="159"/>
  <c r="I23" i="159"/>
  <c r="D23" i="159"/>
  <c r="J23" i="159"/>
  <c r="E23" i="159"/>
  <c r="F23" i="159"/>
  <c r="C23" i="159"/>
  <c r="H23" i="159"/>
  <c r="K23" i="159"/>
  <c r="L23" i="159"/>
  <c r="M23" i="159"/>
  <c r="N23" i="159"/>
  <c r="P23" i="159"/>
  <c r="I24" i="159"/>
  <c r="D24" i="159"/>
  <c r="J24" i="159"/>
  <c r="E24" i="159"/>
  <c r="F24" i="159"/>
  <c r="C24" i="159"/>
  <c r="H24" i="159"/>
  <c r="K24" i="159"/>
  <c r="L24" i="159"/>
  <c r="M24" i="159"/>
  <c r="N24" i="159"/>
  <c r="P24" i="159"/>
  <c r="I25" i="159"/>
  <c r="D25" i="159"/>
  <c r="J25" i="159"/>
  <c r="E25" i="159"/>
  <c r="F25" i="159"/>
  <c r="C25" i="159"/>
  <c r="H25" i="159"/>
  <c r="K25" i="159"/>
  <c r="L25" i="159"/>
  <c r="M25" i="159"/>
  <c r="N25" i="159"/>
  <c r="P25" i="159"/>
  <c r="I26" i="159"/>
  <c r="D26" i="159"/>
  <c r="J26" i="159"/>
  <c r="E26" i="159"/>
  <c r="F26" i="159"/>
  <c r="C26" i="159"/>
  <c r="H26" i="159"/>
  <c r="K26" i="159"/>
  <c r="L26" i="159"/>
  <c r="M26" i="159"/>
  <c r="N26" i="159"/>
  <c r="P26" i="159"/>
  <c r="I27" i="159"/>
  <c r="D27" i="159"/>
  <c r="J27" i="159"/>
  <c r="E27" i="159"/>
  <c r="F27" i="159"/>
  <c r="C27" i="159"/>
  <c r="H27" i="159"/>
  <c r="K27" i="159"/>
  <c r="L27" i="159"/>
  <c r="M27" i="159"/>
  <c r="N27" i="159"/>
  <c r="P27" i="159"/>
  <c r="I28" i="159"/>
  <c r="D28" i="159"/>
  <c r="J28" i="159"/>
  <c r="E28" i="159"/>
  <c r="F28" i="159"/>
  <c r="C28" i="159"/>
  <c r="H28" i="159"/>
  <c r="K28" i="159"/>
  <c r="L28" i="159"/>
  <c r="M28" i="159"/>
  <c r="N28" i="159"/>
  <c r="P28" i="159"/>
  <c r="I29" i="159"/>
  <c r="D29" i="159"/>
  <c r="J29" i="159"/>
  <c r="E29" i="159"/>
  <c r="F29" i="159"/>
  <c r="C29" i="159"/>
  <c r="H29" i="159"/>
  <c r="K29" i="159"/>
  <c r="L29" i="159"/>
  <c r="M29" i="159"/>
  <c r="N29" i="159"/>
  <c r="P29" i="159"/>
  <c r="I30" i="159"/>
  <c r="D30" i="159"/>
  <c r="J30" i="159"/>
  <c r="E30" i="159"/>
  <c r="F30" i="159"/>
  <c r="C30" i="159"/>
  <c r="H30" i="159"/>
  <c r="K30" i="159"/>
  <c r="L30" i="159"/>
  <c r="M30" i="159"/>
  <c r="N30" i="159"/>
  <c r="P30" i="159"/>
  <c r="I31" i="159"/>
  <c r="D31" i="159"/>
  <c r="J31" i="159"/>
  <c r="E31" i="159"/>
  <c r="F31" i="159"/>
  <c r="C31" i="159"/>
  <c r="H31" i="159"/>
  <c r="K31" i="159"/>
  <c r="L31" i="159"/>
  <c r="M31" i="159"/>
  <c r="N31" i="159"/>
  <c r="P31" i="159"/>
  <c r="I32" i="159"/>
  <c r="D32" i="159"/>
  <c r="J32" i="159"/>
  <c r="E32" i="159"/>
  <c r="F32" i="159"/>
  <c r="C32" i="159"/>
  <c r="H32" i="159"/>
  <c r="K32" i="159"/>
  <c r="L32" i="159"/>
  <c r="M32" i="159"/>
  <c r="N32" i="159"/>
  <c r="P32" i="159"/>
  <c r="I33" i="159"/>
  <c r="D33" i="159"/>
  <c r="J33" i="159"/>
  <c r="E33" i="159"/>
  <c r="F33" i="159"/>
  <c r="C33" i="159"/>
  <c r="H33" i="159"/>
  <c r="K33" i="159"/>
  <c r="L33" i="159"/>
  <c r="M33" i="159"/>
  <c r="N33" i="159"/>
  <c r="P33" i="159"/>
  <c r="I34" i="159"/>
  <c r="D34" i="159"/>
  <c r="J34" i="159"/>
  <c r="E34" i="159"/>
  <c r="F34" i="159"/>
  <c r="C34" i="159"/>
  <c r="H34" i="159"/>
  <c r="K34" i="159"/>
  <c r="L34" i="159"/>
  <c r="M34" i="159"/>
  <c r="N34" i="159"/>
  <c r="P34" i="159"/>
  <c r="I35" i="159"/>
  <c r="D35" i="159"/>
  <c r="J35" i="159"/>
  <c r="E35" i="159"/>
  <c r="F35" i="159"/>
  <c r="C35" i="159"/>
  <c r="H35" i="159"/>
  <c r="K35" i="159"/>
  <c r="L35" i="159"/>
  <c r="M35" i="159"/>
  <c r="N35" i="159"/>
  <c r="P35" i="159"/>
  <c r="I36" i="159"/>
  <c r="D36" i="159"/>
  <c r="J36" i="159"/>
  <c r="E36" i="159"/>
  <c r="F36" i="159"/>
  <c r="C36" i="159"/>
  <c r="H36" i="159"/>
  <c r="K36" i="159"/>
  <c r="L36" i="159"/>
  <c r="M36" i="159"/>
  <c r="N36" i="159"/>
  <c r="P36" i="159"/>
  <c r="I37" i="159"/>
  <c r="D37" i="159"/>
  <c r="J37" i="159"/>
  <c r="E37" i="159"/>
  <c r="F37" i="159"/>
  <c r="C37" i="159"/>
  <c r="H37" i="159"/>
  <c r="K37" i="159"/>
  <c r="L37" i="159"/>
  <c r="M37" i="159"/>
  <c r="N37" i="159"/>
  <c r="P37" i="159"/>
  <c r="I38" i="159"/>
  <c r="D38" i="159"/>
  <c r="J38" i="159"/>
  <c r="E38" i="159"/>
  <c r="F38" i="159"/>
  <c r="C38" i="159"/>
  <c r="H38" i="159"/>
  <c r="K38" i="159"/>
  <c r="L38" i="159"/>
  <c r="M38" i="159"/>
  <c r="N38" i="159"/>
  <c r="P38" i="159"/>
  <c r="I39" i="159"/>
  <c r="D39" i="159"/>
  <c r="J39" i="159"/>
  <c r="E39" i="159"/>
  <c r="F39" i="159"/>
  <c r="C39" i="159"/>
  <c r="H39" i="159"/>
  <c r="K39" i="159"/>
  <c r="L39" i="159"/>
  <c r="M39" i="159"/>
  <c r="N39" i="159"/>
  <c r="P39" i="159"/>
  <c r="I40" i="159"/>
  <c r="D40" i="159"/>
  <c r="J40" i="159"/>
  <c r="E40" i="159"/>
  <c r="F40" i="159"/>
  <c r="C40" i="159"/>
  <c r="H40" i="159"/>
  <c r="K40" i="159"/>
  <c r="L40" i="159"/>
  <c r="M40" i="159"/>
  <c r="N40" i="159"/>
  <c r="P40" i="159"/>
  <c r="I41" i="159"/>
  <c r="D41" i="159"/>
  <c r="J41" i="159"/>
  <c r="E41" i="159"/>
  <c r="F41" i="159"/>
  <c r="C41" i="159"/>
  <c r="H41" i="159"/>
  <c r="K41" i="159"/>
  <c r="L41" i="159"/>
  <c r="M41" i="159"/>
  <c r="N41" i="159"/>
  <c r="P41" i="159"/>
  <c r="I42" i="159"/>
  <c r="D42" i="159"/>
  <c r="J42" i="159"/>
  <c r="E42" i="159"/>
  <c r="F42" i="159"/>
  <c r="C42" i="159"/>
  <c r="H42" i="159"/>
  <c r="K42" i="159"/>
  <c r="L42" i="159"/>
  <c r="M42" i="159"/>
  <c r="N42" i="159"/>
  <c r="P42" i="159"/>
  <c r="I43" i="159"/>
  <c r="D43" i="159"/>
  <c r="J43" i="159"/>
  <c r="E43" i="159"/>
  <c r="F43" i="159"/>
  <c r="C43" i="159"/>
  <c r="H43" i="159"/>
  <c r="K43" i="159"/>
  <c r="L43" i="159"/>
  <c r="M43" i="159"/>
  <c r="N43" i="159"/>
  <c r="P43" i="159"/>
  <c r="I44" i="159"/>
  <c r="D44" i="159"/>
  <c r="J44" i="159"/>
  <c r="E44" i="159"/>
  <c r="F44" i="159"/>
  <c r="C44" i="159"/>
  <c r="H44" i="159"/>
  <c r="K44" i="159"/>
  <c r="L44" i="159"/>
  <c r="M44" i="159"/>
  <c r="N44" i="159"/>
  <c r="P44" i="159"/>
  <c r="I45" i="159"/>
  <c r="D45" i="159"/>
  <c r="J45" i="159"/>
  <c r="E45" i="159"/>
  <c r="F45" i="159"/>
  <c r="C45" i="159"/>
  <c r="H45" i="159"/>
  <c r="K45" i="159"/>
  <c r="L45" i="159"/>
  <c r="M45" i="159"/>
  <c r="N45" i="159"/>
  <c r="P45" i="159"/>
  <c r="I46" i="159"/>
  <c r="D46" i="159"/>
  <c r="J46" i="159"/>
  <c r="E46" i="159"/>
  <c r="F46" i="159"/>
  <c r="C46" i="159"/>
  <c r="H46" i="159"/>
  <c r="K46" i="159"/>
  <c r="L46" i="159"/>
  <c r="M46" i="159"/>
  <c r="N46" i="159"/>
  <c r="P46" i="159"/>
  <c r="I47" i="159"/>
  <c r="D47" i="159"/>
  <c r="J47" i="159"/>
  <c r="E47" i="159"/>
  <c r="F47" i="159"/>
  <c r="C47" i="159"/>
  <c r="H47" i="159"/>
  <c r="K47" i="159"/>
  <c r="L47" i="159"/>
  <c r="M47" i="159"/>
  <c r="N47" i="159"/>
  <c r="P47" i="159"/>
  <c r="I48" i="159"/>
  <c r="D48" i="159"/>
  <c r="J48" i="159"/>
  <c r="E48" i="159"/>
  <c r="F48" i="159"/>
  <c r="C48" i="159"/>
  <c r="H48" i="159"/>
  <c r="K48" i="159"/>
  <c r="L48" i="159"/>
  <c r="M48" i="159"/>
  <c r="N48" i="159"/>
  <c r="P48" i="159"/>
  <c r="I49" i="159"/>
  <c r="D49" i="159"/>
  <c r="J49" i="159"/>
  <c r="E49" i="159"/>
  <c r="F49" i="159"/>
  <c r="C49" i="159"/>
  <c r="H49" i="159"/>
  <c r="K49" i="159"/>
  <c r="L49" i="159"/>
  <c r="M49" i="159"/>
  <c r="N49" i="159"/>
  <c r="P49" i="159"/>
  <c r="I50" i="159"/>
  <c r="D50" i="159"/>
  <c r="J50" i="159"/>
  <c r="E50" i="159"/>
  <c r="F50" i="159"/>
  <c r="C50" i="159"/>
  <c r="H50" i="159"/>
  <c r="K50" i="159"/>
  <c r="L50" i="159"/>
  <c r="M50" i="159"/>
  <c r="N50" i="159"/>
  <c r="P50" i="159"/>
  <c r="I51" i="159"/>
  <c r="D51" i="159"/>
  <c r="J51" i="159"/>
  <c r="E51" i="159"/>
  <c r="F51" i="159"/>
  <c r="C51" i="159"/>
  <c r="H51" i="159"/>
  <c r="K51" i="159"/>
  <c r="L51" i="159"/>
  <c r="M51" i="159"/>
  <c r="N51" i="159"/>
  <c r="P51" i="159"/>
  <c r="I52" i="159"/>
  <c r="D52" i="159"/>
  <c r="J52" i="159"/>
  <c r="E52" i="159"/>
  <c r="F52" i="159"/>
  <c r="C52" i="159"/>
  <c r="H52" i="159"/>
  <c r="K52" i="159"/>
  <c r="L52" i="159"/>
  <c r="M52" i="159"/>
  <c r="N52" i="159"/>
  <c r="P52" i="159"/>
  <c r="I53" i="159"/>
  <c r="D53" i="159"/>
  <c r="J53" i="159"/>
  <c r="E53" i="159"/>
  <c r="F53" i="159"/>
  <c r="C53" i="159"/>
  <c r="H53" i="159"/>
  <c r="K53" i="159"/>
  <c r="L53" i="159"/>
  <c r="M53" i="159"/>
  <c r="N53" i="159"/>
  <c r="P53" i="159"/>
  <c r="I54" i="159"/>
  <c r="D54" i="159"/>
  <c r="J54" i="159"/>
  <c r="E54" i="159"/>
  <c r="F54" i="159"/>
  <c r="C54" i="159"/>
  <c r="H54" i="159"/>
  <c r="K54" i="159"/>
  <c r="L54" i="159"/>
  <c r="M54" i="159"/>
  <c r="N54" i="159"/>
  <c r="P54" i="159"/>
  <c r="I55" i="159"/>
  <c r="D55" i="159"/>
  <c r="J55" i="159"/>
  <c r="E55" i="159"/>
  <c r="F55" i="159"/>
  <c r="C55" i="159"/>
  <c r="H55" i="159"/>
  <c r="K55" i="159"/>
  <c r="L55" i="159"/>
  <c r="M55" i="159"/>
  <c r="N55" i="159"/>
  <c r="P55" i="159"/>
  <c r="I56" i="159"/>
  <c r="D56" i="159"/>
  <c r="J56" i="159"/>
  <c r="E56" i="159"/>
  <c r="F56" i="159"/>
  <c r="C56" i="159"/>
  <c r="H56" i="159"/>
  <c r="K56" i="159"/>
  <c r="L56" i="159"/>
  <c r="M56" i="159"/>
  <c r="N56" i="159"/>
  <c r="P56" i="159"/>
  <c r="I57" i="159"/>
  <c r="D57" i="159"/>
  <c r="J57" i="159"/>
  <c r="E57" i="159"/>
  <c r="F57" i="159"/>
  <c r="C57" i="159"/>
  <c r="H57" i="159"/>
  <c r="K57" i="159"/>
  <c r="L57" i="159"/>
  <c r="M57" i="159"/>
  <c r="N57" i="159"/>
  <c r="P57" i="159"/>
  <c r="I58" i="159"/>
  <c r="D58" i="159"/>
  <c r="J58" i="159"/>
  <c r="E58" i="159"/>
  <c r="F58" i="159"/>
  <c r="C58" i="159"/>
  <c r="H58" i="159"/>
  <c r="K58" i="159"/>
  <c r="L58" i="159"/>
  <c r="M58" i="159"/>
  <c r="N58" i="159"/>
  <c r="P58" i="159"/>
  <c r="I59" i="159"/>
  <c r="D59" i="159"/>
  <c r="J59" i="159"/>
  <c r="E59" i="159"/>
  <c r="F59" i="159"/>
  <c r="C59" i="159"/>
  <c r="H59" i="159"/>
  <c r="K59" i="159"/>
  <c r="L59" i="159"/>
  <c r="M59" i="159"/>
  <c r="N59" i="159"/>
  <c r="P59" i="159"/>
  <c r="I60" i="159"/>
  <c r="D60" i="159"/>
  <c r="J60" i="159"/>
  <c r="E60" i="159"/>
  <c r="F60" i="159"/>
  <c r="C60" i="159"/>
  <c r="H60" i="159"/>
  <c r="K60" i="159"/>
  <c r="L60" i="159"/>
  <c r="M60" i="159"/>
  <c r="N60" i="159"/>
  <c r="P60" i="159"/>
  <c r="I61" i="159"/>
  <c r="D61" i="159"/>
  <c r="J61" i="159"/>
  <c r="E61" i="159"/>
  <c r="F61" i="159"/>
  <c r="C61" i="159"/>
  <c r="H61" i="159"/>
  <c r="K61" i="159"/>
  <c r="L61" i="159"/>
  <c r="M61" i="159"/>
  <c r="N61" i="159"/>
  <c r="P61" i="159"/>
  <c r="I62" i="159"/>
  <c r="D62" i="159"/>
  <c r="J62" i="159"/>
  <c r="E62" i="159"/>
  <c r="F62" i="159"/>
  <c r="C62" i="159"/>
  <c r="H62" i="159"/>
  <c r="K62" i="159"/>
  <c r="L62" i="159"/>
  <c r="M62" i="159"/>
  <c r="N62" i="159"/>
  <c r="P62" i="159"/>
  <c r="I63" i="159"/>
  <c r="D63" i="159"/>
  <c r="J63" i="159"/>
  <c r="E63" i="159"/>
  <c r="F63" i="159"/>
  <c r="C63" i="159"/>
  <c r="H63" i="159"/>
  <c r="K63" i="159"/>
  <c r="L63" i="159"/>
  <c r="M63" i="159"/>
  <c r="N63" i="159"/>
  <c r="P63" i="159"/>
  <c r="I64" i="159"/>
  <c r="D64" i="159"/>
  <c r="J64" i="159"/>
  <c r="E64" i="159"/>
  <c r="F64" i="159"/>
  <c r="C64" i="159"/>
  <c r="H64" i="159"/>
  <c r="K64" i="159"/>
  <c r="L64" i="159"/>
  <c r="M64" i="159"/>
  <c r="N64" i="159"/>
  <c r="P64" i="159"/>
  <c r="I65" i="159"/>
  <c r="D65" i="159"/>
  <c r="J65" i="159"/>
  <c r="E65" i="159"/>
  <c r="F65" i="159"/>
  <c r="C65" i="159"/>
  <c r="H65" i="159"/>
  <c r="K65" i="159"/>
  <c r="L65" i="159"/>
  <c r="M65" i="159"/>
  <c r="N65" i="159"/>
  <c r="P65" i="159"/>
  <c r="I66" i="159"/>
  <c r="D66" i="159"/>
  <c r="J66" i="159"/>
  <c r="E66" i="159"/>
  <c r="F66" i="159"/>
  <c r="C66" i="159"/>
  <c r="H66" i="159"/>
  <c r="K66" i="159"/>
  <c r="L66" i="159"/>
  <c r="M66" i="159"/>
  <c r="N66" i="159"/>
  <c r="P66" i="159"/>
  <c r="I67" i="159"/>
  <c r="D67" i="159"/>
  <c r="J67" i="159"/>
  <c r="E67" i="159"/>
  <c r="F67" i="159"/>
  <c r="C67" i="159"/>
  <c r="H67" i="159"/>
  <c r="K67" i="159"/>
  <c r="L67" i="159"/>
  <c r="M67" i="159"/>
  <c r="N67" i="159"/>
  <c r="P67" i="159"/>
  <c r="I68" i="159"/>
  <c r="D68" i="159"/>
  <c r="J68" i="159"/>
  <c r="E68" i="159"/>
  <c r="F68" i="159"/>
  <c r="C68" i="159"/>
  <c r="H68" i="159"/>
  <c r="K68" i="159"/>
  <c r="L68" i="159"/>
  <c r="M68" i="159"/>
  <c r="N68" i="159"/>
  <c r="P68" i="159"/>
  <c r="I69" i="159"/>
  <c r="D69" i="159"/>
  <c r="J69" i="159"/>
  <c r="E69" i="159"/>
  <c r="F69" i="159"/>
  <c r="C69" i="159"/>
  <c r="H69" i="159"/>
  <c r="K69" i="159"/>
  <c r="L69" i="159"/>
  <c r="M69" i="159"/>
  <c r="N69" i="159"/>
  <c r="P69" i="159"/>
  <c r="I70" i="159"/>
  <c r="D70" i="159"/>
  <c r="J70" i="159"/>
  <c r="E70" i="159"/>
  <c r="F70" i="159"/>
  <c r="C70" i="159"/>
  <c r="H70" i="159"/>
  <c r="K70" i="159"/>
  <c r="L70" i="159"/>
  <c r="M70" i="159"/>
  <c r="N70" i="159"/>
  <c r="P70" i="159"/>
  <c r="I71" i="159"/>
  <c r="D71" i="159"/>
  <c r="J71" i="159"/>
  <c r="E71" i="159"/>
  <c r="F71" i="159"/>
  <c r="C71" i="159"/>
  <c r="H71" i="159"/>
  <c r="K71" i="159"/>
  <c r="L71" i="159"/>
  <c r="M71" i="159"/>
  <c r="N71" i="159"/>
  <c r="P71" i="159"/>
  <c r="I72" i="159"/>
  <c r="D72" i="159"/>
  <c r="J72" i="159"/>
  <c r="E72" i="159"/>
  <c r="F72" i="159"/>
  <c r="C72" i="159"/>
  <c r="H72" i="159"/>
  <c r="K72" i="159"/>
  <c r="L72" i="159"/>
  <c r="M72" i="159"/>
  <c r="N72" i="159"/>
  <c r="P72" i="159"/>
  <c r="I73" i="159"/>
  <c r="D73" i="159"/>
  <c r="J73" i="159"/>
  <c r="E73" i="159"/>
  <c r="F73" i="159"/>
  <c r="C73" i="159"/>
  <c r="H73" i="159"/>
  <c r="K73" i="159"/>
  <c r="L73" i="159"/>
  <c r="M73" i="159"/>
  <c r="N73" i="159"/>
  <c r="P73" i="159"/>
  <c r="I74" i="159"/>
  <c r="D74" i="159"/>
  <c r="J74" i="159"/>
  <c r="E74" i="159"/>
  <c r="F74" i="159"/>
  <c r="C74" i="159"/>
  <c r="H74" i="159"/>
  <c r="K74" i="159"/>
  <c r="L74" i="159"/>
  <c r="M74" i="159"/>
  <c r="N74" i="159"/>
  <c r="P74" i="159"/>
  <c r="I75" i="159"/>
  <c r="D75" i="159"/>
  <c r="J75" i="159"/>
  <c r="E75" i="159"/>
  <c r="F75" i="159"/>
  <c r="C75" i="159"/>
  <c r="H75" i="159"/>
  <c r="K75" i="159"/>
  <c r="L75" i="159"/>
  <c r="M75" i="159"/>
  <c r="N75" i="159"/>
  <c r="P75" i="159"/>
  <c r="I76" i="159"/>
  <c r="D76" i="159"/>
  <c r="J76" i="159"/>
  <c r="E76" i="159"/>
  <c r="F76" i="159"/>
  <c r="C76" i="159"/>
  <c r="H76" i="159"/>
  <c r="K76" i="159"/>
  <c r="L76" i="159"/>
  <c r="M76" i="159"/>
  <c r="N76" i="159"/>
  <c r="P76" i="159"/>
  <c r="I77" i="159"/>
  <c r="D77" i="159"/>
  <c r="J77" i="159"/>
  <c r="E77" i="159"/>
  <c r="F77" i="159"/>
  <c r="C77" i="159"/>
  <c r="H77" i="159"/>
  <c r="K77" i="159"/>
  <c r="L77" i="159"/>
  <c r="M77" i="159"/>
  <c r="N77" i="159"/>
  <c r="P77" i="159"/>
  <c r="I78" i="159"/>
  <c r="D78" i="159"/>
  <c r="J78" i="159"/>
  <c r="E78" i="159"/>
  <c r="F78" i="159"/>
  <c r="C78" i="159"/>
  <c r="H78" i="159"/>
  <c r="K78" i="159"/>
  <c r="L78" i="159"/>
  <c r="M78" i="159"/>
  <c r="N78" i="159"/>
  <c r="P78" i="159"/>
  <c r="I79" i="159"/>
  <c r="D79" i="159"/>
  <c r="J79" i="159"/>
  <c r="E79" i="159"/>
  <c r="F79" i="159"/>
  <c r="C79" i="159"/>
  <c r="H79" i="159"/>
  <c r="K79" i="159"/>
  <c r="L79" i="159"/>
  <c r="M79" i="159"/>
  <c r="N79" i="159"/>
  <c r="P79" i="159"/>
  <c r="I80" i="159"/>
  <c r="D80" i="159"/>
  <c r="J80" i="159"/>
  <c r="E80" i="159"/>
  <c r="F80" i="159"/>
  <c r="C80" i="159"/>
  <c r="H80" i="159"/>
  <c r="K80" i="159"/>
  <c r="L80" i="159"/>
  <c r="M80" i="159"/>
  <c r="N80" i="159"/>
  <c r="P80" i="159"/>
  <c r="I81" i="159"/>
  <c r="D81" i="159"/>
  <c r="J81" i="159"/>
  <c r="E81" i="159"/>
  <c r="F81" i="159"/>
  <c r="C81" i="159"/>
  <c r="H81" i="159"/>
  <c r="K81" i="159"/>
  <c r="L81" i="159"/>
  <c r="M81" i="159"/>
  <c r="N81" i="159"/>
  <c r="P81" i="159"/>
  <c r="I82" i="159"/>
  <c r="D82" i="159"/>
  <c r="J82" i="159"/>
  <c r="E82" i="159"/>
  <c r="F82" i="159"/>
  <c r="C82" i="159"/>
  <c r="H82" i="159"/>
  <c r="K82" i="159"/>
  <c r="L82" i="159"/>
  <c r="M82" i="159"/>
  <c r="N82" i="159"/>
  <c r="P82" i="159"/>
  <c r="I83" i="159"/>
  <c r="D83" i="159"/>
  <c r="J83" i="159"/>
  <c r="E83" i="159"/>
  <c r="F83" i="159"/>
  <c r="C83" i="159"/>
  <c r="H83" i="159"/>
  <c r="K83" i="159"/>
  <c r="L83" i="159"/>
  <c r="M83" i="159"/>
  <c r="N83" i="159"/>
  <c r="P83" i="159"/>
  <c r="I84" i="159"/>
  <c r="D84" i="159"/>
  <c r="J84" i="159"/>
  <c r="E84" i="159"/>
  <c r="F84" i="159"/>
  <c r="C84" i="159"/>
  <c r="H84" i="159"/>
  <c r="K84" i="159"/>
  <c r="L84" i="159"/>
  <c r="M84" i="159"/>
  <c r="N84" i="159"/>
  <c r="P84" i="159"/>
  <c r="I85" i="159"/>
  <c r="D85" i="159"/>
  <c r="J85" i="159"/>
  <c r="E85" i="159"/>
  <c r="F85" i="159"/>
  <c r="C85" i="159"/>
  <c r="H85" i="159"/>
  <c r="K85" i="159"/>
  <c r="L85" i="159"/>
  <c r="M85" i="159"/>
  <c r="N85" i="159"/>
  <c r="P85" i="159"/>
  <c r="I86" i="159"/>
  <c r="D86" i="159"/>
  <c r="J86" i="159"/>
  <c r="E86" i="159"/>
  <c r="F86" i="159"/>
  <c r="C86" i="159"/>
  <c r="H86" i="159"/>
  <c r="K86" i="159"/>
  <c r="L86" i="159"/>
  <c r="M86" i="159"/>
  <c r="N86" i="159"/>
  <c r="P86" i="159"/>
  <c r="I87" i="159"/>
  <c r="D87" i="159"/>
  <c r="J87" i="159"/>
  <c r="E87" i="159"/>
  <c r="F87" i="159"/>
  <c r="C87" i="159"/>
  <c r="H87" i="159"/>
  <c r="K87" i="159"/>
  <c r="L87" i="159"/>
  <c r="M87" i="159"/>
  <c r="N87" i="159"/>
  <c r="P87" i="159"/>
  <c r="I88" i="159"/>
  <c r="D88" i="159"/>
  <c r="J88" i="159"/>
  <c r="E88" i="159"/>
  <c r="F88" i="159"/>
  <c r="C88" i="159"/>
  <c r="H88" i="159"/>
  <c r="K88" i="159"/>
  <c r="L88" i="159"/>
  <c r="M88" i="159"/>
  <c r="N88" i="159"/>
  <c r="P88" i="159"/>
  <c r="I89" i="159"/>
  <c r="D89" i="159"/>
  <c r="J89" i="159"/>
  <c r="E89" i="159"/>
  <c r="F89" i="159"/>
  <c r="C89" i="159"/>
  <c r="H89" i="159"/>
  <c r="K89" i="159"/>
  <c r="L89" i="159"/>
  <c r="M89" i="159"/>
  <c r="N89" i="159"/>
  <c r="P89" i="159"/>
  <c r="I90" i="159"/>
  <c r="D90" i="159"/>
  <c r="J90" i="159"/>
  <c r="E90" i="159"/>
  <c r="F90" i="159"/>
  <c r="C90" i="159"/>
  <c r="H90" i="159"/>
  <c r="K90" i="159"/>
  <c r="L90" i="159"/>
  <c r="M90" i="159"/>
  <c r="N90" i="159"/>
  <c r="P90" i="159"/>
  <c r="I91" i="159"/>
  <c r="D91" i="159"/>
  <c r="J91" i="159"/>
  <c r="E91" i="159"/>
  <c r="F91" i="159"/>
  <c r="C91" i="159"/>
  <c r="H91" i="159"/>
  <c r="K91" i="159"/>
  <c r="L91" i="159"/>
  <c r="M91" i="159"/>
  <c r="N91" i="159"/>
  <c r="P91" i="159"/>
  <c r="I92" i="159"/>
  <c r="D92" i="159"/>
  <c r="J92" i="159"/>
  <c r="E92" i="159"/>
  <c r="F92" i="159"/>
  <c r="C92" i="159"/>
  <c r="H92" i="159"/>
  <c r="K92" i="159"/>
  <c r="L92" i="159"/>
  <c r="M92" i="159"/>
  <c r="N92" i="159"/>
  <c r="P92" i="159"/>
  <c r="I93" i="159"/>
  <c r="D93" i="159"/>
  <c r="J93" i="159"/>
  <c r="E93" i="159"/>
  <c r="F93" i="159"/>
  <c r="C93" i="159"/>
  <c r="H93" i="159"/>
  <c r="K93" i="159"/>
  <c r="L93" i="159"/>
  <c r="M93" i="159"/>
  <c r="N93" i="159"/>
  <c r="P93" i="159"/>
  <c r="I94" i="159"/>
  <c r="D94" i="159"/>
  <c r="J94" i="159"/>
  <c r="E94" i="159"/>
  <c r="F94" i="159"/>
  <c r="C94" i="159"/>
  <c r="H94" i="159"/>
  <c r="K94" i="159"/>
  <c r="L94" i="159"/>
  <c r="M94" i="159"/>
  <c r="N94" i="159"/>
  <c r="P94" i="159"/>
  <c r="I95" i="159"/>
  <c r="D95" i="159"/>
  <c r="J95" i="159"/>
  <c r="E95" i="159"/>
  <c r="F95" i="159"/>
  <c r="C95" i="159"/>
  <c r="H95" i="159"/>
  <c r="K95" i="159"/>
  <c r="L95" i="159"/>
  <c r="M95" i="159"/>
  <c r="N95" i="159"/>
  <c r="P95" i="159"/>
  <c r="I96" i="159"/>
  <c r="D96" i="159"/>
  <c r="J96" i="159"/>
  <c r="E96" i="159"/>
  <c r="F96" i="159"/>
  <c r="C96" i="159"/>
  <c r="H96" i="159"/>
  <c r="K96" i="159"/>
  <c r="L96" i="159"/>
  <c r="M96" i="159"/>
  <c r="N96" i="159"/>
  <c r="P96" i="159"/>
  <c r="I97" i="159"/>
  <c r="D97" i="159"/>
  <c r="J97" i="159"/>
  <c r="E97" i="159"/>
  <c r="F97" i="159"/>
  <c r="C97" i="159"/>
  <c r="H97" i="159"/>
  <c r="K97" i="159"/>
  <c r="L97" i="159"/>
  <c r="M97" i="159"/>
  <c r="N97" i="159"/>
  <c r="P97" i="159"/>
  <c r="I98" i="159"/>
  <c r="D98" i="159"/>
  <c r="J98" i="159"/>
  <c r="E98" i="159"/>
  <c r="F98" i="159"/>
  <c r="C98" i="159"/>
  <c r="H98" i="159"/>
  <c r="K98" i="159"/>
  <c r="L98" i="159"/>
  <c r="M98" i="159"/>
  <c r="N98" i="159"/>
  <c r="P98" i="159"/>
  <c r="I99" i="159"/>
  <c r="D99" i="159"/>
  <c r="J99" i="159"/>
  <c r="E99" i="159"/>
  <c r="F99" i="159"/>
  <c r="C99" i="159"/>
  <c r="H99" i="159"/>
  <c r="K99" i="159"/>
  <c r="L99" i="159"/>
  <c r="M99" i="159"/>
  <c r="N99" i="159"/>
  <c r="P99" i="159"/>
  <c r="I100" i="159"/>
  <c r="D100" i="159"/>
  <c r="J100" i="159"/>
  <c r="E100" i="159"/>
  <c r="F100" i="159"/>
  <c r="C100" i="159"/>
  <c r="H100" i="159"/>
  <c r="K100" i="159"/>
  <c r="L100" i="159"/>
  <c r="M100" i="159"/>
  <c r="N100" i="159"/>
  <c r="P100" i="159"/>
  <c r="I101" i="159"/>
  <c r="D101" i="159"/>
  <c r="J101" i="159"/>
  <c r="E101" i="159"/>
  <c r="F101" i="159"/>
  <c r="C101" i="159"/>
  <c r="H101" i="159"/>
  <c r="K101" i="159"/>
  <c r="L101" i="159"/>
  <c r="M101" i="159"/>
  <c r="N101" i="159"/>
  <c r="P101" i="159"/>
  <c r="I102" i="159"/>
  <c r="D102" i="159"/>
  <c r="J102" i="159"/>
  <c r="E102" i="159"/>
  <c r="F102" i="159"/>
  <c r="C102" i="159"/>
  <c r="H102" i="159"/>
  <c r="K102" i="159"/>
  <c r="L102" i="159"/>
  <c r="M102" i="159"/>
  <c r="N102" i="159"/>
  <c r="P102" i="159"/>
  <c r="I103" i="159"/>
  <c r="D103" i="159"/>
  <c r="J103" i="159"/>
  <c r="E103" i="159"/>
  <c r="F103" i="159"/>
  <c r="C103" i="159"/>
  <c r="H103" i="159"/>
  <c r="K103" i="159"/>
  <c r="L103" i="159"/>
  <c r="M103" i="159"/>
  <c r="N103" i="159"/>
  <c r="P103" i="159"/>
  <c r="I104" i="159"/>
  <c r="D104" i="159"/>
  <c r="J104" i="159"/>
  <c r="E104" i="159"/>
  <c r="F104" i="159"/>
  <c r="C104" i="159"/>
  <c r="H104" i="159"/>
  <c r="K104" i="159"/>
  <c r="L104" i="159"/>
  <c r="M104" i="159"/>
  <c r="N104" i="159"/>
  <c r="P104" i="159"/>
  <c r="I105" i="159"/>
  <c r="D105" i="159"/>
  <c r="J105" i="159"/>
  <c r="E105" i="159"/>
  <c r="F105" i="159"/>
  <c r="C105" i="159"/>
  <c r="H105" i="159"/>
  <c r="K105" i="159"/>
  <c r="L105" i="159"/>
  <c r="M105" i="159"/>
  <c r="N105" i="159"/>
  <c r="P105" i="159"/>
  <c r="I106" i="159"/>
  <c r="D106" i="159"/>
  <c r="J106" i="159"/>
  <c r="E106" i="159"/>
  <c r="F106" i="159"/>
  <c r="C106" i="159"/>
  <c r="H106" i="159"/>
  <c r="K106" i="159"/>
  <c r="L106" i="159"/>
  <c r="M106" i="159"/>
  <c r="N106" i="159"/>
  <c r="P106" i="159"/>
  <c r="I107" i="159"/>
  <c r="D107" i="159"/>
  <c r="J107" i="159"/>
  <c r="E107" i="159"/>
  <c r="F107" i="159"/>
  <c r="C107" i="159"/>
  <c r="H107" i="159"/>
  <c r="K107" i="159"/>
  <c r="L107" i="159"/>
  <c r="M107" i="159"/>
  <c r="N107" i="159"/>
  <c r="P107" i="159"/>
  <c r="I108" i="159"/>
  <c r="D108" i="159"/>
  <c r="J108" i="159"/>
  <c r="E108" i="159"/>
  <c r="F108" i="159"/>
  <c r="C108" i="159"/>
  <c r="H108" i="159"/>
  <c r="K108" i="159"/>
  <c r="L108" i="159"/>
  <c r="M108" i="159"/>
  <c r="N108" i="159"/>
  <c r="P108" i="159"/>
  <c r="I109" i="159"/>
  <c r="D109" i="159"/>
  <c r="J109" i="159"/>
  <c r="E109" i="159"/>
  <c r="F109" i="159"/>
  <c r="C109" i="159"/>
  <c r="H109" i="159"/>
  <c r="K109" i="159"/>
  <c r="L109" i="159"/>
  <c r="M109" i="159"/>
  <c r="N109" i="159"/>
  <c r="P109" i="159"/>
  <c r="I110" i="159"/>
  <c r="D110" i="159"/>
  <c r="J110" i="159"/>
  <c r="E110" i="159"/>
  <c r="F110" i="159"/>
  <c r="C110" i="159"/>
  <c r="H110" i="159"/>
  <c r="K110" i="159"/>
  <c r="L110" i="159"/>
  <c r="M110" i="159"/>
  <c r="N110" i="159"/>
  <c r="P110" i="159"/>
  <c r="I111" i="159"/>
  <c r="D111" i="159"/>
  <c r="J111" i="159"/>
  <c r="E111" i="159"/>
  <c r="F111" i="159"/>
  <c r="C111" i="159"/>
  <c r="H111" i="159"/>
  <c r="K111" i="159"/>
  <c r="L111" i="159"/>
  <c r="M111" i="159"/>
  <c r="N111" i="159"/>
  <c r="P111" i="159"/>
  <c r="I112" i="159"/>
  <c r="D112" i="159"/>
  <c r="J112" i="159"/>
  <c r="E112" i="159"/>
  <c r="F112" i="159"/>
  <c r="C112" i="159"/>
  <c r="H112" i="159"/>
  <c r="K112" i="159"/>
  <c r="L112" i="159"/>
  <c r="M112" i="159"/>
  <c r="N112" i="159"/>
  <c r="P112" i="159"/>
  <c r="I113" i="159"/>
  <c r="D113" i="159"/>
  <c r="J113" i="159"/>
  <c r="E113" i="159"/>
  <c r="F113" i="159"/>
  <c r="C113" i="159"/>
  <c r="H113" i="159"/>
  <c r="K113" i="159"/>
  <c r="L113" i="159"/>
  <c r="M113" i="159"/>
  <c r="N113" i="159"/>
  <c r="P113" i="159"/>
  <c r="I114" i="159"/>
  <c r="D114" i="159"/>
  <c r="J114" i="159"/>
  <c r="E114" i="159"/>
  <c r="F114" i="159"/>
  <c r="C114" i="159"/>
  <c r="H114" i="159"/>
  <c r="K114" i="159"/>
  <c r="L114" i="159"/>
  <c r="M114" i="159"/>
  <c r="N114" i="159"/>
  <c r="P114" i="159"/>
  <c r="I115" i="159"/>
  <c r="D115" i="159"/>
  <c r="J115" i="159"/>
  <c r="E115" i="159"/>
  <c r="F115" i="159"/>
  <c r="C115" i="159"/>
  <c r="H115" i="159"/>
  <c r="K115" i="159"/>
  <c r="L115" i="159"/>
  <c r="M115" i="159"/>
  <c r="N115" i="159"/>
  <c r="P115" i="159"/>
  <c r="I116" i="159"/>
  <c r="D116" i="159"/>
  <c r="J116" i="159"/>
  <c r="E116" i="159"/>
  <c r="F116" i="159"/>
  <c r="C116" i="159"/>
  <c r="H116" i="159"/>
  <c r="K116" i="159"/>
  <c r="L116" i="159"/>
  <c r="M116" i="159"/>
  <c r="N116" i="159"/>
  <c r="P116" i="159"/>
  <c r="I117" i="159"/>
  <c r="D117" i="159"/>
  <c r="J117" i="159"/>
  <c r="E117" i="159"/>
  <c r="F117" i="159"/>
  <c r="C117" i="159"/>
  <c r="H117" i="159"/>
  <c r="K117" i="159"/>
  <c r="L117" i="159"/>
  <c r="M117" i="159"/>
  <c r="N117" i="159"/>
  <c r="P117" i="159"/>
  <c r="I118" i="159"/>
  <c r="D118" i="159"/>
  <c r="J118" i="159"/>
  <c r="E118" i="159"/>
  <c r="F118" i="159"/>
  <c r="C118" i="159"/>
  <c r="H118" i="159"/>
  <c r="K118" i="159"/>
  <c r="L118" i="159"/>
  <c r="M118" i="159"/>
  <c r="N118" i="159"/>
  <c r="P118" i="159"/>
  <c r="I119" i="159"/>
  <c r="D119" i="159"/>
  <c r="J119" i="159"/>
  <c r="E119" i="159"/>
  <c r="F119" i="159"/>
  <c r="C119" i="159"/>
  <c r="H119" i="159"/>
  <c r="K119" i="159"/>
  <c r="L119" i="159"/>
  <c r="M119" i="159"/>
  <c r="N119" i="159"/>
  <c r="P119" i="159"/>
  <c r="I120" i="159"/>
  <c r="D120" i="159"/>
  <c r="J120" i="159"/>
  <c r="E120" i="159"/>
  <c r="F120" i="159"/>
  <c r="C120" i="159"/>
  <c r="H120" i="159"/>
  <c r="K120" i="159"/>
  <c r="L120" i="159"/>
  <c r="M120" i="159"/>
  <c r="N120" i="159"/>
  <c r="P120" i="159"/>
  <c r="I121" i="159"/>
  <c r="D121" i="159"/>
  <c r="J121" i="159"/>
  <c r="E121" i="159"/>
  <c r="F121" i="159"/>
  <c r="C121" i="159"/>
  <c r="H121" i="159"/>
  <c r="K121" i="159"/>
  <c r="L121" i="159"/>
  <c r="M121" i="159"/>
  <c r="N121" i="159"/>
  <c r="P121" i="159"/>
  <c r="I122" i="159"/>
  <c r="D122" i="159"/>
  <c r="J122" i="159"/>
  <c r="E122" i="159"/>
  <c r="F122" i="159"/>
  <c r="C122" i="159"/>
  <c r="H122" i="159"/>
  <c r="K122" i="159"/>
  <c r="L122" i="159"/>
  <c r="M122" i="159"/>
  <c r="N122" i="159"/>
  <c r="P122" i="159"/>
  <c r="I123" i="159"/>
  <c r="D123" i="159"/>
  <c r="J123" i="159"/>
  <c r="E123" i="159"/>
  <c r="F123" i="159"/>
  <c r="C123" i="159"/>
  <c r="H123" i="159"/>
  <c r="K123" i="159"/>
  <c r="L123" i="159"/>
  <c r="M123" i="159"/>
  <c r="N123" i="159"/>
  <c r="P123" i="159"/>
  <c r="I124" i="159"/>
  <c r="D124" i="159"/>
  <c r="J124" i="159"/>
  <c r="E124" i="159"/>
  <c r="F124" i="159"/>
  <c r="C124" i="159"/>
  <c r="H124" i="159"/>
  <c r="K124" i="159"/>
  <c r="L124" i="159"/>
  <c r="M124" i="159"/>
  <c r="N124" i="159"/>
  <c r="P124" i="159"/>
  <c r="I125" i="159"/>
  <c r="D125" i="159"/>
  <c r="J125" i="159"/>
  <c r="E125" i="159"/>
  <c r="F125" i="159"/>
  <c r="C125" i="159"/>
  <c r="H125" i="159"/>
  <c r="K125" i="159"/>
  <c r="L125" i="159"/>
  <c r="M125" i="159"/>
  <c r="N125" i="159"/>
  <c r="P125" i="159"/>
  <c r="I126" i="159"/>
  <c r="D126" i="159"/>
  <c r="J126" i="159"/>
  <c r="E126" i="159"/>
  <c r="F126" i="159"/>
  <c r="C126" i="159"/>
  <c r="H126" i="159"/>
  <c r="K126" i="159"/>
  <c r="L126" i="159"/>
  <c r="M126" i="159"/>
  <c r="N126" i="159"/>
  <c r="P126" i="159"/>
  <c r="I127" i="159"/>
  <c r="D127" i="159"/>
  <c r="J127" i="159"/>
  <c r="E127" i="159"/>
  <c r="F127" i="159"/>
  <c r="C127" i="159"/>
  <c r="H127" i="159"/>
  <c r="K127" i="159"/>
  <c r="L127" i="159"/>
  <c r="M127" i="159"/>
  <c r="N127" i="159"/>
  <c r="P127" i="159"/>
  <c r="I128" i="159"/>
  <c r="D128" i="159"/>
  <c r="J128" i="159"/>
  <c r="E128" i="159"/>
  <c r="F128" i="159"/>
  <c r="C128" i="159"/>
  <c r="H128" i="159"/>
  <c r="K128" i="159"/>
  <c r="L128" i="159"/>
  <c r="M128" i="159"/>
  <c r="N128" i="159"/>
  <c r="P128" i="159"/>
  <c r="I129" i="159"/>
  <c r="D129" i="159"/>
  <c r="J129" i="159"/>
  <c r="E129" i="159"/>
  <c r="F129" i="159"/>
  <c r="C129" i="159"/>
  <c r="H129" i="159"/>
  <c r="K129" i="159"/>
  <c r="L129" i="159"/>
  <c r="M129" i="159"/>
  <c r="N129" i="159"/>
  <c r="P129" i="159"/>
  <c r="I130" i="159"/>
  <c r="D130" i="159"/>
  <c r="J130" i="159"/>
  <c r="E130" i="159"/>
  <c r="F130" i="159"/>
  <c r="C130" i="159"/>
  <c r="H130" i="159"/>
  <c r="K130" i="159"/>
  <c r="L130" i="159"/>
  <c r="M130" i="159"/>
  <c r="N130" i="159"/>
  <c r="P130" i="159"/>
  <c r="I131" i="159"/>
  <c r="D131" i="159"/>
  <c r="J131" i="159"/>
  <c r="E131" i="159"/>
  <c r="F131" i="159"/>
  <c r="C131" i="159"/>
  <c r="H131" i="159"/>
  <c r="K131" i="159"/>
  <c r="L131" i="159"/>
  <c r="M131" i="159"/>
  <c r="N131" i="159"/>
  <c r="P131" i="159"/>
  <c r="I132" i="159"/>
  <c r="D132" i="159"/>
  <c r="J132" i="159"/>
  <c r="E132" i="159"/>
  <c r="F132" i="159"/>
  <c r="C132" i="159"/>
  <c r="H132" i="159"/>
  <c r="K132" i="159"/>
  <c r="L132" i="159"/>
  <c r="M132" i="159"/>
  <c r="N132" i="159"/>
  <c r="P132" i="159"/>
  <c r="I133" i="159"/>
  <c r="D133" i="159"/>
  <c r="J133" i="159"/>
  <c r="E133" i="159"/>
  <c r="F133" i="159"/>
  <c r="C133" i="159"/>
  <c r="H133" i="159"/>
  <c r="K133" i="159"/>
  <c r="L133" i="159"/>
  <c r="M133" i="159"/>
  <c r="N133" i="159"/>
  <c r="P133" i="159"/>
  <c r="I134" i="159"/>
  <c r="D134" i="159"/>
  <c r="J134" i="159"/>
  <c r="E134" i="159"/>
  <c r="F134" i="159"/>
  <c r="C134" i="159"/>
  <c r="H134" i="159"/>
  <c r="K134" i="159"/>
  <c r="L134" i="159"/>
  <c r="M134" i="159"/>
  <c r="N134" i="159"/>
  <c r="P134" i="159"/>
  <c r="I135" i="159"/>
  <c r="D135" i="159"/>
  <c r="J135" i="159"/>
  <c r="E135" i="159"/>
  <c r="F135" i="159"/>
  <c r="C135" i="159"/>
  <c r="H135" i="159"/>
  <c r="K135" i="159"/>
  <c r="L135" i="159"/>
  <c r="M135" i="159"/>
  <c r="N135" i="159"/>
  <c r="P135" i="159"/>
  <c r="A2" i="153"/>
  <c r="A7" i="159"/>
  <c r="A8" i="159"/>
  <c r="A9" i="159"/>
  <c r="A10" i="159"/>
  <c r="A11" i="159"/>
  <c r="A12" i="159"/>
  <c r="A13" i="159"/>
  <c r="A14" i="159"/>
  <c r="A15" i="159"/>
  <c r="A16" i="159"/>
  <c r="A17" i="159"/>
  <c r="A18" i="159"/>
  <c r="A19" i="159"/>
  <c r="A20" i="159"/>
  <c r="A21" i="159"/>
  <c r="A22" i="159"/>
  <c r="A23" i="159"/>
  <c r="A24" i="159"/>
  <c r="A25" i="159"/>
  <c r="A26" i="159"/>
  <c r="A27" i="159"/>
  <c r="A28" i="159"/>
  <c r="A29" i="159"/>
  <c r="A30" i="159"/>
  <c r="A31" i="159"/>
  <c r="A32" i="159"/>
  <c r="A33" i="159"/>
  <c r="A34" i="159"/>
  <c r="A35" i="159"/>
  <c r="A36" i="159"/>
  <c r="A37" i="159"/>
  <c r="A38" i="159"/>
  <c r="A39" i="159"/>
  <c r="A40" i="159"/>
  <c r="A41" i="159"/>
  <c r="A42" i="159"/>
  <c r="A43" i="159"/>
  <c r="A44" i="159"/>
  <c r="A45" i="159"/>
  <c r="A46" i="159"/>
  <c r="A47" i="159"/>
  <c r="A48" i="159"/>
  <c r="A49" i="159"/>
  <c r="A50" i="159"/>
  <c r="A51" i="159"/>
  <c r="A52" i="159"/>
  <c r="A53" i="159"/>
  <c r="A54" i="159"/>
  <c r="A55" i="159"/>
  <c r="A56" i="159"/>
  <c r="A57" i="159"/>
  <c r="A58" i="159"/>
  <c r="A59" i="159"/>
  <c r="A60" i="159"/>
  <c r="A61" i="159"/>
  <c r="A62" i="159"/>
  <c r="A63" i="159"/>
  <c r="A64" i="159"/>
  <c r="A65" i="159"/>
  <c r="A66" i="159"/>
  <c r="A67" i="159"/>
  <c r="A68" i="159"/>
  <c r="A69" i="159"/>
  <c r="A70" i="159"/>
  <c r="A71" i="159"/>
  <c r="A72" i="159"/>
  <c r="A73" i="159"/>
  <c r="A74" i="159"/>
  <c r="A75" i="159"/>
  <c r="A76" i="159"/>
  <c r="A77" i="159"/>
  <c r="A78" i="159"/>
  <c r="A79" i="159"/>
  <c r="A80" i="159"/>
  <c r="A81" i="159"/>
  <c r="A82" i="159"/>
  <c r="A83" i="159"/>
  <c r="A84" i="159"/>
  <c r="A85" i="159"/>
  <c r="A86" i="159"/>
  <c r="A87" i="159"/>
  <c r="A88" i="159"/>
  <c r="A89" i="159"/>
  <c r="A90" i="159"/>
  <c r="A91" i="159"/>
  <c r="A92" i="159"/>
  <c r="A93" i="159"/>
  <c r="A94" i="159"/>
  <c r="A95" i="159"/>
  <c r="A96" i="159"/>
  <c r="A97" i="159"/>
  <c r="A98" i="159"/>
  <c r="A99" i="159"/>
  <c r="A100" i="159"/>
  <c r="A101" i="159"/>
  <c r="A102" i="159"/>
  <c r="A103" i="159"/>
  <c r="A104" i="159"/>
  <c r="A105" i="159"/>
  <c r="A106" i="159"/>
  <c r="A107" i="159"/>
  <c r="A108" i="159"/>
  <c r="A109" i="159"/>
  <c r="A110" i="159"/>
  <c r="A111" i="159"/>
  <c r="A112" i="159"/>
  <c r="A113" i="159"/>
  <c r="A114" i="159"/>
  <c r="A115" i="159"/>
  <c r="A116" i="159"/>
  <c r="A117" i="159"/>
  <c r="A118" i="159"/>
  <c r="A119" i="159"/>
  <c r="A120" i="159"/>
  <c r="A121" i="159"/>
  <c r="A122" i="159"/>
  <c r="A123" i="159"/>
  <c r="A124" i="159"/>
  <c r="A125" i="159"/>
  <c r="A126" i="159"/>
  <c r="A127" i="159"/>
  <c r="A128" i="159"/>
  <c r="A129" i="159"/>
  <c r="A130" i="159"/>
  <c r="A131" i="159"/>
  <c r="A132" i="159"/>
  <c r="A133" i="159"/>
  <c r="A134" i="159"/>
  <c r="A135" i="159"/>
  <c r="I330" i="154"/>
  <c r="D330" i="154"/>
  <c r="I329" i="154"/>
  <c r="D329" i="154"/>
  <c r="I328" i="154"/>
  <c r="D328" i="154"/>
  <c r="I327" i="154"/>
  <c r="D327" i="154"/>
  <c r="I326" i="154"/>
  <c r="D326" i="154"/>
  <c r="I325" i="154"/>
  <c r="D325" i="154"/>
  <c r="I324" i="154"/>
  <c r="D324" i="154"/>
  <c r="I323" i="154"/>
  <c r="D323" i="154"/>
  <c r="I322" i="154"/>
  <c r="D322" i="154"/>
  <c r="I321" i="154"/>
  <c r="D321" i="154"/>
  <c r="I320" i="154"/>
  <c r="D320" i="154"/>
  <c r="I319" i="154"/>
  <c r="D319" i="154"/>
  <c r="I318" i="154"/>
  <c r="D318" i="154"/>
  <c r="I317" i="154"/>
  <c r="D317" i="154"/>
  <c r="I316" i="154"/>
  <c r="D316" i="154"/>
  <c r="I315" i="154"/>
  <c r="D315" i="154"/>
  <c r="I314" i="154"/>
  <c r="D314" i="154"/>
  <c r="I313" i="154"/>
  <c r="D313" i="154"/>
  <c r="I312" i="154"/>
  <c r="D312" i="154"/>
  <c r="I311" i="154"/>
  <c r="D311" i="154"/>
  <c r="I310" i="154"/>
  <c r="D310" i="154"/>
  <c r="I309" i="154"/>
  <c r="D309" i="154"/>
  <c r="I308" i="154"/>
  <c r="D308" i="154"/>
  <c r="I307" i="154"/>
  <c r="D307" i="154"/>
  <c r="I306" i="154"/>
  <c r="D306" i="154"/>
  <c r="I305" i="154"/>
  <c r="D305" i="154"/>
  <c r="I304" i="154"/>
  <c r="D304" i="154"/>
  <c r="I303" i="154"/>
  <c r="D303" i="154"/>
  <c r="I302" i="154"/>
  <c r="D302" i="154"/>
  <c r="I301" i="154"/>
  <c r="D301" i="154"/>
  <c r="I300" i="154"/>
  <c r="D300" i="154"/>
  <c r="I299" i="154"/>
  <c r="D299" i="154"/>
  <c r="I298" i="154"/>
  <c r="D298" i="154"/>
  <c r="I297" i="154"/>
  <c r="D297" i="154"/>
  <c r="I296" i="154"/>
  <c r="D296" i="154"/>
  <c r="I295" i="154"/>
  <c r="D295" i="154"/>
  <c r="I294" i="154"/>
  <c r="D294" i="154"/>
  <c r="I293" i="154"/>
  <c r="D293" i="154"/>
  <c r="I292" i="154"/>
  <c r="D292" i="154"/>
  <c r="I291" i="154"/>
  <c r="D291" i="154"/>
  <c r="I290" i="154"/>
  <c r="D290" i="154"/>
  <c r="I289" i="154"/>
  <c r="D289" i="154"/>
  <c r="I288" i="154"/>
  <c r="D288" i="154"/>
  <c r="I287" i="154"/>
  <c r="D287" i="154"/>
  <c r="I286" i="154"/>
  <c r="D286" i="154"/>
  <c r="I285" i="154"/>
  <c r="D285" i="154"/>
  <c r="I284" i="154"/>
  <c r="D284" i="154"/>
  <c r="I283" i="154"/>
  <c r="D283" i="154"/>
  <c r="I282" i="154"/>
  <c r="D282" i="154"/>
  <c r="I281" i="154"/>
  <c r="D281" i="154"/>
  <c r="I280" i="154"/>
  <c r="D280" i="154"/>
  <c r="I279" i="154"/>
  <c r="D279" i="154"/>
  <c r="I278" i="154"/>
  <c r="D278" i="154"/>
  <c r="I277" i="154"/>
  <c r="D277" i="154"/>
  <c r="I276" i="154"/>
  <c r="D276" i="154"/>
  <c r="I275" i="154"/>
  <c r="D275" i="154"/>
  <c r="I274" i="154"/>
  <c r="D274" i="154"/>
  <c r="I273" i="154"/>
  <c r="D273" i="154"/>
  <c r="I272" i="154"/>
  <c r="D272" i="154"/>
  <c r="I271" i="154"/>
  <c r="D271" i="154"/>
  <c r="I270" i="154"/>
  <c r="D270" i="154"/>
  <c r="I269" i="154"/>
  <c r="D269" i="154"/>
  <c r="I268" i="154"/>
  <c r="D268" i="154"/>
  <c r="I267" i="154"/>
  <c r="D267" i="154"/>
  <c r="I266" i="154"/>
  <c r="D266" i="154"/>
  <c r="I265" i="154"/>
  <c r="D265" i="154"/>
  <c r="I264" i="154"/>
  <c r="D264" i="154"/>
  <c r="I263" i="154"/>
  <c r="D263" i="154"/>
  <c r="I262" i="154"/>
  <c r="D262" i="154"/>
  <c r="I261" i="154"/>
  <c r="D261" i="154"/>
  <c r="I260" i="154"/>
  <c r="D260" i="154"/>
  <c r="I259" i="154"/>
  <c r="D259" i="154"/>
  <c r="I258" i="154"/>
  <c r="D258" i="154"/>
  <c r="I257" i="154"/>
  <c r="D257" i="154"/>
  <c r="I256" i="154"/>
  <c r="D256" i="154"/>
  <c r="I255" i="154"/>
  <c r="D255" i="154"/>
  <c r="I254" i="154"/>
  <c r="D254" i="154"/>
  <c r="I253" i="154"/>
  <c r="D253" i="154"/>
  <c r="I252" i="154"/>
  <c r="D252" i="154"/>
  <c r="I251" i="154"/>
  <c r="D251" i="154"/>
  <c r="I250" i="154"/>
  <c r="D250" i="154"/>
  <c r="I249" i="154"/>
  <c r="D249" i="154"/>
  <c r="I248" i="154"/>
  <c r="D248" i="154"/>
  <c r="I247" i="154"/>
  <c r="D247" i="154"/>
  <c r="I246" i="154"/>
  <c r="D246" i="154"/>
  <c r="I245" i="154"/>
  <c r="D245" i="154"/>
  <c r="I244" i="154"/>
  <c r="D244" i="154"/>
  <c r="I243" i="154"/>
  <c r="D243" i="154"/>
  <c r="I242" i="154"/>
  <c r="D242" i="154"/>
  <c r="I241" i="154"/>
  <c r="D241" i="154"/>
  <c r="I240" i="154"/>
  <c r="D240" i="154"/>
  <c r="I239" i="154"/>
  <c r="D239" i="154"/>
  <c r="I238" i="154"/>
  <c r="D238" i="154"/>
  <c r="I237" i="154"/>
  <c r="D237" i="154"/>
  <c r="I236" i="154"/>
  <c r="D236" i="154"/>
  <c r="I235" i="154"/>
  <c r="D235" i="154"/>
  <c r="I234" i="154"/>
  <c r="D234" i="154"/>
  <c r="I233" i="154"/>
  <c r="D233" i="154"/>
  <c r="I232" i="154"/>
  <c r="D232" i="154"/>
  <c r="I231" i="154"/>
  <c r="D231" i="154"/>
  <c r="I230" i="154"/>
  <c r="D230" i="154"/>
  <c r="I229" i="154"/>
  <c r="D229" i="154"/>
  <c r="I228" i="154"/>
  <c r="D228" i="154"/>
  <c r="I227" i="154"/>
  <c r="D227" i="154"/>
  <c r="I226" i="154"/>
  <c r="D226" i="154"/>
  <c r="I225" i="154"/>
  <c r="D225" i="154"/>
  <c r="I224" i="154"/>
  <c r="D224" i="154"/>
  <c r="I223" i="154"/>
  <c r="D223" i="154"/>
  <c r="I222" i="154"/>
  <c r="D222" i="154"/>
  <c r="I221" i="154"/>
  <c r="D221" i="154"/>
  <c r="I220" i="154"/>
  <c r="D220" i="154"/>
  <c r="I219" i="154"/>
  <c r="D219" i="154"/>
  <c r="I218" i="154"/>
  <c r="D218" i="154"/>
  <c r="I217" i="154"/>
  <c r="D217" i="154"/>
  <c r="I216" i="154"/>
  <c r="D216" i="154"/>
  <c r="I215" i="154"/>
  <c r="D215" i="154"/>
  <c r="I214" i="154"/>
  <c r="D214" i="154"/>
  <c r="I213" i="154"/>
  <c r="D213" i="154"/>
  <c r="I212" i="154"/>
  <c r="D212" i="154"/>
  <c r="I211" i="154"/>
  <c r="D211" i="154"/>
  <c r="I210" i="154"/>
  <c r="D210" i="154"/>
  <c r="I209" i="154"/>
  <c r="D209" i="154"/>
  <c r="I208" i="154"/>
  <c r="D208" i="154"/>
  <c r="I207" i="154"/>
  <c r="D207" i="154"/>
  <c r="I206" i="154"/>
  <c r="D206" i="154"/>
  <c r="I205" i="154"/>
  <c r="D205" i="154"/>
  <c r="I204" i="154"/>
  <c r="D204" i="154"/>
  <c r="I203" i="154"/>
  <c r="D203" i="154"/>
  <c r="I202" i="154"/>
  <c r="D202" i="154"/>
  <c r="I201" i="154"/>
  <c r="D201" i="154"/>
  <c r="I200" i="154"/>
  <c r="D200" i="154"/>
  <c r="I199" i="154"/>
  <c r="D199" i="154"/>
  <c r="I198" i="154"/>
  <c r="D198" i="154"/>
  <c r="I197" i="154"/>
  <c r="D197" i="154"/>
  <c r="I196" i="154"/>
  <c r="D196" i="154"/>
  <c r="I195" i="154"/>
  <c r="D195" i="154"/>
  <c r="I194" i="154"/>
  <c r="D194" i="154"/>
  <c r="I193" i="154"/>
  <c r="D193" i="154"/>
  <c r="I192" i="154"/>
  <c r="D192" i="154"/>
  <c r="I191" i="154"/>
  <c r="D191" i="154"/>
  <c r="I190" i="154"/>
  <c r="D190" i="154"/>
  <c r="I189" i="154"/>
  <c r="D189" i="154"/>
  <c r="I188" i="154"/>
  <c r="D188" i="154"/>
  <c r="I187" i="154"/>
  <c r="D187" i="154"/>
  <c r="I186" i="154"/>
  <c r="D186" i="154"/>
  <c r="I185" i="154"/>
  <c r="D185" i="154"/>
  <c r="I184" i="154"/>
  <c r="D184" i="154"/>
  <c r="I183" i="154"/>
  <c r="D183" i="154"/>
  <c r="I182" i="154"/>
  <c r="D182" i="154"/>
  <c r="I181" i="154"/>
  <c r="D181" i="154"/>
  <c r="I180" i="154"/>
  <c r="D180" i="154"/>
  <c r="I179" i="154"/>
  <c r="D179" i="154"/>
  <c r="I178" i="154"/>
  <c r="D178" i="154"/>
  <c r="I177" i="154"/>
  <c r="D177" i="154"/>
  <c r="I176" i="154"/>
  <c r="D176" i="154"/>
  <c r="I175" i="154"/>
  <c r="D175" i="154"/>
  <c r="I174" i="154"/>
  <c r="D174" i="154"/>
  <c r="I173" i="154"/>
  <c r="D173" i="154"/>
  <c r="I172" i="154"/>
  <c r="D172" i="154"/>
  <c r="I171" i="154"/>
  <c r="D171" i="154"/>
  <c r="I170" i="154"/>
  <c r="D170" i="154"/>
  <c r="I169" i="154"/>
  <c r="D169" i="154"/>
  <c r="I168" i="154"/>
  <c r="D168" i="154"/>
  <c r="I167" i="154"/>
  <c r="D167" i="154"/>
  <c r="I166" i="154"/>
  <c r="D166" i="154"/>
  <c r="I165" i="154"/>
  <c r="D165" i="154"/>
  <c r="I164" i="154"/>
  <c r="D164" i="154"/>
  <c r="I163" i="154"/>
  <c r="D163" i="154"/>
  <c r="I162" i="154"/>
  <c r="D162" i="154"/>
  <c r="I161" i="154"/>
  <c r="D161" i="154"/>
  <c r="I160" i="154"/>
  <c r="D160" i="154"/>
  <c r="I159" i="154"/>
  <c r="D159" i="154"/>
  <c r="I158" i="154"/>
  <c r="D158" i="154"/>
  <c r="I157" i="154"/>
  <c r="D157" i="154"/>
  <c r="I156" i="154"/>
  <c r="D156" i="154"/>
  <c r="I155" i="154"/>
  <c r="D155" i="154"/>
  <c r="I154" i="154"/>
  <c r="D154" i="154"/>
  <c r="I153" i="154"/>
  <c r="D153" i="154"/>
  <c r="I152" i="154"/>
  <c r="D152" i="154"/>
  <c r="I151" i="154"/>
  <c r="D151" i="154"/>
  <c r="I150" i="154"/>
  <c r="D150" i="154"/>
  <c r="I149" i="154"/>
  <c r="D149" i="154"/>
  <c r="I148" i="154"/>
  <c r="D148" i="154"/>
  <c r="I147" i="154"/>
  <c r="D147" i="154"/>
  <c r="I146" i="154"/>
  <c r="D146" i="154"/>
  <c r="I145" i="154"/>
  <c r="D145" i="154"/>
  <c r="I144" i="154"/>
  <c r="D144" i="154"/>
  <c r="I143" i="154"/>
  <c r="D143" i="154"/>
  <c r="I142" i="154"/>
  <c r="D142" i="154"/>
  <c r="I141" i="154"/>
  <c r="D141" i="154"/>
  <c r="I140" i="154"/>
  <c r="D140" i="154"/>
  <c r="I139" i="154"/>
  <c r="D139" i="154"/>
  <c r="I138" i="154"/>
  <c r="D138" i="154"/>
  <c r="I137" i="154"/>
  <c r="D137" i="154"/>
  <c r="I136" i="154"/>
  <c r="D136" i="154"/>
  <c r="I135" i="154"/>
  <c r="D135" i="154"/>
  <c r="I134" i="154"/>
  <c r="D134" i="154"/>
  <c r="I133" i="154"/>
  <c r="D133" i="154"/>
  <c r="I132" i="154"/>
  <c r="D132" i="154"/>
  <c r="I131" i="154"/>
  <c r="D131" i="154"/>
  <c r="I130" i="154"/>
  <c r="D130" i="154"/>
  <c r="I129" i="154"/>
  <c r="D129" i="154"/>
  <c r="I128" i="154"/>
  <c r="D128" i="154"/>
  <c r="I127" i="154"/>
  <c r="D127" i="154"/>
  <c r="I126" i="154"/>
  <c r="D126" i="154"/>
  <c r="I125" i="154"/>
  <c r="D125" i="154"/>
  <c r="I124" i="154"/>
  <c r="D124" i="154"/>
  <c r="I123" i="154"/>
  <c r="D123" i="154"/>
  <c r="I122" i="154"/>
  <c r="D122" i="154"/>
  <c r="I121" i="154"/>
  <c r="D121" i="154"/>
  <c r="I120" i="154"/>
  <c r="D120" i="154"/>
  <c r="I119" i="154"/>
  <c r="D119" i="154"/>
  <c r="I118" i="154"/>
  <c r="D118" i="154"/>
  <c r="I117" i="154"/>
  <c r="D117" i="154"/>
  <c r="I116" i="154"/>
  <c r="D116" i="154"/>
  <c r="I115" i="154"/>
  <c r="D115" i="154"/>
  <c r="I114" i="154"/>
  <c r="D114" i="154"/>
  <c r="I113" i="154"/>
  <c r="D113" i="154"/>
  <c r="I112" i="154"/>
  <c r="D112" i="154"/>
  <c r="I111" i="154"/>
  <c r="D111" i="154"/>
  <c r="I110" i="154"/>
  <c r="D110" i="154"/>
  <c r="I109" i="154"/>
  <c r="D109" i="154"/>
  <c r="I108" i="154"/>
  <c r="D108" i="154"/>
  <c r="I107" i="154"/>
  <c r="D107" i="154"/>
  <c r="I106" i="154"/>
  <c r="D106" i="154"/>
  <c r="I105" i="154"/>
  <c r="D105" i="154"/>
  <c r="I104" i="154"/>
  <c r="D104" i="154"/>
  <c r="I103" i="154"/>
  <c r="D103" i="154"/>
  <c r="I102" i="154"/>
  <c r="D102" i="154"/>
  <c r="I101" i="154"/>
  <c r="D101" i="154"/>
  <c r="I100" i="154"/>
  <c r="D100" i="154"/>
  <c r="I99" i="154"/>
  <c r="D99" i="154"/>
  <c r="I98" i="154"/>
  <c r="D98" i="154"/>
  <c r="I97" i="154"/>
  <c r="D97" i="154"/>
  <c r="I96" i="154"/>
  <c r="D96" i="154"/>
  <c r="I95" i="154"/>
  <c r="D95" i="154"/>
  <c r="I94" i="154"/>
  <c r="D94" i="154"/>
  <c r="I93" i="154"/>
  <c r="D93" i="154"/>
  <c r="I92" i="154"/>
  <c r="D92" i="154"/>
  <c r="I91" i="154"/>
  <c r="D91" i="154"/>
  <c r="I90" i="154"/>
  <c r="D90" i="154"/>
  <c r="I89" i="154"/>
  <c r="D89" i="154"/>
  <c r="I88" i="154"/>
  <c r="D88" i="154"/>
  <c r="I87" i="154"/>
  <c r="D87" i="154"/>
  <c r="I86" i="154"/>
  <c r="D86" i="154"/>
  <c r="I85" i="154"/>
  <c r="D85" i="154"/>
  <c r="I84" i="154"/>
  <c r="D84" i="154"/>
  <c r="I83" i="154"/>
  <c r="D83" i="154"/>
  <c r="I82" i="154"/>
  <c r="D82" i="154"/>
  <c r="I81" i="154"/>
  <c r="D81" i="154"/>
  <c r="I80" i="154"/>
  <c r="D80" i="154"/>
  <c r="I79" i="154"/>
  <c r="D79" i="154"/>
  <c r="I78" i="154"/>
  <c r="D78" i="154"/>
  <c r="I77" i="154"/>
  <c r="D77" i="154"/>
  <c r="I76" i="154"/>
  <c r="D76" i="154"/>
  <c r="I75" i="154"/>
  <c r="D75" i="154"/>
  <c r="I74" i="154"/>
  <c r="D74" i="154"/>
  <c r="I73" i="154"/>
  <c r="D73" i="154"/>
  <c r="I72" i="154"/>
  <c r="D72" i="154"/>
  <c r="I71" i="154"/>
  <c r="D71" i="154"/>
  <c r="I70" i="154"/>
  <c r="D70" i="154"/>
  <c r="I69" i="154"/>
  <c r="D69" i="154"/>
  <c r="I68" i="154"/>
  <c r="D68" i="154"/>
  <c r="I67" i="154"/>
  <c r="D67" i="154"/>
  <c r="I66" i="154"/>
  <c r="D66" i="154"/>
  <c r="I65" i="154"/>
  <c r="D65" i="154"/>
  <c r="I64" i="154"/>
  <c r="D64" i="154"/>
  <c r="I63" i="154"/>
  <c r="D63" i="154"/>
  <c r="I62" i="154"/>
  <c r="D62" i="154"/>
  <c r="I61" i="154"/>
  <c r="D61" i="154"/>
  <c r="I60" i="154"/>
  <c r="D60" i="154"/>
  <c r="I59" i="154"/>
  <c r="D59" i="154"/>
  <c r="I58" i="154"/>
  <c r="D58" i="154"/>
  <c r="I57" i="154"/>
  <c r="D57" i="154"/>
  <c r="I56" i="154"/>
  <c r="D56" i="154"/>
  <c r="I55" i="154"/>
  <c r="D55" i="154"/>
  <c r="I54" i="154"/>
  <c r="D54" i="154"/>
  <c r="I53" i="154"/>
  <c r="D53" i="154"/>
  <c r="I52" i="154"/>
  <c r="D52" i="154"/>
  <c r="I51" i="154"/>
  <c r="D51" i="154"/>
  <c r="I50" i="154"/>
  <c r="D50" i="154"/>
  <c r="I49" i="154"/>
  <c r="D49" i="154"/>
  <c r="I48" i="154"/>
  <c r="D48" i="154"/>
  <c r="I47" i="154"/>
  <c r="D47" i="154"/>
  <c r="I46" i="154"/>
  <c r="D46" i="154"/>
  <c r="I45" i="154"/>
  <c r="D45" i="154"/>
  <c r="I44" i="154"/>
  <c r="D44" i="154"/>
  <c r="I43" i="154"/>
  <c r="D43" i="154"/>
  <c r="I42" i="154"/>
  <c r="D42" i="154"/>
  <c r="I41" i="154"/>
  <c r="D41" i="154"/>
  <c r="I40" i="154"/>
  <c r="D40" i="154"/>
  <c r="I39" i="154"/>
  <c r="D39" i="154"/>
  <c r="I38" i="154"/>
  <c r="D38" i="154"/>
  <c r="I37" i="154"/>
  <c r="D37" i="154"/>
  <c r="I36" i="154"/>
  <c r="D36" i="154"/>
  <c r="I35" i="154"/>
  <c r="D35" i="154"/>
  <c r="I34" i="154"/>
  <c r="D34" i="154"/>
  <c r="I33" i="154"/>
  <c r="D33" i="154"/>
  <c r="I32" i="154"/>
  <c r="D32" i="154"/>
  <c r="I31" i="154"/>
  <c r="D31" i="154"/>
  <c r="I30" i="154"/>
  <c r="D30" i="154"/>
  <c r="I29" i="154"/>
  <c r="D29" i="154"/>
  <c r="I28" i="154"/>
  <c r="D28" i="154"/>
  <c r="I27" i="154"/>
  <c r="D27" i="154"/>
  <c r="I26" i="154"/>
  <c r="D26" i="154"/>
  <c r="I25" i="154"/>
  <c r="D25" i="154"/>
  <c r="I24" i="154"/>
  <c r="D24" i="154"/>
  <c r="I23" i="154"/>
  <c r="D23" i="154"/>
  <c r="I22" i="154"/>
  <c r="D22" i="154"/>
  <c r="I21" i="154"/>
  <c r="D21" i="154"/>
  <c r="I20" i="154"/>
  <c r="D20" i="154"/>
  <c r="I19" i="154"/>
  <c r="D19" i="154"/>
  <c r="I18" i="154"/>
  <c r="D18" i="154"/>
  <c r="I17" i="154"/>
  <c r="D17" i="154"/>
  <c r="I16" i="154"/>
  <c r="D16" i="154"/>
  <c r="I15" i="154"/>
  <c r="D15" i="154"/>
  <c r="I14" i="154"/>
  <c r="D14" i="154"/>
  <c r="I13" i="154"/>
  <c r="D13" i="154"/>
  <c r="I12" i="154"/>
  <c r="D12" i="154"/>
  <c r="I11" i="154"/>
  <c r="D11" i="154"/>
  <c r="I10" i="154"/>
  <c r="D10" i="154"/>
  <c r="I9" i="154"/>
  <c r="D9" i="154"/>
  <c r="I8" i="154"/>
  <c r="D8" i="154"/>
  <c r="I7" i="154"/>
  <c r="D7" i="154"/>
  <c r="I6" i="154"/>
  <c r="D6" i="154"/>
  <c r="I5" i="154"/>
  <c r="D5" i="154"/>
  <c r="I4" i="154"/>
  <c r="D4" i="154"/>
  <c r="I3" i="154"/>
  <c r="D3" i="154"/>
  <c r="I2" i="154"/>
  <c r="D2" i="154"/>
  <c r="E325" i="154"/>
  <c r="F325" i="154"/>
  <c r="C325" i="154"/>
  <c r="H325" i="154"/>
  <c r="K325" i="154"/>
  <c r="L325" i="154"/>
  <c r="M325" i="154"/>
  <c r="N325" i="154"/>
  <c r="E326" i="154"/>
  <c r="F326" i="154"/>
  <c r="C326" i="154"/>
  <c r="E327" i="154"/>
  <c r="F327" i="154"/>
  <c r="C327" i="154"/>
  <c r="E328" i="154"/>
  <c r="F328" i="154"/>
  <c r="C328" i="154"/>
  <c r="E329" i="154"/>
  <c r="F329" i="154"/>
  <c r="C329" i="154"/>
  <c r="E330" i="154"/>
  <c r="F330" i="154"/>
  <c r="C330" i="154"/>
  <c r="E2" i="154"/>
  <c r="C2" i="154"/>
  <c r="E3" i="154"/>
  <c r="C3" i="154"/>
  <c r="E4" i="154"/>
  <c r="C4" i="154"/>
  <c r="E5" i="154"/>
  <c r="C5" i="154"/>
  <c r="E6" i="154"/>
  <c r="C6" i="154"/>
  <c r="E7" i="154"/>
  <c r="C7" i="154"/>
  <c r="E8" i="154"/>
  <c r="C8" i="154"/>
  <c r="E9" i="154"/>
  <c r="C9" i="154"/>
  <c r="E10" i="154"/>
  <c r="C10" i="154"/>
  <c r="E11" i="154"/>
  <c r="C11" i="154"/>
  <c r="E12" i="154"/>
  <c r="C12" i="154"/>
  <c r="E13" i="154"/>
  <c r="C13" i="154"/>
  <c r="E14" i="154"/>
  <c r="C14" i="154"/>
  <c r="E15" i="154"/>
  <c r="C15" i="154"/>
  <c r="E16" i="154"/>
  <c r="C16" i="154"/>
  <c r="E17" i="154"/>
  <c r="C17" i="154"/>
  <c r="E18" i="154"/>
  <c r="C18" i="154"/>
  <c r="E19" i="154"/>
  <c r="C19" i="154"/>
  <c r="E20" i="154"/>
  <c r="C20" i="154"/>
  <c r="E21" i="154"/>
  <c r="C21" i="154"/>
  <c r="E22" i="154"/>
  <c r="C22" i="154"/>
  <c r="E23" i="154"/>
  <c r="C23" i="154"/>
  <c r="E24" i="154"/>
  <c r="C24" i="154"/>
  <c r="E25" i="154"/>
  <c r="C25" i="154"/>
  <c r="E26" i="154"/>
  <c r="C26" i="154"/>
  <c r="E27" i="154"/>
  <c r="C27" i="154"/>
  <c r="E28" i="154"/>
  <c r="C28" i="154"/>
  <c r="E29" i="154"/>
  <c r="C29" i="154"/>
  <c r="E30" i="154"/>
  <c r="C30" i="154"/>
  <c r="E31" i="154"/>
  <c r="C31" i="154"/>
  <c r="E32" i="154"/>
  <c r="C32" i="154"/>
  <c r="E33" i="154"/>
  <c r="C33" i="154"/>
  <c r="E34" i="154"/>
  <c r="C34" i="154"/>
  <c r="E35" i="154"/>
  <c r="C35" i="154"/>
  <c r="E36" i="154"/>
  <c r="C36" i="154"/>
  <c r="E37" i="154"/>
  <c r="C37" i="154"/>
  <c r="E38" i="154"/>
  <c r="C38" i="154"/>
  <c r="E39" i="154"/>
  <c r="C39" i="154"/>
  <c r="E40" i="154"/>
  <c r="C40" i="154"/>
  <c r="E41" i="154"/>
  <c r="C41" i="154"/>
  <c r="E42" i="154"/>
  <c r="C42" i="154"/>
  <c r="E43" i="154"/>
  <c r="C43" i="154"/>
  <c r="E44" i="154"/>
  <c r="C44" i="154"/>
  <c r="E45" i="154"/>
  <c r="C45" i="154"/>
  <c r="E46" i="154"/>
  <c r="C46" i="154"/>
  <c r="E47" i="154"/>
  <c r="C47" i="154"/>
  <c r="E48" i="154"/>
  <c r="C48" i="154"/>
  <c r="E49" i="154"/>
  <c r="C49" i="154"/>
  <c r="E50" i="154"/>
  <c r="C50" i="154"/>
  <c r="E51" i="154"/>
  <c r="C51" i="154"/>
  <c r="E52" i="154"/>
  <c r="C52" i="154"/>
  <c r="E53" i="154"/>
  <c r="C53" i="154"/>
  <c r="E54" i="154"/>
  <c r="C54" i="154"/>
  <c r="E55" i="154"/>
  <c r="C55" i="154"/>
  <c r="E56" i="154"/>
  <c r="C56" i="154"/>
  <c r="E57" i="154"/>
  <c r="C57" i="154"/>
  <c r="E58" i="154"/>
  <c r="C58" i="154"/>
  <c r="E59" i="154"/>
  <c r="C59" i="154"/>
  <c r="E60" i="154"/>
  <c r="C60" i="154"/>
  <c r="E61" i="154"/>
  <c r="C61" i="154"/>
  <c r="E62" i="154"/>
  <c r="C62" i="154"/>
  <c r="E63" i="154"/>
  <c r="C63" i="154"/>
  <c r="E64" i="154"/>
  <c r="C64" i="154"/>
  <c r="E65" i="154"/>
  <c r="C65" i="154"/>
  <c r="E66" i="154"/>
  <c r="C66" i="154"/>
  <c r="E67" i="154"/>
  <c r="C67" i="154"/>
  <c r="E68" i="154"/>
  <c r="C68" i="154"/>
  <c r="E69" i="154"/>
  <c r="C69" i="154"/>
  <c r="E70" i="154"/>
  <c r="C70" i="154"/>
  <c r="E71" i="154"/>
  <c r="C71" i="154"/>
  <c r="E72" i="154"/>
  <c r="C72" i="154"/>
  <c r="E73" i="154"/>
  <c r="C73" i="154"/>
  <c r="E74" i="154"/>
  <c r="C74" i="154"/>
  <c r="E75" i="154"/>
  <c r="C75" i="154"/>
  <c r="E76" i="154"/>
  <c r="C76" i="154"/>
  <c r="E77" i="154"/>
  <c r="C77" i="154"/>
  <c r="E78" i="154"/>
  <c r="C78" i="154"/>
  <c r="E79" i="154"/>
  <c r="C79" i="154"/>
  <c r="E80" i="154"/>
  <c r="C80" i="154"/>
  <c r="E81" i="154"/>
  <c r="C81" i="154"/>
  <c r="E82" i="154"/>
  <c r="C82" i="154"/>
  <c r="E83" i="154"/>
  <c r="C83" i="154"/>
  <c r="E84" i="154"/>
  <c r="C84" i="154"/>
  <c r="E85" i="154"/>
  <c r="C85" i="154"/>
  <c r="E86" i="154"/>
  <c r="C86" i="154"/>
  <c r="E87" i="154"/>
  <c r="C87" i="154"/>
  <c r="E88" i="154"/>
  <c r="C88" i="154"/>
  <c r="E89" i="154"/>
  <c r="C89" i="154"/>
  <c r="E90" i="154"/>
  <c r="C90" i="154"/>
  <c r="E91" i="154"/>
  <c r="C91" i="154"/>
  <c r="E92" i="154"/>
  <c r="C92" i="154"/>
  <c r="E93" i="154"/>
  <c r="C93" i="154"/>
  <c r="E94" i="154"/>
  <c r="C94" i="154"/>
  <c r="E95" i="154"/>
  <c r="C95" i="154"/>
  <c r="E96" i="154"/>
  <c r="C96" i="154"/>
  <c r="E97" i="154"/>
  <c r="C97" i="154"/>
  <c r="E98" i="154"/>
  <c r="C98" i="154"/>
  <c r="E99" i="154"/>
  <c r="C99" i="154"/>
  <c r="E100" i="154"/>
  <c r="C100" i="154"/>
  <c r="E101" i="154"/>
  <c r="C101" i="154"/>
  <c r="E102" i="154"/>
  <c r="C102" i="154"/>
  <c r="E103" i="154"/>
  <c r="C103" i="154"/>
  <c r="E104" i="154"/>
  <c r="C104" i="154"/>
  <c r="E105" i="154"/>
  <c r="C105" i="154"/>
  <c r="E106" i="154"/>
  <c r="C106" i="154"/>
  <c r="E107" i="154"/>
  <c r="C107" i="154"/>
  <c r="E108" i="154"/>
  <c r="C108" i="154"/>
  <c r="E109" i="154"/>
  <c r="C109" i="154"/>
  <c r="E110" i="154"/>
  <c r="C110" i="154"/>
  <c r="E111" i="154"/>
  <c r="C111" i="154"/>
  <c r="E112" i="154"/>
  <c r="C112" i="154"/>
  <c r="E113" i="154"/>
  <c r="C113" i="154"/>
  <c r="E114" i="154"/>
  <c r="C114" i="154"/>
  <c r="E115" i="154"/>
  <c r="C115" i="154"/>
  <c r="E116" i="154"/>
  <c r="C116" i="154"/>
  <c r="E117" i="154"/>
  <c r="C117" i="154"/>
  <c r="E118" i="154"/>
  <c r="C118" i="154"/>
  <c r="E119" i="154"/>
  <c r="C119" i="154"/>
  <c r="E120" i="154"/>
  <c r="C120" i="154"/>
  <c r="E121" i="154"/>
  <c r="C121" i="154"/>
  <c r="E122" i="154"/>
  <c r="C122" i="154"/>
  <c r="E123" i="154"/>
  <c r="C123" i="154"/>
  <c r="E124" i="154"/>
  <c r="C124" i="154"/>
  <c r="E125" i="154"/>
  <c r="C125" i="154"/>
  <c r="E126" i="154"/>
  <c r="C126" i="154"/>
  <c r="E127" i="154"/>
  <c r="C127" i="154"/>
  <c r="E128" i="154"/>
  <c r="C128" i="154"/>
  <c r="E129" i="154"/>
  <c r="C129" i="154"/>
  <c r="E130" i="154"/>
  <c r="C130" i="154"/>
  <c r="E131" i="154"/>
  <c r="C131" i="154"/>
  <c r="E132" i="154"/>
  <c r="C132" i="154"/>
  <c r="E133" i="154"/>
  <c r="C133" i="154"/>
  <c r="E134" i="154"/>
  <c r="C134" i="154"/>
  <c r="E135" i="154"/>
  <c r="C135" i="154"/>
  <c r="E136" i="154"/>
  <c r="C136" i="154"/>
  <c r="E137" i="154"/>
  <c r="C137" i="154"/>
  <c r="E138" i="154"/>
  <c r="C138" i="154"/>
  <c r="E139" i="154"/>
  <c r="C139" i="154"/>
  <c r="E140" i="154"/>
  <c r="C140" i="154"/>
  <c r="E141" i="154"/>
  <c r="C141" i="154"/>
  <c r="E142" i="154"/>
  <c r="C142" i="154"/>
  <c r="E143" i="154"/>
  <c r="C143" i="154"/>
  <c r="E144" i="154"/>
  <c r="C144" i="154"/>
  <c r="E145" i="154"/>
  <c r="C145" i="154"/>
  <c r="E146" i="154"/>
  <c r="C146" i="154"/>
  <c r="E147" i="154"/>
  <c r="C147" i="154"/>
  <c r="E148" i="154"/>
  <c r="C148" i="154"/>
  <c r="E149" i="154"/>
  <c r="C149" i="154"/>
  <c r="E150" i="154"/>
  <c r="C150" i="154"/>
  <c r="E151" i="154"/>
  <c r="C151" i="154"/>
  <c r="E152" i="154"/>
  <c r="C152" i="154"/>
  <c r="E153" i="154"/>
  <c r="C153" i="154"/>
  <c r="E154" i="154"/>
  <c r="C154" i="154"/>
  <c r="E155" i="154"/>
  <c r="C155" i="154"/>
  <c r="E156" i="154"/>
  <c r="C156" i="154"/>
  <c r="E157" i="154"/>
  <c r="C157" i="154"/>
  <c r="E158" i="154"/>
  <c r="C158" i="154"/>
  <c r="E159" i="154"/>
  <c r="C159" i="154"/>
  <c r="E160" i="154"/>
  <c r="C160" i="154"/>
  <c r="E161" i="154"/>
  <c r="C161" i="154"/>
  <c r="E162" i="154"/>
  <c r="C162" i="154"/>
  <c r="E163" i="154"/>
  <c r="C163" i="154"/>
  <c r="E164" i="154"/>
  <c r="C164" i="154"/>
  <c r="E165" i="154"/>
  <c r="C165" i="154"/>
  <c r="E166" i="154"/>
  <c r="C166" i="154"/>
  <c r="E167" i="154"/>
  <c r="C167" i="154"/>
  <c r="E168" i="154"/>
  <c r="C168" i="154"/>
  <c r="E169" i="154"/>
  <c r="C169" i="154"/>
  <c r="E170" i="154"/>
  <c r="C170" i="154"/>
  <c r="E171" i="154"/>
  <c r="C171" i="154"/>
  <c r="E172" i="154"/>
  <c r="C172" i="154"/>
  <c r="E173" i="154"/>
  <c r="C173" i="154"/>
  <c r="E174" i="154"/>
  <c r="C174" i="154"/>
  <c r="E175" i="154"/>
  <c r="C175" i="154"/>
  <c r="E176" i="154"/>
  <c r="C176" i="154"/>
  <c r="E177" i="154"/>
  <c r="C177" i="154"/>
  <c r="E178" i="154"/>
  <c r="C178" i="154"/>
  <c r="E179" i="154"/>
  <c r="C179" i="154"/>
  <c r="E180" i="154"/>
  <c r="C180" i="154"/>
  <c r="E181" i="154"/>
  <c r="C181" i="154"/>
  <c r="E182" i="154"/>
  <c r="C182" i="154"/>
  <c r="E183" i="154"/>
  <c r="C183" i="154"/>
  <c r="E184" i="154"/>
  <c r="C184" i="154"/>
  <c r="E185" i="154"/>
  <c r="C185" i="154"/>
  <c r="E186" i="154"/>
  <c r="C186" i="154"/>
  <c r="E187" i="154"/>
  <c r="C187" i="154"/>
  <c r="E188" i="154"/>
  <c r="C188" i="154"/>
  <c r="E189" i="154"/>
  <c r="C189" i="154"/>
  <c r="E190" i="154"/>
  <c r="C190" i="154"/>
  <c r="E191" i="154"/>
  <c r="C191" i="154"/>
  <c r="E192" i="154"/>
  <c r="C192" i="154"/>
  <c r="E193" i="154"/>
  <c r="C193" i="154"/>
  <c r="E194" i="154"/>
  <c r="C194" i="154"/>
  <c r="E195" i="154"/>
  <c r="C195" i="154"/>
  <c r="E196" i="154"/>
  <c r="C196" i="154"/>
  <c r="E197" i="154"/>
  <c r="C197" i="154"/>
  <c r="E198" i="154"/>
  <c r="C198" i="154"/>
  <c r="E199" i="154"/>
  <c r="C199" i="154"/>
  <c r="E200" i="154"/>
  <c r="C200" i="154"/>
  <c r="E201" i="154"/>
  <c r="C201" i="154"/>
  <c r="E202" i="154"/>
  <c r="C202" i="154"/>
  <c r="E203" i="154"/>
  <c r="C203" i="154"/>
  <c r="E204" i="154"/>
  <c r="C204" i="154"/>
  <c r="E205" i="154"/>
  <c r="C205" i="154"/>
  <c r="E206" i="154"/>
  <c r="C206" i="154"/>
  <c r="E207" i="154"/>
  <c r="C207" i="154"/>
  <c r="E208" i="154"/>
  <c r="C208" i="154"/>
  <c r="E209" i="154"/>
  <c r="C209" i="154"/>
  <c r="E210" i="154"/>
  <c r="C210" i="154"/>
  <c r="E211" i="154"/>
  <c r="C211" i="154"/>
  <c r="E212" i="154"/>
  <c r="C212" i="154"/>
  <c r="E213" i="154"/>
  <c r="C213" i="154"/>
  <c r="E214" i="154"/>
  <c r="C214" i="154"/>
  <c r="E215" i="154"/>
  <c r="C215" i="154"/>
  <c r="E216" i="154"/>
  <c r="C216" i="154"/>
  <c r="E217" i="154"/>
  <c r="C217" i="154"/>
  <c r="E218" i="154"/>
  <c r="C218" i="154"/>
  <c r="E219" i="154"/>
  <c r="C219" i="154"/>
  <c r="E220" i="154"/>
  <c r="C220" i="154"/>
  <c r="E221" i="154"/>
  <c r="C221" i="154"/>
  <c r="E222" i="154"/>
  <c r="C222" i="154"/>
  <c r="E223" i="154"/>
  <c r="C223" i="154"/>
  <c r="E224" i="154"/>
  <c r="C224" i="154"/>
  <c r="E225" i="154"/>
  <c r="C225" i="154"/>
  <c r="E226" i="154"/>
  <c r="C226" i="154"/>
  <c r="E227" i="154"/>
  <c r="C227" i="154"/>
  <c r="E228" i="154"/>
  <c r="C228" i="154"/>
  <c r="E229" i="154"/>
  <c r="C229" i="154"/>
  <c r="E230" i="154"/>
  <c r="C230" i="154"/>
  <c r="E231" i="154"/>
  <c r="C231" i="154"/>
  <c r="E232" i="154"/>
  <c r="C232" i="154"/>
  <c r="E233" i="154"/>
  <c r="C233" i="154"/>
  <c r="E234" i="154"/>
  <c r="C234" i="154"/>
  <c r="E235" i="154"/>
  <c r="C235" i="154"/>
  <c r="E236" i="154"/>
  <c r="C236" i="154"/>
  <c r="E237" i="154"/>
  <c r="C237" i="154"/>
  <c r="E238" i="154"/>
  <c r="C238" i="154"/>
  <c r="E239" i="154"/>
  <c r="C239" i="154"/>
  <c r="E240" i="154"/>
  <c r="C240" i="154"/>
  <c r="E241" i="154"/>
  <c r="C241" i="154"/>
  <c r="E242" i="154"/>
  <c r="C242" i="154"/>
  <c r="E243" i="154"/>
  <c r="C243" i="154"/>
  <c r="E244" i="154"/>
  <c r="C244" i="154"/>
  <c r="E245" i="154"/>
  <c r="C245" i="154"/>
  <c r="E246" i="154"/>
  <c r="C246" i="154"/>
  <c r="E247" i="154"/>
  <c r="C247" i="154"/>
  <c r="E248" i="154"/>
  <c r="C248" i="154"/>
  <c r="E249" i="154"/>
  <c r="C249" i="154"/>
  <c r="E250" i="154"/>
  <c r="C250" i="154"/>
  <c r="E251" i="154"/>
  <c r="C251" i="154"/>
  <c r="E252" i="154"/>
  <c r="C252" i="154"/>
  <c r="E253" i="154"/>
  <c r="C253" i="154"/>
  <c r="E254" i="154"/>
  <c r="C254" i="154"/>
  <c r="E255" i="154"/>
  <c r="C255" i="154"/>
  <c r="E256" i="154"/>
  <c r="C256" i="154"/>
  <c r="E257" i="154"/>
  <c r="C257" i="154"/>
  <c r="E258" i="154"/>
  <c r="C258" i="154"/>
  <c r="E259" i="154"/>
  <c r="C259" i="154"/>
  <c r="E260" i="154"/>
  <c r="C260" i="154"/>
  <c r="E261" i="154"/>
  <c r="C261" i="154"/>
  <c r="E262" i="154"/>
  <c r="C262" i="154"/>
  <c r="E263" i="154"/>
  <c r="C263" i="154"/>
  <c r="E264" i="154"/>
  <c r="C264" i="154"/>
  <c r="E265" i="154"/>
  <c r="C265" i="154"/>
  <c r="E266" i="154"/>
  <c r="C266" i="154"/>
  <c r="E267" i="154"/>
  <c r="C267" i="154"/>
  <c r="E268" i="154"/>
  <c r="C268" i="154"/>
  <c r="E269" i="154"/>
  <c r="C269" i="154"/>
  <c r="E270" i="154"/>
  <c r="C270" i="154"/>
  <c r="E271" i="154"/>
  <c r="C271" i="154"/>
  <c r="E272" i="154"/>
  <c r="C272" i="154"/>
  <c r="E273" i="154"/>
  <c r="C273" i="154"/>
  <c r="E274" i="154"/>
  <c r="C274" i="154"/>
  <c r="E275" i="154"/>
  <c r="C275" i="154"/>
  <c r="E276" i="154"/>
  <c r="C276" i="154"/>
  <c r="E277" i="154"/>
  <c r="C277" i="154"/>
  <c r="E278" i="154"/>
  <c r="C278" i="154"/>
  <c r="E279" i="154"/>
  <c r="C279" i="154"/>
  <c r="E280" i="154"/>
  <c r="C280" i="154"/>
  <c r="E281" i="154"/>
  <c r="C281" i="154"/>
  <c r="E282" i="154"/>
  <c r="C282" i="154"/>
  <c r="E283" i="154"/>
  <c r="C283" i="154"/>
  <c r="E284" i="154"/>
  <c r="C284" i="154"/>
  <c r="E285" i="154"/>
  <c r="C285" i="154"/>
  <c r="E286" i="154"/>
  <c r="C286" i="154"/>
  <c r="E287" i="154"/>
  <c r="C287" i="154"/>
  <c r="E288" i="154"/>
  <c r="C288" i="154"/>
  <c r="E289" i="154"/>
  <c r="C289" i="154"/>
  <c r="E290" i="154"/>
  <c r="C290" i="154"/>
  <c r="E291" i="154"/>
  <c r="C291" i="154"/>
  <c r="E292" i="154"/>
  <c r="C292" i="154"/>
  <c r="E293" i="154"/>
  <c r="C293" i="154"/>
  <c r="E294" i="154"/>
  <c r="C294" i="154"/>
  <c r="E295" i="154"/>
  <c r="C295" i="154"/>
  <c r="E296" i="154"/>
  <c r="C296" i="154"/>
  <c r="E297" i="154"/>
  <c r="C297" i="154"/>
  <c r="E298" i="154"/>
  <c r="C298" i="154"/>
  <c r="E299" i="154"/>
  <c r="C299" i="154"/>
  <c r="E300" i="154"/>
  <c r="C300" i="154"/>
  <c r="E301" i="154"/>
  <c r="C301" i="154"/>
  <c r="E302" i="154"/>
  <c r="C302" i="154"/>
  <c r="E303" i="154"/>
  <c r="C303" i="154"/>
  <c r="E304" i="154"/>
  <c r="C304" i="154"/>
  <c r="E305" i="154"/>
  <c r="C305" i="154"/>
  <c r="E306" i="154"/>
  <c r="C306" i="154"/>
  <c r="E307" i="154"/>
  <c r="C307" i="154"/>
  <c r="E308" i="154"/>
  <c r="C308" i="154"/>
  <c r="E309" i="154"/>
  <c r="C309" i="154"/>
  <c r="E310" i="154"/>
  <c r="C310" i="154"/>
  <c r="E311" i="154"/>
  <c r="C311" i="154"/>
  <c r="E312" i="154"/>
  <c r="C312" i="154"/>
  <c r="E313" i="154"/>
  <c r="C313" i="154"/>
  <c r="E314" i="154"/>
  <c r="C314" i="154"/>
  <c r="E315" i="154"/>
  <c r="C315" i="154"/>
  <c r="E316" i="154"/>
  <c r="C316" i="154"/>
  <c r="E317" i="154"/>
  <c r="C317" i="154"/>
  <c r="E318" i="154"/>
  <c r="C318" i="154"/>
  <c r="E319" i="154"/>
  <c r="C319" i="154"/>
  <c r="E320" i="154"/>
  <c r="C320" i="154"/>
  <c r="E321" i="154"/>
  <c r="C321" i="154"/>
  <c r="E322" i="154"/>
  <c r="C322" i="154"/>
  <c r="E323" i="154"/>
  <c r="C323" i="154"/>
  <c r="E324" i="154"/>
  <c r="C324" i="154"/>
  <c r="F5" i="153"/>
  <c r="F6" i="153"/>
  <c r="A3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E6" i="153"/>
  <c r="B23" i="153"/>
  <c r="G23" i="153"/>
  <c r="H23" i="153"/>
  <c r="O325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6" i="154"/>
  <c r="O327" i="154"/>
  <c r="O328" i="154"/>
  <c r="O329" i="154"/>
  <c r="O330" i="154"/>
  <c r="P325" i="154"/>
  <c r="H326" i="154"/>
  <c r="K326" i="154"/>
  <c r="L326" i="154"/>
  <c r="M326" i="154"/>
  <c r="N326" i="154"/>
  <c r="P326" i="154"/>
  <c r="H327" i="154"/>
  <c r="K327" i="154"/>
  <c r="L327" i="154"/>
  <c r="M327" i="154"/>
  <c r="N327" i="154"/>
  <c r="P327" i="154"/>
  <c r="H328" i="154"/>
  <c r="K328" i="154"/>
  <c r="L328" i="154"/>
  <c r="M328" i="154"/>
  <c r="N328" i="154"/>
  <c r="P328" i="154"/>
  <c r="H329" i="154"/>
  <c r="K329" i="154"/>
  <c r="L329" i="154"/>
  <c r="M329" i="154"/>
  <c r="N329" i="154"/>
  <c r="P329" i="154"/>
  <c r="H330" i="154"/>
  <c r="K330" i="154"/>
  <c r="L330" i="154"/>
  <c r="M330" i="154"/>
  <c r="N330" i="154"/>
  <c r="P330" i="154"/>
  <c r="A325" i="154"/>
  <c r="A326" i="154"/>
  <c r="A327" i="154"/>
  <c r="A328" i="154"/>
  <c r="A329" i="154"/>
  <c r="A330" i="154"/>
  <c r="A2" i="157"/>
  <c r="I3" i="158"/>
  <c r="D3" i="158"/>
  <c r="E3" i="158"/>
  <c r="C3" i="158"/>
  <c r="I2" i="158"/>
  <c r="D2" i="158"/>
  <c r="E2" i="158"/>
  <c r="C2" i="158"/>
  <c r="I4" i="158"/>
  <c r="D4" i="158"/>
  <c r="E4" i="158"/>
  <c r="C4" i="158"/>
  <c r="I5" i="158"/>
  <c r="D5" i="158"/>
  <c r="E5" i="158"/>
  <c r="C5" i="158"/>
  <c r="I6" i="158"/>
  <c r="D6" i="158"/>
  <c r="E6" i="158"/>
  <c r="C6" i="158"/>
  <c r="I7" i="158"/>
  <c r="D7" i="158"/>
  <c r="E7" i="158"/>
  <c r="C7" i="158"/>
  <c r="I8" i="158"/>
  <c r="D8" i="158"/>
  <c r="E8" i="158"/>
  <c r="C8" i="158"/>
  <c r="I9" i="158"/>
  <c r="D9" i="158"/>
  <c r="E9" i="158"/>
  <c r="C9" i="158"/>
  <c r="I10" i="158"/>
  <c r="D10" i="158"/>
  <c r="E10" i="158"/>
  <c r="C10" i="158"/>
  <c r="I11" i="158"/>
  <c r="D11" i="158"/>
  <c r="E11" i="158"/>
  <c r="C11" i="158"/>
  <c r="I12" i="158"/>
  <c r="D12" i="158"/>
  <c r="E12" i="158"/>
  <c r="C12" i="158"/>
  <c r="I13" i="158"/>
  <c r="D13" i="158"/>
  <c r="E13" i="158"/>
  <c r="C13" i="158"/>
  <c r="I14" i="158"/>
  <c r="D14" i="158"/>
  <c r="E14" i="158"/>
  <c r="C14" i="158"/>
  <c r="I15" i="158"/>
  <c r="D15" i="158"/>
  <c r="E15" i="158"/>
  <c r="C15" i="158"/>
  <c r="I16" i="158"/>
  <c r="D16" i="158"/>
  <c r="E16" i="158"/>
  <c r="C16" i="158"/>
  <c r="I17" i="158"/>
  <c r="D17" i="158"/>
  <c r="E17" i="158"/>
  <c r="C17" i="158"/>
  <c r="I18" i="158"/>
  <c r="D18" i="158"/>
  <c r="E18" i="158"/>
  <c r="C18" i="158"/>
  <c r="I19" i="158"/>
  <c r="D19" i="158"/>
  <c r="E19" i="158"/>
  <c r="C19" i="158"/>
  <c r="I20" i="158"/>
  <c r="D20" i="158"/>
  <c r="E20" i="158"/>
  <c r="C20" i="158"/>
  <c r="I21" i="158"/>
  <c r="D21" i="158"/>
  <c r="E21" i="158"/>
  <c r="C21" i="158"/>
  <c r="I22" i="158"/>
  <c r="D22" i="158"/>
  <c r="E22" i="158"/>
  <c r="C22" i="158"/>
  <c r="I23" i="158"/>
  <c r="D23" i="158"/>
  <c r="E23" i="158"/>
  <c r="C23" i="158"/>
  <c r="I24" i="158"/>
  <c r="D24" i="158"/>
  <c r="E24" i="158"/>
  <c r="C24" i="158"/>
  <c r="I25" i="158"/>
  <c r="D25" i="158"/>
  <c r="E25" i="158"/>
  <c r="C25" i="158"/>
  <c r="I26" i="158"/>
  <c r="D26" i="158"/>
  <c r="E26" i="158"/>
  <c r="C26" i="158"/>
  <c r="I27" i="158"/>
  <c r="D27" i="158"/>
  <c r="E27" i="158"/>
  <c r="C27" i="158"/>
  <c r="I28" i="158"/>
  <c r="D28" i="158"/>
  <c r="E28" i="158"/>
  <c r="C28" i="158"/>
  <c r="I29" i="158"/>
  <c r="D29" i="158"/>
  <c r="E29" i="158"/>
  <c r="C29" i="158"/>
  <c r="I30" i="158"/>
  <c r="D30" i="158"/>
  <c r="E30" i="158"/>
  <c r="C30" i="158"/>
  <c r="I31" i="158"/>
  <c r="D31" i="158"/>
  <c r="E31" i="158"/>
  <c r="C31" i="158"/>
  <c r="I32" i="158"/>
  <c r="D32" i="158"/>
  <c r="E32" i="158"/>
  <c r="C32" i="158"/>
  <c r="I33" i="158"/>
  <c r="D33" i="158"/>
  <c r="E33" i="158"/>
  <c r="C33" i="158"/>
  <c r="I34" i="158"/>
  <c r="D34" i="158"/>
  <c r="E34" i="158"/>
  <c r="C34" i="158"/>
  <c r="I35" i="158"/>
  <c r="D35" i="158"/>
  <c r="E35" i="158"/>
  <c r="C35" i="158"/>
  <c r="I36" i="158"/>
  <c r="D36" i="158"/>
  <c r="E36" i="158"/>
  <c r="C36" i="158"/>
  <c r="I37" i="158"/>
  <c r="D37" i="158"/>
  <c r="E37" i="158"/>
  <c r="C37" i="158"/>
  <c r="I38" i="158"/>
  <c r="D38" i="158"/>
  <c r="E38" i="158"/>
  <c r="C38" i="158"/>
  <c r="I39" i="158"/>
  <c r="D39" i="158"/>
  <c r="E39" i="158"/>
  <c r="C39" i="158"/>
  <c r="I40" i="158"/>
  <c r="D40" i="158"/>
  <c r="E40" i="158"/>
  <c r="C40" i="158"/>
  <c r="I41" i="158"/>
  <c r="D41" i="158"/>
  <c r="E41" i="158"/>
  <c r="C41" i="158"/>
  <c r="I42" i="158"/>
  <c r="D42" i="158"/>
  <c r="E42" i="158"/>
  <c r="C42" i="158"/>
  <c r="I43" i="158"/>
  <c r="D43" i="158"/>
  <c r="E43" i="158"/>
  <c r="C43" i="158"/>
  <c r="I44" i="158"/>
  <c r="D44" i="158"/>
  <c r="E44" i="158"/>
  <c r="C44" i="158"/>
  <c r="I45" i="158"/>
  <c r="D45" i="158"/>
  <c r="E45" i="158"/>
  <c r="C45" i="158"/>
  <c r="I46" i="158"/>
  <c r="D46" i="158"/>
  <c r="E46" i="158"/>
  <c r="C46" i="158"/>
  <c r="I47" i="158"/>
  <c r="D47" i="158"/>
  <c r="E47" i="158"/>
  <c r="C47" i="158"/>
  <c r="I48" i="158"/>
  <c r="D48" i="158"/>
  <c r="E48" i="158"/>
  <c r="C48" i="158"/>
  <c r="I49" i="158"/>
  <c r="D49" i="158"/>
  <c r="E49" i="158"/>
  <c r="C49" i="158"/>
  <c r="I50" i="158"/>
  <c r="D50" i="158"/>
  <c r="E50" i="158"/>
  <c r="C50" i="158"/>
  <c r="I51" i="158"/>
  <c r="D51" i="158"/>
  <c r="E51" i="158"/>
  <c r="C51" i="158"/>
  <c r="I52" i="158"/>
  <c r="D52" i="158"/>
  <c r="E52" i="158"/>
  <c r="C52" i="158"/>
  <c r="I53" i="158"/>
  <c r="D53" i="158"/>
  <c r="E53" i="158"/>
  <c r="C53" i="158"/>
  <c r="I54" i="158"/>
  <c r="D54" i="158"/>
  <c r="E54" i="158"/>
  <c r="C54" i="158"/>
  <c r="I55" i="158"/>
  <c r="D55" i="158"/>
  <c r="E55" i="158"/>
  <c r="C55" i="158"/>
  <c r="I56" i="158"/>
  <c r="D56" i="158"/>
  <c r="E56" i="158"/>
  <c r="C56" i="158"/>
  <c r="I57" i="158"/>
  <c r="D57" i="158"/>
  <c r="E57" i="158"/>
  <c r="C57" i="158"/>
  <c r="I58" i="158"/>
  <c r="D58" i="158"/>
  <c r="E58" i="158"/>
  <c r="C58" i="158"/>
  <c r="I59" i="158"/>
  <c r="D59" i="158"/>
  <c r="E59" i="158"/>
  <c r="C59" i="158"/>
  <c r="I60" i="158"/>
  <c r="D60" i="158"/>
  <c r="E60" i="158"/>
  <c r="C60" i="158"/>
  <c r="I61" i="158"/>
  <c r="D61" i="158"/>
  <c r="E61" i="158"/>
  <c r="C61" i="158"/>
  <c r="I62" i="158"/>
  <c r="D62" i="158"/>
  <c r="E62" i="158"/>
  <c r="C62" i="158"/>
  <c r="I63" i="158"/>
  <c r="D63" i="158"/>
  <c r="E63" i="158"/>
  <c r="C63" i="158"/>
  <c r="I64" i="158"/>
  <c r="D64" i="158"/>
  <c r="E64" i="158"/>
  <c r="C64" i="158"/>
  <c r="I65" i="158"/>
  <c r="D65" i="158"/>
  <c r="E65" i="158"/>
  <c r="C65" i="158"/>
  <c r="I66" i="158"/>
  <c r="D66" i="158"/>
  <c r="E66" i="158"/>
  <c r="C66" i="158"/>
  <c r="I67" i="158"/>
  <c r="D67" i="158"/>
  <c r="E67" i="158"/>
  <c r="C67" i="158"/>
  <c r="I68" i="158"/>
  <c r="D68" i="158"/>
  <c r="E68" i="158"/>
  <c r="C68" i="158"/>
  <c r="I69" i="158"/>
  <c r="D69" i="158"/>
  <c r="E69" i="158"/>
  <c r="C69" i="158"/>
  <c r="I70" i="158"/>
  <c r="D70" i="158"/>
  <c r="E70" i="158"/>
  <c r="C70" i="158"/>
  <c r="I71" i="158"/>
  <c r="D71" i="158"/>
  <c r="E71" i="158"/>
  <c r="C71" i="158"/>
  <c r="I72" i="158"/>
  <c r="D72" i="158"/>
  <c r="E72" i="158"/>
  <c r="C72" i="158"/>
  <c r="I73" i="158"/>
  <c r="D73" i="158"/>
  <c r="E73" i="158"/>
  <c r="C73" i="158"/>
  <c r="I74" i="158"/>
  <c r="D74" i="158"/>
  <c r="E74" i="158"/>
  <c r="C74" i="158"/>
  <c r="I75" i="158"/>
  <c r="D75" i="158"/>
  <c r="E75" i="158"/>
  <c r="C75" i="158"/>
  <c r="I76" i="158"/>
  <c r="D76" i="158"/>
  <c r="E76" i="158"/>
  <c r="C76" i="158"/>
  <c r="I77" i="158"/>
  <c r="D77" i="158"/>
  <c r="E77" i="158"/>
  <c r="C77" i="158"/>
  <c r="I78" i="158"/>
  <c r="D78" i="158"/>
  <c r="E78" i="158"/>
  <c r="C78" i="158"/>
  <c r="I79" i="158"/>
  <c r="D79" i="158"/>
  <c r="E79" i="158"/>
  <c r="C79" i="158"/>
  <c r="I80" i="158"/>
  <c r="D80" i="158"/>
  <c r="E80" i="158"/>
  <c r="C80" i="158"/>
  <c r="I81" i="158"/>
  <c r="D81" i="158"/>
  <c r="E81" i="158"/>
  <c r="C81" i="158"/>
  <c r="I82" i="158"/>
  <c r="D82" i="158"/>
  <c r="E82" i="158"/>
  <c r="C82" i="158"/>
  <c r="I83" i="158"/>
  <c r="D83" i="158"/>
  <c r="E83" i="158"/>
  <c r="C83" i="158"/>
  <c r="I84" i="158"/>
  <c r="D84" i="158"/>
  <c r="E84" i="158"/>
  <c r="C84" i="158"/>
  <c r="I85" i="158"/>
  <c r="D85" i="158"/>
  <c r="E85" i="158"/>
  <c r="C85" i="158"/>
  <c r="I86" i="158"/>
  <c r="D86" i="158"/>
  <c r="E86" i="158"/>
  <c r="C86" i="158"/>
  <c r="I87" i="158"/>
  <c r="D87" i="158"/>
  <c r="E87" i="158"/>
  <c r="C87" i="158"/>
  <c r="I88" i="158"/>
  <c r="D88" i="158"/>
  <c r="E88" i="158"/>
  <c r="C88" i="158"/>
  <c r="I89" i="158"/>
  <c r="D89" i="158"/>
  <c r="E89" i="158"/>
  <c r="C89" i="158"/>
  <c r="I90" i="158"/>
  <c r="D90" i="158"/>
  <c r="E90" i="158"/>
  <c r="C90" i="158"/>
  <c r="I91" i="158"/>
  <c r="D91" i="158"/>
  <c r="E91" i="158"/>
  <c r="C91" i="158"/>
  <c r="I92" i="158"/>
  <c r="D92" i="158"/>
  <c r="E92" i="158"/>
  <c r="C92" i="158"/>
  <c r="I93" i="158"/>
  <c r="D93" i="158"/>
  <c r="E93" i="158"/>
  <c r="C93" i="158"/>
  <c r="I94" i="158"/>
  <c r="D94" i="158"/>
  <c r="E94" i="158"/>
  <c r="C94" i="158"/>
  <c r="I95" i="158"/>
  <c r="D95" i="158"/>
  <c r="E95" i="158"/>
  <c r="C95" i="158"/>
  <c r="I96" i="158"/>
  <c r="D96" i="158"/>
  <c r="E96" i="158"/>
  <c r="C96" i="158"/>
  <c r="I97" i="158"/>
  <c r="D97" i="158"/>
  <c r="E97" i="158"/>
  <c r="C97" i="158"/>
  <c r="I98" i="158"/>
  <c r="D98" i="158"/>
  <c r="E98" i="158"/>
  <c r="C98" i="158"/>
  <c r="I99" i="158"/>
  <c r="D99" i="158"/>
  <c r="E99" i="158"/>
  <c r="C99" i="158"/>
  <c r="I100" i="158"/>
  <c r="D100" i="158"/>
  <c r="E100" i="158"/>
  <c r="C100" i="158"/>
  <c r="I101" i="158"/>
  <c r="D101" i="158"/>
  <c r="E101" i="158"/>
  <c r="C101" i="158"/>
  <c r="I102" i="158"/>
  <c r="D102" i="158"/>
  <c r="E102" i="158"/>
  <c r="C102" i="158"/>
  <c r="I103" i="158"/>
  <c r="D103" i="158"/>
  <c r="E103" i="158"/>
  <c r="C103" i="158"/>
  <c r="I104" i="158"/>
  <c r="D104" i="158"/>
  <c r="E104" i="158"/>
  <c r="C104" i="158"/>
  <c r="I105" i="158"/>
  <c r="D105" i="158"/>
  <c r="E105" i="158"/>
  <c r="C105" i="158"/>
  <c r="I106" i="158"/>
  <c r="D106" i="158"/>
  <c r="E106" i="158"/>
  <c r="C106" i="158"/>
  <c r="I107" i="158"/>
  <c r="D107" i="158"/>
  <c r="E107" i="158"/>
  <c r="C107" i="158"/>
  <c r="I108" i="158"/>
  <c r="D108" i="158"/>
  <c r="E108" i="158"/>
  <c r="C108" i="158"/>
  <c r="I109" i="158"/>
  <c r="D109" i="158"/>
  <c r="E109" i="158"/>
  <c r="C109" i="158"/>
  <c r="I110" i="158"/>
  <c r="D110" i="158"/>
  <c r="E110" i="158"/>
  <c r="C110" i="158"/>
  <c r="I111" i="158"/>
  <c r="D111" i="158"/>
  <c r="E111" i="158"/>
  <c r="C111" i="158"/>
  <c r="I112" i="158"/>
  <c r="D112" i="158"/>
  <c r="E112" i="158"/>
  <c r="C112" i="158"/>
  <c r="I113" i="158"/>
  <c r="D113" i="158"/>
  <c r="E113" i="158"/>
  <c r="C113" i="158"/>
  <c r="I114" i="158"/>
  <c r="D114" i="158"/>
  <c r="E114" i="158"/>
  <c r="C114" i="158"/>
  <c r="I115" i="158"/>
  <c r="D115" i="158"/>
  <c r="E115" i="158"/>
  <c r="C115" i="158"/>
  <c r="I116" i="158"/>
  <c r="D116" i="158"/>
  <c r="E116" i="158"/>
  <c r="C116" i="158"/>
  <c r="I117" i="158"/>
  <c r="D117" i="158"/>
  <c r="E117" i="158"/>
  <c r="C117" i="158"/>
  <c r="I118" i="158"/>
  <c r="D118" i="158"/>
  <c r="E118" i="158"/>
  <c r="C118" i="158"/>
  <c r="I119" i="158"/>
  <c r="D119" i="158"/>
  <c r="E119" i="158"/>
  <c r="C119" i="158"/>
  <c r="I120" i="158"/>
  <c r="D120" i="158"/>
  <c r="E120" i="158"/>
  <c r="C120" i="158"/>
  <c r="I121" i="158"/>
  <c r="D121" i="158"/>
  <c r="E121" i="158"/>
  <c r="C121" i="158"/>
  <c r="I122" i="158"/>
  <c r="D122" i="158"/>
  <c r="E122" i="158"/>
  <c r="C122" i="158"/>
  <c r="I123" i="158"/>
  <c r="D123" i="158"/>
  <c r="E123" i="158"/>
  <c r="C123" i="158"/>
  <c r="I124" i="158"/>
  <c r="D124" i="158"/>
  <c r="E124" i="158"/>
  <c r="C124" i="158"/>
  <c r="I125" i="158"/>
  <c r="D125" i="158"/>
  <c r="E125" i="158"/>
  <c r="C125" i="158"/>
  <c r="I126" i="158"/>
  <c r="D126" i="158"/>
  <c r="E126" i="158"/>
  <c r="C126" i="158"/>
  <c r="I127" i="158"/>
  <c r="D127" i="158"/>
  <c r="E127" i="158"/>
  <c r="C127" i="158"/>
  <c r="I128" i="158"/>
  <c r="D128" i="158"/>
  <c r="E128" i="158"/>
  <c r="C128" i="158"/>
  <c r="I129" i="158"/>
  <c r="D129" i="158"/>
  <c r="E129" i="158"/>
  <c r="C129" i="158"/>
  <c r="I130" i="158"/>
  <c r="D130" i="158"/>
  <c r="E130" i="158"/>
  <c r="C130" i="158"/>
  <c r="I131" i="158"/>
  <c r="D131" i="158"/>
  <c r="E131" i="158"/>
  <c r="C131" i="158"/>
  <c r="I132" i="158"/>
  <c r="D132" i="158"/>
  <c r="E132" i="158"/>
  <c r="C132" i="158"/>
  <c r="I133" i="158"/>
  <c r="D133" i="158"/>
  <c r="E133" i="158"/>
  <c r="C133" i="158"/>
  <c r="I134" i="158"/>
  <c r="D134" i="158"/>
  <c r="E134" i="158"/>
  <c r="C134" i="158"/>
  <c r="I135" i="158"/>
  <c r="D135" i="158"/>
  <c r="E135" i="158"/>
  <c r="C135" i="158"/>
  <c r="I136" i="158"/>
  <c r="D136" i="158"/>
  <c r="E136" i="158"/>
  <c r="C136" i="158"/>
  <c r="I137" i="158"/>
  <c r="D137" i="158"/>
  <c r="E137" i="158"/>
  <c r="C137" i="158"/>
  <c r="I138" i="158"/>
  <c r="D138" i="158"/>
  <c r="E138" i="158"/>
  <c r="C138" i="158"/>
  <c r="I139" i="158"/>
  <c r="D139" i="158"/>
  <c r="E139" i="158"/>
  <c r="C139" i="158"/>
  <c r="I140" i="158"/>
  <c r="D140" i="158"/>
  <c r="E140" i="158"/>
  <c r="C140" i="158"/>
  <c r="I141" i="158"/>
  <c r="D141" i="158"/>
  <c r="E141" i="158"/>
  <c r="C141" i="158"/>
  <c r="I142" i="158"/>
  <c r="D142" i="158"/>
  <c r="E142" i="158"/>
  <c r="C142" i="158"/>
  <c r="I143" i="158"/>
  <c r="D143" i="158"/>
  <c r="E143" i="158"/>
  <c r="C143" i="158"/>
  <c r="I144" i="158"/>
  <c r="D144" i="158"/>
  <c r="E144" i="158"/>
  <c r="C144" i="158"/>
  <c r="I145" i="158"/>
  <c r="D145" i="158"/>
  <c r="E145" i="158"/>
  <c r="C145" i="158"/>
  <c r="I146" i="158"/>
  <c r="D146" i="158"/>
  <c r="E146" i="158"/>
  <c r="C146" i="158"/>
  <c r="I147" i="158"/>
  <c r="D147" i="158"/>
  <c r="E147" i="158"/>
  <c r="C147" i="158"/>
  <c r="I148" i="158"/>
  <c r="D148" i="158"/>
  <c r="E148" i="158"/>
  <c r="C148" i="158"/>
  <c r="I149" i="158"/>
  <c r="D149" i="158"/>
  <c r="E149" i="158"/>
  <c r="C149" i="158"/>
  <c r="I150" i="158"/>
  <c r="D150" i="158"/>
  <c r="E150" i="158"/>
  <c r="C150" i="158"/>
  <c r="I151" i="158"/>
  <c r="D151" i="158"/>
  <c r="E151" i="158"/>
  <c r="C151" i="158"/>
  <c r="I152" i="158"/>
  <c r="D152" i="158"/>
  <c r="E152" i="158"/>
  <c r="C152" i="158"/>
  <c r="I153" i="158"/>
  <c r="D153" i="158"/>
  <c r="E153" i="158"/>
  <c r="C153" i="158"/>
  <c r="I154" i="158"/>
  <c r="D154" i="158"/>
  <c r="E154" i="158"/>
  <c r="C154" i="158"/>
  <c r="I155" i="158"/>
  <c r="D155" i="158"/>
  <c r="E155" i="158"/>
  <c r="C155" i="158"/>
  <c r="I156" i="158"/>
  <c r="D156" i="158"/>
  <c r="E156" i="158"/>
  <c r="C156" i="158"/>
  <c r="I157" i="158"/>
  <c r="D157" i="158"/>
  <c r="E157" i="158"/>
  <c r="C157" i="158"/>
  <c r="I158" i="158"/>
  <c r="D158" i="158"/>
  <c r="E158" i="158"/>
  <c r="C158" i="158"/>
  <c r="I159" i="158"/>
  <c r="D159" i="158"/>
  <c r="E159" i="158"/>
  <c r="C159" i="158"/>
  <c r="I160" i="158"/>
  <c r="D160" i="158"/>
  <c r="E160" i="158"/>
  <c r="C160" i="158"/>
  <c r="I161" i="158"/>
  <c r="D161" i="158"/>
  <c r="E161" i="158"/>
  <c r="C161" i="158"/>
  <c r="I162" i="158"/>
  <c r="D162" i="158"/>
  <c r="E162" i="158"/>
  <c r="C162" i="158"/>
  <c r="I163" i="158"/>
  <c r="D163" i="158"/>
  <c r="E163" i="158"/>
  <c r="C163" i="158"/>
  <c r="I164" i="158"/>
  <c r="D164" i="158"/>
  <c r="E164" i="158"/>
  <c r="C164" i="158"/>
  <c r="I165" i="158"/>
  <c r="D165" i="158"/>
  <c r="E165" i="158"/>
  <c r="C165" i="158"/>
  <c r="I166" i="158"/>
  <c r="D166" i="158"/>
  <c r="E166" i="158"/>
  <c r="C166" i="158"/>
  <c r="I167" i="158"/>
  <c r="D167" i="158"/>
  <c r="E167" i="158"/>
  <c r="C167" i="158"/>
  <c r="I168" i="158"/>
  <c r="D168" i="158"/>
  <c r="E168" i="158"/>
  <c r="C168" i="158"/>
  <c r="I169" i="158"/>
  <c r="D169" i="158"/>
  <c r="E169" i="158"/>
  <c r="C169" i="158"/>
  <c r="I170" i="158"/>
  <c r="D170" i="158"/>
  <c r="E170" i="158"/>
  <c r="C170" i="158"/>
  <c r="I171" i="158"/>
  <c r="D171" i="158"/>
  <c r="E171" i="158"/>
  <c r="C171" i="158"/>
  <c r="I172" i="158"/>
  <c r="D172" i="158"/>
  <c r="E172" i="158"/>
  <c r="C172" i="158"/>
  <c r="I173" i="158"/>
  <c r="D173" i="158"/>
  <c r="E173" i="158"/>
  <c r="C173" i="158"/>
  <c r="I174" i="158"/>
  <c r="D174" i="158"/>
  <c r="E174" i="158"/>
  <c r="C174" i="158"/>
  <c r="I175" i="158"/>
  <c r="D175" i="158"/>
  <c r="E175" i="158"/>
  <c r="C175" i="158"/>
  <c r="I176" i="158"/>
  <c r="D176" i="158"/>
  <c r="E176" i="158"/>
  <c r="C176" i="158"/>
  <c r="I177" i="158"/>
  <c r="D177" i="158"/>
  <c r="E177" i="158"/>
  <c r="C177" i="158"/>
  <c r="I178" i="158"/>
  <c r="D178" i="158"/>
  <c r="E178" i="158"/>
  <c r="C178" i="158"/>
  <c r="I179" i="158"/>
  <c r="D179" i="158"/>
  <c r="E179" i="158"/>
  <c r="C179" i="158"/>
  <c r="I180" i="158"/>
  <c r="D180" i="158"/>
  <c r="E180" i="158"/>
  <c r="C180" i="158"/>
  <c r="I181" i="158"/>
  <c r="D181" i="158"/>
  <c r="E181" i="158"/>
  <c r="C181" i="158"/>
  <c r="I182" i="158"/>
  <c r="D182" i="158"/>
  <c r="E182" i="158"/>
  <c r="C182" i="158"/>
  <c r="I183" i="158"/>
  <c r="D183" i="158"/>
  <c r="E183" i="158"/>
  <c r="C183" i="158"/>
  <c r="I184" i="158"/>
  <c r="D184" i="158"/>
  <c r="E184" i="158"/>
  <c r="C184" i="158"/>
  <c r="I185" i="158"/>
  <c r="D185" i="158"/>
  <c r="E185" i="158"/>
  <c r="C185" i="158"/>
  <c r="I186" i="158"/>
  <c r="D186" i="158"/>
  <c r="E186" i="158"/>
  <c r="C186" i="158"/>
  <c r="I187" i="158"/>
  <c r="D187" i="158"/>
  <c r="E187" i="158"/>
  <c r="C187" i="158"/>
  <c r="I188" i="158"/>
  <c r="D188" i="158"/>
  <c r="E188" i="158"/>
  <c r="C188" i="158"/>
  <c r="I189" i="158"/>
  <c r="D189" i="158"/>
  <c r="E189" i="158"/>
  <c r="C189" i="158"/>
  <c r="I190" i="158"/>
  <c r="D190" i="158"/>
  <c r="E190" i="158"/>
  <c r="C190" i="158"/>
  <c r="I191" i="158"/>
  <c r="D191" i="158"/>
  <c r="E191" i="158"/>
  <c r="C191" i="158"/>
  <c r="I192" i="158"/>
  <c r="D192" i="158"/>
  <c r="E192" i="158"/>
  <c r="C192" i="158"/>
  <c r="I193" i="158"/>
  <c r="D193" i="158"/>
  <c r="E193" i="158"/>
  <c r="C193" i="158"/>
  <c r="I194" i="158"/>
  <c r="D194" i="158"/>
  <c r="E194" i="158"/>
  <c r="C194" i="158"/>
  <c r="I195" i="158"/>
  <c r="D195" i="158"/>
  <c r="E195" i="158"/>
  <c r="C195" i="158"/>
  <c r="I196" i="158"/>
  <c r="D196" i="158"/>
  <c r="E196" i="158"/>
  <c r="C196" i="158"/>
  <c r="I197" i="158"/>
  <c r="D197" i="158"/>
  <c r="E197" i="158"/>
  <c r="C197" i="158"/>
  <c r="I198" i="158"/>
  <c r="D198" i="158"/>
  <c r="E198" i="158"/>
  <c r="C198" i="158"/>
  <c r="I199" i="158"/>
  <c r="D199" i="158"/>
  <c r="E199" i="158"/>
  <c r="C199" i="158"/>
  <c r="I200" i="158"/>
  <c r="D200" i="158"/>
  <c r="E200" i="158"/>
  <c r="C200" i="158"/>
  <c r="I201" i="158"/>
  <c r="D201" i="158"/>
  <c r="E201" i="158"/>
  <c r="C201" i="158"/>
  <c r="I202" i="158"/>
  <c r="D202" i="158"/>
  <c r="E202" i="158"/>
  <c r="C202" i="158"/>
  <c r="I203" i="158"/>
  <c r="D203" i="158"/>
  <c r="E203" i="158"/>
  <c r="C203" i="158"/>
  <c r="I204" i="158"/>
  <c r="D204" i="158"/>
  <c r="E204" i="158"/>
  <c r="C204" i="158"/>
  <c r="I205" i="158"/>
  <c r="D205" i="158"/>
  <c r="E205" i="158"/>
  <c r="C205" i="158"/>
  <c r="I206" i="158"/>
  <c r="D206" i="158"/>
  <c r="E206" i="158"/>
  <c r="C206" i="158"/>
  <c r="I207" i="158"/>
  <c r="D207" i="158"/>
  <c r="E207" i="158"/>
  <c r="C207" i="158"/>
  <c r="I208" i="158"/>
  <c r="D208" i="158"/>
  <c r="E208" i="158"/>
  <c r="C208" i="158"/>
  <c r="I209" i="158"/>
  <c r="D209" i="158"/>
  <c r="E209" i="158"/>
  <c r="C209" i="158"/>
  <c r="I210" i="158"/>
  <c r="D210" i="158"/>
  <c r="E210" i="158"/>
  <c r="C210" i="158"/>
  <c r="I211" i="158"/>
  <c r="D211" i="158"/>
  <c r="E211" i="158"/>
  <c r="C211" i="158"/>
  <c r="I212" i="158"/>
  <c r="D212" i="158"/>
  <c r="E212" i="158"/>
  <c r="C212" i="158"/>
  <c r="I213" i="158"/>
  <c r="D213" i="158"/>
  <c r="E213" i="158"/>
  <c r="C213" i="158"/>
  <c r="I214" i="158"/>
  <c r="D214" i="158"/>
  <c r="E214" i="158"/>
  <c r="C214" i="158"/>
  <c r="I215" i="158"/>
  <c r="D215" i="158"/>
  <c r="E215" i="158"/>
  <c r="C215" i="158"/>
  <c r="I216" i="158"/>
  <c r="D216" i="158"/>
  <c r="E216" i="158"/>
  <c r="C216" i="158"/>
  <c r="I217" i="158"/>
  <c r="D217" i="158"/>
  <c r="E217" i="158"/>
  <c r="C217" i="158"/>
  <c r="I218" i="158"/>
  <c r="D218" i="158"/>
  <c r="E218" i="158"/>
  <c r="C218" i="158"/>
  <c r="I219" i="158"/>
  <c r="D219" i="158"/>
  <c r="E219" i="158"/>
  <c r="C219" i="158"/>
  <c r="I220" i="158"/>
  <c r="D220" i="158"/>
  <c r="E220" i="158"/>
  <c r="C220" i="158"/>
  <c r="I221" i="158"/>
  <c r="D221" i="158"/>
  <c r="E221" i="158"/>
  <c r="C221" i="158"/>
  <c r="I222" i="158"/>
  <c r="D222" i="158"/>
  <c r="E222" i="158"/>
  <c r="C222" i="158"/>
  <c r="I223" i="158"/>
  <c r="D223" i="158"/>
  <c r="E223" i="158"/>
  <c r="C223" i="158"/>
  <c r="I224" i="158"/>
  <c r="D224" i="158"/>
  <c r="E224" i="158"/>
  <c r="C224" i="158"/>
  <c r="I225" i="158"/>
  <c r="D225" i="158"/>
  <c r="E225" i="158"/>
  <c r="C225" i="158"/>
  <c r="I226" i="158"/>
  <c r="D226" i="158"/>
  <c r="E226" i="158"/>
  <c r="C226" i="158"/>
  <c r="I227" i="158"/>
  <c r="D227" i="158"/>
  <c r="E227" i="158"/>
  <c r="C227" i="158"/>
  <c r="I228" i="158"/>
  <c r="D228" i="158"/>
  <c r="E228" i="158"/>
  <c r="C228" i="158"/>
  <c r="I229" i="158"/>
  <c r="D229" i="158"/>
  <c r="E229" i="158"/>
  <c r="C229" i="158"/>
  <c r="I230" i="158"/>
  <c r="D230" i="158"/>
  <c r="E230" i="158"/>
  <c r="C230" i="158"/>
  <c r="I231" i="158"/>
  <c r="D231" i="158"/>
  <c r="E231" i="158"/>
  <c r="C231" i="158"/>
  <c r="I232" i="158"/>
  <c r="D232" i="158"/>
  <c r="E232" i="158"/>
  <c r="C232" i="158"/>
  <c r="I233" i="158"/>
  <c r="D233" i="158"/>
  <c r="E233" i="158"/>
  <c r="C233" i="158"/>
  <c r="I234" i="158"/>
  <c r="D234" i="158"/>
  <c r="E234" i="158"/>
  <c r="C234" i="158"/>
  <c r="I235" i="158"/>
  <c r="D235" i="158"/>
  <c r="E235" i="158"/>
  <c r="C235" i="158"/>
  <c r="I236" i="158"/>
  <c r="D236" i="158"/>
  <c r="E236" i="158"/>
  <c r="C236" i="158"/>
  <c r="I237" i="158"/>
  <c r="D237" i="158"/>
  <c r="E237" i="158"/>
  <c r="C237" i="158"/>
  <c r="I238" i="158"/>
  <c r="D238" i="158"/>
  <c r="E238" i="158"/>
  <c r="C238" i="158"/>
  <c r="I239" i="158"/>
  <c r="D239" i="158"/>
  <c r="E239" i="158"/>
  <c r="C239" i="158"/>
  <c r="I240" i="158"/>
  <c r="D240" i="158"/>
  <c r="E240" i="158"/>
  <c r="C240" i="158"/>
  <c r="I241" i="158"/>
  <c r="D241" i="158"/>
  <c r="E241" i="158"/>
  <c r="C241" i="158"/>
  <c r="I242" i="158"/>
  <c r="D242" i="158"/>
  <c r="E242" i="158"/>
  <c r="C242" i="158"/>
  <c r="I243" i="158"/>
  <c r="D243" i="158"/>
  <c r="E243" i="158"/>
  <c r="C243" i="158"/>
  <c r="I244" i="158"/>
  <c r="D244" i="158"/>
  <c r="E244" i="158"/>
  <c r="C244" i="158"/>
  <c r="I245" i="158"/>
  <c r="D245" i="158"/>
  <c r="E245" i="158"/>
  <c r="C245" i="158"/>
  <c r="I246" i="158"/>
  <c r="D246" i="158"/>
  <c r="E246" i="158"/>
  <c r="C246" i="158"/>
  <c r="I247" i="158"/>
  <c r="D247" i="158"/>
  <c r="E247" i="158"/>
  <c r="C247" i="158"/>
  <c r="I248" i="158"/>
  <c r="D248" i="158"/>
  <c r="E248" i="158"/>
  <c r="C248" i="158"/>
  <c r="I249" i="158"/>
  <c r="D249" i="158"/>
  <c r="E249" i="158"/>
  <c r="C249" i="158"/>
  <c r="I250" i="158"/>
  <c r="D250" i="158"/>
  <c r="E250" i="158"/>
  <c r="C250" i="158"/>
  <c r="I251" i="158"/>
  <c r="D251" i="158"/>
  <c r="E251" i="158"/>
  <c r="C251" i="158"/>
  <c r="I252" i="158"/>
  <c r="D252" i="158"/>
  <c r="E252" i="158"/>
  <c r="C252" i="158"/>
  <c r="I253" i="158"/>
  <c r="D253" i="158"/>
  <c r="E253" i="158"/>
  <c r="C253" i="158"/>
  <c r="I254" i="158"/>
  <c r="D254" i="158"/>
  <c r="E254" i="158"/>
  <c r="C254" i="158"/>
  <c r="I255" i="158"/>
  <c r="D255" i="158"/>
  <c r="E255" i="158"/>
  <c r="C255" i="158"/>
  <c r="I256" i="158"/>
  <c r="D256" i="158"/>
  <c r="E256" i="158"/>
  <c r="C256" i="158"/>
  <c r="I257" i="158"/>
  <c r="D257" i="158"/>
  <c r="E257" i="158"/>
  <c r="C257" i="158"/>
  <c r="I258" i="158"/>
  <c r="D258" i="158"/>
  <c r="E258" i="158"/>
  <c r="C258" i="158"/>
  <c r="I259" i="158"/>
  <c r="D259" i="158"/>
  <c r="E259" i="158"/>
  <c r="C259" i="158"/>
  <c r="I260" i="158"/>
  <c r="D260" i="158"/>
  <c r="E260" i="158"/>
  <c r="C260" i="158"/>
  <c r="I261" i="158"/>
  <c r="D261" i="158"/>
  <c r="E261" i="158"/>
  <c r="C261" i="158"/>
  <c r="I262" i="158"/>
  <c r="D262" i="158"/>
  <c r="E262" i="158"/>
  <c r="C262" i="158"/>
  <c r="I263" i="158"/>
  <c r="D263" i="158"/>
  <c r="E263" i="158"/>
  <c r="C263" i="158"/>
  <c r="I264" i="158"/>
  <c r="D264" i="158"/>
  <c r="E264" i="158"/>
  <c r="C264" i="158"/>
  <c r="I265" i="158"/>
  <c r="D265" i="158"/>
  <c r="E265" i="158"/>
  <c r="C265" i="158"/>
  <c r="I266" i="158"/>
  <c r="D266" i="158"/>
  <c r="E266" i="158"/>
  <c r="C266" i="158"/>
  <c r="I267" i="158"/>
  <c r="D267" i="158"/>
  <c r="E267" i="158"/>
  <c r="C267" i="158"/>
  <c r="I268" i="158"/>
  <c r="D268" i="158"/>
  <c r="E268" i="158"/>
  <c r="C268" i="158"/>
  <c r="I269" i="158"/>
  <c r="D269" i="158"/>
  <c r="E269" i="158"/>
  <c r="C269" i="158"/>
  <c r="I270" i="158"/>
  <c r="D270" i="158"/>
  <c r="E270" i="158"/>
  <c r="C270" i="158"/>
  <c r="I271" i="158"/>
  <c r="D271" i="158"/>
  <c r="E271" i="158"/>
  <c r="C271" i="158"/>
  <c r="I272" i="158"/>
  <c r="D272" i="158"/>
  <c r="E272" i="158"/>
  <c r="C272" i="158"/>
  <c r="I273" i="158"/>
  <c r="D273" i="158"/>
  <c r="E273" i="158"/>
  <c r="C273" i="158"/>
  <c r="I274" i="158"/>
  <c r="D274" i="158"/>
  <c r="E274" i="158"/>
  <c r="C274" i="158"/>
  <c r="I275" i="158"/>
  <c r="D275" i="158"/>
  <c r="E275" i="158"/>
  <c r="C275" i="158"/>
  <c r="I276" i="158"/>
  <c r="D276" i="158"/>
  <c r="E276" i="158"/>
  <c r="C276" i="158"/>
  <c r="I277" i="158"/>
  <c r="D277" i="158"/>
  <c r="E277" i="158"/>
  <c r="C277" i="158"/>
  <c r="I278" i="158"/>
  <c r="D278" i="158"/>
  <c r="E278" i="158"/>
  <c r="C278" i="158"/>
  <c r="I279" i="158"/>
  <c r="D279" i="158"/>
  <c r="E279" i="158"/>
  <c r="C279" i="158"/>
  <c r="I280" i="158"/>
  <c r="D280" i="158"/>
  <c r="E280" i="158"/>
  <c r="C280" i="158"/>
  <c r="I281" i="158"/>
  <c r="D281" i="158"/>
  <c r="E281" i="158"/>
  <c r="C281" i="158"/>
  <c r="I282" i="158"/>
  <c r="D282" i="158"/>
  <c r="E282" i="158"/>
  <c r="C282" i="158"/>
  <c r="I283" i="158"/>
  <c r="D283" i="158"/>
  <c r="E283" i="158"/>
  <c r="C283" i="158"/>
  <c r="I284" i="158"/>
  <c r="D284" i="158"/>
  <c r="E284" i="158"/>
  <c r="C284" i="158"/>
  <c r="I285" i="158"/>
  <c r="D285" i="158"/>
  <c r="E285" i="158"/>
  <c r="C285" i="158"/>
  <c r="I286" i="158"/>
  <c r="D286" i="158"/>
  <c r="E286" i="158"/>
  <c r="C286" i="158"/>
  <c r="I287" i="158"/>
  <c r="D287" i="158"/>
  <c r="E287" i="158"/>
  <c r="C287" i="158"/>
  <c r="I288" i="158"/>
  <c r="D288" i="158"/>
  <c r="E288" i="158"/>
  <c r="C288" i="158"/>
  <c r="I289" i="158"/>
  <c r="D289" i="158"/>
  <c r="E289" i="158"/>
  <c r="C289" i="158"/>
  <c r="I290" i="158"/>
  <c r="D290" i="158"/>
  <c r="E290" i="158"/>
  <c r="C290" i="158"/>
  <c r="I291" i="158"/>
  <c r="D291" i="158"/>
  <c r="E291" i="158"/>
  <c r="C291" i="158"/>
  <c r="I292" i="158"/>
  <c r="D292" i="158"/>
  <c r="E292" i="158"/>
  <c r="C292" i="158"/>
  <c r="I293" i="158"/>
  <c r="D293" i="158"/>
  <c r="E293" i="158"/>
  <c r="C293" i="158"/>
  <c r="I294" i="158"/>
  <c r="D294" i="158"/>
  <c r="E294" i="158"/>
  <c r="C294" i="158"/>
  <c r="I295" i="158"/>
  <c r="D295" i="158"/>
  <c r="E295" i="158"/>
  <c r="C295" i="158"/>
  <c r="I296" i="158"/>
  <c r="D296" i="158"/>
  <c r="E296" i="158"/>
  <c r="C296" i="158"/>
  <c r="I297" i="158"/>
  <c r="D297" i="158"/>
  <c r="E297" i="158"/>
  <c r="C297" i="158"/>
  <c r="I298" i="158"/>
  <c r="D298" i="158"/>
  <c r="E298" i="158"/>
  <c r="C298" i="158"/>
  <c r="I299" i="158"/>
  <c r="D299" i="158"/>
  <c r="E299" i="158"/>
  <c r="C299" i="158"/>
  <c r="I300" i="158"/>
  <c r="D300" i="158"/>
  <c r="E300" i="158"/>
  <c r="C300" i="158"/>
  <c r="I301" i="158"/>
  <c r="D301" i="158"/>
  <c r="E301" i="158"/>
  <c r="C301" i="158"/>
  <c r="I302" i="158"/>
  <c r="D302" i="158"/>
  <c r="E302" i="158"/>
  <c r="C302" i="158"/>
  <c r="I303" i="158"/>
  <c r="D303" i="158"/>
  <c r="E303" i="158"/>
  <c r="C303" i="158"/>
  <c r="I304" i="158"/>
  <c r="D304" i="158"/>
  <c r="E304" i="158"/>
  <c r="C304" i="158"/>
  <c r="I305" i="158"/>
  <c r="D305" i="158"/>
  <c r="E305" i="158"/>
  <c r="C305" i="158"/>
  <c r="I306" i="158"/>
  <c r="D306" i="158"/>
  <c r="E306" i="158"/>
  <c r="C306" i="158"/>
  <c r="I307" i="158"/>
  <c r="D307" i="158"/>
  <c r="E307" i="158"/>
  <c r="C307" i="158"/>
  <c r="I308" i="158"/>
  <c r="D308" i="158"/>
  <c r="E308" i="158"/>
  <c r="C308" i="158"/>
  <c r="I309" i="158"/>
  <c r="D309" i="158"/>
  <c r="E309" i="158"/>
  <c r="C309" i="158"/>
  <c r="I310" i="158"/>
  <c r="D310" i="158"/>
  <c r="E310" i="158"/>
  <c r="C310" i="158"/>
  <c r="I311" i="158"/>
  <c r="D311" i="158"/>
  <c r="E311" i="158"/>
  <c r="C311" i="158"/>
  <c r="I312" i="158"/>
  <c r="D312" i="158"/>
  <c r="E312" i="158"/>
  <c r="C312" i="158"/>
  <c r="I313" i="158"/>
  <c r="D313" i="158"/>
  <c r="E313" i="158"/>
  <c r="C313" i="158"/>
  <c r="I314" i="158"/>
  <c r="D314" i="158"/>
  <c r="E314" i="158"/>
  <c r="C314" i="158"/>
  <c r="I315" i="158"/>
  <c r="D315" i="158"/>
  <c r="E315" i="158"/>
  <c r="C315" i="158"/>
  <c r="I316" i="158"/>
  <c r="D316" i="158"/>
  <c r="E316" i="158"/>
  <c r="C316" i="158"/>
  <c r="I317" i="158"/>
  <c r="D317" i="158"/>
  <c r="E317" i="158"/>
  <c r="C317" i="158"/>
  <c r="I318" i="158"/>
  <c r="D318" i="158"/>
  <c r="E318" i="158"/>
  <c r="C318" i="158"/>
  <c r="I319" i="158"/>
  <c r="D319" i="158"/>
  <c r="E319" i="158"/>
  <c r="C319" i="158"/>
  <c r="I320" i="158"/>
  <c r="D320" i="158"/>
  <c r="E320" i="158"/>
  <c r="C320" i="158"/>
  <c r="I321" i="158"/>
  <c r="D321" i="158"/>
  <c r="E321" i="158"/>
  <c r="C321" i="158"/>
  <c r="I322" i="158"/>
  <c r="D322" i="158"/>
  <c r="E322" i="158"/>
  <c r="C322" i="158"/>
  <c r="I323" i="158"/>
  <c r="D323" i="158"/>
  <c r="E323" i="158"/>
  <c r="C323" i="158"/>
  <c r="I324" i="158"/>
  <c r="D324" i="158"/>
  <c r="E324" i="158"/>
  <c r="C324" i="158"/>
  <c r="I325" i="158"/>
  <c r="D325" i="158"/>
  <c r="E325" i="158"/>
  <c r="C325" i="158"/>
  <c r="I326" i="158"/>
  <c r="D326" i="158"/>
  <c r="E326" i="158"/>
  <c r="C326" i="158"/>
  <c r="I327" i="158"/>
  <c r="D327" i="158"/>
  <c r="E327" i="158"/>
  <c r="C327" i="158"/>
  <c r="I328" i="158"/>
  <c r="D328" i="158"/>
  <c r="E328" i="158"/>
  <c r="C328" i="158"/>
  <c r="I329" i="158"/>
  <c r="D329" i="158"/>
  <c r="E329" i="158"/>
  <c r="C329" i="158"/>
  <c r="I330" i="158"/>
  <c r="D330" i="158"/>
  <c r="E330" i="158"/>
  <c r="C330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24" i="157"/>
  <c r="B24" i="157"/>
  <c r="B17" i="157"/>
  <c r="B18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3" i="157"/>
  <c r="B23" i="157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F41" i="157"/>
  <c r="G41" i="157"/>
  <c r="F34" i="157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P325" i="158"/>
  <c r="H326" i="158"/>
  <c r="K326" i="158"/>
  <c r="L326" i="158"/>
  <c r="M326" i="158"/>
  <c r="N326" i="158"/>
  <c r="P326" i="158"/>
  <c r="H327" i="158"/>
  <c r="K327" i="158"/>
  <c r="L327" i="158"/>
  <c r="M327" i="158"/>
  <c r="N327" i="158"/>
  <c r="P327" i="158"/>
  <c r="H328" i="158"/>
  <c r="K328" i="158"/>
  <c r="L328" i="158"/>
  <c r="M328" i="158"/>
  <c r="N328" i="158"/>
  <c r="P328" i="158"/>
  <c r="H329" i="158"/>
  <c r="K329" i="158"/>
  <c r="L329" i="158"/>
  <c r="M329" i="158"/>
  <c r="N329" i="158"/>
  <c r="P329" i="158"/>
  <c r="H330" i="158"/>
  <c r="K330" i="158"/>
  <c r="L330" i="158"/>
  <c r="M330" i="158"/>
  <c r="N330" i="158"/>
  <c r="P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B5" i="157"/>
  <c r="C4" i="103"/>
  <c r="E4" i="103"/>
  <c r="H320" i="154"/>
  <c r="K320" i="154"/>
  <c r="L320" i="154"/>
  <c r="M320" i="154"/>
  <c r="N320" i="154"/>
  <c r="P320" i="154"/>
  <c r="H321" i="154"/>
  <c r="K321" i="154"/>
  <c r="L321" i="154"/>
  <c r="M321" i="154"/>
  <c r="N321" i="154"/>
  <c r="P321" i="154"/>
  <c r="H322" i="154"/>
  <c r="K322" i="154"/>
  <c r="L322" i="154"/>
  <c r="M322" i="154"/>
  <c r="N322" i="154"/>
  <c r="P322" i="154"/>
  <c r="H323" i="154"/>
  <c r="K323" i="154"/>
  <c r="L323" i="154"/>
  <c r="M323" i="154"/>
  <c r="N323" i="154"/>
  <c r="P323" i="154"/>
  <c r="H324" i="154"/>
  <c r="K324" i="154"/>
  <c r="L324" i="154"/>
  <c r="M324" i="154"/>
  <c r="N324" i="154"/>
  <c r="P324" i="154"/>
  <c r="A320" i="154"/>
  <c r="A321" i="154"/>
  <c r="A322" i="154"/>
  <c r="A323" i="154"/>
  <c r="A324" i="154"/>
  <c r="H320" i="158"/>
  <c r="K320" i="158"/>
  <c r="L320" i="158"/>
  <c r="M320" i="158"/>
  <c r="N320" i="158"/>
  <c r="P320" i="158"/>
  <c r="H321" i="158"/>
  <c r="K321" i="158"/>
  <c r="L321" i="158"/>
  <c r="M321" i="158"/>
  <c r="N321" i="158"/>
  <c r="P321" i="158"/>
  <c r="H322" i="158"/>
  <c r="K322" i="158"/>
  <c r="L322" i="158"/>
  <c r="M322" i="158"/>
  <c r="N322" i="158"/>
  <c r="P322" i="158"/>
  <c r="H323" i="158"/>
  <c r="K323" i="158"/>
  <c r="L323" i="158"/>
  <c r="M323" i="158"/>
  <c r="N323" i="158"/>
  <c r="P323" i="158"/>
  <c r="H324" i="158"/>
  <c r="K324" i="158"/>
  <c r="L324" i="158"/>
  <c r="M324" i="158"/>
  <c r="N324" i="158"/>
  <c r="P324" i="158"/>
  <c r="A320" i="158"/>
  <c r="A321" i="158"/>
  <c r="A322" i="158"/>
  <c r="A323" i="158"/>
  <c r="A324" i="158"/>
  <c r="H315" i="154"/>
  <c r="K315" i="154"/>
  <c r="L315" i="154"/>
  <c r="M315" i="154"/>
  <c r="N315" i="154"/>
  <c r="P315" i="154"/>
  <c r="H316" i="154"/>
  <c r="K316" i="154"/>
  <c r="L316" i="154"/>
  <c r="M316" i="154"/>
  <c r="N316" i="154"/>
  <c r="P316" i="154"/>
  <c r="H317" i="154"/>
  <c r="K317" i="154"/>
  <c r="L317" i="154"/>
  <c r="M317" i="154"/>
  <c r="N317" i="154"/>
  <c r="P317" i="154"/>
  <c r="H318" i="154"/>
  <c r="K318" i="154"/>
  <c r="L318" i="154"/>
  <c r="M318" i="154"/>
  <c r="N318" i="154"/>
  <c r="P318" i="154"/>
  <c r="H319" i="154"/>
  <c r="K319" i="154"/>
  <c r="L319" i="154"/>
  <c r="M319" i="154"/>
  <c r="N319" i="154"/>
  <c r="P319" i="154"/>
  <c r="A315" i="154"/>
  <c r="A316" i="154"/>
  <c r="A317" i="154"/>
  <c r="A318" i="154"/>
  <c r="A319" i="154"/>
  <c r="H315" i="158"/>
  <c r="K315" i="158"/>
  <c r="L315" i="158"/>
  <c r="M315" i="158"/>
  <c r="N315" i="158"/>
  <c r="P315" i="158"/>
  <c r="H316" i="158"/>
  <c r="K316" i="158"/>
  <c r="L316" i="158"/>
  <c r="M316" i="158"/>
  <c r="N316" i="158"/>
  <c r="P316" i="158"/>
  <c r="H317" i="158"/>
  <c r="K317" i="158"/>
  <c r="L317" i="158"/>
  <c r="M317" i="158"/>
  <c r="N317" i="158"/>
  <c r="P317" i="158"/>
  <c r="H318" i="158"/>
  <c r="K318" i="158"/>
  <c r="L318" i="158"/>
  <c r="M318" i="158"/>
  <c r="N318" i="158"/>
  <c r="P318" i="158"/>
  <c r="H319" i="158"/>
  <c r="K319" i="158"/>
  <c r="L319" i="158"/>
  <c r="M319" i="158"/>
  <c r="N319" i="158"/>
  <c r="P319" i="158"/>
  <c r="A315" i="158"/>
  <c r="A316" i="158"/>
  <c r="A317" i="158"/>
  <c r="A318" i="158"/>
  <c r="A319" i="158"/>
  <c r="H310" i="154"/>
  <c r="K310" i="154"/>
  <c r="L310" i="154"/>
  <c r="M310" i="154"/>
  <c r="N310" i="154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H310" i="158"/>
  <c r="K310" i="158"/>
  <c r="L310" i="158"/>
  <c r="M310" i="158"/>
  <c r="N310" i="158"/>
  <c r="P310" i="158"/>
  <c r="H311" i="158"/>
  <c r="K311" i="158"/>
  <c r="L311" i="158"/>
  <c r="M311" i="158"/>
  <c r="N311" i="158"/>
  <c r="P311" i="158"/>
  <c r="H312" i="158"/>
  <c r="K312" i="158"/>
  <c r="L312" i="158"/>
  <c r="M312" i="158"/>
  <c r="N312" i="158"/>
  <c r="P312" i="158"/>
  <c r="H313" i="158"/>
  <c r="K313" i="158"/>
  <c r="L313" i="158"/>
  <c r="M313" i="158"/>
  <c r="N313" i="158"/>
  <c r="P313" i="158"/>
  <c r="H314" i="158"/>
  <c r="K314" i="158"/>
  <c r="L314" i="158"/>
  <c r="M314" i="158"/>
  <c r="N314" i="158"/>
  <c r="P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B30" i="153"/>
  <c r="B30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H300" i="154"/>
  <c r="K300" i="154"/>
  <c r="L300" i="154"/>
  <c r="M300" i="154"/>
  <c r="N300" i="154"/>
  <c r="R5" i="153"/>
  <c r="R3" i="153"/>
  <c r="R4" i="153"/>
  <c r="R6" i="153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R3" i="157"/>
  <c r="R4" i="157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<sst xmlns="http://schemas.openxmlformats.org/spreadsheetml/2006/main" count="533" uniqueCount="254">
  <si>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</si>
  <si>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</si>
  <si>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</si>
  <si>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</si>
  <si>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</si>
  <si>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</si>
  <si>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</si>
  <si>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</si>
  <si>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</si>
  <si>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</si>
  <si>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</si>
  <si>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</si>
  <si>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</si>
  <si>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</si>
  <si>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</si>
  <si>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</si>
  <si>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</si>
  <si>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</si>
  <si>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</si>
  <si>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</si>
  <si>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</si>
  <si>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</si>
  <si>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</si>
  <si>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</si>
  <si>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</si>
  <si>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</si>
  <si>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</si>
  <si>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</si>
  <si>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</si>
  <si>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</si>
  <si>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</si>
  <si>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</si>
  <si>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</si>
  <si>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</si>
  <si>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</si>
  <si>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</si>
  <si>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</si>
  <si>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</si>
  <si>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</si>
  <si>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</si>
  <si>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</si>
  <si>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</si>
  <si>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</si>
  <si>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</si>
  <si>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</si>
  <si>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</si>
  <si>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</si>
  <si>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</si>
  <si>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</si>
  <si>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</si>
  <si>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</si>
  <si>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</si>
  <si>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</si>
  <si>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</si>
  <si>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</si>
  <si>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</si>
  <si>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</si>
  <si>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</si>
  <si>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</si>
  <si>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</si>
  <si>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</si>
  <si>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</si>
  <si>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</si>
  <si>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</si>
  <si>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</si>
  <si>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</si>
  <si>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</si>
  <si>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</si>
  <si>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</si>
  <si>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</si>
  <si>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</si>
  <si>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</si>
  <si>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</si>
  <si>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</si>
  <si>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</si>
  <si>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</si>
  <si>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</si>
  <si>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</si>
  <si>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</si>
  <si>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</si>
  <si>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</si>
  <si>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</si>
  <si>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</si>
  <si>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</si>
  <si>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</si>
  <si>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</si>
  <si>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</si>
  <si>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</si>
  <si>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</si>
  <si>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</si>
  <si>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</si>
  <si>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</si>
  <si>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</si>
  <si>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</si>
  <si>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</si>
  <si>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</si>
  <si>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</si>
  <si>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</si>
  <si>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</si>
  <si>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</si>
  <si>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</si>
  <si>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</si>
  <si>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</si>
  <si>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</si>
  <si>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</si>
  <si>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</si>
  <si>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</si>
  <si>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</si>
  <si>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</si>
  <si>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</si>
  <si>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</si>
  <si>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</si>
  <si>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</si>
  <si>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</si>
  <si>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</si>
  <si>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</si>
  <si>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</si>
  <si>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</si>
  <si>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</si>
  <si>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</si>
  <si>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</si>
  <si>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</si>
  <si>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</si>
  <si>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</si>
  <si>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</si>
  <si>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</si>
  <si>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</si>
  <si>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</si>
  <si>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</si>
  <si>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</si>
  <si>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</si>
  <si>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</si>
  <si>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</si>
  <si>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</si>
  <si>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</si>
  <si>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</si>
  <si>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</si>
  <si>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</si>
  <si>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</si>
  <si>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</si>
  <si>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</si>
  <si>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</si>
  <si>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</si>
  <si>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</si>
  <si>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</si>
  <si>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</si>
  <si>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</si>
  <si>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</si>
  <si>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</si>
  <si>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</si>
  <si>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</si>
  <si>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</si>
  <si>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</si>
  <si>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</si>
  <si>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</si>
  <si>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</si>
  <si>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</si>
  <si>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</si>
  <si>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</si>
  <si>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</si>
  <si>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</si>
  <si>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</si>
  <si>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</si>
  <si>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</si>
  <si>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</si>
  <si>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</si>
  <si>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</si>
  <si>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</si>
  <si>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</si>
  <si>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</si>
  <si>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</si>
  <si>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</si>
  <si>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</si>
  <si>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</si>
  <si>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</si>
  <si>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</si>
  <si>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</si>
  <si>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</si>
  <si>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</si>
  <si>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</si>
  <si>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</si>
  <si>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</si>
  <si>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</si>
  <si>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</si>
  <si>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</si>
  <si>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</si>
  <si>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</si>
  <si>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</si>
  <si>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</si>
  <si>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</si>
  <si>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</si>
  <si>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</si>
  <si>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</si>
  <si>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</si>
  <si>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</si>
  <si>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</si>
  <si>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</si>
  <si>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</si>
  <si>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</si>
  <si>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</si>
  <si>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</si>
  <si>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</si>
  <si>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</si>
  <si>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</si>
  <si>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</si>
  <si>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</si>
  <si>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</si>
  <si>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</si>
  <si>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</si>
  <si>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</si>
  <si>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</si>
  <si>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</si>
  <si>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</si>
  <si>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</si>
  <si>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</si>
  <si>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</si>
  <si>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</si>
  <si>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</si>
  <si>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</si>
  <si>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</si>
  <si>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</si>
  <si>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</si>
  <si>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</si>
  <si>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</si>
  <si>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</si>
  <si>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</si>
  <si>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</si>
  <si>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</si>
  <si>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</si>
  <si>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</si>
  <si>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</si>
  <si>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</si>
  <si>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</si>
  <si>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</si>
  <si>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</si>
  <si>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</si>
  <si>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</si>
  <si>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</si>
  <si>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</si>
  <si>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</si>
  <si>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</si>
  <si>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</si>
  <si>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</si>
  <si>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</si>
  <si>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</si>
  <si>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</si>
  <si>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</si>
  <si>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</si>
  <si>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</si>
  <si>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</si>
  <si>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</si>
  <si>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tables_437100</t>
    <phoneticPr fontId="21"/>
  </si>
  <si>
    <t>tables_437010</t>
    <phoneticPr fontId="21"/>
  </si>
  <si>
    <t>tables_settle_437100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</si>
</sst>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1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17" xfId="2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technical</v>
          </cell>
          <cell r="L1219" t="str">
            <v>テクニカルタイプ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technical</v>
          </cell>
          <cell r="L1220" t="str">
            <v>テクニカルタイプ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unknown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unknown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6001</v>
          </cell>
          <cell r="B1298" t="str">
            <v>ja</v>
          </cell>
          <cell r="C1298" t="str">
            <v>ジェリー</v>
          </cell>
          <cell r="D1298" t="str">
            <v>ノーマルクエスト</v>
          </cell>
          <cell r="E1298" t="str">
            <v>QoH</v>
          </cell>
          <cell r="F1298" t="str">
            <v>世界観</v>
          </cell>
          <cell r="G1298" t="str">
            <v>不明</v>
          </cell>
          <cell r="H1298" t="str">
            <v>red</v>
          </cell>
          <cell r="I1298">
            <v>1</v>
          </cell>
          <cell r="J1298" t="str">
            <v>Drop1T</v>
          </cell>
          <cell r="K1298" t="str">
            <v>ra</v>
          </cell>
          <cell r="L1298" t="str">
            <v>ラグランジュチャレンジ</v>
          </cell>
          <cell r="M1298" t="str">
            <v>unknown</v>
          </cell>
        </row>
        <row r="1299">
          <cell r="A1299">
            <v>6002</v>
          </cell>
          <cell r="B1299" t="str">
            <v>ja</v>
          </cell>
          <cell r="C1299" t="str">
            <v>ヨシタカ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男性</v>
          </cell>
          <cell r="H1299" t="str">
            <v>red</v>
          </cell>
          <cell r="I1299">
            <v>2</v>
          </cell>
          <cell r="J1299" t="str">
            <v>Drop1N</v>
          </cell>
          <cell r="K1299" t="str">
            <v>ra</v>
          </cell>
          <cell r="L1299" t="str">
            <v>ラグランジュチャレンジ</v>
          </cell>
          <cell r="M1299" t="str">
            <v>human</v>
          </cell>
        </row>
        <row r="1300">
          <cell r="A1300">
            <v>6003</v>
          </cell>
          <cell r="B1300" t="str">
            <v>ja</v>
          </cell>
          <cell r="C1300" t="str">
            <v>朱雀</v>
          </cell>
          <cell r="D1300" t="str">
            <v>リンクガチャ:4神</v>
          </cell>
          <cell r="E1300" t="str">
            <v>守護神</v>
          </cell>
          <cell r="F1300" t="str">
            <v>格好いい</v>
          </cell>
          <cell r="G1300" t="str">
            <v>不明</v>
          </cell>
          <cell r="H1300" t="str">
            <v>red</v>
          </cell>
          <cell r="I1300">
            <v>3</v>
          </cell>
          <cell r="J1300" t="str">
            <v>Drop2N</v>
          </cell>
          <cell r="K1300" t="str">
            <v>ra</v>
          </cell>
          <cell r="L1300" t="str">
            <v>ラグランジュチャレンジ</v>
          </cell>
          <cell r="M1300" t="str">
            <v>animal</v>
          </cell>
        </row>
        <row r="1301">
          <cell r="A1301">
            <v>6004</v>
          </cell>
          <cell r="B1301" t="str">
            <v>ja</v>
          </cell>
          <cell r="C1301" t="str">
            <v>ブレット</v>
          </cell>
          <cell r="D1301" t="str">
            <v>ノーマルクエスト</v>
          </cell>
          <cell r="E1301" t="str">
            <v>アバター</v>
          </cell>
          <cell r="F1301" t="str">
            <v>世界観</v>
          </cell>
          <cell r="G1301" t="str">
            <v>不明</v>
          </cell>
          <cell r="H1301" t="str">
            <v>red</v>
          </cell>
          <cell r="I1301">
            <v>1</v>
          </cell>
          <cell r="J1301" t="str">
            <v>Drop1W</v>
          </cell>
          <cell r="K1301" t="str">
            <v>ra</v>
          </cell>
          <cell r="L1301" t="str">
            <v>ラグランジュチャレンジ</v>
          </cell>
          <cell r="M1301" t="str">
            <v>animal</v>
          </cell>
        </row>
        <row r="1302">
          <cell r="A1302">
            <v>6005</v>
          </cell>
          <cell r="B1302" t="str">
            <v>ja</v>
          </cell>
          <cell r="C1302" t="str">
            <v>孤神 テティス</v>
          </cell>
          <cell r="D1302" t="str">
            <v>初期ガチャ</v>
          </cell>
          <cell r="E1302" t="str">
            <v>管理者</v>
          </cell>
          <cell r="F1302" t="str">
            <v>美しい</v>
          </cell>
          <cell r="G1302" t="str">
            <v>女性</v>
          </cell>
          <cell r="H1302" t="str">
            <v>blue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god</v>
          </cell>
        </row>
        <row r="1303">
          <cell r="A1303">
            <v>6006</v>
          </cell>
          <cell r="B1303" t="str">
            <v>ja</v>
          </cell>
          <cell r="C1303" t="str">
            <v>海底の孤高神 テティス</v>
          </cell>
          <cell r="D1303" t="str">
            <v>初期ガチャ</v>
          </cell>
          <cell r="E1303" t="str">
            <v>管理者</v>
          </cell>
          <cell r="F1303" t="str">
            <v>美しい</v>
          </cell>
          <cell r="G1303" t="str">
            <v>女性</v>
          </cell>
          <cell r="H1303" t="str">
            <v>blue</v>
          </cell>
          <cell r="I1303">
            <v>5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6007</v>
          </cell>
          <cell r="B1304" t="str">
            <v>ja</v>
          </cell>
          <cell r="C1304" t="str">
            <v>番犬 ケルベロス</v>
          </cell>
          <cell r="D1304" t="str">
            <v>初期ガチャ</v>
          </cell>
          <cell r="E1304" t="str">
            <v>破界者</v>
          </cell>
          <cell r="F1304" t="str">
            <v>可愛い</v>
          </cell>
          <cell r="G1304" t="str">
            <v>女性</v>
          </cell>
          <cell r="H1304" t="str">
            <v>red</v>
          </cell>
          <cell r="I1304">
            <v>4</v>
          </cell>
          <cell r="J1304" t="str">
            <v>PremiumN</v>
          </cell>
          <cell r="K1304" t="str">
            <v>ra</v>
          </cell>
          <cell r="L1304" t="str">
            <v>ラグランジュチャレンジ</v>
          </cell>
          <cell r="M1304" t="str">
            <v>animal</v>
          </cell>
        </row>
        <row r="1305">
          <cell r="A1305">
            <v>6008</v>
          </cell>
          <cell r="B1305" t="str">
            <v>ja</v>
          </cell>
          <cell r="C1305" t="str">
            <v>焔神 プロメテウス</v>
          </cell>
          <cell r="D1305" t="str">
            <v>初期ガチャ</v>
          </cell>
          <cell r="E1305" t="str">
            <v>管理者</v>
          </cell>
          <cell r="F1305" t="str">
            <v>格好いい</v>
          </cell>
          <cell r="G1305" t="str">
            <v>男性</v>
          </cell>
          <cell r="H1305" t="str">
            <v>red</v>
          </cell>
          <cell r="I1305">
            <v>4</v>
          </cell>
          <cell r="J1305" t="str">
            <v>PremiumN</v>
          </cell>
          <cell r="K1305" t="str">
            <v>ra</v>
          </cell>
          <cell r="L1305" t="str">
            <v>ラグランジュチャレンジ</v>
          </cell>
          <cell r="M1305" t="str">
            <v>god</v>
          </cell>
        </row>
        <row r="1306">
          <cell r="A1306">
            <v>6009</v>
          </cell>
          <cell r="B1306" t="str">
            <v>ja</v>
          </cell>
          <cell r="C1306" t="str">
            <v>超越自我 ラグランジュ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女性</v>
          </cell>
          <cell r="H1306" t="str">
            <v>red</v>
          </cell>
          <cell r="I1306">
            <v>5</v>
          </cell>
          <cell r="J1306" t="str">
            <v>PremiumSSS</v>
          </cell>
          <cell r="K1306" t="str">
            <v>ra</v>
          </cell>
          <cell r="L1306" t="str">
            <v>ラグランジュチャレンジ</v>
          </cell>
          <cell r="M1306" t="str">
            <v>human</v>
          </cell>
        </row>
        <row r="1307">
          <cell r="A1307">
            <v>6010</v>
          </cell>
          <cell r="B1307" t="str">
            <v>ja</v>
          </cell>
          <cell r="C1307" t="str">
            <v>超越凌駕 ラグランジュ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女性</v>
          </cell>
          <cell r="H1307" t="str">
            <v>red</v>
          </cell>
          <cell r="I1307">
            <v>6</v>
          </cell>
          <cell r="J1307" t="str">
            <v>PremiumSSS</v>
          </cell>
          <cell r="K1307" t="str">
            <v>ra</v>
          </cell>
          <cell r="L1307" t="str">
            <v>ラグランジュチャレンジ</v>
          </cell>
          <cell r="M1307" t="str">
            <v>human</v>
          </cell>
        </row>
        <row r="1308">
          <cell r="A1308">
            <v>6011</v>
          </cell>
          <cell r="B1308" t="str">
            <v>ja</v>
          </cell>
          <cell r="C1308" t="str">
            <v>パトドッグリーダー ポチ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Drop1T</v>
          </cell>
          <cell r="K1308" t="str">
            <v>ra002</v>
          </cell>
          <cell r="L1308" t="str">
            <v>ユークリッドチャレンジ</v>
          </cell>
          <cell r="M1308" t="str">
            <v>unknown</v>
          </cell>
        </row>
        <row r="1309">
          <cell r="A1309">
            <v>6012</v>
          </cell>
          <cell r="B1309" t="str">
            <v>ja</v>
          </cell>
          <cell r="C1309" t="str">
            <v>ミミ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yellow</v>
          </cell>
          <cell r="I1309">
            <v>1</v>
          </cell>
          <cell r="J1309" t="str">
            <v>Drop1W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6013</v>
          </cell>
          <cell r="B1310" t="str">
            <v>ja</v>
          </cell>
          <cell r="C1310" t="str">
            <v>護衛機人 スケアクロウ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2</v>
          </cell>
          <cell r="J1310" t="str">
            <v>Drop1N</v>
          </cell>
          <cell r="K1310" t="str">
            <v>ra002</v>
          </cell>
          <cell r="L1310" t="str">
            <v>ユークリッドチャレンジ</v>
          </cell>
          <cell r="M1310" t="str">
            <v>machine</v>
          </cell>
        </row>
        <row r="1311">
          <cell r="A1311">
            <v>6014</v>
          </cell>
          <cell r="B1311" t="str">
            <v>ja</v>
          </cell>
          <cell r="C1311" t="str">
            <v>月下の人狼 ローレンス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4</v>
          </cell>
          <cell r="J1311" t="str">
            <v>PremiumW</v>
          </cell>
          <cell r="K1311" t="str">
            <v>ra002</v>
          </cell>
          <cell r="L1311" t="str">
            <v>ユークリッドチャレンジ</v>
          </cell>
          <cell r="M1311" t="str">
            <v>animal</v>
          </cell>
        </row>
        <row r="1312">
          <cell r="A1312">
            <v>6015</v>
          </cell>
          <cell r="B1312" t="str">
            <v>ja</v>
          </cell>
          <cell r="C1312" t="str">
            <v>フレイヤ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4</v>
          </cell>
          <cell r="J1312" t="str">
            <v>PremiumSS</v>
          </cell>
          <cell r="K1312" t="str">
            <v>ra002</v>
          </cell>
          <cell r="L1312" t="str">
            <v>ユークリッドチャレンジ</v>
          </cell>
          <cell r="M1312" t="str">
            <v>animal</v>
          </cell>
        </row>
        <row r="1313">
          <cell r="A1313">
            <v>6016</v>
          </cell>
          <cell r="B1313" t="str">
            <v>ja</v>
          </cell>
          <cell r="C1313" t="str">
            <v>根原論理 ユークリッド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blue</v>
          </cell>
          <cell r="I1313">
            <v>5</v>
          </cell>
          <cell r="J1313" t="str">
            <v>PremiumSSS</v>
          </cell>
          <cell r="K1313" t="str">
            <v>ra002</v>
          </cell>
          <cell r="L1313" t="str">
            <v>ユークリッドチャレンジ</v>
          </cell>
          <cell r="M1313" t="str">
            <v>human</v>
          </cell>
        </row>
        <row r="1314">
          <cell r="A1314">
            <v>6017</v>
          </cell>
          <cell r="B1314" t="str">
            <v>ja</v>
          </cell>
          <cell r="C1314" t="str">
            <v>不朽の極論 ユークリッド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6</v>
          </cell>
          <cell r="J1314" t="str">
            <v>PremiumSSS</v>
          </cell>
          <cell r="K1314" t="str">
            <v>ra002</v>
          </cell>
          <cell r="L1314" t="str">
            <v>ユークリッドチャレンジ</v>
          </cell>
          <cell r="M1314" t="str">
            <v>human</v>
          </cell>
        </row>
        <row r="1315">
          <cell r="A1315">
            <v>6018</v>
          </cell>
          <cell r="B1315" t="str">
            <v>ja</v>
          </cell>
          <cell r="C1315" t="str">
            <v>ハヅル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red</v>
          </cell>
          <cell r="I1315">
            <v>4</v>
          </cell>
          <cell r="J1315" t="str">
            <v>PremiumSS</v>
          </cell>
          <cell r="K1315" t="str">
            <v>ra002</v>
          </cell>
          <cell r="L1315" t="str">
            <v>ユークリッドチャレンジ</v>
          </cell>
          <cell r="M1315" t="str">
            <v>animal</v>
          </cell>
        </row>
        <row r="1316">
          <cell r="A1316">
            <v>6019</v>
          </cell>
          <cell r="B1316" t="str">
            <v>ja</v>
          </cell>
          <cell r="C1316" t="str">
            <v>天織羽鶴 ハヅル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red</v>
          </cell>
          <cell r="I1316">
            <v>5</v>
          </cell>
          <cell r="J1316" t="str">
            <v>PremiumSS</v>
          </cell>
          <cell r="K1316" t="str">
            <v>ra002</v>
          </cell>
          <cell r="L1316" t="str">
            <v>ユークリッドチャレンジ</v>
          </cell>
          <cell r="M1316" t="str">
            <v>animal</v>
          </cell>
        </row>
        <row r="1317">
          <cell r="A1317">
            <v>6020</v>
          </cell>
          <cell r="B1317" t="str">
            <v>ja</v>
          </cell>
          <cell r="C1317" t="str">
            <v>ミズチ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blue</v>
          </cell>
          <cell r="I1317">
            <v>4</v>
          </cell>
          <cell r="J1317" t="str">
            <v>PremiumS</v>
          </cell>
          <cell r="K1317" t="str">
            <v>ra002</v>
          </cell>
          <cell r="L1317" t="str">
            <v>ユークリッドチャレンジ</v>
          </cell>
          <cell r="M1317" t="str">
            <v>dragon</v>
          </cell>
        </row>
        <row r="1318">
          <cell r="A1318">
            <v>8001</v>
          </cell>
          <cell r="B1318" t="str">
            <v>ja</v>
          </cell>
          <cell r="C1318" t="str">
            <v>媽祖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女性</v>
          </cell>
          <cell r="H1318" t="str">
            <v>yellow</v>
          </cell>
          <cell r="I1318">
            <v>5</v>
          </cell>
          <cell r="J1318" t="str">
            <v>PremiumSS</v>
          </cell>
          <cell r="K1318" t="str">
            <v>attack</v>
          </cell>
          <cell r="L1318" t="str">
            <v>攻撃タイプ</v>
          </cell>
          <cell r="M1318" t="str">
            <v>god</v>
          </cell>
        </row>
        <row r="1319">
          <cell r="A1319">
            <v>8002</v>
          </cell>
          <cell r="B1319" t="str">
            <v>ja</v>
          </cell>
          <cell r="C1319" t="str">
            <v>天后 媽祖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女性</v>
          </cell>
          <cell r="H1319" t="str">
            <v>yellow</v>
          </cell>
          <cell r="I1319">
            <v>6</v>
          </cell>
          <cell r="J1319" t="str">
            <v>PremiumSS</v>
          </cell>
          <cell r="K1319" t="str">
            <v>attack</v>
          </cell>
          <cell r="L1319" t="str">
            <v>攻撃タイプ</v>
          </cell>
          <cell r="M1319" t="str">
            <v>god</v>
          </cell>
        </row>
        <row r="1320">
          <cell r="A1320">
            <v>8003</v>
          </cell>
          <cell r="B1320" t="str">
            <v>ja</v>
          </cell>
          <cell r="C1320" t="str">
            <v>蛟龍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DropWizS</v>
          </cell>
          <cell r="K1320" t="str">
            <v>hp</v>
          </cell>
          <cell r="L1320" t="str">
            <v>体力タイプ</v>
          </cell>
          <cell r="M1320" t="str">
            <v>dragon</v>
          </cell>
        </row>
        <row r="1321">
          <cell r="A1321">
            <v>8004</v>
          </cell>
          <cell r="B1321" t="str">
            <v>ja</v>
          </cell>
          <cell r="C1321" t="str">
            <v>深海蛟龍怪‧晏公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DropWizS</v>
          </cell>
          <cell r="K1321" t="str">
            <v>hp</v>
          </cell>
          <cell r="L1321" t="str">
            <v>体力タイプ</v>
          </cell>
          <cell r="M1321" t="str">
            <v>dragon</v>
          </cell>
        </row>
        <row r="1322">
          <cell r="A1322">
            <v>8005</v>
          </cell>
          <cell r="B1322" t="str">
            <v>ja</v>
          </cell>
          <cell r="C1322" t="str">
            <v>三蔵法師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blue</v>
          </cell>
          <cell r="I1322">
            <v>5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human</v>
          </cell>
        </row>
        <row r="1323">
          <cell r="A1323">
            <v>8006</v>
          </cell>
          <cell r="B1323" t="str">
            <v>ja</v>
          </cell>
          <cell r="C1323" t="str">
            <v>三蔵法師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blue</v>
          </cell>
          <cell r="I1323">
            <v>6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human</v>
          </cell>
        </row>
        <row r="1324">
          <cell r="A1324">
            <v>8007</v>
          </cell>
          <cell r="B1324" t="str">
            <v>ja</v>
          </cell>
          <cell r="C1324" t="str">
            <v>孫悟空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red</v>
          </cell>
          <cell r="I1324">
            <v>5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animal</v>
          </cell>
        </row>
        <row r="1325">
          <cell r="A1325">
            <v>8008</v>
          </cell>
          <cell r="B1325" t="str">
            <v>ja</v>
          </cell>
          <cell r="C1325" t="str">
            <v>孫悟空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red</v>
          </cell>
          <cell r="I1325">
            <v>6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animal</v>
          </cell>
        </row>
        <row r="1326">
          <cell r="A1326">
            <v>8009</v>
          </cell>
          <cell r="B1326" t="str">
            <v>ja</v>
          </cell>
          <cell r="C1326" t="str">
            <v>西王娘娘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green</v>
          </cell>
          <cell r="I1326">
            <v>5</v>
          </cell>
          <cell r="J1326" t="str">
            <v>PremiumSS</v>
          </cell>
          <cell r="K1326" t="str">
            <v>attack</v>
          </cell>
          <cell r="L1326" t="str">
            <v>攻撃タイプ</v>
          </cell>
          <cell r="M1326" t="str">
            <v>god</v>
          </cell>
        </row>
        <row r="1327">
          <cell r="A1327">
            <v>8010</v>
          </cell>
          <cell r="B1327" t="str">
            <v>ja</v>
          </cell>
          <cell r="C1327" t="str">
            <v>西王娘娘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green</v>
          </cell>
          <cell r="I1327">
            <v>6</v>
          </cell>
          <cell r="J1327" t="str">
            <v>PremiumSS</v>
          </cell>
          <cell r="K1327" t="str">
            <v>attack</v>
          </cell>
          <cell r="L1327" t="str">
            <v>攻撃タイプ</v>
          </cell>
          <cell r="M1327" t="str">
            <v>god</v>
          </cell>
        </row>
        <row r="1328">
          <cell r="A1328">
            <v>8011</v>
          </cell>
          <cell r="B1328" t="str">
            <v>ja</v>
          </cell>
          <cell r="C1328" t="str">
            <v>月下老人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5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god</v>
          </cell>
        </row>
        <row r="1329">
          <cell r="A1329">
            <v>8012</v>
          </cell>
          <cell r="B1329" t="str">
            <v>ja</v>
          </cell>
          <cell r="C1329" t="str">
            <v>良緣祈福 月下老人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6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god</v>
          </cell>
        </row>
        <row r="1330">
          <cell r="A1330">
            <v>8013</v>
          </cell>
          <cell r="B1330" t="str">
            <v>ja</v>
          </cell>
          <cell r="C1330" t="str">
            <v>初音ミクV3</v>
          </cell>
          <cell r="D1330" t="str">
            <v>初音ミクV3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yellow</v>
          </cell>
          <cell r="I1330">
            <v>4</v>
          </cell>
          <cell r="J1330" t="str">
            <v>DropWizS</v>
          </cell>
          <cell r="K1330" t="str">
            <v>balance</v>
          </cell>
          <cell r="L1330" t="str">
            <v>バランスタイプ</v>
          </cell>
          <cell r="M1330" t="str">
            <v>unknown</v>
          </cell>
        </row>
        <row r="1331">
          <cell r="A1331">
            <v>8014</v>
          </cell>
          <cell r="B1331" t="str">
            <v>ja</v>
          </cell>
          <cell r="C1331" t="str">
            <v>初音ミクV3</v>
          </cell>
          <cell r="D1331" t="str">
            <v>初音ミクV3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balance</v>
          </cell>
          <cell r="L1331" t="str">
            <v>バランスタイプ</v>
          </cell>
          <cell r="M1331" t="str">
            <v>unknown</v>
          </cell>
        </row>
        <row r="1332">
          <cell r="A1332">
            <v>8015</v>
          </cell>
          <cell r="B1332" t="str">
            <v>ja</v>
          </cell>
          <cell r="C1332" t="str">
            <v>初音ミク・アペンド</v>
          </cell>
          <cell r="D1332" t="str">
            <v>初音ミク・アペンド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technical</v>
          </cell>
          <cell r="L1332" t="str">
            <v>テクニカルタイプ</v>
          </cell>
          <cell r="M1332" t="str">
            <v>unknown</v>
          </cell>
        </row>
        <row r="1333">
          <cell r="A1333">
            <v>8016</v>
          </cell>
          <cell r="B1333" t="str">
            <v>ja</v>
          </cell>
          <cell r="C1333" t="str">
            <v>初音ミク・アペンド</v>
          </cell>
          <cell r="D1333" t="str">
            <v>初音ミク・アペンド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technical</v>
          </cell>
          <cell r="L1333" t="str">
            <v>テクニカルタイプ</v>
          </cell>
          <cell r="M1333" t="str">
            <v>unknown</v>
          </cell>
        </row>
        <row r="1334">
          <cell r="A1334">
            <v>8017</v>
          </cell>
          <cell r="B1334" t="str">
            <v>ja</v>
          </cell>
          <cell r="C1334" t="str">
            <v>初音ミク</v>
          </cell>
          <cell r="D1334" t="str">
            <v>初音ミク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green</v>
          </cell>
          <cell r="I1334">
            <v>4</v>
          </cell>
          <cell r="J1334" t="str">
            <v>PremiumSSS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8018</v>
          </cell>
          <cell r="B1335" t="str">
            <v>ja</v>
          </cell>
          <cell r="C1335" t="str">
            <v>初音ミク</v>
          </cell>
          <cell r="D1335" t="str">
            <v>初音ミク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green</v>
          </cell>
          <cell r="I1335">
            <v>5</v>
          </cell>
          <cell r="J1335" t="str">
            <v>PremiumSSS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8019</v>
          </cell>
          <cell r="B1336" t="str">
            <v>ja</v>
          </cell>
          <cell r="C1336" t="str">
            <v>鏡音リン</v>
          </cell>
          <cell r="D1336" t="str">
            <v>鏡音リン</v>
          </cell>
          <cell r="E1336" t="str">
            <v>執行者</v>
          </cell>
          <cell r="F1336" t="str">
            <v>格好いい</v>
          </cell>
          <cell r="G1336" t="str">
            <v>男性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balance</v>
          </cell>
          <cell r="L1336" t="str">
            <v>バランスタイプ</v>
          </cell>
          <cell r="M1336" t="str">
            <v>unknown</v>
          </cell>
        </row>
        <row r="1337">
          <cell r="A1337">
            <v>8020</v>
          </cell>
          <cell r="B1337" t="str">
            <v>ja</v>
          </cell>
          <cell r="C1337" t="str">
            <v>鏡音リン</v>
          </cell>
          <cell r="D1337" t="str">
            <v>鏡音リン</v>
          </cell>
          <cell r="E1337" t="str">
            <v>執行者</v>
          </cell>
          <cell r="F1337" t="str">
            <v>格好いい</v>
          </cell>
          <cell r="G1337" t="str">
            <v>男性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balance</v>
          </cell>
          <cell r="L1337" t="str">
            <v>バランスタイプ</v>
          </cell>
          <cell r="M1337" t="str">
            <v>unknown</v>
          </cell>
        </row>
        <row r="1338">
          <cell r="A1338">
            <v>8021</v>
          </cell>
          <cell r="B1338" t="str">
            <v>ja</v>
          </cell>
          <cell r="C1338" t="str">
            <v>鏡音レン</v>
          </cell>
          <cell r="D1338" t="str">
            <v>鏡音レン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yellow</v>
          </cell>
          <cell r="I1338">
            <v>4</v>
          </cell>
          <cell r="J1338" t="str">
            <v>PremiumSS</v>
          </cell>
          <cell r="K1338" t="str">
            <v>heal</v>
          </cell>
          <cell r="L1338" t="str">
            <v>回復タイプ</v>
          </cell>
          <cell r="M1338" t="str">
            <v>unknown</v>
          </cell>
        </row>
        <row r="1339">
          <cell r="A1339">
            <v>8022</v>
          </cell>
          <cell r="B1339" t="str">
            <v>ja</v>
          </cell>
          <cell r="C1339" t="str">
            <v>鏡音レン</v>
          </cell>
          <cell r="D1339" t="str">
            <v>鏡音レン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heal</v>
          </cell>
          <cell r="L1339" t="str">
            <v>回復タイプ</v>
          </cell>
          <cell r="M1339" t="str">
            <v>unknown</v>
          </cell>
        </row>
        <row r="1340">
          <cell r="A1340">
            <v>8023</v>
          </cell>
          <cell r="B1340" t="str">
            <v>ja</v>
          </cell>
          <cell r="C1340" t="str">
            <v>巡音ルカ</v>
          </cell>
          <cell r="D1340" t="str">
            <v>巡音ルカ</v>
          </cell>
          <cell r="E1340" t="str">
            <v>執行者</v>
          </cell>
          <cell r="F1340" t="str">
            <v>格好いい</v>
          </cell>
          <cell r="G1340" t="str">
            <v>女性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attack</v>
          </cell>
          <cell r="L1340" t="str">
            <v>攻撃タイプ</v>
          </cell>
          <cell r="M1340" t="str">
            <v>unknown</v>
          </cell>
        </row>
        <row r="1341">
          <cell r="A1341">
            <v>8024</v>
          </cell>
          <cell r="B1341" t="str">
            <v>ja</v>
          </cell>
          <cell r="C1341" t="str">
            <v>巡音ルカ</v>
          </cell>
          <cell r="D1341" t="str">
            <v>巡音ルカ</v>
          </cell>
          <cell r="E1341" t="str">
            <v>執行者</v>
          </cell>
          <cell r="F1341" t="str">
            <v>格好いい</v>
          </cell>
          <cell r="G1341" t="str">
            <v>女性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attack</v>
          </cell>
          <cell r="L1341" t="str">
            <v>攻撃タイプ</v>
          </cell>
          <cell r="M1341" t="str">
            <v>unknown</v>
          </cell>
        </row>
        <row r="1342">
          <cell r="A1342">
            <v>8025</v>
          </cell>
          <cell r="B1342" t="str">
            <v>ja</v>
          </cell>
          <cell r="C1342" t="str">
            <v>MEIKO</v>
          </cell>
          <cell r="D1342" t="str">
            <v>MEIKO</v>
          </cell>
          <cell r="E1342" t="str">
            <v>執行者</v>
          </cell>
          <cell r="F1342" t="str">
            <v>格好いい</v>
          </cell>
          <cell r="G1342" t="str">
            <v>男性</v>
          </cell>
          <cell r="H1342" t="str">
            <v>red</v>
          </cell>
          <cell r="I1342">
            <v>3</v>
          </cell>
          <cell r="J1342" t="str">
            <v>PremiumS</v>
          </cell>
          <cell r="K1342" t="str">
            <v>hp</v>
          </cell>
          <cell r="L1342" t="str">
            <v>体力タイプ</v>
          </cell>
          <cell r="M1342" t="str">
            <v>unknown</v>
          </cell>
        </row>
        <row r="1343">
          <cell r="A1343">
            <v>8026</v>
          </cell>
          <cell r="B1343" t="str">
            <v>ja</v>
          </cell>
          <cell r="C1343" t="str">
            <v>MEIKO</v>
          </cell>
          <cell r="D1343" t="str">
            <v>MEIKO</v>
          </cell>
          <cell r="E1343" t="str">
            <v>執行者</v>
          </cell>
          <cell r="F1343" t="str">
            <v>格好いい</v>
          </cell>
          <cell r="G1343" t="str">
            <v>男性</v>
          </cell>
          <cell r="H1343" t="str">
            <v>red</v>
          </cell>
          <cell r="I1343">
            <v>4</v>
          </cell>
          <cell r="J1343" t="str">
            <v>PremiumS</v>
          </cell>
          <cell r="K1343" t="str">
            <v>hp</v>
          </cell>
          <cell r="L1343" t="str">
            <v>体力タイプ</v>
          </cell>
          <cell r="M1343" t="str">
            <v>unknown</v>
          </cell>
        </row>
        <row r="1344">
          <cell r="A1344">
            <v>8027</v>
          </cell>
          <cell r="B1344" t="str">
            <v>ja</v>
          </cell>
          <cell r="C1344" t="str">
            <v>KAITO</v>
          </cell>
          <cell r="D1344" t="str">
            <v>KAITO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3</v>
          </cell>
          <cell r="J1344" t="str">
            <v>PremiumS</v>
          </cell>
          <cell r="K1344" t="str">
            <v>technical</v>
          </cell>
          <cell r="L1344" t="str">
            <v>テクニカルタイプ</v>
          </cell>
          <cell r="M1344" t="str">
            <v>unknown</v>
          </cell>
        </row>
        <row r="1345">
          <cell r="A1345">
            <v>8028</v>
          </cell>
          <cell r="B1345" t="str">
            <v>ja</v>
          </cell>
          <cell r="C1345" t="str">
            <v>KAITO</v>
          </cell>
          <cell r="D1345" t="str">
            <v>KAITO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PremiumS</v>
          </cell>
          <cell r="K1345" t="str">
            <v>technical</v>
          </cell>
          <cell r="L1345" t="str">
            <v>テクニカルタイプ</v>
          </cell>
          <cell r="M1345" t="str">
            <v>unknown</v>
          </cell>
        </row>
        <row r="1346">
          <cell r="A1346">
            <v>8029</v>
          </cell>
          <cell r="B1346" t="str">
            <v>ja</v>
          </cell>
          <cell r="C1346" t="str">
            <v>Expoミク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blue</v>
          </cell>
          <cell r="I1346">
            <v>4</v>
          </cell>
          <cell r="J1346" t="str">
            <v>Drop2N</v>
          </cell>
          <cell r="K1346" t="str">
            <v>heal</v>
          </cell>
          <cell r="L1346" t="str">
            <v>回復タイプ</v>
          </cell>
          <cell r="M1346" t="str">
            <v>unknown</v>
          </cell>
        </row>
        <row r="1347">
          <cell r="A1347">
            <v>8030</v>
          </cell>
          <cell r="B1347" t="str">
            <v>ja</v>
          </cell>
          <cell r="C1347" t="str">
            <v>Expoミク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blue</v>
          </cell>
          <cell r="I1347">
            <v>4</v>
          </cell>
          <cell r="J1347" t="str">
            <v>Drop2N</v>
          </cell>
          <cell r="K1347" t="str">
            <v>heal</v>
          </cell>
          <cell r="L1347" t="str">
            <v>回復タイプ</v>
          </cell>
          <cell r="M1347" t="str">
            <v>unknown</v>
          </cell>
        </row>
        <row r="1348">
          <cell r="A1348">
            <v>8031</v>
          </cell>
          <cell r="B1348" t="str">
            <v>ja</v>
          </cell>
          <cell r="C1348" t="str">
            <v>閻羅王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red</v>
          </cell>
          <cell r="I1348">
            <v>5</v>
          </cell>
          <cell r="J1348" t="str">
            <v>PremiumSS</v>
          </cell>
          <cell r="K1348" t="str">
            <v>balance</v>
          </cell>
          <cell r="L1348" t="str">
            <v>バランスタイプ</v>
          </cell>
          <cell r="M1348" t="str">
            <v>god</v>
          </cell>
        </row>
        <row r="1349">
          <cell r="A1349">
            <v>8032</v>
          </cell>
          <cell r="B1349" t="str">
            <v>ja</v>
          </cell>
          <cell r="C1349" t="str">
            <v>十殿閻羅王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red</v>
          </cell>
          <cell r="I1349">
            <v>6</v>
          </cell>
          <cell r="J1349" t="str">
            <v>PremiumSS</v>
          </cell>
          <cell r="K1349" t="str">
            <v>balance</v>
          </cell>
          <cell r="L1349" t="str">
            <v>バランスタイプ</v>
          </cell>
          <cell r="M1349" t="str">
            <v>god</v>
          </cell>
        </row>
        <row r="1350">
          <cell r="A1350">
            <v>8033</v>
          </cell>
          <cell r="B1350" t="str">
            <v>ja</v>
          </cell>
          <cell r="C1350" t="str">
            <v>牛頭馬面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green</v>
          </cell>
          <cell r="I1350">
            <v>5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god</v>
          </cell>
        </row>
        <row r="1351">
          <cell r="A1351">
            <v>8034</v>
          </cell>
          <cell r="B1351" t="str">
            <v>ja</v>
          </cell>
          <cell r="C1351" t="str">
            <v>牛頭馬面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green</v>
          </cell>
          <cell r="I1351">
            <v>6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god</v>
          </cell>
        </row>
        <row r="1352">
          <cell r="A1352">
            <v>8035</v>
          </cell>
          <cell r="B1352" t="str">
            <v>ja</v>
          </cell>
          <cell r="C1352" t="str">
            <v>嫦娥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8036</v>
          </cell>
          <cell r="B1353" t="str">
            <v>ja</v>
          </cell>
          <cell r="C1353" t="str">
            <v>嫦娥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8037</v>
          </cell>
          <cell r="B1354" t="str">
            <v>ja</v>
          </cell>
          <cell r="C1354" t="str">
            <v>后羿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8038</v>
          </cell>
          <cell r="B1355" t="str">
            <v>ja</v>
          </cell>
          <cell r="C1355" t="str">
            <v>后羿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8039</v>
          </cell>
          <cell r="B1356" t="str">
            <v>ja</v>
          </cell>
          <cell r="C1356" t="str">
            <v>何仙姑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8040</v>
          </cell>
          <cell r="B1357" t="str">
            <v>ja</v>
          </cell>
          <cell r="C1357" t="str">
            <v>何仙姑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8041</v>
          </cell>
          <cell r="B1358" t="str">
            <v>ja</v>
          </cell>
          <cell r="C1358" t="str">
            <v>藍采和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8042</v>
          </cell>
          <cell r="B1359" t="str">
            <v>ja</v>
          </cell>
          <cell r="C1359" t="str">
            <v>藍采和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8043</v>
          </cell>
          <cell r="B1360" t="str">
            <v>ja</v>
          </cell>
          <cell r="C1360" t="str">
            <v>サンリオキャラ大集合+アザゼル</v>
          </cell>
          <cell r="D1360" t="str">
            <v>サンリオキャラ大集合+アザゼル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green</v>
          </cell>
          <cell r="I1360">
            <v>5</v>
          </cell>
          <cell r="J1360" t="str">
            <v>DropWizS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8044</v>
          </cell>
          <cell r="B1361" t="str">
            <v>ja</v>
          </cell>
          <cell r="C1361" t="str">
            <v>サンリオキャラ大集合+アザゼル</v>
          </cell>
          <cell r="D1361" t="str">
            <v>サンリオキャラ大集合+アザゼル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green</v>
          </cell>
          <cell r="I1361">
            <v>6</v>
          </cell>
          <cell r="J1361" t="str">
            <v>DropWizS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8045</v>
          </cell>
          <cell r="B1362" t="str">
            <v>ja</v>
          </cell>
          <cell r="C1362" t="str">
            <v>ニムダ_サンリオキャラ混じり</v>
          </cell>
          <cell r="D1362" t="str">
            <v>ニムダ_サンリオキャラ混じり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yellow</v>
          </cell>
          <cell r="I1362">
            <v>4</v>
          </cell>
          <cell r="J1362" t="str">
            <v>Drop2N</v>
          </cell>
          <cell r="K1362" t="str">
            <v>technical</v>
          </cell>
          <cell r="L1362" t="str">
            <v>テクニカルタイプ</v>
          </cell>
          <cell r="M1362" t="str">
            <v>ss</v>
          </cell>
        </row>
        <row r="1363">
          <cell r="A1363">
            <v>8046</v>
          </cell>
          <cell r="B1363" t="str">
            <v>ja</v>
          </cell>
          <cell r="C1363" t="str">
            <v>ニムダ_サンリオキャラ混じり</v>
          </cell>
          <cell r="D1363" t="str">
            <v>ニムダ_サンリオキャラ混じり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yellow</v>
          </cell>
          <cell r="I1363">
            <v>5</v>
          </cell>
          <cell r="J1363" t="str">
            <v>Drop2N</v>
          </cell>
          <cell r="K1363" t="str">
            <v>technical</v>
          </cell>
          <cell r="L1363" t="str">
            <v>テクニカルタイプ</v>
          </cell>
          <cell r="M1363" t="str">
            <v>ss</v>
          </cell>
        </row>
        <row r="1364">
          <cell r="A1364">
            <v>8047</v>
          </cell>
          <cell r="B1364" t="str">
            <v>ja</v>
          </cell>
          <cell r="C1364" t="str">
            <v>ハローキティ</v>
          </cell>
          <cell r="D1364" t="str">
            <v>ハローキティ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balance</v>
          </cell>
          <cell r="L1364" t="str">
            <v>バランスタイプ</v>
          </cell>
          <cell r="M1364" t="str">
            <v>ss</v>
          </cell>
        </row>
        <row r="1365">
          <cell r="A1365">
            <v>8048</v>
          </cell>
          <cell r="B1365" t="str">
            <v>ja</v>
          </cell>
          <cell r="C1365" t="str">
            <v>ハローキティ</v>
          </cell>
          <cell r="D1365" t="str">
            <v>ハローキティ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balance</v>
          </cell>
          <cell r="L1365" t="str">
            <v>バランスタイプ</v>
          </cell>
          <cell r="M1365" t="str">
            <v>ss</v>
          </cell>
        </row>
        <row r="1366">
          <cell r="A1366">
            <v>8049</v>
          </cell>
          <cell r="B1366" t="str">
            <v>ja</v>
          </cell>
          <cell r="C1366" t="str">
            <v>KIRIMIちゃん</v>
          </cell>
          <cell r="D1366" t="str">
            <v>KIRIMIちゃん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4</v>
          </cell>
          <cell r="J1366" t="str">
            <v>Drop2N</v>
          </cell>
          <cell r="K1366" t="str">
            <v>hp</v>
          </cell>
          <cell r="L1366" t="str">
            <v>体力タイプ</v>
          </cell>
          <cell r="M1366" t="str">
            <v>ss</v>
          </cell>
        </row>
        <row r="1367">
          <cell r="A1367">
            <v>8050</v>
          </cell>
          <cell r="B1367" t="str">
            <v>ja</v>
          </cell>
          <cell r="C1367" t="str">
            <v>KIRIMIちゃん</v>
          </cell>
          <cell r="D1367" t="str">
            <v>KIRIMIちゃん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5</v>
          </cell>
          <cell r="J1367" t="str">
            <v>Drop2N</v>
          </cell>
          <cell r="K1367" t="str">
            <v>hp</v>
          </cell>
          <cell r="L1367" t="str">
            <v>体力タイプ</v>
          </cell>
          <cell r="M1367" t="str">
            <v>ss</v>
          </cell>
        </row>
        <row r="1368">
          <cell r="A1368">
            <v>8051</v>
          </cell>
          <cell r="B1368" t="str">
            <v>ja</v>
          </cell>
          <cell r="C1368" t="str">
            <v>ハローキティのリボン</v>
          </cell>
          <cell r="D1368" t="str">
            <v>ハローキティのリボン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Drop2N</v>
          </cell>
          <cell r="K1368" t="str">
            <v>evolution</v>
          </cell>
          <cell r="L1368" t="str">
            <v>覚醒素材タイプ</v>
          </cell>
          <cell r="M1368" t="str">
            <v>ss</v>
          </cell>
        </row>
        <row r="1369">
          <cell r="A1369">
            <v>8052</v>
          </cell>
          <cell r="B1369" t="str">
            <v>ja</v>
          </cell>
          <cell r="C1369" t="str">
            <v>ママの作ったアップルパイ</v>
          </cell>
          <cell r="D1369" t="str">
            <v>ママの作ったアップルパイ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4</v>
          </cell>
          <cell r="J1369" t="str">
            <v>Drop2N</v>
          </cell>
          <cell r="K1369" t="str">
            <v>evolution</v>
          </cell>
          <cell r="L1369" t="str">
            <v>覚醒素材タイプ</v>
          </cell>
          <cell r="M1369" t="str">
            <v>ss</v>
          </cell>
        </row>
        <row r="1370">
          <cell r="A1370">
            <v>8053</v>
          </cell>
          <cell r="B1370" t="str">
            <v>ja</v>
          </cell>
          <cell r="C1370" t="str">
            <v>D.R.T.H__キティコスプレ</v>
          </cell>
          <cell r="D1370" t="str">
            <v>D.R.T.H__キティコスプレ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balance</v>
          </cell>
          <cell r="L1370" t="str">
            <v>バランスタイプ</v>
          </cell>
          <cell r="M1370" t="str">
            <v>ss</v>
          </cell>
        </row>
        <row r="1371">
          <cell r="A1371">
            <v>8054</v>
          </cell>
          <cell r="B1371" t="str">
            <v>ja</v>
          </cell>
          <cell r="C1371" t="str">
            <v>D.R.T.H__キティコスプレ</v>
          </cell>
          <cell r="D1371" t="str">
            <v>D.R.T.H__キティコスプレ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balance</v>
          </cell>
          <cell r="L1371" t="str">
            <v>バランスタイプ</v>
          </cell>
          <cell r="M1371" t="str">
            <v>ss</v>
          </cell>
        </row>
        <row r="1372">
          <cell r="A1372">
            <v>8055</v>
          </cell>
          <cell r="B1372" t="str">
            <v>ja</v>
          </cell>
          <cell r="C1372" t="str">
            <v>マイメロディ</v>
          </cell>
          <cell r="D1372" t="str">
            <v>マイメロディ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4</v>
          </cell>
          <cell r="J1372" t="str">
            <v>PremiumS</v>
          </cell>
          <cell r="K1372" t="str">
            <v>attack</v>
          </cell>
          <cell r="L1372" t="str">
            <v>攻撃タイプ</v>
          </cell>
          <cell r="M1372" t="str">
            <v>ss</v>
          </cell>
        </row>
        <row r="1373">
          <cell r="A1373">
            <v>8056</v>
          </cell>
          <cell r="B1373" t="str">
            <v>ja</v>
          </cell>
          <cell r="C1373" t="str">
            <v>マイメロディ</v>
          </cell>
          <cell r="D1373" t="str">
            <v>マイメロディ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5</v>
          </cell>
          <cell r="J1373" t="str">
            <v>PremiumS</v>
          </cell>
          <cell r="K1373" t="str">
            <v>attack</v>
          </cell>
          <cell r="L1373" t="str">
            <v>攻撃タイプ</v>
          </cell>
          <cell r="M1373" t="str">
            <v>ss</v>
          </cell>
        </row>
        <row r="1374">
          <cell r="A1374">
            <v>8057</v>
          </cell>
          <cell r="B1374" t="str">
            <v>ja</v>
          </cell>
          <cell r="C1374" t="str">
            <v>ニーベルゲン_シナモロールコスプレ</v>
          </cell>
          <cell r="D1374" t="str">
            <v>ニーベルゲン_シナモロールコスプレ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balance</v>
          </cell>
          <cell r="L1374" t="str">
            <v>バランスタイプ</v>
          </cell>
          <cell r="M1374" t="str">
            <v>ss</v>
          </cell>
        </row>
        <row r="1375">
          <cell r="A1375">
            <v>8058</v>
          </cell>
          <cell r="B1375" t="str">
            <v>ja</v>
          </cell>
          <cell r="C1375" t="str">
            <v>ニーベルゲン_シナモロールコスプレ</v>
          </cell>
          <cell r="D1375" t="str">
            <v>ニーベルゲン_シナモロールコスプレ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balance</v>
          </cell>
          <cell r="L1375" t="str">
            <v>バランスタイプ</v>
          </cell>
          <cell r="M1375" t="str">
            <v>ss</v>
          </cell>
        </row>
        <row r="1376">
          <cell r="A1376">
            <v>8059</v>
          </cell>
          <cell r="B1376" t="str">
            <v>ja</v>
          </cell>
          <cell r="C1376" t="str">
            <v>カカシ_マイメロディコスプレ</v>
          </cell>
          <cell r="D1376" t="str">
            <v>カカシ_マイメロディコスプレ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4</v>
          </cell>
          <cell r="J1376" t="str">
            <v>PremiumS</v>
          </cell>
          <cell r="K1376" t="str">
            <v>technical</v>
          </cell>
          <cell r="L1376" t="str">
            <v>テクニカルタイプ</v>
          </cell>
          <cell r="M1376" t="str">
            <v>ss</v>
          </cell>
        </row>
        <row r="1377">
          <cell r="A1377">
            <v>8060</v>
          </cell>
          <cell r="B1377" t="str">
            <v>ja</v>
          </cell>
          <cell r="C1377" t="str">
            <v>カカシ_マイメロディコスプレ</v>
          </cell>
          <cell r="D1377" t="str">
            <v>カカシ_マイメロディコスプレ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5</v>
          </cell>
          <cell r="J1377" t="str">
            <v>PremiumS</v>
          </cell>
          <cell r="K1377" t="str">
            <v>technical</v>
          </cell>
          <cell r="L1377" t="str">
            <v>テクニカルタイプ</v>
          </cell>
          <cell r="M1377" t="str">
            <v>ss</v>
          </cell>
        </row>
        <row r="1378">
          <cell r="A1378">
            <v>8061</v>
          </cell>
          <cell r="B1378" t="str">
            <v>ja</v>
          </cell>
          <cell r="C1378" t="str">
            <v>ケロケロけろっぴ</v>
          </cell>
          <cell r="D1378" t="str">
            <v>ケロケロけろっぴ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3</v>
          </cell>
          <cell r="J1378" t="str">
            <v>PremiumS</v>
          </cell>
          <cell r="K1378" t="str">
            <v>balance</v>
          </cell>
          <cell r="L1378" t="str">
            <v>バランスタイプ</v>
          </cell>
          <cell r="M1378" t="str">
            <v>ss</v>
          </cell>
        </row>
        <row r="1379">
          <cell r="A1379">
            <v>8062</v>
          </cell>
          <cell r="B1379" t="str">
            <v>ja</v>
          </cell>
          <cell r="C1379" t="str">
            <v>ケロケロけろっぴ</v>
          </cell>
          <cell r="D1379" t="str">
            <v>ケロケロけろっぴ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4</v>
          </cell>
          <cell r="J1379" t="str">
            <v>PremiumS</v>
          </cell>
          <cell r="K1379" t="str">
            <v>balance</v>
          </cell>
          <cell r="L1379" t="str">
            <v>バランスタイプ</v>
          </cell>
          <cell r="M1379" t="str">
            <v>ss</v>
          </cell>
        </row>
        <row r="1380">
          <cell r="A1380">
            <v>8063</v>
          </cell>
          <cell r="B1380" t="str">
            <v>ja</v>
          </cell>
          <cell r="C1380" t="str">
            <v>モルドレッド_ポムポムプリンコスプレ</v>
          </cell>
          <cell r="D1380" t="str">
            <v>モルドレッド_ポムポムプリンコスプレ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5</v>
          </cell>
          <cell r="J1380" t="str">
            <v>PremiumSS</v>
          </cell>
          <cell r="K1380" t="str">
            <v>heal</v>
          </cell>
          <cell r="L1380" t="str">
            <v>回復タイプ</v>
          </cell>
          <cell r="M1380" t="str">
            <v>ss</v>
          </cell>
        </row>
        <row r="1381">
          <cell r="A1381">
            <v>8064</v>
          </cell>
          <cell r="B1381" t="str">
            <v>ja</v>
          </cell>
          <cell r="C1381" t="str">
            <v>モルドレッド_ポムポムプリンコスプレ</v>
          </cell>
          <cell r="D1381" t="str">
            <v>モルドレッド_ポムポムプリンコスプレ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6</v>
          </cell>
          <cell r="J1381" t="str">
            <v>PremiumSS</v>
          </cell>
          <cell r="K1381" t="str">
            <v>heal</v>
          </cell>
          <cell r="L1381" t="str">
            <v>回復タイプ</v>
          </cell>
          <cell r="M1381" t="str">
            <v>ss</v>
          </cell>
        </row>
        <row r="1382">
          <cell r="A1382">
            <v>8065</v>
          </cell>
          <cell r="B1382" t="str">
            <v>ja</v>
          </cell>
          <cell r="C1382" t="str">
            <v>クロミ</v>
          </cell>
          <cell r="D1382" t="str">
            <v>クロミ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technical</v>
          </cell>
          <cell r="L1382" t="str">
            <v>テクニカルタイプ</v>
          </cell>
          <cell r="M1382" t="str">
            <v>ss</v>
          </cell>
        </row>
        <row r="1383">
          <cell r="A1383">
            <v>8066</v>
          </cell>
          <cell r="B1383" t="str">
            <v>ja</v>
          </cell>
          <cell r="C1383" t="str">
            <v>クロミ</v>
          </cell>
          <cell r="D1383" t="str">
            <v>クロミ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technical</v>
          </cell>
          <cell r="L1383" t="str">
            <v>テクニカルタイプ</v>
          </cell>
          <cell r="M1383" t="str">
            <v>ss</v>
          </cell>
        </row>
        <row r="1384">
          <cell r="A1384">
            <v>8067</v>
          </cell>
          <cell r="B1384" t="str">
            <v>ja</v>
          </cell>
          <cell r="C1384" t="str">
            <v>バッドばつ丸</v>
          </cell>
          <cell r="D1384" t="str">
            <v>バッドばつ丸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3</v>
          </cell>
          <cell r="J1384" t="str">
            <v>PremiumS</v>
          </cell>
          <cell r="K1384" t="str">
            <v>attack</v>
          </cell>
          <cell r="L1384" t="str">
            <v>攻撃タイプ</v>
          </cell>
          <cell r="M1384" t="str">
            <v>ss</v>
          </cell>
        </row>
        <row r="1385">
          <cell r="A1385">
            <v>8068</v>
          </cell>
          <cell r="B1385" t="str">
            <v>ja</v>
          </cell>
          <cell r="C1385" t="str">
            <v>バッドばつ丸</v>
          </cell>
          <cell r="D1385" t="str">
            <v>バッドばつ丸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PremiumS</v>
          </cell>
          <cell r="K1385" t="str">
            <v>attack</v>
          </cell>
          <cell r="L1385" t="str">
            <v>攻撃タイプ</v>
          </cell>
          <cell r="M1385" t="str">
            <v>ss</v>
          </cell>
        </row>
        <row r="1386">
          <cell r="A1386">
            <v>8069</v>
          </cell>
          <cell r="B1386" t="str">
            <v>ja</v>
          </cell>
          <cell r="C1386" t="str">
            <v>シナモロール</v>
          </cell>
          <cell r="D1386" t="str">
            <v>シナモロール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4</v>
          </cell>
          <cell r="J1386" t="str">
            <v>PremiumS</v>
          </cell>
          <cell r="K1386" t="str">
            <v>heal</v>
          </cell>
          <cell r="L1386" t="str">
            <v>回復タイプ</v>
          </cell>
          <cell r="M1386" t="str">
            <v>ss</v>
          </cell>
        </row>
        <row r="1387">
          <cell r="A1387">
            <v>8070</v>
          </cell>
          <cell r="B1387" t="str">
            <v>ja</v>
          </cell>
          <cell r="C1387" t="str">
            <v>シナモロール</v>
          </cell>
          <cell r="D1387" t="str">
            <v>シナモロール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heal</v>
          </cell>
          <cell r="L1387" t="str">
            <v>回復タイプ</v>
          </cell>
          <cell r="M1387" t="str">
            <v>ss</v>
          </cell>
        </row>
        <row r="1388">
          <cell r="A1388">
            <v>8071</v>
          </cell>
          <cell r="B1388" t="str">
            <v>ja</v>
          </cell>
          <cell r="C1388" t="str">
            <v>ポムポムプリン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yellow</v>
          </cell>
          <cell r="I1388">
            <v>3</v>
          </cell>
          <cell r="J1388" t="str">
            <v>PremiumS</v>
          </cell>
          <cell r="K1388" t="str">
            <v>hp</v>
          </cell>
          <cell r="L1388" t="str">
            <v>体力タイプ</v>
          </cell>
          <cell r="M1388" t="str">
            <v>ss</v>
          </cell>
        </row>
        <row r="1389">
          <cell r="A1389">
            <v>8072</v>
          </cell>
          <cell r="B1389" t="str">
            <v>ja</v>
          </cell>
          <cell r="C1389" t="str">
            <v>ポムポムプリン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yellow</v>
          </cell>
          <cell r="I1389">
            <v>4</v>
          </cell>
          <cell r="J1389" t="str">
            <v>PremiumS</v>
          </cell>
          <cell r="K1389" t="str">
            <v>hp</v>
          </cell>
          <cell r="L1389" t="str">
            <v>体力タイプ</v>
          </cell>
          <cell r="M1389" t="str">
            <v>ss</v>
          </cell>
        </row>
        <row r="1390">
          <cell r="A1390">
            <v>8077</v>
          </cell>
          <cell r="B1390" t="str">
            <v>ja</v>
          </cell>
          <cell r="C1390" t="str">
            <v>鄭成功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PremiumSS</v>
          </cell>
          <cell r="K1390" t="str">
            <v>attack</v>
          </cell>
          <cell r="L1390" t="str">
            <v>攻撃タイプ</v>
          </cell>
          <cell r="M1390" t="str">
            <v>human</v>
          </cell>
        </row>
        <row r="1391">
          <cell r="A1391">
            <v>8078</v>
          </cell>
          <cell r="B1391" t="str">
            <v>ja</v>
          </cell>
          <cell r="C1391" t="str">
            <v>レア６鄭成功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blue</v>
          </cell>
          <cell r="I1391">
            <v>6</v>
          </cell>
          <cell r="J1391" t="str">
            <v>PremiumSS</v>
          </cell>
          <cell r="K1391" t="str">
            <v>attack</v>
          </cell>
          <cell r="L1391" t="str">
            <v>攻撃タイプ</v>
          </cell>
          <cell r="M1391" t="str">
            <v>human</v>
          </cell>
        </row>
        <row r="1392">
          <cell r="A1392">
            <v>8079</v>
          </cell>
          <cell r="B1392" t="str">
            <v>ja</v>
          </cell>
          <cell r="C1392" t="str">
            <v>赤鬼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red</v>
          </cell>
          <cell r="I1392">
            <v>5</v>
          </cell>
          <cell r="J1392" t="str">
            <v>DropWizS</v>
          </cell>
          <cell r="K1392" t="str">
            <v>hp</v>
          </cell>
          <cell r="L1392" t="str">
            <v>体力タイプ</v>
          </cell>
          <cell r="M1392" t="str">
            <v>dragon</v>
          </cell>
        </row>
        <row r="1393">
          <cell r="A1393">
            <v>8080</v>
          </cell>
          <cell r="B1393" t="str">
            <v>ja</v>
          </cell>
          <cell r="C1393" t="str">
            <v>レア６赤鬼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6</v>
          </cell>
          <cell r="J1393" t="str">
            <v>DropWizS</v>
          </cell>
          <cell r="K1393" t="str">
            <v>hp</v>
          </cell>
          <cell r="L1393" t="str">
            <v>体力タイプ</v>
          </cell>
          <cell r="M1393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13" sqref="F1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437100</v>
      </c>
      <c r="D2" s="19" t="s">
        <v>45</v>
      </c>
      <c r="E2" s="17" t="str">
        <f t="shared" ref="E2" si="1">B2&amp;C2&amp;D2</f>
        <v>gacha_select_tables_437100.tmp</v>
      </c>
      <c r="F2" s="100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437010</v>
      </c>
      <c r="D3" s="19" t="s">
        <v>45</v>
      </c>
      <c r="E3" s="17" t="str">
        <f t="shared" ref="E3:E10" si="3">B3&amp;C3&amp;D3</f>
        <v>gacha_select_tables_437010.tmp</v>
      </c>
      <c r="F3" s="100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248</v>
      </c>
      <c r="B4" s="96" t="s">
        <v>249</v>
      </c>
      <c r="C4" s="97" t="str">
        <f t="shared" si="2"/>
        <v>437100</v>
      </c>
      <c r="D4" s="19" t="s">
        <v>250</v>
      </c>
      <c r="E4" s="17" t="str">
        <f t="shared" si="3"/>
        <v>gacha_settle_tables_437100.tmp</v>
      </c>
      <c r="F4" s="100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437010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VLOOKUP(L3,tables_437010!B:C,2,FALSE)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VLOOKUP(L4,tables_437010!B:C,2,FALSE)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47.5%</f>
        <v>0.47499999999999998</v>
      </c>
      <c r="D5" t="s">
        <v>201</v>
      </c>
      <c r="E5" s="43">
        <f>(B11-H5)/(F5-I5)</f>
        <v>8.7719298245614037E-4</v>
      </c>
      <c r="F5">
        <f>(COUNTIF(tables_437010!C:C,input_437010!A28)+COUNTIF(tables_437010!C:C,input_437010!A29))</f>
        <v>57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VLOOKUP(L5,tables_437010!B:C,2,FALSE)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1.0439560439560439E-2</v>
      </c>
      <c r="F6">
        <f>(COUNTIF(tables_437010!C:C,input_437010!A25)+COUNTIF(tables_437010!C:C,input_437010!A18)+COUNTIF(tables_437010!C:C,input_437010!A20)+COUNTIF(tables_437010!C:C,input_437010!A22))</f>
        <v>91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VLOOKUP(L6,tables_437010!B:C,2,FALSE)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VLOOKUP(L7,tables_437010!B:C,2,FALSE)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VLOOKUP(L8,tables_437010!B:C,2,FALSE)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VLOOKUP(L9,tables_437010!B:C,2,FALSE)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VLOOKUP(L10,tables_437010!B:C,2,FALSE)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VLOOKUP(L11,tables_437010!B:C,2,FALSE)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VLOOKUP(L12,tables_437010!B:C,2,FALSE)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VLOOKUP(L13,tables_437010!B:C,2,FALSE)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VLOOKUP(L14,tables_437010!B:C,2,FALSE)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VLOOKUP(L15,tables_437010!B:C,2,FALSE)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VLOOKUP(L16,tables_437010!B:C,2,FALSE)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0.1973076923076923</v>
      </c>
      <c r="C17" s="85">
        <f t="shared" ref="C17:C31" si="2">SUMIF(Q:Q,A17,N:N)</f>
        <v>0</v>
      </c>
      <c r="D17" s="74">
        <f t="shared" ref="D17:D32" si="3">B17-C17</f>
        <v>0.1973076923076923</v>
      </c>
      <c r="E17">
        <f>COUNTIF(tables_437010!C:C,input_437010!A17)-COUNTIF(Q:Q,A17)</f>
        <v>20</v>
      </c>
      <c r="F17" s="43">
        <f>IFERROR(B17/E17,0)</f>
        <v>9.8653846153846144E-3</v>
      </c>
      <c r="G17">
        <f t="shared" ref="G17:G31" si="4">A$36*B17</f>
        <v>20468700</v>
      </c>
      <c r="H17">
        <f t="shared" ref="H17:H31" si="5">IFERROR(ROUND(G17/E17,5),0)</f>
        <v>1023435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VLOOKUP(L17,tables_437010!B:C,2,FALSE)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1.1483516483516476E-2</v>
      </c>
      <c r="C18" s="85">
        <f t="shared" si="2"/>
        <v>0</v>
      </c>
      <c r="D18" s="74">
        <f t="shared" si="3"/>
        <v>1.1483516483516476E-2</v>
      </c>
      <c r="E18">
        <f>COUNTIF(tables_437010!C:C,input_437010!A18)-COUNTIF(Q:Q,A18)</f>
        <v>20</v>
      </c>
      <c r="F18" s="43">
        <f>IFERROR(B18/E18,0)</f>
        <v>5.7417582417582384E-4</v>
      </c>
      <c r="G18">
        <f t="shared" si="4"/>
        <v>1191299.9999999993</v>
      </c>
      <c r="H18">
        <f t="shared" si="5"/>
        <v>59565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VLOOKUP(L18,tables_437010!B:C,2,FALSE)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0.25785714285714284</v>
      </c>
      <c r="C19" s="85">
        <f t="shared" si="2"/>
        <v>0</v>
      </c>
      <c r="D19" s="74">
        <f t="shared" si="3"/>
        <v>0.25785714285714284</v>
      </c>
      <c r="E19">
        <f>COUNTIF(tables_437010!C:C,input_437010!A19)-COUNTIF(Q:Q,A19)</f>
        <v>52</v>
      </c>
      <c r="F19" s="43">
        <f t="shared" ref="F19:F31" si="8">IFERROR(B19/E19,0)</f>
        <v>4.9587912087912089E-3</v>
      </c>
      <c r="G19">
        <f t="shared" si="4"/>
        <v>26750100</v>
      </c>
      <c r="H19">
        <f t="shared" si="5"/>
        <v>514425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VLOOKUP(L19,tables_437010!B:C,2,FALSE)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E$6*E20*B$6+E34</f>
        <v>0.25685487757856179</v>
      </c>
      <c r="C20" s="85">
        <f t="shared" si="2"/>
        <v>0</v>
      </c>
      <c r="D20" s="74">
        <f t="shared" si="3"/>
        <v>0.25685487757856179</v>
      </c>
      <c r="E20">
        <f>COUNTIF(tables_437010!C:C,input_437010!A20)-COUNTIF(Q:Q,A20)</f>
        <v>52</v>
      </c>
      <c r="F20" s="43">
        <f t="shared" si="8"/>
        <v>4.9395168765108037E-3</v>
      </c>
      <c r="G20">
        <f t="shared" si="4"/>
        <v>26646125</v>
      </c>
      <c r="H20">
        <f t="shared" si="5"/>
        <v>512425.48077000002</v>
      </c>
      <c r="I20">
        <f t="shared" si="6"/>
        <v>0.48077000002376735</v>
      </c>
      <c r="J20">
        <f t="shared" si="7"/>
        <v>2.079996671902498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VLOOKUP(L20,tables_437010!B:C,2,FALSE)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2.8145122421438216E-2</v>
      </c>
      <c r="C21" s="85">
        <f t="shared" si="2"/>
        <v>0</v>
      </c>
      <c r="D21" s="74">
        <f t="shared" si="3"/>
        <v>2.8145122421438216E-2</v>
      </c>
      <c r="E21">
        <f>COUNTIF(tables_437010!C:C,input_437010!A21)-COUNTIF(Q:Q,A21)</f>
        <v>52</v>
      </c>
      <c r="F21" s="43">
        <f t="shared" si="8"/>
        <v>5.4125235425842727E-4</v>
      </c>
      <c r="G21">
        <f t="shared" si="4"/>
        <v>2919775.0000000005</v>
      </c>
      <c r="H21">
        <f t="shared" si="5"/>
        <v>56149.519229999998</v>
      </c>
      <c r="I21">
        <f t="shared" si="6"/>
        <v>0.51922999999806052</v>
      </c>
      <c r="J21">
        <f t="shared" si="7"/>
        <v>1.9259287791609407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0.14015109890109889</v>
      </c>
      <c r="C22" s="85">
        <f t="shared" si="2"/>
        <v>0</v>
      </c>
      <c r="D22" s="74">
        <f t="shared" si="3"/>
        <v>0.14015109890109889</v>
      </c>
      <c r="E22">
        <f>COUNTIF(tables_437010!C:C,input_437010!A22)-COUNTIF(Q:Q,A22)</f>
        <v>15</v>
      </c>
      <c r="F22" s="43">
        <f t="shared" si="8"/>
        <v>9.3434065934065932E-3</v>
      </c>
      <c r="G22">
        <f t="shared" si="4"/>
        <v>14539274.999999998</v>
      </c>
      <c r="H22">
        <f t="shared" si="5"/>
        <v>969285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1.644230769230769E-2</v>
      </c>
      <c r="C23" s="85">
        <f t="shared" si="2"/>
        <v>0</v>
      </c>
      <c r="D23" s="74">
        <f t="shared" si="3"/>
        <v>1.644230769230769E-2</v>
      </c>
      <c r="E23">
        <f>COUNTIF(tables_437010!C:C,input_437010!A23)-COUNTIF(Q:Q,A23)</f>
        <v>21</v>
      </c>
      <c r="F23" s="43">
        <f t="shared" si="8"/>
        <v>7.8296703296703283E-4</v>
      </c>
      <c r="G23">
        <f t="shared" si="4"/>
        <v>1705724.9999999998</v>
      </c>
      <c r="H23">
        <f t="shared" si="5"/>
        <v>81225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1.9835164835164832E-2</v>
      </c>
      <c r="C24" s="85">
        <f t="shared" si="2"/>
        <v>0</v>
      </c>
      <c r="D24" s="74">
        <f t="shared" si="3"/>
        <v>1.9835164835164832E-2</v>
      </c>
      <c r="E24">
        <f>COUNTIF(tables_437010!C:C,input_437010!A24)-COUNTIF(Q:Q,A24)</f>
        <v>4</v>
      </c>
      <c r="F24" s="43">
        <f t="shared" si="8"/>
        <v>4.958791208791208E-3</v>
      </c>
      <c r="G24">
        <f t="shared" si="4"/>
        <v>2057699.9999999998</v>
      </c>
      <c r="H24">
        <f t="shared" si="5"/>
        <v>514425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1.879120879120879E-2</v>
      </c>
      <c r="C25" s="85">
        <f t="shared" si="2"/>
        <v>0</v>
      </c>
      <c r="D25" s="74">
        <f t="shared" si="3"/>
        <v>1.879120879120879E-2</v>
      </c>
      <c r="E25">
        <f>COUNTIF(tables_437010!C:C,input_437010!A25)-COUNTIF(Q:Q,A25)</f>
        <v>4</v>
      </c>
      <c r="F25" s="43">
        <f t="shared" si="8"/>
        <v>4.6978021978021974E-3</v>
      </c>
      <c r="G25">
        <f t="shared" si="4"/>
        <v>1949399.9999999998</v>
      </c>
      <c r="H25">
        <f t="shared" si="5"/>
        <v>487350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3.1318681318681318E-3</v>
      </c>
      <c r="C26" s="85">
        <f t="shared" si="2"/>
        <v>0</v>
      </c>
      <c r="D26" s="74">
        <f t="shared" si="3"/>
        <v>3.1318681318681318E-3</v>
      </c>
      <c r="E26">
        <f>COUNTIF(tables_437010!C:C,input_437010!A26)-COUNTIF(Q:Q,A26)</f>
        <v>4</v>
      </c>
      <c r="F26" s="43">
        <f t="shared" si="8"/>
        <v>7.8296703296703294E-4</v>
      </c>
      <c r="G26">
        <f t="shared" si="4"/>
        <v>324900</v>
      </c>
      <c r="H26">
        <f t="shared" si="5"/>
        <v>81225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2.2719298245614035E-2</v>
      </c>
      <c r="C27" s="85">
        <f t="shared" si="2"/>
        <v>0</v>
      </c>
      <c r="D27" s="74">
        <f t="shared" si="3"/>
        <v>2.2719298245614035E-2</v>
      </c>
      <c r="E27">
        <f>COUNTIF(tables_437010!C:C,input_437010!A27)-COUNTIF(Q:Q,A27)</f>
        <v>28</v>
      </c>
      <c r="F27" s="43">
        <f>IFERROR(B27/E27,0)</f>
        <v>8.1140350877192979E-4</v>
      </c>
      <c r="G27">
        <f t="shared" si="4"/>
        <v>2356900</v>
      </c>
      <c r="H27">
        <f t="shared" si="5"/>
        <v>84175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1.8421052631578947E-3</v>
      </c>
      <c r="C28" s="85">
        <f t="shared" si="2"/>
        <v>0</v>
      </c>
      <c r="D28" s="74">
        <f t="shared" si="3"/>
        <v>1.8421052631578947E-3</v>
      </c>
      <c r="E28">
        <f>COUNTIF(tables_437010!C:C,input_437010!A28)-COUNTIF(Q:Q,A28)</f>
        <v>28</v>
      </c>
      <c r="F28" s="43">
        <f t="shared" si="8"/>
        <v>6.5789473684210525E-5</v>
      </c>
      <c r="G28">
        <f t="shared" si="4"/>
        <v>191100</v>
      </c>
      <c r="H28">
        <f t="shared" si="5"/>
        <v>6825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2.5438596491228069E-2</v>
      </c>
      <c r="C29" s="85">
        <f t="shared" si="2"/>
        <v>0</v>
      </c>
      <c r="D29" s="74">
        <f t="shared" si="3"/>
        <v>2.5438596491228069E-2</v>
      </c>
      <c r="E29">
        <f>COUNTIF(tables_437010!C:C,input_437010!A29)-COUNTIF(Q:Q,A29)</f>
        <v>29</v>
      </c>
      <c r="F29" s="43">
        <f t="shared" si="8"/>
        <v>8.7719298245614037E-4</v>
      </c>
      <c r="G29">
        <f t="shared" si="4"/>
        <v>2639000</v>
      </c>
      <c r="H29">
        <f t="shared" si="5"/>
        <v>91000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COUNTIF(tables_437010!C:C,input_437010!A30)-COUNTIF(Q:Q,A30)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COUNTIF(tables_437010!C:C,input_437010!A31)-COUNTIF(Q:Q,A31)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1.2569163292847518E-2</v>
      </c>
      <c r="F34" s="55">
        <f ca="1">0.45-G41</f>
        <v>-3.8535841184739184E-13</v>
      </c>
    </row>
    <row r="35" spans="1:7" x14ac:dyDescent="0.15">
      <c r="A35" t="s">
        <v>73</v>
      </c>
    </row>
    <row r="36" spans="1:7" x14ac:dyDescent="0.15">
      <c r="A36" s="31">
        <f>LCM(F5-I5,F6-I6)*1000*2*2*5</f>
        <v>103740000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SUMIF(tables_437010!C:C,input_437010!A40,tables_437010!O:O)</f>
        <v>26750100</v>
      </c>
      <c r="C40" s="54">
        <f t="shared" ref="C40:C46" ca="1" si="9">B40/B$47</f>
        <v>0.45443904593639589</v>
      </c>
      <c r="E40">
        <v>3</v>
      </c>
      <c r="F40">
        <f ca="1">SUMIF(tables_437010!J:J,input_437010!E40,tables_437010!O:O)</f>
        <v>49276500</v>
      </c>
      <c r="G40">
        <f ca="1">F40/A36</f>
        <v>0.47499999999999998</v>
      </c>
    </row>
    <row r="41" spans="1:7" x14ac:dyDescent="0.15">
      <c r="A41" s="33" t="s">
        <v>104</v>
      </c>
      <c r="B41">
        <f ca="1">SUMIF(tables_437010!C:C,input_437010!A41,tables_437010!O:O)</f>
        <v>26646125.00003998</v>
      </c>
      <c r="C41" s="54">
        <f t="shared" ca="1" si="9"/>
        <v>0.45267268619257928</v>
      </c>
      <c r="E41">
        <v>4</v>
      </c>
      <c r="F41">
        <f ca="1">SUMIF(tables_437010!J:J,input_437010!E41,tables_437010!O:O)</f>
        <v>46683000.00003998</v>
      </c>
      <c r="G41">
        <f ca="1">F41/A36</f>
        <v>0.45000000000038537</v>
      </c>
    </row>
    <row r="42" spans="1:7" x14ac:dyDescent="0.15">
      <c r="A42" s="33" t="s">
        <v>106</v>
      </c>
      <c r="B42">
        <f ca="1">SUMIF(tables_437010!C:C,input_437010!A42,tables_437010!O:O)</f>
        <v>2356900</v>
      </c>
      <c r="C42" s="54">
        <f t="shared" ca="1" si="9"/>
        <v>4.0039752650176688E-2</v>
      </c>
      <c r="E42">
        <v>5</v>
      </c>
      <c r="F42">
        <f ca="1">SUMIF(tables_437010!J:J,input_437010!E42,tables_437010!O:O)</f>
        <v>7780499.9999600034</v>
      </c>
      <c r="G42">
        <f ca="1">F42/A36</f>
        <v>7.4999999999614458E-2</v>
      </c>
    </row>
    <row r="43" spans="1:7" x14ac:dyDescent="0.15">
      <c r="A43" s="33" t="s">
        <v>109</v>
      </c>
      <c r="B43">
        <f>SUMIF(tables_437010!C:C,input_437010!A43,tables_437010!O:O)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SUMIF(tables_437010!C:C,input_437010!A44,tables_437010!O:O)</f>
        <v>2919774.9999600025</v>
      </c>
      <c r="C44" s="54">
        <f t="shared" ca="1" si="9"/>
        <v>4.9602048789752703E-2</v>
      </c>
      <c r="E44" t="s">
        <v>54</v>
      </c>
      <c r="F44" s="55"/>
    </row>
    <row r="45" spans="1:7" x14ac:dyDescent="0.15">
      <c r="A45" s="33" t="s">
        <v>107</v>
      </c>
      <c r="B45">
        <f ca="1">SUMIF(tables_437010!C:C,input_437010!A45,tables_437010!O:O)</f>
        <v>191100</v>
      </c>
      <c r="C45" s="54">
        <f t="shared" ca="1" si="9"/>
        <v>3.2464664310954071E-3</v>
      </c>
      <c r="E45" t="s">
        <v>204</v>
      </c>
      <c r="F45" s="55">
        <f ca="1">SUMIF(tables_437010!I:I,input_437010!E45,tables_437010!P:P)</f>
        <v>0.21348901098901091</v>
      </c>
    </row>
    <row r="46" spans="1:7" x14ac:dyDescent="0.15">
      <c r="A46" s="33" t="s">
        <v>108</v>
      </c>
      <c r="B46">
        <f>SUMIF(tables_437010!C:C,input_437010!A46,tables_437010!O:O)</f>
        <v>0</v>
      </c>
      <c r="C46" s="54">
        <f t="shared" ca="1" si="9"/>
        <v>0</v>
      </c>
      <c r="E46" t="s">
        <v>205</v>
      </c>
      <c r="F46" s="55">
        <f ca="1">SUMIF(tables_437010!I:I,input_437010!E46,tables_437010!P:P)</f>
        <v>0.20879120879120874</v>
      </c>
    </row>
    <row r="47" spans="1:7" x14ac:dyDescent="0.15">
      <c r="A47" s="39" t="s">
        <v>59</v>
      </c>
      <c r="B47">
        <f ca="1">SUM(B40:B46)</f>
        <v>58863999.999999985</v>
      </c>
      <c r="C47" s="55">
        <f ca="1">SUM(C40:C46)</f>
        <v>1</v>
      </c>
      <c r="E47" t="s">
        <v>206</v>
      </c>
      <c r="F47" s="55">
        <f ca="1">SUMIF(tables_437010!I:I,input_437010!E47,tables_437010!P:P)</f>
        <v>0.52771978021978039</v>
      </c>
    </row>
    <row r="48" spans="1:7" x14ac:dyDescent="0.15">
      <c r="E48" t="s">
        <v>207</v>
      </c>
      <c r="F48" s="55">
        <f ca="1">SUMIF(tables_437010!I:I,input_437010!E48,tables_437010!P:P)</f>
        <v>4.6491228070175465E-2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31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Q3" sqref="Q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input_437010!A$2</f>
        <v>437010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IFERROR(VLOOKUP(B2,input_437010!L:R,7,FALSE),VLOOKUP(tables_437010!C2,input_437010!A:H,8,FALSE))</f>
        <v>1023435</v>
      </c>
      <c r="P2" s="46">
        <f t="shared" ref="P2:P65" ca="1" si="1">O2/SUM(O:O)</f>
        <v>9.8653846153846161E-3</v>
      </c>
      <c r="Q2" s="30">
        <f>IF(J2=3,40,IF(J2=4,60,IF(J2=5,80,"")))</f>
        <v>40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input_437010!A$2</f>
        <v>437010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IFERROR(VLOOKUP(B3,input_437010!L:R,7,FALSE),VLOOKUP(tables_437010!C3,input_437010!A:H,8,FALSE))</f>
        <v>59565</v>
      </c>
      <c r="P3" s="46">
        <f t="shared" ca="1" si="1"/>
        <v>5.7417582417582417E-4</v>
      </c>
      <c r="Q3" s="30">
        <f t="shared" ref="Q3:Q66" si="3">IF(J3=3,40,IF(J3=4,60,IF(J3=5,80,"")))</f>
        <v>60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input_437010!A$2</f>
        <v>437010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IFERROR(VLOOKUP(B4,input_437010!L:R,7,FALSE),VLOOKUP(tables_437010!C4,input_437010!A:H,8,FALSE))</f>
        <v>1023435</v>
      </c>
      <c r="P4" s="46">
        <f t="shared" ca="1" si="1"/>
        <v>9.8653846153846161E-3</v>
      </c>
      <c r="Q4" s="30">
        <f t="shared" si="3"/>
        <v>40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input_437010!A$2</f>
        <v>437010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IFERROR(VLOOKUP(B5,input_437010!L:R,7,FALSE),VLOOKUP(tables_437010!C5,input_437010!A:H,8,FALSE))</f>
        <v>59565</v>
      </c>
      <c r="P5" s="46">
        <f t="shared" ca="1" si="1"/>
        <v>5.7417582417582417E-4</v>
      </c>
      <c r="Q5" s="30">
        <f t="shared" si="3"/>
        <v>60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input_437010!A$2</f>
        <v>437010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IFERROR(VLOOKUP(B6,input_437010!L:R,7,FALSE),VLOOKUP(tables_437010!C6,input_437010!A:H,8,FALSE))</f>
        <v>1023435</v>
      </c>
      <c r="P6" s="46">
        <f t="shared" ca="1" si="1"/>
        <v>9.8653846153846161E-3</v>
      </c>
      <c r="Q6" s="30">
        <f t="shared" si="3"/>
        <v>40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input_437010!A$2</f>
        <v>437010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IFERROR(VLOOKUP(B7,input_437010!L:R,7,FALSE),VLOOKUP(tables_437010!C7,input_437010!A:H,8,FALSE))</f>
        <v>59565</v>
      </c>
      <c r="P7" s="46">
        <f t="shared" ca="1" si="1"/>
        <v>5.7417582417582417E-4</v>
      </c>
      <c r="Q7" s="30">
        <f t="shared" si="3"/>
        <v>60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input_437010!A$2</f>
        <v>437010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IFERROR(VLOOKUP(B8,input_437010!L:R,7,FALSE),VLOOKUP(tables_437010!C8,input_437010!A:H,8,FALSE))</f>
        <v>1023435</v>
      </c>
      <c r="P8" s="46">
        <f t="shared" ca="1" si="1"/>
        <v>9.8653846153846161E-3</v>
      </c>
      <c r="Q8" s="30">
        <f t="shared" si="3"/>
        <v>40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input_437010!A$2</f>
        <v>437010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IFERROR(VLOOKUP(B9,input_437010!L:R,7,FALSE),VLOOKUP(tables_437010!C9,input_437010!A:H,8,FALSE))</f>
        <v>59565</v>
      </c>
      <c r="P9" s="46">
        <f t="shared" ca="1" si="1"/>
        <v>5.7417582417582417E-4</v>
      </c>
      <c r="Q9" s="30">
        <f t="shared" si="3"/>
        <v>60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input_437010!A$2</f>
        <v>437010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IFERROR(VLOOKUP(B10,input_437010!L:R,7,FALSE),VLOOKUP(tables_437010!C10,input_437010!A:H,8,FALSE))</f>
        <v>1023435</v>
      </c>
      <c r="P10" s="46">
        <f t="shared" ca="1" si="1"/>
        <v>9.8653846153846161E-3</v>
      </c>
      <c r="Q10" s="30">
        <f t="shared" si="3"/>
        <v>40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input_437010!A$2</f>
        <v>437010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IFERROR(VLOOKUP(B11,input_437010!L:R,7,FALSE),VLOOKUP(tables_437010!C11,input_437010!A:H,8,FALSE))</f>
        <v>59565</v>
      </c>
      <c r="P11" s="46">
        <f t="shared" ca="1" si="1"/>
        <v>5.7417582417582417E-4</v>
      </c>
      <c r="Q11" s="30">
        <f t="shared" si="3"/>
        <v>60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input_437010!A$2</f>
        <v>437010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IFERROR(VLOOKUP(B12,input_437010!L:R,7,FALSE),VLOOKUP(tables_437010!C12,input_437010!A:H,8,FALSE))</f>
        <v>1023435</v>
      </c>
      <c r="P12" s="46">
        <f t="shared" ca="1" si="1"/>
        <v>9.8653846153846161E-3</v>
      </c>
      <c r="Q12" s="30">
        <f t="shared" si="3"/>
        <v>40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input_437010!A$2</f>
        <v>437010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IFERROR(VLOOKUP(B13,input_437010!L:R,7,FALSE),VLOOKUP(tables_437010!C13,input_437010!A:H,8,FALSE))</f>
        <v>59565</v>
      </c>
      <c r="P13" s="46">
        <f t="shared" ca="1" si="1"/>
        <v>5.7417582417582417E-4</v>
      </c>
      <c r="Q13" s="30">
        <f t="shared" si="3"/>
        <v>60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input_437010!A$2</f>
        <v>437010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IFERROR(VLOOKUP(B14,input_437010!L:R,7,FALSE),VLOOKUP(tables_437010!C14,input_437010!A:H,8,FALSE))</f>
        <v>1023435</v>
      </c>
      <c r="P14" s="46">
        <f t="shared" ca="1" si="1"/>
        <v>9.8653846153846161E-3</v>
      </c>
      <c r="Q14" s="30">
        <f t="shared" si="3"/>
        <v>40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input_437010!A$2</f>
        <v>437010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IFERROR(VLOOKUP(B15,input_437010!L:R,7,FALSE),VLOOKUP(tables_437010!C15,input_437010!A:H,8,FALSE))</f>
        <v>59565</v>
      </c>
      <c r="P15" s="46">
        <f t="shared" ca="1" si="1"/>
        <v>5.7417582417582417E-4</v>
      </c>
      <c r="Q15" s="30">
        <f t="shared" si="3"/>
        <v>60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input_437010!A$2</f>
        <v>437010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IFERROR(VLOOKUP(B16,input_437010!L:R,7,FALSE),VLOOKUP(tables_437010!C16,input_437010!A:H,8,FALSE))</f>
        <v>1023435</v>
      </c>
      <c r="P16" s="46">
        <f t="shared" ca="1" si="1"/>
        <v>9.8653846153846161E-3</v>
      </c>
      <c r="Q16" s="30">
        <f t="shared" si="3"/>
        <v>40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input_437010!A$2</f>
        <v>437010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IFERROR(VLOOKUP(B17,input_437010!L:R,7,FALSE),VLOOKUP(tables_437010!C17,input_437010!A:H,8,FALSE))</f>
        <v>59565</v>
      </c>
      <c r="P17" s="46">
        <f t="shared" ca="1" si="1"/>
        <v>5.7417582417582417E-4</v>
      </c>
      <c r="Q17" s="30">
        <f t="shared" si="3"/>
        <v>60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input_437010!A$2</f>
        <v>437010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IFERROR(VLOOKUP(B18,input_437010!L:R,7,FALSE),VLOOKUP(tables_437010!C18,input_437010!A:H,8,FALSE))</f>
        <v>1023435</v>
      </c>
      <c r="P18" s="46">
        <f t="shared" ca="1" si="1"/>
        <v>9.8653846153846161E-3</v>
      </c>
      <c r="Q18" s="30">
        <f t="shared" si="3"/>
        <v>40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input_437010!A$2</f>
        <v>437010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IFERROR(VLOOKUP(B19,input_437010!L:R,7,FALSE),VLOOKUP(tables_437010!C19,input_437010!A:H,8,FALSE))</f>
        <v>59565</v>
      </c>
      <c r="P19" s="46">
        <f t="shared" ca="1" si="1"/>
        <v>5.7417582417582417E-4</v>
      </c>
      <c r="Q19" s="30">
        <f t="shared" si="3"/>
        <v>60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input_437010!A$2</f>
        <v>437010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IFERROR(VLOOKUP(B20,input_437010!L:R,7,FALSE),VLOOKUP(tables_437010!C20,input_437010!A:H,8,FALSE))</f>
        <v>1023435</v>
      </c>
      <c r="P20" s="46">
        <f t="shared" ca="1" si="1"/>
        <v>9.8653846153846161E-3</v>
      </c>
      <c r="Q20" s="30">
        <f t="shared" si="3"/>
        <v>40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input_437010!A$2</f>
        <v>437010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IFERROR(VLOOKUP(B21,input_437010!L:R,7,FALSE),VLOOKUP(tables_437010!C21,input_437010!A:H,8,FALSE))</f>
        <v>59565</v>
      </c>
      <c r="P21" s="46">
        <f t="shared" ca="1" si="1"/>
        <v>5.7417582417582417E-4</v>
      </c>
      <c r="Q21" s="30">
        <f t="shared" si="3"/>
        <v>60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input_437010!A$2</f>
        <v>437010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IFERROR(VLOOKUP(B22,input_437010!L:R,7,FALSE),VLOOKUP(tables_437010!C22,input_437010!A:H,8,FALSE))</f>
        <v>1023435</v>
      </c>
      <c r="P22" s="46">
        <f t="shared" ca="1" si="1"/>
        <v>9.8653846153846161E-3</v>
      </c>
      <c r="Q22" s="30">
        <f t="shared" si="3"/>
        <v>40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input_437010!A$2</f>
        <v>437010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IFERROR(VLOOKUP(B23,input_437010!L:R,7,FALSE),VLOOKUP(tables_437010!C23,input_437010!A:H,8,FALSE))</f>
        <v>59565</v>
      </c>
      <c r="P23" s="46">
        <f t="shared" ca="1" si="1"/>
        <v>5.7417582417582417E-4</v>
      </c>
      <c r="Q23" s="30">
        <f t="shared" si="3"/>
        <v>60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input_437010!A$2</f>
        <v>437010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IFERROR(VLOOKUP(B24,input_437010!L:R,7,FALSE),VLOOKUP(tables_437010!C24,input_437010!A:H,8,FALSE))</f>
        <v>1023435</v>
      </c>
      <c r="P24" s="46">
        <f t="shared" ca="1" si="1"/>
        <v>9.8653846153846161E-3</v>
      </c>
      <c r="Q24" s="30">
        <f t="shared" si="3"/>
        <v>40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input_437010!A$2</f>
        <v>437010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IFERROR(VLOOKUP(B25,input_437010!L:R,7,FALSE),VLOOKUP(tables_437010!C25,input_437010!A:H,8,FALSE))</f>
        <v>59565</v>
      </c>
      <c r="P25" s="46">
        <f t="shared" ca="1" si="1"/>
        <v>5.7417582417582417E-4</v>
      </c>
      <c r="Q25" s="30">
        <f t="shared" si="3"/>
        <v>60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input_437010!A$2</f>
        <v>437010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IFERROR(VLOOKUP(B26,input_437010!L:R,7,FALSE),VLOOKUP(tables_437010!C26,input_437010!A:H,8,FALSE))</f>
        <v>1023435</v>
      </c>
      <c r="P26" s="46">
        <f t="shared" ca="1" si="1"/>
        <v>9.8653846153846161E-3</v>
      </c>
      <c r="Q26" s="30">
        <f t="shared" si="3"/>
        <v>40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input_437010!A$2</f>
        <v>437010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IFERROR(VLOOKUP(B27,input_437010!L:R,7,FALSE),VLOOKUP(tables_437010!C27,input_437010!A:H,8,FALSE))</f>
        <v>59565</v>
      </c>
      <c r="P27" s="46">
        <f t="shared" ca="1" si="1"/>
        <v>5.7417582417582417E-4</v>
      </c>
      <c r="Q27" s="30">
        <f t="shared" si="3"/>
        <v>60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input_437010!A$2</f>
        <v>437010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IFERROR(VLOOKUP(B28,input_437010!L:R,7,FALSE),VLOOKUP(tables_437010!C28,input_437010!A:H,8,FALSE))</f>
        <v>1023435</v>
      </c>
      <c r="P28" s="46">
        <f t="shared" ca="1" si="1"/>
        <v>9.8653846153846161E-3</v>
      </c>
      <c r="Q28" s="30">
        <f t="shared" si="3"/>
        <v>40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input_437010!A$2</f>
        <v>437010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IFERROR(VLOOKUP(B29,input_437010!L:R,7,FALSE),VLOOKUP(tables_437010!C29,input_437010!A:H,8,FALSE))</f>
        <v>59565</v>
      </c>
      <c r="P29" s="46">
        <f t="shared" ca="1" si="1"/>
        <v>5.7417582417582417E-4</v>
      </c>
      <c r="Q29" s="30">
        <f t="shared" si="3"/>
        <v>60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input_437010!A$2</f>
        <v>437010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IFERROR(VLOOKUP(B30,input_437010!L:R,7,FALSE),VLOOKUP(tables_437010!C30,input_437010!A:H,8,FALSE))</f>
        <v>1023435</v>
      </c>
      <c r="P30" s="46">
        <f t="shared" ca="1" si="1"/>
        <v>9.8653846153846161E-3</v>
      </c>
      <c r="Q30" s="30">
        <f t="shared" si="3"/>
        <v>40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input_437010!A$2</f>
        <v>437010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IFERROR(VLOOKUP(B31,input_437010!L:R,7,FALSE),VLOOKUP(tables_437010!C31,input_437010!A:H,8,FALSE))</f>
        <v>59565</v>
      </c>
      <c r="P31" s="46">
        <f t="shared" ca="1" si="1"/>
        <v>5.7417582417582417E-4</v>
      </c>
      <c r="Q31" s="30">
        <f t="shared" si="3"/>
        <v>60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input_437010!A$2</f>
        <v>437010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IFERROR(VLOOKUP(B32,input_437010!L:R,7,FALSE),VLOOKUP(tables_437010!C32,input_437010!A:H,8,FALSE))</f>
        <v>1023435</v>
      </c>
      <c r="P32" s="46">
        <f t="shared" ca="1" si="1"/>
        <v>9.8653846153846161E-3</v>
      </c>
      <c r="Q32" s="30">
        <f t="shared" si="3"/>
        <v>40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input_437010!A$2</f>
        <v>437010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IFERROR(VLOOKUP(B33,input_437010!L:R,7,FALSE),VLOOKUP(tables_437010!C33,input_437010!A:H,8,FALSE))</f>
        <v>59565</v>
      </c>
      <c r="P33" s="46">
        <f t="shared" ca="1" si="1"/>
        <v>5.7417582417582417E-4</v>
      </c>
      <c r="Q33" s="30">
        <f t="shared" si="3"/>
        <v>60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input_437010!A$2</f>
        <v>437010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IFERROR(VLOOKUP(B34,input_437010!L:R,7,FALSE),VLOOKUP(tables_437010!C34,input_437010!A:H,8,FALSE))</f>
        <v>1023435</v>
      </c>
      <c r="P34" s="46">
        <f t="shared" ca="1" si="1"/>
        <v>9.8653846153846161E-3</v>
      </c>
      <c r="Q34" s="30">
        <f t="shared" si="3"/>
        <v>40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input_437010!A$2</f>
        <v>437010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IFERROR(VLOOKUP(B35,input_437010!L:R,7,FALSE),VLOOKUP(tables_437010!C35,input_437010!A:H,8,FALSE))</f>
        <v>59565</v>
      </c>
      <c r="P35" s="46">
        <f t="shared" ca="1" si="1"/>
        <v>5.7417582417582417E-4</v>
      </c>
      <c r="Q35" s="30">
        <f t="shared" si="3"/>
        <v>60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input_437010!A$2</f>
        <v>437010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IFERROR(VLOOKUP(B36,input_437010!L:R,7,FALSE),VLOOKUP(tables_437010!C36,input_437010!A:H,8,FALSE))</f>
        <v>1023435</v>
      </c>
      <c r="P36" s="46">
        <f t="shared" ca="1" si="1"/>
        <v>9.8653846153846161E-3</v>
      </c>
      <c r="Q36" s="30">
        <f t="shared" si="3"/>
        <v>40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input_437010!A$2</f>
        <v>437010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IFERROR(VLOOKUP(B37,input_437010!L:R,7,FALSE),VLOOKUP(tables_437010!C37,input_437010!A:H,8,FALSE))</f>
        <v>59565</v>
      </c>
      <c r="P37" s="46">
        <f t="shared" ca="1" si="1"/>
        <v>5.7417582417582417E-4</v>
      </c>
      <c r="Q37" s="30">
        <f t="shared" si="3"/>
        <v>60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input_437010!A$2</f>
        <v>437010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IFERROR(VLOOKUP(B38,input_437010!L:R,7,FALSE),VLOOKUP(tables_437010!C38,input_437010!A:H,8,FALSE))</f>
        <v>1023435</v>
      </c>
      <c r="P38" s="46">
        <f t="shared" ca="1" si="1"/>
        <v>9.8653846153846161E-3</v>
      </c>
      <c r="Q38" s="30">
        <f t="shared" si="3"/>
        <v>40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input_437010!A$2</f>
        <v>437010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IFERROR(VLOOKUP(B39,input_437010!L:R,7,FALSE),VLOOKUP(tables_437010!C39,input_437010!A:H,8,FALSE))</f>
        <v>59565</v>
      </c>
      <c r="P39" s="46">
        <f t="shared" ca="1" si="1"/>
        <v>5.7417582417582417E-4</v>
      </c>
      <c r="Q39" s="30">
        <f t="shared" si="3"/>
        <v>60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input_437010!A$2</f>
        <v>437010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IFERROR(VLOOKUP(B40,input_437010!L:R,7,FALSE),VLOOKUP(tables_437010!C40,input_437010!A:H,8,FALSE))</f>
        <v>1023435</v>
      </c>
      <c r="P40" s="46">
        <f t="shared" ca="1" si="1"/>
        <v>9.8653846153846161E-3</v>
      </c>
      <c r="Q40" s="30">
        <f t="shared" si="3"/>
        <v>40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input_437010!A$2</f>
        <v>437010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IFERROR(VLOOKUP(B41,input_437010!L:R,7,FALSE),VLOOKUP(tables_437010!C41,input_437010!A:H,8,FALSE))</f>
        <v>59565</v>
      </c>
      <c r="P41" s="46">
        <f t="shared" ca="1" si="1"/>
        <v>5.7417582417582417E-4</v>
      </c>
      <c r="Q41" s="30">
        <f t="shared" si="3"/>
        <v>60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input_437010!A$2</f>
        <v>437010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IFERROR(VLOOKUP(B42,input_437010!L:R,7,FALSE),VLOOKUP(tables_437010!C42,input_437010!A:H,8,FALSE))</f>
        <v>514425</v>
      </c>
      <c r="P42" s="46">
        <f t="shared" ca="1" si="1"/>
        <v>4.9587912087912089E-3</v>
      </c>
      <c r="Q42" s="30">
        <f t="shared" si="3"/>
        <v>40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input_437010!A$2</f>
        <v>437010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IFERROR(VLOOKUP(B43,input_437010!L:R,7,FALSE),VLOOKUP(tables_437010!C43,input_437010!A:H,8,FALSE))</f>
        <v>487350</v>
      </c>
      <c r="P43" s="46">
        <f t="shared" ca="1" si="1"/>
        <v>4.6978021978021974E-3</v>
      </c>
      <c r="Q43" s="30">
        <f t="shared" si="3"/>
        <v>60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input_437010!A$2</f>
        <v>437010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IFERROR(VLOOKUP(B44,input_437010!L:R,7,FALSE),VLOOKUP(tables_437010!C44,input_437010!A:H,8,FALSE))</f>
        <v>81225</v>
      </c>
      <c r="P44" s="46">
        <f t="shared" ca="1" si="1"/>
        <v>7.8296703296703294E-4</v>
      </c>
      <c r="Q44" s="30">
        <f t="shared" si="3"/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input_437010!A$2</f>
        <v>437010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IFERROR(VLOOKUP(B45,input_437010!L:R,7,FALSE),VLOOKUP(tables_437010!C45,input_437010!A:H,8,FALSE))</f>
        <v>514425</v>
      </c>
      <c r="P45" s="46">
        <f t="shared" ca="1" si="1"/>
        <v>4.9587912087912089E-3</v>
      </c>
      <c r="Q45" s="30">
        <f t="shared" si="3"/>
        <v>40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input_437010!A$2</f>
        <v>437010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IFERROR(VLOOKUP(B46,input_437010!L:R,7,FALSE),VLOOKUP(tables_437010!C46,input_437010!A:H,8,FALSE))</f>
        <v>487350</v>
      </c>
      <c r="P46" s="46">
        <f t="shared" ca="1" si="1"/>
        <v>4.6978021978021974E-3</v>
      </c>
      <c r="Q46" s="30">
        <f t="shared" si="3"/>
        <v>60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input_437010!A$2</f>
        <v>437010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IFERROR(VLOOKUP(B47,input_437010!L:R,7,FALSE),VLOOKUP(tables_437010!C47,input_437010!A:H,8,FALSE))</f>
        <v>81225</v>
      </c>
      <c r="P47" s="46">
        <f t="shared" ca="1" si="1"/>
        <v>7.8296703296703294E-4</v>
      </c>
      <c r="Q47" s="30">
        <f t="shared" si="3"/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input_437010!A$2</f>
        <v>437010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IFERROR(VLOOKUP(B48,input_437010!L:R,7,FALSE),VLOOKUP(tables_437010!C48,input_437010!A:H,8,FALSE))</f>
        <v>514425</v>
      </c>
      <c r="P48" s="46">
        <f t="shared" ca="1" si="1"/>
        <v>4.9587912087912089E-3</v>
      </c>
      <c r="Q48" s="30">
        <f t="shared" si="3"/>
        <v>40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input_437010!A$2</f>
        <v>437010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IFERROR(VLOOKUP(B49,input_437010!L:R,7,FALSE),VLOOKUP(tables_437010!C49,input_437010!A:H,8,FALSE))</f>
        <v>487350</v>
      </c>
      <c r="P49" s="46">
        <f t="shared" ca="1" si="1"/>
        <v>4.6978021978021974E-3</v>
      </c>
      <c r="Q49" s="30">
        <f t="shared" si="3"/>
        <v>60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input_437010!A$2</f>
        <v>437010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IFERROR(VLOOKUP(B50,input_437010!L:R,7,FALSE),VLOOKUP(tables_437010!C50,input_437010!A:H,8,FALSE))</f>
        <v>81225</v>
      </c>
      <c r="P50" s="46">
        <f t="shared" ca="1" si="1"/>
        <v>7.8296703296703294E-4</v>
      </c>
      <c r="Q50" s="30">
        <f t="shared" si="3"/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input_437010!A$2</f>
        <v>437010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IFERROR(VLOOKUP(B51,input_437010!L:R,7,FALSE),VLOOKUP(tables_437010!C51,input_437010!A:H,8,FALSE))</f>
        <v>514425</v>
      </c>
      <c r="P51" s="46">
        <f t="shared" ca="1" si="1"/>
        <v>4.9587912087912089E-3</v>
      </c>
      <c r="Q51" s="30">
        <f t="shared" si="3"/>
        <v>40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input_437010!A$2</f>
        <v>437010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IFERROR(VLOOKUP(B52,input_437010!L:R,7,FALSE),VLOOKUP(tables_437010!C52,input_437010!A:H,8,FALSE))</f>
        <v>512425.48077000002</v>
      </c>
      <c r="P52" s="46">
        <f t="shared" ca="1" si="1"/>
        <v>4.9395168765182188E-3</v>
      </c>
      <c r="Q52" s="30">
        <f t="shared" si="3"/>
        <v>60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input_437010!A$2</f>
        <v>437010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IFERROR(VLOOKUP(B53,input_437010!L:R,7,FALSE),VLOOKUP(tables_437010!C53,input_437010!A:H,8,FALSE))</f>
        <v>56149.519229999998</v>
      </c>
      <c r="P53" s="46">
        <f t="shared" ca="1" si="1"/>
        <v>5.4125235425101208E-4</v>
      </c>
      <c r="Q53" s="30">
        <f t="shared" si="3"/>
        <v>80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input_437010!A$2</f>
        <v>437010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IFERROR(VLOOKUP(B54,input_437010!L:R,7,FALSE),VLOOKUP(tables_437010!C54,input_437010!A:H,8,FALSE))</f>
        <v>514425</v>
      </c>
      <c r="P54" s="46">
        <f t="shared" ca="1" si="1"/>
        <v>4.9587912087912089E-3</v>
      </c>
      <c r="Q54" s="30">
        <f t="shared" si="3"/>
        <v>40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input_437010!A$2</f>
        <v>437010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IFERROR(VLOOKUP(B55,input_437010!L:R,7,FALSE),VLOOKUP(tables_437010!C55,input_437010!A:H,8,FALSE))</f>
        <v>512425.48077000002</v>
      </c>
      <c r="P55" s="46">
        <f t="shared" ca="1" si="1"/>
        <v>4.9395168765182188E-3</v>
      </c>
      <c r="Q55" s="30">
        <f t="shared" si="3"/>
        <v>60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input_437010!A$2</f>
        <v>437010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IFERROR(VLOOKUP(B56,input_437010!L:R,7,FALSE),VLOOKUP(tables_437010!C56,input_437010!A:H,8,FALSE))</f>
        <v>56149.519229999998</v>
      </c>
      <c r="P56" s="46">
        <f t="shared" ca="1" si="1"/>
        <v>5.4125235425101208E-4</v>
      </c>
      <c r="Q56" s="30">
        <f t="shared" si="3"/>
        <v>80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input_437010!A$2</f>
        <v>437010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IFERROR(VLOOKUP(B57,input_437010!L:R,7,FALSE),VLOOKUP(tables_437010!C57,input_437010!A:H,8,FALSE))</f>
        <v>514425</v>
      </c>
      <c r="P57" s="46">
        <f t="shared" ca="1" si="1"/>
        <v>4.9587912087912089E-3</v>
      </c>
      <c r="Q57" s="30">
        <f t="shared" si="3"/>
        <v>40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input_437010!A$2</f>
        <v>437010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IFERROR(VLOOKUP(B58,input_437010!L:R,7,FALSE),VLOOKUP(tables_437010!C58,input_437010!A:H,8,FALSE))</f>
        <v>512425.48077000002</v>
      </c>
      <c r="P58" s="46">
        <f t="shared" ca="1" si="1"/>
        <v>4.9395168765182188E-3</v>
      </c>
      <c r="Q58" s="30">
        <f t="shared" si="3"/>
        <v>60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input_437010!A$2</f>
        <v>437010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IFERROR(VLOOKUP(B59,input_437010!L:R,7,FALSE),VLOOKUP(tables_437010!C59,input_437010!A:H,8,FALSE))</f>
        <v>56149.519229999998</v>
      </c>
      <c r="P59" s="46">
        <f t="shared" ca="1" si="1"/>
        <v>5.4125235425101208E-4</v>
      </c>
      <c r="Q59" s="30">
        <f t="shared" si="3"/>
        <v>80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input_437010!A$2</f>
        <v>437010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IFERROR(VLOOKUP(B60,input_437010!L:R,7,FALSE),VLOOKUP(tables_437010!C60,input_437010!A:H,8,FALSE))</f>
        <v>514425</v>
      </c>
      <c r="P60" s="46">
        <f t="shared" ca="1" si="1"/>
        <v>4.9587912087912089E-3</v>
      </c>
      <c r="Q60" s="30">
        <f t="shared" si="3"/>
        <v>40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input_437010!A$2</f>
        <v>437010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IFERROR(VLOOKUP(B61,input_437010!L:R,7,FALSE),VLOOKUP(tables_437010!C61,input_437010!A:H,8,FALSE))</f>
        <v>512425.48077000002</v>
      </c>
      <c r="P61" s="46">
        <f t="shared" ca="1" si="1"/>
        <v>4.9395168765182188E-3</v>
      </c>
      <c r="Q61" s="30">
        <f t="shared" si="3"/>
        <v>60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input_437010!A$2</f>
        <v>437010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IFERROR(VLOOKUP(B62,input_437010!L:R,7,FALSE),VLOOKUP(tables_437010!C62,input_437010!A:H,8,FALSE))</f>
        <v>56149.519229999998</v>
      </c>
      <c r="P62" s="46">
        <f t="shared" ca="1" si="1"/>
        <v>5.4125235425101208E-4</v>
      </c>
      <c r="Q62" s="30">
        <f t="shared" si="3"/>
        <v>80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input_437010!A$2</f>
        <v>437010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IFERROR(VLOOKUP(B63,input_437010!L:R,7,FALSE),VLOOKUP(tables_437010!C63,input_437010!A:H,8,FALSE))</f>
        <v>514425</v>
      </c>
      <c r="P63" s="46">
        <f t="shared" ca="1" si="1"/>
        <v>4.9587912087912089E-3</v>
      </c>
      <c r="Q63" s="30">
        <f t="shared" si="3"/>
        <v>40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input_437010!A$2</f>
        <v>437010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IFERROR(VLOOKUP(B64,input_437010!L:R,7,FALSE),VLOOKUP(tables_437010!C64,input_437010!A:H,8,FALSE))</f>
        <v>512425.48077000002</v>
      </c>
      <c r="P64" s="46">
        <f t="shared" ca="1" si="1"/>
        <v>4.9395168765182188E-3</v>
      </c>
      <c r="Q64" s="30">
        <f t="shared" si="3"/>
        <v>60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input_437010!A$2</f>
        <v>437010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IFERROR(VLOOKUP(B65,input_437010!L:R,7,FALSE),VLOOKUP(tables_437010!C65,input_437010!A:H,8,FALSE))</f>
        <v>56149.519229999998</v>
      </c>
      <c r="P65" s="46">
        <f t="shared" ca="1" si="1"/>
        <v>5.4125235425101208E-4</v>
      </c>
      <c r="Q65" s="30">
        <f t="shared" si="3"/>
        <v>80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input_437010!A$2</f>
        <v>437010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IFERROR(VLOOKUP(B66,input_437010!L:R,7,FALSE),VLOOKUP(tables_437010!C66,input_437010!A:H,8,FALSE))</f>
        <v>514425</v>
      </c>
      <c r="P66" s="46">
        <f t="shared" ref="P66:P129" ca="1" si="5">O66/SUM(O:O)</f>
        <v>4.9587912087912089E-3</v>
      </c>
      <c r="Q66" s="30">
        <f t="shared" si="3"/>
        <v>40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input_437010!A$2</f>
        <v>437010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IFERROR(VLOOKUP(B67,input_437010!L:R,7,FALSE),VLOOKUP(tables_437010!C67,input_437010!A:H,8,FALSE))</f>
        <v>512425.48077000002</v>
      </c>
      <c r="P67" s="46">
        <f t="shared" ca="1" si="5"/>
        <v>4.9395168765182188E-3</v>
      </c>
      <c r="Q67" s="30">
        <f t="shared" ref="Q67:Q130" si="7">IF(J67=3,40,IF(J67=4,60,IF(J67=5,80,"")))</f>
        <v>60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input_437010!A$2</f>
        <v>437010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IFERROR(VLOOKUP(B68,input_437010!L:R,7,FALSE),VLOOKUP(tables_437010!C68,input_437010!A:H,8,FALSE))</f>
        <v>56149.519229999998</v>
      </c>
      <c r="P68" s="46">
        <f t="shared" ca="1" si="5"/>
        <v>5.4125235425101208E-4</v>
      </c>
      <c r="Q68" s="30">
        <f t="shared" si="7"/>
        <v>80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input_437010!A$2</f>
        <v>437010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IFERROR(VLOOKUP(B69,input_437010!L:R,7,FALSE),VLOOKUP(tables_437010!C69,input_437010!A:H,8,FALSE))</f>
        <v>514425</v>
      </c>
      <c r="P69" s="46">
        <f t="shared" ca="1" si="5"/>
        <v>4.9587912087912089E-3</v>
      </c>
      <c r="Q69" s="30">
        <f t="shared" si="7"/>
        <v>40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input_437010!A$2</f>
        <v>437010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IFERROR(VLOOKUP(B70,input_437010!L:R,7,FALSE),VLOOKUP(tables_437010!C70,input_437010!A:H,8,FALSE))</f>
        <v>512425.48077000002</v>
      </c>
      <c r="P70" s="46">
        <f t="shared" ca="1" si="5"/>
        <v>4.9395168765182188E-3</v>
      </c>
      <c r="Q70" s="30">
        <f t="shared" si="7"/>
        <v>60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input_437010!A$2</f>
        <v>437010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IFERROR(VLOOKUP(B71,input_437010!L:R,7,FALSE),VLOOKUP(tables_437010!C71,input_437010!A:H,8,FALSE))</f>
        <v>56149.519229999998</v>
      </c>
      <c r="P71" s="46">
        <f t="shared" ca="1" si="5"/>
        <v>5.4125235425101208E-4</v>
      </c>
      <c r="Q71" s="30">
        <f t="shared" si="7"/>
        <v>80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input_437010!A$2</f>
        <v>437010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IFERROR(VLOOKUP(B72,input_437010!L:R,7,FALSE),VLOOKUP(tables_437010!C72,input_437010!A:H,8,FALSE))</f>
        <v>514425</v>
      </c>
      <c r="P72" s="46">
        <f t="shared" ca="1" si="5"/>
        <v>4.9587912087912089E-3</v>
      </c>
      <c r="Q72" s="30">
        <f t="shared" si="7"/>
        <v>40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input_437010!A$2</f>
        <v>437010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IFERROR(VLOOKUP(B73,input_437010!L:R,7,FALSE),VLOOKUP(tables_437010!C73,input_437010!A:H,8,FALSE))</f>
        <v>512425.48077000002</v>
      </c>
      <c r="P73" s="46">
        <f t="shared" ca="1" si="5"/>
        <v>4.9395168765182188E-3</v>
      </c>
      <c r="Q73" s="30">
        <f t="shared" si="7"/>
        <v>60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input_437010!A$2</f>
        <v>437010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IFERROR(VLOOKUP(B74,input_437010!L:R,7,FALSE),VLOOKUP(tables_437010!C74,input_437010!A:H,8,FALSE))</f>
        <v>56149.519229999998</v>
      </c>
      <c r="P74" s="46">
        <f t="shared" ca="1" si="5"/>
        <v>5.4125235425101208E-4</v>
      </c>
      <c r="Q74" s="30">
        <f t="shared" si="7"/>
        <v>80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input_437010!A$2</f>
        <v>437010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IFERROR(VLOOKUP(B75,input_437010!L:R,7,FALSE),VLOOKUP(tables_437010!C75,input_437010!A:H,8,FALSE))</f>
        <v>514425</v>
      </c>
      <c r="P75" s="46">
        <f t="shared" ca="1" si="5"/>
        <v>4.9587912087912089E-3</v>
      </c>
      <c r="Q75" s="30">
        <f t="shared" si="7"/>
        <v>40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input_437010!A$2</f>
        <v>437010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IFERROR(VLOOKUP(B76,input_437010!L:R,7,FALSE),VLOOKUP(tables_437010!C76,input_437010!A:H,8,FALSE))</f>
        <v>512425.48077000002</v>
      </c>
      <c r="P76" s="46">
        <f t="shared" ca="1" si="5"/>
        <v>4.9395168765182188E-3</v>
      </c>
      <c r="Q76" s="30">
        <f t="shared" si="7"/>
        <v>60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input_437010!A$2</f>
        <v>437010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IFERROR(VLOOKUP(B77,input_437010!L:R,7,FALSE),VLOOKUP(tables_437010!C77,input_437010!A:H,8,FALSE))</f>
        <v>56149.519229999998</v>
      </c>
      <c r="P77" s="46">
        <f t="shared" ca="1" si="5"/>
        <v>5.4125235425101208E-4</v>
      </c>
      <c r="Q77" s="30">
        <f t="shared" si="7"/>
        <v>80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input_437010!A$2</f>
        <v>437010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IFERROR(VLOOKUP(B78,input_437010!L:R,7,FALSE),VLOOKUP(tables_437010!C78,input_437010!A:H,8,FALSE))</f>
        <v>514425</v>
      </c>
      <c r="P78" s="46">
        <f t="shared" ca="1" si="5"/>
        <v>4.9587912087912089E-3</v>
      </c>
      <c r="Q78" s="30">
        <f t="shared" si="7"/>
        <v>40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input_437010!A$2</f>
        <v>437010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IFERROR(VLOOKUP(B79,input_437010!L:R,7,FALSE),VLOOKUP(tables_437010!C79,input_437010!A:H,8,FALSE))</f>
        <v>512425.48077000002</v>
      </c>
      <c r="P79" s="46">
        <f t="shared" ca="1" si="5"/>
        <v>4.9395168765182188E-3</v>
      </c>
      <c r="Q79" s="30">
        <f t="shared" si="7"/>
        <v>60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input_437010!A$2</f>
        <v>437010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IFERROR(VLOOKUP(B80,input_437010!L:R,7,FALSE),VLOOKUP(tables_437010!C80,input_437010!A:H,8,FALSE))</f>
        <v>56149.519229999998</v>
      </c>
      <c r="P80" s="46">
        <f t="shared" ca="1" si="5"/>
        <v>5.4125235425101208E-4</v>
      </c>
      <c r="Q80" s="30">
        <f t="shared" si="7"/>
        <v>80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input_437010!A$2</f>
        <v>437010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IFERROR(VLOOKUP(B81,input_437010!L:R,7,FALSE),VLOOKUP(tables_437010!C81,input_437010!A:H,8,FALSE))</f>
        <v>514425</v>
      </c>
      <c r="P81" s="46">
        <f t="shared" ca="1" si="5"/>
        <v>4.9587912087912089E-3</v>
      </c>
      <c r="Q81" s="30">
        <f t="shared" si="7"/>
        <v>40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input_437010!A$2</f>
        <v>437010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IFERROR(VLOOKUP(B82,input_437010!L:R,7,FALSE),VLOOKUP(tables_437010!C82,input_437010!A:H,8,FALSE))</f>
        <v>512425.48077000002</v>
      </c>
      <c r="P82" s="46">
        <f t="shared" ca="1" si="5"/>
        <v>4.9395168765182188E-3</v>
      </c>
      <c r="Q82" s="30">
        <f t="shared" si="7"/>
        <v>60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input_437010!A$2</f>
        <v>437010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IFERROR(VLOOKUP(B83,input_437010!L:R,7,FALSE),VLOOKUP(tables_437010!C83,input_437010!A:H,8,FALSE))</f>
        <v>56149.519229999998</v>
      </c>
      <c r="P83" s="46">
        <f t="shared" ca="1" si="5"/>
        <v>5.4125235425101208E-4</v>
      </c>
      <c r="Q83" s="30">
        <f t="shared" si="7"/>
        <v>80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input_437010!A$2</f>
        <v>437010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IFERROR(VLOOKUP(B84,input_437010!L:R,7,FALSE),VLOOKUP(tables_437010!C84,input_437010!A:H,8,FALSE))</f>
        <v>514425</v>
      </c>
      <c r="P84" s="46">
        <f t="shared" ca="1" si="5"/>
        <v>4.9587912087912089E-3</v>
      </c>
      <c r="Q84" s="30">
        <f t="shared" si="7"/>
        <v>40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input_437010!A$2</f>
        <v>437010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IFERROR(VLOOKUP(B85,input_437010!L:R,7,FALSE),VLOOKUP(tables_437010!C85,input_437010!A:H,8,FALSE))</f>
        <v>512425.48077000002</v>
      </c>
      <c r="P85" s="46">
        <f t="shared" ca="1" si="5"/>
        <v>4.9395168765182188E-3</v>
      </c>
      <c r="Q85" s="30">
        <f t="shared" si="7"/>
        <v>60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input_437010!A$2</f>
        <v>437010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IFERROR(VLOOKUP(B86,input_437010!L:R,7,FALSE),VLOOKUP(tables_437010!C86,input_437010!A:H,8,FALSE))</f>
        <v>56149.519229999998</v>
      </c>
      <c r="P86" s="46">
        <f t="shared" ca="1" si="5"/>
        <v>5.4125235425101208E-4</v>
      </c>
      <c r="Q86" s="30">
        <f t="shared" si="7"/>
        <v>80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input_437010!A$2</f>
        <v>437010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IFERROR(VLOOKUP(B87,input_437010!L:R,7,FALSE),VLOOKUP(tables_437010!C87,input_437010!A:H,8,FALSE))</f>
        <v>514425</v>
      </c>
      <c r="P87" s="46">
        <f t="shared" ca="1" si="5"/>
        <v>4.9587912087912089E-3</v>
      </c>
      <c r="Q87" s="30">
        <f t="shared" si="7"/>
        <v>40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input_437010!A$2</f>
        <v>437010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IFERROR(VLOOKUP(B88,input_437010!L:R,7,FALSE),VLOOKUP(tables_437010!C88,input_437010!A:H,8,FALSE))</f>
        <v>512425.48077000002</v>
      </c>
      <c r="P88" s="46">
        <f t="shared" ca="1" si="5"/>
        <v>4.9395168765182188E-3</v>
      </c>
      <c r="Q88" s="30">
        <f t="shared" si="7"/>
        <v>60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input_437010!A$2</f>
        <v>437010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IFERROR(VLOOKUP(B89,input_437010!L:R,7,FALSE),VLOOKUP(tables_437010!C89,input_437010!A:H,8,FALSE))</f>
        <v>56149.519229999998</v>
      </c>
      <c r="P89" s="46">
        <f t="shared" ca="1" si="5"/>
        <v>5.4125235425101208E-4</v>
      </c>
      <c r="Q89" s="30">
        <f t="shared" si="7"/>
        <v>80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input_437010!A$2</f>
        <v>437010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IFERROR(VLOOKUP(B90,input_437010!L:R,7,FALSE),VLOOKUP(tables_437010!C90,input_437010!A:H,8,FALSE))</f>
        <v>514425</v>
      </c>
      <c r="P90" s="46">
        <f t="shared" ca="1" si="5"/>
        <v>4.9587912087912089E-3</v>
      </c>
      <c r="Q90" s="30">
        <f t="shared" si="7"/>
        <v>40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input_437010!A$2</f>
        <v>437010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IFERROR(VLOOKUP(B91,input_437010!L:R,7,FALSE),VLOOKUP(tables_437010!C91,input_437010!A:H,8,FALSE))</f>
        <v>512425.48077000002</v>
      </c>
      <c r="P91" s="46">
        <f t="shared" ca="1" si="5"/>
        <v>4.9395168765182188E-3</v>
      </c>
      <c r="Q91" s="30">
        <f t="shared" si="7"/>
        <v>60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input_437010!A$2</f>
        <v>437010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IFERROR(VLOOKUP(B92,input_437010!L:R,7,FALSE),VLOOKUP(tables_437010!C92,input_437010!A:H,8,FALSE))</f>
        <v>56149.519229999998</v>
      </c>
      <c r="P92" s="46">
        <f t="shared" ca="1" si="5"/>
        <v>5.4125235425101208E-4</v>
      </c>
      <c r="Q92" s="30">
        <f t="shared" si="7"/>
        <v>80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input_437010!A$2</f>
        <v>437010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IFERROR(VLOOKUP(B93,input_437010!L:R,7,FALSE),VLOOKUP(tables_437010!C93,input_437010!A:H,8,FALSE))</f>
        <v>514425</v>
      </c>
      <c r="P93" s="46">
        <f t="shared" ca="1" si="5"/>
        <v>4.9587912087912089E-3</v>
      </c>
      <c r="Q93" s="30">
        <f t="shared" si="7"/>
        <v>40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input_437010!A$2</f>
        <v>437010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IFERROR(VLOOKUP(B94,input_437010!L:R,7,FALSE),VLOOKUP(tables_437010!C94,input_437010!A:H,8,FALSE))</f>
        <v>512425.48077000002</v>
      </c>
      <c r="P94" s="46">
        <f t="shared" ca="1" si="5"/>
        <v>4.9395168765182188E-3</v>
      </c>
      <c r="Q94" s="30">
        <f t="shared" si="7"/>
        <v>60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input_437010!A$2</f>
        <v>437010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IFERROR(VLOOKUP(B95,input_437010!L:R,7,FALSE),VLOOKUP(tables_437010!C95,input_437010!A:H,8,FALSE))</f>
        <v>56149.519229999998</v>
      </c>
      <c r="P95" s="46">
        <f t="shared" ca="1" si="5"/>
        <v>5.4125235425101208E-4</v>
      </c>
      <c r="Q95" s="30">
        <f t="shared" si="7"/>
        <v>80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input_437010!A$2</f>
        <v>437010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IFERROR(VLOOKUP(B96,input_437010!L:R,7,FALSE),VLOOKUP(tables_437010!C96,input_437010!A:H,8,FALSE))</f>
        <v>514425</v>
      </c>
      <c r="P96" s="46">
        <f t="shared" ca="1" si="5"/>
        <v>4.9587912087912089E-3</v>
      </c>
      <c r="Q96" s="30">
        <f t="shared" si="7"/>
        <v>40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input_437010!A$2</f>
        <v>437010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IFERROR(VLOOKUP(B97,input_437010!L:R,7,FALSE),VLOOKUP(tables_437010!C97,input_437010!A:H,8,FALSE))</f>
        <v>512425.48077000002</v>
      </c>
      <c r="P97" s="46">
        <f t="shared" ca="1" si="5"/>
        <v>4.9395168765182188E-3</v>
      </c>
      <c r="Q97" s="30">
        <f t="shared" si="7"/>
        <v>60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input_437010!A$2</f>
        <v>437010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IFERROR(VLOOKUP(B98,input_437010!L:R,7,FALSE),VLOOKUP(tables_437010!C98,input_437010!A:H,8,FALSE))</f>
        <v>56149.519229999998</v>
      </c>
      <c r="P98" s="46">
        <f t="shared" ca="1" si="5"/>
        <v>5.4125235425101208E-4</v>
      </c>
      <c r="Q98" s="30">
        <f t="shared" si="7"/>
        <v>80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input_437010!A$2</f>
        <v>437010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IFERROR(VLOOKUP(B99,input_437010!L:R,7,FALSE),VLOOKUP(tables_437010!C99,input_437010!A:H,8,FALSE))</f>
        <v>514425</v>
      </c>
      <c r="P99" s="46">
        <f t="shared" ca="1" si="5"/>
        <v>4.9587912087912089E-3</v>
      </c>
      <c r="Q99" s="30">
        <f t="shared" si="7"/>
        <v>40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input_437010!A$2</f>
        <v>437010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IFERROR(VLOOKUP(B100,input_437010!L:R,7,FALSE),VLOOKUP(tables_437010!C100,input_437010!A:H,8,FALSE))</f>
        <v>512425.48077000002</v>
      </c>
      <c r="P100" s="46">
        <f t="shared" ca="1" si="5"/>
        <v>4.9395168765182188E-3</v>
      </c>
      <c r="Q100" s="30">
        <f t="shared" si="7"/>
        <v>60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input_437010!A$2</f>
        <v>437010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IFERROR(VLOOKUP(B101,input_437010!L:R,7,FALSE),VLOOKUP(tables_437010!C101,input_437010!A:H,8,FALSE))</f>
        <v>56149.519229999998</v>
      </c>
      <c r="P101" s="46">
        <f t="shared" ca="1" si="5"/>
        <v>5.4125235425101208E-4</v>
      </c>
      <c r="Q101" s="30">
        <f t="shared" si="7"/>
        <v>80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input_437010!A$2</f>
        <v>437010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IFERROR(VLOOKUP(B102,input_437010!L:R,7,FALSE),VLOOKUP(tables_437010!C102,input_437010!A:H,8,FALSE))</f>
        <v>514425</v>
      </c>
      <c r="P102" s="46">
        <f t="shared" ca="1" si="5"/>
        <v>4.9587912087912089E-3</v>
      </c>
      <c r="Q102" s="30">
        <f t="shared" si="7"/>
        <v>40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input_437010!A$2</f>
        <v>437010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IFERROR(VLOOKUP(B103,input_437010!L:R,7,FALSE),VLOOKUP(tables_437010!C103,input_437010!A:H,8,FALSE))</f>
        <v>512425.48077000002</v>
      </c>
      <c r="P103" s="46">
        <f t="shared" ca="1" si="5"/>
        <v>4.9395168765182188E-3</v>
      </c>
      <c r="Q103" s="30">
        <f t="shared" si="7"/>
        <v>60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input_437010!A$2</f>
        <v>437010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IFERROR(VLOOKUP(B104,input_437010!L:R,7,FALSE),VLOOKUP(tables_437010!C104,input_437010!A:H,8,FALSE))</f>
        <v>56149.519229999998</v>
      </c>
      <c r="P104" s="46">
        <f t="shared" ca="1" si="5"/>
        <v>5.4125235425101208E-4</v>
      </c>
      <c r="Q104" s="30">
        <f t="shared" si="7"/>
        <v>80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input_437010!A$2</f>
        <v>437010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IFERROR(VLOOKUP(B105,input_437010!L:R,7,FALSE),VLOOKUP(tables_437010!C105,input_437010!A:H,8,FALSE))</f>
        <v>514425</v>
      </c>
      <c r="P105" s="46">
        <f t="shared" ca="1" si="5"/>
        <v>4.9587912087912089E-3</v>
      </c>
      <c r="Q105" s="30">
        <f t="shared" si="7"/>
        <v>40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input_437010!A$2</f>
        <v>437010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IFERROR(VLOOKUP(B106,input_437010!L:R,7,FALSE),VLOOKUP(tables_437010!C106,input_437010!A:H,8,FALSE))</f>
        <v>512425.48077000002</v>
      </c>
      <c r="P106" s="46">
        <f t="shared" ca="1" si="5"/>
        <v>4.9395168765182188E-3</v>
      </c>
      <c r="Q106" s="30">
        <f t="shared" si="7"/>
        <v>60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input_437010!A$2</f>
        <v>437010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IFERROR(VLOOKUP(B107,input_437010!L:R,7,FALSE),VLOOKUP(tables_437010!C107,input_437010!A:H,8,FALSE))</f>
        <v>56149.519229999998</v>
      </c>
      <c r="P107" s="46">
        <f t="shared" ca="1" si="5"/>
        <v>5.4125235425101208E-4</v>
      </c>
      <c r="Q107" s="30">
        <f t="shared" si="7"/>
        <v>80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input_437010!A$2</f>
        <v>437010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IFERROR(VLOOKUP(B108,input_437010!L:R,7,FALSE),VLOOKUP(tables_437010!C108,input_437010!A:H,8,FALSE))</f>
        <v>514425</v>
      </c>
      <c r="P108" s="46">
        <f t="shared" ca="1" si="5"/>
        <v>4.9587912087912089E-3</v>
      </c>
      <c r="Q108" s="30">
        <f t="shared" si="7"/>
        <v>40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input_437010!A$2</f>
        <v>437010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IFERROR(VLOOKUP(B109,input_437010!L:R,7,FALSE),VLOOKUP(tables_437010!C109,input_437010!A:H,8,FALSE))</f>
        <v>512425.48077000002</v>
      </c>
      <c r="P109" s="46">
        <f t="shared" ca="1" si="5"/>
        <v>4.9395168765182188E-3</v>
      </c>
      <c r="Q109" s="30">
        <f t="shared" si="7"/>
        <v>60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input_437010!A$2</f>
        <v>437010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IFERROR(VLOOKUP(B110,input_437010!L:R,7,FALSE),VLOOKUP(tables_437010!C110,input_437010!A:H,8,FALSE))</f>
        <v>56149.519229999998</v>
      </c>
      <c r="P110" s="46">
        <f t="shared" ca="1" si="5"/>
        <v>5.4125235425101208E-4</v>
      </c>
      <c r="Q110" s="30">
        <f t="shared" si="7"/>
        <v>80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input_437010!A$2</f>
        <v>437010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IFERROR(VLOOKUP(B111,input_437010!L:R,7,FALSE),VLOOKUP(tables_437010!C111,input_437010!A:H,8,FALSE))</f>
        <v>514425</v>
      </c>
      <c r="P111" s="46">
        <f t="shared" ca="1" si="5"/>
        <v>4.9587912087912089E-3</v>
      </c>
      <c r="Q111" s="30">
        <f t="shared" si="7"/>
        <v>40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input_437010!A$2</f>
        <v>437010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IFERROR(VLOOKUP(B112,input_437010!L:R,7,FALSE),VLOOKUP(tables_437010!C112,input_437010!A:H,8,FALSE))</f>
        <v>487350</v>
      </c>
      <c r="P112" s="46">
        <f t="shared" ca="1" si="5"/>
        <v>4.6978021978021974E-3</v>
      </c>
      <c r="Q112" s="30">
        <f t="shared" si="7"/>
        <v>60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input_437010!A$2</f>
        <v>437010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IFERROR(VLOOKUP(B113,input_437010!L:R,7,FALSE),VLOOKUP(tables_437010!C113,input_437010!A:H,8,FALSE))</f>
        <v>81225</v>
      </c>
      <c r="P113" s="46">
        <f t="shared" ca="1" si="5"/>
        <v>7.8296703296703294E-4</v>
      </c>
      <c r="Q113" s="30">
        <f t="shared" si="7"/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input_437010!A$2</f>
        <v>437010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IFERROR(VLOOKUP(B114,input_437010!L:R,7,FALSE),VLOOKUP(tables_437010!C114,input_437010!A:H,8,FALSE))</f>
        <v>514425</v>
      </c>
      <c r="P114" s="46">
        <f t="shared" ca="1" si="5"/>
        <v>4.9587912087912089E-3</v>
      </c>
      <c r="Q114" s="30">
        <f t="shared" si="7"/>
        <v>40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input_437010!A$2</f>
        <v>437010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IFERROR(VLOOKUP(B115,input_437010!L:R,7,FALSE),VLOOKUP(tables_437010!C115,input_437010!A:H,8,FALSE))</f>
        <v>512425.48077000002</v>
      </c>
      <c r="P115" s="46">
        <f t="shared" ca="1" si="5"/>
        <v>4.9395168765182188E-3</v>
      </c>
      <c r="Q115" s="30">
        <f t="shared" si="7"/>
        <v>60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input_437010!A$2</f>
        <v>437010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IFERROR(VLOOKUP(B116,input_437010!L:R,7,FALSE),VLOOKUP(tables_437010!C116,input_437010!A:H,8,FALSE))</f>
        <v>56149.519229999998</v>
      </c>
      <c r="P116" s="46">
        <f t="shared" ca="1" si="5"/>
        <v>5.4125235425101208E-4</v>
      </c>
      <c r="Q116" s="30">
        <f t="shared" si="7"/>
        <v>80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input_437010!A$2</f>
        <v>437010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IFERROR(VLOOKUP(B117,input_437010!L:R,7,FALSE),VLOOKUP(tables_437010!C117,input_437010!A:H,8,FALSE))</f>
        <v>514425</v>
      </c>
      <c r="P117" s="46">
        <f t="shared" ca="1" si="5"/>
        <v>4.9587912087912089E-3</v>
      </c>
      <c r="Q117" s="30">
        <f t="shared" si="7"/>
        <v>40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input_437010!A$2</f>
        <v>437010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IFERROR(VLOOKUP(B118,input_437010!L:R,7,FALSE),VLOOKUP(tables_437010!C118,input_437010!A:H,8,FALSE))</f>
        <v>512425.48077000002</v>
      </c>
      <c r="P118" s="46">
        <f t="shared" ca="1" si="5"/>
        <v>4.9395168765182188E-3</v>
      </c>
      <c r="Q118" s="30">
        <f t="shared" si="7"/>
        <v>60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input_437010!A$2</f>
        <v>437010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IFERROR(VLOOKUP(B119,input_437010!L:R,7,FALSE),VLOOKUP(tables_437010!C119,input_437010!A:H,8,FALSE))</f>
        <v>56149.519229999998</v>
      </c>
      <c r="P119" s="46">
        <f t="shared" ca="1" si="5"/>
        <v>5.4125235425101208E-4</v>
      </c>
      <c r="Q119" s="30">
        <f t="shared" si="7"/>
        <v>80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input_437010!A$2</f>
        <v>437010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IFERROR(VLOOKUP(B120,input_437010!L:R,7,FALSE),VLOOKUP(tables_437010!C120,input_437010!A:H,8,FALSE))</f>
        <v>514425</v>
      </c>
      <c r="P120" s="46">
        <f t="shared" ca="1" si="5"/>
        <v>4.9587912087912089E-3</v>
      </c>
      <c r="Q120" s="30">
        <f t="shared" si="7"/>
        <v>40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input_437010!A$2</f>
        <v>437010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IFERROR(VLOOKUP(B121,input_437010!L:R,7,FALSE),VLOOKUP(tables_437010!C121,input_437010!A:H,8,FALSE))</f>
        <v>512425.48077000002</v>
      </c>
      <c r="P121" s="46">
        <f t="shared" ca="1" si="5"/>
        <v>4.9395168765182188E-3</v>
      </c>
      <c r="Q121" s="30">
        <f t="shared" si="7"/>
        <v>60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input_437010!A$2</f>
        <v>437010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IFERROR(VLOOKUP(B122,input_437010!L:R,7,FALSE),VLOOKUP(tables_437010!C122,input_437010!A:H,8,FALSE))</f>
        <v>56149.519229999998</v>
      </c>
      <c r="P122" s="46">
        <f t="shared" ca="1" si="5"/>
        <v>5.4125235425101208E-4</v>
      </c>
      <c r="Q122" s="30">
        <f t="shared" si="7"/>
        <v>80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input_437010!A$2</f>
        <v>437010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IFERROR(VLOOKUP(B123,input_437010!L:R,7,FALSE),VLOOKUP(tables_437010!C123,input_437010!A:H,8,FALSE))</f>
        <v>514425</v>
      </c>
      <c r="P123" s="46">
        <f t="shared" ca="1" si="5"/>
        <v>4.9587912087912089E-3</v>
      </c>
      <c r="Q123" s="30">
        <f t="shared" si="7"/>
        <v>40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input_437010!A$2</f>
        <v>437010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IFERROR(VLOOKUP(B124,input_437010!L:R,7,FALSE),VLOOKUP(tables_437010!C124,input_437010!A:H,8,FALSE))</f>
        <v>512425.48077000002</v>
      </c>
      <c r="P124" s="46">
        <f t="shared" ca="1" si="5"/>
        <v>4.9395168765182188E-3</v>
      </c>
      <c r="Q124" s="30">
        <f t="shared" si="7"/>
        <v>60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input_437010!A$2</f>
        <v>437010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IFERROR(VLOOKUP(B125,input_437010!L:R,7,FALSE),VLOOKUP(tables_437010!C125,input_437010!A:H,8,FALSE))</f>
        <v>56149.519229999998</v>
      </c>
      <c r="P125" s="46">
        <f t="shared" ca="1" si="5"/>
        <v>5.4125235425101208E-4</v>
      </c>
      <c r="Q125" s="30">
        <f t="shared" si="7"/>
        <v>80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input_437010!A$2</f>
        <v>437010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IFERROR(VLOOKUP(B126,input_437010!L:R,7,FALSE),VLOOKUP(tables_437010!C126,input_437010!A:H,8,FALSE))</f>
        <v>514425</v>
      </c>
      <c r="P126" s="46">
        <f t="shared" ca="1" si="5"/>
        <v>4.9587912087912089E-3</v>
      </c>
      <c r="Q126" s="30">
        <f t="shared" si="7"/>
        <v>40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input_437010!A$2</f>
        <v>437010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IFERROR(VLOOKUP(B127,input_437010!L:R,7,FALSE),VLOOKUP(tables_437010!C127,input_437010!A:H,8,FALSE))</f>
        <v>512425.48077000002</v>
      </c>
      <c r="P127" s="46">
        <f t="shared" ca="1" si="5"/>
        <v>4.9395168765182188E-3</v>
      </c>
      <c r="Q127" s="30">
        <f t="shared" si="7"/>
        <v>60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input_437010!A$2</f>
        <v>437010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IFERROR(VLOOKUP(B128,input_437010!L:R,7,FALSE),VLOOKUP(tables_437010!C128,input_437010!A:H,8,FALSE))</f>
        <v>56149.519229999998</v>
      </c>
      <c r="P128" s="46">
        <f t="shared" ca="1" si="5"/>
        <v>5.4125235425101208E-4</v>
      </c>
      <c r="Q128" s="30">
        <f t="shared" si="7"/>
        <v>80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input_437010!A$2</f>
        <v>437010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IFERROR(VLOOKUP(B129,input_437010!L:R,7,FALSE),VLOOKUP(tables_437010!C129,input_437010!A:H,8,FALSE))</f>
        <v>514425</v>
      </c>
      <c r="P129" s="46">
        <f t="shared" ca="1" si="5"/>
        <v>4.9587912087912089E-3</v>
      </c>
      <c r="Q129" s="30">
        <f t="shared" si="7"/>
        <v>40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input_437010!A$2</f>
        <v>437010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IFERROR(VLOOKUP(B130,input_437010!L:R,7,FALSE),VLOOKUP(tables_437010!C130,input_437010!A:H,8,FALSE))</f>
        <v>512425.48077000002</v>
      </c>
      <c r="P130" s="46">
        <f t="shared" ref="P130:P193" ca="1" si="9">O130/SUM(O:O)</f>
        <v>4.9395168765182188E-3</v>
      </c>
      <c r="Q130" s="30">
        <f t="shared" si="7"/>
        <v>60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input_437010!A$2</f>
        <v>437010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IFERROR(VLOOKUP(B131,input_437010!L:R,7,FALSE),VLOOKUP(tables_437010!C131,input_437010!A:H,8,FALSE))</f>
        <v>56149.519229999998</v>
      </c>
      <c r="P131" s="46">
        <f t="shared" ca="1" si="9"/>
        <v>5.4125235425101208E-4</v>
      </c>
      <c r="Q131" s="30">
        <f t="shared" ref="Q131:Q194" si="11">IF(J131=3,40,IF(J131=4,60,IF(J131=5,80,"")))</f>
        <v>80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input_437010!A$2</f>
        <v>437010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IFERROR(VLOOKUP(B132,input_437010!L:R,7,FALSE),VLOOKUP(tables_437010!C132,input_437010!A:H,8,FALSE))</f>
        <v>514425</v>
      </c>
      <c r="P132" s="46">
        <f t="shared" ca="1" si="9"/>
        <v>4.9587912087912089E-3</v>
      </c>
      <c r="Q132" s="30">
        <f t="shared" si="11"/>
        <v>40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input_437010!A$2</f>
        <v>437010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IFERROR(VLOOKUP(B133,input_437010!L:R,7,FALSE),VLOOKUP(tables_437010!C133,input_437010!A:H,8,FALSE))</f>
        <v>512425.48077000002</v>
      </c>
      <c r="P133" s="46">
        <f t="shared" ca="1" si="9"/>
        <v>4.9395168765182188E-3</v>
      </c>
      <c r="Q133" s="30">
        <f t="shared" si="11"/>
        <v>60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input_437010!A$2</f>
        <v>437010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IFERROR(VLOOKUP(B134,input_437010!L:R,7,FALSE),VLOOKUP(tables_437010!C134,input_437010!A:H,8,FALSE))</f>
        <v>56149.519229999998</v>
      </c>
      <c r="P134" s="46">
        <f t="shared" ca="1" si="9"/>
        <v>5.4125235425101208E-4</v>
      </c>
      <c r="Q134" s="30">
        <f t="shared" si="11"/>
        <v>80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input_437010!A$2</f>
        <v>437010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IFERROR(VLOOKUP(B135,input_437010!L:R,7,FALSE),VLOOKUP(tables_437010!C135,input_437010!A:H,8,FALSE))</f>
        <v>514425</v>
      </c>
      <c r="P135" s="46">
        <f t="shared" ca="1" si="9"/>
        <v>4.9587912087912089E-3</v>
      </c>
      <c r="Q135" s="30">
        <f t="shared" si="11"/>
        <v>40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input_437010!A$2</f>
        <v>437010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IFERROR(VLOOKUP(B136,input_437010!L:R,7,FALSE),VLOOKUP(tables_437010!C136,input_437010!A:H,8,FALSE))</f>
        <v>512425.48077000002</v>
      </c>
      <c r="P136" s="46">
        <f t="shared" ca="1" si="9"/>
        <v>4.9395168765182188E-3</v>
      </c>
      <c r="Q136" s="30">
        <f t="shared" si="11"/>
        <v>60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input_437010!A$2</f>
        <v>437010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IFERROR(VLOOKUP(B137,input_437010!L:R,7,FALSE),VLOOKUP(tables_437010!C137,input_437010!A:H,8,FALSE))</f>
        <v>56149.519229999998</v>
      </c>
      <c r="P137" s="46">
        <f t="shared" ca="1" si="9"/>
        <v>5.4125235425101208E-4</v>
      </c>
      <c r="Q137" s="30">
        <f t="shared" si="11"/>
        <v>80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input_437010!A$2</f>
        <v>437010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IFERROR(VLOOKUP(B138,input_437010!L:R,7,FALSE),VLOOKUP(tables_437010!C138,input_437010!A:H,8,FALSE))</f>
        <v>84175</v>
      </c>
      <c r="P138" s="46">
        <f t="shared" ca="1" si="9"/>
        <v>8.1140350877192979E-4</v>
      </c>
      <c r="Q138" s="30">
        <f t="shared" si="11"/>
        <v>60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input_437010!A$2</f>
        <v>437010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IFERROR(VLOOKUP(B139,input_437010!L:R,7,FALSE),VLOOKUP(tables_437010!C139,input_437010!A:H,8,FALSE))</f>
        <v>6825</v>
      </c>
      <c r="P139" s="46">
        <f t="shared" ca="1" si="9"/>
        <v>6.5789473684210525E-5</v>
      </c>
      <c r="Q139" s="30">
        <f t="shared" si="11"/>
        <v>80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input_437010!A$2</f>
        <v>437010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IFERROR(VLOOKUP(B140,input_437010!L:R,7,FALSE),VLOOKUP(tables_437010!C140,input_437010!A:H,8,FALSE))</f>
        <v>84175</v>
      </c>
      <c r="P140" s="46">
        <f t="shared" ca="1" si="9"/>
        <v>8.1140350877192979E-4</v>
      </c>
      <c r="Q140" s="30">
        <f t="shared" si="11"/>
        <v>60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input_437010!A$2</f>
        <v>437010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IFERROR(VLOOKUP(B141,input_437010!L:R,7,FALSE),VLOOKUP(tables_437010!C141,input_437010!A:H,8,FALSE))</f>
        <v>6825</v>
      </c>
      <c r="P141" s="46">
        <f t="shared" ca="1" si="9"/>
        <v>6.5789473684210525E-5</v>
      </c>
      <c r="Q141" s="30">
        <f t="shared" si="11"/>
        <v>80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input_437010!A$2</f>
        <v>437010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IFERROR(VLOOKUP(B142,input_437010!L:R,7,FALSE),VLOOKUP(tables_437010!C142,input_437010!A:H,8,FALSE))</f>
        <v>84175</v>
      </c>
      <c r="P142" s="46">
        <f t="shared" ca="1" si="9"/>
        <v>8.1140350877192979E-4</v>
      </c>
      <c r="Q142" s="30">
        <f t="shared" si="11"/>
        <v>60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input_437010!A$2</f>
        <v>437010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IFERROR(VLOOKUP(B143,input_437010!L:R,7,FALSE),VLOOKUP(tables_437010!C143,input_437010!A:H,8,FALSE))</f>
        <v>6825</v>
      </c>
      <c r="P143" s="46">
        <f t="shared" ca="1" si="9"/>
        <v>6.5789473684210525E-5</v>
      </c>
      <c r="Q143" s="30">
        <f t="shared" si="11"/>
        <v>80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input_437010!A$2</f>
        <v>437010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IFERROR(VLOOKUP(B144,input_437010!L:R,7,FALSE),VLOOKUP(tables_437010!C144,input_437010!A:H,8,FALSE))</f>
        <v>84175</v>
      </c>
      <c r="P144" s="46">
        <f t="shared" ca="1" si="9"/>
        <v>8.1140350877192979E-4</v>
      </c>
      <c r="Q144" s="30">
        <f t="shared" si="11"/>
        <v>60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input_437010!A$2</f>
        <v>437010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IFERROR(VLOOKUP(B145,input_437010!L:R,7,FALSE),VLOOKUP(tables_437010!C145,input_437010!A:H,8,FALSE))</f>
        <v>6825</v>
      </c>
      <c r="P145" s="46">
        <f t="shared" ca="1" si="9"/>
        <v>6.5789473684210525E-5</v>
      </c>
      <c r="Q145" s="30">
        <f t="shared" si="11"/>
        <v>80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input_437010!A$2</f>
        <v>437010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IFERROR(VLOOKUP(B146,input_437010!L:R,7,FALSE),VLOOKUP(tables_437010!C146,input_437010!A:H,8,FALSE))</f>
        <v>514425</v>
      </c>
      <c r="P146" s="46">
        <f t="shared" ca="1" si="9"/>
        <v>4.9587912087912089E-3</v>
      </c>
      <c r="Q146" s="30">
        <f t="shared" si="11"/>
        <v>40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input_437010!A$2</f>
        <v>437010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IFERROR(VLOOKUP(B147,input_437010!L:R,7,FALSE),VLOOKUP(tables_437010!C147,input_437010!A:H,8,FALSE))</f>
        <v>512425.48077000002</v>
      </c>
      <c r="P147" s="46">
        <f t="shared" ca="1" si="9"/>
        <v>4.9395168765182188E-3</v>
      </c>
      <c r="Q147" s="30">
        <f t="shared" si="11"/>
        <v>60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input_437010!A$2</f>
        <v>437010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IFERROR(VLOOKUP(B148,input_437010!L:R,7,FALSE),VLOOKUP(tables_437010!C148,input_437010!A:H,8,FALSE))</f>
        <v>56149.519229999998</v>
      </c>
      <c r="P148" s="46">
        <f t="shared" ca="1" si="9"/>
        <v>5.4125235425101208E-4</v>
      </c>
      <c r="Q148" s="30">
        <f t="shared" si="11"/>
        <v>80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input_437010!A$2</f>
        <v>437010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IFERROR(VLOOKUP(B149,input_437010!L:R,7,FALSE),VLOOKUP(tables_437010!C149,input_437010!A:H,8,FALSE))</f>
        <v>84175</v>
      </c>
      <c r="P149" s="46">
        <f t="shared" ca="1" si="9"/>
        <v>8.1140350877192979E-4</v>
      </c>
      <c r="Q149" s="30">
        <f t="shared" si="11"/>
        <v>60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input_437010!A$2</f>
        <v>437010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IFERROR(VLOOKUP(B150,input_437010!L:R,7,FALSE),VLOOKUP(tables_437010!C150,input_437010!A:H,8,FALSE))</f>
        <v>6825</v>
      </c>
      <c r="P150" s="46">
        <f t="shared" ca="1" si="9"/>
        <v>6.5789473684210525E-5</v>
      </c>
      <c r="Q150" s="30">
        <f t="shared" si="11"/>
        <v>80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input_437010!A$2</f>
        <v>437010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IFERROR(VLOOKUP(B151,input_437010!L:R,7,FALSE),VLOOKUP(tables_437010!C151,input_437010!A:H,8,FALSE))</f>
        <v>84175</v>
      </c>
      <c r="P151" s="46">
        <f t="shared" ca="1" si="9"/>
        <v>8.1140350877192979E-4</v>
      </c>
      <c r="Q151" s="30">
        <f t="shared" si="11"/>
        <v>60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input_437010!A$2</f>
        <v>437010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IFERROR(VLOOKUP(B152,input_437010!L:R,7,FALSE),VLOOKUP(tables_437010!C152,input_437010!A:H,8,FALSE))</f>
        <v>6825</v>
      </c>
      <c r="P152" s="46">
        <f t="shared" ca="1" si="9"/>
        <v>6.5789473684210525E-5</v>
      </c>
      <c r="Q152" s="30">
        <f t="shared" si="11"/>
        <v>80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input_437010!A$2</f>
        <v>437010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IFERROR(VLOOKUP(B153,input_437010!L:R,7,FALSE),VLOOKUP(tables_437010!C153,input_437010!A:H,8,FALSE))</f>
        <v>514425</v>
      </c>
      <c r="P153" s="46">
        <f t="shared" ca="1" si="9"/>
        <v>4.9587912087912089E-3</v>
      </c>
      <c r="Q153" s="30">
        <f t="shared" si="11"/>
        <v>40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input_437010!A$2</f>
        <v>437010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IFERROR(VLOOKUP(B154,input_437010!L:R,7,FALSE),VLOOKUP(tables_437010!C154,input_437010!A:H,8,FALSE))</f>
        <v>512425.48077000002</v>
      </c>
      <c r="P154" s="46">
        <f t="shared" ca="1" si="9"/>
        <v>4.9395168765182188E-3</v>
      </c>
      <c r="Q154" s="30">
        <f t="shared" si="11"/>
        <v>60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input_437010!A$2</f>
        <v>437010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IFERROR(VLOOKUP(B155,input_437010!L:R,7,FALSE),VLOOKUP(tables_437010!C155,input_437010!A:H,8,FALSE))</f>
        <v>56149.519229999998</v>
      </c>
      <c r="P155" s="46">
        <f t="shared" ca="1" si="9"/>
        <v>5.4125235425101208E-4</v>
      </c>
      <c r="Q155" s="30">
        <f t="shared" si="11"/>
        <v>80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input_437010!A$2</f>
        <v>437010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IFERROR(VLOOKUP(B156,input_437010!L:R,7,FALSE),VLOOKUP(tables_437010!C156,input_437010!A:H,8,FALSE))</f>
        <v>84175</v>
      </c>
      <c r="P156" s="46">
        <f t="shared" ca="1" si="9"/>
        <v>8.1140350877192979E-4</v>
      </c>
      <c r="Q156" s="30">
        <f t="shared" si="11"/>
        <v>60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input_437010!A$2</f>
        <v>437010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IFERROR(VLOOKUP(B157,input_437010!L:R,7,FALSE),VLOOKUP(tables_437010!C157,input_437010!A:H,8,FALSE))</f>
        <v>6825</v>
      </c>
      <c r="P157" s="46">
        <f t="shared" ca="1" si="9"/>
        <v>6.5789473684210525E-5</v>
      </c>
      <c r="Q157" s="30">
        <f t="shared" si="11"/>
        <v>80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input_437010!A$2</f>
        <v>437010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IFERROR(VLOOKUP(B158,input_437010!L:R,7,FALSE),VLOOKUP(tables_437010!C158,input_437010!A:H,8,FALSE))</f>
        <v>514425</v>
      </c>
      <c r="P158" s="46">
        <f t="shared" ca="1" si="9"/>
        <v>4.9587912087912089E-3</v>
      </c>
      <c r="Q158" s="30">
        <f t="shared" si="11"/>
        <v>40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input_437010!A$2</f>
        <v>437010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IFERROR(VLOOKUP(B159,input_437010!L:R,7,FALSE),VLOOKUP(tables_437010!C159,input_437010!A:H,8,FALSE))</f>
        <v>512425.48077000002</v>
      </c>
      <c r="P159" s="46">
        <f t="shared" ca="1" si="9"/>
        <v>4.9395168765182188E-3</v>
      </c>
      <c r="Q159" s="30">
        <f t="shared" si="11"/>
        <v>60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input_437010!A$2</f>
        <v>437010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IFERROR(VLOOKUP(B160,input_437010!L:R,7,FALSE),VLOOKUP(tables_437010!C160,input_437010!A:H,8,FALSE))</f>
        <v>56149.519229999998</v>
      </c>
      <c r="P160" s="46">
        <f t="shared" ca="1" si="9"/>
        <v>5.4125235425101208E-4</v>
      </c>
      <c r="Q160" s="30">
        <f t="shared" si="11"/>
        <v>80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input_437010!A$2</f>
        <v>437010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IFERROR(VLOOKUP(B161,input_437010!L:R,7,FALSE),VLOOKUP(tables_437010!C161,input_437010!A:H,8,FALSE))</f>
        <v>514425</v>
      </c>
      <c r="P161" s="46">
        <f t="shared" ca="1" si="9"/>
        <v>4.9587912087912089E-3</v>
      </c>
      <c r="Q161" s="30">
        <f t="shared" si="11"/>
        <v>40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input_437010!A$2</f>
        <v>437010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IFERROR(VLOOKUP(B162,input_437010!L:R,7,FALSE),VLOOKUP(tables_437010!C162,input_437010!A:H,8,FALSE))</f>
        <v>512425.48077000002</v>
      </c>
      <c r="P162" s="46">
        <f t="shared" ca="1" si="9"/>
        <v>4.9395168765182188E-3</v>
      </c>
      <c r="Q162" s="30">
        <f t="shared" si="11"/>
        <v>60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input_437010!A$2</f>
        <v>437010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IFERROR(VLOOKUP(B163,input_437010!L:R,7,FALSE),VLOOKUP(tables_437010!C163,input_437010!A:H,8,FALSE))</f>
        <v>56149.519229999998</v>
      </c>
      <c r="P163" s="46">
        <f t="shared" ca="1" si="9"/>
        <v>5.4125235425101208E-4</v>
      </c>
      <c r="Q163" s="30">
        <f t="shared" si="11"/>
        <v>80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input_437010!A$2</f>
        <v>437010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IFERROR(VLOOKUP(B164,input_437010!L:R,7,FALSE),VLOOKUP(tables_437010!C164,input_437010!A:H,8,FALSE))</f>
        <v>84175</v>
      </c>
      <c r="P164" s="46">
        <f t="shared" ca="1" si="9"/>
        <v>8.1140350877192979E-4</v>
      </c>
      <c r="Q164" s="30">
        <f t="shared" si="11"/>
        <v>60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input_437010!A$2</f>
        <v>437010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IFERROR(VLOOKUP(B165,input_437010!L:R,7,FALSE),VLOOKUP(tables_437010!C165,input_437010!A:H,8,FALSE))</f>
        <v>6825</v>
      </c>
      <c r="P165" s="46">
        <f t="shared" ca="1" si="9"/>
        <v>6.5789473684210525E-5</v>
      </c>
      <c r="Q165" s="30">
        <f t="shared" si="11"/>
        <v>80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input_437010!A$2</f>
        <v>437010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IFERROR(VLOOKUP(B166,input_437010!L:R,7,FALSE),VLOOKUP(tables_437010!C166,input_437010!A:H,8,FALSE))</f>
        <v>514425</v>
      </c>
      <c r="P166" s="46">
        <f t="shared" ca="1" si="9"/>
        <v>4.9587912087912089E-3</v>
      </c>
      <c r="Q166" s="30">
        <f t="shared" si="11"/>
        <v>40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input_437010!A$2</f>
        <v>437010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IFERROR(VLOOKUP(B167,input_437010!L:R,7,FALSE),VLOOKUP(tables_437010!C167,input_437010!A:H,8,FALSE))</f>
        <v>512425.48077000002</v>
      </c>
      <c r="P167" s="46">
        <f t="shared" ca="1" si="9"/>
        <v>4.9395168765182188E-3</v>
      </c>
      <c r="Q167" s="30">
        <f t="shared" si="11"/>
        <v>60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input_437010!A$2</f>
        <v>437010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IFERROR(VLOOKUP(B168,input_437010!L:R,7,FALSE),VLOOKUP(tables_437010!C168,input_437010!A:H,8,FALSE))</f>
        <v>56149.519229999998</v>
      </c>
      <c r="P168" s="46">
        <f t="shared" ca="1" si="9"/>
        <v>5.4125235425101208E-4</v>
      </c>
      <c r="Q168" s="30">
        <f t="shared" si="11"/>
        <v>80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input_437010!A$2</f>
        <v>437010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IFERROR(VLOOKUP(B169,input_437010!L:R,7,FALSE),VLOOKUP(tables_437010!C169,input_437010!A:H,8,FALSE))</f>
        <v>84175</v>
      </c>
      <c r="P169" s="46">
        <f t="shared" ca="1" si="9"/>
        <v>8.1140350877192979E-4</v>
      </c>
      <c r="Q169" s="30">
        <f t="shared" si="11"/>
        <v>60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input_437010!A$2</f>
        <v>437010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IFERROR(VLOOKUP(B170,input_437010!L:R,7,FALSE),VLOOKUP(tables_437010!C170,input_437010!A:H,8,FALSE))</f>
        <v>6825</v>
      </c>
      <c r="P170" s="46">
        <f t="shared" ca="1" si="9"/>
        <v>6.5789473684210525E-5</v>
      </c>
      <c r="Q170" s="30">
        <f t="shared" si="11"/>
        <v>80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input_437010!A$2</f>
        <v>437010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IFERROR(VLOOKUP(B171,input_437010!L:R,7,FALSE),VLOOKUP(tables_437010!C171,input_437010!A:H,8,FALSE))</f>
        <v>514425</v>
      </c>
      <c r="P171" s="46">
        <f t="shared" ca="1" si="9"/>
        <v>4.9587912087912089E-3</v>
      </c>
      <c r="Q171" s="30">
        <f t="shared" si="11"/>
        <v>40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input_437010!A$2</f>
        <v>437010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IFERROR(VLOOKUP(B172,input_437010!L:R,7,FALSE),VLOOKUP(tables_437010!C172,input_437010!A:H,8,FALSE))</f>
        <v>512425.48077000002</v>
      </c>
      <c r="P172" s="46">
        <f t="shared" ca="1" si="9"/>
        <v>4.9395168765182188E-3</v>
      </c>
      <c r="Q172" s="30">
        <f t="shared" si="11"/>
        <v>60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input_437010!A$2</f>
        <v>437010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IFERROR(VLOOKUP(B173,input_437010!L:R,7,FALSE),VLOOKUP(tables_437010!C173,input_437010!A:H,8,FALSE))</f>
        <v>56149.519229999998</v>
      </c>
      <c r="P173" s="46">
        <f t="shared" ca="1" si="9"/>
        <v>5.4125235425101208E-4</v>
      </c>
      <c r="Q173" s="30">
        <f t="shared" si="11"/>
        <v>80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input_437010!A$2</f>
        <v>437010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IFERROR(VLOOKUP(B174,input_437010!L:R,7,FALSE),VLOOKUP(tables_437010!C174,input_437010!A:H,8,FALSE))</f>
        <v>84175</v>
      </c>
      <c r="P174" s="46">
        <f t="shared" ca="1" si="9"/>
        <v>8.1140350877192979E-4</v>
      </c>
      <c r="Q174" s="30">
        <f t="shared" si="11"/>
        <v>60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input_437010!A$2</f>
        <v>437010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IFERROR(VLOOKUP(B175,input_437010!L:R,7,FALSE),VLOOKUP(tables_437010!C175,input_437010!A:H,8,FALSE))</f>
        <v>6825</v>
      </c>
      <c r="P175" s="46">
        <f t="shared" ca="1" si="9"/>
        <v>6.5789473684210525E-5</v>
      </c>
      <c r="Q175" s="30">
        <f t="shared" si="11"/>
        <v>80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input_437010!A$2</f>
        <v>437010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IFERROR(VLOOKUP(B176,input_437010!L:R,7,FALSE),VLOOKUP(tables_437010!C176,input_437010!A:H,8,FALSE))</f>
        <v>84175</v>
      </c>
      <c r="P176" s="46">
        <f t="shared" ca="1" si="9"/>
        <v>8.1140350877192979E-4</v>
      </c>
      <c r="Q176" s="30">
        <f t="shared" si="11"/>
        <v>60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input_437010!A$2</f>
        <v>437010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IFERROR(VLOOKUP(B177,input_437010!L:R,7,FALSE),VLOOKUP(tables_437010!C177,input_437010!A:H,8,FALSE))</f>
        <v>6825</v>
      </c>
      <c r="P177" s="46">
        <f t="shared" ca="1" si="9"/>
        <v>6.5789473684210525E-5</v>
      </c>
      <c r="Q177" s="30">
        <f t="shared" si="11"/>
        <v>80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input_437010!A$2</f>
        <v>437010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IFERROR(VLOOKUP(B178,input_437010!L:R,7,FALSE),VLOOKUP(tables_437010!C178,input_437010!A:H,8,FALSE))</f>
        <v>514425</v>
      </c>
      <c r="P178" s="46">
        <f t="shared" ca="1" si="9"/>
        <v>4.9587912087912089E-3</v>
      </c>
      <c r="Q178" s="30">
        <f t="shared" si="11"/>
        <v>40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input_437010!A$2</f>
        <v>437010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IFERROR(VLOOKUP(B179,input_437010!L:R,7,FALSE),VLOOKUP(tables_437010!C179,input_437010!A:H,8,FALSE))</f>
        <v>512425.48077000002</v>
      </c>
      <c r="P179" s="46">
        <f t="shared" ca="1" si="9"/>
        <v>4.9395168765182188E-3</v>
      </c>
      <c r="Q179" s="30">
        <f t="shared" si="11"/>
        <v>60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input_437010!A$2</f>
        <v>437010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IFERROR(VLOOKUP(B180,input_437010!L:R,7,FALSE),VLOOKUP(tables_437010!C180,input_437010!A:H,8,FALSE))</f>
        <v>56149.519229999998</v>
      </c>
      <c r="P180" s="46">
        <f t="shared" ca="1" si="9"/>
        <v>5.4125235425101208E-4</v>
      </c>
      <c r="Q180" s="30">
        <f t="shared" si="11"/>
        <v>80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input_437010!A$2</f>
        <v>437010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IFERROR(VLOOKUP(B181,input_437010!L:R,7,FALSE),VLOOKUP(tables_437010!C181,input_437010!A:H,8,FALSE))</f>
        <v>514425</v>
      </c>
      <c r="P181" s="46">
        <f t="shared" ca="1" si="9"/>
        <v>4.9587912087912089E-3</v>
      </c>
      <c r="Q181" s="30">
        <f t="shared" si="11"/>
        <v>40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input_437010!A$2</f>
        <v>437010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IFERROR(VLOOKUP(B182,input_437010!L:R,7,FALSE),VLOOKUP(tables_437010!C182,input_437010!A:H,8,FALSE))</f>
        <v>512425.48077000002</v>
      </c>
      <c r="P182" s="46">
        <f t="shared" ca="1" si="9"/>
        <v>4.9395168765182188E-3</v>
      </c>
      <c r="Q182" s="30">
        <f t="shared" si="11"/>
        <v>60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input_437010!A$2</f>
        <v>437010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IFERROR(VLOOKUP(B183,input_437010!L:R,7,FALSE),VLOOKUP(tables_437010!C183,input_437010!A:H,8,FALSE))</f>
        <v>56149.519229999998</v>
      </c>
      <c r="P183" s="46">
        <f t="shared" ca="1" si="9"/>
        <v>5.4125235425101208E-4</v>
      </c>
      <c r="Q183" s="30">
        <f t="shared" si="11"/>
        <v>80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input_437010!A$2</f>
        <v>437010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IFERROR(VLOOKUP(B184,input_437010!L:R,7,FALSE),VLOOKUP(tables_437010!C184,input_437010!A:H,8,FALSE))</f>
        <v>84175</v>
      </c>
      <c r="P184" s="46">
        <f t="shared" ca="1" si="9"/>
        <v>8.1140350877192979E-4</v>
      </c>
      <c r="Q184" s="30">
        <f t="shared" si="11"/>
        <v>60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input_437010!A$2</f>
        <v>437010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IFERROR(VLOOKUP(B185,input_437010!L:R,7,FALSE),VLOOKUP(tables_437010!C185,input_437010!A:H,8,FALSE))</f>
        <v>6825</v>
      </c>
      <c r="P185" s="46">
        <f t="shared" ca="1" si="9"/>
        <v>6.5789473684210525E-5</v>
      </c>
      <c r="Q185" s="30">
        <f t="shared" si="11"/>
        <v>80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input_437010!A$2</f>
        <v>437010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IFERROR(VLOOKUP(B186,input_437010!L:R,7,FALSE),VLOOKUP(tables_437010!C186,input_437010!A:H,8,FALSE))</f>
        <v>514425</v>
      </c>
      <c r="P186" s="46">
        <f t="shared" ca="1" si="9"/>
        <v>4.9587912087912089E-3</v>
      </c>
      <c r="Q186" s="30">
        <f t="shared" si="11"/>
        <v>40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input_437010!A$2</f>
        <v>437010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IFERROR(VLOOKUP(B187,input_437010!L:R,7,FALSE),VLOOKUP(tables_437010!C187,input_437010!A:H,8,FALSE))</f>
        <v>512425.48077000002</v>
      </c>
      <c r="P187" s="46">
        <f t="shared" ca="1" si="9"/>
        <v>4.9395168765182188E-3</v>
      </c>
      <c r="Q187" s="30">
        <f t="shared" si="11"/>
        <v>60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input_437010!A$2</f>
        <v>437010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IFERROR(VLOOKUP(B188,input_437010!L:R,7,FALSE),VLOOKUP(tables_437010!C188,input_437010!A:H,8,FALSE))</f>
        <v>56149.519229999998</v>
      </c>
      <c r="P188" s="46">
        <f t="shared" ca="1" si="9"/>
        <v>5.4125235425101208E-4</v>
      </c>
      <c r="Q188" s="30">
        <f t="shared" si="11"/>
        <v>80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input_437010!A$2</f>
        <v>437010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IFERROR(VLOOKUP(B189,input_437010!L:R,7,FALSE),VLOOKUP(tables_437010!C189,input_437010!A:H,8,FALSE))</f>
        <v>84175</v>
      </c>
      <c r="P189" s="46">
        <f t="shared" ca="1" si="9"/>
        <v>8.1140350877192979E-4</v>
      </c>
      <c r="Q189" s="30">
        <f t="shared" si="11"/>
        <v>60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input_437010!A$2</f>
        <v>437010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IFERROR(VLOOKUP(B190,input_437010!L:R,7,FALSE),VLOOKUP(tables_437010!C190,input_437010!A:H,8,FALSE))</f>
        <v>6825</v>
      </c>
      <c r="P190" s="46">
        <f t="shared" ca="1" si="9"/>
        <v>6.5789473684210525E-5</v>
      </c>
      <c r="Q190" s="30">
        <f t="shared" si="11"/>
        <v>80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input_437010!A$2</f>
        <v>437010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IFERROR(VLOOKUP(B191,input_437010!L:R,7,FALSE),VLOOKUP(tables_437010!C191,input_437010!A:H,8,FALSE))</f>
        <v>84175</v>
      </c>
      <c r="P191" s="46">
        <f t="shared" ca="1" si="9"/>
        <v>8.1140350877192979E-4</v>
      </c>
      <c r="Q191" s="30">
        <f t="shared" si="11"/>
        <v>60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input_437010!A$2</f>
        <v>437010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IFERROR(VLOOKUP(B192,input_437010!L:R,7,FALSE),VLOOKUP(tables_437010!C192,input_437010!A:H,8,FALSE))</f>
        <v>6825</v>
      </c>
      <c r="P192" s="46">
        <f t="shared" ca="1" si="9"/>
        <v>6.5789473684210525E-5</v>
      </c>
      <c r="Q192" s="30">
        <f t="shared" si="11"/>
        <v>80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input_437010!A$2</f>
        <v>437010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IFERROR(VLOOKUP(B193,input_437010!L:R,7,FALSE),VLOOKUP(tables_437010!C193,input_437010!A:H,8,FALSE))</f>
        <v>514425</v>
      </c>
      <c r="P193" s="46">
        <f t="shared" ca="1" si="9"/>
        <v>4.9587912087912089E-3</v>
      </c>
      <c r="Q193" s="30">
        <f t="shared" si="11"/>
        <v>40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input_437010!A$2</f>
        <v>437010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IFERROR(VLOOKUP(B194,input_437010!L:R,7,FALSE),VLOOKUP(tables_437010!C194,input_437010!A:H,8,FALSE))</f>
        <v>512425.48077000002</v>
      </c>
      <c r="P194" s="46">
        <f t="shared" ref="P194:P257" ca="1" si="13">O194/SUM(O:O)</f>
        <v>4.9395168765182188E-3</v>
      </c>
      <c r="Q194" s="30">
        <f t="shared" si="11"/>
        <v>60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input_437010!A$2</f>
        <v>437010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IFERROR(VLOOKUP(B195,input_437010!L:R,7,FALSE),VLOOKUP(tables_437010!C195,input_437010!A:H,8,FALSE))</f>
        <v>56149.519229999998</v>
      </c>
      <c r="P195" s="46">
        <f t="shared" ca="1" si="13"/>
        <v>5.4125235425101208E-4</v>
      </c>
      <c r="Q195" s="30">
        <f t="shared" ref="Q195:Q258" si="15">IF(J195=3,40,IF(J195=4,60,IF(J195=5,80,"")))</f>
        <v>80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input_437010!A$2</f>
        <v>437010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IFERROR(VLOOKUP(B196,input_437010!L:R,7,FALSE),VLOOKUP(tables_437010!C196,input_437010!A:H,8,FALSE))</f>
        <v>84175</v>
      </c>
      <c r="P196" s="46">
        <f t="shared" ca="1" si="13"/>
        <v>8.1140350877192979E-4</v>
      </c>
      <c r="Q196" s="30">
        <f t="shared" si="15"/>
        <v>60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input_437010!A$2</f>
        <v>437010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IFERROR(VLOOKUP(B197,input_437010!L:R,7,FALSE),VLOOKUP(tables_437010!C197,input_437010!A:H,8,FALSE))</f>
        <v>6825</v>
      </c>
      <c r="P197" s="46">
        <f t="shared" ca="1" si="13"/>
        <v>6.5789473684210525E-5</v>
      </c>
      <c r="Q197" s="30">
        <f t="shared" si="15"/>
        <v>80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input_437010!A$2</f>
        <v>437010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IFERROR(VLOOKUP(B198,input_437010!L:R,7,FALSE),VLOOKUP(tables_437010!C198,input_437010!A:H,8,FALSE))</f>
        <v>514425</v>
      </c>
      <c r="P198" s="46">
        <f t="shared" ca="1" si="13"/>
        <v>4.9587912087912089E-3</v>
      </c>
      <c r="Q198" s="30">
        <f t="shared" si="15"/>
        <v>40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input_437010!A$2</f>
        <v>437010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IFERROR(VLOOKUP(B199,input_437010!L:R,7,FALSE),VLOOKUP(tables_437010!C199,input_437010!A:H,8,FALSE))</f>
        <v>512425.48077000002</v>
      </c>
      <c r="P199" s="46">
        <f t="shared" ca="1" si="13"/>
        <v>4.9395168765182188E-3</v>
      </c>
      <c r="Q199" s="30">
        <f t="shared" si="15"/>
        <v>60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input_437010!A$2</f>
        <v>437010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IFERROR(VLOOKUP(B200,input_437010!L:R,7,FALSE),VLOOKUP(tables_437010!C200,input_437010!A:H,8,FALSE))</f>
        <v>56149.519229999998</v>
      </c>
      <c r="P200" s="46">
        <f t="shared" ca="1" si="13"/>
        <v>5.4125235425101208E-4</v>
      </c>
      <c r="Q200" s="30">
        <f t="shared" si="15"/>
        <v>80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input_437010!A$2</f>
        <v>437010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IFERROR(VLOOKUP(B201,input_437010!L:R,7,FALSE),VLOOKUP(tables_437010!C201,input_437010!A:H,8,FALSE))</f>
        <v>84175</v>
      </c>
      <c r="P201" s="46">
        <f t="shared" ca="1" si="13"/>
        <v>8.1140350877192979E-4</v>
      </c>
      <c r="Q201" s="30">
        <f t="shared" si="15"/>
        <v>60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input_437010!A$2</f>
        <v>437010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IFERROR(VLOOKUP(B202,input_437010!L:R,7,FALSE),VLOOKUP(tables_437010!C202,input_437010!A:H,8,FALSE))</f>
        <v>6825</v>
      </c>
      <c r="P202" s="46">
        <f t="shared" ca="1" si="13"/>
        <v>6.5789473684210525E-5</v>
      </c>
      <c r="Q202" s="30">
        <f t="shared" si="15"/>
        <v>80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input_437010!A$2</f>
        <v>437010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IFERROR(VLOOKUP(B203,input_437010!L:R,7,FALSE),VLOOKUP(tables_437010!C203,input_437010!A:H,8,FALSE))</f>
        <v>514425</v>
      </c>
      <c r="P203" s="46">
        <f t="shared" ca="1" si="13"/>
        <v>4.9587912087912089E-3</v>
      </c>
      <c r="Q203" s="30">
        <f t="shared" si="15"/>
        <v>40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input_437010!A$2</f>
        <v>437010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IFERROR(VLOOKUP(B204,input_437010!L:R,7,FALSE),VLOOKUP(tables_437010!C204,input_437010!A:H,8,FALSE))</f>
        <v>512425.48077000002</v>
      </c>
      <c r="P204" s="46">
        <f t="shared" ca="1" si="13"/>
        <v>4.9395168765182188E-3</v>
      </c>
      <c r="Q204" s="30">
        <f t="shared" si="15"/>
        <v>60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input_437010!A$2</f>
        <v>437010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IFERROR(VLOOKUP(B205,input_437010!L:R,7,FALSE),VLOOKUP(tables_437010!C205,input_437010!A:H,8,FALSE))</f>
        <v>56149.519229999998</v>
      </c>
      <c r="P205" s="46">
        <f t="shared" ca="1" si="13"/>
        <v>5.4125235425101208E-4</v>
      </c>
      <c r="Q205" s="30">
        <f t="shared" si="15"/>
        <v>80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input_437010!A$2</f>
        <v>437010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IFERROR(VLOOKUP(B206,input_437010!L:R,7,FALSE),VLOOKUP(tables_437010!C206,input_437010!A:H,8,FALSE))</f>
        <v>84175</v>
      </c>
      <c r="P206" s="46">
        <f t="shared" ca="1" si="13"/>
        <v>8.1140350877192979E-4</v>
      </c>
      <c r="Q206" s="30">
        <f t="shared" si="15"/>
        <v>60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input_437010!A$2</f>
        <v>437010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IFERROR(VLOOKUP(B207,input_437010!L:R,7,FALSE),VLOOKUP(tables_437010!C207,input_437010!A:H,8,FALSE))</f>
        <v>6825</v>
      </c>
      <c r="P207" s="46">
        <f t="shared" ca="1" si="13"/>
        <v>6.5789473684210525E-5</v>
      </c>
      <c r="Q207" s="30">
        <f t="shared" si="15"/>
        <v>80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input_437010!A$2</f>
        <v>437010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IFERROR(VLOOKUP(B208,input_437010!L:R,7,FALSE),VLOOKUP(tables_437010!C208,input_437010!A:H,8,FALSE))</f>
        <v>84175</v>
      </c>
      <c r="P208" s="46">
        <f t="shared" ca="1" si="13"/>
        <v>8.1140350877192979E-4</v>
      </c>
      <c r="Q208" s="30">
        <f t="shared" si="15"/>
        <v>60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input_437010!A$2</f>
        <v>437010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IFERROR(VLOOKUP(B209,input_437010!L:R,7,FALSE),VLOOKUP(tables_437010!C209,input_437010!A:H,8,FALSE))</f>
        <v>6825</v>
      </c>
      <c r="P209" s="46">
        <f t="shared" ca="1" si="13"/>
        <v>6.5789473684210525E-5</v>
      </c>
      <c r="Q209" s="30">
        <f t="shared" si="15"/>
        <v>80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input_437010!A$2</f>
        <v>437010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IFERROR(VLOOKUP(B210,input_437010!L:R,7,FALSE),VLOOKUP(tables_437010!C210,input_437010!A:H,8,FALSE))</f>
        <v>514425</v>
      </c>
      <c r="P210" s="46">
        <f t="shared" ca="1" si="13"/>
        <v>4.9587912087912089E-3</v>
      </c>
      <c r="Q210" s="30">
        <f t="shared" si="15"/>
        <v>40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input_437010!A$2</f>
        <v>437010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IFERROR(VLOOKUP(B211,input_437010!L:R,7,FALSE),VLOOKUP(tables_437010!C211,input_437010!A:H,8,FALSE))</f>
        <v>512425.48077000002</v>
      </c>
      <c r="P211" s="46">
        <f t="shared" ca="1" si="13"/>
        <v>4.9395168765182188E-3</v>
      </c>
      <c r="Q211" s="30">
        <f t="shared" si="15"/>
        <v>60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input_437010!A$2</f>
        <v>437010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IFERROR(VLOOKUP(B212,input_437010!L:R,7,FALSE),VLOOKUP(tables_437010!C212,input_437010!A:H,8,FALSE))</f>
        <v>56149.519229999998</v>
      </c>
      <c r="P212" s="46">
        <f t="shared" ca="1" si="13"/>
        <v>5.4125235425101208E-4</v>
      </c>
      <c r="Q212" s="30">
        <f t="shared" si="15"/>
        <v>80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input_437010!A$2</f>
        <v>437010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IFERROR(VLOOKUP(B213,input_437010!L:R,7,FALSE),VLOOKUP(tables_437010!C213,input_437010!A:H,8,FALSE))</f>
        <v>84175</v>
      </c>
      <c r="P213" s="46">
        <f t="shared" ca="1" si="13"/>
        <v>8.1140350877192979E-4</v>
      </c>
      <c r="Q213" s="30">
        <f t="shared" si="15"/>
        <v>60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input_437010!A$2</f>
        <v>437010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IFERROR(VLOOKUP(B214,input_437010!L:R,7,FALSE),VLOOKUP(tables_437010!C214,input_437010!A:H,8,FALSE))</f>
        <v>6825</v>
      </c>
      <c r="P214" s="46">
        <f t="shared" ca="1" si="13"/>
        <v>6.5789473684210525E-5</v>
      </c>
      <c r="Q214" s="30">
        <f t="shared" si="15"/>
        <v>80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input_437010!A$2</f>
        <v>437010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IFERROR(VLOOKUP(B215,input_437010!L:R,7,FALSE),VLOOKUP(tables_437010!C215,input_437010!A:H,8,FALSE))</f>
        <v>81225</v>
      </c>
      <c r="P215" s="46">
        <f t="shared" ca="1" si="13"/>
        <v>7.8296703296703294E-4</v>
      </c>
      <c r="Q215" s="30">
        <f t="shared" si="15"/>
        <v>80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input_437010!A$2</f>
        <v>437010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IFERROR(VLOOKUP(B216,input_437010!L:R,7,FALSE),VLOOKUP(tables_437010!C216,input_437010!A:H,8,FALSE))</f>
        <v>81225</v>
      </c>
      <c r="P216" s="46">
        <f t="shared" ca="1" si="13"/>
        <v>7.8296703296703294E-4</v>
      </c>
      <c r="Q216" s="30">
        <f t="shared" si="15"/>
        <v>80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input_437010!A$2</f>
        <v>437010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IFERROR(VLOOKUP(B217,input_437010!L:R,7,FALSE),VLOOKUP(tables_437010!C217,input_437010!A:H,8,FALSE))</f>
        <v>81225</v>
      </c>
      <c r="P217" s="46">
        <f t="shared" ca="1" si="13"/>
        <v>7.8296703296703294E-4</v>
      </c>
      <c r="Q217" s="30">
        <f t="shared" si="15"/>
        <v>80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input_437010!A$2</f>
        <v>437010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IFERROR(VLOOKUP(B218,input_437010!L:R,7,FALSE),VLOOKUP(tables_437010!C218,input_437010!A:H,8,FALSE))</f>
        <v>81225</v>
      </c>
      <c r="P218" s="46">
        <f t="shared" ca="1" si="13"/>
        <v>7.8296703296703294E-4</v>
      </c>
      <c r="Q218" s="30">
        <f t="shared" si="15"/>
        <v>80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input_437010!A$2</f>
        <v>437010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IFERROR(VLOOKUP(B219,input_437010!L:R,7,FALSE),VLOOKUP(tables_437010!C219,input_437010!A:H,8,FALSE))</f>
        <v>81225</v>
      </c>
      <c r="P219" s="46">
        <f t="shared" ca="1" si="13"/>
        <v>7.8296703296703294E-4</v>
      </c>
      <c r="Q219" s="30">
        <f t="shared" si="15"/>
        <v>80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input_437010!A$2</f>
        <v>437010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IFERROR(VLOOKUP(B220,input_437010!L:R,7,FALSE),VLOOKUP(tables_437010!C220,input_437010!A:H,8,FALSE))</f>
        <v>81225</v>
      </c>
      <c r="P220" s="46">
        <f t="shared" ca="1" si="13"/>
        <v>7.8296703296703294E-4</v>
      </c>
      <c r="Q220" s="30">
        <f t="shared" si="15"/>
        <v>80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input_437010!A$2</f>
        <v>437010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IFERROR(VLOOKUP(B221,input_437010!L:R,7,FALSE),VLOOKUP(tables_437010!C221,input_437010!A:H,8,FALSE))</f>
        <v>84175</v>
      </c>
      <c r="P221" s="46">
        <f t="shared" ca="1" si="13"/>
        <v>8.1140350877192979E-4</v>
      </c>
      <c r="Q221" s="30">
        <f t="shared" si="15"/>
        <v>60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input_437010!A$2</f>
        <v>437010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IFERROR(VLOOKUP(B222,input_437010!L:R,7,FALSE),VLOOKUP(tables_437010!C222,input_437010!A:H,8,FALSE))</f>
        <v>6825</v>
      </c>
      <c r="P222" s="46">
        <f t="shared" ca="1" si="13"/>
        <v>6.5789473684210525E-5</v>
      </c>
      <c r="Q222" s="30">
        <f t="shared" si="15"/>
        <v>80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input_437010!A$2</f>
        <v>437010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IFERROR(VLOOKUP(B223,input_437010!L:R,7,FALSE),VLOOKUP(tables_437010!C223,input_437010!A:H,8,FALSE))</f>
        <v>514425</v>
      </c>
      <c r="P223" s="46">
        <f t="shared" ca="1" si="13"/>
        <v>4.9587912087912089E-3</v>
      </c>
      <c r="Q223" s="30">
        <f t="shared" si="15"/>
        <v>40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input_437010!A$2</f>
        <v>437010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IFERROR(VLOOKUP(B224,input_437010!L:R,7,FALSE),VLOOKUP(tables_437010!C224,input_437010!A:H,8,FALSE))</f>
        <v>512425.48077000002</v>
      </c>
      <c r="P224" s="46">
        <f t="shared" ca="1" si="13"/>
        <v>4.9395168765182188E-3</v>
      </c>
      <c r="Q224" s="30">
        <f t="shared" si="15"/>
        <v>60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input_437010!A$2</f>
        <v>437010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IFERROR(VLOOKUP(B225,input_437010!L:R,7,FALSE),VLOOKUP(tables_437010!C225,input_437010!A:H,8,FALSE))</f>
        <v>56149.519229999998</v>
      </c>
      <c r="P225" s="46">
        <f t="shared" ca="1" si="13"/>
        <v>5.4125235425101208E-4</v>
      </c>
      <c r="Q225" s="30">
        <f t="shared" si="15"/>
        <v>80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input_437010!A$2</f>
        <v>437010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IFERROR(VLOOKUP(B226,input_437010!L:R,7,FALSE),VLOOKUP(tables_437010!C226,input_437010!A:H,8,FALSE))</f>
        <v>514425</v>
      </c>
      <c r="P226" s="46">
        <f t="shared" ca="1" si="13"/>
        <v>4.9587912087912089E-3</v>
      </c>
      <c r="Q226" s="30">
        <f t="shared" si="15"/>
        <v>40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input_437010!A$2</f>
        <v>437010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IFERROR(VLOOKUP(B227,input_437010!L:R,7,FALSE),VLOOKUP(tables_437010!C227,input_437010!A:H,8,FALSE))</f>
        <v>512425.48077000002</v>
      </c>
      <c r="P227" s="46">
        <f t="shared" ca="1" si="13"/>
        <v>4.9395168765182188E-3</v>
      </c>
      <c r="Q227" s="30">
        <f t="shared" si="15"/>
        <v>60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input_437010!A$2</f>
        <v>437010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IFERROR(VLOOKUP(B228,input_437010!L:R,7,FALSE),VLOOKUP(tables_437010!C228,input_437010!A:H,8,FALSE))</f>
        <v>56149.519229999998</v>
      </c>
      <c r="P228" s="46">
        <f t="shared" ca="1" si="13"/>
        <v>5.4125235425101208E-4</v>
      </c>
      <c r="Q228" s="30">
        <f t="shared" si="15"/>
        <v>80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input_437010!A$2</f>
        <v>437010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IFERROR(VLOOKUP(B229,input_437010!L:R,7,FALSE),VLOOKUP(tables_437010!C229,input_437010!A:H,8,FALSE))</f>
        <v>84175</v>
      </c>
      <c r="P229" s="46">
        <f t="shared" ca="1" si="13"/>
        <v>8.1140350877192979E-4</v>
      </c>
      <c r="Q229" s="30">
        <f t="shared" si="15"/>
        <v>60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input_437010!A$2</f>
        <v>437010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IFERROR(VLOOKUP(B230,input_437010!L:R,7,FALSE),VLOOKUP(tables_437010!C230,input_437010!A:H,8,FALSE))</f>
        <v>6825</v>
      </c>
      <c r="P230" s="46">
        <f t="shared" ca="1" si="13"/>
        <v>6.5789473684210525E-5</v>
      </c>
      <c r="Q230" s="30">
        <f t="shared" si="15"/>
        <v>80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input_437010!A$2</f>
        <v>437010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IFERROR(VLOOKUP(B231,input_437010!L:R,7,FALSE),VLOOKUP(tables_437010!C231,input_437010!A:H,8,FALSE))</f>
        <v>514425</v>
      </c>
      <c r="P231" s="46">
        <f t="shared" ca="1" si="13"/>
        <v>4.9587912087912089E-3</v>
      </c>
      <c r="Q231" s="30">
        <f t="shared" si="15"/>
        <v>40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input_437010!A$2</f>
        <v>437010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IFERROR(VLOOKUP(B232,input_437010!L:R,7,FALSE),VLOOKUP(tables_437010!C232,input_437010!A:H,8,FALSE))</f>
        <v>512425.48077000002</v>
      </c>
      <c r="P232" s="46">
        <f t="shared" ca="1" si="13"/>
        <v>4.9395168765182188E-3</v>
      </c>
      <c r="Q232" s="30">
        <f t="shared" si="15"/>
        <v>60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input_437010!A$2</f>
        <v>437010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IFERROR(VLOOKUP(B233,input_437010!L:R,7,FALSE),VLOOKUP(tables_437010!C233,input_437010!A:H,8,FALSE))</f>
        <v>56149.519229999998</v>
      </c>
      <c r="P233" s="46">
        <f t="shared" ca="1" si="13"/>
        <v>5.4125235425101208E-4</v>
      </c>
      <c r="Q233" s="30">
        <f t="shared" si="15"/>
        <v>80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input_437010!A$2</f>
        <v>437010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IFERROR(VLOOKUP(B234,input_437010!L:R,7,FALSE),VLOOKUP(tables_437010!C234,input_437010!A:H,8,FALSE))</f>
        <v>514425</v>
      </c>
      <c r="P234" s="46">
        <f t="shared" ca="1" si="13"/>
        <v>4.9587912087912089E-3</v>
      </c>
      <c r="Q234" s="30">
        <f t="shared" si="15"/>
        <v>40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input_437010!A$2</f>
        <v>437010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IFERROR(VLOOKUP(B235,input_437010!L:R,7,FALSE),VLOOKUP(tables_437010!C235,input_437010!A:H,8,FALSE))</f>
        <v>512425.48077000002</v>
      </c>
      <c r="P235" s="46">
        <f t="shared" ca="1" si="13"/>
        <v>4.9395168765182188E-3</v>
      </c>
      <c r="Q235" s="30">
        <f t="shared" si="15"/>
        <v>60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input_437010!A$2</f>
        <v>437010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IFERROR(VLOOKUP(B236,input_437010!L:R,7,FALSE),VLOOKUP(tables_437010!C236,input_437010!A:H,8,FALSE))</f>
        <v>56149.519229999998</v>
      </c>
      <c r="P236" s="46">
        <f t="shared" ca="1" si="13"/>
        <v>5.4125235425101208E-4</v>
      </c>
      <c r="Q236" s="30">
        <f t="shared" si="15"/>
        <v>80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input_437010!A$2</f>
        <v>437010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IFERROR(VLOOKUP(B237,input_437010!L:R,7,FALSE),VLOOKUP(tables_437010!C237,input_437010!A:H,8,FALSE))</f>
        <v>84175</v>
      </c>
      <c r="P237" s="46">
        <f t="shared" ca="1" si="13"/>
        <v>8.1140350877192979E-4</v>
      </c>
      <c r="Q237" s="30">
        <f t="shared" si="15"/>
        <v>60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input_437010!A$2</f>
        <v>437010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IFERROR(VLOOKUP(B238,input_437010!L:R,7,FALSE),VLOOKUP(tables_437010!C238,input_437010!A:H,8,FALSE))</f>
        <v>6825</v>
      </c>
      <c r="P238" s="46">
        <f t="shared" ca="1" si="13"/>
        <v>6.5789473684210525E-5</v>
      </c>
      <c r="Q238" s="30">
        <f t="shared" si="15"/>
        <v>80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input_437010!A$2</f>
        <v>437010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IFERROR(VLOOKUP(B239,input_437010!L:R,7,FALSE),VLOOKUP(tables_437010!C239,input_437010!A:H,8,FALSE))</f>
        <v>514425</v>
      </c>
      <c r="P239" s="46">
        <f t="shared" ca="1" si="13"/>
        <v>4.9587912087912089E-3</v>
      </c>
      <c r="Q239" s="30">
        <f t="shared" si="15"/>
        <v>40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input_437010!A$2</f>
        <v>437010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IFERROR(VLOOKUP(B240,input_437010!L:R,7,FALSE),VLOOKUP(tables_437010!C240,input_437010!A:H,8,FALSE))</f>
        <v>512425.48077000002</v>
      </c>
      <c r="P240" s="46">
        <f t="shared" ca="1" si="13"/>
        <v>4.9395168765182188E-3</v>
      </c>
      <c r="Q240" s="30">
        <f t="shared" si="15"/>
        <v>60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input_437010!A$2</f>
        <v>437010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IFERROR(VLOOKUP(B241,input_437010!L:R,7,FALSE),VLOOKUP(tables_437010!C241,input_437010!A:H,8,FALSE))</f>
        <v>56149.519229999998</v>
      </c>
      <c r="P241" s="46">
        <f t="shared" ca="1" si="13"/>
        <v>5.4125235425101208E-4</v>
      </c>
      <c r="Q241" s="30">
        <f t="shared" si="15"/>
        <v>80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input_437010!A$2</f>
        <v>437010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IFERROR(VLOOKUP(B242,input_437010!L:R,7,FALSE),VLOOKUP(tables_437010!C242,input_437010!A:H,8,FALSE))</f>
        <v>84175</v>
      </c>
      <c r="P242" s="46">
        <f t="shared" ca="1" si="13"/>
        <v>8.1140350877192979E-4</v>
      </c>
      <c r="Q242" s="30">
        <f t="shared" si="15"/>
        <v>60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input_437010!A$2</f>
        <v>437010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IFERROR(VLOOKUP(B243,input_437010!L:R,7,FALSE),VLOOKUP(tables_437010!C243,input_437010!A:H,8,FALSE))</f>
        <v>6825</v>
      </c>
      <c r="P243" s="46">
        <f t="shared" ca="1" si="13"/>
        <v>6.5789473684210525E-5</v>
      </c>
      <c r="Q243" s="30">
        <f t="shared" si="15"/>
        <v>80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input_437010!A$2</f>
        <v>437010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IFERROR(VLOOKUP(B244,input_437010!L:R,7,FALSE),VLOOKUP(tables_437010!C244,input_437010!A:H,8,FALSE))</f>
        <v>84175</v>
      </c>
      <c r="P244" s="46">
        <f t="shared" ca="1" si="13"/>
        <v>8.1140350877192979E-4</v>
      </c>
      <c r="Q244" s="30">
        <f t="shared" si="15"/>
        <v>60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input_437010!A$2</f>
        <v>437010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IFERROR(VLOOKUP(B245,input_437010!L:R,7,FALSE),VLOOKUP(tables_437010!C245,input_437010!A:H,8,FALSE))</f>
        <v>6825</v>
      </c>
      <c r="P245" s="46">
        <f t="shared" ca="1" si="13"/>
        <v>6.5789473684210525E-5</v>
      </c>
      <c r="Q245" s="30">
        <f t="shared" si="15"/>
        <v>80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input_437010!A$2</f>
        <v>437010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IFERROR(VLOOKUP(B246,input_437010!L:R,7,FALSE),VLOOKUP(tables_437010!C246,input_437010!A:H,8,FALSE))</f>
        <v>514425</v>
      </c>
      <c r="P246" s="46">
        <f t="shared" ca="1" si="13"/>
        <v>4.9587912087912089E-3</v>
      </c>
      <c r="Q246" s="30">
        <f t="shared" si="15"/>
        <v>40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input_437010!A$2</f>
        <v>437010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IFERROR(VLOOKUP(B247,input_437010!L:R,7,FALSE),VLOOKUP(tables_437010!C247,input_437010!A:H,8,FALSE))</f>
        <v>512425.48077000002</v>
      </c>
      <c r="P247" s="46">
        <f t="shared" ca="1" si="13"/>
        <v>4.9395168765182188E-3</v>
      </c>
      <c r="Q247" s="30">
        <f t="shared" si="15"/>
        <v>60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input_437010!A$2</f>
        <v>437010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IFERROR(VLOOKUP(B248,input_437010!L:R,7,FALSE),VLOOKUP(tables_437010!C248,input_437010!A:H,8,FALSE))</f>
        <v>56149.519229999998</v>
      </c>
      <c r="P248" s="46">
        <f t="shared" ca="1" si="13"/>
        <v>5.4125235425101208E-4</v>
      </c>
      <c r="Q248" s="30">
        <f t="shared" si="15"/>
        <v>80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input_437010!A$2</f>
        <v>437010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IFERROR(VLOOKUP(B249,input_437010!L:R,7,FALSE),VLOOKUP(tables_437010!C249,input_437010!A:H,8,FALSE))</f>
        <v>514425</v>
      </c>
      <c r="P249" s="46">
        <f t="shared" ca="1" si="13"/>
        <v>4.9587912087912089E-3</v>
      </c>
      <c r="Q249" s="30">
        <f t="shared" si="15"/>
        <v>40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input_437010!A$2</f>
        <v>437010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IFERROR(VLOOKUP(B250,input_437010!L:R,7,FALSE),VLOOKUP(tables_437010!C250,input_437010!A:H,8,FALSE))</f>
        <v>512425.48077000002</v>
      </c>
      <c r="P250" s="46">
        <f t="shared" ca="1" si="13"/>
        <v>4.9395168765182188E-3</v>
      </c>
      <c r="Q250" s="30">
        <f t="shared" si="15"/>
        <v>60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input_437010!A$2</f>
        <v>437010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IFERROR(VLOOKUP(B251,input_437010!L:R,7,FALSE),VLOOKUP(tables_437010!C251,input_437010!A:H,8,FALSE))</f>
        <v>56149.519229999998</v>
      </c>
      <c r="P251" s="46">
        <f t="shared" ca="1" si="13"/>
        <v>5.4125235425101208E-4</v>
      </c>
      <c r="Q251" s="30">
        <f t="shared" si="15"/>
        <v>80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input_437010!A$2</f>
        <v>437010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IFERROR(VLOOKUP(B252,input_437010!L:R,7,FALSE),VLOOKUP(tables_437010!C252,input_437010!A:H,8,FALSE))</f>
        <v>514425</v>
      </c>
      <c r="P252" s="46">
        <f t="shared" ca="1" si="13"/>
        <v>4.9587912087912089E-3</v>
      </c>
      <c r="Q252" s="30">
        <f t="shared" si="15"/>
        <v>40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input_437010!A$2</f>
        <v>437010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IFERROR(VLOOKUP(B253,input_437010!L:R,7,FALSE),VLOOKUP(tables_437010!C253,input_437010!A:H,8,FALSE))</f>
        <v>512425.48077000002</v>
      </c>
      <c r="P253" s="46">
        <f t="shared" ca="1" si="13"/>
        <v>4.9395168765182188E-3</v>
      </c>
      <c r="Q253" s="30">
        <f t="shared" si="15"/>
        <v>60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input_437010!A$2</f>
        <v>437010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IFERROR(VLOOKUP(B254,input_437010!L:R,7,FALSE),VLOOKUP(tables_437010!C254,input_437010!A:H,8,FALSE))</f>
        <v>56149.519229999998</v>
      </c>
      <c r="P254" s="46">
        <f t="shared" ca="1" si="13"/>
        <v>5.4125235425101208E-4</v>
      </c>
      <c r="Q254" s="30">
        <f t="shared" si="15"/>
        <v>80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input_437010!A$2</f>
        <v>437010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IFERROR(VLOOKUP(B255,input_437010!L:R,7,FALSE),VLOOKUP(tables_437010!C255,input_437010!A:H,8,FALSE))</f>
        <v>514425</v>
      </c>
      <c r="P255" s="46">
        <f t="shared" ca="1" si="13"/>
        <v>4.9587912087912089E-3</v>
      </c>
      <c r="Q255" s="30">
        <f t="shared" si="15"/>
        <v>40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input_437010!A$2</f>
        <v>437010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IFERROR(VLOOKUP(B256,input_437010!L:R,7,FALSE),VLOOKUP(tables_437010!C256,input_437010!A:H,8,FALSE))</f>
        <v>512425.48077000002</v>
      </c>
      <c r="P256" s="46">
        <f t="shared" ca="1" si="13"/>
        <v>4.9395168765182188E-3</v>
      </c>
      <c r="Q256" s="30">
        <f t="shared" si="15"/>
        <v>60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input_437010!A$2</f>
        <v>437010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IFERROR(VLOOKUP(B257,input_437010!L:R,7,FALSE),VLOOKUP(tables_437010!C257,input_437010!A:H,8,FALSE))</f>
        <v>56149.519229999998</v>
      </c>
      <c r="P257" s="46">
        <f t="shared" ca="1" si="13"/>
        <v>5.4125235425101208E-4</v>
      </c>
      <c r="Q257" s="30">
        <f t="shared" si="15"/>
        <v>80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input_437010!A$2</f>
        <v>437010</v>
      </c>
      <c r="B258" s="60">
        <v>674</v>
      </c>
      <c r="C258" s="7" t="str">
        <f t="shared" ref="C258:C284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IFERROR(VLOOKUP(B258,input_437010!L:R,7,FALSE),VLOOKUP(tables_437010!C258,input_437010!A:H,8,FALSE))</f>
        <v>84175</v>
      </c>
      <c r="P258" s="46">
        <f t="shared" ref="P258:P321" ca="1" si="17">O258/SUM(O:O)</f>
        <v>8.1140350877192979E-4</v>
      </c>
      <c r="Q258" s="30">
        <f t="shared" si="15"/>
        <v>60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input_437010!A$2</f>
        <v>437010</v>
      </c>
      <c r="B259" s="60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IFERROR(VLOOKUP(B259,input_437010!L:R,7,FALSE),VLOOKUP(tables_437010!C259,input_437010!A:H,8,FALSE))</f>
        <v>6825</v>
      </c>
      <c r="P259" s="46">
        <f t="shared" ca="1" si="17"/>
        <v>6.5789473684210525E-5</v>
      </c>
      <c r="Q259" s="30">
        <f t="shared" ref="Q259:Q322" si="19">IF(J259=3,40,IF(J259=4,60,IF(J259=5,80,"")))</f>
        <v>80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input_437010!A$2</f>
        <v>437010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IFERROR(VLOOKUP(B260,input_437010!L:R,7,FALSE),VLOOKUP(tables_437010!C260,input_437010!A:H,8,FALSE))</f>
        <v>84175</v>
      </c>
      <c r="P260" s="46">
        <f t="shared" ca="1" si="17"/>
        <v>8.1140350877192979E-4</v>
      </c>
      <c r="Q260" s="30">
        <f t="shared" si="19"/>
        <v>60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input_437010!A$2</f>
        <v>437010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IFERROR(VLOOKUP(B261,input_437010!L:R,7,FALSE),VLOOKUP(tables_437010!C261,input_437010!A:H,8,FALSE))</f>
        <v>6825</v>
      </c>
      <c r="P261" s="46">
        <f t="shared" ca="1" si="17"/>
        <v>6.5789473684210525E-5</v>
      </c>
      <c r="Q261" s="30">
        <f t="shared" si="19"/>
        <v>80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input_437010!A$2</f>
        <v>437010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IFERROR(VLOOKUP(B262,input_437010!L:R,7,FALSE),VLOOKUP(tables_437010!C262,input_437010!A:H,8,FALSE))</f>
        <v>969285</v>
      </c>
      <c r="P262" s="46">
        <f t="shared" ca="1" si="17"/>
        <v>9.3434065934065932E-3</v>
      </c>
      <c r="Q262" s="30">
        <f t="shared" si="19"/>
        <v>60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input_437010!A$2</f>
        <v>437010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IFERROR(VLOOKUP(B263,input_437010!L:R,7,FALSE),VLOOKUP(tables_437010!C263,input_437010!A:H,8,FALSE))</f>
        <v>81225</v>
      </c>
      <c r="P263" s="46">
        <f t="shared" ca="1" si="17"/>
        <v>7.8296703296703294E-4</v>
      </c>
      <c r="Q263" s="30">
        <f t="shared" si="19"/>
        <v>80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input_437010!A$2</f>
        <v>437010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IFERROR(VLOOKUP(B264,input_437010!L:R,7,FALSE),VLOOKUP(tables_437010!C264,input_437010!A:H,8,FALSE))</f>
        <v>969285</v>
      </c>
      <c r="P264" s="46">
        <f t="shared" ca="1" si="17"/>
        <v>9.3434065934065932E-3</v>
      </c>
      <c r="Q264" s="30">
        <f t="shared" si="19"/>
        <v>60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input_437010!A$2</f>
        <v>437010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IFERROR(VLOOKUP(B265,input_437010!L:R,7,FALSE),VLOOKUP(tables_437010!C265,input_437010!A:H,8,FALSE))</f>
        <v>81225</v>
      </c>
      <c r="P265" s="46">
        <f t="shared" ca="1" si="17"/>
        <v>7.8296703296703294E-4</v>
      </c>
      <c r="Q265" s="30">
        <f t="shared" si="19"/>
        <v>80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input_437010!A$2</f>
        <v>437010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IFERROR(VLOOKUP(B266,input_437010!L:R,7,FALSE),VLOOKUP(tables_437010!C266,input_437010!A:H,8,FALSE))</f>
        <v>91000</v>
      </c>
      <c r="P266" s="46">
        <f t="shared" ca="1" si="17"/>
        <v>8.7719298245614037E-4</v>
      </c>
      <c r="Q266" s="30">
        <f t="shared" si="19"/>
        <v>80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input_437010!A$2</f>
        <v>437010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IFERROR(VLOOKUP(B267,input_437010!L:R,7,FALSE),VLOOKUP(tables_437010!C267,input_437010!A:H,8,FALSE))</f>
        <v>91000</v>
      </c>
      <c r="P267" s="46">
        <f t="shared" ca="1" si="17"/>
        <v>8.7719298245614037E-4</v>
      </c>
      <c r="Q267" s="30">
        <f t="shared" si="19"/>
        <v>80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input_437010!A$2</f>
        <v>437010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IFERROR(VLOOKUP(B268,input_437010!L:R,7,FALSE),VLOOKUP(tables_437010!C268,input_437010!A:H,8,FALSE))</f>
        <v>91000</v>
      </c>
      <c r="P268" s="46">
        <f t="shared" ca="1" si="17"/>
        <v>8.7719298245614037E-4</v>
      </c>
      <c r="Q268" s="30">
        <f t="shared" si="19"/>
        <v>80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input_437010!A$2</f>
        <v>437010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IFERROR(VLOOKUP(B269,input_437010!L:R,7,FALSE),VLOOKUP(tables_437010!C269,input_437010!A:H,8,FALSE))</f>
        <v>91000</v>
      </c>
      <c r="P269" s="46">
        <f t="shared" ca="1" si="17"/>
        <v>8.7719298245614037E-4</v>
      </c>
      <c r="Q269" s="30">
        <f t="shared" si="19"/>
        <v>80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input_437010!A$2</f>
        <v>437010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IFERROR(VLOOKUP(B270,input_437010!L:R,7,FALSE),VLOOKUP(tables_437010!C270,input_437010!A:H,8,FALSE))</f>
        <v>969285</v>
      </c>
      <c r="P270" s="46">
        <f t="shared" ca="1" si="17"/>
        <v>9.3434065934065932E-3</v>
      </c>
      <c r="Q270" s="30">
        <f t="shared" si="19"/>
        <v>60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input_437010!A$2</f>
        <v>437010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IFERROR(VLOOKUP(B271,input_437010!L:R,7,FALSE),VLOOKUP(tables_437010!C271,input_437010!A:H,8,FALSE))</f>
        <v>81225</v>
      </c>
      <c r="P271" s="46">
        <f t="shared" ca="1" si="17"/>
        <v>7.8296703296703294E-4</v>
      </c>
      <c r="Q271" s="30">
        <f t="shared" si="19"/>
        <v>80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input_437010!A$2</f>
        <v>437010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IFERROR(VLOOKUP(B272,input_437010!L:R,7,FALSE),VLOOKUP(tables_437010!C272,input_437010!A:H,8,FALSE))</f>
        <v>969285</v>
      </c>
      <c r="P272" s="46">
        <f t="shared" ca="1" si="17"/>
        <v>9.3434065934065932E-3</v>
      </c>
      <c r="Q272" s="30">
        <f t="shared" si="19"/>
        <v>60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input_437010!A$2</f>
        <v>437010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IFERROR(VLOOKUP(B273,input_437010!L:R,7,FALSE),VLOOKUP(tables_437010!C273,input_437010!A:H,8,FALSE))</f>
        <v>81225</v>
      </c>
      <c r="P273" s="46">
        <f t="shared" ca="1" si="17"/>
        <v>7.8296703296703294E-4</v>
      </c>
      <c r="Q273" s="30">
        <f t="shared" si="19"/>
        <v>80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input_437010!A$2</f>
        <v>437010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IFERROR(VLOOKUP(B274,input_437010!L:R,7,FALSE),VLOOKUP(tables_437010!C274,input_437010!A:H,8,FALSE))</f>
        <v>84175</v>
      </c>
      <c r="P274" s="46">
        <f t="shared" ca="1" si="17"/>
        <v>8.1140350877192979E-4</v>
      </c>
      <c r="Q274" s="30">
        <f t="shared" si="19"/>
        <v>60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input_437010!A$2</f>
        <v>437010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IFERROR(VLOOKUP(B275,input_437010!L:R,7,FALSE),VLOOKUP(tables_437010!C275,input_437010!A:H,8,FALSE))</f>
        <v>6825</v>
      </c>
      <c r="P275" s="46">
        <f t="shared" ca="1" si="17"/>
        <v>6.5789473684210525E-5</v>
      </c>
      <c r="Q275" s="30">
        <f t="shared" si="19"/>
        <v>80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input_437010!A$2</f>
        <v>437010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IFERROR(VLOOKUP(B276,input_437010!L:R,7,FALSE),VLOOKUP(tables_437010!C276,input_437010!A:H,8,FALSE))</f>
        <v>84175</v>
      </c>
      <c r="P276" s="46">
        <f t="shared" ca="1" si="17"/>
        <v>8.1140350877192979E-4</v>
      </c>
      <c r="Q276" s="30">
        <f t="shared" si="19"/>
        <v>60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input_437010!A$2</f>
        <v>437010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IFERROR(VLOOKUP(B277,input_437010!L:R,7,FALSE),VLOOKUP(tables_437010!C277,input_437010!A:H,8,FALSE))</f>
        <v>6825</v>
      </c>
      <c r="P277" s="46">
        <f t="shared" ca="1" si="17"/>
        <v>6.5789473684210525E-5</v>
      </c>
      <c r="Q277" s="30">
        <f t="shared" si="19"/>
        <v>80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input_437010!A$2</f>
        <v>437010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IFERROR(VLOOKUP(B278,input_437010!L:R,7,FALSE),VLOOKUP(tables_437010!C278,input_437010!A:H,8,FALSE))</f>
        <v>514425</v>
      </c>
      <c r="P278" s="46">
        <f t="shared" ca="1" si="17"/>
        <v>4.9587912087912089E-3</v>
      </c>
      <c r="Q278" s="30">
        <f t="shared" si="19"/>
        <v>40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input_437010!A$2</f>
        <v>437010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IFERROR(VLOOKUP(B279,input_437010!L:R,7,FALSE),VLOOKUP(tables_437010!C279,input_437010!A:H,8,FALSE))</f>
        <v>512425.48077000002</v>
      </c>
      <c r="P279" s="46">
        <f t="shared" ca="1" si="17"/>
        <v>4.9395168765182188E-3</v>
      </c>
      <c r="Q279" s="30">
        <f t="shared" si="19"/>
        <v>60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input_437010!A$2</f>
        <v>437010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IFERROR(VLOOKUP(B280,input_437010!L:R,7,FALSE),VLOOKUP(tables_437010!C280,input_437010!A:H,8,FALSE))</f>
        <v>56149.519229999998</v>
      </c>
      <c r="P280" s="46">
        <f t="shared" ca="1" si="17"/>
        <v>5.4125235425101208E-4</v>
      </c>
      <c r="Q280" s="30">
        <f t="shared" si="19"/>
        <v>80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input_437010!A$2</f>
        <v>437010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IFERROR(VLOOKUP(B281,input_437010!L:R,7,FALSE),VLOOKUP(tables_437010!C281,input_437010!A:H,8,FALSE))</f>
        <v>514425</v>
      </c>
      <c r="P281" s="46">
        <f t="shared" ca="1" si="17"/>
        <v>4.9587912087912089E-3</v>
      </c>
      <c r="Q281" s="30">
        <f t="shared" si="19"/>
        <v>40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input_437010!A$2</f>
        <v>437010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IFERROR(VLOOKUP(B282,input_437010!L:R,7,FALSE),VLOOKUP(tables_437010!C282,input_437010!A:H,8,FALSE))</f>
        <v>512425.48077000002</v>
      </c>
      <c r="P282" s="46">
        <f t="shared" ca="1" si="17"/>
        <v>4.9395168765182188E-3</v>
      </c>
      <c r="Q282" s="30">
        <f t="shared" si="19"/>
        <v>60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input_437010!A$2</f>
        <v>437010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IFERROR(VLOOKUP(B283,input_437010!L:R,7,FALSE),VLOOKUP(tables_437010!C283,input_437010!A:H,8,FALSE))</f>
        <v>56149.519229999998</v>
      </c>
      <c r="P283" s="46">
        <f t="shared" ca="1" si="17"/>
        <v>5.4125235425101208E-4</v>
      </c>
      <c r="Q283" s="30">
        <f t="shared" si="19"/>
        <v>80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input_437010!A$2</f>
        <v>437010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IFERROR(VLOOKUP(B284,input_437010!L:R,7,FALSE),VLOOKUP(tables_437010!C284,input_437010!A:H,8,FALSE))</f>
        <v>91000</v>
      </c>
      <c r="P284" s="46">
        <f t="shared" ca="1" si="17"/>
        <v>8.7719298245614037E-4</v>
      </c>
      <c r="Q284" s="30">
        <f t="shared" si="19"/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input_437010!A$2</f>
        <v>437010</v>
      </c>
      <c r="B285" s="5">
        <v>850</v>
      </c>
      <c r="C285" s="7" t="str">
        <f t="shared" ref="C285:C289" si="20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IFERROR(VLOOKUP(B285,input_437010!L:R,7,FALSE),VLOOKUP(tables_437010!C285,input_437010!A:H,8,FALSE))</f>
        <v>91000</v>
      </c>
      <c r="P285" s="46">
        <f t="shared" ca="1" si="17"/>
        <v>8.7719298245614037E-4</v>
      </c>
      <c r="Q285" s="30">
        <f t="shared" si="19"/>
        <v>80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input_437010!A$2</f>
        <v>437010</v>
      </c>
      <c r="B286" s="5">
        <v>852</v>
      </c>
      <c r="C286" s="7" t="str">
        <f t="shared" si="20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IFERROR(VLOOKUP(B286,input_437010!L:R,7,FALSE),VLOOKUP(tables_437010!C286,input_437010!A:H,8,FALSE))</f>
        <v>969285</v>
      </c>
      <c r="P286" s="46">
        <f t="shared" ca="1" si="17"/>
        <v>9.3434065934065932E-3</v>
      </c>
      <c r="Q286" s="30">
        <f t="shared" si="19"/>
        <v>60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input_437010!A$2</f>
        <v>437010</v>
      </c>
      <c r="B287" s="5">
        <v>853</v>
      </c>
      <c r="C287" s="7" t="str">
        <f t="shared" si="20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IFERROR(VLOOKUP(B287,input_437010!L:R,7,FALSE),VLOOKUP(tables_437010!C287,input_437010!A:H,8,FALSE))</f>
        <v>81225</v>
      </c>
      <c r="P287" s="46">
        <f t="shared" ca="1" si="17"/>
        <v>7.8296703296703294E-4</v>
      </c>
      <c r="Q287" s="30">
        <f t="shared" si="19"/>
        <v>80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input_437010!A$2</f>
        <v>437010</v>
      </c>
      <c r="B288" s="5">
        <v>854</v>
      </c>
      <c r="C288" s="7" t="str">
        <f t="shared" si="20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IFERROR(VLOOKUP(B288,input_437010!L:R,7,FALSE),VLOOKUP(tables_437010!C288,input_437010!A:H,8,FALSE))</f>
        <v>969285</v>
      </c>
      <c r="P288" s="46">
        <f t="shared" ca="1" si="17"/>
        <v>9.3434065934065932E-3</v>
      </c>
      <c r="Q288" s="30">
        <f t="shared" si="19"/>
        <v>60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input_437010!A$2</f>
        <v>437010</v>
      </c>
      <c r="B289" s="5">
        <v>855</v>
      </c>
      <c r="C289" s="7" t="str">
        <f t="shared" si="20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IFERROR(VLOOKUP(B289,input_437010!L:R,7,FALSE),VLOOKUP(tables_437010!C289,input_437010!A:H,8,FALSE))</f>
        <v>81225</v>
      </c>
      <c r="P289" s="46">
        <f t="shared" ca="1" si="17"/>
        <v>7.8296703296703294E-4</v>
      </c>
      <c r="Q289" s="30">
        <f t="shared" si="19"/>
        <v>80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input_437010!A$2</f>
        <v>437010</v>
      </c>
      <c r="B290" s="5">
        <v>862</v>
      </c>
      <c r="C290" s="7" t="str">
        <f t="shared" ref="C290:C294" si="21">D290&amp;J290&amp;E290&amp;F290&amp;G290</f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IFERROR(VLOOKUP(B290,input_437010!L:R,7,FALSE),VLOOKUP(tables_437010!C290,input_437010!A:H,8,FALSE))</f>
        <v>969285</v>
      </c>
      <c r="P290" s="46">
        <f t="shared" ca="1" si="17"/>
        <v>9.3434065934065932E-3</v>
      </c>
      <c r="Q290" s="30">
        <f t="shared" si="19"/>
        <v>60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input_437010!A$2</f>
        <v>437010</v>
      </c>
      <c r="B291" s="5">
        <v>863</v>
      </c>
      <c r="C291" s="7" t="str">
        <f t="shared" si="21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IFERROR(VLOOKUP(B291,input_437010!L:R,7,FALSE),VLOOKUP(tables_437010!C291,input_437010!A:H,8,FALSE))</f>
        <v>81225</v>
      </c>
      <c r="P291" s="46">
        <f t="shared" ca="1" si="17"/>
        <v>7.8296703296703294E-4</v>
      </c>
      <c r="Q291" s="30">
        <f t="shared" si="19"/>
        <v>80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input_437010!A$2</f>
        <v>437010</v>
      </c>
      <c r="B292" s="5">
        <v>864</v>
      </c>
      <c r="C292" s="7" t="str">
        <f t="shared" si="21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IFERROR(VLOOKUP(B292,input_437010!L:R,7,FALSE),VLOOKUP(tables_437010!C292,input_437010!A:H,8,FALSE))</f>
        <v>969285</v>
      </c>
      <c r="P292" s="46">
        <f t="shared" ca="1" si="17"/>
        <v>9.3434065934065932E-3</v>
      </c>
      <c r="Q292" s="30">
        <f t="shared" si="19"/>
        <v>60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input_437010!A$2</f>
        <v>437010</v>
      </c>
      <c r="B293" s="5">
        <v>865</v>
      </c>
      <c r="C293" s="7" t="str">
        <f t="shared" si="21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IFERROR(VLOOKUP(B293,input_437010!L:R,7,FALSE),VLOOKUP(tables_437010!C293,input_437010!A:H,8,FALSE))</f>
        <v>81225</v>
      </c>
      <c r="P293" s="46">
        <f t="shared" ca="1" si="17"/>
        <v>7.8296703296703294E-4</v>
      </c>
      <c r="Q293" s="30">
        <f t="shared" si="19"/>
        <v>80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input_437010!A$2</f>
        <v>437010</v>
      </c>
      <c r="B294" s="5">
        <v>866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IFERROR(VLOOKUP(B294,input_437010!L:R,7,FALSE),VLOOKUP(tables_437010!C294,input_437010!A:H,8,FALSE))</f>
        <v>91000</v>
      </c>
      <c r="P294" s="46">
        <f t="shared" ca="1" si="17"/>
        <v>8.7719298245614037E-4</v>
      </c>
      <c r="Q294" s="30">
        <f t="shared" si="19"/>
        <v>80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input_437010!A$2</f>
        <v>437010</v>
      </c>
      <c r="B295" s="5">
        <v>868</v>
      </c>
      <c r="C295" s="7" t="str">
        <f t="shared" ref="C295:C299" si="22">D295&amp;J295&amp;E295&amp;F295&amp;G295</f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IFERROR(VLOOKUP(B295,input_437010!L:R,7,FALSE),VLOOKUP(tables_437010!C295,input_437010!A:H,8,FALSE))</f>
        <v>91000</v>
      </c>
      <c r="P295" s="46">
        <f t="shared" ca="1" si="17"/>
        <v>8.7719298245614037E-4</v>
      </c>
      <c r="Q295" s="30">
        <f t="shared" si="19"/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input_437010!A$2</f>
        <v>437010</v>
      </c>
      <c r="B296" s="5">
        <v>937</v>
      </c>
      <c r="C296" s="7" t="str">
        <f t="shared" si="22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IFERROR(VLOOKUP(B296,input_437010!L:R,7,FALSE),VLOOKUP(tables_437010!C296,input_437010!A:H,8,FALSE))</f>
        <v>91000</v>
      </c>
      <c r="P296" s="46">
        <f t="shared" ca="1" si="17"/>
        <v>8.7719298245614037E-4</v>
      </c>
      <c r="Q296" s="30">
        <f t="shared" si="19"/>
        <v>80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input_437010!A$2</f>
        <v>437010</v>
      </c>
      <c r="B297" s="5">
        <v>939</v>
      </c>
      <c r="C297" s="7" t="str">
        <f t="shared" si="22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IFERROR(VLOOKUP(B297,input_437010!L:R,7,FALSE),VLOOKUP(tables_437010!C297,input_437010!A:H,8,FALSE))</f>
        <v>969285</v>
      </c>
      <c r="P297" s="46">
        <f t="shared" ca="1" si="17"/>
        <v>9.3434065934065932E-3</v>
      </c>
      <c r="Q297" s="30">
        <f t="shared" si="19"/>
        <v>60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input_437010!A$2</f>
        <v>437010</v>
      </c>
      <c r="B298" s="5">
        <v>940</v>
      </c>
      <c r="C298" s="7" t="str">
        <f t="shared" si="22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IFERROR(VLOOKUP(B298,input_437010!L:R,7,FALSE),VLOOKUP(tables_437010!C298,input_437010!A:H,8,FALSE))</f>
        <v>81225</v>
      </c>
      <c r="P298" s="46">
        <f t="shared" ca="1" si="17"/>
        <v>7.8296703296703294E-4</v>
      </c>
      <c r="Q298" s="30">
        <f t="shared" si="19"/>
        <v>80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input_437010!A$2</f>
        <v>437010</v>
      </c>
      <c r="B299" s="5">
        <v>941</v>
      </c>
      <c r="C299" s="7" t="str">
        <f t="shared" si="22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IFERROR(VLOOKUP(B299,input_437010!L:R,7,FALSE),VLOOKUP(tables_437010!C299,input_437010!A:H,8,FALSE))</f>
        <v>91000</v>
      </c>
      <c r="P299" s="46">
        <f t="shared" ca="1" si="17"/>
        <v>8.7719298245614037E-4</v>
      </c>
      <c r="Q299" s="30">
        <f t="shared" si="19"/>
        <v>80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input_437010!A$2</f>
        <v>437010</v>
      </c>
      <c r="B300" s="5">
        <v>943</v>
      </c>
      <c r="C300" s="7" t="str">
        <f t="shared" ref="C300:C304" si="23">D300&amp;J300&amp;E300&amp;F300&amp;G300</f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IFERROR(VLOOKUP(B300,input_437010!L:R,7,FALSE),VLOOKUP(tables_437010!C300,input_437010!A:H,8,FALSE))</f>
        <v>91000</v>
      </c>
      <c r="P300" s="46">
        <f t="shared" ca="1" si="17"/>
        <v>8.7719298245614037E-4</v>
      </c>
      <c r="Q300" s="30">
        <f t="shared" si="19"/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input_437010!A$2</f>
        <v>437010</v>
      </c>
      <c r="B301" s="5">
        <v>1012</v>
      </c>
      <c r="C301" s="7" t="str">
        <f t="shared" si="23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IFERROR(VLOOKUP(B301,input_437010!L:R,7,FALSE),VLOOKUP(tables_437010!C301,input_437010!A:H,8,FALSE))</f>
        <v>91000</v>
      </c>
      <c r="P301" s="46">
        <f t="shared" ca="1" si="17"/>
        <v>8.7719298245614037E-4</v>
      </c>
      <c r="Q301" s="30">
        <f t="shared" si="19"/>
        <v>80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input_437010!A$2</f>
        <v>437010</v>
      </c>
      <c r="B302" s="5">
        <v>1014</v>
      </c>
      <c r="C302" s="7" t="str">
        <f t="shared" si="23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IFERROR(VLOOKUP(B302,input_437010!L:R,7,FALSE),VLOOKUP(tables_437010!C302,input_437010!A:H,8,FALSE))</f>
        <v>91000</v>
      </c>
      <c r="P302" s="46">
        <f t="shared" ca="1" si="17"/>
        <v>8.7719298245614037E-4</v>
      </c>
      <c r="Q302" s="30">
        <f t="shared" si="19"/>
        <v>80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input_437010!A$2</f>
        <v>437010</v>
      </c>
      <c r="B303" s="5">
        <v>1016</v>
      </c>
      <c r="C303" s="7" t="str">
        <f t="shared" si="23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IFERROR(VLOOKUP(B303,input_437010!L:R,7,FALSE),VLOOKUP(tables_437010!C303,input_437010!A:H,8,FALSE))</f>
        <v>969285</v>
      </c>
      <c r="P303" s="46">
        <f t="shared" ca="1" si="17"/>
        <v>9.3434065934065932E-3</v>
      </c>
      <c r="Q303" s="30">
        <f t="shared" si="19"/>
        <v>60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input_437010!A$2</f>
        <v>437010</v>
      </c>
      <c r="B304" s="5">
        <v>1017</v>
      </c>
      <c r="C304" s="7" t="str">
        <f t="shared" si="23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IFERROR(VLOOKUP(B304,input_437010!L:R,7,FALSE),VLOOKUP(tables_437010!C304,input_437010!A:H,8,FALSE))</f>
        <v>81225</v>
      </c>
      <c r="P304" s="46">
        <f t="shared" ca="1" si="17"/>
        <v>7.8296703296703294E-4</v>
      </c>
      <c r="Q304" s="30">
        <f t="shared" si="19"/>
        <v>80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input_437010!A$2</f>
        <v>437010</v>
      </c>
      <c r="B305" s="5">
        <v>1018</v>
      </c>
      <c r="C305" s="7" t="str">
        <f t="shared" ref="C305:C309" si="24">D305&amp;J305&amp;E305&amp;F305&amp;G305</f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IFERROR(VLOOKUP(B305,input_437010!L:R,7,FALSE),VLOOKUP(tables_437010!C305,input_437010!A:H,8,FALSE))</f>
        <v>91000</v>
      </c>
      <c r="P305" s="46">
        <f t="shared" ca="1" si="17"/>
        <v>8.7719298245614037E-4</v>
      </c>
      <c r="Q305" s="30">
        <f t="shared" si="19"/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input_437010!A$2</f>
        <v>437010</v>
      </c>
      <c r="B306" s="5">
        <v>1026</v>
      </c>
      <c r="C306" s="7" t="str">
        <f t="shared" si="24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IFERROR(VLOOKUP(B306,input_437010!L:R,7,FALSE),VLOOKUP(tables_437010!C306,input_437010!A:H,8,FALSE))</f>
        <v>969285</v>
      </c>
      <c r="P306" s="46">
        <f t="shared" ca="1" si="17"/>
        <v>9.3434065934065932E-3</v>
      </c>
      <c r="Q306" s="30">
        <f t="shared" si="19"/>
        <v>60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input_437010!A$2</f>
        <v>437010</v>
      </c>
      <c r="B307" s="5">
        <v>1027</v>
      </c>
      <c r="C307" s="7" t="str">
        <f t="shared" si="24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IFERROR(VLOOKUP(B307,input_437010!L:R,7,FALSE),VLOOKUP(tables_437010!C307,input_437010!A:H,8,FALSE))</f>
        <v>81225</v>
      </c>
      <c r="P307" s="46">
        <f t="shared" ca="1" si="17"/>
        <v>7.8296703296703294E-4</v>
      </c>
      <c r="Q307" s="30">
        <f t="shared" si="19"/>
        <v>80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input_437010!A$2</f>
        <v>437010</v>
      </c>
      <c r="B308" s="5">
        <v>1028</v>
      </c>
      <c r="C308" s="7" t="str">
        <f t="shared" si="24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IFERROR(VLOOKUP(B308,input_437010!L:R,7,FALSE),VLOOKUP(tables_437010!C308,input_437010!A:H,8,FALSE))</f>
        <v>91000</v>
      </c>
      <c r="P308" s="46">
        <f t="shared" ca="1" si="17"/>
        <v>8.7719298245614037E-4</v>
      </c>
      <c r="Q308" s="30">
        <f t="shared" si="19"/>
        <v>80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input_437010!A$2</f>
        <v>437010</v>
      </c>
      <c r="B309" s="5">
        <v>1031</v>
      </c>
      <c r="C309" s="7" t="str">
        <f t="shared" si="24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IFERROR(VLOOKUP(B309,input_437010!L:R,7,FALSE),VLOOKUP(tables_437010!C309,input_437010!A:H,8,FALSE))</f>
        <v>91000</v>
      </c>
      <c r="P309" s="46">
        <f t="shared" ca="1" si="17"/>
        <v>8.7719298245614037E-4</v>
      </c>
      <c r="Q309" s="30">
        <f t="shared" si="19"/>
        <v>80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input_437010!A$2</f>
        <v>437010</v>
      </c>
      <c r="B310" s="5">
        <v>1033</v>
      </c>
      <c r="C310" s="7" t="str">
        <f t="shared" ref="C310:C314" si="25">D310&amp;J310&amp;E310&amp;F310&amp;G310</f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IFERROR(VLOOKUP(B310,input_437010!L:R,7,FALSE),VLOOKUP(tables_437010!C310,input_437010!A:H,8,FALSE))</f>
        <v>91000</v>
      </c>
      <c r="P310" s="46">
        <f t="shared" ca="1" si="17"/>
        <v>8.7719298245614037E-4</v>
      </c>
      <c r="Q310" s="30">
        <f t="shared" si="19"/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input_437010!A$2</f>
        <v>437010</v>
      </c>
      <c r="B311" s="5">
        <v>1067</v>
      </c>
      <c r="C311" s="7" t="str">
        <f t="shared" si="25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IFERROR(VLOOKUP(B311,input_437010!L:R,7,FALSE),VLOOKUP(tables_437010!C311,input_437010!A:H,8,FALSE))</f>
        <v>969285</v>
      </c>
      <c r="P311" s="46">
        <f t="shared" ca="1" si="17"/>
        <v>9.3434065934065932E-3</v>
      </c>
      <c r="Q311" s="30">
        <f t="shared" si="19"/>
        <v>60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input_437010!A$2</f>
        <v>437010</v>
      </c>
      <c r="B312" s="5">
        <v>1068</v>
      </c>
      <c r="C312" s="7" t="str">
        <f t="shared" si="25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IFERROR(VLOOKUP(B312,input_437010!L:R,7,FALSE),VLOOKUP(tables_437010!C312,input_437010!A:H,8,FALSE))</f>
        <v>81225</v>
      </c>
      <c r="P312" s="46">
        <f t="shared" ca="1" si="17"/>
        <v>7.8296703296703294E-4</v>
      </c>
      <c r="Q312" s="30">
        <f t="shared" si="19"/>
        <v>80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input_437010!A$2</f>
        <v>437010</v>
      </c>
      <c r="B313" s="5">
        <v>1069</v>
      </c>
      <c r="C313" s="7" t="str">
        <f t="shared" si="25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IFERROR(VLOOKUP(B313,input_437010!L:R,7,FALSE),VLOOKUP(tables_437010!C313,input_437010!A:H,8,FALSE))</f>
        <v>91000</v>
      </c>
      <c r="P313" s="46">
        <f t="shared" ca="1" si="17"/>
        <v>8.7719298245614037E-4</v>
      </c>
      <c r="Q313" s="30">
        <f t="shared" si="19"/>
        <v>80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input_437010!A$2</f>
        <v>437010</v>
      </c>
      <c r="B314" s="5">
        <v>1072</v>
      </c>
      <c r="C314" s="7" t="str">
        <f t="shared" si="25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IFERROR(VLOOKUP(B314,input_437010!L:R,7,FALSE),VLOOKUP(tables_437010!C314,input_437010!A:H,8,FALSE))</f>
        <v>91000</v>
      </c>
      <c r="P314" s="46">
        <f t="shared" ca="1" si="17"/>
        <v>8.7719298245614037E-4</v>
      </c>
      <c r="Q314" s="30">
        <f t="shared" si="19"/>
        <v>80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input_437010!A$2</f>
        <v>437010</v>
      </c>
      <c r="B315" s="5">
        <v>1074</v>
      </c>
      <c r="C315" s="7" t="str">
        <f t="shared" ref="C315:C319" si="26">D315&amp;J315&amp;E315&amp;F315&amp;G315</f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IFERROR(VLOOKUP(B315,input_437010!L:R,7,FALSE),VLOOKUP(tables_437010!C315,input_437010!A:H,8,FALSE))</f>
        <v>91000</v>
      </c>
      <c r="P315" s="46">
        <f t="shared" ca="1" si="17"/>
        <v>8.7719298245614037E-4</v>
      </c>
      <c r="Q315" s="30">
        <f t="shared" si="19"/>
        <v>80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input_437010!A$2</f>
        <v>437010</v>
      </c>
      <c r="B316" s="5">
        <v>1100</v>
      </c>
      <c r="C316" s="7" t="str">
        <f t="shared" si="2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IFERROR(VLOOKUP(B316,input_437010!L:R,7,FALSE),VLOOKUP(tables_437010!C316,input_437010!A:H,8,FALSE))</f>
        <v>91000</v>
      </c>
      <c r="P316" s="46">
        <f t="shared" ca="1" si="17"/>
        <v>8.7719298245614037E-4</v>
      </c>
      <c r="Q316" s="30">
        <f t="shared" si="19"/>
        <v>80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input_437010!A$2</f>
        <v>437010</v>
      </c>
      <c r="B317" s="5">
        <v>1102</v>
      </c>
      <c r="C317" s="7" t="str">
        <f t="shared" si="2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IFERROR(VLOOKUP(B317,input_437010!L:R,7,FALSE),VLOOKUP(tables_437010!C317,input_437010!A:H,8,FALSE))</f>
        <v>91000</v>
      </c>
      <c r="P317" s="46">
        <f t="shared" ca="1" si="17"/>
        <v>8.7719298245614037E-4</v>
      </c>
      <c r="Q317" s="30">
        <f t="shared" si="19"/>
        <v>80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input_437010!A$2</f>
        <v>437010</v>
      </c>
      <c r="B318" s="5">
        <v>1104</v>
      </c>
      <c r="C318" s="7" t="str">
        <f t="shared" si="2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IFERROR(VLOOKUP(B318,input_437010!L:R,7,FALSE),VLOOKUP(tables_437010!C318,input_437010!A:H,8,FALSE))</f>
        <v>969285</v>
      </c>
      <c r="P318" s="46">
        <f t="shared" ca="1" si="17"/>
        <v>9.3434065934065932E-3</v>
      </c>
      <c r="Q318" s="30">
        <f t="shared" si="19"/>
        <v>60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input_437010!A$2</f>
        <v>437010</v>
      </c>
      <c r="B319" s="5">
        <v>1105</v>
      </c>
      <c r="C319" s="7" t="str">
        <f t="shared" si="2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IFERROR(VLOOKUP(B319,input_437010!L:R,7,FALSE),VLOOKUP(tables_437010!C319,input_437010!A:H,8,FALSE))</f>
        <v>81225</v>
      </c>
      <c r="P319" s="46">
        <f t="shared" ca="1" si="17"/>
        <v>7.8296703296703294E-4</v>
      </c>
      <c r="Q319" s="30">
        <f t="shared" si="19"/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input_437010!A$2</f>
        <v>437010</v>
      </c>
      <c r="B320" s="5">
        <v>1106</v>
      </c>
      <c r="C320" s="7" t="str">
        <f t="shared" ref="C320:C324" si="27">D320&amp;J320&amp;E320&amp;F320&amp;G320</f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IFERROR(VLOOKUP(B320,input_437010!L:R,7,FALSE),VLOOKUP(tables_437010!C320,input_437010!A:H,8,FALSE))</f>
        <v>91000</v>
      </c>
      <c r="P320" s="46">
        <f t="shared" ca="1" si="17"/>
        <v>8.7719298245614037E-4</v>
      </c>
      <c r="Q320" s="30">
        <f t="shared" si="19"/>
        <v>80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input_437010!A$2</f>
        <v>437010</v>
      </c>
      <c r="B321" s="5">
        <v>1137</v>
      </c>
      <c r="C321" s="7" t="str">
        <f t="shared" si="27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IFERROR(VLOOKUP(B321,input_437010!L:R,7,FALSE),VLOOKUP(tables_437010!C321,input_437010!A:H,8,FALSE))</f>
        <v>91000</v>
      </c>
      <c r="P321" s="46">
        <f t="shared" ca="1" si="17"/>
        <v>8.7719298245614037E-4</v>
      </c>
      <c r="Q321" s="30">
        <f t="shared" si="19"/>
        <v>80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input_437010!A$2</f>
        <v>437010</v>
      </c>
      <c r="B322" s="5">
        <v>1139</v>
      </c>
      <c r="C322" s="7" t="str">
        <f t="shared" si="27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IFERROR(VLOOKUP(B322,input_437010!L:R,7,FALSE),VLOOKUP(tables_437010!C322,input_437010!A:H,8,FALSE))</f>
        <v>91000</v>
      </c>
      <c r="P322" s="46">
        <f t="shared" ref="P322:P330" ca="1" si="28">O322/SUM(O:O)</f>
        <v>8.7719298245614037E-4</v>
      </c>
      <c r="Q322" s="30">
        <f t="shared" si="19"/>
        <v>80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input_437010!A$2</f>
        <v>437010</v>
      </c>
      <c r="B323" s="5">
        <v>1141</v>
      </c>
      <c r="C323" s="7" t="str">
        <f t="shared" si="27"/>
        <v>PremiumSS5R5only</v>
      </c>
      <c r="D323" s="7" t="str">
        <f t="shared" ref="D323:D330" si="2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IFERROR(VLOOKUP(B323,input_437010!L:R,7,FALSE),VLOOKUP(tables_437010!C323,input_437010!A:H,8,FALSE))</f>
        <v>91000</v>
      </c>
      <c r="P323" s="46">
        <f t="shared" ca="1" si="28"/>
        <v>8.7719298245614037E-4</v>
      </c>
      <c r="Q323" s="30">
        <f t="shared" ref="Q323:Q330" si="30">IF(J323=3,40,IF(J323=4,60,IF(J323=5,80,"")))</f>
        <v>80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input_437010!A$2</f>
        <v>437010</v>
      </c>
      <c r="B324" s="2">
        <v>1143</v>
      </c>
      <c r="C324" s="7" t="str">
        <f t="shared" si="27"/>
        <v>Premium4R3less</v>
      </c>
      <c r="D324" s="7" t="str">
        <f t="shared" si="2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IFERROR(VLOOKUP(B324,input_437010!L:R,7,FALSE),VLOOKUP(tables_437010!C324,input_437010!A:H,8,FALSE))</f>
        <v>969285</v>
      </c>
      <c r="P324" s="46">
        <f t="shared" ca="1" si="28"/>
        <v>9.3434065934065932E-3</v>
      </c>
      <c r="Q324" s="30">
        <f t="shared" si="30"/>
        <v>60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input_437010!A$2</f>
        <v>437010</v>
      </c>
      <c r="B325" s="2">
        <v>1144</v>
      </c>
      <c r="C325" s="7" t="str">
        <f t="shared" ref="C325:C330" si="31">D325&amp;J325&amp;E325&amp;F325&amp;G325</f>
        <v>Premium5R3less</v>
      </c>
      <c r="D325" s="7" t="str">
        <f t="shared" si="2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IFERROR(VLOOKUP(B325,input_437010!L:R,7,FALSE),VLOOKUP(tables_437010!C325,input_437010!A:H,8,FALSE))</f>
        <v>81225</v>
      </c>
      <c r="P325" s="46">
        <f t="shared" ca="1" si="28"/>
        <v>7.8296703296703294E-4</v>
      </c>
      <c r="Q325" s="30">
        <f t="shared" si="30"/>
        <v>80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input_437010!A$2</f>
        <v>437010</v>
      </c>
      <c r="B326" s="2">
        <v>1151</v>
      </c>
      <c r="C326" s="7" t="str">
        <f t="shared" si="31"/>
        <v>Premium4R3less</v>
      </c>
      <c r="D326" s="7" t="str">
        <f t="shared" si="2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IFERROR(VLOOKUP(B326,input_437010!L:R,7,FALSE),VLOOKUP(tables_437010!C326,input_437010!A:H,8,FALSE))</f>
        <v>969285</v>
      </c>
      <c r="P326" s="46">
        <f t="shared" ca="1" si="28"/>
        <v>9.3434065934065932E-3</v>
      </c>
      <c r="Q326" s="30">
        <f t="shared" si="30"/>
        <v>60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input_437010!A$2</f>
        <v>437010</v>
      </c>
      <c r="B327" s="2">
        <v>1152</v>
      </c>
      <c r="C327" s="7" t="str">
        <f t="shared" si="31"/>
        <v>Premium5R3less</v>
      </c>
      <c r="D327" s="7" t="str">
        <f t="shared" si="2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IFERROR(VLOOKUP(B327,input_437010!L:R,7,FALSE),VLOOKUP(tables_437010!C327,input_437010!A:H,8,FALSE))</f>
        <v>81225</v>
      </c>
      <c r="P327" s="46">
        <f t="shared" ca="1" si="28"/>
        <v>7.8296703296703294E-4</v>
      </c>
      <c r="Q327" s="30">
        <f t="shared" si="30"/>
        <v>80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input_437010!A$2</f>
        <v>437010</v>
      </c>
      <c r="B328" s="2">
        <v>1153</v>
      </c>
      <c r="C328" s="7" t="str">
        <f t="shared" si="31"/>
        <v>PremiumSS5R5only</v>
      </c>
      <c r="D328" s="7" t="str">
        <f t="shared" si="2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IFERROR(VLOOKUP(B328,input_437010!L:R,7,FALSE),VLOOKUP(tables_437010!C328,input_437010!A:H,8,FALSE))</f>
        <v>91000</v>
      </c>
      <c r="P328" s="46">
        <f t="shared" ca="1" si="28"/>
        <v>8.7719298245614037E-4</v>
      </c>
      <c r="Q328" s="30">
        <f t="shared" si="30"/>
        <v>80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input_437010!A$2</f>
        <v>437010</v>
      </c>
      <c r="B329" s="2">
        <v>1155</v>
      </c>
      <c r="C329" s="7" t="str">
        <f t="shared" si="31"/>
        <v>PremiumSS5R5only</v>
      </c>
      <c r="D329" s="7" t="str">
        <f t="shared" si="2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IFERROR(VLOOKUP(B329,input_437010!L:R,7,FALSE),VLOOKUP(tables_437010!C329,input_437010!A:H,8,FALSE))</f>
        <v>91000</v>
      </c>
      <c r="P329" s="46">
        <f t="shared" ca="1" si="28"/>
        <v>8.7719298245614037E-4</v>
      </c>
      <c r="Q329" s="30">
        <f t="shared" si="30"/>
        <v>80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input_437010!A$2</f>
        <v>437010</v>
      </c>
      <c r="B330" s="2">
        <v>1157</v>
      </c>
      <c r="C330" s="7" t="str">
        <f t="shared" si="31"/>
        <v>PremiumSS5R5only</v>
      </c>
      <c r="D330" s="98" t="str">
        <f t="shared" si="2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IFERROR(VLOOKUP(B330,input_437010!L:R,7,FALSE),VLOOKUP(tables_437010!C330,input_437010!A:H,8,FALSE))</f>
        <v>91000</v>
      </c>
      <c r="P330" s="46">
        <f t="shared" ca="1" si="28"/>
        <v>8.7719298245614037E-4</v>
      </c>
      <c r="Q330" s="30">
        <f t="shared" si="30"/>
        <v>80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D331" s="99"/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E37" sqref="E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VLOOKUP(L3,tables_437100!B:C,2,FALSE)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VLOOKUP(L4,tables_437100!B:C,2,FALSE)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8.7719298245614037E-4</v>
      </c>
      <c r="F5">
        <f>(COUNTIF(tables_437100!C:C,input_437100!A28)+COUNTIF(tables_437100!C:C,input_437100!A29))</f>
        <v>57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VLOOKUP(L5,tables_437100!B:C,2,FALSE)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1.0439560439560439E-2</v>
      </c>
      <c r="F6">
        <f>(COUNTIF(tables_437100!C:C,input_437100!A25)+COUNTIF(tables_437100!C:C,input_437100!A18)+COUNTIF(tables_437100!C:C,input_437100!A20)+COUNTIF(tables_437100!C:C,input_437100!A22))</f>
        <v>91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COUNTIF(tables_437100!C:C,input_437100!A17)-COUNTIF(Q:Q,A17)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0.20879120879120877</v>
      </c>
      <c r="C18" s="85">
        <f t="shared" si="2"/>
        <v>0</v>
      </c>
      <c r="D18" s="74">
        <f t="shared" si="3"/>
        <v>0.20879120879120877</v>
      </c>
      <c r="E18">
        <f>COUNTIF(tables_437100!C:C,input_437100!A18)-COUNTIF(Q:Q,A18)</f>
        <v>20</v>
      </c>
      <c r="F18" s="43">
        <f>IFERROR(B18/E18,0)</f>
        <v>1.0439560439560439E-2</v>
      </c>
      <c r="G18">
        <f t="shared" si="4"/>
        <v>21659999.999999996</v>
      </c>
      <c r="H18">
        <f t="shared" si="5"/>
        <v>1083000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COUNTIF(tables_437100!C:C,input_437100!A19)-COUNTIF(Q:Q,A19)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E$6*E20*B$6+E34</f>
        <v>0.51471202043570463</v>
      </c>
      <c r="C20" s="85">
        <f t="shared" si="2"/>
        <v>0</v>
      </c>
      <c r="D20" s="74">
        <f t="shared" si="3"/>
        <v>0.51471202043570463</v>
      </c>
      <c r="E20">
        <f>COUNTIF(tables_437100!C:C,input_437100!A20)-COUNTIF(Q:Q,A20)</f>
        <v>52</v>
      </c>
      <c r="F20" s="43">
        <f t="shared" si="8"/>
        <v>9.8983080853020117E-3</v>
      </c>
      <c r="G20">
        <f t="shared" si="4"/>
        <v>53396225</v>
      </c>
      <c r="H20">
        <f t="shared" si="5"/>
        <v>1026850.48077</v>
      </c>
      <c r="I20">
        <f t="shared" si="6"/>
        <v>0.48077000002376735</v>
      </c>
      <c r="J20">
        <f t="shared" si="7"/>
        <v>2.079996671902498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2.8145122421438216E-2</v>
      </c>
      <c r="C21" s="85">
        <f t="shared" si="2"/>
        <v>0</v>
      </c>
      <c r="D21" s="74">
        <f t="shared" si="3"/>
        <v>2.8145122421438216E-2</v>
      </c>
      <c r="E21">
        <f>COUNTIF(tables_437100!C:C,input_437100!A21)-COUNTIF(Q:Q,A21)</f>
        <v>52</v>
      </c>
      <c r="F21" s="43">
        <f t="shared" si="8"/>
        <v>5.4125235425842727E-4</v>
      </c>
      <c r="G21">
        <f t="shared" si="4"/>
        <v>2919775.0000000005</v>
      </c>
      <c r="H21">
        <f t="shared" si="5"/>
        <v>56149.519229999998</v>
      </c>
      <c r="I21">
        <f t="shared" si="6"/>
        <v>0.51922999999806052</v>
      </c>
      <c r="J21">
        <f t="shared" si="7"/>
        <v>1.9259287791609407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0.14015109890109889</v>
      </c>
      <c r="C22" s="85">
        <f t="shared" si="2"/>
        <v>0</v>
      </c>
      <c r="D22" s="74">
        <f t="shared" si="3"/>
        <v>0.14015109890109889</v>
      </c>
      <c r="E22">
        <f>COUNTIF(tables_437100!C:C,input_437100!A22)-COUNTIF(Q:Q,A22)</f>
        <v>15</v>
      </c>
      <c r="F22" s="43">
        <f t="shared" si="8"/>
        <v>9.3434065934065932E-3</v>
      </c>
      <c r="G22">
        <f t="shared" si="4"/>
        <v>14539274.999999998</v>
      </c>
      <c r="H22">
        <f t="shared" si="5"/>
        <v>969285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1.644230769230769E-2</v>
      </c>
      <c r="C23" s="85">
        <f t="shared" si="2"/>
        <v>0</v>
      </c>
      <c r="D23" s="74">
        <f t="shared" si="3"/>
        <v>1.644230769230769E-2</v>
      </c>
      <c r="E23">
        <f>COUNTIF(tables_437100!C:C,input_437100!A23)-COUNTIF(Q:Q,A23)</f>
        <v>21</v>
      </c>
      <c r="F23" s="43">
        <f t="shared" si="8"/>
        <v>7.8296703296703283E-4</v>
      </c>
      <c r="G23">
        <f t="shared" si="4"/>
        <v>1705724.9999999998</v>
      </c>
      <c r="H23">
        <f t="shared" si="5"/>
        <v>81225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COUNTIF(tables_437100!C:C,input_437100!A24)-COUNTIF(Q:Q,A24)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3.8626373626373625E-2</v>
      </c>
      <c r="C25" s="85">
        <f t="shared" si="2"/>
        <v>0</v>
      </c>
      <c r="D25" s="74">
        <f t="shared" si="3"/>
        <v>3.8626373626373625E-2</v>
      </c>
      <c r="E25">
        <f>COUNTIF(tables_437100!C:C,input_437100!A25)-COUNTIF(Q:Q,A25)</f>
        <v>4</v>
      </c>
      <c r="F25" s="43">
        <f t="shared" si="8"/>
        <v>9.6565934065934063E-3</v>
      </c>
      <c r="G25">
        <f t="shared" si="4"/>
        <v>4007100</v>
      </c>
      <c r="H25">
        <f t="shared" si="5"/>
        <v>1001775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3.1318681318681318E-3</v>
      </c>
      <c r="C26" s="85">
        <f t="shared" si="2"/>
        <v>0</v>
      </c>
      <c r="D26" s="74">
        <f t="shared" si="3"/>
        <v>3.1318681318681318E-3</v>
      </c>
      <c r="E26">
        <f>COUNTIF(tables_437100!C:C,input_437100!A26)-COUNTIF(Q:Q,A26)</f>
        <v>4</v>
      </c>
      <c r="F26" s="43">
        <f t="shared" si="8"/>
        <v>7.8296703296703294E-4</v>
      </c>
      <c r="G26">
        <f t="shared" si="4"/>
        <v>324900</v>
      </c>
      <c r="H26">
        <f t="shared" si="5"/>
        <v>81225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2.2719298245614035E-2</v>
      </c>
      <c r="C27" s="85">
        <f t="shared" si="2"/>
        <v>0</v>
      </c>
      <c r="D27" s="74">
        <f t="shared" si="3"/>
        <v>2.2719298245614035E-2</v>
      </c>
      <c r="E27">
        <f>COUNTIF(tables_437100!C:C,input_437100!A27)-COUNTIF(Q:Q,A27)</f>
        <v>28</v>
      </c>
      <c r="F27" s="43">
        <f>IFERROR(B27/E27,0)</f>
        <v>8.1140350877192979E-4</v>
      </c>
      <c r="G27">
        <f t="shared" si="4"/>
        <v>2356900</v>
      </c>
      <c r="H27">
        <f t="shared" si="5"/>
        <v>84175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1.8421052631578947E-3</v>
      </c>
      <c r="C28" s="85">
        <f t="shared" si="2"/>
        <v>0</v>
      </c>
      <c r="D28" s="74">
        <f t="shared" si="3"/>
        <v>1.8421052631578947E-3</v>
      </c>
      <c r="E28">
        <f>COUNTIF(tables_437100!C:C,input_437100!A28)-COUNTIF(Q:Q,A28)</f>
        <v>28</v>
      </c>
      <c r="F28" s="43">
        <f t="shared" si="8"/>
        <v>6.5789473684210525E-5</v>
      </c>
      <c r="G28">
        <f t="shared" si="4"/>
        <v>191100</v>
      </c>
      <c r="H28">
        <f t="shared" si="5"/>
        <v>6825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2.5438596491228069E-2</v>
      </c>
      <c r="C29" s="85">
        <f t="shared" si="2"/>
        <v>0</v>
      </c>
      <c r="D29" s="74">
        <f t="shared" si="3"/>
        <v>2.5438596491228069E-2</v>
      </c>
      <c r="E29">
        <f>COUNTIF(tables_437100!C:C,input_437100!A29)-COUNTIF(Q:Q,A29)</f>
        <v>29</v>
      </c>
      <c r="F29" s="43">
        <f t="shared" si="8"/>
        <v>8.7719298245614037E-4</v>
      </c>
      <c r="G29">
        <f t="shared" si="4"/>
        <v>2639000</v>
      </c>
      <c r="H29">
        <f t="shared" si="5"/>
        <v>91000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COUNTIF(tables_437100!C:C,input_437100!A30)-COUNTIF(Q:Q,A30)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COUNTIF(tables_437100!C:C,input_437100!A31)-COUNTIF(Q:Q,A31)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1.2569163292847518E-2</v>
      </c>
    </row>
    <row r="35" spans="1:7" x14ac:dyDescent="0.15">
      <c r="A35" t="s">
        <v>73</v>
      </c>
    </row>
    <row r="36" spans="1:7" x14ac:dyDescent="0.15">
      <c r="A36" s="31">
        <f>LCM(F5-I5,F6-I6)*1000*2*2*5</f>
        <v>103740000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SUMIF(tables_437100!C:C,input_437100!A40,tables_437100!O:O)</f>
        <v>0</v>
      </c>
      <c r="C40" s="54">
        <f t="shared" ref="C40:C46" ca="1" si="9">B40/B$47</f>
        <v>0</v>
      </c>
      <c r="E40">
        <v>3</v>
      </c>
      <c r="F40">
        <f ca="1">SUMIF(tables_437100!J:J,input_437100!E40,tables_437100!O:O)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SUMIF(tables_437100!C:C,input_437100!A41,tables_437100!O:O)</f>
        <v>53396225.000039972</v>
      </c>
      <c r="C41" s="54">
        <f t="shared" ca="1" si="9"/>
        <v>0.90711173212897511</v>
      </c>
      <c r="E41">
        <v>4</v>
      </c>
      <c r="F41">
        <f ca="1">SUMIF(tables_437100!J:J,input_437100!E41,tables_437100!O:O)</f>
        <v>95959500.000040054</v>
      </c>
      <c r="G41">
        <f ca="1">F41/A36</f>
        <v>0.92500000000038607</v>
      </c>
    </row>
    <row r="42" spans="1:7" x14ac:dyDescent="0.15">
      <c r="A42" s="33" t="s">
        <v>106</v>
      </c>
      <c r="B42">
        <f ca="1">SUMIF(tables_437100!C:C,input_437100!A42,tables_437100!O:O)</f>
        <v>2356900</v>
      </c>
      <c r="C42" s="54">
        <f t="shared" ca="1" si="9"/>
        <v>4.0039752650176695E-2</v>
      </c>
      <c r="E42">
        <v>5</v>
      </c>
      <c r="F42">
        <f ca="1">SUMIF(tables_437100!J:J,input_437100!E42,tables_437100!O:O)</f>
        <v>7780499.9999600034</v>
      </c>
      <c r="G42">
        <f ca="1">F42/A36</f>
        <v>7.4999999999614458E-2</v>
      </c>
    </row>
    <row r="43" spans="1:7" x14ac:dyDescent="0.15">
      <c r="A43" s="33" t="s">
        <v>109</v>
      </c>
      <c r="B43">
        <f>SUMIF(tables_437100!C:C,input_437100!A43,tables_437100!O:O)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SUMIF(tables_437100!C:C,input_437100!A44,tables_437100!O:O)</f>
        <v>2919774.9999600025</v>
      </c>
      <c r="C44" s="54">
        <f t="shared" ca="1" si="9"/>
        <v>4.960204878975271E-2</v>
      </c>
      <c r="E44" t="s">
        <v>54</v>
      </c>
      <c r="F44" s="55"/>
    </row>
    <row r="45" spans="1:7" x14ac:dyDescent="0.15">
      <c r="A45" s="33" t="s">
        <v>107</v>
      </c>
      <c r="B45">
        <f ca="1">SUMIF(tables_437100!C:C,input_437100!A45,tables_437100!O:O)</f>
        <v>191100</v>
      </c>
      <c r="C45" s="54">
        <f t="shared" ca="1" si="9"/>
        <v>3.2464664310954076E-3</v>
      </c>
      <c r="E45" t="s">
        <v>204</v>
      </c>
      <c r="F45" s="55">
        <f ca="1">SUMIF(tables_437100!I:I,input_437100!E45,tables_437100!P:P)</f>
        <v>0.21348901098901099</v>
      </c>
    </row>
    <row r="46" spans="1:7" x14ac:dyDescent="0.15">
      <c r="A46" s="33" t="s">
        <v>108</v>
      </c>
      <c r="B46">
        <f>SUMIF(tables_437100!C:C,input_437100!A46,tables_437100!O:O)</f>
        <v>0</v>
      </c>
      <c r="C46" s="54">
        <f t="shared" ca="1" si="9"/>
        <v>0</v>
      </c>
      <c r="E46" t="s">
        <v>205</v>
      </c>
      <c r="F46" s="55">
        <f ca="1">SUMIF(tables_437100!I:I,input_437100!E46,tables_437100!P:P)</f>
        <v>0.20879120879120866</v>
      </c>
    </row>
    <row r="47" spans="1:7" x14ac:dyDescent="0.15">
      <c r="A47" s="39" t="s">
        <v>59</v>
      </c>
      <c r="B47">
        <f ca="1">SUM(B40:B46)</f>
        <v>58863999.999999978</v>
      </c>
      <c r="C47" s="55">
        <f ca="1">SUM(C40:C46)</f>
        <v>0.99999999999999989</v>
      </c>
      <c r="E47" t="s">
        <v>206</v>
      </c>
      <c r="F47" s="55">
        <f ca="1">SUMIF(tables_437100!I:I,input_437100!E47,tables_437100!P:P)</f>
        <v>0.52771978021978028</v>
      </c>
    </row>
    <row r="48" spans="1:7" x14ac:dyDescent="0.15">
      <c r="E48" t="s">
        <v>207</v>
      </c>
      <c r="F48" s="55">
        <f ca="1">SUMIF(tables_437100!I:I,input_437100!E48,tables_437100!P:P)</f>
        <v>4.6491228070175465E-2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0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Q2" sqref="Q2:Q33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input_437100!A$2</f>
        <v>437100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IFERROR(VLOOKUP(B2,input_437100!L:R,7,FALSE),VLOOKUP(tables_437100!C2,input_437100!A:H,8,FALSE))</f>
        <v>0</v>
      </c>
      <c r="P2" s="46">
        <f t="shared" ref="P2:P65" ca="1" si="1">O2/SUM(O:O)</f>
        <v>0</v>
      </c>
      <c r="Q2" s="30">
        <f>IF(J2=3,40,IF(J2=4,60,IF(J2=5,80,"")))</f>
        <v>40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input_437100!A$2</f>
        <v>437100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IFERROR(VLOOKUP(B3,input_437100!L:R,7,FALSE),VLOOKUP(tables_437100!C3,input_437100!A:H,8,FALSE))</f>
        <v>1083000</v>
      </c>
      <c r="P3" s="46">
        <f t="shared" ca="1" si="1"/>
        <v>1.0439560439560439E-2</v>
      </c>
      <c r="Q3" s="30">
        <f t="shared" ref="Q3:Q66" si="3">IF(J3=3,40,IF(J3=4,60,IF(J3=5,80,"")))</f>
        <v>60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input_437100!A$2</f>
        <v>437100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IFERROR(VLOOKUP(B4,input_437100!L:R,7,FALSE),VLOOKUP(tables_437100!C4,input_437100!A:H,8,FALSE))</f>
        <v>0</v>
      </c>
      <c r="P4" s="46">
        <f t="shared" ca="1" si="1"/>
        <v>0</v>
      </c>
      <c r="Q4" s="30">
        <f t="shared" si="3"/>
        <v>40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input_437100!A$2</f>
        <v>437100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IFERROR(VLOOKUP(B5,input_437100!L:R,7,FALSE),VLOOKUP(tables_437100!C5,input_437100!A:H,8,FALSE))</f>
        <v>1083000</v>
      </c>
      <c r="P5" s="46">
        <f t="shared" ca="1" si="1"/>
        <v>1.0439560439560439E-2</v>
      </c>
      <c r="Q5" s="30">
        <f t="shared" si="3"/>
        <v>60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input_437100!A$2</f>
        <v>437100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IFERROR(VLOOKUP(B6,input_437100!L:R,7,FALSE),VLOOKUP(tables_437100!C6,input_437100!A:H,8,FALSE))</f>
        <v>0</v>
      </c>
      <c r="P6" s="46">
        <f t="shared" ca="1" si="1"/>
        <v>0</v>
      </c>
      <c r="Q6" s="30">
        <f t="shared" si="3"/>
        <v>40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input_437100!A$2</f>
        <v>437100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IFERROR(VLOOKUP(B7,input_437100!L:R,7,FALSE),VLOOKUP(tables_437100!C7,input_437100!A:H,8,FALSE))</f>
        <v>1083000</v>
      </c>
      <c r="P7" s="46">
        <f t="shared" ca="1" si="1"/>
        <v>1.0439560439560439E-2</v>
      </c>
      <c r="Q7" s="30">
        <f t="shared" si="3"/>
        <v>60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input_437100!A$2</f>
        <v>437100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IFERROR(VLOOKUP(B8,input_437100!L:R,7,FALSE),VLOOKUP(tables_437100!C8,input_437100!A:H,8,FALSE))</f>
        <v>0</v>
      </c>
      <c r="P8" s="46">
        <f t="shared" ca="1" si="1"/>
        <v>0</v>
      </c>
      <c r="Q8" s="30">
        <f t="shared" si="3"/>
        <v>40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input_437100!A$2</f>
        <v>437100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IFERROR(VLOOKUP(B9,input_437100!L:R,7,FALSE),VLOOKUP(tables_437100!C9,input_437100!A:H,8,FALSE))</f>
        <v>1083000</v>
      </c>
      <c r="P9" s="46">
        <f t="shared" ca="1" si="1"/>
        <v>1.0439560439560439E-2</v>
      </c>
      <c r="Q9" s="30">
        <f t="shared" si="3"/>
        <v>60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input_437100!A$2</f>
        <v>437100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IFERROR(VLOOKUP(B10,input_437100!L:R,7,FALSE),VLOOKUP(tables_437100!C10,input_437100!A:H,8,FALSE))</f>
        <v>0</v>
      </c>
      <c r="P10" s="46">
        <f t="shared" ca="1" si="1"/>
        <v>0</v>
      </c>
      <c r="Q10" s="30">
        <f t="shared" si="3"/>
        <v>40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input_437100!A$2</f>
        <v>437100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IFERROR(VLOOKUP(B11,input_437100!L:R,7,FALSE),VLOOKUP(tables_437100!C11,input_437100!A:H,8,FALSE))</f>
        <v>1083000</v>
      </c>
      <c r="P11" s="46">
        <f t="shared" ca="1" si="1"/>
        <v>1.0439560439560439E-2</v>
      </c>
      <c r="Q11" s="30">
        <f t="shared" si="3"/>
        <v>60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input_437100!A$2</f>
        <v>437100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IFERROR(VLOOKUP(B12,input_437100!L:R,7,FALSE),VLOOKUP(tables_437100!C12,input_437100!A:H,8,FALSE))</f>
        <v>0</v>
      </c>
      <c r="P12" s="46">
        <f t="shared" ca="1" si="1"/>
        <v>0</v>
      </c>
      <c r="Q12" s="30">
        <f t="shared" si="3"/>
        <v>40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input_437100!A$2</f>
        <v>437100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IFERROR(VLOOKUP(B13,input_437100!L:R,7,FALSE),VLOOKUP(tables_437100!C13,input_437100!A:H,8,FALSE))</f>
        <v>1083000</v>
      </c>
      <c r="P13" s="46">
        <f t="shared" ca="1" si="1"/>
        <v>1.0439560439560439E-2</v>
      </c>
      <c r="Q13" s="30">
        <f t="shared" si="3"/>
        <v>60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input_437100!A$2</f>
        <v>437100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IFERROR(VLOOKUP(B14,input_437100!L:R,7,FALSE),VLOOKUP(tables_437100!C14,input_437100!A:H,8,FALSE))</f>
        <v>0</v>
      </c>
      <c r="P14" s="46">
        <f t="shared" ca="1" si="1"/>
        <v>0</v>
      </c>
      <c r="Q14" s="30">
        <f t="shared" si="3"/>
        <v>40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input_437100!A$2</f>
        <v>437100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IFERROR(VLOOKUP(B15,input_437100!L:R,7,FALSE),VLOOKUP(tables_437100!C15,input_437100!A:H,8,FALSE))</f>
        <v>1083000</v>
      </c>
      <c r="P15" s="46">
        <f t="shared" ca="1" si="1"/>
        <v>1.0439560439560439E-2</v>
      </c>
      <c r="Q15" s="30">
        <f t="shared" si="3"/>
        <v>60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input_437100!A$2</f>
        <v>437100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IFERROR(VLOOKUP(B16,input_437100!L:R,7,FALSE),VLOOKUP(tables_437100!C16,input_437100!A:H,8,FALSE))</f>
        <v>0</v>
      </c>
      <c r="P16" s="46">
        <f t="shared" ca="1" si="1"/>
        <v>0</v>
      </c>
      <c r="Q16" s="30">
        <f t="shared" si="3"/>
        <v>40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input_437100!A$2</f>
        <v>437100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IFERROR(VLOOKUP(B17,input_437100!L:R,7,FALSE),VLOOKUP(tables_437100!C17,input_437100!A:H,8,FALSE))</f>
        <v>1083000</v>
      </c>
      <c r="P17" s="46">
        <f t="shared" ca="1" si="1"/>
        <v>1.0439560439560439E-2</v>
      </c>
      <c r="Q17" s="30">
        <f t="shared" si="3"/>
        <v>60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input_437100!A$2</f>
        <v>437100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IFERROR(VLOOKUP(B18,input_437100!L:R,7,FALSE),VLOOKUP(tables_437100!C18,input_437100!A:H,8,FALSE))</f>
        <v>0</v>
      </c>
      <c r="P18" s="46">
        <f t="shared" ca="1" si="1"/>
        <v>0</v>
      </c>
      <c r="Q18" s="30">
        <f t="shared" si="3"/>
        <v>40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input_437100!A$2</f>
        <v>437100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IFERROR(VLOOKUP(B19,input_437100!L:R,7,FALSE),VLOOKUP(tables_437100!C19,input_437100!A:H,8,FALSE))</f>
        <v>1083000</v>
      </c>
      <c r="P19" s="46">
        <f t="shared" ca="1" si="1"/>
        <v>1.0439560439560439E-2</v>
      </c>
      <c r="Q19" s="30">
        <f t="shared" si="3"/>
        <v>60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input_437100!A$2</f>
        <v>437100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IFERROR(VLOOKUP(B20,input_437100!L:R,7,FALSE),VLOOKUP(tables_437100!C20,input_437100!A:H,8,FALSE))</f>
        <v>0</v>
      </c>
      <c r="P20" s="46">
        <f t="shared" ca="1" si="1"/>
        <v>0</v>
      </c>
      <c r="Q20" s="30">
        <f t="shared" si="3"/>
        <v>40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input_437100!A$2</f>
        <v>437100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IFERROR(VLOOKUP(B21,input_437100!L:R,7,FALSE),VLOOKUP(tables_437100!C21,input_437100!A:H,8,FALSE))</f>
        <v>1083000</v>
      </c>
      <c r="P21" s="46">
        <f t="shared" ca="1" si="1"/>
        <v>1.0439560439560439E-2</v>
      </c>
      <c r="Q21" s="30">
        <f t="shared" si="3"/>
        <v>60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input_437100!A$2</f>
        <v>437100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IFERROR(VLOOKUP(B22,input_437100!L:R,7,FALSE),VLOOKUP(tables_437100!C22,input_437100!A:H,8,FALSE))</f>
        <v>0</v>
      </c>
      <c r="P22" s="46">
        <f t="shared" ca="1" si="1"/>
        <v>0</v>
      </c>
      <c r="Q22" s="30">
        <f t="shared" si="3"/>
        <v>40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input_437100!A$2</f>
        <v>437100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IFERROR(VLOOKUP(B23,input_437100!L:R,7,FALSE),VLOOKUP(tables_437100!C23,input_437100!A:H,8,FALSE))</f>
        <v>1083000</v>
      </c>
      <c r="P23" s="46">
        <f t="shared" ca="1" si="1"/>
        <v>1.0439560439560439E-2</v>
      </c>
      <c r="Q23" s="30">
        <f t="shared" si="3"/>
        <v>60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input_437100!A$2</f>
        <v>437100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IFERROR(VLOOKUP(B24,input_437100!L:R,7,FALSE),VLOOKUP(tables_437100!C24,input_437100!A:H,8,FALSE))</f>
        <v>0</v>
      </c>
      <c r="P24" s="46">
        <f t="shared" ca="1" si="1"/>
        <v>0</v>
      </c>
      <c r="Q24" s="30">
        <f t="shared" si="3"/>
        <v>40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input_437100!A$2</f>
        <v>437100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IFERROR(VLOOKUP(B25,input_437100!L:R,7,FALSE),VLOOKUP(tables_437100!C25,input_437100!A:H,8,FALSE))</f>
        <v>1083000</v>
      </c>
      <c r="P25" s="46">
        <f t="shared" ca="1" si="1"/>
        <v>1.0439560439560439E-2</v>
      </c>
      <c r="Q25" s="30">
        <f t="shared" si="3"/>
        <v>60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input_437100!A$2</f>
        <v>437100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IFERROR(VLOOKUP(B26,input_437100!L:R,7,FALSE),VLOOKUP(tables_437100!C26,input_437100!A:H,8,FALSE))</f>
        <v>0</v>
      </c>
      <c r="P26" s="46">
        <f t="shared" ca="1" si="1"/>
        <v>0</v>
      </c>
      <c r="Q26" s="30">
        <f t="shared" si="3"/>
        <v>40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input_437100!A$2</f>
        <v>437100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IFERROR(VLOOKUP(B27,input_437100!L:R,7,FALSE),VLOOKUP(tables_437100!C27,input_437100!A:H,8,FALSE))</f>
        <v>1083000</v>
      </c>
      <c r="P27" s="46">
        <f t="shared" ca="1" si="1"/>
        <v>1.0439560439560439E-2</v>
      </c>
      <c r="Q27" s="30">
        <f t="shared" si="3"/>
        <v>60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input_437100!A$2</f>
        <v>437100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IFERROR(VLOOKUP(B28,input_437100!L:R,7,FALSE),VLOOKUP(tables_437100!C28,input_437100!A:H,8,FALSE))</f>
        <v>0</v>
      </c>
      <c r="P28" s="46">
        <f t="shared" ca="1" si="1"/>
        <v>0</v>
      </c>
      <c r="Q28" s="30">
        <f t="shared" si="3"/>
        <v>40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input_437100!A$2</f>
        <v>437100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IFERROR(VLOOKUP(B29,input_437100!L:R,7,FALSE),VLOOKUP(tables_437100!C29,input_437100!A:H,8,FALSE))</f>
        <v>1083000</v>
      </c>
      <c r="P29" s="46">
        <f t="shared" ca="1" si="1"/>
        <v>1.0439560439560439E-2</v>
      </c>
      <c r="Q29" s="30">
        <f t="shared" si="3"/>
        <v>60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input_437100!A$2</f>
        <v>437100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IFERROR(VLOOKUP(B30,input_437100!L:R,7,FALSE),VLOOKUP(tables_437100!C30,input_437100!A:H,8,FALSE))</f>
        <v>0</v>
      </c>
      <c r="P30" s="46">
        <f t="shared" ca="1" si="1"/>
        <v>0</v>
      </c>
      <c r="Q30" s="30">
        <f t="shared" si="3"/>
        <v>40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input_437100!A$2</f>
        <v>437100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IFERROR(VLOOKUP(B31,input_437100!L:R,7,FALSE),VLOOKUP(tables_437100!C31,input_437100!A:H,8,FALSE))</f>
        <v>1083000</v>
      </c>
      <c r="P31" s="46">
        <f t="shared" ca="1" si="1"/>
        <v>1.0439560439560439E-2</v>
      </c>
      <c r="Q31" s="30">
        <f t="shared" si="3"/>
        <v>60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input_437100!A$2</f>
        <v>437100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IFERROR(VLOOKUP(B32,input_437100!L:R,7,FALSE),VLOOKUP(tables_437100!C32,input_437100!A:H,8,FALSE))</f>
        <v>0</v>
      </c>
      <c r="P32" s="46">
        <f t="shared" ca="1" si="1"/>
        <v>0</v>
      </c>
      <c r="Q32" s="30">
        <f t="shared" si="3"/>
        <v>40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input_437100!A$2</f>
        <v>437100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IFERROR(VLOOKUP(B33,input_437100!L:R,7,FALSE),VLOOKUP(tables_437100!C33,input_437100!A:H,8,FALSE))</f>
        <v>1083000</v>
      </c>
      <c r="P33" s="46">
        <f t="shared" ca="1" si="1"/>
        <v>1.0439560439560439E-2</v>
      </c>
      <c r="Q33" s="30">
        <f t="shared" si="3"/>
        <v>60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input_437100!A$2</f>
        <v>437100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IFERROR(VLOOKUP(B34,input_437100!L:R,7,FALSE),VLOOKUP(tables_437100!C34,input_437100!A:H,8,FALSE))</f>
        <v>0</v>
      </c>
      <c r="P34" s="46">
        <f t="shared" ca="1" si="1"/>
        <v>0</v>
      </c>
      <c r="Q34" s="30">
        <f t="shared" si="3"/>
        <v>40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input_437100!A$2</f>
        <v>437100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IFERROR(VLOOKUP(B35,input_437100!L:R,7,FALSE),VLOOKUP(tables_437100!C35,input_437100!A:H,8,FALSE))</f>
        <v>1083000</v>
      </c>
      <c r="P35" s="46">
        <f t="shared" ca="1" si="1"/>
        <v>1.0439560439560439E-2</v>
      </c>
      <c r="Q35" s="30">
        <f t="shared" si="3"/>
        <v>60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input_437100!A$2</f>
        <v>437100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IFERROR(VLOOKUP(B36,input_437100!L:R,7,FALSE),VLOOKUP(tables_437100!C36,input_437100!A:H,8,FALSE))</f>
        <v>0</v>
      </c>
      <c r="P36" s="46">
        <f t="shared" ca="1" si="1"/>
        <v>0</v>
      </c>
      <c r="Q36" s="30">
        <f t="shared" si="3"/>
        <v>40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input_437100!A$2</f>
        <v>437100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IFERROR(VLOOKUP(B37,input_437100!L:R,7,FALSE),VLOOKUP(tables_437100!C37,input_437100!A:H,8,FALSE))</f>
        <v>1083000</v>
      </c>
      <c r="P37" s="46">
        <f t="shared" ca="1" si="1"/>
        <v>1.0439560439560439E-2</v>
      </c>
      <c r="Q37" s="30">
        <f t="shared" si="3"/>
        <v>60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input_437100!A$2</f>
        <v>437100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IFERROR(VLOOKUP(B38,input_437100!L:R,7,FALSE),VLOOKUP(tables_437100!C38,input_437100!A:H,8,FALSE))</f>
        <v>0</v>
      </c>
      <c r="P38" s="46">
        <f t="shared" ca="1" si="1"/>
        <v>0</v>
      </c>
      <c r="Q38" s="30">
        <f t="shared" si="3"/>
        <v>40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input_437100!A$2</f>
        <v>437100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IFERROR(VLOOKUP(B39,input_437100!L:R,7,FALSE),VLOOKUP(tables_437100!C39,input_437100!A:H,8,FALSE))</f>
        <v>1083000</v>
      </c>
      <c r="P39" s="46">
        <f t="shared" ca="1" si="1"/>
        <v>1.0439560439560439E-2</v>
      </c>
      <c r="Q39" s="30">
        <f t="shared" si="3"/>
        <v>60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input_437100!A$2</f>
        <v>437100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IFERROR(VLOOKUP(B40,input_437100!L:R,7,FALSE),VLOOKUP(tables_437100!C40,input_437100!A:H,8,FALSE))</f>
        <v>0</v>
      </c>
      <c r="P40" s="46">
        <f t="shared" ca="1" si="1"/>
        <v>0</v>
      </c>
      <c r="Q40" s="30">
        <f t="shared" si="3"/>
        <v>40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input_437100!A$2</f>
        <v>437100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IFERROR(VLOOKUP(B41,input_437100!L:R,7,FALSE),VLOOKUP(tables_437100!C41,input_437100!A:H,8,FALSE))</f>
        <v>1083000</v>
      </c>
      <c r="P41" s="46">
        <f t="shared" ca="1" si="1"/>
        <v>1.0439560439560439E-2</v>
      </c>
      <c r="Q41" s="30">
        <f t="shared" si="3"/>
        <v>60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input_437100!A$2</f>
        <v>437100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IFERROR(VLOOKUP(B42,input_437100!L:R,7,FALSE),VLOOKUP(tables_437100!C42,input_437100!A:H,8,FALSE))</f>
        <v>0</v>
      </c>
      <c r="P42" s="46">
        <f t="shared" ca="1" si="1"/>
        <v>0</v>
      </c>
      <c r="Q42" s="30">
        <f t="shared" si="3"/>
        <v>40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input_437100!A$2</f>
        <v>437100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IFERROR(VLOOKUP(B43,input_437100!L:R,7,FALSE),VLOOKUP(tables_437100!C43,input_437100!A:H,8,FALSE))</f>
        <v>1001775</v>
      </c>
      <c r="P43" s="46">
        <f t="shared" ca="1" si="1"/>
        <v>9.6565934065934063E-3</v>
      </c>
      <c r="Q43" s="30">
        <f t="shared" si="3"/>
        <v>60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input_437100!A$2</f>
        <v>437100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IFERROR(VLOOKUP(B44,input_437100!L:R,7,FALSE),VLOOKUP(tables_437100!C44,input_437100!A:H,8,FALSE))</f>
        <v>81225</v>
      </c>
      <c r="P44" s="46">
        <f t="shared" ca="1" si="1"/>
        <v>7.8296703296703294E-4</v>
      </c>
      <c r="Q44" s="30">
        <f t="shared" si="3"/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input_437100!A$2</f>
        <v>437100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IFERROR(VLOOKUP(B45,input_437100!L:R,7,FALSE),VLOOKUP(tables_437100!C45,input_437100!A:H,8,FALSE))</f>
        <v>0</v>
      </c>
      <c r="P45" s="46">
        <f t="shared" ca="1" si="1"/>
        <v>0</v>
      </c>
      <c r="Q45" s="30">
        <f t="shared" si="3"/>
        <v>40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input_437100!A$2</f>
        <v>437100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IFERROR(VLOOKUP(B46,input_437100!L:R,7,FALSE),VLOOKUP(tables_437100!C46,input_437100!A:H,8,FALSE))</f>
        <v>1001775</v>
      </c>
      <c r="P46" s="46">
        <f t="shared" ca="1" si="1"/>
        <v>9.6565934065934063E-3</v>
      </c>
      <c r="Q46" s="30">
        <f t="shared" si="3"/>
        <v>60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input_437100!A$2</f>
        <v>437100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IFERROR(VLOOKUP(B47,input_437100!L:R,7,FALSE),VLOOKUP(tables_437100!C47,input_437100!A:H,8,FALSE))</f>
        <v>81225</v>
      </c>
      <c r="P47" s="46">
        <f t="shared" ca="1" si="1"/>
        <v>7.8296703296703294E-4</v>
      </c>
      <c r="Q47" s="30">
        <f t="shared" si="3"/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input_437100!A$2</f>
        <v>437100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IFERROR(VLOOKUP(B48,input_437100!L:R,7,FALSE),VLOOKUP(tables_437100!C48,input_437100!A:H,8,FALSE))</f>
        <v>0</v>
      </c>
      <c r="P48" s="46">
        <f t="shared" ca="1" si="1"/>
        <v>0</v>
      </c>
      <c r="Q48" s="30">
        <f t="shared" si="3"/>
        <v>40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input_437100!A$2</f>
        <v>437100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IFERROR(VLOOKUP(B49,input_437100!L:R,7,FALSE),VLOOKUP(tables_437100!C49,input_437100!A:H,8,FALSE))</f>
        <v>1001775</v>
      </c>
      <c r="P49" s="46">
        <f t="shared" ca="1" si="1"/>
        <v>9.6565934065934063E-3</v>
      </c>
      <c r="Q49" s="30">
        <f t="shared" si="3"/>
        <v>60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input_437100!A$2</f>
        <v>437100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IFERROR(VLOOKUP(B50,input_437100!L:R,7,FALSE),VLOOKUP(tables_437100!C50,input_437100!A:H,8,FALSE))</f>
        <v>81225</v>
      </c>
      <c r="P50" s="46">
        <f t="shared" ca="1" si="1"/>
        <v>7.8296703296703294E-4</v>
      </c>
      <c r="Q50" s="30">
        <f t="shared" si="3"/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input_437100!A$2</f>
        <v>437100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IFERROR(VLOOKUP(B51,input_437100!L:R,7,FALSE),VLOOKUP(tables_437100!C51,input_437100!A:H,8,FALSE))</f>
        <v>0</v>
      </c>
      <c r="P51" s="46">
        <f t="shared" ca="1" si="1"/>
        <v>0</v>
      </c>
      <c r="Q51" s="30">
        <f t="shared" si="3"/>
        <v>40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input_437100!A$2</f>
        <v>437100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IFERROR(VLOOKUP(B52,input_437100!L:R,7,FALSE),VLOOKUP(tables_437100!C52,input_437100!A:H,8,FALSE))</f>
        <v>1026850.48077</v>
      </c>
      <c r="P52" s="46">
        <f t="shared" ca="1" si="1"/>
        <v>9.8983080853094277E-3</v>
      </c>
      <c r="Q52" s="30">
        <f t="shared" si="3"/>
        <v>60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input_437100!A$2</f>
        <v>437100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IFERROR(VLOOKUP(B53,input_437100!L:R,7,FALSE),VLOOKUP(tables_437100!C53,input_437100!A:H,8,FALSE))</f>
        <v>56149.519229999998</v>
      </c>
      <c r="P53" s="46">
        <f t="shared" ca="1" si="1"/>
        <v>5.4125235425101208E-4</v>
      </c>
      <c r="Q53" s="30">
        <f t="shared" si="3"/>
        <v>80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input_437100!A$2</f>
        <v>437100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IFERROR(VLOOKUP(B54,input_437100!L:R,7,FALSE),VLOOKUP(tables_437100!C54,input_437100!A:H,8,FALSE))</f>
        <v>0</v>
      </c>
      <c r="P54" s="46">
        <f t="shared" ca="1" si="1"/>
        <v>0</v>
      </c>
      <c r="Q54" s="30">
        <f t="shared" si="3"/>
        <v>40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input_437100!A$2</f>
        <v>437100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IFERROR(VLOOKUP(B55,input_437100!L:R,7,FALSE),VLOOKUP(tables_437100!C55,input_437100!A:H,8,FALSE))</f>
        <v>1026850.48077</v>
      </c>
      <c r="P55" s="46">
        <f t="shared" ca="1" si="1"/>
        <v>9.8983080853094277E-3</v>
      </c>
      <c r="Q55" s="30">
        <f t="shared" si="3"/>
        <v>60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input_437100!A$2</f>
        <v>437100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IFERROR(VLOOKUP(B56,input_437100!L:R,7,FALSE),VLOOKUP(tables_437100!C56,input_437100!A:H,8,FALSE))</f>
        <v>56149.519229999998</v>
      </c>
      <c r="P56" s="46">
        <f t="shared" ca="1" si="1"/>
        <v>5.4125235425101208E-4</v>
      </c>
      <c r="Q56" s="30">
        <f t="shared" si="3"/>
        <v>80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input_437100!A$2</f>
        <v>437100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IFERROR(VLOOKUP(B57,input_437100!L:R,7,FALSE),VLOOKUP(tables_437100!C57,input_437100!A:H,8,FALSE))</f>
        <v>0</v>
      </c>
      <c r="P57" s="46">
        <f t="shared" ca="1" si="1"/>
        <v>0</v>
      </c>
      <c r="Q57" s="30">
        <f t="shared" si="3"/>
        <v>40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input_437100!A$2</f>
        <v>437100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IFERROR(VLOOKUP(B58,input_437100!L:R,7,FALSE),VLOOKUP(tables_437100!C58,input_437100!A:H,8,FALSE))</f>
        <v>1026850.48077</v>
      </c>
      <c r="P58" s="46">
        <f t="shared" ca="1" si="1"/>
        <v>9.8983080853094277E-3</v>
      </c>
      <c r="Q58" s="30">
        <f t="shared" si="3"/>
        <v>60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input_437100!A$2</f>
        <v>437100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IFERROR(VLOOKUP(B59,input_437100!L:R,7,FALSE),VLOOKUP(tables_437100!C59,input_437100!A:H,8,FALSE))</f>
        <v>56149.519229999998</v>
      </c>
      <c r="P59" s="46">
        <f t="shared" ca="1" si="1"/>
        <v>5.4125235425101208E-4</v>
      </c>
      <c r="Q59" s="30">
        <f t="shared" si="3"/>
        <v>80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input_437100!A$2</f>
        <v>437100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IFERROR(VLOOKUP(B60,input_437100!L:R,7,FALSE),VLOOKUP(tables_437100!C60,input_437100!A:H,8,FALSE))</f>
        <v>0</v>
      </c>
      <c r="P60" s="46">
        <f t="shared" ca="1" si="1"/>
        <v>0</v>
      </c>
      <c r="Q60" s="30">
        <f t="shared" si="3"/>
        <v>40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input_437100!A$2</f>
        <v>437100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IFERROR(VLOOKUP(B61,input_437100!L:R,7,FALSE),VLOOKUP(tables_437100!C61,input_437100!A:H,8,FALSE))</f>
        <v>1026850.48077</v>
      </c>
      <c r="P61" s="46">
        <f t="shared" ca="1" si="1"/>
        <v>9.8983080853094277E-3</v>
      </c>
      <c r="Q61" s="30">
        <f t="shared" si="3"/>
        <v>60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input_437100!A$2</f>
        <v>437100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IFERROR(VLOOKUP(B62,input_437100!L:R,7,FALSE),VLOOKUP(tables_437100!C62,input_437100!A:H,8,FALSE))</f>
        <v>56149.519229999998</v>
      </c>
      <c r="P62" s="46">
        <f t="shared" ca="1" si="1"/>
        <v>5.4125235425101208E-4</v>
      </c>
      <c r="Q62" s="30">
        <f t="shared" si="3"/>
        <v>80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input_437100!A$2</f>
        <v>437100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IFERROR(VLOOKUP(B63,input_437100!L:R,7,FALSE),VLOOKUP(tables_437100!C63,input_437100!A:H,8,FALSE))</f>
        <v>0</v>
      </c>
      <c r="P63" s="46">
        <f t="shared" ca="1" si="1"/>
        <v>0</v>
      </c>
      <c r="Q63" s="30">
        <f t="shared" si="3"/>
        <v>40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input_437100!A$2</f>
        <v>437100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IFERROR(VLOOKUP(B64,input_437100!L:R,7,FALSE),VLOOKUP(tables_437100!C64,input_437100!A:H,8,FALSE))</f>
        <v>1026850.48077</v>
      </c>
      <c r="P64" s="46">
        <f t="shared" ca="1" si="1"/>
        <v>9.8983080853094277E-3</v>
      </c>
      <c r="Q64" s="30">
        <f t="shared" si="3"/>
        <v>60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input_437100!A$2</f>
        <v>437100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IFERROR(VLOOKUP(B65,input_437100!L:R,7,FALSE),VLOOKUP(tables_437100!C65,input_437100!A:H,8,FALSE))</f>
        <v>56149.519229999998</v>
      </c>
      <c r="P65" s="46">
        <f t="shared" ca="1" si="1"/>
        <v>5.4125235425101208E-4</v>
      </c>
      <c r="Q65" s="30">
        <f t="shared" si="3"/>
        <v>80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input_437100!A$2</f>
        <v>437100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IFERROR(VLOOKUP(B66,input_437100!L:R,7,FALSE),VLOOKUP(tables_437100!C66,input_437100!A:H,8,FALSE))</f>
        <v>0</v>
      </c>
      <c r="P66" s="46">
        <f t="shared" ref="P66:P129" ca="1" si="5">O66/SUM(O:O)</f>
        <v>0</v>
      </c>
      <c r="Q66" s="30">
        <f t="shared" si="3"/>
        <v>40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input_437100!A$2</f>
        <v>437100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IFERROR(VLOOKUP(B67,input_437100!L:R,7,FALSE),VLOOKUP(tables_437100!C67,input_437100!A:H,8,FALSE))</f>
        <v>1026850.48077</v>
      </c>
      <c r="P67" s="46">
        <f t="shared" ca="1" si="5"/>
        <v>9.8983080853094277E-3</v>
      </c>
      <c r="Q67" s="30">
        <f t="shared" ref="Q67:Q130" si="7">IF(J67=3,40,IF(J67=4,60,IF(J67=5,80,"")))</f>
        <v>60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input_437100!A$2</f>
        <v>437100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IFERROR(VLOOKUP(B68,input_437100!L:R,7,FALSE),VLOOKUP(tables_437100!C68,input_437100!A:H,8,FALSE))</f>
        <v>56149.519229999998</v>
      </c>
      <c r="P68" s="46">
        <f t="shared" ca="1" si="5"/>
        <v>5.4125235425101208E-4</v>
      </c>
      <c r="Q68" s="30">
        <f t="shared" si="7"/>
        <v>80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input_437100!A$2</f>
        <v>437100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IFERROR(VLOOKUP(B69,input_437100!L:R,7,FALSE),VLOOKUP(tables_437100!C69,input_437100!A:H,8,FALSE))</f>
        <v>0</v>
      </c>
      <c r="P69" s="46">
        <f t="shared" ca="1" si="5"/>
        <v>0</v>
      </c>
      <c r="Q69" s="30">
        <f t="shared" si="7"/>
        <v>40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input_437100!A$2</f>
        <v>437100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IFERROR(VLOOKUP(B70,input_437100!L:R,7,FALSE),VLOOKUP(tables_437100!C70,input_437100!A:H,8,FALSE))</f>
        <v>1026850.48077</v>
      </c>
      <c r="P70" s="46">
        <f t="shared" ca="1" si="5"/>
        <v>9.8983080853094277E-3</v>
      </c>
      <c r="Q70" s="30">
        <f t="shared" si="7"/>
        <v>60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input_437100!A$2</f>
        <v>437100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IFERROR(VLOOKUP(B71,input_437100!L:R,7,FALSE),VLOOKUP(tables_437100!C71,input_437100!A:H,8,FALSE))</f>
        <v>56149.519229999998</v>
      </c>
      <c r="P71" s="46">
        <f t="shared" ca="1" si="5"/>
        <v>5.4125235425101208E-4</v>
      </c>
      <c r="Q71" s="30">
        <f t="shared" si="7"/>
        <v>80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input_437100!A$2</f>
        <v>437100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IFERROR(VLOOKUP(B72,input_437100!L:R,7,FALSE),VLOOKUP(tables_437100!C72,input_437100!A:H,8,FALSE))</f>
        <v>0</v>
      </c>
      <c r="P72" s="46">
        <f t="shared" ca="1" si="5"/>
        <v>0</v>
      </c>
      <c r="Q72" s="30">
        <f t="shared" si="7"/>
        <v>40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input_437100!A$2</f>
        <v>437100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IFERROR(VLOOKUP(B73,input_437100!L:R,7,FALSE),VLOOKUP(tables_437100!C73,input_437100!A:H,8,FALSE))</f>
        <v>1026850.48077</v>
      </c>
      <c r="P73" s="46">
        <f t="shared" ca="1" si="5"/>
        <v>9.8983080853094277E-3</v>
      </c>
      <c r="Q73" s="30">
        <f t="shared" si="7"/>
        <v>60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input_437100!A$2</f>
        <v>437100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IFERROR(VLOOKUP(B74,input_437100!L:R,7,FALSE),VLOOKUP(tables_437100!C74,input_437100!A:H,8,FALSE))</f>
        <v>56149.519229999998</v>
      </c>
      <c r="P74" s="46">
        <f t="shared" ca="1" si="5"/>
        <v>5.4125235425101208E-4</v>
      </c>
      <c r="Q74" s="30">
        <f t="shared" si="7"/>
        <v>80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input_437100!A$2</f>
        <v>437100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IFERROR(VLOOKUP(B75,input_437100!L:R,7,FALSE),VLOOKUP(tables_437100!C75,input_437100!A:H,8,FALSE))</f>
        <v>0</v>
      </c>
      <c r="P75" s="46">
        <f t="shared" ca="1" si="5"/>
        <v>0</v>
      </c>
      <c r="Q75" s="30">
        <f t="shared" si="7"/>
        <v>40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input_437100!A$2</f>
        <v>437100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IFERROR(VLOOKUP(B76,input_437100!L:R,7,FALSE),VLOOKUP(tables_437100!C76,input_437100!A:H,8,FALSE))</f>
        <v>1026850.48077</v>
      </c>
      <c r="P76" s="46">
        <f t="shared" ca="1" si="5"/>
        <v>9.8983080853094277E-3</v>
      </c>
      <c r="Q76" s="30">
        <f t="shared" si="7"/>
        <v>60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input_437100!A$2</f>
        <v>437100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IFERROR(VLOOKUP(B77,input_437100!L:R,7,FALSE),VLOOKUP(tables_437100!C77,input_437100!A:H,8,FALSE))</f>
        <v>56149.519229999998</v>
      </c>
      <c r="P77" s="46">
        <f t="shared" ca="1" si="5"/>
        <v>5.4125235425101208E-4</v>
      </c>
      <c r="Q77" s="30">
        <f t="shared" si="7"/>
        <v>80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input_437100!A$2</f>
        <v>437100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IFERROR(VLOOKUP(B78,input_437100!L:R,7,FALSE),VLOOKUP(tables_437100!C78,input_437100!A:H,8,FALSE))</f>
        <v>0</v>
      </c>
      <c r="P78" s="46">
        <f t="shared" ca="1" si="5"/>
        <v>0</v>
      </c>
      <c r="Q78" s="30">
        <f t="shared" si="7"/>
        <v>40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input_437100!A$2</f>
        <v>437100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IFERROR(VLOOKUP(B79,input_437100!L:R,7,FALSE),VLOOKUP(tables_437100!C79,input_437100!A:H,8,FALSE))</f>
        <v>1026850.48077</v>
      </c>
      <c r="P79" s="46">
        <f t="shared" ca="1" si="5"/>
        <v>9.8983080853094277E-3</v>
      </c>
      <c r="Q79" s="30">
        <f t="shared" si="7"/>
        <v>60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input_437100!A$2</f>
        <v>437100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IFERROR(VLOOKUP(B80,input_437100!L:R,7,FALSE),VLOOKUP(tables_437100!C80,input_437100!A:H,8,FALSE))</f>
        <v>56149.519229999998</v>
      </c>
      <c r="P80" s="46">
        <f t="shared" ca="1" si="5"/>
        <v>5.4125235425101208E-4</v>
      </c>
      <c r="Q80" s="30">
        <f t="shared" si="7"/>
        <v>80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input_437100!A$2</f>
        <v>437100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IFERROR(VLOOKUP(B81,input_437100!L:R,7,FALSE),VLOOKUP(tables_437100!C81,input_437100!A:H,8,FALSE))</f>
        <v>0</v>
      </c>
      <c r="P81" s="46">
        <f t="shared" ca="1" si="5"/>
        <v>0</v>
      </c>
      <c r="Q81" s="30">
        <f t="shared" si="7"/>
        <v>40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input_437100!A$2</f>
        <v>437100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IFERROR(VLOOKUP(B82,input_437100!L:R,7,FALSE),VLOOKUP(tables_437100!C82,input_437100!A:H,8,FALSE))</f>
        <v>1026850.48077</v>
      </c>
      <c r="P82" s="46">
        <f t="shared" ca="1" si="5"/>
        <v>9.8983080853094277E-3</v>
      </c>
      <c r="Q82" s="30">
        <f t="shared" si="7"/>
        <v>60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input_437100!A$2</f>
        <v>437100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IFERROR(VLOOKUP(B83,input_437100!L:R,7,FALSE),VLOOKUP(tables_437100!C83,input_437100!A:H,8,FALSE))</f>
        <v>56149.519229999998</v>
      </c>
      <c r="P83" s="46">
        <f t="shared" ca="1" si="5"/>
        <v>5.4125235425101208E-4</v>
      </c>
      <c r="Q83" s="30">
        <f t="shared" si="7"/>
        <v>80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input_437100!A$2</f>
        <v>437100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IFERROR(VLOOKUP(B84,input_437100!L:R,7,FALSE),VLOOKUP(tables_437100!C84,input_437100!A:H,8,FALSE))</f>
        <v>0</v>
      </c>
      <c r="P84" s="46">
        <f t="shared" ca="1" si="5"/>
        <v>0</v>
      </c>
      <c r="Q84" s="30">
        <f t="shared" si="7"/>
        <v>40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input_437100!A$2</f>
        <v>437100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IFERROR(VLOOKUP(B85,input_437100!L:R,7,FALSE),VLOOKUP(tables_437100!C85,input_437100!A:H,8,FALSE))</f>
        <v>1026850.48077</v>
      </c>
      <c r="P85" s="46">
        <f t="shared" ca="1" si="5"/>
        <v>9.8983080853094277E-3</v>
      </c>
      <c r="Q85" s="30">
        <f t="shared" si="7"/>
        <v>60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input_437100!A$2</f>
        <v>437100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IFERROR(VLOOKUP(B86,input_437100!L:R,7,FALSE),VLOOKUP(tables_437100!C86,input_437100!A:H,8,FALSE))</f>
        <v>56149.519229999998</v>
      </c>
      <c r="P86" s="46">
        <f t="shared" ca="1" si="5"/>
        <v>5.4125235425101208E-4</v>
      </c>
      <c r="Q86" s="30">
        <f t="shared" si="7"/>
        <v>80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input_437100!A$2</f>
        <v>437100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IFERROR(VLOOKUP(B87,input_437100!L:R,7,FALSE),VLOOKUP(tables_437100!C87,input_437100!A:H,8,FALSE))</f>
        <v>0</v>
      </c>
      <c r="P87" s="46">
        <f t="shared" ca="1" si="5"/>
        <v>0</v>
      </c>
      <c r="Q87" s="30">
        <f t="shared" si="7"/>
        <v>40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input_437100!A$2</f>
        <v>437100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IFERROR(VLOOKUP(B88,input_437100!L:R,7,FALSE),VLOOKUP(tables_437100!C88,input_437100!A:H,8,FALSE))</f>
        <v>1026850.48077</v>
      </c>
      <c r="P88" s="46">
        <f t="shared" ca="1" si="5"/>
        <v>9.8983080853094277E-3</v>
      </c>
      <c r="Q88" s="30">
        <f t="shared" si="7"/>
        <v>60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input_437100!A$2</f>
        <v>437100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IFERROR(VLOOKUP(B89,input_437100!L:R,7,FALSE),VLOOKUP(tables_437100!C89,input_437100!A:H,8,FALSE))</f>
        <v>56149.519229999998</v>
      </c>
      <c r="P89" s="46">
        <f t="shared" ca="1" si="5"/>
        <v>5.4125235425101208E-4</v>
      </c>
      <c r="Q89" s="30">
        <f t="shared" si="7"/>
        <v>80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input_437100!A$2</f>
        <v>437100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IFERROR(VLOOKUP(B90,input_437100!L:R,7,FALSE),VLOOKUP(tables_437100!C90,input_437100!A:H,8,FALSE))</f>
        <v>0</v>
      </c>
      <c r="P90" s="46">
        <f t="shared" ca="1" si="5"/>
        <v>0</v>
      </c>
      <c r="Q90" s="30">
        <f t="shared" si="7"/>
        <v>40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input_437100!A$2</f>
        <v>437100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IFERROR(VLOOKUP(B91,input_437100!L:R,7,FALSE),VLOOKUP(tables_437100!C91,input_437100!A:H,8,FALSE))</f>
        <v>1026850.48077</v>
      </c>
      <c r="P91" s="46">
        <f t="shared" ca="1" si="5"/>
        <v>9.8983080853094277E-3</v>
      </c>
      <c r="Q91" s="30">
        <f t="shared" si="7"/>
        <v>60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input_437100!A$2</f>
        <v>437100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IFERROR(VLOOKUP(B92,input_437100!L:R,7,FALSE),VLOOKUP(tables_437100!C92,input_437100!A:H,8,FALSE))</f>
        <v>56149.519229999998</v>
      </c>
      <c r="P92" s="46">
        <f t="shared" ca="1" si="5"/>
        <v>5.4125235425101208E-4</v>
      </c>
      <c r="Q92" s="30">
        <f t="shared" si="7"/>
        <v>80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input_437100!A$2</f>
        <v>437100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IFERROR(VLOOKUP(B93,input_437100!L:R,7,FALSE),VLOOKUP(tables_437100!C93,input_437100!A:H,8,FALSE))</f>
        <v>0</v>
      </c>
      <c r="P93" s="46">
        <f t="shared" ca="1" si="5"/>
        <v>0</v>
      </c>
      <c r="Q93" s="30">
        <f t="shared" si="7"/>
        <v>40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input_437100!A$2</f>
        <v>437100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IFERROR(VLOOKUP(B94,input_437100!L:R,7,FALSE),VLOOKUP(tables_437100!C94,input_437100!A:H,8,FALSE))</f>
        <v>1026850.48077</v>
      </c>
      <c r="P94" s="46">
        <f t="shared" ca="1" si="5"/>
        <v>9.8983080853094277E-3</v>
      </c>
      <c r="Q94" s="30">
        <f t="shared" si="7"/>
        <v>60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input_437100!A$2</f>
        <v>437100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IFERROR(VLOOKUP(B95,input_437100!L:R,7,FALSE),VLOOKUP(tables_437100!C95,input_437100!A:H,8,FALSE))</f>
        <v>56149.519229999998</v>
      </c>
      <c r="P95" s="46">
        <f t="shared" ca="1" si="5"/>
        <v>5.4125235425101208E-4</v>
      </c>
      <c r="Q95" s="30">
        <f t="shared" si="7"/>
        <v>80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input_437100!A$2</f>
        <v>437100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IFERROR(VLOOKUP(B96,input_437100!L:R,7,FALSE),VLOOKUP(tables_437100!C96,input_437100!A:H,8,FALSE))</f>
        <v>0</v>
      </c>
      <c r="P96" s="46">
        <f t="shared" ca="1" si="5"/>
        <v>0</v>
      </c>
      <c r="Q96" s="30">
        <f t="shared" si="7"/>
        <v>40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input_437100!A$2</f>
        <v>437100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IFERROR(VLOOKUP(B97,input_437100!L:R,7,FALSE),VLOOKUP(tables_437100!C97,input_437100!A:H,8,FALSE))</f>
        <v>1026850.48077</v>
      </c>
      <c r="P97" s="46">
        <f t="shared" ca="1" si="5"/>
        <v>9.8983080853094277E-3</v>
      </c>
      <c r="Q97" s="30">
        <f t="shared" si="7"/>
        <v>60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input_437100!A$2</f>
        <v>437100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IFERROR(VLOOKUP(B98,input_437100!L:R,7,FALSE),VLOOKUP(tables_437100!C98,input_437100!A:H,8,FALSE))</f>
        <v>56149.519229999998</v>
      </c>
      <c r="P98" s="46">
        <f t="shared" ca="1" si="5"/>
        <v>5.4125235425101208E-4</v>
      </c>
      <c r="Q98" s="30">
        <f t="shared" si="7"/>
        <v>80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input_437100!A$2</f>
        <v>437100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IFERROR(VLOOKUP(B99,input_437100!L:R,7,FALSE),VLOOKUP(tables_437100!C99,input_437100!A:H,8,FALSE))</f>
        <v>0</v>
      </c>
      <c r="P99" s="46">
        <f t="shared" ca="1" si="5"/>
        <v>0</v>
      </c>
      <c r="Q99" s="30">
        <f t="shared" si="7"/>
        <v>40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input_437100!A$2</f>
        <v>437100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IFERROR(VLOOKUP(B100,input_437100!L:R,7,FALSE),VLOOKUP(tables_437100!C100,input_437100!A:H,8,FALSE))</f>
        <v>1026850.48077</v>
      </c>
      <c r="P100" s="46">
        <f t="shared" ca="1" si="5"/>
        <v>9.8983080853094277E-3</v>
      </c>
      <c r="Q100" s="30">
        <f t="shared" si="7"/>
        <v>60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input_437100!A$2</f>
        <v>437100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IFERROR(VLOOKUP(B101,input_437100!L:R,7,FALSE),VLOOKUP(tables_437100!C101,input_437100!A:H,8,FALSE))</f>
        <v>56149.519229999998</v>
      </c>
      <c r="P101" s="46">
        <f t="shared" ca="1" si="5"/>
        <v>5.4125235425101208E-4</v>
      </c>
      <c r="Q101" s="30">
        <f t="shared" si="7"/>
        <v>80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input_437100!A$2</f>
        <v>437100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IFERROR(VLOOKUP(B102,input_437100!L:R,7,FALSE),VLOOKUP(tables_437100!C102,input_437100!A:H,8,FALSE))</f>
        <v>0</v>
      </c>
      <c r="P102" s="46">
        <f t="shared" ca="1" si="5"/>
        <v>0</v>
      </c>
      <c r="Q102" s="30">
        <f t="shared" si="7"/>
        <v>40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input_437100!A$2</f>
        <v>437100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IFERROR(VLOOKUP(B103,input_437100!L:R,7,FALSE),VLOOKUP(tables_437100!C103,input_437100!A:H,8,FALSE))</f>
        <v>1026850.48077</v>
      </c>
      <c r="P103" s="46">
        <f t="shared" ca="1" si="5"/>
        <v>9.8983080853094277E-3</v>
      </c>
      <c r="Q103" s="30">
        <f t="shared" si="7"/>
        <v>60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input_437100!A$2</f>
        <v>437100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IFERROR(VLOOKUP(B104,input_437100!L:R,7,FALSE),VLOOKUP(tables_437100!C104,input_437100!A:H,8,FALSE))</f>
        <v>56149.519229999998</v>
      </c>
      <c r="P104" s="46">
        <f t="shared" ca="1" si="5"/>
        <v>5.4125235425101208E-4</v>
      </c>
      <c r="Q104" s="30">
        <f t="shared" si="7"/>
        <v>80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input_437100!A$2</f>
        <v>437100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IFERROR(VLOOKUP(B105,input_437100!L:R,7,FALSE),VLOOKUP(tables_437100!C105,input_437100!A:H,8,FALSE))</f>
        <v>0</v>
      </c>
      <c r="P105" s="46">
        <f t="shared" ca="1" si="5"/>
        <v>0</v>
      </c>
      <c r="Q105" s="30">
        <f t="shared" si="7"/>
        <v>40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input_437100!A$2</f>
        <v>437100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IFERROR(VLOOKUP(B106,input_437100!L:R,7,FALSE),VLOOKUP(tables_437100!C106,input_437100!A:H,8,FALSE))</f>
        <v>1026850.48077</v>
      </c>
      <c r="P106" s="46">
        <f t="shared" ca="1" si="5"/>
        <v>9.8983080853094277E-3</v>
      </c>
      <c r="Q106" s="30">
        <f t="shared" si="7"/>
        <v>60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input_437100!A$2</f>
        <v>437100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IFERROR(VLOOKUP(B107,input_437100!L:R,7,FALSE),VLOOKUP(tables_437100!C107,input_437100!A:H,8,FALSE))</f>
        <v>56149.519229999998</v>
      </c>
      <c r="P107" s="46">
        <f t="shared" ca="1" si="5"/>
        <v>5.4125235425101208E-4</v>
      </c>
      <c r="Q107" s="30">
        <f t="shared" si="7"/>
        <v>80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input_437100!A$2</f>
        <v>437100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IFERROR(VLOOKUP(B108,input_437100!L:R,7,FALSE),VLOOKUP(tables_437100!C108,input_437100!A:H,8,FALSE))</f>
        <v>0</v>
      </c>
      <c r="P108" s="46">
        <f t="shared" ca="1" si="5"/>
        <v>0</v>
      </c>
      <c r="Q108" s="30">
        <f t="shared" si="7"/>
        <v>40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input_437100!A$2</f>
        <v>437100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IFERROR(VLOOKUP(B109,input_437100!L:R,7,FALSE),VLOOKUP(tables_437100!C109,input_437100!A:H,8,FALSE))</f>
        <v>1026850.48077</v>
      </c>
      <c r="P109" s="46">
        <f t="shared" ca="1" si="5"/>
        <v>9.8983080853094277E-3</v>
      </c>
      <c r="Q109" s="30">
        <f t="shared" si="7"/>
        <v>60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input_437100!A$2</f>
        <v>437100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IFERROR(VLOOKUP(B110,input_437100!L:R,7,FALSE),VLOOKUP(tables_437100!C110,input_437100!A:H,8,FALSE))</f>
        <v>56149.519229999998</v>
      </c>
      <c r="P110" s="46">
        <f t="shared" ca="1" si="5"/>
        <v>5.4125235425101208E-4</v>
      </c>
      <c r="Q110" s="30">
        <f t="shared" si="7"/>
        <v>80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input_437100!A$2</f>
        <v>437100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IFERROR(VLOOKUP(B111,input_437100!L:R,7,FALSE),VLOOKUP(tables_437100!C111,input_437100!A:H,8,FALSE))</f>
        <v>0</v>
      </c>
      <c r="P111" s="46">
        <f t="shared" ca="1" si="5"/>
        <v>0</v>
      </c>
      <c r="Q111" s="30">
        <f t="shared" si="7"/>
        <v>40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input_437100!A$2</f>
        <v>437100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IFERROR(VLOOKUP(B112,input_437100!L:R,7,FALSE),VLOOKUP(tables_437100!C112,input_437100!A:H,8,FALSE))</f>
        <v>1001775</v>
      </c>
      <c r="P112" s="46">
        <f t="shared" ca="1" si="5"/>
        <v>9.6565934065934063E-3</v>
      </c>
      <c r="Q112" s="30">
        <f t="shared" si="7"/>
        <v>60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input_437100!A$2</f>
        <v>437100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IFERROR(VLOOKUP(B113,input_437100!L:R,7,FALSE),VLOOKUP(tables_437100!C113,input_437100!A:H,8,FALSE))</f>
        <v>81225</v>
      </c>
      <c r="P113" s="46">
        <f t="shared" ca="1" si="5"/>
        <v>7.8296703296703294E-4</v>
      </c>
      <c r="Q113" s="30">
        <f t="shared" si="7"/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input_437100!A$2</f>
        <v>437100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IFERROR(VLOOKUP(B114,input_437100!L:R,7,FALSE),VLOOKUP(tables_437100!C114,input_437100!A:H,8,FALSE))</f>
        <v>0</v>
      </c>
      <c r="P114" s="46">
        <f t="shared" ca="1" si="5"/>
        <v>0</v>
      </c>
      <c r="Q114" s="30">
        <f t="shared" si="7"/>
        <v>40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input_437100!A$2</f>
        <v>437100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IFERROR(VLOOKUP(B115,input_437100!L:R,7,FALSE),VLOOKUP(tables_437100!C115,input_437100!A:H,8,FALSE))</f>
        <v>1026850.48077</v>
      </c>
      <c r="P115" s="46">
        <f t="shared" ca="1" si="5"/>
        <v>9.8983080853094277E-3</v>
      </c>
      <c r="Q115" s="30">
        <f t="shared" si="7"/>
        <v>60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input_437100!A$2</f>
        <v>437100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IFERROR(VLOOKUP(B116,input_437100!L:R,7,FALSE),VLOOKUP(tables_437100!C116,input_437100!A:H,8,FALSE))</f>
        <v>56149.519229999998</v>
      </c>
      <c r="P116" s="46">
        <f t="shared" ca="1" si="5"/>
        <v>5.4125235425101208E-4</v>
      </c>
      <c r="Q116" s="30">
        <f t="shared" si="7"/>
        <v>80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input_437100!A$2</f>
        <v>437100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IFERROR(VLOOKUP(B117,input_437100!L:R,7,FALSE),VLOOKUP(tables_437100!C117,input_437100!A:H,8,FALSE))</f>
        <v>0</v>
      </c>
      <c r="P117" s="46">
        <f t="shared" ca="1" si="5"/>
        <v>0</v>
      </c>
      <c r="Q117" s="30">
        <f t="shared" si="7"/>
        <v>40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input_437100!A$2</f>
        <v>437100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IFERROR(VLOOKUP(B118,input_437100!L:R,7,FALSE),VLOOKUP(tables_437100!C118,input_437100!A:H,8,FALSE))</f>
        <v>1026850.48077</v>
      </c>
      <c r="P118" s="46">
        <f t="shared" ca="1" si="5"/>
        <v>9.8983080853094277E-3</v>
      </c>
      <c r="Q118" s="30">
        <f t="shared" si="7"/>
        <v>60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input_437100!A$2</f>
        <v>437100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IFERROR(VLOOKUP(B119,input_437100!L:R,7,FALSE),VLOOKUP(tables_437100!C119,input_437100!A:H,8,FALSE))</f>
        <v>56149.519229999998</v>
      </c>
      <c r="P119" s="46">
        <f t="shared" ca="1" si="5"/>
        <v>5.4125235425101208E-4</v>
      </c>
      <c r="Q119" s="30">
        <f t="shared" si="7"/>
        <v>80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input_437100!A$2</f>
        <v>437100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IFERROR(VLOOKUP(B120,input_437100!L:R,7,FALSE),VLOOKUP(tables_437100!C120,input_437100!A:H,8,FALSE))</f>
        <v>0</v>
      </c>
      <c r="P120" s="46">
        <f t="shared" ca="1" si="5"/>
        <v>0</v>
      </c>
      <c r="Q120" s="30">
        <f t="shared" si="7"/>
        <v>40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input_437100!A$2</f>
        <v>437100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IFERROR(VLOOKUP(B121,input_437100!L:R,7,FALSE),VLOOKUP(tables_437100!C121,input_437100!A:H,8,FALSE))</f>
        <v>1026850.48077</v>
      </c>
      <c r="P121" s="46">
        <f t="shared" ca="1" si="5"/>
        <v>9.8983080853094277E-3</v>
      </c>
      <c r="Q121" s="30">
        <f t="shared" si="7"/>
        <v>60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input_437100!A$2</f>
        <v>437100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IFERROR(VLOOKUP(B122,input_437100!L:R,7,FALSE),VLOOKUP(tables_437100!C122,input_437100!A:H,8,FALSE))</f>
        <v>56149.519229999998</v>
      </c>
      <c r="P122" s="46">
        <f t="shared" ca="1" si="5"/>
        <v>5.4125235425101208E-4</v>
      </c>
      <c r="Q122" s="30">
        <f t="shared" si="7"/>
        <v>80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input_437100!A$2</f>
        <v>437100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IFERROR(VLOOKUP(B123,input_437100!L:R,7,FALSE),VLOOKUP(tables_437100!C123,input_437100!A:H,8,FALSE))</f>
        <v>0</v>
      </c>
      <c r="P123" s="46">
        <f t="shared" ca="1" si="5"/>
        <v>0</v>
      </c>
      <c r="Q123" s="30">
        <f t="shared" si="7"/>
        <v>40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input_437100!A$2</f>
        <v>437100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IFERROR(VLOOKUP(B124,input_437100!L:R,7,FALSE),VLOOKUP(tables_437100!C124,input_437100!A:H,8,FALSE))</f>
        <v>1026850.48077</v>
      </c>
      <c r="P124" s="46">
        <f t="shared" ca="1" si="5"/>
        <v>9.8983080853094277E-3</v>
      </c>
      <c r="Q124" s="30">
        <f t="shared" si="7"/>
        <v>60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input_437100!A$2</f>
        <v>437100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IFERROR(VLOOKUP(B125,input_437100!L:R,7,FALSE),VLOOKUP(tables_437100!C125,input_437100!A:H,8,FALSE))</f>
        <v>56149.519229999998</v>
      </c>
      <c r="P125" s="46">
        <f t="shared" ca="1" si="5"/>
        <v>5.4125235425101208E-4</v>
      </c>
      <c r="Q125" s="30">
        <f t="shared" si="7"/>
        <v>80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input_437100!A$2</f>
        <v>437100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IFERROR(VLOOKUP(B126,input_437100!L:R,7,FALSE),VLOOKUP(tables_437100!C126,input_437100!A:H,8,FALSE))</f>
        <v>0</v>
      </c>
      <c r="P126" s="46">
        <f t="shared" ca="1" si="5"/>
        <v>0</v>
      </c>
      <c r="Q126" s="30">
        <f t="shared" si="7"/>
        <v>40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input_437100!A$2</f>
        <v>437100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IFERROR(VLOOKUP(B127,input_437100!L:R,7,FALSE),VLOOKUP(tables_437100!C127,input_437100!A:H,8,FALSE))</f>
        <v>1026850.48077</v>
      </c>
      <c r="P127" s="46">
        <f t="shared" ca="1" si="5"/>
        <v>9.8983080853094277E-3</v>
      </c>
      <c r="Q127" s="30">
        <f t="shared" si="7"/>
        <v>60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input_437100!A$2</f>
        <v>437100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IFERROR(VLOOKUP(B128,input_437100!L:R,7,FALSE),VLOOKUP(tables_437100!C128,input_437100!A:H,8,FALSE))</f>
        <v>56149.519229999998</v>
      </c>
      <c r="P128" s="46">
        <f t="shared" ca="1" si="5"/>
        <v>5.4125235425101208E-4</v>
      </c>
      <c r="Q128" s="30">
        <f t="shared" si="7"/>
        <v>80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input_437100!A$2</f>
        <v>437100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IFERROR(VLOOKUP(B129,input_437100!L:R,7,FALSE),VLOOKUP(tables_437100!C129,input_437100!A:H,8,FALSE))</f>
        <v>0</v>
      </c>
      <c r="P129" s="46">
        <f t="shared" ca="1" si="5"/>
        <v>0</v>
      </c>
      <c r="Q129" s="30">
        <f t="shared" si="7"/>
        <v>40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input_437100!A$2</f>
        <v>437100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IFERROR(VLOOKUP(B130,input_437100!L:R,7,FALSE),VLOOKUP(tables_437100!C130,input_437100!A:H,8,FALSE))</f>
        <v>1026850.48077</v>
      </c>
      <c r="P130" s="46">
        <f t="shared" ref="P130:P193" ca="1" si="9">O130/SUM(O:O)</f>
        <v>9.8983080853094277E-3</v>
      </c>
      <c r="Q130" s="30">
        <f t="shared" si="7"/>
        <v>60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input_437100!A$2</f>
        <v>437100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IFERROR(VLOOKUP(B131,input_437100!L:R,7,FALSE),VLOOKUP(tables_437100!C131,input_437100!A:H,8,FALSE))</f>
        <v>56149.519229999998</v>
      </c>
      <c r="P131" s="46">
        <f t="shared" ca="1" si="9"/>
        <v>5.4125235425101208E-4</v>
      </c>
      <c r="Q131" s="30">
        <f t="shared" ref="Q131:Q194" si="11">IF(J131=3,40,IF(J131=4,60,IF(J131=5,80,"")))</f>
        <v>80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input_437100!A$2</f>
        <v>437100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IFERROR(VLOOKUP(B132,input_437100!L:R,7,FALSE),VLOOKUP(tables_437100!C132,input_437100!A:H,8,FALSE))</f>
        <v>0</v>
      </c>
      <c r="P132" s="46">
        <f t="shared" ca="1" si="9"/>
        <v>0</v>
      </c>
      <c r="Q132" s="30">
        <f t="shared" si="11"/>
        <v>40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input_437100!A$2</f>
        <v>437100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IFERROR(VLOOKUP(B133,input_437100!L:R,7,FALSE),VLOOKUP(tables_437100!C133,input_437100!A:H,8,FALSE))</f>
        <v>1026850.48077</v>
      </c>
      <c r="P133" s="46">
        <f t="shared" ca="1" si="9"/>
        <v>9.8983080853094277E-3</v>
      </c>
      <c r="Q133" s="30">
        <f t="shared" si="11"/>
        <v>60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input_437100!A$2</f>
        <v>437100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IFERROR(VLOOKUP(B134,input_437100!L:R,7,FALSE),VLOOKUP(tables_437100!C134,input_437100!A:H,8,FALSE))</f>
        <v>56149.519229999998</v>
      </c>
      <c r="P134" s="46">
        <f t="shared" ca="1" si="9"/>
        <v>5.4125235425101208E-4</v>
      </c>
      <c r="Q134" s="30">
        <f t="shared" si="11"/>
        <v>80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input_437100!A$2</f>
        <v>437100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IFERROR(VLOOKUP(B135,input_437100!L:R,7,FALSE),VLOOKUP(tables_437100!C135,input_437100!A:H,8,FALSE))</f>
        <v>0</v>
      </c>
      <c r="P135" s="46">
        <f t="shared" ca="1" si="9"/>
        <v>0</v>
      </c>
      <c r="Q135" s="30">
        <f t="shared" si="11"/>
        <v>40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input_437100!A$2</f>
        <v>437100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IFERROR(VLOOKUP(B136,input_437100!L:R,7,FALSE),VLOOKUP(tables_437100!C136,input_437100!A:H,8,FALSE))</f>
        <v>1026850.48077</v>
      </c>
      <c r="P136" s="46">
        <f t="shared" ca="1" si="9"/>
        <v>9.8983080853094277E-3</v>
      </c>
      <c r="Q136" s="30">
        <f t="shared" si="11"/>
        <v>60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input_437100!A$2</f>
        <v>437100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IFERROR(VLOOKUP(B137,input_437100!L:R,7,FALSE),VLOOKUP(tables_437100!C137,input_437100!A:H,8,FALSE))</f>
        <v>56149.519229999998</v>
      </c>
      <c r="P137" s="46">
        <f t="shared" ca="1" si="9"/>
        <v>5.4125235425101208E-4</v>
      </c>
      <c r="Q137" s="30">
        <f t="shared" si="11"/>
        <v>80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input_437100!A$2</f>
        <v>437100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IFERROR(VLOOKUP(B138,input_437100!L:R,7,FALSE),VLOOKUP(tables_437100!C138,input_437100!A:H,8,FALSE))</f>
        <v>84175</v>
      </c>
      <c r="P138" s="46">
        <f t="shared" ca="1" si="9"/>
        <v>8.1140350877192979E-4</v>
      </c>
      <c r="Q138" s="30">
        <f t="shared" si="11"/>
        <v>60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input_437100!A$2</f>
        <v>437100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IFERROR(VLOOKUP(B139,input_437100!L:R,7,FALSE),VLOOKUP(tables_437100!C139,input_437100!A:H,8,FALSE))</f>
        <v>6825</v>
      </c>
      <c r="P139" s="46">
        <f t="shared" ca="1" si="9"/>
        <v>6.5789473684210525E-5</v>
      </c>
      <c r="Q139" s="30">
        <f t="shared" si="11"/>
        <v>80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input_437100!A$2</f>
        <v>437100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IFERROR(VLOOKUP(B140,input_437100!L:R,7,FALSE),VLOOKUP(tables_437100!C140,input_437100!A:H,8,FALSE))</f>
        <v>84175</v>
      </c>
      <c r="P140" s="46">
        <f t="shared" ca="1" si="9"/>
        <v>8.1140350877192979E-4</v>
      </c>
      <c r="Q140" s="30">
        <f t="shared" si="11"/>
        <v>60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input_437100!A$2</f>
        <v>437100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IFERROR(VLOOKUP(B141,input_437100!L:R,7,FALSE),VLOOKUP(tables_437100!C141,input_437100!A:H,8,FALSE))</f>
        <v>6825</v>
      </c>
      <c r="P141" s="46">
        <f t="shared" ca="1" si="9"/>
        <v>6.5789473684210525E-5</v>
      </c>
      <c r="Q141" s="30">
        <f t="shared" si="11"/>
        <v>80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input_437100!A$2</f>
        <v>437100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IFERROR(VLOOKUP(B142,input_437100!L:R,7,FALSE),VLOOKUP(tables_437100!C142,input_437100!A:H,8,FALSE))</f>
        <v>84175</v>
      </c>
      <c r="P142" s="46">
        <f t="shared" ca="1" si="9"/>
        <v>8.1140350877192979E-4</v>
      </c>
      <c r="Q142" s="30">
        <f t="shared" si="11"/>
        <v>60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input_437100!A$2</f>
        <v>437100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IFERROR(VLOOKUP(B143,input_437100!L:R,7,FALSE),VLOOKUP(tables_437100!C143,input_437100!A:H,8,FALSE))</f>
        <v>6825</v>
      </c>
      <c r="P143" s="46">
        <f t="shared" ca="1" si="9"/>
        <v>6.5789473684210525E-5</v>
      </c>
      <c r="Q143" s="30">
        <f t="shared" si="11"/>
        <v>80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input_437100!A$2</f>
        <v>437100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IFERROR(VLOOKUP(B144,input_437100!L:R,7,FALSE),VLOOKUP(tables_437100!C144,input_437100!A:H,8,FALSE))</f>
        <v>84175</v>
      </c>
      <c r="P144" s="46">
        <f t="shared" ca="1" si="9"/>
        <v>8.1140350877192979E-4</v>
      </c>
      <c r="Q144" s="30">
        <f t="shared" si="11"/>
        <v>60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input_437100!A$2</f>
        <v>437100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IFERROR(VLOOKUP(B145,input_437100!L:R,7,FALSE),VLOOKUP(tables_437100!C145,input_437100!A:H,8,FALSE))</f>
        <v>6825</v>
      </c>
      <c r="P145" s="46">
        <f t="shared" ca="1" si="9"/>
        <v>6.5789473684210525E-5</v>
      </c>
      <c r="Q145" s="30">
        <f t="shared" si="11"/>
        <v>80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input_437100!A$2</f>
        <v>437100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IFERROR(VLOOKUP(B146,input_437100!L:R,7,FALSE),VLOOKUP(tables_437100!C146,input_437100!A:H,8,FALSE))</f>
        <v>0</v>
      </c>
      <c r="P146" s="46">
        <f t="shared" ca="1" si="9"/>
        <v>0</v>
      </c>
      <c r="Q146" s="30">
        <f t="shared" si="11"/>
        <v>40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input_437100!A$2</f>
        <v>437100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IFERROR(VLOOKUP(B147,input_437100!L:R,7,FALSE),VLOOKUP(tables_437100!C147,input_437100!A:H,8,FALSE))</f>
        <v>1026850.48077</v>
      </c>
      <c r="P147" s="46">
        <f t="shared" ca="1" si="9"/>
        <v>9.8983080853094277E-3</v>
      </c>
      <c r="Q147" s="30">
        <f t="shared" si="11"/>
        <v>60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input_437100!A$2</f>
        <v>437100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IFERROR(VLOOKUP(B148,input_437100!L:R,7,FALSE),VLOOKUP(tables_437100!C148,input_437100!A:H,8,FALSE))</f>
        <v>56149.519229999998</v>
      </c>
      <c r="P148" s="46">
        <f t="shared" ca="1" si="9"/>
        <v>5.4125235425101208E-4</v>
      </c>
      <c r="Q148" s="30">
        <f t="shared" si="11"/>
        <v>80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input_437100!A$2</f>
        <v>437100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IFERROR(VLOOKUP(B149,input_437100!L:R,7,FALSE),VLOOKUP(tables_437100!C149,input_437100!A:H,8,FALSE))</f>
        <v>84175</v>
      </c>
      <c r="P149" s="46">
        <f t="shared" ca="1" si="9"/>
        <v>8.1140350877192979E-4</v>
      </c>
      <c r="Q149" s="30">
        <f t="shared" si="11"/>
        <v>60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input_437100!A$2</f>
        <v>437100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IFERROR(VLOOKUP(B150,input_437100!L:R,7,FALSE),VLOOKUP(tables_437100!C150,input_437100!A:H,8,FALSE))</f>
        <v>6825</v>
      </c>
      <c r="P150" s="46">
        <f t="shared" ca="1" si="9"/>
        <v>6.5789473684210525E-5</v>
      </c>
      <c r="Q150" s="30">
        <f t="shared" si="11"/>
        <v>80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input_437100!A$2</f>
        <v>437100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IFERROR(VLOOKUP(B151,input_437100!L:R,7,FALSE),VLOOKUP(tables_437100!C151,input_437100!A:H,8,FALSE))</f>
        <v>84175</v>
      </c>
      <c r="P151" s="46">
        <f t="shared" ca="1" si="9"/>
        <v>8.1140350877192979E-4</v>
      </c>
      <c r="Q151" s="30">
        <f t="shared" si="11"/>
        <v>60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input_437100!A$2</f>
        <v>437100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IFERROR(VLOOKUP(B152,input_437100!L:R,7,FALSE),VLOOKUP(tables_437100!C152,input_437100!A:H,8,FALSE))</f>
        <v>6825</v>
      </c>
      <c r="P152" s="46">
        <f t="shared" ca="1" si="9"/>
        <v>6.5789473684210525E-5</v>
      </c>
      <c r="Q152" s="30">
        <f t="shared" si="11"/>
        <v>80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input_437100!A$2</f>
        <v>437100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IFERROR(VLOOKUP(B153,input_437100!L:R,7,FALSE),VLOOKUP(tables_437100!C153,input_437100!A:H,8,FALSE))</f>
        <v>0</v>
      </c>
      <c r="P153" s="46">
        <f t="shared" ca="1" si="9"/>
        <v>0</v>
      </c>
      <c r="Q153" s="30">
        <f t="shared" si="11"/>
        <v>40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input_437100!A$2</f>
        <v>437100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IFERROR(VLOOKUP(B154,input_437100!L:R,7,FALSE),VLOOKUP(tables_437100!C154,input_437100!A:H,8,FALSE))</f>
        <v>1026850.48077</v>
      </c>
      <c r="P154" s="46">
        <f t="shared" ca="1" si="9"/>
        <v>9.8983080853094277E-3</v>
      </c>
      <c r="Q154" s="30">
        <f t="shared" si="11"/>
        <v>60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input_437100!A$2</f>
        <v>437100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IFERROR(VLOOKUP(B155,input_437100!L:R,7,FALSE),VLOOKUP(tables_437100!C155,input_437100!A:H,8,FALSE))</f>
        <v>56149.519229999998</v>
      </c>
      <c r="P155" s="46">
        <f t="shared" ca="1" si="9"/>
        <v>5.4125235425101208E-4</v>
      </c>
      <c r="Q155" s="30">
        <f t="shared" si="11"/>
        <v>80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input_437100!A$2</f>
        <v>437100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IFERROR(VLOOKUP(B156,input_437100!L:R,7,FALSE),VLOOKUP(tables_437100!C156,input_437100!A:H,8,FALSE))</f>
        <v>84175</v>
      </c>
      <c r="P156" s="46">
        <f t="shared" ca="1" si="9"/>
        <v>8.1140350877192979E-4</v>
      </c>
      <c r="Q156" s="30">
        <f t="shared" si="11"/>
        <v>60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input_437100!A$2</f>
        <v>437100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IFERROR(VLOOKUP(B157,input_437100!L:R,7,FALSE),VLOOKUP(tables_437100!C157,input_437100!A:H,8,FALSE))</f>
        <v>6825</v>
      </c>
      <c r="P157" s="46">
        <f t="shared" ca="1" si="9"/>
        <v>6.5789473684210525E-5</v>
      </c>
      <c r="Q157" s="30">
        <f t="shared" si="11"/>
        <v>80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input_437100!A$2</f>
        <v>437100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IFERROR(VLOOKUP(B158,input_437100!L:R,7,FALSE),VLOOKUP(tables_437100!C158,input_437100!A:H,8,FALSE))</f>
        <v>0</v>
      </c>
      <c r="P158" s="46">
        <f t="shared" ca="1" si="9"/>
        <v>0</v>
      </c>
      <c r="Q158" s="30">
        <f t="shared" si="11"/>
        <v>40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input_437100!A$2</f>
        <v>437100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IFERROR(VLOOKUP(B159,input_437100!L:R,7,FALSE),VLOOKUP(tables_437100!C159,input_437100!A:H,8,FALSE))</f>
        <v>1026850.48077</v>
      </c>
      <c r="P159" s="46">
        <f t="shared" ca="1" si="9"/>
        <v>9.8983080853094277E-3</v>
      </c>
      <c r="Q159" s="30">
        <f t="shared" si="11"/>
        <v>60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input_437100!A$2</f>
        <v>437100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IFERROR(VLOOKUP(B160,input_437100!L:R,7,FALSE),VLOOKUP(tables_437100!C160,input_437100!A:H,8,FALSE))</f>
        <v>56149.519229999998</v>
      </c>
      <c r="P160" s="46">
        <f t="shared" ca="1" si="9"/>
        <v>5.4125235425101208E-4</v>
      </c>
      <c r="Q160" s="30">
        <f t="shared" si="11"/>
        <v>80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input_437100!A$2</f>
        <v>437100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IFERROR(VLOOKUP(B161,input_437100!L:R,7,FALSE),VLOOKUP(tables_437100!C161,input_437100!A:H,8,FALSE))</f>
        <v>0</v>
      </c>
      <c r="P161" s="46">
        <f t="shared" ca="1" si="9"/>
        <v>0</v>
      </c>
      <c r="Q161" s="30">
        <f t="shared" si="11"/>
        <v>40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input_437100!A$2</f>
        <v>437100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IFERROR(VLOOKUP(B162,input_437100!L:R,7,FALSE),VLOOKUP(tables_437100!C162,input_437100!A:H,8,FALSE))</f>
        <v>1026850.48077</v>
      </c>
      <c r="P162" s="46">
        <f t="shared" ca="1" si="9"/>
        <v>9.8983080853094277E-3</v>
      </c>
      <c r="Q162" s="30">
        <f t="shared" si="11"/>
        <v>60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input_437100!A$2</f>
        <v>437100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IFERROR(VLOOKUP(B163,input_437100!L:R,7,FALSE),VLOOKUP(tables_437100!C163,input_437100!A:H,8,FALSE))</f>
        <v>56149.519229999998</v>
      </c>
      <c r="P163" s="46">
        <f t="shared" ca="1" si="9"/>
        <v>5.4125235425101208E-4</v>
      </c>
      <c r="Q163" s="30">
        <f t="shared" si="11"/>
        <v>80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input_437100!A$2</f>
        <v>437100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IFERROR(VLOOKUP(B164,input_437100!L:R,7,FALSE),VLOOKUP(tables_437100!C164,input_437100!A:H,8,FALSE))</f>
        <v>84175</v>
      </c>
      <c r="P164" s="46">
        <f t="shared" ca="1" si="9"/>
        <v>8.1140350877192979E-4</v>
      </c>
      <c r="Q164" s="30">
        <f t="shared" si="11"/>
        <v>60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input_437100!A$2</f>
        <v>437100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IFERROR(VLOOKUP(B165,input_437100!L:R,7,FALSE),VLOOKUP(tables_437100!C165,input_437100!A:H,8,FALSE))</f>
        <v>6825</v>
      </c>
      <c r="P165" s="46">
        <f t="shared" ca="1" si="9"/>
        <v>6.5789473684210525E-5</v>
      </c>
      <c r="Q165" s="30">
        <f t="shared" si="11"/>
        <v>80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input_437100!A$2</f>
        <v>437100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IFERROR(VLOOKUP(B166,input_437100!L:R,7,FALSE),VLOOKUP(tables_437100!C166,input_437100!A:H,8,FALSE))</f>
        <v>0</v>
      </c>
      <c r="P166" s="46">
        <f t="shared" ca="1" si="9"/>
        <v>0</v>
      </c>
      <c r="Q166" s="30">
        <f t="shared" si="11"/>
        <v>40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input_437100!A$2</f>
        <v>437100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IFERROR(VLOOKUP(B167,input_437100!L:R,7,FALSE),VLOOKUP(tables_437100!C167,input_437100!A:H,8,FALSE))</f>
        <v>1026850.48077</v>
      </c>
      <c r="P167" s="46">
        <f t="shared" ca="1" si="9"/>
        <v>9.8983080853094277E-3</v>
      </c>
      <c r="Q167" s="30">
        <f t="shared" si="11"/>
        <v>60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input_437100!A$2</f>
        <v>437100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IFERROR(VLOOKUP(B168,input_437100!L:R,7,FALSE),VLOOKUP(tables_437100!C168,input_437100!A:H,8,FALSE))</f>
        <v>56149.519229999998</v>
      </c>
      <c r="P168" s="46">
        <f t="shared" ca="1" si="9"/>
        <v>5.4125235425101208E-4</v>
      </c>
      <c r="Q168" s="30">
        <f t="shared" si="11"/>
        <v>80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input_437100!A$2</f>
        <v>437100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IFERROR(VLOOKUP(B169,input_437100!L:R,7,FALSE),VLOOKUP(tables_437100!C169,input_437100!A:H,8,FALSE))</f>
        <v>84175</v>
      </c>
      <c r="P169" s="46">
        <f t="shared" ca="1" si="9"/>
        <v>8.1140350877192979E-4</v>
      </c>
      <c r="Q169" s="30">
        <f t="shared" si="11"/>
        <v>60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input_437100!A$2</f>
        <v>437100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IFERROR(VLOOKUP(B170,input_437100!L:R,7,FALSE),VLOOKUP(tables_437100!C170,input_437100!A:H,8,FALSE))</f>
        <v>6825</v>
      </c>
      <c r="P170" s="46">
        <f t="shared" ca="1" si="9"/>
        <v>6.5789473684210525E-5</v>
      </c>
      <c r="Q170" s="30">
        <f t="shared" si="11"/>
        <v>80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input_437100!A$2</f>
        <v>437100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IFERROR(VLOOKUP(B171,input_437100!L:R,7,FALSE),VLOOKUP(tables_437100!C171,input_437100!A:H,8,FALSE))</f>
        <v>0</v>
      </c>
      <c r="P171" s="46">
        <f t="shared" ca="1" si="9"/>
        <v>0</v>
      </c>
      <c r="Q171" s="30">
        <f t="shared" si="11"/>
        <v>40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input_437100!A$2</f>
        <v>437100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IFERROR(VLOOKUP(B172,input_437100!L:R,7,FALSE),VLOOKUP(tables_437100!C172,input_437100!A:H,8,FALSE))</f>
        <v>1026850.48077</v>
      </c>
      <c r="P172" s="46">
        <f t="shared" ca="1" si="9"/>
        <v>9.8983080853094277E-3</v>
      </c>
      <c r="Q172" s="30">
        <f t="shared" si="11"/>
        <v>60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input_437100!A$2</f>
        <v>437100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IFERROR(VLOOKUP(B173,input_437100!L:R,7,FALSE),VLOOKUP(tables_437100!C173,input_437100!A:H,8,FALSE))</f>
        <v>56149.519229999998</v>
      </c>
      <c r="P173" s="46">
        <f t="shared" ca="1" si="9"/>
        <v>5.4125235425101208E-4</v>
      </c>
      <c r="Q173" s="30">
        <f t="shared" si="11"/>
        <v>80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input_437100!A$2</f>
        <v>437100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IFERROR(VLOOKUP(B174,input_437100!L:R,7,FALSE),VLOOKUP(tables_437100!C174,input_437100!A:H,8,FALSE))</f>
        <v>84175</v>
      </c>
      <c r="P174" s="46">
        <f t="shared" ca="1" si="9"/>
        <v>8.1140350877192979E-4</v>
      </c>
      <c r="Q174" s="30">
        <f t="shared" si="11"/>
        <v>60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input_437100!A$2</f>
        <v>437100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IFERROR(VLOOKUP(B175,input_437100!L:R,7,FALSE),VLOOKUP(tables_437100!C175,input_437100!A:H,8,FALSE))</f>
        <v>6825</v>
      </c>
      <c r="P175" s="46">
        <f t="shared" ca="1" si="9"/>
        <v>6.5789473684210525E-5</v>
      </c>
      <c r="Q175" s="30">
        <f t="shared" si="11"/>
        <v>80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input_437100!A$2</f>
        <v>437100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IFERROR(VLOOKUP(B176,input_437100!L:R,7,FALSE),VLOOKUP(tables_437100!C176,input_437100!A:H,8,FALSE))</f>
        <v>84175</v>
      </c>
      <c r="P176" s="46">
        <f t="shared" ca="1" si="9"/>
        <v>8.1140350877192979E-4</v>
      </c>
      <c r="Q176" s="30">
        <f t="shared" si="11"/>
        <v>60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input_437100!A$2</f>
        <v>437100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IFERROR(VLOOKUP(B177,input_437100!L:R,7,FALSE),VLOOKUP(tables_437100!C177,input_437100!A:H,8,FALSE))</f>
        <v>6825</v>
      </c>
      <c r="P177" s="46">
        <f t="shared" ca="1" si="9"/>
        <v>6.5789473684210525E-5</v>
      </c>
      <c r="Q177" s="30">
        <f t="shared" si="11"/>
        <v>80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input_437100!A$2</f>
        <v>437100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IFERROR(VLOOKUP(B178,input_437100!L:R,7,FALSE),VLOOKUP(tables_437100!C178,input_437100!A:H,8,FALSE))</f>
        <v>0</v>
      </c>
      <c r="P178" s="46">
        <f t="shared" ca="1" si="9"/>
        <v>0</v>
      </c>
      <c r="Q178" s="30">
        <f t="shared" si="11"/>
        <v>40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input_437100!A$2</f>
        <v>437100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IFERROR(VLOOKUP(B179,input_437100!L:R,7,FALSE),VLOOKUP(tables_437100!C179,input_437100!A:H,8,FALSE))</f>
        <v>1026850.48077</v>
      </c>
      <c r="P179" s="46">
        <f t="shared" ca="1" si="9"/>
        <v>9.8983080853094277E-3</v>
      </c>
      <c r="Q179" s="30">
        <f t="shared" si="11"/>
        <v>60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input_437100!A$2</f>
        <v>437100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IFERROR(VLOOKUP(B180,input_437100!L:R,7,FALSE),VLOOKUP(tables_437100!C180,input_437100!A:H,8,FALSE))</f>
        <v>56149.519229999998</v>
      </c>
      <c r="P180" s="46">
        <f t="shared" ca="1" si="9"/>
        <v>5.4125235425101208E-4</v>
      </c>
      <c r="Q180" s="30">
        <f t="shared" si="11"/>
        <v>80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input_437100!A$2</f>
        <v>437100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IFERROR(VLOOKUP(B181,input_437100!L:R,7,FALSE),VLOOKUP(tables_437100!C181,input_437100!A:H,8,FALSE))</f>
        <v>0</v>
      </c>
      <c r="P181" s="46">
        <f t="shared" ca="1" si="9"/>
        <v>0</v>
      </c>
      <c r="Q181" s="30">
        <f t="shared" si="11"/>
        <v>40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input_437100!A$2</f>
        <v>437100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IFERROR(VLOOKUP(B182,input_437100!L:R,7,FALSE),VLOOKUP(tables_437100!C182,input_437100!A:H,8,FALSE))</f>
        <v>1026850.48077</v>
      </c>
      <c r="P182" s="46">
        <f t="shared" ca="1" si="9"/>
        <v>9.8983080853094277E-3</v>
      </c>
      <c r="Q182" s="30">
        <f t="shared" si="11"/>
        <v>60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input_437100!A$2</f>
        <v>437100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IFERROR(VLOOKUP(B183,input_437100!L:R,7,FALSE),VLOOKUP(tables_437100!C183,input_437100!A:H,8,FALSE))</f>
        <v>56149.519229999998</v>
      </c>
      <c r="P183" s="46">
        <f t="shared" ca="1" si="9"/>
        <v>5.4125235425101208E-4</v>
      </c>
      <c r="Q183" s="30">
        <f t="shared" si="11"/>
        <v>80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input_437100!A$2</f>
        <v>437100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IFERROR(VLOOKUP(B184,input_437100!L:R,7,FALSE),VLOOKUP(tables_437100!C184,input_437100!A:H,8,FALSE))</f>
        <v>84175</v>
      </c>
      <c r="P184" s="46">
        <f t="shared" ca="1" si="9"/>
        <v>8.1140350877192979E-4</v>
      </c>
      <c r="Q184" s="30">
        <f t="shared" si="11"/>
        <v>60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input_437100!A$2</f>
        <v>437100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IFERROR(VLOOKUP(B185,input_437100!L:R,7,FALSE),VLOOKUP(tables_437100!C185,input_437100!A:H,8,FALSE))</f>
        <v>6825</v>
      </c>
      <c r="P185" s="46">
        <f t="shared" ca="1" si="9"/>
        <v>6.5789473684210525E-5</v>
      </c>
      <c r="Q185" s="30">
        <f t="shared" si="11"/>
        <v>80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input_437100!A$2</f>
        <v>437100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IFERROR(VLOOKUP(B186,input_437100!L:R,7,FALSE),VLOOKUP(tables_437100!C186,input_437100!A:H,8,FALSE))</f>
        <v>0</v>
      </c>
      <c r="P186" s="46">
        <f t="shared" ca="1" si="9"/>
        <v>0</v>
      </c>
      <c r="Q186" s="30">
        <f t="shared" si="11"/>
        <v>40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input_437100!A$2</f>
        <v>437100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IFERROR(VLOOKUP(B187,input_437100!L:R,7,FALSE),VLOOKUP(tables_437100!C187,input_437100!A:H,8,FALSE))</f>
        <v>1026850.48077</v>
      </c>
      <c r="P187" s="46">
        <f t="shared" ca="1" si="9"/>
        <v>9.8983080853094277E-3</v>
      </c>
      <c r="Q187" s="30">
        <f t="shared" si="11"/>
        <v>60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input_437100!A$2</f>
        <v>437100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IFERROR(VLOOKUP(B188,input_437100!L:R,7,FALSE),VLOOKUP(tables_437100!C188,input_437100!A:H,8,FALSE))</f>
        <v>56149.519229999998</v>
      </c>
      <c r="P188" s="46">
        <f t="shared" ca="1" si="9"/>
        <v>5.4125235425101208E-4</v>
      </c>
      <c r="Q188" s="30">
        <f t="shared" si="11"/>
        <v>80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input_437100!A$2</f>
        <v>437100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IFERROR(VLOOKUP(B189,input_437100!L:R,7,FALSE),VLOOKUP(tables_437100!C189,input_437100!A:H,8,FALSE))</f>
        <v>84175</v>
      </c>
      <c r="P189" s="46">
        <f t="shared" ca="1" si="9"/>
        <v>8.1140350877192979E-4</v>
      </c>
      <c r="Q189" s="30">
        <f t="shared" si="11"/>
        <v>60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input_437100!A$2</f>
        <v>437100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IFERROR(VLOOKUP(B190,input_437100!L:R,7,FALSE),VLOOKUP(tables_437100!C190,input_437100!A:H,8,FALSE))</f>
        <v>6825</v>
      </c>
      <c r="P190" s="46">
        <f t="shared" ca="1" si="9"/>
        <v>6.5789473684210525E-5</v>
      </c>
      <c r="Q190" s="30">
        <f t="shared" si="11"/>
        <v>80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input_437100!A$2</f>
        <v>437100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IFERROR(VLOOKUP(B191,input_437100!L:R,7,FALSE),VLOOKUP(tables_437100!C191,input_437100!A:H,8,FALSE))</f>
        <v>84175</v>
      </c>
      <c r="P191" s="46">
        <f t="shared" ca="1" si="9"/>
        <v>8.1140350877192979E-4</v>
      </c>
      <c r="Q191" s="30">
        <f t="shared" si="11"/>
        <v>60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input_437100!A$2</f>
        <v>437100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IFERROR(VLOOKUP(B192,input_437100!L:R,7,FALSE),VLOOKUP(tables_437100!C192,input_437100!A:H,8,FALSE))</f>
        <v>6825</v>
      </c>
      <c r="P192" s="46">
        <f t="shared" ca="1" si="9"/>
        <v>6.5789473684210525E-5</v>
      </c>
      <c r="Q192" s="30">
        <f t="shared" si="11"/>
        <v>80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input_437100!A$2</f>
        <v>437100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IFERROR(VLOOKUP(B193,input_437100!L:R,7,FALSE),VLOOKUP(tables_437100!C193,input_437100!A:H,8,FALSE))</f>
        <v>0</v>
      </c>
      <c r="P193" s="46">
        <f t="shared" ca="1" si="9"/>
        <v>0</v>
      </c>
      <c r="Q193" s="30">
        <f t="shared" si="11"/>
        <v>40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input_437100!A$2</f>
        <v>437100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IFERROR(VLOOKUP(B194,input_437100!L:R,7,FALSE),VLOOKUP(tables_437100!C194,input_437100!A:H,8,FALSE))</f>
        <v>1026850.48077</v>
      </c>
      <c r="P194" s="46">
        <f t="shared" ref="P194:P257" ca="1" si="13">O194/SUM(O:O)</f>
        <v>9.8983080853094277E-3</v>
      </c>
      <c r="Q194" s="30">
        <f t="shared" si="11"/>
        <v>60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input_437100!A$2</f>
        <v>437100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IFERROR(VLOOKUP(B195,input_437100!L:R,7,FALSE),VLOOKUP(tables_437100!C195,input_437100!A:H,8,FALSE))</f>
        <v>56149.519229999998</v>
      </c>
      <c r="P195" s="46">
        <f t="shared" ca="1" si="13"/>
        <v>5.4125235425101208E-4</v>
      </c>
      <c r="Q195" s="30">
        <f t="shared" ref="Q195:Q258" si="15">IF(J195=3,40,IF(J195=4,60,IF(J195=5,80,"")))</f>
        <v>80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input_437100!A$2</f>
        <v>437100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IFERROR(VLOOKUP(B196,input_437100!L:R,7,FALSE),VLOOKUP(tables_437100!C196,input_437100!A:H,8,FALSE))</f>
        <v>84175</v>
      </c>
      <c r="P196" s="46">
        <f t="shared" ca="1" si="13"/>
        <v>8.1140350877192979E-4</v>
      </c>
      <c r="Q196" s="30">
        <f t="shared" si="15"/>
        <v>60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input_437100!A$2</f>
        <v>437100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IFERROR(VLOOKUP(B197,input_437100!L:R,7,FALSE),VLOOKUP(tables_437100!C197,input_437100!A:H,8,FALSE))</f>
        <v>6825</v>
      </c>
      <c r="P197" s="46">
        <f t="shared" ca="1" si="13"/>
        <v>6.5789473684210525E-5</v>
      </c>
      <c r="Q197" s="30">
        <f t="shared" si="15"/>
        <v>80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input_437100!A$2</f>
        <v>437100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IFERROR(VLOOKUP(B198,input_437100!L:R,7,FALSE),VLOOKUP(tables_437100!C198,input_437100!A:H,8,FALSE))</f>
        <v>0</v>
      </c>
      <c r="P198" s="46">
        <f t="shared" ca="1" si="13"/>
        <v>0</v>
      </c>
      <c r="Q198" s="30">
        <f t="shared" si="15"/>
        <v>40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input_437100!A$2</f>
        <v>437100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IFERROR(VLOOKUP(B199,input_437100!L:R,7,FALSE),VLOOKUP(tables_437100!C199,input_437100!A:H,8,FALSE))</f>
        <v>1026850.48077</v>
      </c>
      <c r="P199" s="46">
        <f t="shared" ca="1" si="13"/>
        <v>9.8983080853094277E-3</v>
      </c>
      <c r="Q199" s="30">
        <f t="shared" si="15"/>
        <v>60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input_437100!A$2</f>
        <v>437100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IFERROR(VLOOKUP(B200,input_437100!L:R,7,FALSE),VLOOKUP(tables_437100!C200,input_437100!A:H,8,FALSE))</f>
        <v>56149.519229999998</v>
      </c>
      <c r="P200" s="46">
        <f t="shared" ca="1" si="13"/>
        <v>5.4125235425101208E-4</v>
      </c>
      <c r="Q200" s="30">
        <f t="shared" si="15"/>
        <v>80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input_437100!A$2</f>
        <v>437100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IFERROR(VLOOKUP(B201,input_437100!L:R,7,FALSE),VLOOKUP(tables_437100!C201,input_437100!A:H,8,FALSE))</f>
        <v>84175</v>
      </c>
      <c r="P201" s="46">
        <f t="shared" ca="1" si="13"/>
        <v>8.1140350877192979E-4</v>
      </c>
      <c r="Q201" s="30">
        <f t="shared" si="15"/>
        <v>60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input_437100!A$2</f>
        <v>437100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IFERROR(VLOOKUP(B202,input_437100!L:R,7,FALSE),VLOOKUP(tables_437100!C202,input_437100!A:H,8,FALSE))</f>
        <v>6825</v>
      </c>
      <c r="P202" s="46">
        <f t="shared" ca="1" si="13"/>
        <v>6.5789473684210525E-5</v>
      </c>
      <c r="Q202" s="30">
        <f t="shared" si="15"/>
        <v>80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input_437100!A$2</f>
        <v>437100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IFERROR(VLOOKUP(B203,input_437100!L:R,7,FALSE),VLOOKUP(tables_437100!C203,input_437100!A:H,8,FALSE))</f>
        <v>0</v>
      </c>
      <c r="P203" s="46">
        <f t="shared" ca="1" si="13"/>
        <v>0</v>
      </c>
      <c r="Q203" s="30">
        <f t="shared" si="15"/>
        <v>40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input_437100!A$2</f>
        <v>437100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IFERROR(VLOOKUP(B204,input_437100!L:R,7,FALSE),VLOOKUP(tables_437100!C204,input_437100!A:H,8,FALSE))</f>
        <v>1026850.48077</v>
      </c>
      <c r="P204" s="46">
        <f t="shared" ca="1" si="13"/>
        <v>9.8983080853094277E-3</v>
      </c>
      <c r="Q204" s="30">
        <f t="shared" si="15"/>
        <v>60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input_437100!A$2</f>
        <v>437100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IFERROR(VLOOKUP(B205,input_437100!L:R,7,FALSE),VLOOKUP(tables_437100!C205,input_437100!A:H,8,FALSE))</f>
        <v>56149.519229999998</v>
      </c>
      <c r="P205" s="46">
        <f t="shared" ca="1" si="13"/>
        <v>5.4125235425101208E-4</v>
      </c>
      <c r="Q205" s="30">
        <f t="shared" si="15"/>
        <v>80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input_437100!A$2</f>
        <v>437100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IFERROR(VLOOKUP(B206,input_437100!L:R,7,FALSE),VLOOKUP(tables_437100!C206,input_437100!A:H,8,FALSE))</f>
        <v>84175</v>
      </c>
      <c r="P206" s="46">
        <f t="shared" ca="1" si="13"/>
        <v>8.1140350877192979E-4</v>
      </c>
      <c r="Q206" s="30">
        <f t="shared" si="15"/>
        <v>60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input_437100!A$2</f>
        <v>437100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IFERROR(VLOOKUP(B207,input_437100!L:R,7,FALSE),VLOOKUP(tables_437100!C207,input_437100!A:H,8,FALSE))</f>
        <v>6825</v>
      </c>
      <c r="P207" s="46">
        <f t="shared" ca="1" si="13"/>
        <v>6.5789473684210525E-5</v>
      </c>
      <c r="Q207" s="30">
        <f t="shared" si="15"/>
        <v>80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input_437100!A$2</f>
        <v>437100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IFERROR(VLOOKUP(B208,input_437100!L:R,7,FALSE),VLOOKUP(tables_437100!C208,input_437100!A:H,8,FALSE))</f>
        <v>84175</v>
      </c>
      <c r="P208" s="46">
        <f t="shared" ca="1" si="13"/>
        <v>8.1140350877192979E-4</v>
      </c>
      <c r="Q208" s="30">
        <f t="shared" si="15"/>
        <v>60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input_437100!A$2</f>
        <v>437100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IFERROR(VLOOKUP(B209,input_437100!L:R,7,FALSE),VLOOKUP(tables_437100!C209,input_437100!A:H,8,FALSE))</f>
        <v>6825</v>
      </c>
      <c r="P209" s="46">
        <f t="shared" ca="1" si="13"/>
        <v>6.5789473684210525E-5</v>
      </c>
      <c r="Q209" s="30">
        <f t="shared" si="15"/>
        <v>80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input_437100!A$2</f>
        <v>437100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IFERROR(VLOOKUP(B210,input_437100!L:R,7,FALSE),VLOOKUP(tables_437100!C210,input_437100!A:H,8,FALSE))</f>
        <v>0</v>
      </c>
      <c r="P210" s="46">
        <f t="shared" ca="1" si="13"/>
        <v>0</v>
      </c>
      <c r="Q210" s="30">
        <f t="shared" si="15"/>
        <v>40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input_437100!A$2</f>
        <v>437100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IFERROR(VLOOKUP(B211,input_437100!L:R,7,FALSE),VLOOKUP(tables_437100!C211,input_437100!A:H,8,FALSE))</f>
        <v>1026850.48077</v>
      </c>
      <c r="P211" s="46">
        <f t="shared" ca="1" si="13"/>
        <v>9.8983080853094277E-3</v>
      </c>
      <c r="Q211" s="30">
        <f t="shared" si="15"/>
        <v>60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input_437100!A$2</f>
        <v>437100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IFERROR(VLOOKUP(B212,input_437100!L:R,7,FALSE),VLOOKUP(tables_437100!C212,input_437100!A:H,8,FALSE))</f>
        <v>56149.519229999998</v>
      </c>
      <c r="P212" s="46">
        <f t="shared" ca="1" si="13"/>
        <v>5.4125235425101208E-4</v>
      </c>
      <c r="Q212" s="30">
        <f t="shared" si="15"/>
        <v>80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input_437100!A$2</f>
        <v>437100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IFERROR(VLOOKUP(B213,input_437100!L:R,7,FALSE),VLOOKUP(tables_437100!C213,input_437100!A:H,8,FALSE))</f>
        <v>84175</v>
      </c>
      <c r="P213" s="46">
        <f t="shared" ca="1" si="13"/>
        <v>8.1140350877192979E-4</v>
      </c>
      <c r="Q213" s="30">
        <f t="shared" si="15"/>
        <v>60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input_437100!A$2</f>
        <v>437100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IFERROR(VLOOKUP(B214,input_437100!L:R,7,FALSE),VLOOKUP(tables_437100!C214,input_437100!A:H,8,FALSE))</f>
        <v>6825</v>
      </c>
      <c r="P214" s="46">
        <f t="shared" ca="1" si="13"/>
        <v>6.5789473684210525E-5</v>
      </c>
      <c r="Q214" s="30">
        <f t="shared" si="15"/>
        <v>80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input_437100!A$2</f>
        <v>437100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IFERROR(VLOOKUP(B215,input_437100!L:R,7,FALSE),VLOOKUP(tables_437100!C215,input_437100!A:H,8,FALSE))</f>
        <v>81225</v>
      </c>
      <c r="P215" s="46">
        <f t="shared" ca="1" si="13"/>
        <v>7.8296703296703294E-4</v>
      </c>
      <c r="Q215" s="30">
        <f t="shared" si="15"/>
        <v>80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input_437100!A$2</f>
        <v>437100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IFERROR(VLOOKUP(B216,input_437100!L:R,7,FALSE),VLOOKUP(tables_437100!C216,input_437100!A:H,8,FALSE))</f>
        <v>81225</v>
      </c>
      <c r="P216" s="46">
        <f t="shared" ca="1" si="13"/>
        <v>7.8296703296703294E-4</v>
      </c>
      <c r="Q216" s="30">
        <f t="shared" si="15"/>
        <v>80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input_437100!A$2</f>
        <v>437100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IFERROR(VLOOKUP(B217,input_437100!L:R,7,FALSE),VLOOKUP(tables_437100!C217,input_437100!A:H,8,FALSE))</f>
        <v>81225</v>
      </c>
      <c r="P217" s="46">
        <f t="shared" ca="1" si="13"/>
        <v>7.8296703296703294E-4</v>
      </c>
      <c r="Q217" s="30">
        <f t="shared" si="15"/>
        <v>80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input_437100!A$2</f>
        <v>437100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IFERROR(VLOOKUP(B218,input_437100!L:R,7,FALSE),VLOOKUP(tables_437100!C218,input_437100!A:H,8,FALSE))</f>
        <v>81225</v>
      </c>
      <c r="P218" s="46">
        <f t="shared" ca="1" si="13"/>
        <v>7.8296703296703294E-4</v>
      </c>
      <c r="Q218" s="30">
        <f t="shared" si="15"/>
        <v>80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input_437100!A$2</f>
        <v>437100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IFERROR(VLOOKUP(B219,input_437100!L:R,7,FALSE),VLOOKUP(tables_437100!C219,input_437100!A:H,8,FALSE))</f>
        <v>81225</v>
      </c>
      <c r="P219" s="46">
        <f t="shared" ca="1" si="13"/>
        <v>7.8296703296703294E-4</v>
      </c>
      <c r="Q219" s="30">
        <f t="shared" si="15"/>
        <v>80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input_437100!A$2</f>
        <v>437100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IFERROR(VLOOKUP(B220,input_437100!L:R,7,FALSE),VLOOKUP(tables_437100!C220,input_437100!A:H,8,FALSE))</f>
        <v>81225</v>
      </c>
      <c r="P220" s="46">
        <f t="shared" ca="1" si="13"/>
        <v>7.8296703296703294E-4</v>
      </c>
      <c r="Q220" s="30">
        <f t="shared" si="15"/>
        <v>80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input_437100!A$2</f>
        <v>437100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IFERROR(VLOOKUP(B221,input_437100!L:R,7,FALSE),VLOOKUP(tables_437100!C221,input_437100!A:H,8,FALSE))</f>
        <v>84175</v>
      </c>
      <c r="P221" s="46">
        <f t="shared" ca="1" si="13"/>
        <v>8.1140350877192979E-4</v>
      </c>
      <c r="Q221" s="30">
        <f t="shared" si="15"/>
        <v>60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input_437100!A$2</f>
        <v>437100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IFERROR(VLOOKUP(B222,input_437100!L:R,7,FALSE),VLOOKUP(tables_437100!C222,input_437100!A:H,8,FALSE))</f>
        <v>6825</v>
      </c>
      <c r="P222" s="46">
        <f t="shared" ca="1" si="13"/>
        <v>6.5789473684210525E-5</v>
      </c>
      <c r="Q222" s="30">
        <f t="shared" si="15"/>
        <v>80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input_437100!A$2</f>
        <v>437100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IFERROR(VLOOKUP(B223,input_437100!L:R,7,FALSE),VLOOKUP(tables_437100!C223,input_437100!A:H,8,FALSE))</f>
        <v>0</v>
      </c>
      <c r="P223" s="46">
        <f t="shared" ca="1" si="13"/>
        <v>0</v>
      </c>
      <c r="Q223" s="30">
        <f t="shared" si="15"/>
        <v>40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input_437100!A$2</f>
        <v>437100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IFERROR(VLOOKUP(B224,input_437100!L:R,7,FALSE),VLOOKUP(tables_437100!C224,input_437100!A:H,8,FALSE))</f>
        <v>1026850.48077</v>
      </c>
      <c r="P224" s="46">
        <f t="shared" ca="1" si="13"/>
        <v>9.8983080853094277E-3</v>
      </c>
      <c r="Q224" s="30">
        <f t="shared" si="15"/>
        <v>60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input_437100!A$2</f>
        <v>437100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IFERROR(VLOOKUP(B225,input_437100!L:R,7,FALSE),VLOOKUP(tables_437100!C225,input_437100!A:H,8,FALSE))</f>
        <v>56149.519229999998</v>
      </c>
      <c r="P225" s="46">
        <f t="shared" ca="1" si="13"/>
        <v>5.4125235425101208E-4</v>
      </c>
      <c r="Q225" s="30">
        <f t="shared" si="15"/>
        <v>80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input_437100!A$2</f>
        <v>437100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IFERROR(VLOOKUP(B226,input_437100!L:R,7,FALSE),VLOOKUP(tables_437100!C226,input_437100!A:H,8,FALSE))</f>
        <v>0</v>
      </c>
      <c r="P226" s="46">
        <f t="shared" ca="1" si="13"/>
        <v>0</v>
      </c>
      <c r="Q226" s="30">
        <f t="shared" si="15"/>
        <v>40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input_437100!A$2</f>
        <v>437100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IFERROR(VLOOKUP(B227,input_437100!L:R,7,FALSE),VLOOKUP(tables_437100!C227,input_437100!A:H,8,FALSE))</f>
        <v>1026850.48077</v>
      </c>
      <c r="P227" s="46">
        <f t="shared" ca="1" si="13"/>
        <v>9.8983080853094277E-3</v>
      </c>
      <c r="Q227" s="30">
        <f t="shared" si="15"/>
        <v>60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input_437100!A$2</f>
        <v>437100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IFERROR(VLOOKUP(B228,input_437100!L:R,7,FALSE),VLOOKUP(tables_437100!C228,input_437100!A:H,8,FALSE))</f>
        <v>56149.519229999998</v>
      </c>
      <c r="P228" s="46">
        <f t="shared" ca="1" si="13"/>
        <v>5.4125235425101208E-4</v>
      </c>
      <c r="Q228" s="30">
        <f t="shared" si="15"/>
        <v>80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input_437100!A$2</f>
        <v>437100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IFERROR(VLOOKUP(B229,input_437100!L:R,7,FALSE),VLOOKUP(tables_437100!C229,input_437100!A:H,8,FALSE))</f>
        <v>84175</v>
      </c>
      <c r="P229" s="46">
        <f t="shared" ca="1" si="13"/>
        <v>8.1140350877192979E-4</v>
      </c>
      <c r="Q229" s="30">
        <f t="shared" si="15"/>
        <v>60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input_437100!A$2</f>
        <v>437100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IFERROR(VLOOKUP(B230,input_437100!L:R,7,FALSE),VLOOKUP(tables_437100!C230,input_437100!A:H,8,FALSE))</f>
        <v>6825</v>
      </c>
      <c r="P230" s="46">
        <f t="shared" ca="1" si="13"/>
        <v>6.5789473684210525E-5</v>
      </c>
      <c r="Q230" s="30">
        <f t="shared" si="15"/>
        <v>80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input_437100!A$2</f>
        <v>437100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IFERROR(VLOOKUP(B231,input_437100!L:R,7,FALSE),VLOOKUP(tables_437100!C231,input_437100!A:H,8,FALSE))</f>
        <v>0</v>
      </c>
      <c r="P231" s="46">
        <f t="shared" ca="1" si="13"/>
        <v>0</v>
      </c>
      <c r="Q231" s="30">
        <f t="shared" si="15"/>
        <v>40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input_437100!A$2</f>
        <v>437100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IFERROR(VLOOKUP(B232,input_437100!L:R,7,FALSE),VLOOKUP(tables_437100!C232,input_437100!A:H,8,FALSE))</f>
        <v>1026850.48077</v>
      </c>
      <c r="P232" s="46">
        <f t="shared" ca="1" si="13"/>
        <v>9.8983080853094277E-3</v>
      </c>
      <c r="Q232" s="30">
        <f t="shared" si="15"/>
        <v>60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input_437100!A$2</f>
        <v>437100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IFERROR(VLOOKUP(B233,input_437100!L:R,7,FALSE),VLOOKUP(tables_437100!C233,input_437100!A:H,8,FALSE))</f>
        <v>56149.519229999998</v>
      </c>
      <c r="P233" s="46">
        <f t="shared" ca="1" si="13"/>
        <v>5.4125235425101208E-4</v>
      </c>
      <c r="Q233" s="30">
        <f t="shared" si="15"/>
        <v>80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input_437100!A$2</f>
        <v>437100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IFERROR(VLOOKUP(B234,input_437100!L:R,7,FALSE),VLOOKUP(tables_437100!C234,input_437100!A:H,8,FALSE))</f>
        <v>0</v>
      </c>
      <c r="P234" s="46">
        <f t="shared" ca="1" si="13"/>
        <v>0</v>
      </c>
      <c r="Q234" s="30">
        <f t="shared" si="15"/>
        <v>40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input_437100!A$2</f>
        <v>437100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IFERROR(VLOOKUP(B235,input_437100!L:R,7,FALSE),VLOOKUP(tables_437100!C235,input_437100!A:H,8,FALSE))</f>
        <v>1026850.48077</v>
      </c>
      <c r="P235" s="46">
        <f t="shared" ca="1" si="13"/>
        <v>9.8983080853094277E-3</v>
      </c>
      <c r="Q235" s="30">
        <f t="shared" si="15"/>
        <v>60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input_437100!A$2</f>
        <v>437100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IFERROR(VLOOKUP(B236,input_437100!L:R,7,FALSE),VLOOKUP(tables_437100!C236,input_437100!A:H,8,FALSE))</f>
        <v>56149.519229999998</v>
      </c>
      <c r="P236" s="46">
        <f t="shared" ca="1" si="13"/>
        <v>5.4125235425101208E-4</v>
      </c>
      <c r="Q236" s="30">
        <f t="shared" si="15"/>
        <v>80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input_437100!A$2</f>
        <v>437100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IFERROR(VLOOKUP(B237,input_437100!L:R,7,FALSE),VLOOKUP(tables_437100!C237,input_437100!A:H,8,FALSE))</f>
        <v>84175</v>
      </c>
      <c r="P237" s="46">
        <f t="shared" ca="1" si="13"/>
        <v>8.1140350877192979E-4</v>
      </c>
      <c r="Q237" s="30">
        <f t="shared" si="15"/>
        <v>60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input_437100!A$2</f>
        <v>437100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IFERROR(VLOOKUP(B238,input_437100!L:R,7,FALSE),VLOOKUP(tables_437100!C238,input_437100!A:H,8,FALSE))</f>
        <v>6825</v>
      </c>
      <c r="P238" s="46">
        <f t="shared" ca="1" si="13"/>
        <v>6.5789473684210525E-5</v>
      </c>
      <c r="Q238" s="30">
        <f t="shared" si="15"/>
        <v>80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input_437100!A$2</f>
        <v>437100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IFERROR(VLOOKUP(B239,input_437100!L:R,7,FALSE),VLOOKUP(tables_437100!C239,input_437100!A:H,8,FALSE))</f>
        <v>0</v>
      </c>
      <c r="P239" s="46">
        <f t="shared" ca="1" si="13"/>
        <v>0</v>
      </c>
      <c r="Q239" s="30">
        <f t="shared" si="15"/>
        <v>40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input_437100!A$2</f>
        <v>437100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IFERROR(VLOOKUP(B240,input_437100!L:R,7,FALSE),VLOOKUP(tables_437100!C240,input_437100!A:H,8,FALSE))</f>
        <v>1026850.48077</v>
      </c>
      <c r="P240" s="46">
        <f t="shared" ca="1" si="13"/>
        <v>9.8983080853094277E-3</v>
      </c>
      <c r="Q240" s="30">
        <f t="shared" si="15"/>
        <v>60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input_437100!A$2</f>
        <v>437100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IFERROR(VLOOKUP(B241,input_437100!L:R,7,FALSE),VLOOKUP(tables_437100!C241,input_437100!A:H,8,FALSE))</f>
        <v>56149.519229999998</v>
      </c>
      <c r="P241" s="46">
        <f t="shared" ca="1" si="13"/>
        <v>5.4125235425101208E-4</v>
      </c>
      <c r="Q241" s="30">
        <f t="shared" si="15"/>
        <v>80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input_437100!A$2</f>
        <v>437100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IFERROR(VLOOKUP(B242,input_437100!L:R,7,FALSE),VLOOKUP(tables_437100!C242,input_437100!A:H,8,FALSE))</f>
        <v>84175</v>
      </c>
      <c r="P242" s="46">
        <f t="shared" ca="1" si="13"/>
        <v>8.1140350877192979E-4</v>
      </c>
      <c r="Q242" s="30">
        <f t="shared" si="15"/>
        <v>60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input_437100!A$2</f>
        <v>437100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IFERROR(VLOOKUP(B243,input_437100!L:R,7,FALSE),VLOOKUP(tables_437100!C243,input_437100!A:H,8,FALSE))</f>
        <v>6825</v>
      </c>
      <c r="P243" s="46">
        <f t="shared" ca="1" si="13"/>
        <v>6.5789473684210525E-5</v>
      </c>
      <c r="Q243" s="30">
        <f t="shared" si="15"/>
        <v>80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input_437100!A$2</f>
        <v>437100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IFERROR(VLOOKUP(B244,input_437100!L:R,7,FALSE),VLOOKUP(tables_437100!C244,input_437100!A:H,8,FALSE))</f>
        <v>84175</v>
      </c>
      <c r="P244" s="46">
        <f t="shared" ca="1" si="13"/>
        <v>8.1140350877192979E-4</v>
      </c>
      <c r="Q244" s="30">
        <f t="shared" si="15"/>
        <v>60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input_437100!A$2</f>
        <v>437100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IFERROR(VLOOKUP(B245,input_437100!L:R,7,FALSE),VLOOKUP(tables_437100!C245,input_437100!A:H,8,FALSE))</f>
        <v>6825</v>
      </c>
      <c r="P245" s="46">
        <f t="shared" ca="1" si="13"/>
        <v>6.5789473684210525E-5</v>
      </c>
      <c r="Q245" s="30">
        <f t="shared" si="15"/>
        <v>80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input_437100!A$2</f>
        <v>437100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IFERROR(VLOOKUP(B246,input_437100!L:R,7,FALSE),VLOOKUP(tables_437100!C246,input_437100!A:H,8,FALSE))</f>
        <v>0</v>
      </c>
      <c r="P246" s="46">
        <f t="shared" ca="1" si="13"/>
        <v>0</v>
      </c>
      <c r="Q246" s="30">
        <f t="shared" si="15"/>
        <v>40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input_437100!A$2</f>
        <v>437100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IFERROR(VLOOKUP(B247,input_437100!L:R,7,FALSE),VLOOKUP(tables_437100!C247,input_437100!A:H,8,FALSE))</f>
        <v>1026850.48077</v>
      </c>
      <c r="P247" s="46">
        <f t="shared" ca="1" si="13"/>
        <v>9.8983080853094277E-3</v>
      </c>
      <c r="Q247" s="30">
        <f t="shared" si="15"/>
        <v>60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input_437100!A$2</f>
        <v>437100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IFERROR(VLOOKUP(B248,input_437100!L:R,7,FALSE),VLOOKUP(tables_437100!C248,input_437100!A:H,8,FALSE))</f>
        <v>56149.519229999998</v>
      </c>
      <c r="P248" s="46">
        <f t="shared" ca="1" si="13"/>
        <v>5.4125235425101208E-4</v>
      </c>
      <c r="Q248" s="30">
        <f t="shared" si="15"/>
        <v>80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input_437100!A$2</f>
        <v>437100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IFERROR(VLOOKUP(B249,input_437100!L:R,7,FALSE),VLOOKUP(tables_437100!C249,input_437100!A:H,8,FALSE))</f>
        <v>0</v>
      </c>
      <c r="P249" s="46">
        <f t="shared" ca="1" si="13"/>
        <v>0</v>
      </c>
      <c r="Q249" s="30">
        <f t="shared" si="15"/>
        <v>40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input_437100!A$2</f>
        <v>437100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IFERROR(VLOOKUP(B250,input_437100!L:R,7,FALSE),VLOOKUP(tables_437100!C250,input_437100!A:H,8,FALSE))</f>
        <v>1026850.48077</v>
      </c>
      <c r="P250" s="46">
        <f t="shared" ca="1" si="13"/>
        <v>9.8983080853094277E-3</v>
      </c>
      <c r="Q250" s="30">
        <f t="shared" si="15"/>
        <v>60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input_437100!A$2</f>
        <v>437100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IFERROR(VLOOKUP(B251,input_437100!L:R,7,FALSE),VLOOKUP(tables_437100!C251,input_437100!A:H,8,FALSE))</f>
        <v>56149.519229999998</v>
      </c>
      <c r="P251" s="46">
        <f t="shared" ca="1" si="13"/>
        <v>5.4125235425101208E-4</v>
      </c>
      <c r="Q251" s="30">
        <f t="shared" si="15"/>
        <v>80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input_437100!A$2</f>
        <v>437100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IFERROR(VLOOKUP(B252,input_437100!L:R,7,FALSE),VLOOKUP(tables_437100!C252,input_437100!A:H,8,FALSE))</f>
        <v>0</v>
      </c>
      <c r="P252" s="46">
        <f t="shared" ca="1" si="13"/>
        <v>0</v>
      </c>
      <c r="Q252" s="30">
        <f t="shared" si="15"/>
        <v>40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input_437100!A$2</f>
        <v>437100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IFERROR(VLOOKUP(B253,input_437100!L:R,7,FALSE),VLOOKUP(tables_437100!C253,input_437100!A:H,8,FALSE))</f>
        <v>1026850.48077</v>
      </c>
      <c r="P253" s="46">
        <f t="shared" ca="1" si="13"/>
        <v>9.8983080853094277E-3</v>
      </c>
      <c r="Q253" s="30">
        <f t="shared" si="15"/>
        <v>60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input_437100!A$2</f>
        <v>437100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IFERROR(VLOOKUP(B254,input_437100!L:R,7,FALSE),VLOOKUP(tables_437100!C254,input_437100!A:H,8,FALSE))</f>
        <v>56149.519229999998</v>
      </c>
      <c r="P254" s="46">
        <f t="shared" ca="1" si="13"/>
        <v>5.4125235425101208E-4</v>
      </c>
      <c r="Q254" s="30">
        <f t="shared" si="15"/>
        <v>80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input_437100!A$2</f>
        <v>437100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IFERROR(VLOOKUP(B255,input_437100!L:R,7,FALSE),VLOOKUP(tables_437100!C255,input_437100!A:H,8,FALSE))</f>
        <v>0</v>
      </c>
      <c r="P255" s="46">
        <f t="shared" ca="1" si="13"/>
        <v>0</v>
      </c>
      <c r="Q255" s="30">
        <f t="shared" si="15"/>
        <v>40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input_437100!A$2</f>
        <v>437100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IFERROR(VLOOKUP(B256,input_437100!L:R,7,FALSE),VLOOKUP(tables_437100!C256,input_437100!A:H,8,FALSE))</f>
        <v>1026850.48077</v>
      </c>
      <c r="P256" s="46">
        <f t="shared" ca="1" si="13"/>
        <v>9.8983080853094277E-3</v>
      </c>
      <c r="Q256" s="30">
        <f t="shared" si="15"/>
        <v>60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input_437100!A$2</f>
        <v>437100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IFERROR(VLOOKUP(B257,input_437100!L:R,7,FALSE),VLOOKUP(tables_437100!C257,input_437100!A:H,8,FALSE))</f>
        <v>56149.519229999998</v>
      </c>
      <c r="P257" s="46">
        <f t="shared" ca="1" si="13"/>
        <v>5.4125235425101208E-4</v>
      </c>
      <c r="Q257" s="30">
        <f t="shared" si="15"/>
        <v>80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input_437100!A$2</f>
        <v>437100</v>
      </c>
      <c r="B258" s="60">
        <v>674</v>
      </c>
      <c r="C258" s="7" t="str">
        <f t="shared" ref="C258:C283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IFERROR(VLOOKUP(B258,input_437100!L:R,7,FALSE),VLOOKUP(tables_437100!C258,input_437100!A:H,8,FALSE))</f>
        <v>84175</v>
      </c>
      <c r="P258" s="46">
        <f t="shared" ref="P258:P294" ca="1" si="17">O258/SUM(O:O)</f>
        <v>8.1140350877192979E-4</v>
      </c>
      <c r="Q258" s="30">
        <f t="shared" si="15"/>
        <v>60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input_437100!A$2</f>
        <v>437100</v>
      </c>
      <c r="B259" s="60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IFERROR(VLOOKUP(B259,input_437100!L:R,7,FALSE),VLOOKUP(tables_437100!C259,input_437100!A:H,8,FALSE))</f>
        <v>6825</v>
      </c>
      <c r="P259" s="46">
        <f t="shared" ca="1" si="17"/>
        <v>6.5789473684210525E-5</v>
      </c>
      <c r="Q259" s="30">
        <f t="shared" ref="Q259:Q322" si="19">IF(J259=3,40,IF(J259=4,60,IF(J259=5,80,"")))</f>
        <v>80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input_437100!A$2</f>
        <v>437100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IFERROR(VLOOKUP(B260,input_437100!L:R,7,FALSE),VLOOKUP(tables_437100!C260,input_437100!A:H,8,FALSE))</f>
        <v>84175</v>
      </c>
      <c r="P260" s="46">
        <f t="shared" ca="1" si="17"/>
        <v>8.1140350877192979E-4</v>
      </c>
      <c r="Q260" s="30">
        <f t="shared" si="19"/>
        <v>60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input_437100!A$2</f>
        <v>437100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IFERROR(VLOOKUP(B261,input_437100!L:R,7,FALSE),VLOOKUP(tables_437100!C261,input_437100!A:H,8,FALSE))</f>
        <v>6825</v>
      </c>
      <c r="P261" s="46">
        <f t="shared" ca="1" si="17"/>
        <v>6.5789473684210525E-5</v>
      </c>
      <c r="Q261" s="30">
        <f t="shared" si="19"/>
        <v>80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input_437100!A$2</f>
        <v>437100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IFERROR(VLOOKUP(B262,input_437100!L:R,7,FALSE),VLOOKUP(tables_437100!C262,input_437100!A:H,8,FALSE))</f>
        <v>969285</v>
      </c>
      <c r="P262" s="46">
        <f t="shared" ca="1" si="17"/>
        <v>9.3434065934065932E-3</v>
      </c>
      <c r="Q262" s="30">
        <f t="shared" si="19"/>
        <v>60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input_437100!A$2</f>
        <v>437100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IFERROR(VLOOKUP(B263,input_437100!L:R,7,FALSE),VLOOKUP(tables_437100!C263,input_437100!A:H,8,FALSE))</f>
        <v>81225</v>
      </c>
      <c r="P263" s="46">
        <f t="shared" ca="1" si="17"/>
        <v>7.8296703296703294E-4</v>
      </c>
      <c r="Q263" s="30">
        <f t="shared" si="19"/>
        <v>80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input_437100!A$2</f>
        <v>437100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IFERROR(VLOOKUP(B264,input_437100!L:R,7,FALSE),VLOOKUP(tables_437100!C264,input_437100!A:H,8,FALSE))</f>
        <v>969285</v>
      </c>
      <c r="P264" s="46">
        <f t="shared" ca="1" si="17"/>
        <v>9.3434065934065932E-3</v>
      </c>
      <c r="Q264" s="30">
        <f t="shared" si="19"/>
        <v>60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input_437100!A$2</f>
        <v>437100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IFERROR(VLOOKUP(B265,input_437100!L:R,7,FALSE),VLOOKUP(tables_437100!C265,input_437100!A:H,8,FALSE))</f>
        <v>81225</v>
      </c>
      <c r="P265" s="46">
        <f t="shared" ca="1" si="17"/>
        <v>7.8296703296703294E-4</v>
      </c>
      <c r="Q265" s="30">
        <f t="shared" si="19"/>
        <v>80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input_437100!A$2</f>
        <v>437100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IFERROR(VLOOKUP(B266,input_437100!L:R,7,FALSE),VLOOKUP(tables_437100!C266,input_437100!A:H,8,FALSE))</f>
        <v>91000</v>
      </c>
      <c r="P266" s="46">
        <f t="shared" ca="1" si="17"/>
        <v>8.7719298245614037E-4</v>
      </c>
      <c r="Q266" s="30">
        <f t="shared" si="19"/>
        <v>80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input_437100!A$2</f>
        <v>437100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IFERROR(VLOOKUP(B267,input_437100!L:R,7,FALSE),VLOOKUP(tables_437100!C267,input_437100!A:H,8,FALSE))</f>
        <v>91000</v>
      </c>
      <c r="P267" s="46">
        <f t="shared" ca="1" si="17"/>
        <v>8.7719298245614037E-4</v>
      </c>
      <c r="Q267" s="30">
        <f t="shared" si="19"/>
        <v>80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input_437100!A$2</f>
        <v>437100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IFERROR(VLOOKUP(B268,input_437100!L:R,7,FALSE),VLOOKUP(tables_437100!C268,input_437100!A:H,8,FALSE))</f>
        <v>91000</v>
      </c>
      <c r="P268" s="46">
        <f t="shared" ca="1" si="17"/>
        <v>8.7719298245614037E-4</v>
      </c>
      <c r="Q268" s="30">
        <f t="shared" si="19"/>
        <v>80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input_437100!A$2</f>
        <v>437100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IFERROR(VLOOKUP(B269,input_437100!L:R,7,FALSE),VLOOKUP(tables_437100!C269,input_437100!A:H,8,FALSE))</f>
        <v>91000</v>
      </c>
      <c r="P269" s="46">
        <f t="shared" ca="1" si="17"/>
        <v>8.7719298245614037E-4</v>
      </c>
      <c r="Q269" s="30">
        <f t="shared" si="19"/>
        <v>80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input_437100!A$2</f>
        <v>437100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IFERROR(VLOOKUP(B270,input_437100!L:R,7,FALSE),VLOOKUP(tables_437100!C270,input_437100!A:H,8,FALSE))</f>
        <v>969285</v>
      </c>
      <c r="P270" s="46">
        <f t="shared" ca="1" si="17"/>
        <v>9.3434065934065932E-3</v>
      </c>
      <c r="Q270" s="30">
        <f t="shared" si="19"/>
        <v>60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input_437100!A$2</f>
        <v>437100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IFERROR(VLOOKUP(B271,input_437100!L:R,7,FALSE),VLOOKUP(tables_437100!C271,input_437100!A:H,8,FALSE))</f>
        <v>81225</v>
      </c>
      <c r="P271" s="46">
        <f t="shared" ca="1" si="17"/>
        <v>7.8296703296703294E-4</v>
      </c>
      <c r="Q271" s="30">
        <f t="shared" si="19"/>
        <v>80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input_437100!A$2</f>
        <v>437100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IFERROR(VLOOKUP(B272,input_437100!L:R,7,FALSE),VLOOKUP(tables_437100!C272,input_437100!A:H,8,FALSE))</f>
        <v>969285</v>
      </c>
      <c r="P272" s="46">
        <f t="shared" ca="1" si="17"/>
        <v>9.3434065934065932E-3</v>
      </c>
      <c r="Q272" s="30">
        <f t="shared" si="19"/>
        <v>60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input_437100!A$2</f>
        <v>437100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IFERROR(VLOOKUP(B273,input_437100!L:R,7,FALSE),VLOOKUP(tables_437100!C273,input_437100!A:H,8,FALSE))</f>
        <v>81225</v>
      </c>
      <c r="P273" s="46">
        <f t="shared" ca="1" si="17"/>
        <v>7.8296703296703294E-4</v>
      </c>
      <c r="Q273" s="30">
        <f t="shared" si="19"/>
        <v>80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input_437100!A$2</f>
        <v>437100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IFERROR(VLOOKUP(B274,input_437100!L:R,7,FALSE),VLOOKUP(tables_437100!C274,input_437100!A:H,8,FALSE))</f>
        <v>84175</v>
      </c>
      <c r="P274" s="46">
        <f t="shared" ca="1" si="17"/>
        <v>8.1140350877192979E-4</v>
      </c>
      <c r="Q274" s="30">
        <f t="shared" si="19"/>
        <v>60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input_437100!A$2</f>
        <v>437100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IFERROR(VLOOKUP(B275,input_437100!L:R,7,FALSE),VLOOKUP(tables_437100!C275,input_437100!A:H,8,FALSE))</f>
        <v>6825</v>
      </c>
      <c r="P275" s="46">
        <f t="shared" ca="1" si="17"/>
        <v>6.5789473684210525E-5</v>
      </c>
      <c r="Q275" s="30">
        <f t="shared" si="19"/>
        <v>80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input_437100!A$2</f>
        <v>437100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IFERROR(VLOOKUP(B276,input_437100!L:R,7,FALSE),VLOOKUP(tables_437100!C276,input_437100!A:H,8,FALSE))</f>
        <v>84175</v>
      </c>
      <c r="P276" s="46">
        <f t="shared" ca="1" si="17"/>
        <v>8.1140350877192979E-4</v>
      </c>
      <c r="Q276" s="30">
        <f t="shared" si="19"/>
        <v>60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input_437100!A$2</f>
        <v>437100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IFERROR(VLOOKUP(B277,input_437100!L:R,7,FALSE),VLOOKUP(tables_437100!C277,input_437100!A:H,8,FALSE))</f>
        <v>6825</v>
      </c>
      <c r="P277" s="46">
        <f t="shared" ca="1" si="17"/>
        <v>6.5789473684210525E-5</v>
      </c>
      <c r="Q277" s="30">
        <f t="shared" si="19"/>
        <v>80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input_437100!A$2</f>
        <v>437100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IFERROR(VLOOKUP(B278,input_437100!L:R,7,FALSE),VLOOKUP(tables_437100!C278,input_437100!A:H,8,FALSE))</f>
        <v>0</v>
      </c>
      <c r="P278" s="46">
        <f t="shared" ca="1" si="17"/>
        <v>0</v>
      </c>
      <c r="Q278" s="30">
        <f t="shared" si="19"/>
        <v>40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input_437100!A$2</f>
        <v>437100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IFERROR(VLOOKUP(B279,input_437100!L:R,7,FALSE),VLOOKUP(tables_437100!C279,input_437100!A:H,8,FALSE))</f>
        <v>1026850.48077</v>
      </c>
      <c r="P279" s="46">
        <f t="shared" ca="1" si="17"/>
        <v>9.8983080853094277E-3</v>
      </c>
      <c r="Q279" s="30">
        <f t="shared" si="19"/>
        <v>60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input_437100!A$2</f>
        <v>437100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IFERROR(VLOOKUP(B280,input_437100!L:R,7,FALSE),VLOOKUP(tables_437100!C280,input_437100!A:H,8,FALSE))</f>
        <v>56149.519229999998</v>
      </c>
      <c r="P280" s="46">
        <f t="shared" ca="1" si="17"/>
        <v>5.4125235425101208E-4</v>
      </c>
      <c r="Q280" s="30">
        <f t="shared" si="19"/>
        <v>80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input_437100!A$2</f>
        <v>437100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IFERROR(VLOOKUP(B281,input_437100!L:R,7,FALSE),VLOOKUP(tables_437100!C281,input_437100!A:H,8,FALSE))</f>
        <v>0</v>
      </c>
      <c r="P281" s="46">
        <f t="shared" ca="1" si="17"/>
        <v>0</v>
      </c>
      <c r="Q281" s="30">
        <f t="shared" si="19"/>
        <v>40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input_437100!A$2</f>
        <v>437100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IFERROR(VLOOKUP(B282,input_437100!L:R,7,FALSE),VLOOKUP(tables_437100!C282,input_437100!A:H,8,FALSE))</f>
        <v>1026850.48077</v>
      </c>
      <c r="P282" s="46">
        <f t="shared" ca="1" si="17"/>
        <v>9.8983080853094277E-3</v>
      </c>
      <c r="Q282" s="30">
        <f t="shared" si="19"/>
        <v>60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input_437100!A$2</f>
        <v>437100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IFERROR(VLOOKUP(B283,input_437100!L:R,7,FALSE),VLOOKUP(tables_437100!C283,input_437100!A:H,8,FALSE))</f>
        <v>56149.519229999998</v>
      </c>
      <c r="P283" s="46">
        <f t="shared" ca="1" si="17"/>
        <v>5.4125235425101208E-4</v>
      </c>
      <c r="Q283" s="30">
        <f t="shared" si="19"/>
        <v>80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input_437100!A$2</f>
        <v>437100</v>
      </c>
      <c r="B284" s="5">
        <v>848</v>
      </c>
      <c r="C284" s="7" t="str">
        <f t="shared" ref="C284" si="20">D284&amp;J284&amp;E284&amp;F284&amp;G284</f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IFERROR(VLOOKUP(B284,input_437100!L:R,7,FALSE),VLOOKUP(tables_437100!C284,input_437100!A:H,8,FALSE))</f>
        <v>91000</v>
      </c>
      <c r="P284" s="46">
        <f t="shared" ca="1" si="17"/>
        <v>8.7719298245614037E-4</v>
      </c>
      <c r="Q284" s="30">
        <f t="shared" si="19"/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input_437100!A$2</f>
        <v>437100</v>
      </c>
      <c r="B285" s="5">
        <v>850</v>
      </c>
      <c r="C285" s="7" t="str">
        <f t="shared" ref="C285:C286" si="21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IFERROR(VLOOKUP(B285,input_437100!L:R,7,FALSE),VLOOKUP(tables_437100!C285,input_437100!A:H,8,FALSE))</f>
        <v>91000</v>
      </c>
      <c r="P285" s="46">
        <f t="shared" ca="1" si="17"/>
        <v>8.7719298245614037E-4</v>
      </c>
      <c r="Q285" s="30">
        <f t="shared" si="19"/>
        <v>80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input_437100!A$2</f>
        <v>437100</v>
      </c>
      <c r="B286" s="5">
        <v>852</v>
      </c>
      <c r="C286" s="7" t="str">
        <f t="shared" si="21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IFERROR(VLOOKUP(B286,input_437100!L:R,7,FALSE),VLOOKUP(tables_437100!C286,input_437100!A:H,8,FALSE))</f>
        <v>969285</v>
      </c>
      <c r="P286" s="46">
        <f t="shared" ca="1" si="17"/>
        <v>9.3434065934065932E-3</v>
      </c>
      <c r="Q286" s="30">
        <f t="shared" si="19"/>
        <v>60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input_437100!A$2</f>
        <v>437100</v>
      </c>
      <c r="B287" s="5">
        <v>853</v>
      </c>
      <c r="C287" s="7" t="str">
        <f t="shared" ref="C287:C289" si="22">D287&amp;J287&amp;E287&amp;F287&amp;G287</f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IFERROR(VLOOKUP(B287,input_437100!L:R,7,FALSE),VLOOKUP(tables_437100!C287,input_437100!A:H,8,FALSE))</f>
        <v>81225</v>
      </c>
      <c r="P287" s="46">
        <f t="shared" ca="1" si="17"/>
        <v>7.8296703296703294E-4</v>
      </c>
      <c r="Q287" s="30">
        <f t="shared" si="19"/>
        <v>80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input_437100!A$2</f>
        <v>437100</v>
      </c>
      <c r="B288" s="5">
        <v>854</v>
      </c>
      <c r="C288" s="7" t="str">
        <f t="shared" si="22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IFERROR(VLOOKUP(B288,input_437100!L:R,7,FALSE),VLOOKUP(tables_437100!C288,input_437100!A:H,8,FALSE))</f>
        <v>969285</v>
      </c>
      <c r="P288" s="46">
        <f t="shared" ca="1" si="17"/>
        <v>9.3434065934065932E-3</v>
      </c>
      <c r="Q288" s="30">
        <f t="shared" si="19"/>
        <v>60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input_437100!A$2</f>
        <v>437100</v>
      </c>
      <c r="B289" s="5">
        <v>855</v>
      </c>
      <c r="C289" s="7" t="str">
        <f t="shared" si="22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IFERROR(VLOOKUP(B289,input_437100!L:R,7,FALSE),VLOOKUP(tables_437100!C289,input_437100!A:H,8,FALSE))</f>
        <v>81225</v>
      </c>
      <c r="P289" s="46">
        <f t="shared" ca="1" si="17"/>
        <v>7.8296703296703294E-4</v>
      </c>
      <c r="Q289" s="30">
        <f t="shared" si="19"/>
        <v>80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input_437100!A$2</f>
        <v>437100</v>
      </c>
      <c r="B290" s="5">
        <v>862</v>
      </c>
      <c r="C290" s="7" t="str">
        <f t="shared" ref="C290:C294" si="23">D290&amp;J290&amp;E290&amp;F290&amp;G290</f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IFERROR(VLOOKUP(B290,input_437100!L:R,7,FALSE),VLOOKUP(tables_437100!C290,input_437100!A:H,8,FALSE))</f>
        <v>969285</v>
      </c>
      <c r="P290" s="46">
        <f t="shared" ca="1" si="17"/>
        <v>9.3434065934065932E-3</v>
      </c>
      <c r="Q290" s="30">
        <f t="shared" si="19"/>
        <v>60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input_437100!A$2</f>
        <v>437100</v>
      </c>
      <c r="B291" s="5">
        <v>863</v>
      </c>
      <c r="C291" s="7" t="str">
        <f t="shared" si="23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IFERROR(VLOOKUP(B291,input_437100!L:R,7,FALSE),VLOOKUP(tables_437100!C291,input_437100!A:H,8,FALSE))</f>
        <v>81225</v>
      </c>
      <c r="P291" s="46">
        <f t="shared" ca="1" si="17"/>
        <v>7.8296703296703294E-4</v>
      </c>
      <c r="Q291" s="30">
        <f t="shared" si="19"/>
        <v>80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input_437100!A$2</f>
        <v>437100</v>
      </c>
      <c r="B292" s="5">
        <v>864</v>
      </c>
      <c r="C292" s="7" t="str">
        <f t="shared" si="23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IFERROR(VLOOKUP(B292,input_437100!L:R,7,FALSE),VLOOKUP(tables_437100!C292,input_437100!A:H,8,FALSE))</f>
        <v>969285</v>
      </c>
      <c r="P292" s="46">
        <f t="shared" ca="1" si="17"/>
        <v>9.3434065934065932E-3</v>
      </c>
      <c r="Q292" s="30">
        <f t="shared" si="19"/>
        <v>60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input_437100!A$2</f>
        <v>437100</v>
      </c>
      <c r="B293" s="5">
        <v>865</v>
      </c>
      <c r="C293" s="7" t="str">
        <f t="shared" si="23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IFERROR(VLOOKUP(B293,input_437100!L:R,7,FALSE),VLOOKUP(tables_437100!C293,input_437100!A:H,8,FALSE))</f>
        <v>81225</v>
      </c>
      <c r="P293" s="46">
        <f t="shared" ca="1" si="17"/>
        <v>7.8296703296703294E-4</v>
      </c>
      <c r="Q293" s="30">
        <f t="shared" si="19"/>
        <v>80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input_437100!A$2</f>
        <v>437100</v>
      </c>
      <c r="B294" s="5">
        <v>866</v>
      </c>
      <c r="C294" s="7" t="str">
        <f t="shared" si="23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IFERROR(VLOOKUP(B294,input_437100!L:R,7,FALSE),VLOOKUP(tables_437100!C294,input_437100!A:H,8,FALSE))</f>
        <v>91000</v>
      </c>
      <c r="P294" s="46">
        <f t="shared" ca="1" si="17"/>
        <v>8.7719298245614037E-4</v>
      </c>
      <c r="Q294" s="30">
        <f t="shared" si="19"/>
        <v>80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input_437100!A$2</f>
        <v>437100</v>
      </c>
      <c r="B295" s="5">
        <v>868</v>
      </c>
      <c r="C295" s="7" t="str">
        <f t="shared" ref="C295:C299" si="24">D295&amp;J295&amp;E295&amp;F295&amp;G295</f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IFERROR(VLOOKUP(B295,input_437100!L:R,7,FALSE),VLOOKUP(tables_437100!C295,input_437100!A:H,8,FALSE))</f>
        <v>91000</v>
      </c>
      <c r="P295" s="46">
        <f t="shared" ref="P295:P299" ca="1" si="25">O295/SUM(O:O)</f>
        <v>8.7719298245614037E-4</v>
      </c>
      <c r="Q295" s="30">
        <f t="shared" si="19"/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input_437100!A$2</f>
        <v>437100</v>
      </c>
      <c r="B296" s="5">
        <v>937</v>
      </c>
      <c r="C296" s="7" t="str">
        <f t="shared" si="24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IFERROR(VLOOKUP(B296,input_437100!L:R,7,FALSE),VLOOKUP(tables_437100!C296,input_437100!A:H,8,FALSE))</f>
        <v>91000</v>
      </c>
      <c r="P296" s="46">
        <f t="shared" ca="1" si="25"/>
        <v>8.7719298245614037E-4</v>
      </c>
      <c r="Q296" s="30">
        <f t="shared" si="19"/>
        <v>80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input_437100!A$2</f>
        <v>437100</v>
      </c>
      <c r="B297" s="5">
        <v>939</v>
      </c>
      <c r="C297" s="7" t="str">
        <f t="shared" si="24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IFERROR(VLOOKUP(B297,input_437100!L:R,7,FALSE),VLOOKUP(tables_437100!C297,input_437100!A:H,8,FALSE))</f>
        <v>969285</v>
      </c>
      <c r="P297" s="46">
        <f t="shared" ca="1" si="25"/>
        <v>9.3434065934065932E-3</v>
      </c>
      <c r="Q297" s="30">
        <f t="shared" si="19"/>
        <v>60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input_437100!A$2</f>
        <v>437100</v>
      </c>
      <c r="B298" s="5">
        <v>940</v>
      </c>
      <c r="C298" s="7" t="str">
        <f t="shared" si="24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IFERROR(VLOOKUP(B298,input_437100!L:R,7,FALSE),VLOOKUP(tables_437100!C298,input_437100!A:H,8,FALSE))</f>
        <v>81225</v>
      </c>
      <c r="P298" s="46">
        <f t="shared" ca="1" si="25"/>
        <v>7.8296703296703294E-4</v>
      </c>
      <c r="Q298" s="30">
        <f t="shared" si="19"/>
        <v>80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input_437100!A$2</f>
        <v>437100</v>
      </c>
      <c r="B299" s="5">
        <v>941</v>
      </c>
      <c r="C299" s="7" t="str">
        <f t="shared" si="24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IFERROR(VLOOKUP(B299,input_437100!L:R,7,FALSE),VLOOKUP(tables_437100!C299,input_437100!A:H,8,FALSE))</f>
        <v>91000</v>
      </c>
      <c r="P299" s="46">
        <f t="shared" ca="1" si="25"/>
        <v>8.7719298245614037E-4</v>
      </c>
      <c r="Q299" s="30">
        <f t="shared" si="19"/>
        <v>80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input_437100!A$2</f>
        <v>437100</v>
      </c>
      <c r="B300" s="5">
        <v>943</v>
      </c>
      <c r="C300" s="7" t="str">
        <f t="shared" ref="C300:C304" si="26">D300&amp;J300&amp;E300&amp;F300&amp;G300</f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IFERROR(VLOOKUP(B300,input_437100!L:R,7,FALSE),VLOOKUP(tables_437100!C300,input_437100!A:H,8,FALSE))</f>
        <v>91000</v>
      </c>
      <c r="P300" s="46">
        <f t="shared" ref="P300:P304" ca="1" si="27">O300/SUM(O:O)</f>
        <v>8.7719298245614037E-4</v>
      </c>
      <c r="Q300" s="30">
        <f t="shared" si="19"/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input_437100!A$2</f>
        <v>437100</v>
      </c>
      <c r="B301" s="5">
        <v>1012</v>
      </c>
      <c r="C301" s="7" t="str">
        <f t="shared" si="2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IFERROR(VLOOKUP(B301,input_437100!L:R,7,FALSE),VLOOKUP(tables_437100!C301,input_437100!A:H,8,FALSE))</f>
        <v>91000</v>
      </c>
      <c r="P301" s="46">
        <f t="shared" ca="1" si="27"/>
        <v>8.7719298245614037E-4</v>
      </c>
      <c r="Q301" s="30">
        <f t="shared" si="19"/>
        <v>80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input_437100!A$2</f>
        <v>437100</v>
      </c>
      <c r="B302" s="5">
        <v>1014</v>
      </c>
      <c r="C302" s="7" t="str">
        <f t="shared" si="2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IFERROR(VLOOKUP(B302,input_437100!L:R,7,FALSE),VLOOKUP(tables_437100!C302,input_437100!A:H,8,FALSE))</f>
        <v>91000</v>
      </c>
      <c r="P302" s="46">
        <f t="shared" ca="1" si="27"/>
        <v>8.7719298245614037E-4</v>
      </c>
      <c r="Q302" s="30">
        <f t="shared" si="19"/>
        <v>80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input_437100!A$2</f>
        <v>437100</v>
      </c>
      <c r="B303" s="5">
        <v>1016</v>
      </c>
      <c r="C303" s="7" t="str">
        <f t="shared" si="2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IFERROR(VLOOKUP(B303,input_437100!L:R,7,FALSE),VLOOKUP(tables_437100!C303,input_437100!A:H,8,FALSE))</f>
        <v>969285</v>
      </c>
      <c r="P303" s="46">
        <f t="shared" ca="1" si="27"/>
        <v>9.3434065934065932E-3</v>
      </c>
      <c r="Q303" s="30">
        <f t="shared" si="19"/>
        <v>60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input_437100!A$2</f>
        <v>437100</v>
      </c>
      <c r="B304" s="5">
        <v>1017</v>
      </c>
      <c r="C304" s="7" t="str">
        <f t="shared" si="2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IFERROR(VLOOKUP(B304,input_437100!L:R,7,FALSE),VLOOKUP(tables_437100!C304,input_437100!A:H,8,FALSE))</f>
        <v>81225</v>
      </c>
      <c r="P304" s="46">
        <f t="shared" ca="1" si="27"/>
        <v>7.8296703296703294E-4</v>
      </c>
      <c r="Q304" s="30">
        <f t="shared" si="19"/>
        <v>80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input_437100!A$2</f>
        <v>437100</v>
      </c>
      <c r="B305" s="5">
        <v>1018</v>
      </c>
      <c r="C305" s="7" t="str">
        <f t="shared" ref="C305:C308" si="28">D305&amp;J305&amp;E305&amp;F305&amp;G305</f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IFERROR(VLOOKUP(B305,input_437100!L:R,7,FALSE),VLOOKUP(tables_437100!C305,input_437100!A:H,8,FALSE))</f>
        <v>91000</v>
      </c>
      <c r="P305" s="46">
        <f t="shared" ref="P305:P308" ca="1" si="29">O305/SUM(O:O)</f>
        <v>8.7719298245614037E-4</v>
      </c>
      <c r="Q305" s="30">
        <f t="shared" si="19"/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input_437100!A$2</f>
        <v>437100</v>
      </c>
      <c r="B306" s="5">
        <v>1026</v>
      </c>
      <c r="C306" s="7" t="str">
        <f t="shared" si="28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IFERROR(VLOOKUP(B306,input_437100!L:R,7,FALSE),VLOOKUP(tables_437100!C306,input_437100!A:H,8,FALSE))</f>
        <v>969285</v>
      </c>
      <c r="P306" s="46">
        <f t="shared" ca="1" si="29"/>
        <v>9.3434065934065932E-3</v>
      </c>
      <c r="Q306" s="30">
        <f t="shared" si="19"/>
        <v>60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input_437100!A$2</f>
        <v>437100</v>
      </c>
      <c r="B307" s="5">
        <v>1027</v>
      </c>
      <c r="C307" s="7" t="str">
        <f t="shared" si="28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IFERROR(VLOOKUP(B307,input_437100!L:R,7,FALSE),VLOOKUP(tables_437100!C307,input_437100!A:H,8,FALSE))</f>
        <v>81225</v>
      </c>
      <c r="P307" s="46">
        <f t="shared" ca="1" si="29"/>
        <v>7.8296703296703294E-4</v>
      </c>
      <c r="Q307" s="30">
        <f t="shared" si="19"/>
        <v>80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input_437100!A$2</f>
        <v>437100</v>
      </c>
      <c r="B308" s="5">
        <v>1028</v>
      </c>
      <c r="C308" s="7" t="str">
        <f t="shared" si="28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IFERROR(VLOOKUP(B308,input_437100!L:R,7,FALSE),VLOOKUP(tables_437100!C308,input_437100!A:H,8,FALSE))</f>
        <v>91000</v>
      </c>
      <c r="P308" s="46">
        <f t="shared" ca="1" si="29"/>
        <v>8.7719298245614037E-4</v>
      </c>
      <c r="Q308" s="30">
        <f t="shared" si="19"/>
        <v>80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input_437100!A$2</f>
        <v>437100</v>
      </c>
      <c r="B309" s="5">
        <v>1031</v>
      </c>
      <c r="C309" s="7" t="str">
        <f t="shared" ref="C309" si="30">D309&amp;J309&amp;E309&amp;F309&amp;G309</f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IFERROR(VLOOKUP(B309,input_437100!L:R,7,FALSE),VLOOKUP(tables_437100!C309,input_437100!A:H,8,FALSE))</f>
        <v>91000</v>
      </c>
      <c r="P309" s="46">
        <f t="shared" ref="P309" ca="1" si="31">O309/SUM(O:O)</f>
        <v>8.7719298245614037E-4</v>
      </c>
      <c r="Q309" s="30">
        <f t="shared" si="19"/>
        <v>80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input_437100!A$2</f>
        <v>437100</v>
      </c>
      <c r="B310" s="5">
        <v>1033</v>
      </c>
      <c r="C310" s="7" t="str">
        <f t="shared" ref="C310:C314" si="32">D310&amp;J310&amp;E310&amp;F310&amp;G310</f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IFERROR(VLOOKUP(B310,input_437100!L:R,7,FALSE),VLOOKUP(tables_437100!C310,input_437100!A:H,8,FALSE))</f>
        <v>91000</v>
      </c>
      <c r="P310" s="46">
        <f t="shared" ref="P310:P314" ca="1" si="33">O310/SUM(O:O)</f>
        <v>8.7719298245614037E-4</v>
      </c>
      <c r="Q310" s="30">
        <f t="shared" si="19"/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input_437100!A$2</f>
        <v>437100</v>
      </c>
      <c r="B311" s="5">
        <v>1067</v>
      </c>
      <c r="C311" s="7" t="str">
        <f t="shared" si="32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IFERROR(VLOOKUP(B311,input_437100!L:R,7,FALSE),VLOOKUP(tables_437100!C311,input_437100!A:H,8,FALSE))</f>
        <v>969285</v>
      </c>
      <c r="P311" s="46">
        <f t="shared" ca="1" si="33"/>
        <v>9.3434065934065932E-3</v>
      </c>
      <c r="Q311" s="30">
        <f t="shared" si="19"/>
        <v>60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input_437100!A$2</f>
        <v>437100</v>
      </c>
      <c r="B312" s="5">
        <v>1068</v>
      </c>
      <c r="C312" s="7" t="str">
        <f t="shared" si="32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IFERROR(VLOOKUP(B312,input_437100!L:R,7,FALSE),VLOOKUP(tables_437100!C312,input_437100!A:H,8,FALSE))</f>
        <v>81225</v>
      </c>
      <c r="P312" s="46">
        <f t="shared" ca="1" si="33"/>
        <v>7.8296703296703294E-4</v>
      </c>
      <c r="Q312" s="30">
        <f t="shared" si="19"/>
        <v>80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input_437100!A$2</f>
        <v>437100</v>
      </c>
      <c r="B313" s="5">
        <v>1069</v>
      </c>
      <c r="C313" s="7" t="str">
        <f t="shared" si="32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IFERROR(VLOOKUP(B313,input_437100!L:R,7,FALSE),VLOOKUP(tables_437100!C313,input_437100!A:H,8,FALSE))</f>
        <v>91000</v>
      </c>
      <c r="P313" s="46">
        <f t="shared" ca="1" si="33"/>
        <v>8.7719298245614037E-4</v>
      </c>
      <c r="Q313" s="30">
        <f t="shared" si="19"/>
        <v>80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input_437100!A$2</f>
        <v>437100</v>
      </c>
      <c r="B314" s="5">
        <v>1072</v>
      </c>
      <c r="C314" s="7" t="str">
        <f t="shared" si="32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IFERROR(VLOOKUP(B314,input_437100!L:R,7,FALSE),VLOOKUP(tables_437100!C314,input_437100!A:H,8,FALSE))</f>
        <v>91000</v>
      </c>
      <c r="P314" s="46">
        <f t="shared" ca="1" si="33"/>
        <v>8.7719298245614037E-4</v>
      </c>
      <c r="Q314" s="30">
        <f t="shared" si="19"/>
        <v>80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input_437100!A$2</f>
        <v>437100</v>
      </c>
      <c r="B315" s="5">
        <v>1074</v>
      </c>
      <c r="C315" s="7" t="str">
        <f t="shared" ref="C315:C319" si="34">D315&amp;J315&amp;E315&amp;F315&amp;G315</f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IFERROR(VLOOKUP(B315,input_437100!L:R,7,FALSE),VLOOKUP(tables_437100!C315,input_437100!A:H,8,FALSE))</f>
        <v>91000</v>
      </c>
      <c r="P315" s="46">
        <f t="shared" ref="P315:P319" ca="1" si="35">O315/SUM(O:O)</f>
        <v>8.7719298245614037E-4</v>
      </c>
      <c r="Q315" s="30">
        <f t="shared" si="19"/>
        <v>80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input_437100!A$2</f>
        <v>437100</v>
      </c>
      <c r="B316" s="5">
        <v>1100</v>
      </c>
      <c r="C316" s="7" t="str">
        <f t="shared" si="34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IFERROR(VLOOKUP(B316,input_437100!L:R,7,FALSE),VLOOKUP(tables_437100!C316,input_437100!A:H,8,FALSE))</f>
        <v>91000</v>
      </c>
      <c r="P316" s="46">
        <f t="shared" ca="1" si="35"/>
        <v>8.7719298245614037E-4</v>
      </c>
      <c r="Q316" s="30">
        <f t="shared" si="19"/>
        <v>80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input_437100!A$2</f>
        <v>437100</v>
      </c>
      <c r="B317" s="5">
        <v>1102</v>
      </c>
      <c r="C317" s="7" t="str">
        <f t="shared" si="34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IFERROR(VLOOKUP(B317,input_437100!L:R,7,FALSE),VLOOKUP(tables_437100!C317,input_437100!A:H,8,FALSE))</f>
        <v>91000</v>
      </c>
      <c r="P317" s="46">
        <f t="shared" ca="1" si="35"/>
        <v>8.7719298245614037E-4</v>
      </c>
      <c r="Q317" s="30">
        <f t="shared" si="19"/>
        <v>80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input_437100!A$2</f>
        <v>437100</v>
      </c>
      <c r="B318" s="5">
        <v>1104</v>
      </c>
      <c r="C318" s="7" t="str">
        <f t="shared" si="34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IFERROR(VLOOKUP(B318,input_437100!L:R,7,FALSE),VLOOKUP(tables_437100!C318,input_437100!A:H,8,FALSE))</f>
        <v>969285</v>
      </c>
      <c r="P318" s="46">
        <f t="shared" ca="1" si="35"/>
        <v>9.3434065934065932E-3</v>
      </c>
      <c r="Q318" s="30">
        <f t="shared" si="19"/>
        <v>60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input_437100!A$2</f>
        <v>437100</v>
      </c>
      <c r="B319" s="5">
        <v>1105</v>
      </c>
      <c r="C319" s="7" t="str">
        <f t="shared" si="34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IFERROR(VLOOKUP(B319,input_437100!L:R,7,FALSE),VLOOKUP(tables_437100!C319,input_437100!A:H,8,FALSE))</f>
        <v>81225</v>
      </c>
      <c r="P319" s="46">
        <f t="shared" ca="1" si="35"/>
        <v>7.8296703296703294E-4</v>
      </c>
      <c r="Q319" s="30">
        <f t="shared" si="19"/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input_437100!A$2</f>
        <v>437100</v>
      </c>
      <c r="B320" s="5">
        <v>1106</v>
      </c>
      <c r="C320" s="7" t="str">
        <f t="shared" ref="C320:C324" si="36">D320&amp;J320&amp;E320&amp;F320&amp;G320</f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IFERROR(VLOOKUP(B320,input_437100!L:R,7,FALSE),VLOOKUP(tables_437100!C320,input_437100!A:H,8,FALSE))</f>
        <v>91000</v>
      </c>
      <c r="P320" s="46">
        <f t="shared" ref="P320:P324" ca="1" si="37">O320/SUM(O:O)</f>
        <v>8.7719298245614037E-4</v>
      </c>
      <c r="Q320" s="30">
        <f t="shared" si="19"/>
        <v>80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input_437100!A$2</f>
        <v>437100</v>
      </c>
      <c r="B321" s="5">
        <v>1137</v>
      </c>
      <c r="C321" s="7" t="str">
        <f t="shared" si="3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IFERROR(VLOOKUP(B321,input_437100!L:R,7,FALSE),VLOOKUP(tables_437100!C321,input_437100!A:H,8,FALSE))</f>
        <v>91000</v>
      </c>
      <c r="P321" s="46">
        <f t="shared" ca="1" si="37"/>
        <v>8.7719298245614037E-4</v>
      </c>
      <c r="Q321" s="30">
        <f t="shared" si="19"/>
        <v>80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input_437100!A$2</f>
        <v>437100</v>
      </c>
      <c r="B322" s="5">
        <v>1139</v>
      </c>
      <c r="C322" s="7" t="str">
        <f t="shared" si="36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IFERROR(VLOOKUP(B322,input_437100!L:R,7,FALSE),VLOOKUP(tables_437100!C322,input_437100!A:H,8,FALSE))</f>
        <v>91000</v>
      </c>
      <c r="P322" s="46">
        <f t="shared" ca="1" si="37"/>
        <v>8.7719298245614037E-4</v>
      </c>
      <c r="Q322" s="30">
        <f t="shared" si="19"/>
        <v>80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input_437100!A$2</f>
        <v>437100</v>
      </c>
      <c r="B323" s="5">
        <v>1141</v>
      </c>
      <c r="C323" s="7" t="str">
        <f t="shared" si="36"/>
        <v>PremiumSS5R5only</v>
      </c>
      <c r="D323" s="7" t="str">
        <f t="shared" ref="D323:D330" si="38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IFERROR(VLOOKUP(B323,input_437100!L:R,7,FALSE),VLOOKUP(tables_437100!C323,input_437100!A:H,8,FALSE))</f>
        <v>91000</v>
      </c>
      <c r="P323" s="46">
        <f t="shared" ca="1" si="37"/>
        <v>8.7719298245614037E-4</v>
      </c>
      <c r="Q323" s="30">
        <f t="shared" ref="Q323:Q330" si="39">IF(J323=3,40,IF(J323=4,60,IF(J323=5,80,"")))</f>
        <v>80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input_437100!A$2</f>
        <v>437100</v>
      </c>
      <c r="B324" s="2">
        <v>1143</v>
      </c>
      <c r="C324" s="7" t="str">
        <f t="shared" si="36"/>
        <v>Premium4R3less</v>
      </c>
      <c r="D324" s="7" t="str">
        <f t="shared" si="3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IFERROR(VLOOKUP(B324,input_437100!L:R,7,FALSE),VLOOKUP(tables_437100!C324,input_437100!A:H,8,FALSE))</f>
        <v>969285</v>
      </c>
      <c r="P324" s="46">
        <f t="shared" ca="1" si="37"/>
        <v>9.3434065934065932E-3</v>
      </c>
      <c r="Q324" s="30">
        <f t="shared" si="39"/>
        <v>60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input_437100!A$2</f>
        <v>437100</v>
      </c>
      <c r="B325" s="2">
        <v>1144</v>
      </c>
      <c r="C325" s="7" t="str">
        <f t="shared" ref="C325:C330" si="40">D325&amp;J325&amp;E325&amp;F325&amp;G325</f>
        <v>Premium5R3less</v>
      </c>
      <c r="D325" s="7" t="str">
        <f t="shared" si="3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IFERROR(VLOOKUP(B325,input_437100!L:R,7,FALSE),VLOOKUP(tables_437100!C325,input_437100!A:H,8,FALSE))</f>
        <v>81225</v>
      </c>
      <c r="P325" s="46">
        <f t="shared" ref="P325:P330" ca="1" si="41">O325/SUM(O:O)</f>
        <v>7.8296703296703294E-4</v>
      </c>
      <c r="Q325" s="30">
        <f t="shared" si="39"/>
        <v>80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input_437100!A$2</f>
        <v>437100</v>
      </c>
      <c r="B326" s="2">
        <v>1151</v>
      </c>
      <c r="C326" s="7" t="str">
        <f t="shared" si="40"/>
        <v>Premium4R3less</v>
      </c>
      <c r="D326" s="7" t="str">
        <f t="shared" si="3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IFERROR(VLOOKUP(B326,input_437100!L:R,7,FALSE),VLOOKUP(tables_437100!C326,input_437100!A:H,8,FALSE))</f>
        <v>969285</v>
      </c>
      <c r="P326" s="46">
        <f t="shared" ca="1" si="41"/>
        <v>9.3434065934065932E-3</v>
      </c>
      <c r="Q326" s="30">
        <f t="shared" si="39"/>
        <v>60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input_437100!A$2</f>
        <v>437100</v>
      </c>
      <c r="B327" s="2">
        <v>1152</v>
      </c>
      <c r="C327" s="7" t="str">
        <f t="shared" si="40"/>
        <v>Premium5R3less</v>
      </c>
      <c r="D327" s="7" t="str">
        <f t="shared" si="3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IFERROR(VLOOKUP(B327,input_437100!L:R,7,FALSE),VLOOKUP(tables_437100!C327,input_437100!A:H,8,FALSE))</f>
        <v>81225</v>
      </c>
      <c r="P327" s="46">
        <f t="shared" ca="1" si="41"/>
        <v>7.8296703296703294E-4</v>
      </c>
      <c r="Q327" s="30">
        <f t="shared" si="39"/>
        <v>80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input_437100!A$2</f>
        <v>437100</v>
      </c>
      <c r="B328" s="2">
        <v>1153</v>
      </c>
      <c r="C328" s="7" t="str">
        <f t="shared" si="40"/>
        <v>PremiumSS5R5only</v>
      </c>
      <c r="D328" s="7" t="str">
        <f t="shared" si="3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IFERROR(VLOOKUP(B328,input_437100!L:R,7,FALSE),VLOOKUP(tables_437100!C328,input_437100!A:H,8,FALSE))</f>
        <v>91000</v>
      </c>
      <c r="P328" s="46">
        <f t="shared" ca="1" si="41"/>
        <v>8.7719298245614037E-4</v>
      </c>
      <c r="Q328" s="30">
        <f t="shared" si="39"/>
        <v>80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input_437100!A$2</f>
        <v>437100</v>
      </c>
      <c r="B329" s="2">
        <v>1155</v>
      </c>
      <c r="C329" s="7" t="str">
        <f t="shared" si="40"/>
        <v>PremiumSS5R5only</v>
      </c>
      <c r="D329" s="7" t="str">
        <f t="shared" si="3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IFERROR(VLOOKUP(B329,input_437100!L:R,7,FALSE),VLOOKUP(tables_437100!C329,input_437100!A:H,8,FALSE))</f>
        <v>91000</v>
      </c>
      <c r="P329" s="46">
        <f t="shared" ca="1" si="41"/>
        <v>8.7719298245614037E-4</v>
      </c>
      <c r="Q329" s="30">
        <f t="shared" si="39"/>
        <v>80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input_437100!A$2</f>
        <v>437100</v>
      </c>
      <c r="B330" s="2">
        <v>1157</v>
      </c>
      <c r="C330" s="7" t="str">
        <f t="shared" si="40"/>
        <v>PremiumSS5R5only</v>
      </c>
      <c r="D330" s="98" t="str">
        <f t="shared" si="38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IFERROR(VLOOKUP(B330,input_437100!L:R,7,FALSE),VLOOKUP(tables_437100!C330,input_437100!A:H,8,FALSE))</f>
        <v>91000</v>
      </c>
      <c r="P330" s="46">
        <f t="shared" ca="1" si="41"/>
        <v>8.7719298245614037E-4</v>
      </c>
      <c r="Q330" s="30">
        <f t="shared" si="39"/>
        <v>80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tabSelected="1" zoomScale="75" zoomScaleNormal="75" zoomScalePageLayoutView="75" workbookViewId="0">
      <pane ySplit="1" topLeftCell="A118" activePane="bottomLeft" state="frozen"/>
      <selection activeCell="D34" sqref="D34"/>
      <selection pane="bottomLeft" activeCell="O2" sqref="O2:O13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input_437100!A$2</f>
        <v>437100</v>
      </c>
      <c r="B2" s="5">
        <v>168</v>
      </c>
      <c r="C2" s="7" t="str">
        <f t="shared" ref="C2:C6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1083</v>
      </c>
      <c r="P2" s="46">
        <f t="shared" ref="P2:P33" si="1">O2/SUM(O:O)</f>
        <v>1.2337662337662338E-2</v>
      </c>
      <c r="Q2" s="30">
        <v>80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input_437100!A$2</f>
        <v>437100</v>
      </c>
      <c r="B3" s="5">
        <v>171</v>
      </c>
      <c r="C3" s="7" t="str">
        <f t="shared" si="0"/>
        <v>Premium5R6release</v>
      </c>
      <c r="D3" s="7" t="str">
        <f t="shared" ref="D3:D6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1083</v>
      </c>
      <c r="P3" s="46">
        <f t="shared" si="1"/>
        <v>1.2337662337662338E-2</v>
      </c>
      <c r="Q3" s="30">
        <v>80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input_437100!A$2</f>
        <v>437100</v>
      </c>
      <c r="B4" s="5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1083</v>
      </c>
      <c r="P4" s="46">
        <f t="shared" si="1"/>
        <v>1.2337662337662338E-2</v>
      </c>
      <c r="Q4" s="30">
        <v>80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input_437100!A$2</f>
        <v>437100</v>
      </c>
      <c r="B5" s="5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1083</v>
      </c>
      <c r="P5" s="46">
        <f t="shared" si="1"/>
        <v>1.2337662337662338E-2</v>
      </c>
      <c r="Q5" s="30">
        <v>80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input_437100!A$2</f>
        <v>437100</v>
      </c>
      <c r="B6" s="5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v>1083</v>
      </c>
      <c r="P6" s="46">
        <f t="shared" si="1"/>
        <v>1.2337662337662338E-2</v>
      </c>
      <c r="Q6" s="30">
        <v>80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input_437100!A$2</f>
        <v>437100</v>
      </c>
      <c r="B7" s="2">
        <v>183</v>
      </c>
      <c r="C7" s="7" t="str">
        <f t="shared" ref="C7:C69" si="3">D7&amp;J7&amp;E7&amp;F7&amp;G7</f>
        <v>Premium5</v>
      </c>
      <c r="D7" s="7" t="str">
        <f t="shared" ref="D7:D69" si="4">IF(OR(I7="PremiumSS",I7="PremiumSSw"),"PremiumSS",IF(I7="PremiumSSS",I7,IF(I7="PremiumW",I7,"Premium")))</f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v>1083</v>
      </c>
      <c r="P7" s="46">
        <f t="shared" si="1"/>
        <v>1.2337662337662338E-2</v>
      </c>
      <c r="Q7" s="30">
        <v>80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input_437100!A$2</f>
        <v>437100</v>
      </c>
      <c r="B8" s="2">
        <v>186</v>
      </c>
      <c r="C8" s="7" t="str">
        <f t="shared" si="3"/>
        <v>Premium5</v>
      </c>
      <c r="D8" s="7" t="str">
        <f t="shared" si="4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v>1083</v>
      </c>
      <c r="P8" s="46">
        <f t="shared" si="1"/>
        <v>1.2337662337662338E-2</v>
      </c>
      <c r="Q8" s="30">
        <v>80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input_437100!A$2</f>
        <v>437100</v>
      </c>
      <c r="B9" s="2">
        <v>189</v>
      </c>
      <c r="C9" s="7" t="str">
        <f t="shared" si="3"/>
        <v>Premium5</v>
      </c>
      <c r="D9" s="7" t="str">
        <f t="shared" si="4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v>1083</v>
      </c>
      <c r="P9" s="46">
        <f t="shared" si="1"/>
        <v>1.2337662337662338E-2</v>
      </c>
      <c r="Q9" s="30">
        <v>80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input_437100!A$2</f>
        <v>437100</v>
      </c>
      <c r="B10" s="2">
        <v>192</v>
      </c>
      <c r="C10" s="7" t="str">
        <f t="shared" si="3"/>
        <v>Premium5</v>
      </c>
      <c r="D10" s="7" t="str">
        <f t="shared" si="4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1083</v>
      </c>
      <c r="P10" s="46">
        <f t="shared" si="1"/>
        <v>1.2337662337662338E-2</v>
      </c>
      <c r="Q10" s="30">
        <v>80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input_437100!A$2</f>
        <v>437100</v>
      </c>
      <c r="B11" s="2">
        <v>195</v>
      </c>
      <c r="C11" s="7" t="str">
        <f t="shared" si="3"/>
        <v>Premium5</v>
      </c>
      <c r="D11" s="7" t="str">
        <f t="shared" si="4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v>1083</v>
      </c>
      <c r="P11" s="46">
        <f t="shared" si="1"/>
        <v>1.2337662337662338E-2</v>
      </c>
      <c r="Q11" s="30">
        <v>80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input_437100!A$2</f>
        <v>437100</v>
      </c>
      <c r="B12" s="2">
        <v>198</v>
      </c>
      <c r="C12" s="7" t="str">
        <f t="shared" si="3"/>
        <v>Premium5</v>
      </c>
      <c r="D12" s="7" t="str">
        <f t="shared" si="4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1083</v>
      </c>
      <c r="P12" s="46">
        <f t="shared" si="1"/>
        <v>1.2337662337662338E-2</v>
      </c>
      <c r="Q12" s="30">
        <v>80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input_437100!A$2</f>
        <v>437100</v>
      </c>
      <c r="B13" s="2">
        <v>201</v>
      </c>
      <c r="C13" s="7" t="str">
        <f t="shared" si="3"/>
        <v>Premium5</v>
      </c>
      <c r="D13" s="7" t="str">
        <f t="shared" si="4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v>1083</v>
      </c>
      <c r="P13" s="46">
        <f t="shared" si="1"/>
        <v>1.2337662337662338E-2</v>
      </c>
      <c r="Q13" s="30">
        <v>80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input_437100!A$2</f>
        <v>437100</v>
      </c>
      <c r="B14" s="2">
        <v>204</v>
      </c>
      <c r="C14" s="7" t="str">
        <f t="shared" si="3"/>
        <v>Premium5</v>
      </c>
      <c r="D14" s="7" t="str">
        <f t="shared" si="4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v>1083</v>
      </c>
      <c r="P14" s="46">
        <f t="shared" si="1"/>
        <v>1.2337662337662338E-2</v>
      </c>
      <c r="Q14" s="30">
        <v>80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input_437100!A$2</f>
        <v>437100</v>
      </c>
      <c r="B15" s="2">
        <v>207</v>
      </c>
      <c r="C15" s="7" t="str">
        <f t="shared" si="3"/>
        <v>Premium5</v>
      </c>
      <c r="D15" s="7" t="str">
        <f t="shared" si="4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v>1083</v>
      </c>
      <c r="P15" s="46">
        <f t="shared" si="1"/>
        <v>1.2337662337662338E-2</v>
      </c>
      <c r="Q15" s="30">
        <v>80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input_437100!A$2</f>
        <v>437100</v>
      </c>
      <c r="B16" s="2">
        <v>210</v>
      </c>
      <c r="C16" s="7" t="str">
        <f t="shared" si="3"/>
        <v>Premium5</v>
      </c>
      <c r="D16" s="7" t="str">
        <f t="shared" si="4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v>1083</v>
      </c>
      <c r="P16" s="46">
        <f t="shared" si="1"/>
        <v>1.2337662337662338E-2</v>
      </c>
      <c r="Q16" s="30">
        <v>80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input_437100!A$2</f>
        <v>437100</v>
      </c>
      <c r="B17" s="2">
        <v>213</v>
      </c>
      <c r="C17" s="7" t="str">
        <f t="shared" si="3"/>
        <v>Premium5</v>
      </c>
      <c r="D17" s="7" t="str">
        <f t="shared" si="4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v>1083</v>
      </c>
      <c r="P17" s="46">
        <f t="shared" si="1"/>
        <v>1.2337662337662338E-2</v>
      </c>
      <c r="Q17" s="30">
        <v>80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input_437100!A$2</f>
        <v>437100</v>
      </c>
      <c r="B18" s="2">
        <v>216</v>
      </c>
      <c r="C18" s="7" t="str">
        <f t="shared" si="3"/>
        <v>Premium5</v>
      </c>
      <c r="D18" s="7" t="str">
        <f t="shared" si="4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v>1083</v>
      </c>
      <c r="P18" s="46">
        <f t="shared" si="1"/>
        <v>1.2337662337662338E-2</v>
      </c>
      <c r="Q18" s="30">
        <v>80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 t="str">
        <f ca="1">input_437100!A$2</f>
        <v>437100</v>
      </c>
      <c r="B19" s="2">
        <v>219</v>
      </c>
      <c r="C19" s="7" t="str">
        <f t="shared" si="3"/>
        <v>Premium5</v>
      </c>
      <c r="D19" s="7" t="str">
        <f t="shared" si="4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v>1083</v>
      </c>
      <c r="P19" s="46">
        <f t="shared" si="1"/>
        <v>1.2337662337662338E-2</v>
      </c>
      <c r="Q19" s="30">
        <v>80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input_437100!A$2</f>
        <v>437100</v>
      </c>
      <c r="B20" s="2">
        <v>222</v>
      </c>
      <c r="C20" s="7" t="str">
        <f t="shared" si="3"/>
        <v>Premium5</v>
      </c>
      <c r="D20" s="7" t="str">
        <f t="shared" si="4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v>1083</v>
      </c>
      <c r="P20" s="46">
        <f t="shared" si="1"/>
        <v>1.2337662337662338E-2</v>
      </c>
      <c r="Q20" s="30">
        <v>80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input_437100!A$2</f>
        <v>437100</v>
      </c>
      <c r="B21" s="2">
        <v>225</v>
      </c>
      <c r="C21" s="7" t="str">
        <f t="shared" si="3"/>
        <v>Premium5</v>
      </c>
      <c r="D21" s="7" t="str">
        <f t="shared" si="4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v>1083</v>
      </c>
      <c r="P21" s="46">
        <f t="shared" si="1"/>
        <v>1.2337662337662338E-2</v>
      </c>
      <c r="Q21" s="30">
        <v>80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input_437100!A$2</f>
        <v>437100</v>
      </c>
      <c r="B22" s="2">
        <v>228</v>
      </c>
      <c r="C22" s="7" t="str">
        <f t="shared" si="3"/>
        <v>Premium5</v>
      </c>
      <c r="D22" s="7" t="str">
        <f t="shared" si="4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v>1083</v>
      </c>
      <c r="P22" s="46">
        <f t="shared" si="1"/>
        <v>1.2337662337662338E-2</v>
      </c>
      <c r="Q22" s="30">
        <v>80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input_437100!A$2</f>
        <v>437100</v>
      </c>
      <c r="B23" s="2">
        <v>231</v>
      </c>
      <c r="C23" s="7" t="str">
        <f t="shared" si="3"/>
        <v>Premium5</v>
      </c>
      <c r="D23" s="7" t="str">
        <f t="shared" si="4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v>1083</v>
      </c>
      <c r="P23" s="46">
        <f t="shared" si="1"/>
        <v>1.2337662337662338E-2</v>
      </c>
      <c r="Q23" s="30">
        <v>80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input_437100!A$2</f>
        <v>437100</v>
      </c>
      <c r="B24" s="2">
        <v>234</v>
      </c>
      <c r="C24" s="7" t="str">
        <f t="shared" si="3"/>
        <v>Premium5</v>
      </c>
      <c r="D24" s="7" t="str">
        <f t="shared" si="4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v>1083</v>
      </c>
      <c r="P24" s="46">
        <f t="shared" si="1"/>
        <v>1.2337662337662338E-2</v>
      </c>
      <c r="Q24" s="30">
        <v>80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input_437100!A$2</f>
        <v>437100</v>
      </c>
      <c r="B25" s="2">
        <v>237</v>
      </c>
      <c r="C25" s="7" t="str">
        <f t="shared" si="3"/>
        <v>Premium5R6release</v>
      </c>
      <c r="D25" s="7" t="str">
        <f t="shared" si="4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v>1083</v>
      </c>
      <c r="P25" s="46">
        <f t="shared" si="1"/>
        <v>1.2337662337662338E-2</v>
      </c>
      <c r="Q25" s="30">
        <v>80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input_437100!A$2</f>
        <v>437100</v>
      </c>
      <c r="B26" s="2">
        <v>240</v>
      </c>
      <c r="C26" s="7" t="str">
        <f t="shared" si="3"/>
        <v>Premium5</v>
      </c>
      <c r="D26" s="7" t="str">
        <f t="shared" si="4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v>1083</v>
      </c>
      <c r="P26" s="46">
        <f t="shared" si="1"/>
        <v>1.2337662337662338E-2</v>
      </c>
      <c r="Q26" s="30">
        <v>80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input_437100!A$2</f>
        <v>437100</v>
      </c>
      <c r="B27" s="2">
        <v>243</v>
      </c>
      <c r="C27" s="7" t="str">
        <f t="shared" si="3"/>
        <v>Premium5</v>
      </c>
      <c r="D27" s="7" t="str">
        <f t="shared" si="4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v>1083</v>
      </c>
      <c r="P27" s="46">
        <f t="shared" si="1"/>
        <v>1.2337662337662338E-2</v>
      </c>
      <c r="Q27" s="30">
        <v>80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input_437100!A$2</f>
        <v>437100</v>
      </c>
      <c r="B28" s="2">
        <v>246</v>
      </c>
      <c r="C28" s="7" t="str">
        <f t="shared" si="3"/>
        <v>Premium5</v>
      </c>
      <c r="D28" s="7" t="str">
        <f t="shared" si="4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v>1083</v>
      </c>
      <c r="P28" s="46">
        <f t="shared" si="1"/>
        <v>1.2337662337662338E-2</v>
      </c>
      <c r="Q28" s="30">
        <v>80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input_437100!A$2</f>
        <v>437100</v>
      </c>
      <c r="B29" s="2">
        <v>249</v>
      </c>
      <c r="C29" s="7" t="str">
        <f t="shared" si="3"/>
        <v>Premium5</v>
      </c>
      <c r="D29" s="7" t="str">
        <f t="shared" si="4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v>1083</v>
      </c>
      <c r="P29" s="46">
        <f t="shared" si="1"/>
        <v>1.2337662337662338E-2</v>
      </c>
      <c r="Q29" s="30">
        <v>80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input_437100!A$2</f>
        <v>437100</v>
      </c>
      <c r="B30" s="2">
        <v>252</v>
      </c>
      <c r="C30" s="7" t="str">
        <f t="shared" si="3"/>
        <v>Premium5</v>
      </c>
      <c r="D30" s="7" t="str">
        <f t="shared" si="4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v>1083</v>
      </c>
      <c r="P30" s="46">
        <f t="shared" si="1"/>
        <v>1.2337662337662338E-2</v>
      </c>
      <c r="Q30" s="30">
        <v>80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input_437100!A$2</f>
        <v>437100</v>
      </c>
      <c r="B31" s="2">
        <v>255</v>
      </c>
      <c r="C31" s="7" t="str">
        <f t="shared" si="3"/>
        <v>Premium5</v>
      </c>
      <c r="D31" s="7" t="str">
        <f t="shared" si="4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v>1083</v>
      </c>
      <c r="P31" s="46">
        <f t="shared" si="1"/>
        <v>1.2337662337662338E-2</v>
      </c>
      <c r="Q31" s="30">
        <v>80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input_437100!A$2</f>
        <v>437100</v>
      </c>
      <c r="B32" s="2">
        <v>258</v>
      </c>
      <c r="C32" s="7" t="str">
        <f t="shared" si="3"/>
        <v>Premium5</v>
      </c>
      <c r="D32" s="7" t="str">
        <f t="shared" si="4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v>1083</v>
      </c>
      <c r="P32" s="46">
        <f t="shared" si="1"/>
        <v>1.2337662337662338E-2</v>
      </c>
      <c r="Q32" s="30">
        <v>80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input_437100!A$2</f>
        <v>437100</v>
      </c>
      <c r="B33" s="2">
        <v>261</v>
      </c>
      <c r="C33" s="7" t="str">
        <f t="shared" si="3"/>
        <v>Premium5</v>
      </c>
      <c r="D33" s="7" t="str">
        <f t="shared" si="4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v>1083</v>
      </c>
      <c r="P33" s="46">
        <f t="shared" si="1"/>
        <v>1.2337662337662338E-2</v>
      </c>
      <c r="Q33" s="30">
        <v>80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input_437100!A$2</f>
        <v>437100</v>
      </c>
      <c r="B34" s="2">
        <v>321</v>
      </c>
      <c r="C34" s="7" t="str">
        <f t="shared" si="3"/>
        <v>PremiumSS5</v>
      </c>
      <c r="D34" s="7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v>77</v>
      </c>
      <c r="P34" s="46">
        <f t="shared" ref="P34:P65" si="5">O34/SUM(O:O)</f>
        <v>8.7719298245614037E-4</v>
      </c>
      <c r="Q34" s="30">
        <v>80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input_437100!A$2</f>
        <v>437100</v>
      </c>
      <c r="B35" s="2">
        <v>323</v>
      </c>
      <c r="C35" s="7" t="str">
        <f t="shared" si="3"/>
        <v>PremiumSS5</v>
      </c>
      <c r="D35" s="7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v>77</v>
      </c>
      <c r="P35" s="46">
        <f t="shared" si="5"/>
        <v>8.7719298245614037E-4</v>
      </c>
      <c r="Q35" s="30">
        <v>80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input_437100!A$2</f>
        <v>437100</v>
      </c>
      <c r="B36" s="2">
        <v>325</v>
      </c>
      <c r="C36" s="7" t="str">
        <f t="shared" si="3"/>
        <v>PremiumSS5</v>
      </c>
      <c r="D36" s="7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v>77</v>
      </c>
      <c r="P36" s="46">
        <f t="shared" si="5"/>
        <v>8.7719298245614037E-4</v>
      </c>
      <c r="Q36" s="30">
        <v>80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input_437100!A$2</f>
        <v>437100</v>
      </c>
      <c r="B37" s="2">
        <v>327</v>
      </c>
      <c r="C37" s="7" t="str">
        <f t="shared" si="3"/>
        <v>PremiumSS5</v>
      </c>
      <c r="D37" s="7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v>77</v>
      </c>
      <c r="P37" s="46">
        <f t="shared" si="5"/>
        <v>8.7719298245614037E-4</v>
      </c>
      <c r="Q37" s="30">
        <v>80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input_437100!A$2</f>
        <v>437100</v>
      </c>
      <c r="B38" s="2">
        <v>382</v>
      </c>
      <c r="C38" s="7" t="str">
        <f t="shared" si="3"/>
        <v>Premium5</v>
      </c>
      <c r="D38" s="7" t="str">
        <f t="shared" si="4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v>1083</v>
      </c>
      <c r="P38" s="46">
        <f t="shared" si="5"/>
        <v>1.2337662337662338E-2</v>
      </c>
      <c r="Q38" s="30">
        <v>80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input_437100!A$2</f>
        <v>437100</v>
      </c>
      <c r="B39" s="2">
        <v>384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v>77</v>
      </c>
      <c r="P39" s="46">
        <f t="shared" si="5"/>
        <v>8.7719298245614037E-4</v>
      </c>
      <c r="Q39" s="30">
        <v>80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input_437100!A$2</f>
        <v>437100</v>
      </c>
      <c r="B40" s="2">
        <v>386</v>
      </c>
      <c r="C40" s="7" t="str">
        <f t="shared" si="3"/>
        <v>PremiumSS5</v>
      </c>
      <c r="D40" s="7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v>77</v>
      </c>
      <c r="P40" s="46">
        <f t="shared" si="5"/>
        <v>8.7719298245614037E-4</v>
      </c>
      <c r="Q40" s="30">
        <v>80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input_437100!A$2</f>
        <v>437100</v>
      </c>
      <c r="B41" s="2">
        <v>389</v>
      </c>
      <c r="C41" s="7" t="str">
        <f t="shared" si="3"/>
        <v>Premium5</v>
      </c>
      <c r="D41" s="7" t="str">
        <f t="shared" si="4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v>1083</v>
      </c>
      <c r="P41" s="46">
        <f t="shared" si="5"/>
        <v>1.2337662337662338E-2</v>
      </c>
      <c r="Q41" s="30">
        <v>80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input_437100!A$2</f>
        <v>437100</v>
      </c>
      <c r="B42" s="2">
        <v>391</v>
      </c>
      <c r="C42" s="7" t="str">
        <f t="shared" si="3"/>
        <v>PremiumSS5</v>
      </c>
      <c r="D42" s="7" t="str">
        <f t="shared" si="4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v>77</v>
      </c>
      <c r="P42" s="46">
        <f t="shared" si="5"/>
        <v>8.7719298245614037E-4</v>
      </c>
      <c r="Q42" s="30">
        <v>80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input_437100!A$2</f>
        <v>437100</v>
      </c>
      <c r="B43" s="2">
        <v>394</v>
      </c>
      <c r="C43" s="7" t="str">
        <f t="shared" si="3"/>
        <v>Premium5</v>
      </c>
      <c r="D43" s="7" t="str">
        <f t="shared" si="4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v>1083</v>
      </c>
      <c r="P43" s="46">
        <f t="shared" si="5"/>
        <v>1.2337662337662338E-2</v>
      </c>
      <c r="Q43" s="30">
        <v>80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input_437100!A$2</f>
        <v>437100</v>
      </c>
      <c r="B44" s="2">
        <v>397</v>
      </c>
      <c r="C44" s="7" t="str">
        <f t="shared" si="3"/>
        <v>Premium5</v>
      </c>
      <c r="D44" s="7" t="str">
        <f t="shared" si="4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v>1083</v>
      </c>
      <c r="P44" s="46">
        <f t="shared" si="5"/>
        <v>1.2337662337662338E-2</v>
      </c>
      <c r="Q44" s="30"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input_437100!A$2</f>
        <v>437100</v>
      </c>
      <c r="B45" s="2">
        <v>399</v>
      </c>
      <c r="C45" s="7" t="str">
        <f t="shared" si="3"/>
        <v>PremiumSS5</v>
      </c>
      <c r="D45" s="7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v>77</v>
      </c>
      <c r="P45" s="46">
        <f t="shared" si="5"/>
        <v>8.7719298245614037E-4</v>
      </c>
      <c r="Q45" s="30">
        <v>80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input_437100!A$2</f>
        <v>437100</v>
      </c>
      <c r="B46" s="2">
        <v>402</v>
      </c>
      <c r="C46" s="7" t="str">
        <f t="shared" si="3"/>
        <v>Premium5</v>
      </c>
      <c r="D46" s="7" t="str">
        <f t="shared" si="4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v>1083</v>
      </c>
      <c r="P46" s="46">
        <f t="shared" si="5"/>
        <v>1.2337662337662338E-2</v>
      </c>
      <c r="Q46" s="30">
        <v>80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input_437100!A$2</f>
        <v>437100</v>
      </c>
      <c r="B47" s="2">
        <v>404</v>
      </c>
      <c r="C47" s="7" t="str">
        <f t="shared" si="3"/>
        <v>PremiumSS5</v>
      </c>
      <c r="D47" s="7" t="str">
        <f t="shared" si="4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v>77</v>
      </c>
      <c r="P47" s="46">
        <f t="shared" si="5"/>
        <v>8.7719298245614037E-4</v>
      </c>
      <c r="Q47" s="30"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input_437100!A$2</f>
        <v>437100</v>
      </c>
      <c r="B48" s="2">
        <v>407</v>
      </c>
      <c r="C48" s="7" t="str">
        <f t="shared" si="3"/>
        <v>Premium5</v>
      </c>
      <c r="D48" s="7" t="str">
        <f t="shared" si="4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v>1083</v>
      </c>
      <c r="P48" s="46">
        <f t="shared" si="5"/>
        <v>1.2337662337662338E-2</v>
      </c>
      <c r="Q48" s="30">
        <v>80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input_437100!A$2</f>
        <v>437100</v>
      </c>
      <c r="B49" s="2">
        <v>409</v>
      </c>
      <c r="C49" s="7" t="str">
        <f t="shared" si="3"/>
        <v>PremiumSS5</v>
      </c>
      <c r="D49" s="7" t="str">
        <f t="shared" si="4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77</v>
      </c>
      <c r="P49" s="46">
        <f t="shared" si="5"/>
        <v>8.7719298245614037E-4</v>
      </c>
      <c r="Q49" s="30">
        <v>80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input_437100!A$2</f>
        <v>437100</v>
      </c>
      <c r="B50" s="2">
        <v>435</v>
      </c>
      <c r="C50" s="7" t="str">
        <f t="shared" si="3"/>
        <v>PremiumSS5</v>
      </c>
      <c r="D50" s="7" t="str">
        <f t="shared" si="4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v>77</v>
      </c>
      <c r="P50" s="46">
        <f t="shared" si="5"/>
        <v>8.7719298245614037E-4</v>
      </c>
      <c r="Q50" s="30"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input_437100!A$2</f>
        <v>437100</v>
      </c>
      <c r="B51" s="2">
        <v>438</v>
      </c>
      <c r="C51" s="7" t="str">
        <f t="shared" si="3"/>
        <v>Premium5</v>
      </c>
      <c r="D51" s="7" t="str">
        <f t="shared" si="4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v>1083</v>
      </c>
      <c r="P51" s="46">
        <f t="shared" si="5"/>
        <v>1.2337662337662338E-2</v>
      </c>
      <c r="Q51" s="30">
        <v>80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input_437100!A$2</f>
        <v>437100</v>
      </c>
      <c r="B52" s="2">
        <v>441</v>
      </c>
      <c r="C52" s="7" t="str">
        <f t="shared" si="3"/>
        <v>Premium5</v>
      </c>
      <c r="D52" s="7" t="str">
        <f t="shared" si="4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v>1083</v>
      </c>
      <c r="P52" s="46">
        <f t="shared" si="5"/>
        <v>1.2337662337662338E-2</v>
      </c>
      <c r="Q52" s="30">
        <v>80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input_437100!A$2</f>
        <v>437100</v>
      </c>
      <c r="B53" s="2">
        <v>443</v>
      </c>
      <c r="C53" s="7" t="str">
        <f t="shared" si="3"/>
        <v>PremiumSS5</v>
      </c>
      <c r="D53" s="7" t="str">
        <f t="shared" si="4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v>77</v>
      </c>
      <c r="P53" s="46">
        <f t="shared" si="5"/>
        <v>8.7719298245614037E-4</v>
      </c>
      <c r="Q53" s="30">
        <v>80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input_437100!A$2</f>
        <v>437100</v>
      </c>
      <c r="B54" s="2">
        <v>464</v>
      </c>
      <c r="C54" s="7" t="str">
        <f t="shared" si="3"/>
        <v>Premium5</v>
      </c>
      <c r="D54" s="7" t="str">
        <f t="shared" si="4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v>1083</v>
      </c>
      <c r="P54" s="46">
        <f t="shared" si="5"/>
        <v>1.2337662337662338E-2</v>
      </c>
      <c r="Q54" s="30">
        <v>80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input_437100!A$2</f>
        <v>437100</v>
      </c>
      <c r="B55" s="2">
        <v>466</v>
      </c>
      <c r="C55" s="7" t="str">
        <f t="shared" si="3"/>
        <v>PremiumSS5</v>
      </c>
      <c r="D55" s="7" t="str">
        <f t="shared" si="4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v>77</v>
      </c>
      <c r="P55" s="46">
        <f t="shared" si="5"/>
        <v>8.7719298245614037E-4</v>
      </c>
      <c r="Q55" s="30">
        <v>80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input_437100!A$2</f>
        <v>437100</v>
      </c>
      <c r="B56" s="2">
        <v>468</v>
      </c>
      <c r="C56" s="7" t="str">
        <f t="shared" si="3"/>
        <v>PremiumSS5</v>
      </c>
      <c r="D56" s="7" t="str">
        <f t="shared" si="4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v>77</v>
      </c>
      <c r="P56" s="46">
        <f t="shared" si="5"/>
        <v>8.7719298245614037E-4</v>
      </c>
      <c r="Q56" s="30">
        <v>80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input_437100!A$2</f>
        <v>437100</v>
      </c>
      <c r="B57" s="2">
        <v>471</v>
      </c>
      <c r="C57" s="7" t="str">
        <f t="shared" si="3"/>
        <v>Premium5</v>
      </c>
      <c r="D57" s="7" t="str">
        <f t="shared" si="4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v>1083</v>
      </c>
      <c r="P57" s="46">
        <f t="shared" si="5"/>
        <v>1.2337662337662338E-2</v>
      </c>
      <c r="Q57" s="30">
        <v>80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input_437100!A$2</f>
        <v>437100</v>
      </c>
      <c r="B58" s="2">
        <v>475</v>
      </c>
      <c r="C58" s="7" t="str">
        <f t="shared" si="3"/>
        <v>PremiumSS5</v>
      </c>
      <c r="D58" s="7" t="str">
        <f t="shared" si="4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v>77</v>
      </c>
      <c r="P58" s="46">
        <f t="shared" si="5"/>
        <v>8.7719298245614037E-4</v>
      </c>
      <c r="Q58" s="30">
        <v>80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input_437100!A$2</f>
        <v>437100</v>
      </c>
      <c r="B59" s="2">
        <v>478</v>
      </c>
      <c r="C59" s="7" t="str">
        <f t="shared" si="3"/>
        <v>Premium5</v>
      </c>
      <c r="D59" s="7" t="str">
        <f t="shared" si="4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v>1083</v>
      </c>
      <c r="P59" s="46">
        <f t="shared" si="5"/>
        <v>1.2337662337662338E-2</v>
      </c>
      <c r="Q59" s="30">
        <v>80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input_437100!A$2</f>
        <v>437100</v>
      </c>
      <c r="B60" s="2">
        <v>480</v>
      </c>
      <c r="C60" s="7" t="str">
        <f t="shared" si="3"/>
        <v>PremiumSS5</v>
      </c>
      <c r="D60" s="7" t="str">
        <f t="shared" si="4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v>77</v>
      </c>
      <c r="P60" s="46">
        <f t="shared" si="5"/>
        <v>8.7719298245614037E-4</v>
      </c>
      <c r="Q60" s="30">
        <v>80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input_437100!A$2</f>
        <v>437100</v>
      </c>
      <c r="B61" s="2">
        <v>483</v>
      </c>
      <c r="C61" s="7" t="str">
        <f t="shared" si="3"/>
        <v>Premium5</v>
      </c>
      <c r="D61" s="7" t="str">
        <f t="shared" si="4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v>1083</v>
      </c>
      <c r="P61" s="46">
        <f t="shared" si="5"/>
        <v>1.2337662337662338E-2</v>
      </c>
      <c r="Q61" s="30">
        <v>80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input_437100!A$2</f>
        <v>437100</v>
      </c>
      <c r="B62" s="2">
        <v>493</v>
      </c>
      <c r="C62" s="7" t="str">
        <f t="shared" si="3"/>
        <v>PremiumSS5</v>
      </c>
      <c r="D62" s="7" t="str">
        <f t="shared" si="4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v>77</v>
      </c>
      <c r="P62" s="46">
        <f t="shared" si="5"/>
        <v>8.7719298245614037E-4</v>
      </c>
      <c r="Q62" s="30">
        <v>80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input_437100!A$2</f>
        <v>437100</v>
      </c>
      <c r="B63" s="2">
        <v>495</v>
      </c>
      <c r="C63" s="7" t="str">
        <f t="shared" si="3"/>
        <v>PremiumSS5</v>
      </c>
      <c r="D63" s="7" t="str">
        <f t="shared" si="4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v>77</v>
      </c>
      <c r="P63" s="46">
        <f t="shared" si="5"/>
        <v>8.7719298245614037E-4</v>
      </c>
      <c r="Q63" s="30">
        <v>80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input_437100!A$2</f>
        <v>437100</v>
      </c>
      <c r="B64" s="2">
        <v>498</v>
      </c>
      <c r="C64" s="7" t="str">
        <f t="shared" si="3"/>
        <v>Premium5</v>
      </c>
      <c r="D64" s="7" t="str">
        <f t="shared" si="4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v>1083</v>
      </c>
      <c r="P64" s="46">
        <f t="shared" si="5"/>
        <v>1.2337662337662338E-2</v>
      </c>
      <c r="Q64" s="30">
        <v>80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input_437100!A$2</f>
        <v>437100</v>
      </c>
      <c r="B65" s="2">
        <v>500</v>
      </c>
      <c r="C65" s="7" t="str">
        <f t="shared" si="3"/>
        <v>PremiumSS5</v>
      </c>
      <c r="D65" s="7" t="str">
        <f t="shared" si="4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v>77</v>
      </c>
      <c r="P65" s="46">
        <f t="shared" si="5"/>
        <v>8.7719298245614037E-4</v>
      </c>
      <c r="Q65" s="30">
        <v>80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input_437100!A$2</f>
        <v>437100</v>
      </c>
      <c r="B66" s="2">
        <v>560</v>
      </c>
      <c r="C66" s="7" t="str">
        <f t="shared" si="3"/>
        <v>PremiumW5R3less</v>
      </c>
      <c r="D66" s="7" t="str">
        <f t="shared" si="4"/>
        <v>PremiumW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v>1083</v>
      </c>
      <c r="P66" s="46">
        <f t="shared" ref="P66:P97" si="6">O66/SUM(O:O)</f>
        <v>1.2337662337662338E-2</v>
      </c>
      <c r="Q66" s="30">
        <v>80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input_437100!A$2</f>
        <v>437100</v>
      </c>
      <c r="B67" s="2">
        <v>561</v>
      </c>
      <c r="C67" s="7" t="str">
        <f t="shared" si="3"/>
        <v>PremiumW5R3less</v>
      </c>
      <c r="D67" s="7" t="str">
        <f t="shared" si="4"/>
        <v>PremiumW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v>1083</v>
      </c>
      <c r="P67" s="46">
        <f t="shared" si="6"/>
        <v>1.2337662337662338E-2</v>
      </c>
      <c r="Q67" s="30">
        <v>80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input_437100!A$2</f>
        <v>437100</v>
      </c>
      <c r="B68" s="2">
        <v>562</v>
      </c>
      <c r="C68" s="7" t="str">
        <f t="shared" si="3"/>
        <v>PremiumW5R3less</v>
      </c>
      <c r="D68" s="7" t="str">
        <f t="shared" si="4"/>
        <v>PremiumW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v>1083</v>
      </c>
      <c r="P68" s="46">
        <f t="shared" si="6"/>
        <v>1.2337662337662338E-2</v>
      </c>
      <c r="Q68" s="30">
        <v>80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input_437100!A$2</f>
        <v>437100</v>
      </c>
      <c r="B69" s="2">
        <v>563</v>
      </c>
      <c r="C69" s="7" t="str">
        <f t="shared" si="3"/>
        <v>PremiumW5R3less</v>
      </c>
      <c r="D69" s="7" t="str">
        <f t="shared" si="4"/>
        <v>PremiumW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v>1083</v>
      </c>
      <c r="P69" s="46">
        <f t="shared" si="6"/>
        <v>1.2337662337662338E-2</v>
      </c>
      <c r="Q69" s="30">
        <v>80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input_437100!A$2</f>
        <v>437100</v>
      </c>
      <c r="B70" s="2">
        <v>566</v>
      </c>
      <c r="C70" s="7" t="str">
        <f t="shared" ref="C70:C133" si="7">D70&amp;J70&amp;E70&amp;F70&amp;G70</f>
        <v>PremiumW5R3less</v>
      </c>
      <c r="D70" s="7" t="str">
        <f t="shared" ref="D70:D133" si="8">IF(OR(I70="PremiumSS",I70="PremiumSSw"),"PremiumSS",IF(I70="PremiumSSS",I70,IF(I70="PremiumW",I70,"Premium")))</f>
        <v>PremiumW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v>1083</v>
      </c>
      <c r="P70" s="46">
        <f t="shared" si="6"/>
        <v>1.2337662337662338E-2</v>
      </c>
      <c r="Q70" s="30">
        <v>80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input_437100!A$2</f>
        <v>437100</v>
      </c>
      <c r="B71" s="2">
        <v>567</v>
      </c>
      <c r="C71" s="7" t="str">
        <f t="shared" si="7"/>
        <v>PremiumW5R3less</v>
      </c>
      <c r="D71" s="7" t="str">
        <f t="shared" si="8"/>
        <v>PremiumW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v>1083</v>
      </c>
      <c r="P71" s="46">
        <f t="shared" si="6"/>
        <v>1.2337662337662338E-2</v>
      </c>
      <c r="Q71" s="30">
        <v>80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input_437100!A$2</f>
        <v>437100</v>
      </c>
      <c r="B72" s="2">
        <v>587</v>
      </c>
      <c r="C72" s="7" t="str">
        <f t="shared" si="7"/>
        <v>PremiumSS5</v>
      </c>
      <c r="D72" s="7" t="str">
        <f t="shared" si="8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v>77</v>
      </c>
      <c r="P72" s="46">
        <f t="shared" si="6"/>
        <v>8.7719298245614037E-4</v>
      </c>
      <c r="Q72" s="30">
        <v>80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input_437100!A$2</f>
        <v>437100</v>
      </c>
      <c r="B73" s="2">
        <v>590</v>
      </c>
      <c r="C73" s="7" t="str">
        <f t="shared" si="7"/>
        <v>Premium5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v>1083</v>
      </c>
      <c r="P73" s="46">
        <f t="shared" si="6"/>
        <v>1.2337662337662338E-2</v>
      </c>
      <c r="Q73" s="30">
        <v>80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input_437100!A$2</f>
        <v>437100</v>
      </c>
      <c r="B74" s="2">
        <v>593</v>
      </c>
      <c r="C74" s="7" t="str">
        <f t="shared" si="7"/>
        <v>Premium5</v>
      </c>
      <c r="D74" s="7" t="str">
        <f t="shared" si="8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v>1083</v>
      </c>
      <c r="P74" s="46">
        <f t="shared" si="6"/>
        <v>1.2337662337662338E-2</v>
      </c>
      <c r="Q74" s="30">
        <v>80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input_437100!A$2</f>
        <v>437100</v>
      </c>
      <c r="B75" s="2">
        <v>595</v>
      </c>
      <c r="C75" s="7" t="str">
        <f t="shared" si="7"/>
        <v>PremiumSS5</v>
      </c>
      <c r="D75" s="7" t="str">
        <f t="shared" si="8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v>77</v>
      </c>
      <c r="P75" s="46">
        <f t="shared" si="6"/>
        <v>8.7719298245614037E-4</v>
      </c>
      <c r="Q75" s="30">
        <v>80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input_437100!A$2</f>
        <v>437100</v>
      </c>
      <c r="B76" s="2">
        <v>598</v>
      </c>
      <c r="C76" s="7" t="str">
        <f t="shared" si="7"/>
        <v>Premium5</v>
      </c>
      <c r="D76" s="7" t="str">
        <f t="shared" si="8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v>1083</v>
      </c>
      <c r="P76" s="46">
        <f t="shared" si="6"/>
        <v>1.2337662337662338E-2</v>
      </c>
      <c r="Q76" s="30">
        <v>80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input_437100!A$2</f>
        <v>437100</v>
      </c>
      <c r="B77" s="2">
        <v>601</v>
      </c>
      <c r="C77" s="7" t="str">
        <f t="shared" si="7"/>
        <v>Premium5</v>
      </c>
      <c r="D77" s="7" t="str">
        <f t="shared" si="8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v>1083</v>
      </c>
      <c r="P77" s="46">
        <f t="shared" si="6"/>
        <v>1.2337662337662338E-2</v>
      </c>
      <c r="Q77" s="30">
        <v>80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input_437100!A$2</f>
        <v>437100</v>
      </c>
      <c r="B78" s="2">
        <v>603</v>
      </c>
      <c r="C78" s="7" t="str">
        <f t="shared" si="7"/>
        <v>PremiumSS5</v>
      </c>
      <c r="D78" s="7" t="str">
        <f t="shared" si="8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v>77</v>
      </c>
      <c r="P78" s="46">
        <f t="shared" si="6"/>
        <v>8.7719298245614037E-4</v>
      </c>
      <c r="Q78" s="30">
        <v>80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input_437100!A$2</f>
        <v>437100</v>
      </c>
      <c r="B79" s="2">
        <v>606</v>
      </c>
      <c r="C79" s="7" t="str">
        <f t="shared" si="7"/>
        <v>Premium5</v>
      </c>
      <c r="D79" s="7" t="str">
        <f t="shared" si="8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v>1083</v>
      </c>
      <c r="P79" s="46">
        <f t="shared" si="6"/>
        <v>1.2337662337662338E-2</v>
      </c>
      <c r="Q79" s="30">
        <v>80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input_437100!A$2</f>
        <v>437100</v>
      </c>
      <c r="B80" s="2">
        <v>659</v>
      </c>
      <c r="C80" s="7" t="str">
        <f t="shared" si="7"/>
        <v>PremiumSS5</v>
      </c>
      <c r="D80" s="7" t="str">
        <f t="shared" si="8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v>77</v>
      </c>
      <c r="P80" s="46">
        <f t="shared" si="6"/>
        <v>8.7719298245614037E-4</v>
      </c>
      <c r="Q80" s="30">
        <v>80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input_437100!A$2</f>
        <v>437100</v>
      </c>
      <c r="B81" s="2">
        <v>661</v>
      </c>
      <c r="C81" s="7" t="str">
        <f t="shared" si="7"/>
        <v>PremiumSS5</v>
      </c>
      <c r="D81" s="7" t="str">
        <f t="shared" si="8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v>77</v>
      </c>
      <c r="P81" s="46">
        <f t="shared" si="6"/>
        <v>8.7719298245614037E-4</v>
      </c>
      <c r="Q81" s="30">
        <v>80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input_437100!A$2</f>
        <v>437100</v>
      </c>
      <c r="B82" s="2">
        <v>664</v>
      </c>
      <c r="C82" s="7" t="str">
        <f t="shared" si="7"/>
        <v>Premium5</v>
      </c>
      <c r="D82" s="7" t="str">
        <f t="shared" si="8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v>1083</v>
      </c>
      <c r="P82" s="46">
        <f t="shared" si="6"/>
        <v>1.2337662337662338E-2</v>
      </c>
      <c r="Q82" s="30">
        <v>80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input_437100!A$2</f>
        <v>437100</v>
      </c>
      <c r="B83" s="2">
        <v>667</v>
      </c>
      <c r="C83" s="7" t="str">
        <f t="shared" si="7"/>
        <v>Premium5</v>
      </c>
      <c r="D83" s="7" t="str">
        <f t="shared" si="8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v>1083</v>
      </c>
      <c r="P83" s="46">
        <f t="shared" si="6"/>
        <v>1.2337662337662338E-2</v>
      </c>
      <c r="Q83" s="30">
        <v>80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input_437100!A$2</f>
        <v>437100</v>
      </c>
      <c r="B84" s="2">
        <v>670</v>
      </c>
      <c r="C84" s="7" t="str">
        <f t="shared" si="7"/>
        <v>Premium5</v>
      </c>
      <c r="D84" s="7" t="str">
        <f t="shared" si="8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v>1083</v>
      </c>
      <c r="P84" s="46">
        <f t="shared" si="6"/>
        <v>1.2337662337662338E-2</v>
      </c>
      <c r="Q84" s="30">
        <v>80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input_437100!A$2</f>
        <v>437100</v>
      </c>
      <c r="B85" s="2">
        <v>673</v>
      </c>
      <c r="C85" s="7" t="str">
        <f t="shared" si="7"/>
        <v>Premium5</v>
      </c>
      <c r="D85" s="7" t="str">
        <f t="shared" si="8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v>1083</v>
      </c>
      <c r="P85" s="46">
        <f t="shared" si="6"/>
        <v>1.2337662337662338E-2</v>
      </c>
      <c r="Q85" s="30">
        <v>80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input_437100!A$2</f>
        <v>437100</v>
      </c>
      <c r="B86" s="2">
        <v>675</v>
      </c>
      <c r="C86" s="7" t="str">
        <f t="shared" si="7"/>
        <v>PremiumSS5</v>
      </c>
      <c r="D86" s="7" t="str">
        <f t="shared" si="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v>77</v>
      </c>
      <c r="P86" s="46">
        <f t="shared" si="6"/>
        <v>8.7719298245614037E-4</v>
      </c>
      <c r="Q86" s="30">
        <v>80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input_437100!A$2</f>
        <v>437100</v>
      </c>
      <c r="B87" s="2">
        <v>677</v>
      </c>
      <c r="C87" s="7" t="str">
        <f t="shared" si="7"/>
        <v>PremiumSS5</v>
      </c>
      <c r="D87" s="7" t="str">
        <f t="shared" si="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v>77</v>
      </c>
      <c r="P87" s="46">
        <f t="shared" si="6"/>
        <v>8.7719298245614037E-4</v>
      </c>
      <c r="Q87" s="30">
        <v>80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input_437100!A$2</f>
        <v>437100</v>
      </c>
      <c r="B88" s="2">
        <v>729</v>
      </c>
      <c r="C88" s="7" t="str">
        <f t="shared" si="7"/>
        <v>Premium5R3less</v>
      </c>
      <c r="D88" s="7" t="str">
        <f t="shared" si="8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v>1083</v>
      </c>
      <c r="P88" s="46">
        <f t="shared" si="6"/>
        <v>1.2337662337662338E-2</v>
      </c>
      <c r="Q88" s="30">
        <v>80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input_437100!A$2</f>
        <v>437100</v>
      </c>
      <c r="B89" s="2">
        <v>731</v>
      </c>
      <c r="C89" s="7" t="str">
        <f t="shared" si="7"/>
        <v>Premium5R3less</v>
      </c>
      <c r="D89" s="7" t="str">
        <f t="shared" si="8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v>1083</v>
      </c>
      <c r="P89" s="46">
        <f t="shared" si="6"/>
        <v>1.2337662337662338E-2</v>
      </c>
      <c r="Q89" s="30">
        <v>80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input_437100!A$2</f>
        <v>437100</v>
      </c>
      <c r="B90" s="2">
        <v>732</v>
      </c>
      <c r="C90" s="7" t="str">
        <f t="shared" si="7"/>
        <v>PremiumSS5R5only</v>
      </c>
      <c r="D90" s="7" t="str">
        <f t="shared" si="8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v>77</v>
      </c>
      <c r="P90" s="46">
        <f t="shared" si="6"/>
        <v>8.7719298245614037E-4</v>
      </c>
      <c r="Q90" s="30">
        <v>80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input_437100!A$2</f>
        <v>437100</v>
      </c>
      <c r="B91" s="2">
        <v>734</v>
      </c>
      <c r="C91" s="7" t="str">
        <f t="shared" si="7"/>
        <v>PremiumSS5R5only</v>
      </c>
      <c r="D91" s="7" t="str">
        <f t="shared" si="8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v>77</v>
      </c>
      <c r="P91" s="46">
        <f t="shared" si="6"/>
        <v>8.7719298245614037E-4</v>
      </c>
      <c r="Q91" s="30">
        <v>80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input_437100!A$2</f>
        <v>437100</v>
      </c>
      <c r="B92" s="2">
        <v>742</v>
      </c>
      <c r="C92" s="7" t="str">
        <f t="shared" si="7"/>
        <v>PremiumSS5R5only</v>
      </c>
      <c r="D92" s="7" t="str">
        <f t="shared" si="8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v>77</v>
      </c>
      <c r="P92" s="46">
        <f t="shared" si="6"/>
        <v>8.7719298245614037E-4</v>
      </c>
      <c r="Q92" s="30">
        <v>80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input_437100!A$2</f>
        <v>437100</v>
      </c>
      <c r="B93" s="2">
        <v>744</v>
      </c>
      <c r="C93" s="7" t="str">
        <f t="shared" si="7"/>
        <v>PremiumSS5R5only</v>
      </c>
      <c r="D93" s="7" t="str">
        <f t="shared" si="8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v>77</v>
      </c>
      <c r="P93" s="46">
        <f t="shared" si="6"/>
        <v>8.7719298245614037E-4</v>
      </c>
      <c r="Q93" s="30">
        <v>80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input_437100!A$2</f>
        <v>437100</v>
      </c>
      <c r="B94" s="2">
        <v>747</v>
      </c>
      <c r="C94" s="7" t="str">
        <f t="shared" si="7"/>
        <v>Premium5R3less</v>
      </c>
      <c r="D94" s="7" t="str">
        <f t="shared" si="8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v>1083</v>
      </c>
      <c r="P94" s="46">
        <f t="shared" si="6"/>
        <v>1.2337662337662338E-2</v>
      </c>
      <c r="Q94" s="30">
        <v>80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input_437100!A$2</f>
        <v>437100</v>
      </c>
      <c r="B95" s="2">
        <v>749</v>
      </c>
      <c r="C95" s="7" t="str">
        <f t="shared" si="7"/>
        <v>Premium5R3less</v>
      </c>
      <c r="D95" s="7" t="str">
        <f t="shared" si="8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v>1083</v>
      </c>
      <c r="P95" s="46">
        <f t="shared" si="6"/>
        <v>1.2337662337662338E-2</v>
      </c>
      <c r="Q95" s="30">
        <v>80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input_437100!A$2</f>
        <v>437100</v>
      </c>
      <c r="B96" s="2">
        <v>771</v>
      </c>
      <c r="C96" s="7" t="str">
        <f t="shared" si="7"/>
        <v>PremiumSS5</v>
      </c>
      <c r="D96" s="7" t="str">
        <f t="shared" si="8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v>77</v>
      </c>
      <c r="P96" s="46">
        <f t="shared" si="6"/>
        <v>8.7719298245614037E-4</v>
      </c>
      <c r="Q96" s="30">
        <v>80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input_437100!A$2</f>
        <v>437100</v>
      </c>
      <c r="B97" s="2">
        <v>773</v>
      </c>
      <c r="C97" s="7" t="str">
        <f t="shared" si="7"/>
        <v>PremiumSS5</v>
      </c>
      <c r="D97" s="7" t="str">
        <f t="shared" si="8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v>77</v>
      </c>
      <c r="P97" s="46">
        <f t="shared" si="6"/>
        <v>8.7719298245614037E-4</v>
      </c>
      <c r="Q97" s="30">
        <v>80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input_437100!A$2</f>
        <v>437100</v>
      </c>
      <c r="B98" s="2">
        <v>776</v>
      </c>
      <c r="C98" s="7" t="str">
        <f t="shared" si="7"/>
        <v>Premium5</v>
      </c>
      <c r="D98" s="7" t="str">
        <f t="shared" si="8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v>1083</v>
      </c>
      <c r="P98" s="46">
        <f t="shared" ref="P98:P129" si="9">O98/SUM(O:O)</f>
        <v>1.2337662337662338E-2</v>
      </c>
      <c r="Q98" s="30">
        <v>80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input_437100!A$2</f>
        <v>437100</v>
      </c>
      <c r="B99" s="2">
        <v>779</v>
      </c>
      <c r="C99" s="7" t="str">
        <f t="shared" si="7"/>
        <v>Premium5</v>
      </c>
      <c r="D99" s="7" t="str">
        <f t="shared" si="8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v>1083</v>
      </c>
      <c r="P99" s="46">
        <f t="shared" si="9"/>
        <v>1.2337662337662338E-2</v>
      </c>
      <c r="Q99" s="30">
        <v>80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input_437100!A$2</f>
        <v>437100</v>
      </c>
      <c r="B100" s="2">
        <v>848</v>
      </c>
      <c r="C100" s="7" t="str">
        <f t="shared" si="7"/>
        <v>PremiumSS5R5only</v>
      </c>
      <c r="D100" s="7" t="str">
        <f t="shared" si="8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v>77</v>
      </c>
      <c r="P100" s="46">
        <f t="shared" si="9"/>
        <v>8.7719298245614037E-4</v>
      </c>
      <c r="Q100" s="30">
        <v>80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input_437100!A$2</f>
        <v>437100</v>
      </c>
      <c r="B101" s="2">
        <v>850</v>
      </c>
      <c r="C101" s="7" t="str">
        <f t="shared" si="7"/>
        <v>PremiumSS5R5only</v>
      </c>
      <c r="D101" s="7" t="str">
        <f t="shared" si="8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v>77</v>
      </c>
      <c r="P101" s="46">
        <f t="shared" si="9"/>
        <v>8.7719298245614037E-4</v>
      </c>
      <c r="Q101" s="30">
        <v>80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input_437100!A$2</f>
        <v>437100</v>
      </c>
      <c r="B102" s="2">
        <v>853</v>
      </c>
      <c r="C102" s="7" t="str">
        <f t="shared" si="7"/>
        <v>Premium5R3less</v>
      </c>
      <c r="D102" s="7" t="str">
        <f t="shared" si="8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v>1083</v>
      </c>
      <c r="P102" s="46">
        <f t="shared" si="9"/>
        <v>1.2337662337662338E-2</v>
      </c>
      <c r="Q102" s="30">
        <v>80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input_437100!A$2</f>
        <v>437100</v>
      </c>
      <c r="B103" s="2">
        <v>855</v>
      </c>
      <c r="C103" s="7" t="str">
        <f t="shared" si="7"/>
        <v>Premium5R3less</v>
      </c>
      <c r="D103" s="7" t="str">
        <f t="shared" si="8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v>1083</v>
      </c>
      <c r="P103" s="46">
        <f t="shared" si="9"/>
        <v>1.2337662337662338E-2</v>
      </c>
      <c r="Q103" s="30">
        <v>80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input_437100!A$2</f>
        <v>437100</v>
      </c>
      <c r="B104" s="2">
        <v>863</v>
      </c>
      <c r="C104" s="7" t="str">
        <f t="shared" si="7"/>
        <v>Premium5R3less</v>
      </c>
      <c r="D104" s="7" t="str">
        <f t="shared" si="8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v>1083</v>
      </c>
      <c r="P104" s="46">
        <f t="shared" si="9"/>
        <v>1.2337662337662338E-2</v>
      </c>
      <c r="Q104" s="30">
        <v>80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input_437100!A$2</f>
        <v>437100</v>
      </c>
      <c r="B105" s="2">
        <v>865</v>
      </c>
      <c r="C105" s="7" t="str">
        <f t="shared" si="7"/>
        <v>Premium5R3less</v>
      </c>
      <c r="D105" s="7" t="str">
        <f t="shared" si="8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v>1083</v>
      </c>
      <c r="P105" s="46">
        <f t="shared" si="9"/>
        <v>1.2337662337662338E-2</v>
      </c>
      <c r="Q105" s="30">
        <v>80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input_437100!A$2</f>
        <v>437100</v>
      </c>
      <c r="B106" s="2">
        <v>866</v>
      </c>
      <c r="C106" s="7" t="str">
        <f t="shared" si="7"/>
        <v>PremiumSS5R5only</v>
      </c>
      <c r="D106" s="7" t="str">
        <f t="shared" si="8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v>77</v>
      </c>
      <c r="P106" s="46">
        <f t="shared" si="9"/>
        <v>8.7719298245614037E-4</v>
      </c>
      <c r="Q106" s="30">
        <v>80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input_437100!A$2</f>
        <v>437100</v>
      </c>
      <c r="B107" s="2">
        <v>868</v>
      </c>
      <c r="C107" s="7" t="str">
        <f t="shared" si="7"/>
        <v>PremiumSS5R5only</v>
      </c>
      <c r="D107" s="7" t="str">
        <f t="shared" si="8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v>77</v>
      </c>
      <c r="P107" s="46">
        <f t="shared" si="9"/>
        <v>8.7719298245614037E-4</v>
      </c>
      <c r="Q107" s="30">
        <v>80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input_437100!A$2</f>
        <v>437100</v>
      </c>
      <c r="B108" s="2">
        <v>937</v>
      </c>
      <c r="C108" s="7" t="str">
        <f t="shared" si="7"/>
        <v>PremiumSS5R5only</v>
      </c>
      <c r="D108" s="7" t="str">
        <f t="shared" si="8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v>77</v>
      </c>
      <c r="P108" s="46">
        <f t="shared" si="9"/>
        <v>8.7719298245614037E-4</v>
      </c>
      <c r="Q108" s="30">
        <v>80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input_437100!A$2</f>
        <v>437100</v>
      </c>
      <c r="B109" s="2">
        <v>940</v>
      </c>
      <c r="C109" s="7" t="str">
        <f t="shared" si="7"/>
        <v>Premium5R3less</v>
      </c>
      <c r="D109" s="7" t="str">
        <f t="shared" si="8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v>1083</v>
      </c>
      <c r="P109" s="46">
        <f t="shared" si="9"/>
        <v>1.2337662337662338E-2</v>
      </c>
      <c r="Q109" s="30">
        <v>80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input_437100!A$2</f>
        <v>437100</v>
      </c>
      <c r="B110" s="2">
        <v>941</v>
      </c>
      <c r="C110" s="7" t="str">
        <f t="shared" si="7"/>
        <v>PremiumSS5R5only</v>
      </c>
      <c r="D110" s="7" t="str">
        <f t="shared" si="8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v>77</v>
      </c>
      <c r="P110" s="46">
        <f t="shared" si="9"/>
        <v>8.7719298245614037E-4</v>
      </c>
      <c r="Q110" s="30">
        <v>80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input_437100!A$2</f>
        <v>437100</v>
      </c>
      <c r="B111" s="2">
        <v>943</v>
      </c>
      <c r="C111" s="7" t="str">
        <f t="shared" si="7"/>
        <v>PremiumSS5R5only</v>
      </c>
      <c r="D111" s="7" t="str">
        <f t="shared" si="8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v>77</v>
      </c>
      <c r="P111" s="46">
        <f t="shared" si="9"/>
        <v>8.7719298245614037E-4</v>
      </c>
      <c r="Q111" s="30">
        <v>80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input_437100!A$2</f>
        <v>437100</v>
      </c>
      <c r="B112" s="2">
        <v>1012</v>
      </c>
      <c r="C112" s="7" t="str">
        <f t="shared" si="7"/>
        <v>PremiumSS5R5only</v>
      </c>
      <c r="D112" s="7" t="str">
        <f t="shared" si="8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v>77</v>
      </c>
      <c r="P112" s="46">
        <f t="shared" si="9"/>
        <v>8.7719298245614037E-4</v>
      </c>
      <c r="Q112" s="30">
        <v>80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input_437100!A$2</f>
        <v>437100</v>
      </c>
      <c r="B113" s="2">
        <v>1014</v>
      </c>
      <c r="C113" s="7" t="str">
        <f t="shared" si="7"/>
        <v>PremiumSS5R5only</v>
      </c>
      <c r="D113" s="7" t="str">
        <f t="shared" si="8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v>77</v>
      </c>
      <c r="P113" s="46">
        <f t="shared" si="9"/>
        <v>8.7719298245614037E-4</v>
      </c>
      <c r="Q113" s="30"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input_437100!A$2</f>
        <v>437100</v>
      </c>
      <c r="B114" s="2">
        <v>1017</v>
      </c>
      <c r="C114" s="7" t="str">
        <f t="shared" si="7"/>
        <v>Premium5R3less</v>
      </c>
      <c r="D114" s="7" t="str">
        <f t="shared" si="8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v>1083</v>
      </c>
      <c r="P114" s="46">
        <f t="shared" si="9"/>
        <v>1.2337662337662338E-2</v>
      </c>
      <c r="Q114" s="30">
        <v>80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input_437100!A$2</f>
        <v>437100</v>
      </c>
      <c r="B115" s="2">
        <v>1018</v>
      </c>
      <c r="C115" s="7" t="str">
        <f t="shared" si="7"/>
        <v>PremiumSS5R5only</v>
      </c>
      <c r="D115" s="7" t="str">
        <f t="shared" si="8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v>77</v>
      </c>
      <c r="P115" s="46">
        <f t="shared" si="9"/>
        <v>8.7719298245614037E-4</v>
      </c>
      <c r="Q115" s="30">
        <v>80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input_437100!A$2</f>
        <v>437100</v>
      </c>
      <c r="B116" s="2">
        <v>1027</v>
      </c>
      <c r="C116" s="7" t="str">
        <f t="shared" si="7"/>
        <v>Premium5R3less</v>
      </c>
      <c r="D116" s="7" t="str">
        <f t="shared" si="8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v>1083</v>
      </c>
      <c r="P116" s="46">
        <f t="shared" si="9"/>
        <v>1.2337662337662338E-2</v>
      </c>
      <c r="Q116" s="30">
        <v>80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input_437100!A$2</f>
        <v>437100</v>
      </c>
      <c r="B117" s="2">
        <v>1028</v>
      </c>
      <c r="C117" s="7" t="str">
        <f t="shared" si="7"/>
        <v>PremiumSS5R5only</v>
      </c>
      <c r="D117" s="7" t="str">
        <f t="shared" si="8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v>77</v>
      </c>
      <c r="P117" s="46">
        <f t="shared" si="9"/>
        <v>8.7719298245614037E-4</v>
      </c>
      <c r="Q117" s="30">
        <v>80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input_437100!A$2</f>
        <v>437100</v>
      </c>
      <c r="B118" s="2">
        <v>1031</v>
      </c>
      <c r="C118" s="7" t="str">
        <f t="shared" si="7"/>
        <v>PremiumSS5R5only</v>
      </c>
      <c r="D118" s="7" t="str">
        <f t="shared" si="8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v>77</v>
      </c>
      <c r="P118" s="46">
        <f t="shared" si="9"/>
        <v>8.7719298245614037E-4</v>
      </c>
      <c r="Q118" s="30">
        <v>80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input_437100!A$2</f>
        <v>437100</v>
      </c>
      <c r="B119" s="2">
        <v>1033</v>
      </c>
      <c r="C119" s="7" t="str">
        <f t="shared" si="7"/>
        <v>PremiumSS5R5only</v>
      </c>
      <c r="D119" s="7" t="str">
        <f t="shared" si="8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v>77</v>
      </c>
      <c r="P119" s="46">
        <f t="shared" si="9"/>
        <v>8.7719298245614037E-4</v>
      </c>
      <c r="Q119" s="30">
        <v>80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input_437100!A$2</f>
        <v>437100</v>
      </c>
      <c r="B120" s="2">
        <v>1068</v>
      </c>
      <c r="C120" s="7" t="str">
        <f t="shared" si="7"/>
        <v>Premium5R3less</v>
      </c>
      <c r="D120" s="7" t="str">
        <f t="shared" si="8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v>1083</v>
      </c>
      <c r="P120" s="46">
        <f t="shared" si="9"/>
        <v>1.2337662337662338E-2</v>
      </c>
      <c r="Q120" s="30">
        <v>80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input_437100!A$2</f>
        <v>437100</v>
      </c>
      <c r="B121" s="2">
        <v>1069</v>
      </c>
      <c r="C121" s="7" t="str">
        <f t="shared" si="7"/>
        <v>PremiumSS5R5only</v>
      </c>
      <c r="D121" s="7" t="str">
        <f t="shared" si="8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v>77</v>
      </c>
      <c r="P121" s="46">
        <f t="shared" si="9"/>
        <v>8.7719298245614037E-4</v>
      </c>
      <c r="Q121" s="30">
        <v>80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input_437100!A$2</f>
        <v>437100</v>
      </c>
      <c r="B122" s="2">
        <v>1072</v>
      </c>
      <c r="C122" s="7" t="str">
        <f t="shared" si="7"/>
        <v>PremiumSS5R5only</v>
      </c>
      <c r="D122" s="7" t="str">
        <f t="shared" si="8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v>77</v>
      </c>
      <c r="P122" s="46">
        <f t="shared" si="9"/>
        <v>8.7719298245614037E-4</v>
      </c>
      <c r="Q122" s="30">
        <v>80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input_437100!A$2</f>
        <v>437100</v>
      </c>
      <c r="B123" s="2">
        <v>1074</v>
      </c>
      <c r="C123" s="7" t="str">
        <f t="shared" si="7"/>
        <v>PremiumSS5R5only</v>
      </c>
      <c r="D123" s="7" t="str">
        <f t="shared" si="8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v>77</v>
      </c>
      <c r="P123" s="46">
        <f t="shared" si="9"/>
        <v>8.7719298245614037E-4</v>
      </c>
      <c r="Q123" s="30">
        <v>80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input_437100!A$2</f>
        <v>437100</v>
      </c>
      <c r="B124" s="2">
        <v>1100</v>
      </c>
      <c r="C124" s="7" t="str">
        <f t="shared" si="7"/>
        <v>PremiumSS5R5only</v>
      </c>
      <c r="D124" s="7" t="str">
        <f t="shared" si="8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v>77</v>
      </c>
      <c r="P124" s="46">
        <f t="shared" si="9"/>
        <v>8.7719298245614037E-4</v>
      </c>
      <c r="Q124" s="30">
        <v>80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input_437100!A$2</f>
        <v>437100</v>
      </c>
      <c r="B125" s="2">
        <v>1102</v>
      </c>
      <c r="C125" s="7" t="str">
        <f t="shared" si="7"/>
        <v>PremiumSS5R5only</v>
      </c>
      <c r="D125" s="7" t="str">
        <f t="shared" si="8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v>77</v>
      </c>
      <c r="P125" s="46">
        <f t="shared" si="9"/>
        <v>8.7719298245614037E-4</v>
      </c>
      <c r="Q125" s="30">
        <v>80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input_437100!A$2</f>
        <v>437100</v>
      </c>
      <c r="B126" s="2">
        <v>1105</v>
      </c>
      <c r="C126" s="7" t="str">
        <f t="shared" si="7"/>
        <v>Premium5R3less</v>
      </c>
      <c r="D126" s="7" t="str">
        <f t="shared" si="8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v>1083</v>
      </c>
      <c r="P126" s="46">
        <f t="shared" si="9"/>
        <v>1.2337662337662338E-2</v>
      </c>
      <c r="Q126" s="30">
        <v>80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input_437100!A$2</f>
        <v>437100</v>
      </c>
      <c r="B127" s="2">
        <v>1106</v>
      </c>
      <c r="C127" s="7" t="str">
        <f t="shared" si="7"/>
        <v>PremiumSS5R5only</v>
      </c>
      <c r="D127" s="7" t="str">
        <f t="shared" si="8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v>77</v>
      </c>
      <c r="P127" s="46">
        <f t="shared" si="9"/>
        <v>8.7719298245614037E-4</v>
      </c>
      <c r="Q127" s="30">
        <v>80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input_437100!A$2</f>
        <v>437100</v>
      </c>
      <c r="B128" s="2">
        <v>1137</v>
      </c>
      <c r="C128" s="7" t="str">
        <f t="shared" si="7"/>
        <v>PremiumSS5R5only</v>
      </c>
      <c r="D128" s="7" t="str">
        <f t="shared" si="8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v>77</v>
      </c>
      <c r="P128" s="46">
        <f t="shared" si="9"/>
        <v>8.7719298245614037E-4</v>
      </c>
      <c r="Q128" s="30">
        <v>80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input_437100!A$2</f>
        <v>437100</v>
      </c>
      <c r="B129" s="2">
        <v>1139</v>
      </c>
      <c r="C129" s="7" t="str">
        <f t="shared" si="7"/>
        <v>PremiumSS5R5only</v>
      </c>
      <c r="D129" s="7" t="str">
        <f t="shared" si="8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v>77</v>
      </c>
      <c r="P129" s="46">
        <f t="shared" si="9"/>
        <v>8.7719298245614037E-4</v>
      </c>
      <c r="Q129" s="30">
        <v>80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input_437100!A$2</f>
        <v>437100</v>
      </c>
      <c r="B130" s="2">
        <v>1141</v>
      </c>
      <c r="C130" s="7" t="str">
        <f t="shared" si="7"/>
        <v>PremiumSS5R5only</v>
      </c>
      <c r="D130" s="7" t="str">
        <f t="shared" si="8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v>77</v>
      </c>
      <c r="P130" s="46">
        <f t="shared" ref="P130:P161" si="10">O130/SUM(O:O)</f>
        <v>8.7719298245614037E-4</v>
      </c>
      <c r="Q130" s="30">
        <v>80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input_437100!A$2</f>
        <v>437100</v>
      </c>
      <c r="B131" s="2">
        <v>1144</v>
      </c>
      <c r="C131" s="7" t="str">
        <f t="shared" si="7"/>
        <v>Premium5R3less</v>
      </c>
      <c r="D131" s="7" t="str">
        <f t="shared" si="8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v>1083</v>
      </c>
      <c r="P131" s="46">
        <f t="shared" si="10"/>
        <v>1.2337662337662338E-2</v>
      </c>
      <c r="Q131" s="30">
        <v>80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input_437100!A$2</f>
        <v>437100</v>
      </c>
      <c r="B132" s="2">
        <v>1152</v>
      </c>
      <c r="C132" s="7" t="str">
        <f t="shared" si="7"/>
        <v>Premium5R3less</v>
      </c>
      <c r="D132" s="7" t="str">
        <f t="shared" si="8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v>1083</v>
      </c>
      <c r="P132" s="46">
        <f t="shared" si="10"/>
        <v>1.2337662337662338E-2</v>
      </c>
      <c r="Q132" s="30">
        <v>80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input_437100!A$2</f>
        <v>437100</v>
      </c>
      <c r="B133" s="2">
        <v>1153</v>
      </c>
      <c r="C133" s="7" t="str">
        <f t="shared" si="7"/>
        <v>PremiumSS5R5only</v>
      </c>
      <c r="D133" s="7" t="str">
        <f t="shared" si="8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v>77</v>
      </c>
      <c r="P133" s="46">
        <f t="shared" si="10"/>
        <v>8.7719298245614037E-4</v>
      </c>
      <c r="Q133" s="30">
        <v>80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input_437100!A$2</f>
        <v>437100</v>
      </c>
      <c r="B134" s="2">
        <v>1155</v>
      </c>
      <c r="C134" s="7" t="str">
        <f t="shared" ref="C134:C135" si="11">D134&amp;J134&amp;E134&amp;F134&amp;G134</f>
        <v>PremiumSS5R5only</v>
      </c>
      <c r="D134" s="7" t="str">
        <f t="shared" ref="D134:D135" si="12">IF(OR(I134="PremiumSS",I134="PremiumSSw"),"PremiumSS",IF(I134="PremiumSSS",I134,IF(I134="PremiumW",I134,"Premium")))</f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v>77</v>
      </c>
      <c r="P134" s="46">
        <f t="shared" si="10"/>
        <v>8.7719298245614037E-4</v>
      </c>
      <c r="Q134" s="30">
        <v>80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input_437100!A$2</f>
        <v>437100</v>
      </c>
      <c r="B135" s="2">
        <v>1157</v>
      </c>
      <c r="C135" s="7" t="str">
        <f t="shared" si="11"/>
        <v>PremiumSS5R5only</v>
      </c>
      <c r="D135" s="7" t="str">
        <f t="shared" si="12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v>77</v>
      </c>
      <c r="P135" s="46">
        <f t="shared" si="10"/>
        <v>8.7719298245614037E-4</v>
      </c>
      <c r="Q135" s="30">
        <v>80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input_437010</vt:lpstr>
      <vt:lpstr>tables_437010</vt:lpstr>
      <vt:lpstr>input_437100</vt:lpstr>
      <vt:lpstr>tables_437100</vt:lpstr>
      <vt:lpstr>tables_settle_437100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2016-10-28T03:55:26Z</dcterms:modified>
</cp:coreProperties>
</file>