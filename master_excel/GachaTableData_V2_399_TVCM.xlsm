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5800" tabRatio="943" activeTab="5"/>
  </bookViews>
  <sheets>
    <sheet name="確率の考え方" sheetId="110" r:id="rId1"/>
    <sheet name="Sheet1" sheetId="107" r:id="rId2"/>
    <sheet name="output" sheetId="103" r:id="rId3"/>
    <sheet name="input_399010" sheetId="157" r:id="rId4"/>
    <sheet name="tables_399010" sheetId="158" r:id="rId5"/>
    <sheet name="input_399100" sheetId="153" r:id="rId6"/>
    <sheet name="tables_399100" sheetId="154" r:id="rId7"/>
    <sheet name="tables_settle_399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tables_399010!$A$1:$V$294</definedName>
    <definedName name="_xlnm._FilterDatabase" localSheetId="6" hidden="1">tables_399100!$A$1:$V$294</definedName>
    <definedName name="_xlnm._FilterDatabase" localSheetId="7" hidden="1">tables_settle_399100!$A$1:$V$1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0" i="153" l="1"/>
  <c r="B29" i="153"/>
  <c r="B28" i="153"/>
  <c r="B27" i="153"/>
  <c r="B26" i="153"/>
  <c r="B25" i="153"/>
  <c r="B24" i="153"/>
  <c r="B23" i="153"/>
  <c r="B22" i="153"/>
  <c r="B21" i="153"/>
  <c r="B20" i="153"/>
  <c r="B19" i="153"/>
  <c r="B17" i="153"/>
  <c r="B18" i="153"/>
  <c r="B21" i="157"/>
  <c r="B23" i="157"/>
  <c r="B20" i="157"/>
  <c r="A2" i="157"/>
  <c r="O44" i="158"/>
  <c r="O47" i="158"/>
  <c r="O50" i="158"/>
  <c r="G21" i="157"/>
  <c r="H21" i="157"/>
  <c r="O53" i="158"/>
  <c r="O2" i="158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O42" i="158"/>
  <c r="O43" i="158"/>
  <c r="O45" i="158"/>
  <c r="O46" i="158"/>
  <c r="O48" i="158"/>
  <c r="O49" i="158"/>
  <c r="O51" i="158"/>
  <c r="G20" i="157"/>
  <c r="H20" i="157"/>
  <c r="O52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O138" i="158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B22" i="157"/>
  <c r="G22" i="157"/>
  <c r="H22" i="157"/>
  <c r="O256" i="158"/>
  <c r="G23" i="157"/>
  <c r="H23" i="157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F42" i="157"/>
  <c r="G42" i="157"/>
  <c r="F41" i="157"/>
  <c r="G41" i="157"/>
  <c r="B10" i="153"/>
  <c r="E34" i="153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0" i="154"/>
  <c r="D310" i="154"/>
  <c r="J310" i="154"/>
  <c r="E310" i="154"/>
  <c r="C310" i="154"/>
  <c r="Q3" i="153"/>
  <c r="I311" i="154"/>
  <c r="D311" i="154"/>
  <c r="J311" i="154"/>
  <c r="E311" i="154"/>
  <c r="C311" i="154"/>
  <c r="Q4" i="153"/>
  <c r="I312" i="154"/>
  <c r="D312" i="154"/>
  <c r="J312" i="154"/>
  <c r="E312" i="154"/>
  <c r="C312" i="154"/>
  <c r="Q5" i="153"/>
  <c r="I313" i="154"/>
  <c r="D313" i="154"/>
  <c r="J313" i="154"/>
  <c r="E313" i="154"/>
  <c r="C313" i="154"/>
  <c r="Q6" i="153"/>
  <c r="I314" i="154"/>
  <c r="D314" i="154"/>
  <c r="J314" i="154"/>
  <c r="E314" i="154"/>
  <c r="C314" i="154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9" i="153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F6" i="153"/>
  <c r="E6" i="153"/>
  <c r="E24" i="153"/>
  <c r="E18" i="153"/>
  <c r="E20" i="153"/>
  <c r="B6" i="153"/>
  <c r="E21" i="153"/>
  <c r="E22" i="153"/>
  <c r="E23" i="153"/>
  <c r="E25" i="153"/>
  <c r="E26" i="153"/>
  <c r="E27" i="153"/>
  <c r="F5" i="153"/>
  <c r="E5" i="153"/>
  <c r="E28" i="153"/>
  <c r="E29" i="153"/>
  <c r="B3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E31" i="153"/>
  <c r="F31" i="153"/>
  <c r="D31" i="153"/>
  <c r="E30" i="153"/>
  <c r="F30" i="153"/>
  <c r="D30" i="153"/>
  <c r="F29" i="153"/>
  <c r="D29" i="153"/>
  <c r="F28" i="153"/>
  <c r="D28" i="153"/>
  <c r="F27" i="153"/>
  <c r="D27" i="153"/>
  <c r="F26" i="153"/>
  <c r="D26" i="153"/>
  <c r="F25" i="153"/>
  <c r="D25" i="153"/>
  <c r="F24" i="153"/>
  <c r="D24" i="153"/>
  <c r="F23" i="153"/>
  <c r="D23" i="153"/>
  <c r="F22" i="153"/>
  <c r="D22" i="153"/>
  <c r="F21" i="153"/>
  <c r="D21" i="153"/>
  <c r="F20" i="153"/>
  <c r="D20" i="153"/>
  <c r="F19" i="153"/>
  <c r="D19" i="153"/>
  <c r="F18" i="153"/>
  <c r="C18" i="153"/>
  <c r="D18" i="153"/>
  <c r="E17" i="153"/>
  <c r="F17" i="153"/>
  <c r="C17" i="153"/>
  <c r="D17" i="153"/>
  <c r="F5" i="157"/>
  <c r="F6" i="157"/>
  <c r="A36" i="157"/>
  <c r="B10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8" i="157"/>
  <c r="E19" i="157"/>
  <c r="B19" i="157"/>
  <c r="E24" i="157"/>
  <c r="B24" i="157"/>
  <c r="B17" i="157"/>
  <c r="B18" i="157"/>
  <c r="G18" i="157"/>
  <c r="H18" i="157"/>
  <c r="G17" i="157"/>
  <c r="E17" i="157"/>
  <c r="H17" i="157"/>
  <c r="G24" i="157"/>
  <c r="H24" i="157"/>
  <c r="E25" i="157"/>
  <c r="B25" i="157"/>
  <c r="G25" i="157"/>
  <c r="H25" i="157"/>
  <c r="E26" i="157"/>
  <c r="B26" i="157"/>
  <c r="G26" i="157"/>
  <c r="H26" i="157"/>
  <c r="G19" i="157"/>
  <c r="H19" i="157"/>
  <c r="E21" i="157"/>
  <c r="E5" i="157"/>
  <c r="E27" i="157"/>
  <c r="B27" i="157"/>
  <c r="G27" i="157"/>
  <c r="H27" i="157"/>
  <c r="E28" i="157"/>
  <c r="B28" i="157"/>
  <c r="G28" i="157"/>
  <c r="H28" i="157"/>
  <c r="E22" i="157"/>
  <c r="E23" i="157"/>
  <c r="E29" i="157"/>
  <c r="B29" i="157"/>
  <c r="G29" i="157"/>
  <c r="H29" i="157"/>
  <c r="R3" i="157"/>
  <c r="R4" i="157"/>
  <c r="R5" i="157"/>
  <c r="R6" i="157"/>
  <c r="R7" i="157"/>
  <c r="E34" i="157"/>
  <c r="B7" i="157"/>
  <c r="E20" i="157"/>
  <c r="B6" i="157"/>
  <c r="B30" i="157"/>
  <c r="O3" i="157"/>
  <c r="O4" i="157"/>
  <c r="O5" i="157"/>
  <c r="O6" i="157"/>
  <c r="O7" i="157"/>
  <c r="O8" i="157"/>
  <c r="O9" i="157"/>
  <c r="O10" i="157"/>
  <c r="O11" i="157"/>
  <c r="O12" i="157"/>
  <c r="O13" i="157"/>
  <c r="O14" i="157"/>
  <c r="O15" i="157"/>
  <c r="O16" i="157"/>
  <c r="O17" i="157"/>
  <c r="O18" i="157"/>
  <c r="O19" i="157"/>
  <c r="O20" i="157"/>
  <c r="O3" i="153"/>
  <c r="O4" i="153"/>
  <c r="O5" i="153"/>
  <c r="O6" i="153"/>
  <c r="O7" i="153"/>
  <c r="O8" i="153"/>
  <c r="O9" i="153"/>
  <c r="O10" i="153"/>
  <c r="O11" i="153"/>
  <c r="O12" i="153"/>
  <c r="O13" i="153"/>
  <c r="O14" i="153"/>
  <c r="O15" i="153"/>
  <c r="O16" i="153"/>
  <c r="O17" i="153"/>
  <c r="O18" i="153"/>
  <c r="O19" i="153"/>
  <c r="O20" i="153"/>
  <c r="A2" i="153"/>
  <c r="A36" i="153"/>
  <c r="G18" i="153"/>
  <c r="H18" i="153"/>
  <c r="O3" i="154"/>
  <c r="O5" i="154"/>
  <c r="O7" i="154"/>
  <c r="O9" i="154"/>
  <c r="G17" i="153"/>
  <c r="H17" i="153"/>
  <c r="O2" i="154"/>
  <c r="O4" i="154"/>
  <c r="O6" i="154"/>
  <c r="O8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G22" i="153"/>
  <c r="H22" i="153"/>
  <c r="O256" i="154"/>
  <c r="G23" i="153"/>
  <c r="H23" i="153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R3" i="153"/>
  <c r="O310" i="154"/>
  <c r="R4" i="153"/>
  <c r="O311" i="154"/>
  <c r="R5" i="153"/>
  <c r="O312" i="154"/>
  <c r="R6" i="153"/>
  <c r="O313" i="154"/>
  <c r="R7" i="153"/>
  <c r="O314" i="154"/>
  <c r="F41" i="153"/>
  <c r="G41" i="153"/>
  <c r="I3" i="159"/>
  <c r="E3" i="159"/>
  <c r="I4" i="159"/>
  <c r="E4" i="159"/>
  <c r="I5" i="159"/>
  <c r="E5" i="159"/>
  <c r="I6" i="159"/>
  <c r="E6" i="159"/>
  <c r="I2" i="159"/>
  <c r="E2" i="159"/>
  <c r="P16" i="154"/>
  <c r="F42" i="153"/>
  <c r="D3" i="159"/>
  <c r="D4" i="159"/>
  <c r="D5" i="159"/>
  <c r="D6" i="159"/>
  <c r="D2" i="159"/>
  <c r="F310" i="154"/>
  <c r="H310" i="154"/>
  <c r="K310" i="154"/>
  <c r="L310" i="154"/>
  <c r="M310" i="154"/>
  <c r="N310" i="154"/>
  <c r="F311" i="154"/>
  <c r="F312" i="154"/>
  <c r="F313" i="154"/>
  <c r="F314" i="154"/>
  <c r="G31" i="153"/>
  <c r="H31" i="153"/>
  <c r="G30" i="153"/>
  <c r="H30" i="153"/>
  <c r="P310" i="154"/>
  <c r="H311" i="154"/>
  <c r="K311" i="154"/>
  <c r="L311" i="154"/>
  <c r="M311" i="154"/>
  <c r="N311" i="154"/>
  <c r="P311" i="154"/>
  <c r="H312" i="154"/>
  <c r="K312" i="154"/>
  <c r="L312" i="154"/>
  <c r="M312" i="154"/>
  <c r="N312" i="154"/>
  <c r="P312" i="154"/>
  <c r="H313" i="154"/>
  <c r="K313" i="154"/>
  <c r="L313" i="154"/>
  <c r="M313" i="154"/>
  <c r="N313" i="154"/>
  <c r="P313" i="154"/>
  <c r="H314" i="154"/>
  <c r="K314" i="154"/>
  <c r="L314" i="154"/>
  <c r="M314" i="154"/>
  <c r="N314" i="154"/>
  <c r="P314" i="154"/>
  <c r="A310" i="154"/>
  <c r="A311" i="154"/>
  <c r="A312" i="154"/>
  <c r="A313" i="154"/>
  <c r="A314" i="154"/>
  <c r="F310" i="158"/>
  <c r="H310" i="158"/>
  <c r="K310" i="158"/>
  <c r="L310" i="158"/>
  <c r="M310" i="158"/>
  <c r="N310" i="158"/>
  <c r="F311" i="158"/>
  <c r="F312" i="158"/>
  <c r="F313" i="158"/>
  <c r="F314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G42" i="153"/>
  <c r="F40" i="157"/>
  <c r="G40" i="157"/>
  <c r="A305" i="154"/>
  <c r="F305" i="154"/>
  <c r="H305" i="154"/>
  <c r="K305" i="154"/>
  <c r="L305" i="154"/>
  <c r="M305" i="154"/>
  <c r="N305" i="154"/>
  <c r="F306" i="154"/>
  <c r="F307" i="154"/>
  <c r="F308" i="154"/>
  <c r="F309" i="154"/>
  <c r="P305" i="154"/>
  <c r="A306" i="154"/>
  <c r="H306" i="154"/>
  <c r="K306" i="154"/>
  <c r="L306" i="154"/>
  <c r="M306" i="154"/>
  <c r="N306" i="154"/>
  <c r="P306" i="154"/>
  <c r="A307" i="154"/>
  <c r="H307" i="154"/>
  <c r="K307" i="154"/>
  <c r="L307" i="154"/>
  <c r="M307" i="154"/>
  <c r="N307" i="154"/>
  <c r="P307" i="154"/>
  <c r="A308" i="154"/>
  <c r="H308" i="154"/>
  <c r="K308" i="154"/>
  <c r="L308" i="154"/>
  <c r="M308" i="154"/>
  <c r="N308" i="154"/>
  <c r="P308" i="154"/>
  <c r="A309" i="154"/>
  <c r="H309" i="154"/>
  <c r="K309" i="154"/>
  <c r="L309" i="154"/>
  <c r="M309" i="154"/>
  <c r="N309" i="154"/>
  <c r="P309" i="154"/>
  <c r="A305" i="158"/>
  <c r="F305" i="158"/>
  <c r="H305" i="158"/>
  <c r="K305" i="158"/>
  <c r="L305" i="158"/>
  <c r="M305" i="158"/>
  <c r="N305" i="158"/>
  <c r="F306" i="158"/>
  <c r="F307" i="158"/>
  <c r="F308" i="158"/>
  <c r="F309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O2" i="159"/>
  <c r="O3" i="159"/>
  <c r="P6" i="159"/>
  <c r="N6" i="159"/>
  <c r="M6" i="159"/>
  <c r="L6" i="159"/>
  <c r="K6" i="159"/>
  <c r="J6" i="159"/>
  <c r="H6" i="159"/>
  <c r="F6" i="159"/>
  <c r="C6" i="159"/>
  <c r="A6" i="159"/>
  <c r="P5" i="159"/>
  <c r="N5" i="159"/>
  <c r="M5" i="159"/>
  <c r="L5" i="159"/>
  <c r="K5" i="159"/>
  <c r="J5" i="159"/>
  <c r="H5" i="159"/>
  <c r="F5" i="159"/>
  <c r="C5" i="159"/>
  <c r="A5" i="159"/>
  <c r="P4" i="159"/>
  <c r="N4" i="159"/>
  <c r="M4" i="159"/>
  <c r="L4" i="159"/>
  <c r="K4" i="159"/>
  <c r="J4" i="159"/>
  <c r="H4" i="159"/>
  <c r="F4" i="159"/>
  <c r="C4" i="159"/>
  <c r="A4" i="159"/>
  <c r="P3" i="159"/>
  <c r="N3" i="159"/>
  <c r="M3" i="159"/>
  <c r="L3" i="159"/>
  <c r="K3" i="159"/>
  <c r="J3" i="159"/>
  <c r="H3" i="159"/>
  <c r="F3" i="159"/>
  <c r="C3" i="159"/>
  <c r="A3" i="159"/>
  <c r="P2" i="159"/>
  <c r="N2" i="159"/>
  <c r="M2" i="159"/>
  <c r="L2" i="159"/>
  <c r="K2" i="159"/>
  <c r="J2" i="159"/>
  <c r="H2" i="159"/>
  <c r="F2" i="159"/>
  <c r="C2" i="159"/>
  <c r="A2" i="159"/>
  <c r="A300" i="154"/>
  <c r="F300" i="154"/>
  <c r="H300" i="154"/>
  <c r="K300" i="154"/>
  <c r="L300" i="154"/>
  <c r="M300" i="154"/>
  <c r="N300" i="154"/>
  <c r="F301" i="154"/>
  <c r="F302" i="154"/>
  <c r="F303" i="154"/>
  <c r="F304" i="154"/>
  <c r="P300" i="154"/>
  <c r="A301" i="154"/>
  <c r="H301" i="154"/>
  <c r="K301" i="154"/>
  <c r="L301" i="154"/>
  <c r="M301" i="154"/>
  <c r="N301" i="154"/>
  <c r="P301" i="154"/>
  <c r="A302" i="154"/>
  <c r="H302" i="154"/>
  <c r="K302" i="154"/>
  <c r="L302" i="154"/>
  <c r="M302" i="154"/>
  <c r="N302" i="154"/>
  <c r="P302" i="154"/>
  <c r="A303" i="154"/>
  <c r="H303" i="154"/>
  <c r="K303" i="154"/>
  <c r="L303" i="154"/>
  <c r="M303" i="154"/>
  <c r="N303" i="154"/>
  <c r="P303" i="154"/>
  <c r="A304" i="154"/>
  <c r="H304" i="154"/>
  <c r="K304" i="154"/>
  <c r="L304" i="154"/>
  <c r="M304" i="154"/>
  <c r="N304" i="154"/>
  <c r="P304" i="154"/>
  <c r="A300" i="158"/>
  <c r="F300" i="158"/>
  <c r="H300" i="158"/>
  <c r="K300" i="158"/>
  <c r="L300" i="158"/>
  <c r="M300" i="158"/>
  <c r="N300" i="158"/>
  <c r="F301" i="158"/>
  <c r="F302" i="158"/>
  <c r="F303" i="158"/>
  <c r="F304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F295" i="154"/>
  <c r="H295" i="154"/>
  <c r="K295" i="154"/>
  <c r="L295" i="154"/>
  <c r="M295" i="154"/>
  <c r="N295" i="154"/>
  <c r="F296" i="154"/>
  <c r="F297" i="154"/>
  <c r="F298" i="154"/>
  <c r="F299" i="154"/>
  <c r="P295" i="154"/>
  <c r="A296" i="154"/>
  <c r="H296" i="154"/>
  <c r="K296" i="154"/>
  <c r="L296" i="154"/>
  <c r="M296" i="154"/>
  <c r="N296" i="154"/>
  <c r="P296" i="154"/>
  <c r="A297" i="154"/>
  <c r="H297" i="154"/>
  <c r="K297" i="154"/>
  <c r="L297" i="154"/>
  <c r="M297" i="154"/>
  <c r="N297" i="154"/>
  <c r="P297" i="154"/>
  <c r="A298" i="154"/>
  <c r="H298" i="154"/>
  <c r="K298" i="154"/>
  <c r="L298" i="154"/>
  <c r="M298" i="154"/>
  <c r="N298" i="154"/>
  <c r="P298" i="154"/>
  <c r="A299" i="154"/>
  <c r="H299" i="154"/>
  <c r="K299" i="154"/>
  <c r="L299" i="154"/>
  <c r="M299" i="154"/>
  <c r="N299" i="154"/>
  <c r="P299" i="154"/>
  <c r="A295" i="158"/>
  <c r="F295" i="158"/>
  <c r="H295" i="158"/>
  <c r="K295" i="158"/>
  <c r="L295" i="158"/>
  <c r="M295" i="158"/>
  <c r="N295" i="158"/>
  <c r="F296" i="158"/>
  <c r="F297" i="158"/>
  <c r="F298" i="158"/>
  <c r="F299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R8" i="153"/>
  <c r="R9" i="153"/>
  <c r="R10" i="153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" i="154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0" i="157"/>
  <c r="B42" i="157"/>
  <c r="B43" i="157"/>
  <c r="B44" i="157"/>
  <c r="B45" i="157"/>
  <c r="B46" i="157"/>
  <c r="I31" i="157"/>
  <c r="J31" i="157"/>
  <c r="F31" i="157"/>
  <c r="D31" i="157"/>
  <c r="I30" i="157"/>
  <c r="J30" i="157"/>
  <c r="F30" i="157"/>
  <c r="D30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M20" i="157"/>
  <c r="R19" i="157"/>
  <c r="P19" i="157"/>
  <c r="M19" i="157"/>
  <c r="I19" i="157"/>
  <c r="J19" i="157"/>
  <c r="F19" i="157"/>
  <c r="D19" i="157"/>
  <c r="R18" i="157"/>
  <c r="P18" i="157"/>
  <c r="M18" i="157"/>
  <c r="C18" i="157"/>
  <c r="R17" i="157"/>
  <c r="P17" i="157"/>
  <c r="M17" i="157"/>
  <c r="I17" i="157"/>
  <c r="J17" i="157"/>
  <c r="F17" i="157"/>
  <c r="C17" i="157"/>
  <c r="D17" i="157"/>
  <c r="V16" i="157"/>
  <c r="R16" i="157"/>
  <c r="P16" i="157"/>
  <c r="M16" i="157"/>
  <c r="V15" i="157"/>
  <c r="R15" i="157"/>
  <c r="P15" i="157"/>
  <c r="M15" i="157"/>
  <c r="V14" i="157"/>
  <c r="R14" i="157"/>
  <c r="P14" i="157"/>
  <c r="M14" i="157"/>
  <c r="V13" i="157"/>
  <c r="R13" i="157"/>
  <c r="P13" i="157"/>
  <c r="M13" i="157"/>
  <c r="V12" i="157"/>
  <c r="R12" i="157"/>
  <c r="P12" i="157"/>
  <c r="M12" i="157"/>
  <c r="V11" i="157"/>
  <c r="R11" i="157"/>
  <c r="P11" i="157"/>
  <c r="M11" i="157"/>
  <c r="V10" i="157"/>
  <c r="P10" i="157"/>
  <c r="M10" i="157"/>
  <c r="V9" i="157"/>
  <c r="P9" i="157"/>
  <c r="M9" i="157"/>
  <c r="V8" i="157"/>
  <c r="P8" i="157"/>
  <c r="M8" i="157"/>
  <c r="V7" i="157"/>
  <c r="P7" i="157"/>
  <c r="M7" i="157"/>
  <c r="V6" i="157"/>
  <c r="P6" i="157"/>
  <c r="M6" i="157"/>
  <c r="V5" i="157"/>
  <c r="P5" i="157"/>
  <c r="M5" i="157"/>
  <c r="V4" i="157"/>
  <c r="P4" i="157"/>
  <c r="M4" i="157"/>
  <c r="V3" i="157"/>
  <c r="P3" i="157"/>
  <c r="M3" i="157"/>
  <c r="V2" i="157"/>
  <c r="A285" i="154"/>
  <c r="H285" i="154"/>
  <c r="K285" i="154"/>
  <c r="L285" i="154"/>
  <c r="M285" i="154"/>
  <c r="N285" i="154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F40" i="153"/>
  <c r="G40" i="153"/>
  <c r="I31" i="153"/>
  <c r="J31" i="153"/>
  <c r="I30" i="153"/>
  <c r="J30" i="153"/>
  <c r="I29" i="153"/>
  <c r="J29" i="153"/>
  <c r="I28" i="153"/>
  <c r="J28" i="153"/>
  <c r="I27" i="153"/>
  <c r="J27" i="153"/>
  <c r="I26" i="153"/>
  <c r="J26" i="153"/>
  <c r="I25" i="153"/>
  <c r="J25" i="153"/>
  <c r="I24" i="153"/>
  <c r="J24" i="153"/>
  <c r="I23" i="153"/>
  <c r="J23" i="153"/>
  <c r="I22" i="153"/>
  <c r="J22" i="153"/>
  <c r="I21" i="153"/>
  <c r="J21" i="153"/>
  <c r="R20" i="153"/>
  <c r="P20" i="153"/>
  <c r="M20" i="153"/>
  <c r="I20" i="153"/>
  <c r="J20" i="153"/>
  <c r="R19" i="153"/>
  <c r="P19" i="153"/>
  <c r="M19" i="153"/>
  <c r="I19" i="153"/>
  <c r="J19" i="153"/>
  <c r="R18" i="153"/>
  <c r="P18" i="153"/>
  <c r="M18" i="153"/>
  <c r="I18" i="153"/>
  <c r="J18" i="153"/>
  <c r="R17" i="153"/>
  <c r="P17" i="153"/>
  <c r="M17" i="153"/>
  <c r="I17" i="153"/>
  <c r="J17" i="153"/>
  <c r="V16" i="153"/>
  <c r="R16" i="153"/>
  <c r="P16" i="153"/>
  <c r="M16" i="153"/>
  <c r="V15" i="153"/>
  <c r="R15" i="153"/>
  <c r="P15" i="153"/>
  <c r="M15" i="153"/>
  <c r="V14" i="153"/>
  <c r="R14" i="153"/>
  <c r="P14" i="153"/>
  <c r="M14" i="153"/>
  <c r="V13" i="153"/>
  <c r="R13" i="153"/>
  <c r="P13" i="153"/>
  <c r="M13" i="153"/>
  <c r="V12" i="153"/>
  <c r="R12" i="153"/>
  <c r="P12" i="153"/>
  <c r="M12" i="153"/>
  <c r="V11" i="153"/>
  <c r="R11" i="153"/>
  <c r="P11" i="153"/>
  <c r="M11" i="153"/>
  <c r="V10" i="153"/>
  <c r="P10" i="153"/>
  <c r="M10" i="153"/>
  <c r="V9" i="153"/>
  <c r="P9" i="153"/>
  <c r="M9" i="153"/>
  <c r="V8" i="153"/>
  <c r="P8" i="153"/>
  <c r="M8" i="153"/>
  <c r="V7" i="153"/>
  <c r="P7" i="153"/>
  <c r="M7" i="153"/>
  <c r="V6" i="153"/>
  <c r="P6" i="153"/>
  <c r="M6" i="153"/>
  <c r="V5" i="153"/>
  <c r="P5" i="153"/>
  <c r="M5" i="153"/>
  <c r="V4" i="153"/>
  <c r="P4" i="153"/>
  <c r="M4" i="153"/>
  <c r="V3" i="153"/>
  <c r="P3" i="153"/>
  <c r="M3" i="153"/>
  <c r="V2" i="153"/>
  <c r="C7" i="103"/>
  <c r="E7" i="103"/>
  <c r="C4" i="103"/>
  <c r="E4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9" i="157"/>
  <c r="F29" i="157"/>
  <c r="I29" i="157"/>
  <c r="J29" i="157"/>
  <c r="I18" i="157"/>
  <c r="J18" i="157"/>
  <c r="F18" i="157"/>
  <c r="D18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F48" i="157"/>
  <c r="F47" i="157"/>
  <c r="F46" i="157"/>
  <c r="F45" i="157"/>
  <c r="B32" i="157"/>
  <c r="D32" i="157"/>
  <c r="D20" i="157"/>
  <c r="F20" i="157"/>
  <c r="I20" i="157"/>
  <c r="J20" i="157"/>
  <c r="B41" i="157"/>
  <c r="B47" i="157"/>
  <c r="C40" i="157"/>
  <c r="C41" i="157"/>
  <c r="C42" i="157"/>
  <c r="C43" i="157"/>
  <c r="C44" i="157"/>
  <c r="C45" i="157"/>
  <c r="C46" i="157"/>
  <c r="C47" i="157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<sst xmlns="http://schemas.openxmlformats.org/spreadsheetml/2006/main" count="533" uniqueCount="253">
  <si>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</si>
  <si>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</si>
  <si>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</si>
  <si>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</si>
  <si>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</si>
  <si>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</si>
  <si>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</si>
  <si>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</si>
  <si>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</si>
  <si>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</si>
  <si>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</si>
  <si>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</si>
  <si>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</si>
  <si>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</si>
  <si>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</si>
  <si>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</si>
  <si>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</si>
  <si>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</si>
  <si>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</si>
  <si>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</si>
  <si>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</si>
  <si>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</si>
  <si>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</si>
  <si>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</si>
  <si>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</si>
  <si>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</si>
  <si>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</si>
  <si>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</si>
  <si>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</si>
  <si>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</si>
  <si>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</si>
  <si>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</si>
  <si>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</si>
  <si>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</si>
  <si>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</si>
  <si>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</si>
  <si>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</si>
  <si>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</si>
  <si>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</si>
  <si>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</si>
  <si>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</si>
  <si>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</si>
  <si>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</si>
  <si>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</si>
  <si>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</si>
  <si>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</si>
  <si>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</si>
  <si>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</si>
  <si>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</si>
  <si>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</si>
  <si>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</si>
  <si>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</si>
  <si>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</si>
  <si>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</si>
  <si>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</si>
  <si>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</si>
  <si>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</si>
  <si>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</si>
  <si>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</si>
  <si>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</si>
  <si>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</si>
  <si>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</si>
  <si>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</si>
  <si>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</si>
  <si>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</si>
  <si>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</si>
  <si>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</si>
  <si>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</si>
  <si>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</si>
  <si>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</si>
  <si>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</si>
  <si>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</si>
  <si>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</si>
  <si>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</si>
  <si>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</si>
  <si>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</si>
  <si>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</si>
  <si>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</si>
  <si>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</si>
  <si>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</si>
  <si>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</si>
  <si>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</si>
  <si>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</si>
  <si>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</si>
  <si>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</si>
  <si>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</si>
  <si>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</si>
  <si>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</si>
  <si>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</si>
  <si>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</si>
  <si>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</si>
  <si>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</si>
  <si>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</si>
  <si>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</si>
  <si>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</si>
  <si>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</si>
  <si>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</si>
  <si>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</si>
  <si>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</si>
  <si>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</si>
  <si>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</si>
  <si>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</si>
  <si>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</si>
  <si>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</si>
  <si>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</si>
  <si>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</si>
  <si>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</si>
  <si>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</si>
  <si>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</si>
  <si>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</si>
  <si>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</si>
  <si>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</si>
  <si>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</si>
  <si>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</si>
  <si>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</si>
  <si>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</si>
  <si>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</si>
  <si>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</si>
  <si>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</si>
  <si>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</si>
  <si>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</si>
  <si>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</si>
  <si>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</si>
  <si>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</si>
  <si>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</si>
  <si>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</si>
  <si>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</si>
  <si>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</si>
  <si>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</si>
  <si>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</si>
  <si>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</si>
  <si>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</si>
  <si>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</si>
  <si>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</si>
  <si>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</si>
  <si>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</si>
  <si>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</si>
  <si>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</si>
  <si>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</si>
  <si>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</si>
  <si>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</si>
  <si>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</si>
  <si>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</si>
  <si>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</si>
  <si>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</si>
  <si>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</si>
  <si>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</si>
  <si>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</si>
  <si>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</si>
  <si>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</si>
  <si>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</si>
  <si>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</si>
  <si>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</si>
  <si>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</si>
  <si>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</si>
  <si>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</si>
  <si>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</si>
  <si>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</si>
  <si>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</si>
  <si>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</si>
  <si>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</si>
  <si>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</si>
  <si>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</si>
  <si>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</si>
  <si>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</si>
  <si>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</si>
  <si>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</si>
  <si>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</si>
  <si>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</si>
  <si>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</si>
  <si>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</si>
  <si>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</si>
  <si>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</si>
  <si>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</si>
  <si>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</si>
  <si>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</si>
  <si>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</si>
  <si>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</si>
  <si>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</si>
  <si>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</si>
  <si>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</si>
  <si>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</si>
  <si>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</si>
  <si>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</si>
  <si>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</si>
  <si>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</si>
  <si>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</si>
  <si>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</si>
  <si>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</si>
  <si>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</si>
  <si>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</si>
  <si>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</si>
  <si>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</si>
  <si>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</si>
  <si>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</si>
  <si>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</si>
  <si>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</si>
  <si>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</si>
  <si>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</si>
  <si>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</si>
  <si>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</si>
  <si>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</si>
  <si>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</si>
  <si>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</si>
  <si>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</si>
  <si>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</si>
  <si>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</si>
  <si>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</si>
  <si>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</si>
  <si>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</si>
  <si>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</si>
  <si>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</si>
  <si>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</si>
  <si>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gacha_settle_tables_</t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</si>
  <si>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</si>
  <si>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</si>
  <si>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</si>
  <si>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</si>
  <si>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</si>
  <si>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</si>
  <si>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</si>
  <si>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</si>
  <si>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</si>
  <si>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</si>
  <si>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</si>
  <si>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</si>
  <si>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</si>
  <si>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</si>
  <si>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</si>
  <si>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</si>
  <si>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</si>
  <si>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</si>
  <si>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</si>
  <si>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</si>
  <si>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</si>
  <si>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</si>
  <si>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</si>
  <si>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</si>
  <si>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</si>
  <si>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</si>
  <si>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</si>
  <si>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</si>
  <si>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</si>
  <si>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</si>
  <si>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</si>
  <si>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</si>
  <si>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</si>
  <si>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</si>
  <si>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</si>
  <si>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tables_settle_397100</t>
    <phoneticPr fontId="22"/>
  </si>
  <si>
    <t>skip</t>
    <phoneticPr fontId="22"/>
  </si>
  <si>
    <t>tables_399100</t>
    <phoneticPr fontId="22"/>
  </si>
  <si>
    <t>tables_399010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</si>
</sst>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000%"/>
    <numFmt numFmtId="184" formatCode="0.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</cellStyleXfs>
  <cellXfs count="103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8" fillId="0" borderId="1" xfId="2978" applyFont="1" applyBorder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6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27" fillId="33" borderId="1" xfId="2" applyFont="1" applyFill="1" applyBorder="1" applyAlignment="1">
      <alignment vertical="center"/>
    </xf>
    <xf numFmtId="0" fontId="5" fillId="0" borderId="1" xfId="3036" applyFont="1" applyBorder="1"/>
    <xf numFmtId="0" fontId="4" fillId="0" borderId="1" xfId="3036" applyFont="1" applyBorder="1"/>
    <xf numFmtId="0" fontId="3" fillId="4" borderId="1" xfId="2978" applyFont="1" applyFill="1" applyBorder="1"/>
    <xf numFmtId="177" fontId="0" fillId="0" borderId="0" xfId="0" applyNumberFormat="1"/>
    <xf numFmtId="0" fontId="2" fillId="0" borderId="1" xfId="3036" applyFont="1" applyBorder="1"/>
    <xf numFmtId="0" fontId="2" fillId="4" borderId="1" xfId="2978" applyFont="1" applyFill="1" applyBorder="1"/>
    <xf numFmtId="183" fontId="0" fillId="4" borderId="1" xfId="0" applyNumberFormat="1" applyFill="1" applyBorder="1"/>
    <xf numFmtId="183" fontId="0" fillId="0" borderId="0" xfId="0" applyNumberFormat="1"/>
    <xf numFmtId="184" fontId="0" fillId="0" borderId="0" xfId="0" applyNumberFormat="1"/>
    <xf numFmtId="177" fontId="0" fillId="0" borderId="1" xfId="0" applyNumberFormat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クリムト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4</v>
          </cell>
          <cell r="J1107" t="str">
            <v>PremiumS</v>
          </cell>
          <cell r="K1107" t="str">
            <v>technical</v>
          </cell>
          <cell r="L1107" t="str">
            <v>テクニカルタイプ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5</v>
          </cell>
          <cell r="J1108" t="str">
            <v>PremiumS</v>
          </cell>
          <cell r="K1108" t="str">
            <v>technical</v>
          </cell>
          <cell r="L1108" t="str">
            <v>テクニカルタイプ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6</v>
          </cell>
          <cell r="J1130" t="str">
            <v>PremiumSS</v>
          </cell>
          <cell r="K1130" t="str">
            <v>balance</v>
          </cell>
          <cell r="L1130" t="str">
            <v>バランスタイプ</v>
          </cell>
          <cell r="M1130" t="str">
            <v>academia</v>
          </cell>
        </row>
        <row r="1131">
          <cell r="A1131">
            <v>1130</v>
          </cell>
          <cell r="B1131" t="str">
            <v>ja</v>
          </cell>
          <cell r="C1131" t="str">
            <v>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green</v>
          </cell>
          <cell r="I1131">
            <v>6</v>
          </cell>
          <cell r="J1131" t="str">
            <v>PremiumSS</v>
          </cell>
          <cell r="K1131" t="str">
            <v>balance</v>
          </cell>
          <cell r="L1131" t="str">
            <v>バランスタイプ</v>
          </cell>
          <cell r="M1131" t="str">
            <v>academia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blue</v>
          </cell>
          <cell r="I1132">
            <v>6</v>
          </cell>
          <cell r="J1132" t="str">
            <v>PremiumSS</v>
          </cell>
          <cell r="K1132" t="str">
            <v>balance</v>
          </cell>
          <cell r="L1132" t="str">
            <v>バランスタイプ</v>
          </cell>
          <cell r="M1132" t="str">
            <v>academia</v>
          </cell>
        </row>
        <row r="1133">
          <cell r="A1133">
            <v>1132</v>
          </cell>
          <cell r="B1133" t="str">
            <v>ja</v>
          </cell>
          <cell r="C1133" t="str">
            <v>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yellow</v>
          </cell>
          <cell r="I1133">
            <v>6</v>
          </cell>
          <cell r="J1133" t="str">
            <v>PremiumSS</v>
          </cell>
          <cell r="K1133" t="str">
            <v>balance</v>
          </cell>
          <cell r="L1133" t="str">
            <v>バランスタイプ</v>
          </cell>
          <cell r="M1133" t="str">
            <v>academia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red</v>
          </cell>
          <cell r="I1134">
            <v>6</v>
          </cell>
          <cell r="J1134" t="str">
            <v>PremiumSS</v>
          </cell>
          <cell r="K1134" t="str">
            <v>balance</v>
          </cell>
          <cell r="L1134" t="str">
            <v>バランスタイプ</v>
          </cell>
          <cell r="M1134" t="str">
            <v>academia</v>
          </cell>
        </row>
        <row r="1135">
          <cell r="A1135">
            <v>1134</v>
          </cell>
          <cell r="B1135" t="str">
            <v>ja</v>
          </cell>
          <cell r="C1135" t="str">
            <v>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green</v>
          </cell>
          <cell r="I1135">
            <v>6</v>
          </cell>
          <cell r="J1135" t="str">
            <v>PremiumSS</v>
          </cell>
          <cell r="K1135" t="str">
            <v>balance</v>
          </cell>
          <cell r="L1135" t="str">
            <v>バランスタイプ</v>
          </cell>
          <cell r="M1135" t="str">
            <v>academia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blue</v>
          </cell>
          <cell r="I1136">
            <v>6</v>
          </cell>
          <cell r="J1136" t="str">
            <v>PremiumSS</v>
          </cell>
          <cell r="K1136" t="str">
            <v>balance</v>
          </cell>
          <cell r="L1136" t="str">
            <v>バランスタイプ</v>
          </cell>
          <cell r="M1136" t="str">
            <v>academia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yellow</v>
          </cell>
          <cell r="I1137">
            <v>6</v>
          </cell>
          <cell r="J1137" t="str">
            <v>PremiumSS</v>
          </cell>
          <cell r="K1137" t="str">
            <v>balance</v>
          </cell>
          <cell r="L1137" t="str">
            <v>バランスタイプ</v>
          </cell>
          <cell r="M1137" t="str">
            <v>academia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6</v>
          </cell>
          <cell r="J1138" t="str">
            <v>PremiumSS</v>
          </cell>
          <cell r="K1138" t="str">
            <v>balance</v>
          </cell>
          <cell r="L1138" t="str">
            <v>バランスタイプ</v>
          </cell>
          <cell r="M1138" t="str">
            <v>academia</v>
          </cell>
        </row>
        <row r="1139">
          <cell r="A1139">
            <v>1138</v>
          </cell>
          <cell r="B1139" t="str">
            <v>ja</v>
          </cell>
          <cell r="C1139" t="str">
            <v>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green</v>
          </cell>
          <cell r="I1139">
            <v>6</v>
          </cell>
          <cell r="J1139" t="str">
            <v>PremiumSS</v>
          </cell>
          <cell r="K1139" t="str">
            <v>balance</v>
          </cell>
          <cell r="L1139" t="str">
            <v>バランスタイプ</v>
          </cell>
          <cell r="M1139" t="str">
            <v>academia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blue</v>
          </cell>
          <cell r="I1140">
            <v>6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academia</v>
          </cell>
        </row>
        <row r="1141">
          <cell r="A1141">
            <v>1140</v>
          </cell>
          <cell r="B1141" t="str">
            <v>ja</v>
          </cell>
          <cell r="C1141" t="str">
            <v>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yellow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academia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red</v>
          </cell>
          <cell r="I1142">
            <v>6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academia</v>
          </cell>
        </row>
        <row r="1143">
          <cell r="A1143">
            <v>1142</v>
          </cell>
          <cell r="B1143" t="str">
            <v>ja</v>
          </cell>
          <cell r="C1143" t="str">
            <v>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green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academia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blue</v>
          </cell>
          <cell r="I1144">
            <v>6</v>
          </cell>
          <cell r="J1144" t="str">
            <v>PremiumSS</v>
          </cell>
          <cell r="K1144" t="str">
            <v>balance</v>
          </cell>
          <cell r="L1144" t="str">
            <v>バランスタイプ</v>
          </cell>
          <cell r="M1144" t="str">
            <v>academia</v>
          </cell>
        </row>
        <row r="1145">
          <cell r="A1145">
            <v>1144</v>
          </cell>
          <cell r="B1145" t="str">
            <v>ja</v>
          </cell>
          <cell r="C1145" t="str">
            <v>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6</v>
          </cell>
          <cell r="J1145" t="str">
            <v>PremiumSS</v>
          </cell>
          <cell r="K1145" t="str">
            <v>balance</v>
          </cell>
          <cell r="L1145" t="str">
            <v>バランスタイプ</v>
          </cell>
          <cell r="M1145" t="str">
            <v>academia</v>
          </cell>
        </row>
        <row r="1146">
          <cell r="A1146">
            <v>1179</v>
          </cell>
          <cell r="B1146" t="str">
            <v>ja</v>
          </cell>
          <cell r="C1146" t="str">
            <v>厳核なる巨大炉 ハイゼンベルク</v>
          </cell>
          <cell r="D1146" t="str">
            <v>各属性相性良3・黄・R558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green</v>
          </cell>
          <cell r="I1146">
            <v>6</v>
          </cell>
          <cell r="J1146" t="str">
            <v>PremiumSSS</v>
          </cell>
          <cell r="K1146" t="str">
            <v>attack</v>
          </cell>
          <cell r="L1146" t="str">
            <v>攻撃タイプ</v>
          </cell>
          <cell r="M1146" t="str">
            <v>academia</v>
          </cell>
        </row>
        <row r="1147">
          <cell r="A1147">
            <v>1185</v>
          </cell>
          <cell r="B1147" t="str">
            <v>ja</v>
          </cell>
          <cell r="C1147" t="str">
            <v>兆銀河団の星観者 ハーシェル</v>
          </cell>
          <cell r="D1147" t="str">
            <v>超覚醒ハーシェル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6</v>
          </cell>
          <cell r="J1147" t="str">
            <v>PremiumSSS</v>
          </cell>
          <cell r="K1147" t="str">
            <v>heal</v>
          </cell>
          <cell r="L1147" t="str">
            <v>回復タイプ</v>
          </cell>
          <cell r="M1147" t="str">
            <v>academia</v>
          </cell>
        </row>
        <row r="1148">
          <cell r="A1148">
            <v>6001</v>
          </cell>
          <cell r="B1148" t="str">
            <v>ja</v>
          </cell>
          <cell r="C1148" t="str">
            <v>ジェリー</v>
          </cell>
          <cell r="D1148" t="str">
            <v>ノーマルクエスト</v>
          </cell>
          <cell r="E1148" t="str">
            <v>QoH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1</v>
          </cell>
          <cell r="J1148" t="str">
            <v>Drop1T</v>
          </cell>
          <cell r="K1148" t="str">
            <v>ra</v>
          </cell>
          <cell r="L1148" t="str">
            <v>ラグランジュチャレンジ</v>
          </cell>
          <cell r="M1148" t="str">
            <v>unknown</v>
          </cell>
        </row>
        <row r="1149">
          <cell r="A1149">
            <v>6002</v>
          </cell>
          <cell r="B1149" t="str">
            <v>ja</v>
          </cell>
          <cell r="C1149" t="str">
            <v>ヨシタカ</v>
          </cell>
          <cell r="D1149" t="str">
            <v>ノーマルクエスト</v>
          </cell>
          <cell r="E1149" t="str">
            <v>アバター</v>
          </cell>
          <cell r="F1149" t="str">
            <v>世界観</v>
          </cell>
          <cell r="G1149" t="str">
            <v>男性</v>
          </cell>
          <cell r="H1149" t="str">
            <v>red</v>
          </cell>
          <cell r="I1149">
            <v>2</v>
          </cell>
          <cell r="J1149" t="str">
            <v>Drop1N</v>
          </cell>
          <cell r="K1149" t="str">
            <v>ra</v>
          </cell>
          <cell r="L1149" t="str">
            <v>ラグランジュチャレンジ</v>
          </cell>
          <cell r="M1149" t="str">
            <v>human</v>
          </cell>
        </row>
        <row r="1150">
          <cell r="A1150">
            <v>6003</v>
          </cell>
          <cell r="B1150" t="str">
            <v>ja</v>
          </cell>
          <cell r="C1150" t="str">
            <v>朱雀</v>
          </cell>
          <cell r="D1150" t="str">
            <v>リンクガチャ:4神</v>
          </cell>
          <cell r="E1150" t="str">
            <v>守護神</v>
          </cell>
          <cell r="F1150" t="str">
            <v>格好いい</v>
          </cell>
          <cell r="G1150" t="str">
            <v>不明</v>
          </cell>
          <cell r="H1150" t="str">
            <v>red</v>
          </cell>
          <cell r="I1150">
            <v>3</v>
          </cell>
          <cell r="J1150" t="str">
            <v>Drop2N</v>
          </cell>
          <cell r="K1150" t="str">
            <v>ra</v>
          </cell>
          <cell r="L1150" t="str">
            <v>ラグランジュチャレンジ</v>
          </cell>
          <cell r="M1150" t="str">
            <v>animal</v>
          </cell>
        </row>
        <row r="1151">
          <cell r="A1151">
            <v>6004</v>
          </cell>
          <cell r="B1151" t="str">
            <v>ja</v>
          </cell>
          <cell r="C1151" t="str">
            <v>ブレット</v>
          </cell>
          <cell r="D1151" t="str">
            <v>ノーマルクエスト</v>
          </cell>
          <cell r="E1151" t="str">
            <v>アバター</v>
          </cell>
          <cell r="F1151" t="str">
            <v>世界観</v>
          </cell>
          <cell r="G1151" t="str">
            <v>不明</v>
          </cell>
          <cell r="H1151" t="str">
            <v>red</v>
          </cell>
          <cell r="I1151">
            <v>1</v>
          </cell>
          <cell r="J1151" t="str">
            <v>Drop1W</v>
          </cell>
          <cell r="K1151" t="str">
            <v>ra</v>
          </cell>
          <cell r="L1151" t="str">
            <v>ラグランジュチャレンジ</v>
          </cell>
          <cell r="M1151" t="str">
            <v>animal</v>
          </cell>
        </row>
        <row r="1152">
          <cell r="A1152">
            <v>6005</v>
          </cell>
          <cell r="B1152" t="str">
            <v>ja</v>
          </cell>
          <cell r="C1152" t="str">
            <v>孤神 テティス</v>
          </cell>
          <cell r="D1152" t="str">
            <v>初期ガチャ</v>
          </cell>
          <cell r="E1152" t="str">
            <v>管理者</v>
          </cell>
          <cell r="F1152" t="str">
            <v>美しい</v>
          </cell>
          <cell r="G1152" t="str">
            <v>女性</v>
          </cell>
          <cell r="H1152" t="str">
            <v>blue</v>
          </cell>
          <cell r="I1152">
            <v>4</v>
          </cell>
          <cell r="J1152" t="str">
            <v>PremiumN</v>
          </cell>
          <cell r="K1152" t="str">
            <v>ra</v>
          </cell>
          <cell r="L1152" t="str">
            <v>ラグランジュチャレンジ</v>
          </cell>
          <cell r="M1152" t="str">
            <v>god</v>
          </cell>
        </row>
        <row r="1153">
          <cell r="A1153">
            <v>6006</v>
          </cell>
          <cell r="B1153" t="str">
            <v>ja</v>
          </cell>
          <cell r="C1153" t="str">
            <v>海底の孤高神 テティス</v>
          </cell>
          <cell r="D1153" t="str">
            <v>初期ガチャ</v>
          </cell>
          <cell r="E1153" t="str">
            <v>管理者</v>
          </cell>
          <cell r="F1153" t="str">
            <v>美しい</v>
          </cell>
          <cell r="G1153" t="str">
            <v>女性</v>
          </cell>
          <cell r="H1153" t="str">
            <v>blue</v>
          </cell>
          <cell r="I1153">
            <v>5</v>
          </cell>
          <cell r="J1153" t="str">
            <v>PremiumN</v>
          </cell>
          <cell r="K1153" t="str">
            <v>ra</v>
          </cell>
          <cell r="L1153" t="str">
            <v>ラグランジュチャレンジ</v>
          </cell>
          <cell r="M1153" t="str">
            <v>god</v>
          </cell>
        </row>
        <row r="1154">
          <cell r="A1154">
            <v>6007</v>
          </cell>
          <cell r="B1154" t="str">
            <v>ja</v>
          </cell>
          <cell r="C1154" t="str">
            <v>番犬 ケルベロス</v>
          </cell>
          <cell r="D1154" t="str">
            <v>初期ガチャ</v>
          </cell>
          <cell r="E1154" t="str">
            <v>破界者</v>
          </cell>
          <cell r="F1154" t="str">
            <v>可愛い</v>
          </cell>
          <cell r="G1154" t="str">
            <v>女性</v>
          </cell>
          <cell r="H1154" t="str">
            <v>red</v>
          </cell>
          <cell r="I1154">
            <v>4</v>
          </cell>
          <cell r="J1154" t="str">
            <v>PremiumN</v>
          </cell>
          <cell r="K1154" t="str">
            <v>ra</v>
          </cell>
          <cell r="L1154" t="str">
            <v>ラグランジュチャレンジ</v>
          </cell>
          <cell r="M1154" t="str">
            <v>animal</v>
          </cell>
        </row>
        <row r="1155">
          <cell r="A1155">
            <v>6008</v>
          </cell>
          <cell r="B1155" t="str">
            <v>ja</v>
          </cell>
          <cell r="C1155" t="str">
            <v>焔神 プロメテウス</v>
          </cell>
          <cell r="D1155" t="str">
            <v>初期ガチャ</v>
          </cell>
          <cell r="E1155" t="str">
            <v>管理者</v>
          </cell>
          <cell r="F1155" t="str">
            <v>格好いい</v>
          </cell>
          <cell r="G1155" t="str">
            <v>男性</v>
          </cell>
          <cell r="H1155" t="str">
            <v>red</v>
          </cell>
          <cell r="I1155">
            <v>4</v>
          </cell>
          <cell r="J1155" t="str">
            <v>PremiumN</v>
          </cell>
          <cell r="K1155" t="str">
            <v>ra</v>
          </cell>
          <cell r="L1155" t="str">
            <v>ラグランジュチャレンジ</v>
          </cell>
          <cell r="M1155" t="str">
            <v>god</v>
          </cell>
        </row>
        <row r="1156">
          <cell r="A1156">
            <v>6009</v>
          </cell>
          <cell r="B1156" t="str">
            <v>ja</v>
          </cell>
          <cell r="C1156" t="str">
            <v>超越自我 ラグランジュ</v>
          </cell>
          <cell r="D1156" t="str">
            <v>ガチャ:フィーバーフェス02</v>
          </cell>
          <cell r="E1156" t="str">
            <v>執行者</v>
          </cell>
          <cell r="F1156" t="str">
            <v>格好いい</v>
          </cell>
          <cell r="G1156" t="str">
            <v>女性</v>
          </cell>
          <cell r="H1156" t="str">
            <v>red</v>
          </cell>
          <cell r="I1156">
            <v>5</v>
          </cell>
          <cell r="J1156" t="str">
            <v>PremiumSSS</v>
          </cell>
          <cell r="K1156" t="str">
            <v>ra</v>
          </cell>
          <cell r="L1156" t="str">
            <v>ラグランジュチャレンジ</v>
          </cell>
          <cell r="M1156" t="str">
            <v>human</v>
          </cell>
        </row>
        <row r="1157">
          <cell r="A1157">
            <v>6010</v>
          </cell>
          <cell r="B1157" t="str">
            <v>ja</v>
          </cell>
          <cell r="C1157" t="str">
            <v>超越凌駕 ラグランジュ</v>
          </cell>
          <cell r="D1157" t="str">
            <v>ガチャ:フィーバーフェス02</v>
          </cell>
          <cell r="E1157" t="str">
            <v>執行者</v>
          </cell>
          <cell r="F1157" t="str">
            <v>格好いい</v>
          </cell>
          <cell r="G1157" t="str">
            <v>女性</v>
          </cell>
          <cell r="H1157" t="str">
            <v>red</v>
          </cell>
          <cell r="I1157">
            <v>6</v>
          </cell>
          <cell r="J1157" t="str">
            <v>PremiumSSS</v>
          </cell>
          <cell r="K1157" t="str">
            <v>ra</v>
          </cell>
          <cell r="L1157" t="str">
            <v>ラグランジュチャレンジ</v>
          </cell>
          <cell r="M1157" t="str">
            <v>human</v>
          </cell>
        </row>
        <row r="1158">
          <cell r="A1158">
            <v>6011</v>
          </cell>
          <cell r="B1158" t="str">
            <v>ja</v>
          </cell>
          <cell r="C1158" t="str">
            <v>パトドッグリーダー ポチ</v>
          </cell>
          <cell r="D1158" t="str">
            <v>ガチャ:フィーバーフェス02</v>
          </cell>
          <cell r="E1158" t="str">
            <v>執行者</v>
          </cell>
          <cell r="F1158" t="str">
            <v>格好いい</v>
          </cell>
          <cell r="G1158" t="str">
            <v>男性</v>
          </cell>
          <cell r="H1158" t="str">
            <v>blue</v>
          </cell>
          <cell r="I1158">
            <v>2</v>
          </cell>
          <cell r="J1158" t="str">
            <v>Drop1T</v>
          </cell>
          <cell r="K1158" t="str">
            <v>ra002</v>
          </cell>
          <cell r="L1158" t="str">
            <v>ユークリッドチャレンジ</v>
          </cell>
          <cell r="M1158" t="str">
            <v>unknown</v>
          </cell>
        </row>
        <row r="1159">
          <cell r="A1159">
            <v>6012</v>
          </cell>
          <cell r="B1159" t="str">
            <v>ja</v>
          </cell>
          <cell r="C1159" t="str">
            <v>ミミ</v>
          </cell>
          <cell r="D1159" t="str">
            <v>ガチャ:フィーバーフェス02</v>
          </cell>
          <cell r="E1159" t="str">
            <v>執行者</v>
          </cell>
          <cell r="F1159" t="str">
            <v>格好いい</v>
          </cell>
          <cell r="G1159" t="str">
            <v>男性</v>
          </cell>
          <cell r="H1159" t="str">
            <v>yellow</v>
          </cell>
          <cell r="I1159">
            <v>1</v>
          </cell>
          <cell r="J1159" t="str">
            <v>Drop1W</v>
          </cell>
          <cell r="K1159" t="str">
            <v>ra002</v>
          </cell>
          <cell r="L1159" t="str">
            <v>ユークリッドチャレンジ</v>
          </cell>
          <cell r="M1159" t="str">
            <v>animal</v>
          </cell>
        </row>
        <row r="1160">
          <cell r="A1160">
            <v>6013</v>
          </cell>
          <cell r="B1160" t="str">
            <v>ja</v>
          </cell>
          <cell r="C1160" t="str">
            <v>護衛機人 スケアクロウ</v>
          </cell>
          <cell r="D1160" t="str">
            <v>ガチャ:フィーバーフェス02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blue</v>
          </cell>
          <cell r="I1160">
            <v>2</v>
          </cell>
          <cell r="J1160" t="str">
            <v>Drop1N</v>
          </cell>
          <cell r="K1160" t="str">
            <v>ra002</v>
          </cell>
          <cell r="L1160" t="str">
            <v>ユークリッドチャレンジ</v>
          </cell>
          <cell r="M1160" t="str">
            <v>machine</v>
          </cell>
        </row>
        <row r="1161">
          <cell r="A1161">
            <v>6014</v>
          </cell>
          <cell r="B1161" t="str">
            <v>ja</v>
          </cell>
          <cell r="C1161" t="str">
            <v>月下の人狼 ローレンス</v>
          </cell>
          <cell r="D1161" t="str">
            <v>ガチャ:フィーバーフェス02</v>
          </cell>
          <cell r="E1161" t="str">
            <v>執行者</v>
          </cell>
          <cell r="F1161" t="str">
            <v>格好いい</v>
          </cell>
          <cell r="G1161" t="str">
            <v>男性</v>
          </cell>
          <cell r="H1161" t="str">
            <v>blue</v>
          </cell>
          <cell r="I1161">
            <v>4</v>
          </cell>
          <cell r="J1161" t="str">
            <v>PremiumW</v>
          </cell>
          <cell r="K1161" t="str">
            <v>ra002</v>
          </cell>
          <cell r="L1161" t="str">
            <v>ユークリッドチャレンジ</v>
          </cell>
          <cell r="M1161" t="str">
            <v>animal</v>
          </cell>
        </row>
        <row r="1162">
          <cell r="A1162">
            <v>6015</v>
          </cell>
          <cell r="B1162" t="str">
            <v>ja</v>
          </cell>
          <cell r="C1162" t="str">
            <v>フレイヤ</v>
          </cell>
          <cell r="D1162" t="str">
            <v>ガチャ:フィーバーフェス02</v>
          </cell>
          <cell r="E1162" t="str">
            <v>執行者</v>
          </cell>
          <cell r="F1162" t="str">
            <v>格好いい</v>
          </cell>
          <cell r="G1162" t="str">
            <v>男性</v>
          </cell>
          <cell r="H1162" t="str">
            <v>blue</v>
          </cell>
          <cell r="I1162">
            <v>4</v>
          </cell>
          <cell r="J1162" t="str">
            <v>PremiumSS</v>
          </cell>
          <cell r="K1162" t="str">
            <v>ra002</v>
          </cell>
          <cell r="L1162" t="str">
            <v>ユークリッドチャレンジ</v>
          </cell>
          <cell r="M1162" t="str">
            <v>animal</v>
          </cell>
        </row>
        <row r="1163">
          <cell r="A1163">
            <v>6016</v>
          </cell>
          <cell r="B1163" t="str">
            <v>ja</v>
          </cell>
          <cell r="C1163" t="str">
            <v>根原論理 ユークリッド</v>
          </cell>
          <cell r="D1163" t="str">
            <v>ガチャ:フィーバーフェス02</v>
          </cell>
          <cell r="E1163" t="str">
            <v>執行者</v>
          </cell>
          <cell r="F1163" t="str">
            <v>格好いい</v>
          </cell>
          <cell r="G1163" t="str">
            <v>男性</v>
          </cell>
          <cell r="H1163" t="str">
            <v>blue</v>
          </cell>
          <cell r="I1163">
            <v>5</v>
          </cell>
          <cell r="J1163" t="str">
            <v>PremiumSSS</v>
          </cell>
          <cell r="K1163" t="str">
            <v>ra002</v>
          </cell>
          <cell r="L1163" t="str">
            <v>ユークリッドチャレンジ</v>
          </cell>
          <cell r="M1163" t="str">
            <v>human</v>
          </cell>
        </row>
        <row r="1164">
          <cell r="A1164">
            <v>6017</v>
          </cell>
          <cell r="B1164" t="str">
            <v>ja</v>
          </cell>
          <cell r="C1164" t="str">
            <v>不朽の極論 ユークリッド</v>
          </cell>
          <cell r="D1164" t="str">
            <v>ガチャ:フィーバーフェス02</v>
          </cell>
          <cell r="E1164" t="str">
            <v>執行者</v>
          </cell>
          <cell r="F1164" t="str">
            <v>格好いい</v>
          </cell>
          <cell r="G1164" t="str">
            <v>男性</v>
          </cell>
          <cell r="H1164" t="str">
            <v>blue</v>
          </cell>
          <cell r="I1164">
            <v>6</v>
          </cell>
          <cell r="J1164" t="str">
            <v>PremiumSSS</v>
          </cell>
          <cell r="K1164" t="str">
            <v>ra002</v>
          </cell>
          <cell r="L1164" t="str">
            <v>ユークリッドチャレンジ</v>
          </cell>
          <cell r="M1164" t="str">
            <v>human</v>
          </cell>
        </row>
        <row r="1165">
          <cell r="A1165">
            <v>6018</v>
          </cell>
          <cell r="B1165" t="str">
            <v>ja</v>
          </cell>
          <cell r="C1165" t="str">
            <v>ハヅル</v>
          </cell>
          <cell r="D1165" t="str">
            <v>ガチャ:フィーバーフェス02</v>
          </cell>
          <cell r="E1165" t="str">
            <v>執行者</v>
          </cell>
          <cell r="F1165" t="str">
            <v>格好いい</v>
          </cell>
          <cell r="G1165" t="str">
            <v>男性</v>
          </cell>
          <cell r="H1165" t="str">
            <v>red</v>
          </cell>
          <cell r="I1165">
            <v>4</v>
          </cell>
          <cell r="J1165" t="str">
            <v>PremiumSS</v>
          </cell>
          <cell r="K1165" t="str">
            <v>ra002</v>
          </cell>
          <cell r="L1165" t="str">
            <v>ユークリッドチャレンジ</v>
          </cell>
          <cell r="M1165" t="str">
            <v>animal</v>
          </cell>
        </row>
        <row r="1166">
          <cell r="A1166">
            <v>6019</v>
          </cell>
          <cell r="B1166" t="str">
            <v>ja</v>
          </cell>
          <cell r="C1166" t="str">
            <v>天織羽鶴 ハヅル</v>
          </cell>
          <cell r="D1166" t="str">
            <v>ガチャ:フィーバーフェス02</v>
          </cell>
          <cell r="E1166" t="str">
            <v>執行者</v>
          </cell>
          <cell r="F1166" t="str">
            <v>格好いい</v>
          </cell>
          <cell r="G1166" t="str">
            <v>男性</v>
          </cell>
          <cell r="H1166" t="str">
            <v>red</v>
          </cell>
          <cell r="I1166">
            <v>5</v>
          </cell>
          <cell r="J1166" t="str">
            <v>PremiumSS</v>
          </cell>
          <cell r="K1166" t="str">
            <v>ra002</v>
          </cell>
          <cell r="L1166" t="str">
            <v>ユークリッドチャレンジ</v>
          </cell>
          <cell r="M1166" t="str">
            <v>animal</v>
          </cell>
        </row>
        <row r="1167">
          <cell r="A1167">
            <v>6020</v>
          </cell>
          <cell r="B1167" t="str">
            <v>ja</v>
          </cell>
          <cell r="C1167" t="str">
            <v>ミズチ</v>
          </cell>
          <cell r="D1167" t="str">
            <v>ガチャ:フィーバーフェス02</v>
          </cell>
          <cell r="E1167" t="str">
            <v>執行者</v>
          </cell>
          <cell r="F1167" t="str">
            <v>格好いい</v>
          </cell>
          <cell r="G1167" t="str">
            <v>男性</v>
          </cell>
          <cell r="H1167" t="str">
            <v>blue</v>
          </cell>
          <cell r="I1167">
            <v>4</v>
          </cell>
          <cell r="J1167" t="str">
            <v>PremiumS</v>
          </cell>
          <cell r="K1167" t="str">
            <v>ra002</v>
          </cell>
          <cell r="L1167" t="str">
            <v>ユークリッドチャレンジ</v>
          </cell>
          <cell r="M1167" t="str">
            <v>dragon</v>
          </cell>
        </row>
        <row r="1168">
          <cell r="A1168">
            <v>8001</v>
          </cell>
          <cell r="B1168" t="str">
            <v>ja</v>
          </cell>
          <cell r="C1168" t="str">
            <v>媽祖</v>
          </cell>
          <cell r="D1168" t="str">
            <v>イベント:ミクコラボ01</v>
          </cell>
          <cell r="E1168" t="str">
            <v>執行者</v>
          </cell>
          <cell r="F1168" t="str">
            <v>格好いい</v>
          </cell>
          <cell r="G1168" t="str">
            <v>女性</v>
          </cell>
          <cell r="H1168" t="str">
            <v>yellow</v>
          </cell>
          <cell r="I1168">
            <v>5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8002</v>
          </cell>
          <cell r="B1169" t="str">
            <v>ja</v>
          </cell>
          <cell r="C1169" t="str">
            <v>天后 媽祖</v>
          </cell>
          <cell r="D1169" t="str">
            <v>イベント:ミクコラボ01</v>
          </cell>
          <cell r="E1169" t="str">
            <v>執行者</v>
          </cell>
          <cell r="F1169" t="str">
            <v>格好いい</v>
          </cell>
          <cell r="G1169" t="str">
            <v>女性</v>
          </cell>
          <cell r="H1169" t="str">
            <v>yellow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8003</v>
          </cell>
          <cell r="B1170" t="str">
            <v>ja</v>
          </cell>
          <cell r="C1170" t="str">
            <v>蛟龍</v>
          </cell>
          <cell r="D1170" t="str">
            <v>イベント:ミクコラボ01</v>
          </cell>
          <cell r="E1170" t="str">
            <v>執行者</v>
          </cell>
          <cell r="F1170" t="str">
            <v>格好いい</v>
          </cell>
          <cell r="G1170" t="str">
            <v>不明</v>
          </cell>
          <cell r="H1170" t="str">
            <v>blue</v>
          </cell>
          <cell r="I1170">
            <v>5</v>
          </cell>
          <cell r="J1170" t="str">
            <v>DropWizS</v>
          </cell>
          <cell r="K1170" t="str">
            <v>hp</v>
          </cell>
          <cell r="L1170" t="str">
            <v>体力タイプ</v>
          </cell>
          <cell r="M1170" t="str">
            <v>dragon</v>
          </cell>
        </row>
        <row r="1171">
          <cell r="A1171">
            <v>8004</v>
          </cell>
          <cell r="B1171" t="str">
            <v>ja</v>
          </cell>
          <cell r="C1171" t="str">
            <v>深海蛟龍怪‧晏公</v>
          </cell>
          <cell r="D1171" t="str">
            <v>イベント:ミクコラボ01</v>
          </cell>
          <cell r="E1171" t="str">
            <v>執行者</v>
          </cell>
          <cell r="F1171" t="str">
            <v>格好いい</v>
          </cell>
          <cell r="G1171" t="str">
            <v>不明</v>
          </cell>
          <cell r="H1171" t="str">
            <v>blue</v>
          </cell>
          <cell r="I1171">
            <v>6</v>
          </cell>
          <cell r="J1171" t="str">
            <v>DropWizS</v>
          </cell>
          <cell r="K1171" t="str">
            <v>hp</v>
          </cell>
          <cell r="L1171" t="str">
            <v>体力タイプ</v>
          </cell>
          <cell r="M1171" t="str">
            <v>dragon</v>
          </cell>
        </row>
        <row r="1172">
          <cell r="A1172">
            <v>8005</v>
          </cell>
          <cell r="B1172" t="str">
            <v>ja</v>
          </cell>
          <cell r="C1172" t="str">
            <v>三蔵法師</v>
          </cell>
          <cell r="D1172" t="str">
            <v>イベント:ミクコラボ01</v>
          </cell>
          <cell r="E1172" t="str">
            <v>執行者</v>
          </cell>
          <cell r="F1172" t="str">
            <v>格好いい</v>
          </cell>
          <cell r="G1172" t="str">
            <v>不明</v>
          </cell>
          <cell r="H1172" t="str">
            <v>blue</v>
          </cell>
          <cell r="I1172">
            <v>5</v>
          </cell>
          <cell r="J1172" t="str">
            <v>PremiumSS</v>
          </cell>
          <cell r="K1172" t="str">
            <v>balance</v>
          </cell>
          <cell r="L1172" t="str">
            <v>バランスタイプ</v>
          </cell>
          <cell r="M1172" t="str">
            <v>human</v>
          </cell>
        </row>
        <row r="1173">
          <cell r="A1173">
            <v>8006</v>
          </cell>
          <cell r="B1173" t="str">
            <v>ja</v>
          </cell>
          <cell r="C1173" t="str">
            <v>三蔵法師</v>
          </cell>
          <cell r="D1173" t="str">
            <v>イベント:ミクコラボ01</v>
          </cell>
          <cell r="E1173" t="str">
            <v>執行者</v>
          </cell>
          <cell r="F1173" t="str">
            <v>格好いい</v>
          </cell>
          <cell r="G1173" t="str">
            <v>不明</v>
          </cell>
          <cell r="H1173" t="str">
            <v>blue</v>
          </cell>
          <cell r="I1173">
            <v>6</v>
          </cell>
          <cell r="J1173" t="str">
            <v>PremiumSS</v>
          </cell>
          <cell r="K1173" t="str">
            <v>balance</v>
          </cell>
          <cell r="L1173" t="str">
            <v>バランスタイプ</v>
          </cell>
          <cell r="M1173" t="str">
            <v>human</v>
          </cell>
        </row>
        <row r="1174">
          <cell r="A1174">
            <v>8007</v>
          </cell>
          <cell r="B1174" t="str">
            <v>ja</v>
          </cell>
          <cell r="C1174" t="str">
            <v>孫悟空</v>
          </cell>
          <cell r="D1174" t="str">
            <v>イベント:ミクコラボ01</v>
          </cell>
          <cell r="E1174" t="str">
            <v>執行者</v>
          </cell>
          <cell r="F1174" t="str">
            <v>格好いい</v>
          </cell>
          <cell r="G1174" t="str">
            <v>不明</v>
          </cell>
          <cell r="H1174" t="str">
            <v>red</v>
          </cell>
          <cell r="I1174">
            <v>5</v>
          </cell>
          <cell r="J1174" t="str">
            <v>DropWizS</v>
          </cell>
          <cell r="K1174" t="str">
            <v>attack</v>
          </cell>
          <cell r="L1174" t="str">
            <v>攻撃タイプ</v>
          </cell>
          <cell r="M1174" t="str">
            <v>animal</v>
          </cell>
        </row>
        <row r="1175">
          <cell r="A1175">
            <v>8008</v>
          </cell>
          <cell r="B1175" t="str">
            <v>ja</v>
          </cell>
          <cell r="C1175" t="str">
            <v>孫悟空</v>
          </cell>
          <cell r="D1175" t="str">
            <v>イベント:ミクコラボ01</v>
          </cell>
          <cell r="E1175" t="str">
            <v>執行者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6</v>
          </cell>
          <cell r="J1175" t="str">
            <v>DropWizS</v>
          </cell>
          <cell r="K1175" t="str">
            <v>attack</v>
          </cell>
          <cell r="L1175" t="str">
            <v>攻撃タイプ</v>
          </cell>
          <cell r="M1175" t="str">
            <v>animal</v>
          </cell>
        </row>
        <row r="1176">
          <cell r="A1176">
            <v>8009</v>
          </cell>
          <cell r="B1176" t="str">
            <v>ja</v>
          </cell>
          <cell r="C1176" t="str">
            <v>西王娘娘</v>
          </cell>
          <cell r="D1176" t="str">
            <v>イベント:ミクコラボ01</v>
          </cell>
          <cell r="E1176" t="str">
            <v>執行者</v>
          </cell>
          <cell r="F1176" t="str">
            <v>格好いい</v>
          </cell>
          <cell r="G1176" t="str">
            <v>不明</v>
          </cell>
          <cell r="H1176" t="str">
            <v>green</v>
          </cell>
          <cell r="I1176">
            <v>5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8010</v>
          </cell>
          <cell r="B1177" t="str">
            <v>ja</v>
          </cell>
          <cell r="C1177" t="str">
            <v>西王娘娘</v>
          </cell>
          <cell r="D1177" t="str">
            <v>イベント:ミクコラボ01</v>
          </cell>
          <cell r="E1177" t="str">
            <v>執行者</v>
          </cell>
          <cell r="F1177" t="str">
            <v>格好いい</v>
          </cell>
          <cell r="G1177" t="str">
            <v>不明</v>
          </cell>
          <cell r="H1177" t="str">
            <v>green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8011</v>
          </cell>
          <cell r="B1178" t="str">
            <v>ja</v>
          </cell>
          <cell r="C1178" t="str">
            <v>月下老人</v>
          </cell>
          <cell r="D1178" t="str">
            <v>イベント:ミクコラボ01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yellow</v>
          </cell>
          <cell r="I1178">
            <v>5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god</v>
          </cell>
        </row>
        <row r="1179">
          <cell r="A1179">
            <v>8012</v>
          </cell>
          <cell r="B1179" t="str">
            <v>ja</v>
          </cell>
          <cell r="C1179" t="str">
            <v>良緣祈福 月下老人</v>
          </cell>
          <cell r="D1179" t="str">
            <v>イベント:ミクコラボ01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yellow</v>
          </cell>
          <cell r="I1179">
            <v>6</v>
          </cell>
          <cell r="J1179" t="str">
            <v>DropWizS</v>
          </cell>
          <cell r="K1179" t="str">
            <v>balance</v>
          </cell>
          <cell r="L1179" t="str">
            <v>バランスタイプ</v>
          </cell>
          <cell r="M1179" t="str">
            <v>god</v>
          </cell>
        </row>
        <row r="1180">
          <cell r="A1180">
            <v>8013</v>
          </cell>
          <cell r="B1180" t="str">
            <v>ja</v>
          </cell>
          <cell r="C1180" t="str">
            <v>初音ミクV3</v>
          </cell>
          <cell r="D1180" t="str">
            <v>初音ミクV3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yellow</v>
          </cell>
          <cell r="I1180">
            <v>4</v>
          </cell>
          <cell r="J1180" t="str">
            <v>DropWizS</v>
          </cell>
          <cell r="K1180" t="str">
            <v>balance</v>
          </cell>
          <cell r="L1180" t="str">
            <v>バランスタイプ</v>
          </cell>
          <cell r="M1180" t="str">
            <v>unknown</v>
          </cell>
        </row>
        <row r="1181">
          <cell r="A1181">
            <v>8014</v>
          </cell>
          <cell r="B1181" t="str">
            <v>ja</v>
          </cell>
          <cell r="C1181" t="str">
            <v>初音ミクV3</v>
          </cell>
          <cell r="D1181" t="str">
            <v>初音ミクV3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yellow</v>
          </cell>
          <cell r="I1181">
            <v>5</v>
          </cell>
          <cell r="J1181" t="str">
            <v>DropWizS</v>
          </cell>
          <cell r="K1181" t="str">
            <v>balance</v>
          </cell>
          <cell r="L1181" t="str">
            <v>バランスタイプ</v>
          </cell>
          <cell r="M1181" t="str">
            <v>unknown</v>
          </cell>
        </row>
        <row r="1182">
          <cell r="A1182">
            <v>8015</v>
          </cell>
          <cell r="B1182" t="str">
            <v>ja</v>
          </cell>
          <cell r="C1182" t="str">
            <v>初音ミク・アペンド</v>
          </cell>
          <cell r="D1182" t="str">
            <v>初音ミク・アペンド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4</v>
          </cell>
          <cell r="J1182" t="str">
            <v>PremiumSSS</v>
          </cell>
          <cell r="K1182" t="str">
            <v>technical</v>
          </cell>
          <cell r="L1182" t="str">
            <v>テクニカルタイプ</v>
          </cell>
          <cell r="M1182" t="str">
            <v>unknown</v>
          </cell>
        </row>
        <row r="1183">
          <cell r="A1183">
            <v>8016</v>
          </cell>
          <cell r="B1183" t="str">
            <v>ja</v>
          </cell>
          <cell r="C1183" t="str">
            <v>初音ミク・アペンド</v>
          </cell>
          <cell r="D1183" t="str">
            <v>初音ミク・アペンド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5</v>
          </cell>
          <cell r="J1183" t="str">
            <v>PremiumSSS</v>
          </cell>
          <cell r="K1183" t="str">
            <v>technical</v>
          </cell>
          <cell r="L1183" t="str">
            <v>テクニカルタイプ</v>
          </cell>
          <cell r="M1183" t="str">
            <v>unknown</v>
          </cell>
        </row>
        <row r="1184">
          <cell r="A1184">
            <v>8017</v>
          </cell>
          <cell r="B1184" t="str">
            <v>ja</v>
          </cell>
          <cell r="C1184" t="str">
            <v>初音ミク</v>
          </cell>
          <cell r="D1184" t="str">
            <v>初音ミク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green</v>
          </cell>
          <cell r="I1184">
            <v>4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unknown</v>
          </cell>
        </row>
        <row r="1185">
          <cell r="A1185">
            <v>8018</v>
          </cell>
          <cell r="B1185" t="str">
            <v>ja</v>
          </cell>
          <cell r="C1185" t="str">
            <v>初音ミク</v>
          </cell>
          <cell r="D1185" t="str">
            <v>初音ミク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green</v>
          </cell>
          <cell r="I1185">
            <v>5</v>
          </cell>
          <cell r="J1185" t="str">
            <v>PremiumSSS</v>
          </cell>
          <cell r="K1185" t="str">
            <v>balance</v>
          </cell>
          <cell r="L1185" t="str">
            <v>バランスタイプ</v>
          </cell>
          <cell r="M1185" t="str">
            <v>unknown</v>
          </cell>
        </row>
        <row r="1186">
          <cell r="A1186">
            <v>8019</v>
          </cell>
          <cell r="B1186" t="str">
            <v>ja</v>
          </cell>
          <cell r="C1186" t="str">
            <v>鏡音リン</v>
          </cell>
          <cell r="D1186" t="str">
            <v>鏡音リン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yellow</v>
          </cell>
          <cell r="I1186">
            <v>4</v>
          </cell>
          <cell r="J1186" t="str">
            <v>PremiumSS</v>
          </cell>
          <cell r="K1186" t="str">
            <v>balance</v>
          </cell>
          <cell r="L1186" t="str">
            <v>バランスタイプ</v>
          </cell>
          <cell r="M1186" t="str">
            <v>unknown</v>
          </cell>
        </row>
        <row r="1187">
          <cell r="A1187">
            <v>8020</v>
          </cell>
          <cell r="B1187" t="str">
            <v>ja</v>
          </cell>
          <cell r="C1187" t="str">
            <v>鏡音リン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5</v>
          </cell>
          <cell r="J1187" t="str">
            <v>PremiumSS</v>
          </cell>
          <cell r="K1187" t="str">
            <v>balance</v>
          </cell>
          <cell r="L1187" t="str">
            <v>バランスタイプ</v>
          </cell>
          <cell r="M1187" t="str">
            <v>unknown</v>
          </cell>
        </row>
        <row r="1188">
          <cell r="A1188">
            <v>8021</v>
          </cell>
          <cell r="B1188" t="str">
            <v>ja</v>
          </cell>
          <cell r="C1188" t="str">
            <v>鏡音レン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yellow</v>
          </cell>
          <cell r="I1188">
            <v>4</v>
          </cell>
          <cell r="J1188" t="str">
            <v>PremiumSS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8022</v>
          </cell>
          <cell r="B1189" t="str">
            <v>ja</v>
          </cell>
          <cell r="C1189" t="str">
            <v>鏡音レン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yellow</v>
          </cell>
          <cell r="I1189">
            <v>5</v>
          </cell>
          <cell r="J1189" t="str">
            <v>PremiumSS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8023</v>
          </cell>
          <cell r="B1190" t="str">
            <v>ja</v>
          </cell>
          <cell r="C1190" t="str">
            <v>巡音ルカ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red</v>
          </cell>
          <cell r="I1190">
            <v>3</v>
          </cell>
          <cell r="J1190" t="str">
            <v>PremiumS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8024</v>
          </cell>
          <cell r="B1191" t="str">
            <v>ja</v>
          </cell>
          <cell r="C1191" t="str">
            <v>巡音ルカ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red</v>
          </cell>
          <cell r="I1191">
            <v>4</v>
          </cell>
          <cell r="J1191" t="str">
            <v>PremiumS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8025</v>
          </cell>
          <cell r="B1192" t="str">
            <v>ja</v>
          </cell>
          <cell r="C1192" t="str">
            <v>MEIKO</v>
          </cell>
          <cell r="D1192" t="str">
            <v>MEIKO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red</v>
          </cell>
          <cell r="I1192">
            <v>3</v>
          </cell>
          <cell r="J1192" t="str">
            <v>PremiumS</v>
          </cell>
          <cell r="K1192" t="str">
            <v>hp</v>
          </cell>
          <cell r="L1192" t="str">
            <v>体力タイプ</v>
          </cell>
          <cell r="M1192" t="str">
            <v>unknown</v>
          </cell>
        </row>
        <row r="1193">
          <cell r="A1193">
            <v>8026</v>
          </cell>
          <cell r="B1193" t="str">
            <v>ja</v>
          </cell>
          <cell r="C1193" t="str">
            <v>MEIKO</v>
          </cell>
          <cell r="D1193" t="str">
            <v>MEIKO</v>
          </cell>
          <cell r="E1193" t="str">
            <v>執行者</v>
          </cell>
          <cell r="F1193" t="str">
            <v>格好いい</v>
          </cell>
          <cell r="G1193" t="str">
            <v>男性</v>
          </cell>
          <cell r="H1193" t="str">
            <v>red</v>
          </cell>
          <cell r="I1193">
            <v>4</v>
          </cell>
          <cell r="J1193" t="str">
            <v>PremiumS</v>
          </cell>
          <cell r="K1193" t="str">
            <v>hp</v>
          </cell>
          <cell r="L1193" t="str">
            <v>体力タイプ</v>
          </cell>
          <cell r="M1193" t="str">
            <v>unknown</v>
          </cell>
        </row>
        <row r="1194">
          <cell r="A1194">
            <v>8027</v>
          </cell>
          <cell r="B1194" t="str">
            <v>ja</v>
          </cell>
          <cell r="C1194" t="str">
            <v>KAITO</v>
          </cell>
          <cell r="D1194" t="str">
            <v>KAITO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blue</v>
          </cell>
          <cell r="I1194">
            <v>3</v>
          </cell>
          <cell r="J1194" t="str">
            <v>PremiumS</v>
          </cell>
          <cell r="K1194" t="str">
            <v>technical</v>
          </cell>
          <cell r="L1194" t="str">
            <v>テクニカルタイプ</v>
          </cell>
          <cell r="M1194" t="str">
            <v>unknown</v>
          </cell>
        </row>
        <row r="1195">
          <cell r="A1195">
            <v>8028</v>
          </cell>
          <cell r="B1195" t="str">
            <v>ja</v>
          </cell>
          <cell r="C1195" t="str">
            <v>KAITO</v>
          </cell>
          <cell r="D1195" t="str">
            <v>KAITO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blue</v>
          </cell>
          <cell r="I1195">
            <v>4</v>
          </cell>
          <cell r="J1195" t="str">
            <v>PremiumS</v>
          </cell>
          <cell r="K1195" t="str">
            <v>technical</v>
          </cell>
          <cell r="L1195" t="str">
            <v>テクニカルタイプ</v>
          </cell>
          <cell r="M1195" t="str">
            <v>unknown</v>
          </cell>
        </row>
        <row r="1196">
          <cell r="A1196">
            <v>8029</v>
          </cell>
          <cell r="B1196" t="str">
            <v>ja</v>
          </cell>
          <cell r="C1196" t="str">
            <v>Expoミク</v>
          </cell>
          <cell r="D1196" t="str">
            <v>Expoミク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blue</v>
          </cell>
          <cell r="I1196">
            <v>4</v>
          </cell>
          <cell r="J1196" t="str">
            <v>Drop2N</v>
          </cell>
          <cell r="K1196" t="str">
            <v>heal</v>
          </cell>
          <cell r="L1196" t="str">
            <v>回復タイプ</v>
          </cell>
          <cell r="M1196" t="str">
            <v>unknown</v>
          </cell>
        </row>
        <row r="1197">
          <cell r="A1197">
            <v>8030</v>
          </cell>
          <cell r="B1197" t="str">
            <v>ja</v>
          </cell>
          <cell r="C1197" t="str">
            <v>Expoミク</v>
          </cell>
          <cell r="D1197" t="str">
            <v>Expoミク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blue</v>
          </cell>
          <cell r="I1197">
            <v>4</v>
          </cell>
          <cell r="J1197" t="str">
            <v>Drop2N</v>
          </cell>
          <cell r="K1197" t="str">
            <v>heal</v>
          </cell>
          <cell r="L1197" t="str">
            <v>回復タイプ</v>
          </cell>
          <cell r="M1197" t="str">
            <v>unknown</v>
          </cell>
        </row>
        <row r="1198">
          <cell r="A1198">
            <v>8031</v>
          </cell>
          <cell r="B1198" t="str">
            <v>ja</v>
          </cell>
          <cell r="C1198" t="str">
            <v>閻羅王</v>
          </cell>
          <cell r="D1198" t="str">
            <v>Expoミク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5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god</v>
          </cell>
        </row>
        <row r="1199">
          <cell r="A1199">
            <v>8032</v>
          </cell>
          <cell r="B1199" t="str">
            <v>ja</v>
          </cell>
          <cell r="C1199" t="str">
            <v>十殿閻羅王</v>
          </cell>
          <cell r="D1199" t="str">
            <v>Expoミク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6</v>
          </cell>
          <cell r="J1199" t="str">
            <v>PremiumSS</v>
          </cell>
          <cell r="K1199" t="str">
            <v>balance</v>
          </cell>
          <cell r="L1199" t="str">
            <v>バランスタイプ</v>
          </cell>
          <cell r="M1199" t="str">
            <v>god</v>
          </cell>
        </row>
        <row r="1200">
          <cell r="A1200">
            <v>8033</v>
          </cell>
          <cell r="B1200" t="str">
            <v>ja</v>
          </cell>
          <cell r="C1200" t="str">
            <v>牛頭馬面</v>
          </cell>
          <cell r="D1200" t="str">
            <v>Expoミク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5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god</v>
          </cell>
        </row>
        <row r="1201">
          <cell r="A1201">
            <v>8034</v>
          </cell>
          <cell r="B1201" t="str">
            <v>ja</v>
          </cell>
          <cell r="C1201" t="str">
            <v>牛頭馬面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6</v>
          </cell>
          <cell r="J1201" t="str">
            <v>DropWizS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8035</v>
          </cell>
          <cell r="B1202" t="str">
            <v>ja</v>
          </cell>
          <cell r="C1202" t="str">
            <v>嫦娥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4</v>
          </cell>
          <cell r="J1202" t="str">
            <v>Drop2N</v>
          </cell>
          <cell r="K1202" t="str">
            <v>heal</v>
          </cell>
          <cell r="L1202" t="str">
            <v>回復タイプ</v>
          </cell>
          <cell r="M1202" t="str">
            <v>unknown</v>
          </cell>
        </row>
        <row r="1203">
          <cell r="A1203">
            <v>8036</v>
          </cell>
          <cell r="B1203" t="str">
            <v>ja</v>
          </cell>
          <cell r="C1203" t="str">
            <v>嫦娥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blue</v>
          </cell>
          <cell r="I1203">
            <v>4</v>
          </cell>
          <cell r="J1203" t="str">
            <v>Drop2N</v>
          </cell>
          <cell r="K1203" t="str">
            <v>heal</v>
          </cell>
          <cell r="L1203" t="str">
            <v>回復タイプ</v>
          </cell>
          <cell r="M1203" t="str">
            <v>unknown</v>
          </cell>
        </row>
        <row r="1204">
          <cell r="A1204">
            <v>8037</v>
          </cell>
          <cell r="B1204" t="str">
            <v>ja</v>
          </cell>
          <cell r="C1204" t="str">
            <v>后羿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blue</v>
          </cell>
          <cell r="I1204">
            <v>4</v>
          </cell>
          <cell r="J1204" t="str">
            <v>Drop2N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8038</v>
          </cell>
          <cell r="B1205" t="str">
            <v>ja</v>
          </cell>
          <cell r="C1205" t="str">
            <v>后羿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blue</v>
          </cell>
          <cell r="I1205">
            <v>4</v>
          </cell>
          <cell r="J1205" t="str">
            <v>Drop2N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8039</v>
          </cell>
          <cell r="B1206" t="str">
            <v>ja</v>
          </cell>
          <cell r="C1206" t="str">
            <v>何仙姑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blue</v>
          </cell>
          <cell r="I1206">
            <v>4</v>
          </cell>
          <cell r="J1206" t="str">
            <v>Drop2N</v>
          </cell>
          <cell r="K1206" t="str">
            <v>heal</v>
          </cell>
          <cell r="L1206" t="str">
            <v>回復タイプ</v>
          </cell>
          <cell r="M1206" t="str">
            <v>unknown</v>
          </cell>
        </row>
        <row r="1207">
          <cell r="A1207">
            <v>8040</v>
          </cell>
          <cell r="B1207" t="str">
            <v>ja</v>
          </cell>
          <cell r="C1207" t="str">
            <v>何仙姑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blue</v>
          </cell>
          <cell r="I1207">
            <v>4</v>
          </cell>
          <cell r="J1207" t="str">
            <v>Drop2N</v>
          </cell>
          <cell r="K1207" t="str">
            <v>heal</v>
          </cell>
          <cell r="L1207" t="str">
            <v>回復タイプ</v>
          </cell>
          <cell r="M1207" t="str">
            <v>unknown</v>
          </cell>
        </row>
        <row r="1208">
          <cell r="A1208">
            <v>8041</v>
          </cell>
          <cell r="B1208" t="str">
            <v>ja</v>
          </cell>
          <cell r="C1208" t="str">
            <v>藍采和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blue</v>
          </cell>
          <cell r="I1208">
            <v>4</v>
          </cell>
          <cell r="J1208" t="str">
            <v>Drop2N</v>
          </cell>
          <cell r="K1208" t="str">
            <v>heal</v>
          </cell>
          <cell r="L1208" t="str">
            <v>回復タイプ</v>
          </cell>
          <cell r="M1208" t="str">
            <v>unknown</v>
          </cell>
        </row>
        <row r="1209">
          <cell r="A1209">
            <v>8042</v>
          </cell>
          <cell r="B1209" t="str">
            <v>ja</v>
          </cell>
          <cell r="C1209" t="str">
            <v>藍采和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blue</v>
          </cell>
          <cell r="I1209">
            <v>4</v>
          </cell>
          <cell r="J1209" t="str">
            <v>Drop2N</v>
          </cell>
          <cell r="K1209" t="str">
            <v>heal</v>
          </cell>
          <cell r="L1209" t="str">
            <v>回復タイプ</v>
          </cell>
          <cell r="M1209" t="str">
            <v>unknown</v>
          </cell>
        </row>
        <row r="1210">
          <cell r="A1210">
            <v>8043</v>
          </cell>
          <cell r="B1210" t="str">
            <v>ja</v>
          </cell>
          <cell r="C1210" t="str">
            <v>サンリオキャラ大集合+アザゼル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DropWizS</v>
          </cell>
          <cell r="K1210" t="str">
            <v>technical</v>
          </cell>
          <cell r="L1210" t="str">
            <v>テクニカルタイプ</v>
          </cell>
          <cell r="M1210" t="str">
            <v>ss</v>
          </cell>
        </row>
        <row r="1211">
          <cell r="A1211">
            <v>8044</v>
          </cell>
          <cell r="B1211" t="str">
            <v>ja</v>
          </cell>
          <cell r="C1211" t="str">
            <v>サンリオキャラ大集合+アザゼル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6</v>
          </cell>
          <cell r="J1211" t="str">
            <v>DropWizS</v>
          </cell>
          <cell r="K1211" t="str">
            <v>technical</v>
          </cell>
          <cell r="L1211" t="str">
            <v>テクニカルタイプ</v>
          </cell>
          <cell r="M1211" t="str">
            <v>ss</v>
          </cell>
        </row>
        <row r="1212">
          <cell r="A1212">
            <v>8045</v>
          </cell>
          <cell r="B1212" t="str">
            <v>ja</v>
          </cell>
          <cell r="C1212" t="str">
            <v>ニムダ_サンリオキャラ混じり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yellow</v>
          </cell>
          <cell r="I1212">
            <v>4</v>
          </cell>
          <cell r="J1212" t="str">
            <v>Drop2N</v>
          </cell>
          <cell r="K1212" t="str">
            <v>technical</v>
          </cell>
          <cell r="L1212" t="str">
            <v>テクニカルタイプ</v>
          </cell>
          <cell r="M1212" t="str">
            <v>ss</v>
          </cell>
        </row>
        <row r="1213">
          <cell r="A1213">
            <v>8046</v>
          </cell>
          <cell r="B1213" t="str">
            <v>ja</v>
          </cell>
          <cell r="C1213" t="str">
            <v>ニムダ_サンリオキャラ混じり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5</v>
          </cell>
          <cell r="J1213" t="str">
            <v>Drop2N</v>
          </cell>
          <cell r="K1213" t="str">
            <v>technical</v>
          </cell>
          <cell r="L1213" t="str">
            <v>テクニカルタイプ</v>
          </cell>
          <cell r="M1213" t="str">
            <v>ss</v>
          </cell>
        </row>
        <row r="1214">
          <cell r="A1214">
            <v>8047</v>
          </cell>
          <cell r="B1214" t="str">
            <v>ja</v>
          </cell>
          <cell r="C1214" t="str">
            <v>ハローキティ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4</v>
          </cell>
          <cell r="J1214" t="str">
            <v>Drop2N</v>
          </cell>
          <cell r="K1214" t="str">
            <v>balance</v>
          </cell>
          <cell r="L1214" t="str">
            <v>バランスタイプ</v>
          </cell>
          <cell r="M1214" t="str">
            <v>ss</v>
          </cell>
        </row>
        <row r="1215">
          <cell r="A1215">
            <v>8048</v>
          </cell>
          <cell r="B1215" t="str">
            <v>ja</v>
          </cell>
          <cell r="C1215" t="str">
            <v>ハローキティ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5</v>
          </cell>
          <cell r="J1215" t="str">
            <v>Drop2N</v>
          </cell>
          <cell r="K1215" t="str">
            <v>balance</v>
          </cell>
          <cell r="L1215" t="str">
            <v>バランスタイプ</v>
          </cell>
          <cell r="M1215" t="str">
            <v>ss</v>
          </cell>
        </row>
        <row r="1216">
          <cell r="A1216">
            <v>8049</v>
          </cell>
          <cell r="B1216" t="str">
            <v>ja</v>
          </cell>
          <cell r="C1216" t="str">
            <v>KIRIMIちゃん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Drop2N</v>
          </cell>
          <cell r="K1216" t="str">
            <v>hp</v>
          </cell>
          <cell r="L1216" t="str">
            <v>体力タイプ</v>
          </cell>
          <cell r="M1216" t="str">
            <v>ss</v>
          </cell>
        </row>
        <row r="1217">
          <cell r="A1217">
            <v>8050</v>
          </cell>
          <cell r="B1217" t="str">
            <v>ja</v>
          </cell>
          <cell r="C1217" t="str">
            <v>KIRIMIちゃん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red</v>
          </cell>
          <cell r="I1217">
            <v>5</v>
          </cell>
          <cell r="J1217" t="str">
            <v>Drop2N</v>
          </cell>
          <cell r="K1217" t="str">
            <v>hp</v>
          </cell>
          <cell r="L1217" t="str">
            <v>体力タイプ</v>
          </cell>
          <cell r="M1217" t="str">
            <v>ss</v>
          </cell>
        </row>
        <row r="1218">
          <cell r="A1218">
            <v>8051</v>
          </cell>
          <cell r="B1218" t="str">
            <v>ja</v>
          </cell>
          <cell r="C1218" t="str">
            <v>ハローキティのリボン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red</v>
          </cell>
          <cell r="I1218">
            <v>5</v>
          </cell>
          <cell r="J1218" t="str">
            <v>Drop2N</v>
          </cell>
          <cell r="K1218" t="str">
            <v>evolution</v>
          </cell>
          <cell r="L1218" t="str">
            <v>覚醒素材タイプ</v>
          </cell>
          <cell r="M1218" t="str">
            <v>ss</v>
          </cell>
        </row>
        <row r="1219">
          <cell r="A1219">
            <v>8052</v>
          </cell>
          <cell r="B1219" t="str">
            <v>ja</v>
          </cell>
          <cell r="C1219" t="str">
            <v>ママの作ったアップルパイ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red</v>
          </cell>
          <cell r="I1219">
            <v>4</v>
          </cell>
          <cell r="J1219" t="str">
            <v>Drop2N</v>
          </cell>
          <cell r="K1219" t="str">
            <v>evolution</v>
          </cell>
          <cell r="L1219" t="str">
            <v>覚醒素材タイプ</v>
          </cell>
          <cell r="M1219" t="str">
            <v>ss</v>
          </cell>
        </row>
        <row r="1220">
          <cell r="A1220">
            <v>8053</v>
          </cell>
          <cell r="B1220" t="str">
            <v>ja</v>
          </cell>
          <cell r="C1220" t="str">
            <v>D.R.T.H__キティコスプレ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red</v>
          </cell>
          <cell r="I1220">
            <v>5</v>
          </cell>
          <cell r="J1220" t="str">
            <v>PremiumSS</v>
          </cell>
          <cell r="K1220" t="str">
            <v>balance</v>
          </cell>
          <cell r="L1220" t="str">
            <v>バランスタイプ</v>
          </cell>
          <cell r="M1220" t="str">
            <v>ss</v>
          </cell>
        </row>
        <row r="1221">
          <cell r="A1221">
            <v>8054</v>
          </cell>
          <cell r="B1221" t="str">
            <v>ja</v>
          </cell>
          <cell r="C1221" t="str">
            <v>D.R.T.H__キティコスプレ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red</v>
          </cell>
          <cell r="I1221">
            <v>6</v>
          </cell>
          <cell r="J1221" t="str">
            <v>PremiumSS</v>
          </cell>
          <cell r="K1221" t="str">
            <v>balance</v>
          </cell>
          <cell r="L1221" t="str">
            <v>バランスタイプ</v>
          </cell>
          <cell r="M1221" t="str">
            <v>ss</v>
          </cell>
        </row>
        <row r="1222">
          <cell r="A1222">
            <v>8055</v>
          </cell>
          <cell r="B1222" t="str">
            <v>ja</v>
          </cell>
          <cell r="C1222" t="str">
            <v>マイメロディ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red</v>
          </cell>
          <cell r="I1222">
            <v>4</v>
          </cell>
          <cell r="J1222" t="str">
            <v>PremiumS</v>
          </cell>
          <cell r="K1222" t="str">
            <v>attack</v>
          </cell>
          <cell r="L1222" t="str">
            <v>攻撃タイプ</v>
          </cell>
          <cell r="M1222" t="str">
            <v>ss</v>
          </cell>
        </row>
        <row r="1223">
          <cell r="A1223">
            <v>8056</v>
          </cell>
          <cell r="B1223" t="str">
            <v>ja</v>
          </cell>
          <cell r="C1223" t="str">
            <v>マイメロディ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</v>
          </cell>
          <cell r="K1223" t="str">
            <v>attack</v>
          </cell>
          <cell r="L1223" t="str">
            <v>攻撃タイプ</v>
          </cell>
          <cell r="M1223" t="str">
            <v>ss</v>
          </cell>
        </row>
        <row r="1224">
          <cell r="A1224">
            <v>8057</v>
          </cell>
          <cell r="B1224" t="str">
            <v>ja</v>
          </cell>
          <cell r="C1224" t="str">
            <v>ニーベルゲン_シナモロールコスプレ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green</v>
          </cell>
          <cell r="I1224">
            <v>4</v>
          </cell>
          <cell r="J1224" t="str">
            <v>PremiumS</v>
          </cell>
          <cell r="K1224" t="str">
            <v>balance</v>
          </cell>
          <cell r="L1224" t="str">
            <v>バランスタイプ</v>
          </cell>
          <cell r="M1224" t="str">
            <v>ss</v>
          </cell>
        </row>
        <row r="1225">
          <cell r="A1225">
            <v>8058</v>
          </cell>
          <cell r="B1225" t="str">
            <v>ja</v>
          </cell>
          <cell r="C1225" t="str">
            <v>ニーベルゲン_シナモロールコスプレ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PremiumS</v>
          </cell>
          <cell r="K1225" t="str">
            <v>balance</v>
          </cell>
          <cell r="L1225" t="str">
            <v>バランスタイプ</v>
          </cell>
          <cell r="M1225" t="str">
            <v>ss</v>
          </cell>
        </row>
        <row r="1226">
          <cell r="A1226">
            <v>8059</v>
          </cell>
          <cell r="B1226" t="str">
            <v>ja</v>
          </cell>
          <cell r="C1226" t="str">
            <v>カカシ_マイメロディコスプレ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4</v>
          </cell>
          <cell r="J1226" t="str">
            <v>PremiumS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8060</v>
          </cell>
          <cell r="B1227" t="str">
            <v>ja</v>
          </cell>
          <cell r="C1227" t="str">
            <v>カカシ_マイメロディコスプレ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8061</v>
          </cell>
          <cell r="B1228" t="str">
            <v>ja</v>
          </cell>
          <cell r="C1228" t="str">
            <v>ケロケロけろっぴ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3</v>
          </cell>
          <cell r="J1228" t="str">
            <v>PremiumS</v>
          </cell>
          <cell r="K1228" t="str">
            <v>balance</v>
          </cell>
          <cell r="L1228" t="str">
            <v>バランスタイプ</v>
          </cell>
          <cell r="M1228" t="str">
            <v>ss</v>
          </cell>
        </row>
        <row r="1229">
          <cell r="A1229">
            <v>8062</v>
          </cell>
          <cell r="B1229" t="str">
            <v>ja</v>
          </cell>
          <cell r="C1229" t="str">
            <v>ケロケロけろっぴ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green</v>
          </cell>
          <cell r="I1229">
            <v>4</v>
          </cell>
          <cell r="J1229" t="str">
            <v>PremiumS</v>
          </cell>
          <cell r="K1229" t="str">
            <v>balance</v>
          </cell>
          <cell r="L1229" t="str">
            <v>バランスタイプ</v>
          </cell>
          <cell r="M1229" t="str">
            <v>ss</v>
          </cell>
        </row>
        <row r="1230">
          <cell r="A1230">
            <v>8063</v>
          </cell>
          <cell r="B1230" t="str">
            <v>ja</v>
          </cell>
          <cell r="C1230" t="str">
            <v>モルドレッド_ポムポムプリンコスプレ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heal</v>
          </cell>
          <cell r="L1230" t="str">
            <v>回復タイプ</v>
          </cell>
          <cell r="M1230" t="str">
            <v>ss</v>
          </cell>
        </row>
        <row r="1231">
          <cell r="A1231">
            <v>8064</v>
          </cell>
          <cell r="B1231" t="str">
            <v>ja</v>
          </cell>
          <cell r="C1231" t="str">
            <v>モルドレッド_ポムポムプリンコスプレ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6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ss</v>
          </cell>
        </row>
        <row r="1232">
          <cell r="A1232">
            <v>8065</v>
          </cell>
          <cell r="B1232" t="str">
            <v>ja</v>
          </cell>
          <cell r="C1232" t="str">
            <v>クロミ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3</v>
          </cell>
          <cell r="J1232" t="str">
            <v>PremiumS</v>
          </cell>
          <cell r="K1232" t="str">
            <v>technical</v>
          </cell>
          <cell r="L1232" t="str">
            <v>テクニカルタイプ</v>
          </cell>
          <cell r="M1232" t="str">
            <v>ss</v>
          </cell>
        </row>
        <row r="1233">
          <cell r="A1233">
            <v>8066</v>
          </cell>
          <cell r="B1233" t="str">
            <v>ja</v>
          </cell>
          <cell r="C1233" t="str">
            <v>クロミ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PremiumS</v>
          </cell>
          <cell r="K1233" t="str">
            <v>technical</v>
          </cell>
          <cell r="L1233" t="str">
            <v>テクニカルタイプ</v>
          </cell>
          <cell r="M1233" t="str">
            <v>ss</v>
          </cell>
        </row>
        <row r="1234">
          <cell r="A1234">
            <v>8067</v>
          </cell>
          <cell r="B1234" t="str">
            <v>ja</v>
          </cell>
          <cell r="C1234" t="str">
            <v>バッドばつ丸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3</v>
          </cell>
          <cell r="J1234" t="str">
            <v>PremiumS</v>
          </cell>
          <cell r="K1234" t="str">
            <v>attack</v>
          </cell>
          <cell r="L1234" t="str">
            <v>攻撃タイプ</v>
          </cell>
          <cell r="M1234" t="str">
            <v>ss</v>
          </cell>
        </row>
        <row r="1235">
          <cell r="A1235">
            <v>8068</v>
          </cell>
          <cell r="B1235" t="str">
            <v>ja</v>
          </cell>
          <cell r="C1235" t="str">
            <v>バッドばつ丸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blue</v>
          </cell>
          <cell r="I1235">
            <v>4</v>
          </cell>
          <cell r="J1235" t="str">
            <v>PremiumS</v>
          </cell>
          <cell r="K1235" t="str">
            <v>attack</v>
          </cell>
          <cell r="L1235" t="str">
            <v>攻撃タイプ</v>
          </cell>
          <cell r="M1235" t="str">
            <v>ss</v>
          </cell>
        </row>
        <row r="1236">
          <cell r="A1236">
            <v>8069</v>
          </cell>
          <cell r="B1236" t="str">
            <v>ja</v>
          </cell>
          <cell r="C1236" t="str">
            <v>シナモロール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yellow</v>
          </cell>
          <cell r="I1236">
            <v>4</v>
          </cell>
          <cell r="J1236" t="str">
            <v>PremiumS</v>
          </cell>
          <cell r="K1236" t="str">
            <v>heal</v>
          </cell>
          <cell r="L1236" t="str">
            <v>回復タイプ</v>
          </cell>
          <cell r="M1236" t="str">
            <v>ss</v>
          </cell>
        </row>
        <row r="1237">
          <cell r="A1237">
            <v>8070</v>
          </cell>
          <cell r="B1237" t="str">
            <v>ja</v>
          </cell>
          <cell r="C1237" t="str">
            <v>シナモロール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5</v>
          </cell>
          <cell r="J1237" t="str">
            <v>PremiumS</v>
          </cell>
          <cell r="K1237" t="str">
            <v>heal</v>
          </cell>
          <cell r="L1237" t="str">
            <v>回復タイプ</v>
          </cell>
          <cell r="M1237" t="str">
            <v>ss</v>
          </cell>
        </row>
        <row r="1238">
          <cell r="A1238">
            <v>8071</v>
          </cell>
          <cell r="B1238" t="str">
            <v>ja</v>
          </cell>
          <cell r="C1238" t="str">
            <v>ポムポムプリン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3</v>
          </cell>
          <cell r="J1238" t="str">
            <v>PremiumS</v>
          </cell>
          <cell r="K1238" t="str">
            <v>hp</v>
          </cell>
          <cell r="L1238" t="str">
            <v>体力タイプ</v>
          </cell>
          <cell r="M1238" t="str">
            <v>ss</v>
          </cell>
        </row>
        <row r="1239">
          <cell r="A1239">
            <v>8072</v>
          </cell>
          <cell r="B1239" t="str">
            <v>ja</v>
          </cell>
          <cell r="C1239" t="str">
            <v>ポムポムプリン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yellow</v>
          </cell>
          <cell r="I1239">
            <v>4</v>
          </cell>
          <cell r="J1239" t="str">
            <v>PremiumS</v>
          </cell>
          <cell r="K1239" t="str">
            <v>hp</v>
          </cell>
          <cell r="L1239" t="str">
            <v>体力タイプ</v>
          </cell>
          <cell r="M1239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4" t="s">
        <v>214</v>
      </c>
      <c r="K40" s="84" t="s">
        <v>190</v>
      </c>
      <c r="M40" s="84" t="s">
        <v>239</v>
      </c>
    </row>
    <row r="41" spans="1:13" x14ac:dyDescent="0.15">
      <c r="J41" s="84" t="s">
        <v>215</v>
      </c>
      <c r="K41" s="84" t="s">
        <v>216</v>
      </c>
      <c r="M41" s="66" t="s">
        <v>185</v>
      </c>
    </row>
    <row r="42" spans="1:13" x14ac:dyDescent="0.15">
      <c r="J42" s="84" t="s">
        <v>217</v>
      </c>
      <c r="K42" s="84" t="s">
        <v>218</v>
      </c>
    </row>
    <row r="43" spans="1:13" x14ac:dyDescent="0.15">
      <c r="J43" s="84" t="s">
        <v>219</v>
      </c>
      <c r="K43" s="84" t="s">
        <v>220</v>
      </c>
    </row>
    <row r="44" spans="1:13" x14ac:dyDescent="0.15">
      <c r="J44" s="84" t="s">
        <v>221</v>
      </c>
      <c r="K44" s="84" t="s">
        <v>222</v>
      </c>
    </row>
    <row r="45" spans="1:13" x14ac:dyDescent="0.15">
      <c r="J45" s="84" t="s">
        <v>223</v>
      </c>
      <c r="K45" s="84" t="s">
        <v>224</v>
      </c>
    </row>
    <row r="46" spans="1:13" x14ac:dyDescent="0.15">
      <c r="J46" s="84" t="s">
        <v>225</v>
      </c>
      <c r="K46" s="84" t="s">
        <v>226</v>
      </c>
    </row>
    <row r="47" spans="1:13" x14ac:dyDescent="0.15">
      <c r="J47" s="84" t="s">
        <v>227</v>
      </c>
      <c r="K47" s="84" t="s">
        <v>231</v>
      </c>
    </row>
    <row r="48" spans="1:13" x14ac:dyDescent="0.15">
      <c r="J48" s="84" t="s">
        <v>228</v>
      </c>
      <c r="K48" s="84" t="s">
        <v>232</v>
      </c>
    </row>
    <row r="49" spans="10:11" x14ac:dyDescent="0.15">
      <c r="J49" s="84" t="s">
        <v>229</v>
      </c>
      <c r="K49" s="84" t="s">
        <v>233</v>
      </c>
    </row>
    <row r="50" spans="10:11" x14ac:dyDescent="0.15">
      <c r="J50" s="84" t="s">
        <v>230</v>
      </c>
      <c r="K50" s="84" t="s">
        <v>234</v>
      </c>
    </row>
    <row r="51" spans="10:11" x14ac:dyDescent="0.15">
      <c r="J51" s="84" t="s">
        <v>236</v>
      </c>
      <c r="K51" s="84" t="s">
        <v>235</v>
      </c>
    </row>
    <row r="52" spans="10:11" x14ac:dyDescent="0.15">
      <c r="J52" s="84" t="s">
        <v>237</v>
      </c>
      <c r="K52" s="84" t="s">
        <v>238</v>
      </c>
    </row>
    <row r="53" spans="10:11" x14ac:dyDescent="0.15">
      <c r="J53" s="84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4" sqref="F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3" t="s">
        <v>248</v>
      </c>
      <c r="B2" s="61" t="s">
        <v>110</v>
      </c>
      <c r="C2" s="50" t="str">
        <f t="shared" ref="C2" si="0">RIGHT(F2,6)</f>
        <v>399100</v>
      </c>
      <c r="D2" s="19" t="s">
        <v>45</v>
      </c>
      <c r="E2" s="17" t="str">
        <f t="shared" ref="E2" si="1">B2&amp;C2&amp;D2</f>
        <v>gacha_select_tables_399100.tmp</v>
      </c>
      <c r="F2" s="98" t="s">
        <v>251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4" t="s">
        <v>248</v>
      </c>
      <c r="B3" s="61" t="s">
        <v>110</v>
      </c>
      <c r="C3" s="50" t="str">
        <f t="shared" ref="C3:C7" si="2">RIGHT(F3,6)</f>
        <v>399010</v>
      </c>
      <c r="D3" s="19" t="s">
        <v>45</v>
      </c>
      <c r="E3" s="17" t="str">
        <f t="shared" ref="E3:E10" si="3">B3&amp;C3&amp;D3</f>
        <v>gacha_select_tables_399010.tmp</v>
      </c>
      <c r="F3" s="98" t="s">
        <v>252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7" t="s">
        <v>250</v>
      </c>
      <c r="B4" s="77" t="s">
        <v>213</v>
      </c>
      <c r="C4" s="50" t="str">
        <f t="shared" si="2"/>
        <v>397100</v>
      </c>
      <c r="D4" s="19" t="s">
        <v>45</v>
      </c>
      <c r="E4" s="17" t="str">
        <f t="shared" ref="E4:E7" si="4">B4&amp;C4&amp;D4</f>
        <v>gacha_settle_tables_397100.tmp</v>
      </c>
      <c r="F4" s="95" t="s">
        <v>249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8" t="s">
        <v>242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si="4"/>
        <v>gacha_select_tables_363104.tmp</v>
      </c>
      <c r="F5" s="91" t="s">
        <v>245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8" t="s">
        <v>242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1" t="s">
        <v>246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8" t="s">
        <v>242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1" t="s">
        <v>247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8" t="s">
        <v>242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8" t="s">
        <v>242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8" t="s">
        <v>242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topLeftCell="A6" workbookViewId="0">
      <selection activeCell="B17" sqref="B17:B31"/>
    </sheetView>
  </sheetViews>
  <sheetFormatPr baseColWidth="12" defaultRowHeight="14" x14ac:dyDescent="0.15"/>
  <cols>
    <col min="1" max="2" width="24.19921875" bestFit="1" customWidth="1"/>
    <col min="6" max="6" width="13.796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399010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82">
        <v>972</v>
      </c>
      <c r="M3" s="37" t="str">
        <f>VLOOKUP(L3,[1]characters!$A:$C,3,FALSE)</f>
        <v>コーシー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VLOOKUP(L3,tables_399010!B:C,2,FALSE)</f>
        <v>PremiumSSS5R3less</v>
      </c>
      <c r="R3" s="62">
        <f t="shared" ref="R3:R20" si="1">N3*A$36</f>
        <v>105600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82">
        <v>953</v>
      </c>
      <c r="M4" s="37" t="str">
        <f>VLOOKUP(L4,[1]characters!$A:$C,3,FALSE)</f>
        <v>ハイゼンベルク</v>
      </c>
      <c r="N4" s="63">
        <v>2.5000000000000001E-3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VLOOKUP(L4,tables_399010!B:C,2,FALSE)</f>
        <v>PremiumSSS5R3less</v>
      </c>
      <c r="R4" s="62">
        <f t="shared" si="1"/>
        <v>26400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1.5624999999999999E-3</v>
      </c>
      <c r="F5">
        <f>(COUNTIF(tables_399010!C:C,input_399010!A28)+COUNTIF(tables_399010!C:C,input_399010!A29))</f>
        <v>48</v>
      </c>
      <c r="H5" s="85"/>
      <c r="I5" s="31"/>
      <c r="L5" s="82">
        <v>880</v>
      </c>
      <c r="M5" s="37" t="str">
        <f>VLOOKUP(L5,[1]characters!$A:$C,3,FALSE)</f>
        <v>ハーシェル</v>
      </c>
      <c r="N5" s="63">
        <v>2.5000000000000001E-3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VLOOKUP(L5,tables_399010!B:C,2,FALSE)</f>
        <v>PremiumSSS5R3less</v>
      </c>
      <c r="R5" s="62">
        <f t="shared" si="1"/>
        <v>26400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1-B5-B7-B8</f>
        <v>0.45</v>
      </c>
      <c r="D6" t="s">
        <v>202</v>
      </c>
      <c r="E6" s="76">
        <f>(B10-H6)/(F6-I6)</f>
        <v>1.03125E-2</v>
      </c>
      <c r="F6">
        <f>(COUNTIF(tables_399010!C:C,input_399010!A25)+COUNTIF(tables_399010!C:C,input_399010!A18)+COUNTIF(tables_399010!C:C,input_399010!A20)+COUNTIF(tables_399010!C:C,input_399010!A22))</f>
        <v>88</v>
      </c>
      <c r="H6" s="90"/>
      <c r="I6" s="31"/>
      <c r="L6" s="82">
        <v>619</v>
      </c>
      <c r="M6" s="37" t="str">
        <f>VLOOKUP(L6,[1]characters!$A:$C,3,FALSE)</f>
        <v>メビウス</v>
      </c>
      <c r="N6" s="102">
        <v>2.3749999999999999E-3</v>
      </c>
      <c r="O6" s="37">
        <f>VLOOKUP(L6,[1]characters!$A:$I,9,FALSE)</f>
        <v>4</v>
      </c>
      <c r="P6" s="37" t="str">
        <f>VLOOKUP(L6,[1]characters!$A:$J,10,FALSE)</f>
        <v>PremiumSSS</v>
      </c>
      <c r="Q6" s="37" t="str">
        <f>VLOOKUP(L6,tables_399010!B:C,2,FALSE)</f>
        <v>PremiumSSS4R3less</v>
      </c>
      <c r="R6" s="62">
        <f t="shared" si="1"/>
        <v>25080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f>5%</f>
        <v>0.05</v>
      </c>
      <c r="L7" s="82">
        <v>620</v>
      </c>
      <c r="M7" s="37" t="str">
        <f>VLOOKUP(L7,[1]characters!$A:$C,3,FALSE)</f>
        <v>奇跡の調和 メビウス</v>
      </c>
      <c r="N7" s="102">
        <v>1.25E-4</v>
      </c>
      <c r="O7" s="37">
        <f>VLOOKUP(L7,[1]characters!$A:$I,9,FALSE)</f>
        <v>5</v>
      </c>
      <c r="P7" s="37" t="str">
        <f>VLOOKUP(L7,[1]characters!$A:$J,10,FALSE)</f>
        <v>PremiumSSS</v>
      </c>
      <c r="Q7" s="37" t="str">
        <f>VLOOKUP(L7,tables_399010!B:C,2,FALSE)</f>
        <v>PremiumSSS5R3less</v>
      </c>
      <c r="R7" s="62">
        <f t="shared" si="1"/>
        <v>1320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VLOOKUP(L8,tables_399010!B:C,2,FALSE)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9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VLOOKUP(L9,tables_399010!B:C,2,FALSE)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0.90750000000000008</v>
      </c>
      <c r="C10" t="s">
        <v>208</v>
      </c>
      <c r="L10" s="89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VLOOKUP(L10,tables_399010!B:C,2,FALSE)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7.4999999999999997E-2</v>
      </c>
      <c r="C11" t="s">
        <v>244</v>
      </c>
      <c r="L11" s="89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VLOOKUP(L11,tables_399010!B:C,2,FALSE)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1">
        <v>1.7500000000000002E-2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VLOOKUP(L12,tables_399010!B:C,2,FALSE)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VLOOKUP(L13,tables_399010!B:C,2,FALSE)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VLOOKUP(L14,tables_399010!B:C,2,FALSE)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VLOOKUP(L15,tables_399010!B:C,2,FALSE)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VLOOKUP(L16,tables_399010!B:C,2,FALSE)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0.21124999999999999</v>
      </c>
      <c r="C17" s="86">
        <f t="shared" ref="C17:C31" si="2">SUMIF(Q:Q,A17,N:N)</f>
        <v>0</v>
      </c>
      <c r="D17" s="74">
        <f t="shared" ref="D17:D32" si="3">B17-C17</f>
        <v>0.21124999999999999</v>
      </c>
      <c r="E17">
        <f>COUNTIF(tables_399010!C:C,input_399010!A17)-COUNTIF(Q:Q,A17)</f>
        <v>20</v>
      </c>
      <c r="F17" s="43">
        <f>IFERROR(B17/E17,0)</f>
        <v>1.0562499999999999E-2</v>
      </c>
      <c r="G17">
        <f t="shared" ref="G17:G31" si="4">A$36*B17</f>
        <v>2230800</v>
      </c>
      <c r="H17">
        <f t="shared" ref="H17:H31" si="5">IFERROR(ROUND(G17/E17,5),0)</f>
        <v>111540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VLOOKUP(L17,tables_399010!B:C,2,FALSE)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</f>
        <v>2.5636363636363624E-2</v>
      </c>
      <c r="C18" s="86">
        <f t="shared" si="2"/>
        <v>0</v>
      </c>
      <c r="D18" s="74">
        <f t="shared" si="3"/>
        <v>2.5636363636363624E-2</v>
      </c>
      <c r="E18">
        <f>COUNTIF(tables_399010!C:C,input_399010!A18)-COUNTIF(Q:Q,A18)</f>
        <v>20</v>
      </c>
      <c r="F18" s="43">
        <f>IFERROR(B18/E18,0)</f>
        <v>1.2818181818181813E-3</v>
      </c>
      <c r="G18">
        <f t="shared" si="4"/>
        <v>270719.99999999988</v>
      </c>
      <c r="H18">
        <f t="shared" si="5"/>
        <v>13536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VLOOKUP(L18,tables_399010!B:C,2,FALSE)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0.268125</v>
      </c>
      <c r="C19" s="86">
        <f t="shared" si="2"/>
        <v>0</v>
      </c>
      <c r="D19" s="74">
        <f t="shared" si="3"/>
        <v>0.268125</v>
      </c>
      <c r="E19">
        <f>COUNTIF(tables_399010!C:C,input_399010!A19)-COUNTIF(Q:Q,A19)</f>
        <v>52</v>
      </c>
      <c r="F19" s="43">
        <f t="shared" ref="F19:F31" si="8">IFERROR(B19/E19,0)</f>
        <v>5.1562500000000002E-3</v>
      </c>
      <c r="G19">
        <f t="shared" si="4"/>
        <v>2831400</v>
      </c>
      <c r="H19">
        <f t="shared" si="5"/>
        <v>54450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VLOOKUP(L19,tables_399010!B:C,2,FALSE)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83">
        <f>E$6*E20*B$6-B33-F34-F35</f>
        <v>0.23216477270075778</v>
      </c>
      <c r="C20" s="86">
        <f t="shared" si="2"/>
        <v>0</v>
      </c>
      <c r="D20" s="74">
        <f t="shared" si="3"/>
        <v>0.23216477270075778</v>
      </c>
      <c r="E20">
        <f>COUNTIF(tables_399010!C:C,input_399010!A20)-COUNTIF(Q:Q,A20)</f>
        <v>52</v>
      </c>
      <c r="F20" s="43">
        <f t="shared" si="8"/>
        <v>4.4647071673222646E-3</v>
      </c>
      <c r="G20">
        <f t="shared" si="4"/>
        <v>2451659.9997200021</v>
      </c>
      <c r="H20">
        <f t="shared" si="5"/>
        <v>47147.307690000001</v>
      </c>
      <c r="I20">
        <f t="shared" si="6"/>
        <v>0.30769000000145752</v>
      </c>
      <c r="J20">
        <f t="shared" si="7"/>
        <v>3.2500243751674187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VLOOKUP(L20,tables_399010!B:C,2,FALSE)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99">
        <f>E$6*E21*B$7-E35+F35</f>
        <v>5.3238636515149547E-3</v>
      </c>
      <c r="C21" s="86">
        <f t="shared" si="2"/>
        <v>0</v>
      </c>
      <c r="D21" s="74">
        <f t="shared" si="3"/>
        <v>5.3238636515149547E-3</v>
      </c>
      <c r="E21">
        <f>COUNTIF(tables_399010!C:C,input_399010!A21)-COUNTIF(Q:Q,A21)</f>
        <v>52</v>
      </c>
      <c r="F21" s="43">
        <f t="shared" si="8"/>
        <v>1.0238199329836451E-4</v>
      </c>
      <c r="G21">
        <f t="shared" si="4"/>
        <v>56220.000159997922</v>
      </c>
      <c r="H21">
        <f t="shared" si="5"/>
        <v>1081.1538499999999</v>
      </c>
      <c r="I21">
        <f t="shared" si="6"/>
        <v>0.15384999999992033</v>
      </c>
      <c r="J21">
        <f t="shared" si="7"/>
        <v>6.4998375040657645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0.1205625</v>
      </c>
      <c r="C22" s="86">
        <f t="shared" si="2"/>
        <v>0</v>
      </c>
      <c r="D22" s="74">
        <f t="shared" si="3"/>
        <v>0.1205625</v>
      </c>
      <c r="E22">
        <f>COUNTIF(tables_399010!C:C,input_399010!A22)-COUNTIF(Q:Q,A22)</f>
        <v>12</v>
      </c>
      <c r="F22" s="43">
        <f t="shared" si="8"/>
        <v>1.0046875E-2</v>
      </c>
      <c r="G22">
        <f t="shared" si="4"/>
        <v>1273140</v>
      </c>
      <c r="H22">
        <f t="shared" si="5"/>
        <v>106095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B$7*E23*E6-0.003</f>
        <v>3.1875000000000011E-3</v>
      </c>
      <c r="C23" s="86">
        <f t="shared" si="2"/>
        <v>0</v>
      </c>
      <c r="D23" s="74">
        <f t="shared" si="3"/>
        <v>3.1875000000000011E-3</v>
      </c>
      <c r="E23">
        <f>COUNTIF(tables_399010!C:C,input_399010!A23)-COUNTIF(Q:Q,A23)</f>
        <v>12</v>
      </c>
      <c r="F23" s="43">
        <f t="shared" si="8"/>
        <v>2.6562500000000007E-4</v>
      </c>
      <c r="G23">
        <f t="shared" si="4"/>
        <v>33660.000000000015</v>
      </c>
      <c r="H23">
        <f t="shared" si="5"/>
        <v>2805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2.0625000000000001E-2</v>
      </c>
      <c r="C24" s="86">
        <f t="shared" si="2"/>
        <v>0</v>
      </c>
      <c r="D24" s="74">
        <f t="shared" si="3"/>
        <v>2.0625000000000001E-2</v>
      </c>
      <c r="E24">
        <f>COUNTIF(tables_399010!C:C,input_399010!A24)-COUNTIF(Q:Q,A24)</f>
        <v>4</v>
      </c>
      <c r="F24" s="43">
        <f t="shared" si="8"/>
        <v>5.1562500000000002E-3</v>
      </c>
      <c r="G24">
        <f t="shared" si="4"/>
        <v>217800</v>
      </c>
      <c r="H24">
        <f t="shared" si="5"/>
        <v>54450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1.8562500000000003E-2</v>
      </c>
      <c r="C25" s="86">
        <f t="shared" si="2"/>
        <v>0</v>
      </c>
      <c r="D25" s="74">
        <f t="shared" si="3"/>
        <v>1.8562500000000003E-2</v>
      </c>
      <c r="E25">
        <f>COUNTIF(tables_399010!C:C,input_399010!A25)-COUNTIF(Q:Q,A25)</f>
        <v>4</v>
      </c>
      <c r="F25" s="43">
        <f t="shared" si="8"/>
        <v>4.6406250000000007E-3</v>
      </c>
      <c r="G25">
        <f t="shared" si="4"/>
        <v>196020.00000000003</v>
      </c>
      <c r="H25">
        <f t="shared" si="5"/>
        <v>49005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2.0625000000000001E-3</v>
      </c>
      <c r="C26" s="86">
        <f t="shared" si="2"/>
        <v>0</v>
      </c>
      <c r="D26" s="74">
        <f t="shared" si="3"/>
        <v>2.0625000000000001E-3</v>
      </c>
      <c r="E26">
        <f>COUNTIF(tables_399010!C:C,input_399010!A26)-COUNTIF(Q:Q,A26)</f>
        <v>4</v>
      </c>
      <c r="F26" s="43">
        <f t="shared" si="8"/>
        <v>5.1562500000000002E-4</v>
      </c>
      <c r="G26">
        <f t="shared" si="4"/>
        <v>21780</v>
      </c>
      <c r="H26">
        <f t="shared" si="5"/>
        <v>5445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E$5*E27*(B$5+B$6)+B33+E36</f>
        <v>5.0698863636363632E-2</v>
      </c>
      <c r="C27" s="86">
        <f t="shared" si="2"/>
        <v>0</v>
      </c>
      <c r="D27" s="74">
        <f t="shared" si="3"/>
        <v>5.0698863636363632E-2</v>
      </c>
      <c r="E27">
        <f>COUNTIF(tables_399010!C:C,input_399010!A27)-COUNTIF(Q:Q,A27)</f>
        <v>28</v>
      </c>
      <c r="F27" s="43">
        <f>IFERROR(B27/E27,0)</f>
        <v>1.8106737012987012E-3</v>
      </c>
      <c r="G27">
        <f t="shared" si="4"/>
        <v>535380</v>
      </c>
      <c r="H27">
        <f t="shared" si="5"/>
        <v>19120.71429</v>
      </c>
      <c r="I27">
        <f t="shared" si="6"/>
        <v>0.71428999999989173</v>
      </c>
      <c r="J27">
        <f t="shared" si="7"/>
        <v>1.3999916000506119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E$5*E28*0.05</f>
        <v>2.1874999999999998E-3</v>
      </c>
      <c r="C28" s="86">
        <f t="shared" si="2"/>
        <v>0</v>
      </c>
      <c r="D28" s="74">
        <f t="shared" si="3"/>
        <v>2.1874999999999998E-3</v>
      </c>
      <c r="E28">
        <f>COUNTIF(tables_399010!C:C,input_399010!A28)-COUNTIF(Q:Q,A28)</f>
        <v>28</v>
      </c>
      <c r="F28" s="43">
        <f t="shared" si="8"/>
        <v>7.8124999999999988E-5</v>
      </c>
      <c r="G28">
        <f t="shared" si="4"/>
        <v>23099.999999999996</v>
      </c>
      <c r="H28">
        <f t="shared" si="5"/>
        <v>825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E$5*E29-E36</f>
        <v>2.211363636363636E-2</v>
      </c>
      <c r="C29" s="86">
        <f t="shared" si="2"/>
        <v>0</v>
      </c>
      <c r="D29" s="74">
        <f t="shared" si="3"/>
        <v>2.211363636363636E-2</v>
      </c>
      <c r="E29">
        <f>COUNTIF(tables_399010!C:C,input_399010!A29)-COUNTIF(Q:Q,A29)</f>
        <v>20</v>
      </c>
      <c r="F29" s="43">
        <f t="shared" si="8"/>
        <v>1.1056818181818179E-3</v>
      </c>
      <c r="G29">
        <f t="shared" si="4"/>
        <v>233519.99999999997</v>
      </c>
      <c r="H29">
        <f t="shared" si="5"/>
        <v>11676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240</v>
      </c>
      <c r="B30" s="56">
        <f>0</f>
        <v>0</v>
      </c>
      <c r="C30" s="86">
        <f t="shared" si="2"/>
        <v>2.3749999999999999E-3</v>
      </c>
      <c r="D30" s="74">
        <f t="shared" si="3"/>
        <v>-2.3749999999999999E-3</v>
      </c>
      <c r="E30">
        <f>COUNTIF(tables_399010!C:C,input_399010!A30)-COUNTIF(Q:Q,A30)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241</v>
      </c>
      <c r="B31" s="56">
        <v>0</v>
      </c>
      <c r="C31" s="86">
        <f t="shared" si="2"/>
        <v>1.5125000000000001E-2</v>
      </c>
      <c r="D31" s="74">
        <f t="shared" si="3"/>
        <v>-1.5125000000000001E-2</v>
      </c>
      <c r="E31">
        <f>COUNTIF(tables_399010!C:C,input_399010!A31)-COUNTIF(Q:Q,A31)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0.98249999998863635</v>
      </c>
      <c r="C32" s="41">
        <f>SUM(C19:C31)</f>
        <v>1.7500000000000002E-2</v>
      </c>
      <c r="D32" s="42">
        <f t="shared" si="3"/>
        <v>0.96499999998863639</v>
      </c>
      <c r="L32" s="57"/>
      <c r="M32" s="57"/>
      <c r="N32" s="57"/>
      <c r="O32" s="57"/>
      <c r="P32" s="57"/>
      <c r="Q32" s="57"/>
      <c r="R32" s="59"/>
    </row>
    <row r="33" spans="1:7" x14ac:dyDescent="0.15">
      <c r="B33" s="101"/>
    </row>
    <row r="34" spans="1:7" x14ac:dyDescent="0.15">
      <c r="B34" s="100"/>
      <c r="E34" s="96">
        <f>3.06363636363636%</f>
        <v>3.06363636363636E-2</v>
      </c>
      <c r="F34">
        <v>4.3125000113636847E-3</v>
      </c>
      <c r="G34" s="96"/>
    </row>
    <row r="35" spans="1:7" x14ac:dyDescent="0.15">
      <c r="A35" t="s">
        <v>73</v>
      </c>
      <c r="E35" s="55">
        <v>2.63238636363636E-2</v>
      </c>
      <c r="F35">
        <v>4.8352272878785518E-3</v>
      </c>
    </row>
    <row r="36" spans="1:7" x14ac:dyDescent="0.15">
      <c r="A36" s="31">
        <f>LCM(F5-I5,F6-I6)*1000*2*2*5</f>
        <v>10560000</v>
      </c>
      <c r="E36">
        <v>9.1363636363636369E-3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SUMIF(tables_399010!C:C,input_399010!A40,tables_399010!O:O)</f>
        <v>2831400</v>
      </c>
      <c r="C40" s="54">
        <f t="shared" ref="C40:C46" ca="1" si="9">B40/B$47</f>
        <v>0.48008057294701445</v>
      </c>
      <c r="E40">
        <v>3</v>
      </c>
      <c r="F40">
        <f ca="1">SUMIF(tables_399010!J:J,input_399010!E40,tables_399010!O:O)</f>
        <v>5280000</v>
      </c>
      <c r="G40">
        <f ca="1">F40/A36</f>
        <v>0.5</v>
      </c>
    </row>
    <row r="41" spans="1:7" x14ac:dyDescent="0.15">
      <c r="A41" s="33" t="s">
        <v>104</v>
      </c>
      <c r="B41">
        <f ca="1">SUMIF(tables_399010!C:C,input_399010!A41,tables_399010!O:O)</f>
        <v>2451659.99988</v>
      </c>
      <c r="C41" s="54">
        <f t="shared" ca="1" si="9"/>
        <v>0.41569341577087937</v>
      </c>
      <c r="E41">
        <v>4</v>
      </c>
      <c r="F41">
        <f ca="1">SUMIF(tables_399010!J:J,input_399010!E41,tables_399010!O:O)</f>
        <v>4752000.0000000037</v>
      </c>
      <c r="G41">
        <f ca="1">F41/A36</f>
        <v>0.45000000000000034</v>
      </c>
    </row>
    <row r="42" spans="1:7" x14ac:dyDescent="0.15">
      <c r="A42" s="33" t="s">
        <v>106</v>
      </c>
      <c r="B42">
        <f ca="1">SUMIF(tables_399010!C:C,input_399010!A42,tables_399010!O:O)</f>
        <v>535380.00011999963</v>
      </c>
      <c r="C42" s="54">
        <f t="shared" ca="1" si="9"/>
        <v>9.0776837324991907E-2</v>
      </c>
      <c r="E42">
        <v>5</v>
      </c>
      <c r="F42">
        <f ca="1">SUMIF(tables_399010!J:J,input_399010!E42,tables_399010!O:O)</f>
        <v>528000.00020000013</v>
      </c>
      <c r="G42">
        <f ca="1">F42/A36</f>
        <v>5.0000000018939408E-2</v>
      </c>
    </row>
    <row r="43" spans="1:7" x14ac:dyDescent="0.15">
      <c r="A43" s="33" t="s">
        <v>109</v>
      </c>
      <c r="B43">
        <f>SUMIF(tables_399010!C:C,input_399010!A43,tables_399010!O:O)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SUMIF(tables_399010!C:C,input_399010!A44,tables_399010!O:O)</f>
        <v>56220.000200000039</v>
      </c>
      <c r="C44" s="54">
        <f t="shared" ca="1" si="9"/>
        <v>9.5324326859847729E-3</v>
      </c>
      <c r="E44" t="s">
        <v>54</v>
      </c>
      <c r="F44" s="55"/>
    </row>
    <row r="45" spans="1:7" x14ac:dyDescent="0.15">
      <c r="A45" s="33" t="s">
        <v>107</v>
      </c>
      <c r="B45">
        <f ca="1">SUMIF(tables_399010!C:C,input_399010!A45,tables_399010!O:O)</f>
        <v>23100</v>
      </c>
      <c r="C45" s="54">
        <f t="shared" ca="1" si="9"/>
        <v>3.9167412711294883E-3</v>
      </c>
      <c r="E45" t="s">
        <v>204</v>
      </c>
      <c r="F45" s="55">
        <f ca="1">SUMIF(tables_399010!I:I,input_399010!E45,tables_399010!P:P)</f>
        <v>0.23688636363187687</v>
      </c>
    </row>
    <row r="46" spans="1:7" x14ac:dyDescent="0.15">
      <c r="A46" s="33" t="s">
        <v>108</v>
      </c>
      <c r="B46">
        <f>SUMIF(tables_399010!C:C,input_399010!A46,tables_399010!O:O)</f>
        <v>0</v>
      </c>
      <c r="C46" s="54">
        <f t="shared" ca="1" si="9"/>
        <v>0</v>
      </c>
      <c r="E46" t="s">
        <v>205</v>
      </c>
      <c r="F46" s="55">
        <f ca="1">SUMIF(tables_399010!I:I,input_399010!E46,tables_399010!P:P)</f>
        <v>0.19623426573302544</v>
      </c>
    </row>
    <row r="47" spans="1:7" x14ac:dyDescent="0.15">
      <c r="A47" s="39" t="s">
        <v>59</v>
      </c>
      <c r="B47">
        <f ca="1">SUM(B40:B46)</f>
        <v>5897760.0001999997</v>
      </c>
      <c r="C47" s="55">
        <f ca="1">SUM(C40:C46)</f>
        <v>1</v>
      </c>
      <c r="E47" t="s">
        <v>206</v>
      </c>
      <c r="F47" s="55">
        <f ca="1">SUMIF(tables_399010!I:I,input_399010!E47,tables_399010!P:P)</f>
        <v>0.47437937062548441</v>
      </c>
    </row>
    <row r="48" spans="1:7" x14ac:dyDescent="0.15">
      <c r="E48" t="s">
        <v>207</v>
      </c>
      <c r="F48" s="55">
        <f ca="1">SUMIF(tables_399010!I:I,input_399010!E48,tables_399010!P:P)</f>
        <v>7.3894318191782118E-2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14"/>
  <sheetViews>
    <sheetView showGridLines="0" zoomScale="75" zoomScaleNormal="75" zoomScalePageLayoutView="75" workbookViewId="0">
      <pane ySplit="1" topLeftCell="A283" activePane="bottomLeft" state="frozen"/>
      <selection activeCell="H276" sqref="H276"/>
      <selection pane="bottomLeft" activeCell="E307" sqref="E30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input_399010!A$2</f>
        <v>399010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IFERROR(VLOOKUP(B2,input_399010!L:R,7,FALSE),VLOOKUP(tables_399010!C2,input_399010!A:H,8,FALSE))</f>
        <v>111540</v>
      </c>
      <c r="P2" s="46">
        <f t="shared" ref="P2:P65" ca="1" si="1">O2/SUM(O:O)</f>
        <v>1.056249999979994E-2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input_399010!A$2</f>
        <v>399010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IFERROR(VLOOKUP(B3,input_399010!L:R,7,FALSE),VLOOKUP(tables_399010!C3,input_399010!A:H,8,FALSE))</f>
        <v>13536</v>
      </c>
      <c r="P3" s="46">
        <f t="shared" ca="1" si="1"/>
        <v>1.2818181817939034E-3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input_399010!A$2</f>
        <v>399010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IFERROR(VLOOKUP(B4,input_399010!L:R,7,FALSE),VLOOKUP(tables_399010!C4,input_399010!A:H,8,FALSE))</f>
        <v>111540</v>
      </c>
      <c r="P4" s="46">
        <f t="shared" ca="1" si="1"/>
        <v>1.056249999979994E-2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input_399010!A$2</f>
        <v>399010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IFERROR(VLOOKUP(B5,input_399010!L:R,7,FALSE),VLOOKUP(tables_399010!C5,input_399010!A:H,8,FALSE))</f>
        <v>13536</v>
      </c>
      <c r="P5" s="46">
        <f t="shared" ca="1" si="1"/>
        <v>1.2818181817939034E-3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input_399010!A$2</f>
        <v>399010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IFERROR(VLOOKUP(B6,input_399010!L:R,7,FALSE),VLOOKUP(tables_399010!C6,input_399010!A:H,8,FALSE))</f>
        <v>111540</v>
      </c>
      <c r="P6" s="46">
        <f t="shared" ca="1" si="1"/>
        <v>1.056249999979994E-2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input_399010!A$2</f>
        <v>399010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IFERROR(VLOOKUP(B7,input_399010!L:R,7,FALSE),VLOOKUP(tables_399010!C7,input_399010!A:H,8,FALSE))</f>
        <v>13536</v>
      </c>
      <c r="P7" s="46">
        <f t="shared" ca="1" si="1"/>
        <v>1.2818181817939034E-3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input_399010!A$2</f>
        <v>399010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IFERROR(VLOOKUP(B8,input_399010!L:R,7,FALSE),VLOOKUP(tables_399010!C8,input_399010!A:H,8,FALSE))</f>
        <v>111540</v>
      </c>
      <c r="P8" s="46">
        <f t="shared" ca="1" si="1"/>
        <v>1.056249999979994E-2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input_399010!A$2</f>
        <v>399010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IFERROR(VLOOKUP(B9,input_399010!L:R,7,FALSE),VLOOKUP(tables_399010!C9,input_399010!A:H,8,FALSE))</f>
        <v>13536</v>
      </c>
      <c r="P9" s="46">
        <f t="shared" ca="1" si="1"/>
        <v>1.2818181817939034E-3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input_399010!A$2</f>
        <v>399010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IFERROR(VLOOKUP(B10,input_399010!L:R,7,FALSE),VLOOKUP(tables_399010!C10,input_399010!A:H,8,FALSE))</f>
        <v>111540</v>
      </c>
      <c r="P10" s="46">
        <f t="shared" ca="1" si="1"/>
        <v>1.056249999979994E-2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input_399010!A$2</f>
        <v>399010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IFERROR(VLOOKUP(B11,input_399010!L:R,7,FALSE),VLOOKUP(tables_399010!C11,input_399010!A:H,8,FALSE))</f>
        <v>13536</v>
      </c>
      <c r="P11" s="46">
        <f t="shared" ca="1" si="1"/>
        <v>1.2818181817939034E-3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input_399010!A$2</f>
        <v>399010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IFERROR(VLOOKUP(B12,input_399010!L:R,7,FALSE),VLOOKUP(tables_399010!C12,input_399010!A:H,8,FALSE))</f>
        <v>111540</v>
      </c>
      <c r="P12" s="46">
        <f t="shared" ca="1" si="1"/>
        <v>1.056249999979994E-2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input_399010!A$2</f>
        <v>399010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IFERROR(VLOOKUP(B13,input_399010!L:R,7,FALSE),VLOOKUP(tables_399010!C13,input_399010!A:H,8,FALSE))</f>
        <v>13536</v>
      </c>
      <c r="P13" s="46">
        <f t="shared" ca="1" si="1"/>
        <v>1.2818181817939034E-3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input_399010!A$2</f>
        <v>399010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IFERROR(VLOOKUP(B14,input_399010!L:R,7,FALSE),VLOOKUP(tables_399010!C14,input_399010!A:H,8,FALSE))</f>
        <v>111540</v>
      </c>
      <c r="P14" s="46">
        <f t="shared" ca="1" si="1"/>
        <v>1.056249999979994E-2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input_399010!A$2</f>
        <v>399010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IFERROR(VLOOKUP(B15,input_399010!L:R,7,FALSE),VLOOKUP(tables_399010!C15,input_399010!A:H,8,FALSE))</f>
        <v>13536</v>
      </c>
      <c r="P15" s="46">
        <f t="shared" ca="1" si="1"/>
        <v>1.2818181817939034E-3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input_399010!A$2</f>
        <v>399010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IFERROR(VLOOKUP(B16,input_399010!L:R,7,FALSE),VLOOKUP(tables_399010!C16,input_399010!A:H,8,FALSE))</f>
        <v>111540</v>
      </c>
      <c r="P16" s="46">
        <f t="shared" ca="1" si="1"/>
        <v>1.056249999979994E-2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input_399010!A$2</f>
        <v>399010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IFERROR(VLOOKUP(B17,input_399010!L:R,7,FALSE),VLOOKUP(tables_399010!C17,input_399010!A:H,8,FALSE))</f>
        <v>13536</v>
      </c>
      <c r="P17" s="46">
        <f t="shared" ca="1" si="1"/>
        <v>1.2818181817939034E-3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input_399010!A$2</f>
        <v>399010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IFERROR(VLOOKUP(B18,input_399010!L:R,7,FALSE),VLOOKUP(tables_399010!C18,input_399010!A:H,8,FALSE))</f>
        <v>111540</v>
      </c>
      <c r="P18" s="46">
        <f t="shared" ca="1" si="1"/>
        <v>1.056249999979994E-2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input_399010!A$2</f>
        <v>399010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IFERROR(VLOOKUP(B19,input_399010!L:R,7,FALSE),VLOOKUP(tables_399010!C19,input_399010!A:H,8,FALSE))</f>
        <v>13536</v>
      </c>
      <c r="P19" s="46">
        <f t="shared" ca="1" si="1"/>
        <v>1.2818181817939034E-3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input_399010!A$2</f>
        <v>399010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IFERROR(VLOOKUP(B20,input_399010!L:R,7,FALSE),VLOOKUP(tables_399010!C20,input_399010!A:H,8,FALSE))</f>
        <v>111540</v>
      </c>
      <c r="P20" s="46">
        <f t="shared" ca="1" si="1"/>
        <v>1.056249999979994E-2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input_399010!A$2</f>
        <v>399010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IFERROR(VLOOKUP(B21,input_399010!L:R,7,FALSE),VLOOKUP(tables_399010!C21,input_399010!A:H,8,FALSE))</f>
        <v>13536</v>
      </c>
      <c r="P21" s="46">
        <f t="shared" ca="1" si="1"/>
        <v>1.2818181817939034E-3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input_399010!A$2</f>
        <v>399010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IFERROR(VLOOKUP(B22,input_399010!L:R,7,FALSE),VLOOKUP(tables_399010!C22,input_399010!A:H,8,FALSE))</f>
        <v>111540</v>
      </c>
      <c r="P22" s="46">
        <f t="shared" ca="1" si="1"/>
        <v>1.056249999979994E-2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input_399010!A$2</f>
        <v>399010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IFERROR(VLOOKUP(B23,input_399010!L:R,7,FALSE),VLOOKUP(tables_399010!C23,input_399010!A:H,8,FALSE))</f>
        <v>13536</v>
      </c>
      <c r="P23" s="46">
        <f t="shared" ca="1" si="1"/>
        <v>1.2818181817939034E-3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input_399010!A$2</f>
        <v>399010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IFERROR(VLOOKUP(B24,input_399010!L:R,7,FALSE),VLOOKUP(tables_399010!C24,input_399010!A:H,8,FALSE))</f>
        <v>111540</v>
      </c>
      <c r="P24" s="46">
        <f t="shared" ca="1" si="1"/>
        <v>1.056249999979994E-2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input_399010!A$2</f>
        <v>399010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IFERROR(VLOOKUP(B25,input_399010!L:R,7,FALSE),VLOOKUP(tables_399010!C25,input_399010!A:H,8,FALSE))</f>
        <v>13536</v>
      </c>
      <c r="P25" s="46">
        <f t="shared" ca="1" si="1"/>
        <v>1.2818181817939034E-3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input_399010!A$2</f>
        <v>399010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IFERROR(VLOOKUP(B26,input_399010!L:R,7,FALSE),VLOOKUP(tables_399010!C26,input_399010!A:H,8,FALSE))</f>
        <v>111540</v>
      </c>
      <c r="P26" s="46">
        <f t="shared" ca="1" si="1"/>
        <v>1.056249999979994E-2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input_399010!A$2</f>
        <v>399010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IFERROR(VLOOKUP(B27,input_399010!L:R,7,FALSE),VLOOKUP(tables_399010!C27,input_399010!A:H,8,FALSE))</f>
        <v>13536</v>
      </c>
      <c r="P27" s="46">
        <f t="shared" ca="1" si="1"/>
        <v>1.2818181817939034E-3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input_399010!A$2</f>
        <v>399010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IFERROR(VLOOKUP(B28,input_399010!L:R,7,FALSE),VLOOKUP(tables_399010!C28,input_399010!A:H,8,FALSE))</f>
        <v>111540</v>
      </c>
      <c r="P28" s="46">
        <f t="shared" ca="1" si="1"/>
        <v>1.056249999979994E-2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input_399010!A$2</f>
        <v>399010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IFERROR(VLOOKUP(B29,input_399010!L:R,7,FALSE),VLOOKUP(tables_399010!C29,input_399010!A:H,8,FALSE))</f>
        <v>13536</v>
      </c>
      <c r="P29" s="46">
        <f t="shared" ca="1" si="1"/>
        <v>1.2818181817939034E-3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input_399010!A$2</f>
        <v>399010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IFERROR(VLOOKUP(B30,input_399010!L:R,7,FALSE),VLOOKUP(tables_399010!C30,input_399010!A:H,8,FALSE))</f>
        <v>111540</v>
      </c>
      <c r="P30" s="46">
        <f t="shared" ca="1" si="1"/>
        <v>1.056249999979994E-2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input_399010!A$2</f>
        <v>399010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IFERROR(VLOOKUP(B31,input_399010!L:R,7,FALSE),VLOOKUP(tables_399010!C31,input_399010!A:H,8,FALSE))</f>
        <v>13536</v>
      </c>
      <c r="P31" s="46">
        <f t="shared" ca="1" si="1"/>
        <v>1.2818181817939034E-3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input_399010!A$2</f>
        <v>399010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IFERROR(VLOOKUP(B32,input_399010!L:R,7,FALSE),VLOOKUP(tables_399010!C32,input_399010!A:H,8,FALSE))</f>
        <v>111540</v>
      </c>
      <c r="P32" s="46">
        <f t="shared" ca="1" si="1"/>
        <v>1.056249999979994E-2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input_399010!A$2</f>
        <v>399010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IFERROR(VLOOKUP(B33,input_399010!L:R,7,FALSE),VLOOKUP(tables_399010!C33,input_399010!A:H,8,FALSE))</f>
        <v>13536</v>
      </c>
      <c r="P33" s="46">
        <f t="shared" ca="1" si="1"/>
        <v>1.2818181817939034E-3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input_399010!A$2</f>
        <v>399010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IFERROR(VLOOKUP(B34,input_399010!L:R,7,FALSE),VLOOKUP(tables_399010!C34,input_399010!A:H,8,FALSE))</f>
        <v>111540</v>
      </c>
      <c r="P34" s="46">
        <f t="shared" ca="1" si="1"/>
        <v>1.056249999979994E-2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input_399010!A$2</f>
        <v>399010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IFERROR(VLOOKUP(B35,input_399010!L:R,7,FALSE),VLOOKUP(tables_399010!C35,input_399010!A:H,8,FALSE))</f>
        <v>13536</v>
      </c>
      <c r="P35" s="46">
        <f t="shared" ca="1" si="1"/>
        <v>1.2818181817939034E-3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input_399010!A$2</f>
        <v>399010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IFERROR(VLOOKUP(B36,input_399010!L:R,7,FALSE),VLOOKUP(tables_399010!C36,input_399010!A:H,8,FALSE))</f>
        <v>111540</v>
      </c>
      <c r="P36" s="46">
        <f t="shared" ca="1" si="1"/>
        <v>1.056249999979994E-2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input_399010!A$2</f>
        <v>399010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IFERROR(VLOOKUP(B37,input_399010!L:R,7,FALSE),VLOOKUP(tables_399010!C37,input_399010!A:H,8,FALSE))</f>
        <v>13536</v>
      </c>
      <c r="P37" s="46">
        <f t="shared" ca="1" si="1"/>
        <v>1.2818181817939034E-3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input_399010!A$2</f>
        <v>399010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IFERROR(VLOOKUP(B38,input_399010!L:R,7,FALSE),VLOOKUP(tables_399010!C38,input_399010!A:H,8,FALSE))</f>
        <v>111540</v>
      </c>
      <c r="P38" s="46">
        <f t="shared" ca="1" si="1"/>
        <v>1.056249999979994E-2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input_399010!A$2</f>
        <v>399010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IFERROR(VLOOKUP(B39,input_399010!L:R,7,FALSE),VLOOKUP(tables_399010!C39,input_399010!A:H,8,FALSE))</f>
        <v>13536</v>
      </c>
      <c r="P39" s="46">
        <f t="shared" ca="1" si="1"/>
        <v>1.2818181817939034E-3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input_399010!A$2</f>
        <v>399010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IFERROR(VLOOKUP(B40,input_399010!L:R,7,FALSE),VLOOKUP(tables_399010!C40,input_399010!A:H,8,FALSE))</f>
        <v>111540</v>
      </c>
      <c r="P40" s="46">
        <f t="shared" ca="1" si="1"/>
        <v>1.056249999979994E-2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input_399010!A$2</f>
        <v>399010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IFERROR(VLOOKUP(B41,input_399010!L:R,7,FALSE),VLOOKUP(tables_399010!C41,input_399010!A:H,8,FALSE))</f>
        <v>13536</v>
      </c>
      <c r="P41" s="46">
        <f t="shared" ca="1" si="1"/>
        <v>1.2818181817939034E-3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input_399010!A$2</f>
        <v>399010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IFERROR(VLOOKUP(B42,input_399010!L:R,7,FALSE),VLOOKUP(tables_399010!C42,input_399010!A:H,8,FALSE))</f>
        <v>54450</v>
      </c>
      <c r="P42" s="46">
        <f t="shared" ca="1" si="1"/>
        <v>5.1562499999023379E-3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input_399010!A$2</f>
        <v>399010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IFERROR(VLOOKUP(B43,input_399010!L:R,7,FALSE),VLOOKUP(tables_399010!C43,input_399010!A:H,8,FALSE))</f>
        <v>49005</v>
      </c>
      <c r="P43" s="46">
        <f t="shared" ca="1" si="1"/>
        <v>4.6406249999121039E-3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input_399010!A$2</f>
        <v>399010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IFERROR(VLOOKUP(B44,input_399010!L:R,7,FALSE),VLOOKUP(tables_399010!C44,input_399010!A:H,8,FALSE))</f>
        <v>5445</v>
      </c>
      <c r="P44" s="46">
        <f t="shared" ca="1" si="1"/>
        <v>5.1562499999023375E-4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input_399010!A$2</f>
        <v>399010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IFERROR(VLOOKUP(B45,input_399010!L:R,7,FALSE),VLOOKUP(tables_399010!C45,input_399010!A:H,8,FALSE))</f>
        <v>54450</v>
      </c>
      <c r="P45" s="46">
        <f t="shared" ca="1" si="1"/>
        <v>5.1562499999023379E-3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input_399010!A$2</f>
        <v>399010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IFERROR(VLOOKUP(B46,input_399010!L:R,7,FALSE),VLOOKUP(tables_399010!C46,input_399010!A:H,8,FALSE))</f>
        <v>49005</v>
      </c>
      <c r="P46" s="46">
        <f t="shared" ca="1" si="1"/>
        <v>4.6406249999121039E-3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input_399010!A$2</f>
        <v>399010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IFERROR(VLOOKUP(B47,input_399010!L:R,7,FALSE),VLOOKUP(tables_399010!C47,input_399010!A:H,8,FALSE))</f>
        <v>5445</v>
      </c>
      <c r="P47" s="46">
        <f t="shared" ca="1" si="1"/>
        <v>5.1562499999023375E-4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input_399010!A$2</f>
        <v>399010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IFERROR(VLOOKUP(B48,input_399010!L:R,7,FALSE),VLOOKUP(tables_399010!C48,input_399010!A:H,8,FALSE))</f>
        <v>54450</v>
      </c>
      <c r="P48" s="46">
        <f t="shared" ca="1" si="1"/>
        <v>5.1562499999023379E-3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input_399010!A$2</f>
        <v>399010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IFERROR(VLOOKUP(B49,input_399010!L:R,7,FALSE),VLOOKUP(tables_399010!C49,input_399010!A:H,8,FALSE))</f>
        <v>49005</v>
      </c>
      <c r="P49" s="46">
        <f t="shared" ca="1" si="1"/>
        <v>4.6406249999121039E-3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input_399010!A$2</f>
        <v>399010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IFERROR(VLOOKUP(B50,input_399010!L:R,7,FALSE),VLOOKUP(tables_399010!C50,input_399010!A:H,8,FALSE))</f>
        <v>5445</v>
      </c>
      <c r="P50" s="46">
        <f t="shared" ca="1" si="1"/>
        <v>5.1562499999023375E-4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input_399010!A$2</f>
        <v>399010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IFERROR(VLOOKUP(B51,input_399010!L:R,7,FALSE),VLOOKUP(tables_399010!C51,input_399010!A:H,8,FALSE))</f>
        <v>54450</v>
      </c>
      <c r="P51" s="46">
        <f t="shared" ca="1" si="1"/>
        <v>5.1562499999023379E-3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input_399010!A$2</f>
        <v>399010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IFERROR(VLOOKUP(B52,input_399010!L:R,7,FALSE),VLOOKUP(tables_399010!C52,input_399010!A:H,8,FALSE))</f>
        <v>47147.307690000001</v>
      </c>
      <c r="P52" s="46">
        <f t="shared" ca="1" si="1"/>
        <v>4.4647071675290723E-3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input_399010!A$2</f>
        <v>399010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IFERROR(VLOOKUP(B53,input_399010!L:R,7,FALSE),VLOOKUP(tables_399010!C53,input_399010!A:H,8,FALSE))</f>
        <v>1081.1538499999999</v>
      </c>
      <c r="P53" s="46">
        <f t="shared" ca="1" si="1"/>
        <v>1.0238199336927294E-4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input_399010!A$2</f>
        <v>399010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IFERROR(VLOOKUP(B54,input_399010!L:R,7,FALSE),VLOOKUP(tables_399010!C54,input_399010!A:H,8,FALSE))</f>
        <v>54450</v>
      </c>
      <c r="P54" s="46">
        <f t="shared" ca="1" si="1"/>
        <v>5.1562499999023379E-3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input_399010!A$2</f>
        <v>399010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IFERROR(VLOOKUP(B55,input_399010!L:R,7,FALSE),VLOOKUP(tables_399010!C55,input_399010!A:H,8,FALSE))</f>
        <v>47147.307690000001</v>
      </c>
      <c r="P55" s="46">
        <f t="shared" ca="1" si="1"/>
        <v>4.4647071675290723E-3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input_399010!A$2</f>
        <v>399010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IFERROR(VLOOKUP(B56,input_399010!L:R,7,FALSE),VLOOKUP(tables_399010!C56,input_399010!A:H,8,FALSE))</f>
        <v>1081.1538499999999</v>
      </c>
      <c r="P56" s="46">
        <f t="shared" ca="1" si="1"/>
        <v>1.0238199336927294E-4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input_399010!A$2</f>
        <v>399010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IFERROR(VLOOKUP(B57,input_399010!L:R,7,FALSE),VLOOKUP(tables_399010!C57,input_399010!A:H,8,FALSE))</f>
        <v>54450</v>
      </c>
      <c r="P57" s="46">
        <f t="shared" ca="1" si="1"/>
        <v>5.1562499999023379E-3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input_399010!A$2</f>
        <v>399010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IFERROR(VLOOKUP(B58,input_399010!L:R,7,FALSE),VLOOKUP(tables_399010!C58,input_399010!A:H,8,FALSE))</f>
        <v>47147.307690000001</v>
      </c>
      <c r="P58" s="46">
        <f t="shared" ca="1" si="1"/>
        <v>4.4647071675290723E-3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input_399010!A$2</f>
        <v>399010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IFERROR(VLOOKUP(B59,input_399010!L:R,7,FALSE),VLOOKUP(tables_399010!C59,input_399010!A:H,8,FALSE))</f>
        <v>1081.1538499999999</v>
      </c>
      <c r="P59" s="46">
        <f t="shared" ca="1" si="1"/>
        <v>1.0238199336927294E-4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input_399010!A$2</f>
        <v>399010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IFERROR(VLOOKUP(B60,input_399010!L:R,7,FALSE),VLOOKUP(tables_399010!C60,input_399010!A:H,8,FALSE))</f>
        <v>54450</v>
      </c>
      <c r="P60" s="46">
        <f t="shared" ca="1" si="1"/>
        <v>5.1562499999023379E-3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input_399010!A$2</f>
        <v>399010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IFERROR(VLOOKUP(B61,input_399010!L:R,7,FALSE),VLOOKUP(tables_399010!C61,input_399010!A:H,8,FALSE))</f>
        <v>47147.307690000001</v>
      </c>
      <c r="P61" s="46">
        <f t="shared" ca="1" si="1"/>
        <v>4.4647071675290723E-3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input_399010!A$2</f>
        <v>399010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IFERROR(VLOOKUP(B62,input_399010!L:R,7,FALSE),VLOOKUP(tables_399010!C62,input_399010!A:H,8,FALSE))</f>
        <v>1081.1538499999999</v>
      </c>
      <c r="P62" s="46">
        <f t="shared" ca="1" si="1"/>
        <v>1.0238199336927294E-4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input_399010!A$2</f>
        <v>399010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IFERROR(VLOOKUP(B63,input_399010!L:R,7,FALSE),VLOOKUP(tables_399010!C63,input_399010!A:H,8,FALSE))</f>
        <v>54450</v>
      </c>
      <c r="P63" s="46">
        <f t="shared" ca="1" si="1"/>
        <v>5.1562499999023379E-3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input_399010!A$2</f>
        <v>399010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IFERROR(VLOOKUP(B64,input_399010!L:R,7,FALSE),VLOOKUP(tables_399010!C64,input_399010!A:H,8,FALSE))</f>
        <v>47147.307690000001</v>
      </c>
      <c r="P64" s="46">
        <f t="shared" ca="1" si="1"/>
        <v>4.4647071675290723E-3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input_399010!A$2</f>
        <v>399010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IFERROR(VLOOKUP(B65,input_399010!L:R,7,FALSE),VLOOKUP(tables_399010!C65,input_399010!A:H,8,FALSE))</f>
        <v>1081.1538499999999</v>
      </c>
      <c r="P65" s="46">
        <f t="shared" ca="1" si="1"/>
        <v>1.0238199336927294E-4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input_399010!A$2</f>
        <v>399010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IFERROR(VLOOKUP(B66,input_399010!L:R,7,FALSE),VLOOKUP(tables_399010!C66,input_399010!A:H,8,FALSE))</f>
        <v>54450</v>
      </c>
      <c r="P66" s="46">
        <f t="shared" ref="P66:P129" ca="1" si="4">O66/SUM(O:O)</f>
        <v>5.1562499999023379E-3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input_399010!A$2</f>
        <v>399010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IFERROR(VLOOKUP(B67,input_399010!L:R,7,FALSE),VLOOKUP(tables_399010!C67,input_399010!A:H,8,FALSE))</f>
        <v>47147.307690000001</v>
      </c>
      <c r="P67" s="46">
        <f t="shared" ca="1" si="4"/>
        <v>4.4647071675290723E-3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input_399010!A$2</f>
        <v>399010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IFERROR(VLOOKUP(B68,input_399010!L:R,7,FALSE),VLOOKUP(tables_399010!C68,input_399010!A:H,8,FALSE))</f>
        <v>1081.1538499999999</v>
      </c>
      <c r="P68" s="46">
        <f t="shared" ca="1" si="4"/>
        <v>1.0238199336927294E-4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input_399010!A$2</f>
        <v>399010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IFERROR(VLOOKUP(B69,input_399010!L:R,7,FALSE),VLOOKUP(tables_399010!C69,input_399010!A:H,8,FALSE))</f>
        <v>54450</v>
      </c>
      <c r="P69" s="46">
        <f t="shared" ca="1" si="4"/>
        <v>5.1562499999023379E-3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input_399010!A$2</f>
        <v>399010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IFERROR(VLOOKUP(B70,input_399010!L:R,7,FALSE),VLOOKUP(tables_399010!C70,input_399010!A:H,8,FALSE))</f>
        <v>47147.307690000001</v>
      </c>
      <c r="P70" s="46">
        <f t="shared" ca="1" si="4"/>
        <v>4.4647071675290723E-3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input_399010!A$2</f>
        <v>399010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IFERROR(VLOOKUP(B71,input_399010!L:R,7,FALSE),VLOOKUP(tables_399010!C71,input_399010!A:H,8,FALSE))</f>
        <v>1081.1538499999999</v>
      </c>
      <c r="P71" s="46">
        <f t="shared" ca="1" si="4"/>
        <v>1.0238199336927294E-4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input_399010!A$2</f>
        <v>399010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IFERROR(VLOOKUP(B72,input_399010!L:R,7,FALSE),VLOOKUP(tables_399010!C72,input_399010!A:H,8,FALSE))</f>
        <v>54450</v>
      </c>
      <c r="P72" s="46">
        <f t="shared" ca="1" si="4"/>
        <v>5.1562499999023379E-3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input_399010!A$2</f>
        <v>399010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IFERROR(VLOOKUP(B73,input_399010!L:R,7,FALSE),VLOOKUP(tables_399010!C73,input_399010!A:H,8,FALSE))</f>
        <v>47147.307690000001</v>
      </c>
      <c r="P73" s="46">
        <f t="shared" ca="1" si="4"/>
        <v>4.4647071675290723E-3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input_399010!A$2</f>
        <v>399010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IFERROR(VLOOKUP(B74,input_399010!L:R,7,FALSE),VLOOKUP(tables_399010!C74,input_399010!A:H,8,FALSE))</f>
        <v>1081.1538499999999</v>
      </c>
      <c r="P74" s="46">
        <f t="shared" ca="1" si="4"/>
        <v>1.0238199336927294E-4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input_399010!A$2</f>
        <v>399010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IFERROR(VLOOKUP(B75,input_399010!L:R,7,FALSE),VLOOKUP(tables_399010!C75,input_399010!A:H,8,FALSE))</f>
        <v>54450</v>
      </c>
      <c r="P75" s="46">
        <f t="shared" ca="1" si="4"/>
        <v>5.1562499999023379E-3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input_399010!A$2</f>
        <v>399010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IFERROR(VLOOKUP(B76,input_399010!L:R,7,FALSE),VLOOKUP(tables_399010!C76,input_399010!A:H,8,FALSE))</f>
        <v>47147.307690000001</v>
      </c>
      <c r="P76" s="46">
        <f t="shared" ca="1" si="4"/>
        <v>4.4647071675290723E-3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input_399010!A$2</f>
        <v>399010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IFERROR(VLOOKUP(B77,input_399010!L:R,7,FALSE),VLOOKUP(tables_399010!C77,input_399010!A:H,8,FALSE))</f>
        <v>1081.1538499999999</v>
      </c>
      <c r="P77" s="46">
        <f t="shared" ca="1" si="4"/>
        <v>1.0238199336927294E-4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input_399010!A$2</f>
        <v>399010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IFERROR(VLOOKUP(B78,input_399010!L:R,7,FALSE),VLOOKUP(tables_399010!C78,input_399010!A:H,8,FALSE))</f>
        <v>54450</v>
      </c>
      <c r="P78" s="46">
        <f t="shared" ca="1" si="4"/>
        <v>5.1562499999023379E-3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input_399010!A$2</f>
        <v>399010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IFERROR(VLOOKUP(B79,input_399010!L:R,7,FALSE),VLOOKUP(tables_399010!C79,input_399010!A:H,8,FALSE))</f>
        <v>47147.307690000001</v>
      </c>
      <c r="P79" s="46">
        <f t="shared" ca="1" si="4"/>
        <v>4.4647071675290723E-3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input_399010!A$2</f>
        <v>399010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IFERROR(VLOOKUP(B80,input_399010!L:R,7,FALSE),VLOOKUP(tables_399010!C80,input_399010!A:H,8,FALSE))</f>
        <v>1081.1538499999999</v>
      </c>
      <c r="P80" s="46">
        <f t="shared" ca="1" si="4"/>
        <v>1.0238199336927294E-4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input_399010!A$2</f>
        <v>399010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IFERROR(VLOOKUP(B81,input_399010!L:R,7,FALSE),VLOOKUP(tables_399010!C81,input_399010!A:H,8,FALSE))</f>
        <v>54450</v>
      </c>
      <c r="P81" s="46">
        <f t="shared" ca="1" si="4"/>
        <v>5.1562499999023379E-3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input_399010!A$2</f>
        <v>399010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IFERROR(VLOOKUP(B82,input_399010!L:R,7,FALSE),VLOOKUP(tables_399010!C82,input_399010!A:H,8,FALSE))</f>
        <v>47147.307690000001</v>
      </c>
      <c r="P82" s="46">
        <f t="shared" ca="1" si="4"/>
        <v>4.4647071675290723E-3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input_399010!A$2</f>
        <v>399010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IFERROR(VLOOKUP(B83,input_399010!L:R,7,FALSE),VLOOKUP(tables_399010!C83,input_399010!A:H,8,FALSE))</f>
        <v>1081.1538499999999</v>
      </c>
      <c r="P83" s="46">
        <f t="shared" ca="1" si="4"/>
        <v>1.0238199336927294E-4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input_399010!A$2</f>
        <v>399010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IFERROR(VLOOKUP(B84,input_399010!L:R,7,FALSE),VLOOKUP(tables_399010!C84,input_399010!A:H,8,FALSE))</f>
        <v>54450</v>
      </c>
      <c r="P84" s="46">
        <f t="shared" ca="1" si="4"/>
        <v>5.1562499999023379E-3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input_399010!A$2</f>
        <v>399010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IFERROR(VLOOKUP(B85,input_399010!L:R,7,FALSE),VLOOKUP(tables_399010!C85,input_399010!A:H,8,FALSE))</f>
        <v>47147.307690000001</v>
      </c>
      <c r="P85" s="46">
        <f t="shared" ca="1" si="4"/>
        <v>4.4647071675290723E-3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input_399010!A$2</f>
        <v>399010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IFERROR(VLOOKUP(B86,input_399010!L:R,7,FALSE),VLOOKUP(tables_399010!C86,input_399010!A:H,8,FALSE))</f>
        <v>1081.1538499999999</v>
      </c>
      <c r="P86" s="46">
        <f t="shared" ca="1" si="4"/>
        <v>1.0238199336927294E-4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input_399010!A$2</f>
        <v>399010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IFERROR(VLOOKUP(B87,input_399010!L:R,7,FALSE),VLOOKUP(tables_399010!C87,input_399010!A:H,8,FALSE))</f>
        <v>54450</v>
      </c>
      <c r="P87" s="46">
        <f t="shared" ca="1" si="4"/>
        <v>5.1562499999023379E-3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input_399010!A$2</f>
        <v>399010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IFERROR(VLOOKUP(B88,input_399010!L:R,7,FALSE),VLOOKUP(tables_399010!C88,input_399010!A:H,8,FALSE))</f>
        <v>47147.307690000001</v>
      </c>
      <c r="P88" s="46">
        <f t="shared" ca="1" si="4"/>
        <v>4.4647071675290723E-3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input_399010!A$2</f>
        <v>399010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IFERROR(VLOOKUP(B89,input_399010!L:R,7,FALSE),VLOOKUP(tables_399010!C89,input_399010!A:H,8,FALSE))</f>
        <v>1081.1538499999999</v>
      </c>
      <c r="P89" s="46">
        <f t="shared" ca="1" si="4"/>
        <v>1.0238199336927294E-4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input_399010!A$2</f>
        <v>399010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IFERROR(VLOOKUP(B90,input_399010!L:R,7,FALSE),VLOOKUP(tables_399010!C90,input_399010!A:H,8,FALSE))</f>
        <v>54450</v>
      </c>
      <c r="P90" s="46">
        <f t="shared" ca="1" si="4"/>
        <v>5.1562499999023379E-3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input_399010!A$2</f>
        <v>399010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IFERROR(VLOOKUP(B91,input_399010!L:R,7,FALSE),VLOOKUP(tables_399010!C91,input_399010!A:H,8,FALSE))</f>
        <v>47147.307690000001</v>
      </c>
      <c r="P91" s="46">
        <f t="shared" ca="1" si="4"/>
        <v>4.4647071675290723E-3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input_399010!A$2</f>
        <v>399010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IFERROR(VLOOKUP(B92,input_399010!L:R,7,FALSE),VLOOKUP(tables_399010!C92,input_399010!A:H,8,FALSE))</f>
        <v>1081.1538499999999</v>
      </c>
      <c r="P92" s="46">
        <f t="shared" ca="1" si="4"/>
        <v>1.0238199336927294E-4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input_399010!A$2</f>
        <v>399010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IFERROR(VLOOKUP(B93,input_399010!L:R,7,FALSE),VLOOKUP(tables_399010!C93,input_399010!A:H,8,FALSE))</f>
        <v>54450</v>
      </c>
      <c r="P93" s="46">
        <f t="shared" ca="1" si="4"/>
        <v>5.1562499999023379E-3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input_399010!A$2</f>
        <v>399010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IFERROR(VLOOKUP(B94,input_399010!L:R,7,FALSE),VLOOKUP(tables_399010!C94,input_399010!A:H,8,FALSE))</f>
        <v>47147.307690000001</v>
      </c>
      <c r="P94" s="46">
        <f t="shared" ca="1" si="4"/>
        <v>4.4647071675290723E-3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input_399010!A$2</f>
        <v>399010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IFERROR(VLOOKUP(B95,input_399010!L:R,7,FALSE),VLOOKUP(tables_399010!C95,input_399010!A:H,8,FALSE))</f>
        <v>1081.1538499999999</v>
      </c>
      <c r="P95" s="46">
        <f t="shared" ca="1" si="4"/>
        <v>1.0238199336927294E-4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input_399010!A$2</f>
        <v>399010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IFERROR(VLOOKUP(B96,input_399010!L:R,7,FALSE),VLOOKUP(tables_399010!C96,input_399010!A:H,8,FALSE))</f>
        <v>54450</v>
      </c>
      <c r="P96" s="46">
        <f t="shared" ca="1" si="4"/>
        <v>5.1562499999023379E-3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input_399010!A$2</f>
        <v>399010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IFERROR(VLOOKUP(B97,input_399010!L:R,7,FALSE),VLOOKUP(tables_399010!C97,input_399010!A:H,8,FALSE))</f>
        <v>47147.307690000001</v>
      </c>
      <c r="P97" s="46">
        <f t="shared" ca="1" si="4"/>
        <v>4.4647071675290723E-3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input_399010!A$2</f>
        <v>399010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IFERROR(VLOOKUP(B98,input_399010!L:R,7,FALSE),VLOOKUP(tables_399010!C98,input_399010!A:H,8,FALSE))</f>
        <v>1081.1538499999999</v>
      </c>
      <c r="P98" s="46">
        <f t="shared" ca="1" si="4"/>
        <v>1.0238199336927294E-4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input_399010!A$2</f>
        <v>399010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IFERROR(VLOOKUP(B99,input_399010!L:R,7,FALSE),VLOOKUP(tables_399010!C99,input_399010!A:H,8,FALSE))</f>
        <v>54450</v>
      </c>
      <c r="P99" s="46">
        <f t="shared" ca="1" si="4"/>
        <v>5.1562499999023379E-3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input_399010!A$2</f>
        <v>399010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IFERROR(VLOOKUP(B100,input_399010!L:R,7,FALSE),VLOOKUP(tables_399010!C100,input_399010!A:H,8,FALSE))</f>
        <v>47147.307690000001</v>
      </c>
      <c r="P100" s="46">
        <f t="shared" ca="1" si="4"/>
        <v>4.4647071675290723E-3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input_399010!A$2</f>
        <v>399010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IFERROR(VLOOKUP(B101,input_399010!L:R,7,FALSE),VLOOKUP(tables_399010!C101,input_399010!A:H,8,FALSE))</f>
        <v>1081.1538499999999</v>
      </c>
      <c r="P101" s="46">
        <f t="shared" ca="1" si="4"/>
        <v>1.0238199336927294E-4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input_399010!A$2</f>
        <v>399010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IFERROR(VLOOKUP(B102,input_399010!L:R,7,FALSE),VLOOKUP(tables_399010!C102,input_399010!A:H,8,FALSE))</f>
        <v>54450</v>
      </c>
      <c r="P102" s="46">
        <f t="shared" ca="1" si="4"/>
        <v>5.1562499999023379E-3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input_399010!A$2</f>
        <v>399010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IFERROR(VLOOKUP(B103,input_399010!L:R,7,FALSE),VLOOKUP(tables_399010!C103,input_399010!A:H,8,FALSE))</f>
        <v>47147.307690000001</v>
      </c>
      <c r="P103" s="46">
        <f t="shared" ca="1" si="4"/>
        <v>4.4647071675290723E-3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input_399010!A$2</f>
        <v>399010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IFERROR(VLOOKUP(B104,input_399010!L:R,7,FALSE),VLOOKUP(tables_399010!C104,input_399010!A:H,8,FALSE))</f>
        <v>1081.1538499999999</v>
      </c>
      <c r="P104" s="46">
        <f t="shared" ca="1" si="4"/>
        <v>1.0238199336927294E-4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input_399010!A$2</f>
        <v>399010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IFERROR(VLOOKUP(B105,input_399010!L:R,7,FALSE),VLOOKUP(tables_399010!C105,input_399010!A:H,8,FALSE))</f>
        <v>54450</v>
      </c>
      <c r="P105" s="46">
        <f t="shared" ca="1" si="4"/>
        <v>5.1562499999023379E-3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input_399010!A$2</f>
        <v>399010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IFERROR(VLOOKUP(B106,input_399010!L:R,7,FALSE),VLOOKUP(tables_399010!C106,input_399010!A:H,8,FALSE))</f>
        <v>47147.307690000001</v>
      </c>
      <c r="P106" s="46">
        <f t="shared" ca="1" si="4"/>
        <v>4.4647071675290723E-3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input_399010!A$2</f>
        <v>399010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IFERROR(VLOOKUP(B107,input_399010!L:R,7,FALSE),VLOOKUP(tables_399010!C107,input_399010!A:H,8,FALSE))</f>
        <v>1081.1538499999999</v>
      </c>
      <c r="P107" s="46">
        <f t="shared" ca="1" si="4"/>
        <v>1.0238199336927294E-4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input_399010!A$2</f>
        <v>399010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IFERROR(VLOOKUP(B108,input_399010!L:R,7,FALSE),VLOOKUP(tables_399010!C108,input_399010!A:H,8,FALSE))</f>
        <v>54450</v>
      </c>
      <c r="P108" s="46">
        <f t="shared" ca="1" si="4"/>
        <v>5.1562499999023379E-3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input_399010!A$2</f>
        <v>399010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IFERROR(VLOOKUP(B109,input_399010!L:R,7,FALSE),VLOOKUP(tables_399010!C109,input_399010!A:H,8,FALSE))</f>
        <v>47147.307690000001</v>
      </c>
      <c r="P109" s="46">
        <f t="shared" ca="1" si="4"/>
        <v>4.4647071675290723E-3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input_399010!A$2</f>
        <v>399010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IFERROR(VLOOKUP(B110,input_399010!L:R,7,FALSE),VLOOKUP(tables_399010!C110,input_399010!A:H,8,FALSE))</f>
        <v>1081.1538499999999</v>
      </c>
      <c r="P110" s="46">
        <f t="shared" ca="1" si="4"/>
        <v>1.0238199336927294E-4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input_399010!A$2</f>
        <v>399010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IFERROR(VLOOKUP(B111,input_399010!L:R,7,FALSE),VLOOKUP(tables_399010!C111,input_399010!A:H,8,FALSE))</f>
        <v>54450</v>
      </c>
      <c r="P111" s="46">
        <f t="shared" ca="1" si="4"/>
        <v>5.1562499999023379E-3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input_399010!A$2</f>
        <v>399010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IFERROR(VLOOKUP(B112,input_399010!L:R,7,FALSE),VLOOKUP(tables_399010!C112,input_399010!A:H,8,FALSE))</f>
        <v>49005</v>
      </c>
      <c r="P112" s="46">
        <f t="shared" ca="1" si="4"/>
        <v>4.6406249999121039E-3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input_399010!A$2</f>
        <v>399010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IFERROR(VLOOKUP(B113,input_399010!L:R,7,FALSE),VLOOKUP(tables_399010!C113,input_399010!A:H,8,FALSE))</f>
        <v>5445</v>
      </c>
      <c r="P113" s="46">
        <f t="shared" ca="1" si="4"/>
        <v>5.1562499999023375E-4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input_399010!A$2</f>
        <v>399010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IFERROR(VLOOKUP(B114,input_399010!L:R,7,FALSE),VLOOKUP(tables_399010!C114,input_399010!A:H,8,FALSE))</f>
        <v>54450</v>
      </c>
      <c r="P114" s="46">
        <f t="shared" ca="1" si="4"/>
        <v>5.1562499999023379E-3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input_399010!A$2</f>
        <v>399010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IFERROR(VLOOKUP(B115,input_399010!L:R,7,FALSE),VLOOKUP(tables_399010!C115,input_399010!A:H,8,FALSE))</f>
        <v>47147.307690000001</v>
      </c>
      <c r="P115" s="46">
        <f t="shared" ca="1" si="4"/>
        <v>4.4647071675290723E-3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input_399010!A$2</f>
        <v>399010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IFERROR(VLOOKUP(B116,input_399010!L:R,7,FALSE),VLOOKUP(tables_399010!C116,input_399010!A:H,8,FALSE))</f>
        <v>1081.1538499999999</v>
      </c>
      <c r="P116" s="46">
        <f t="shared" ca="1" si="4"/>
        <v>1.0238199336927294E-4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input_399010!A$2</f>
        <v>399010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IFERROR(VLOOKUP(B117,input_399010!L:R,7,FALSE),VLOOKUP(tables_399010!C117,input_399010!A:H,8,FALSE))</f>
        <v>54450</v>
      </c>
      <c r="P117" s="46">
        <f t="shared" ca="1" si="4"/>
        <v>5.1562499999023379E-3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input_399010!A$2</f>
        <v>399010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IFERROR(VLOOKUP(B118,input_399010!L:R,7,FALSE),VLOOKUP(tables_399010!C118,input_399010!A:H,8,FALSE))</f>
        <v>47147.307690000001</v>
      </c>
      <c r="P118" s="46">
        <f t="shared" ca="1" si="4"/>
        <v>4.4647071675290723E-3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input_399010!A$2</f>
        <v>399010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IFERROR(VLOOKUP(B119,input_399010!L:R,7,FALSE),VLOOKUP(tables_399010!C119,input_399010!A:H,8,FALSE))</f>
        <v>1081.1538499999999</v>
      </c>
      <c r="P119" s="46">
        <f t="shared" ca="1" si="4"/>
        <v>1.0238199336927294E-4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input_399010!A$2</f>
        <v>399010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IFERROR(VLOOKUP(B120,input_399010!L:R,7,FALSE),VLOOKUP(tables_399010!C120,input_399010!A:H,8,FALSE))</f>
        <v>54450</v>
      </c>
      <c r="P120" s="46">
        <f t="shared" ca="1" si="4"/>
        <v>5.1562499999023379E-3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input_399010!A$2</f>
        <v>399010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IFERROR(VLOOKUP(B121,input_399010!L:R,7,FALSE),VLOOKUP(tables_399010!C121,input_399010!A:H,8,FALSE))</f>
        <v>47147.307690000001</v>
      </c>
      <c r="P121" s="46">
        <f t="shared" ca="1" si="4"/>
        <v>4.4647071675290723E-3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input_399010!A$2</f>
        <v>399010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IFERROR(VLOOKUP(B122,input_399010!L:R,7,FALSE),VLOOKUP(tables_399010!C122,input_399010!A:H,8,FALSE))</f>
        <v>1081.1538499999999</v>
      </c>
      <c r="P122" s="46">
        <f t="shared" ca="1" si="4"/>
        <v>1.0238199336927294E-4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input_399010!A$2</f>
        <v>399010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IFERROR(VLOOKUP(B123,input_399010!L:R,7,FALSE),VLOOKUP(tables_399010!C123,input_399010!A:H,8,FALSE))</f>
        <v>54450</v>
      </c>
      <c r="P123" s="46">
        <f t="shared" ca="1" si="4"/>
        <v>5.1562499999023379E-3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input_399010!A$2</f>
        <v>399010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IFERROR(VLOOKUP(B124,input_399010!L:R,7,FALSE),VLOOKUP(tables_399010!C124,input_399010!A:H,8,FALSE))</f>
        <v>47147.307690000001</v>
      </c>
      <c r="P124" s="46">
        <f t="shared" ca="1" si="4"/>
        <v>4.4647071675290723E-3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input_399010!A$2</f>
        <v>399010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IFERROR(VLOOKUP(B125,input_399010!L:R,7,FALSE),VLOOKUP(tables_399010!C125,input_399010!A:H,8,FALSE))</f>
        <v>1081.1538499999999</v>
      </c>
      <c r="P125" s="46">
        <f t="shared" ca="1" si="4"/>
        <v>1.0238199336927294E-4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input_399010!A$2</f>
        <v>399010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IFERROR(VLOOKUP(B126,input_399010!L:R,7,FALSE),VLOOKUP(tables_399010!C126,input_399010!A:H,8,FALSE))</f>
        <v>54450</v>
      </c>
      <c r="P126" s="46">
        <f t="shared" ca="1" si="4"/>
        <v>5.1562499999023379E-3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input_399010!A$2</f>
        <v>399010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IFERROR(VLOOKUP(B127,input_399010!L:R,7,FALSE),VLOOKUP(tables_399010!C127,input_399010!A:H,8,FALSE))</f>
        <v>47147.307690000001</v>
      </c>
      <c r="P127" s="46">
        <f t="shared" ca="1" si="4"/>
        <v>4.4647071675290723E-3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input_399010!A$2</f>
        <v>399010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IFERROR(VLOOKUP(B128,input_399010!L:R,7,FALSE),VLOOKUP(tables_399010!C128,input_399010!A:H,8,FALSE))</f>
        <v>1081.1538499999999</v>
      </c>
      <c r="P128" s="46">
        <f t="shared" ca="1" si="4"/>
        <v>1.0238199336927294E-4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input_399010!A$2</f>
        <v>399010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IFERROR(VLOOKUP(B129,input_399010!L:R,7,FALSE),VLOOKUP(tables_399010!C129,input_399010!A:H,8,FALSE))</f>
        <v>54450</v>
      </c>
      <c r="P129" s="46">
        <f t="shared" ca="1" si="4"/>
        <v>5.1562499999023379E-3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input_399010!A$2</f>
        <v>399010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IFERROR(VLOOKUP(B130,input_399010!L:R,7,FALSE),VLOOKUP(tables_399010!C130,input_399010!A:H,8,FALSE))</f>
        <v>47147.307690000001</v>
      </c>
      <c r="P130" s="46">
        <f t="shared" ref="P130:P193" ca="1" si="7">O130/SUM(O:O)</f>
        <v>4.4647071675290723E-3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input_399010!A$2</f>
        <v>399010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IFERROR(VLOOKUP(B131,input_399010!L:R,7,FALSE),VLOOKUP(tables_399010!C131,input_399010!A:H,8,FALSE))</f>
        <v>1081.1538499999999</v>
      </c>
      <c r="P131" s="46">
        <f t="shared" ca="1" si="7"/>
        <v>1.0238199336927294E-4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input_399010!A$2</f>
        <v>399010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IFERROR(VLOOKUP(B132,input_399010!L:R,7,FALSE),VLOOKUP(tables_399010!C132,input_399010!A:H,8,FALSE))</f>
        <v>54450</v>
      </c>
      <c r="P132" s="46">
        <f t="shared" ca="1" si="7"/>
        <v>5.1562499999023379E-3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input_399010!A$2</f>
        <v>399010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IFERROR(VLOOKUP(B133,input_399010!L:R,7,FALSE),VLOOKUP(tables_399010!C133,input_399010!A:H,8,FALSE))</f>
        <v>47147.307690000001</v>
      </c>
      <c r="P133" s="46">
        <f t="shared" ca="1" si="7"/>
        <v>4.4647071675290723E-3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input_399010!A$2</f>
        <v>399010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IFERROR(VLOOKUP(B134,input_399010!L:R,7,FALSE),VLOOKUP(tables_399010!C134,input_399010!A:H,8,FALSE))</f>
        <v>1081.1538499999999</v>
      </c>
      <c r="P134" s="46">
        <f t="shared" ca="1" si="7"/>
        <v>1.0238199336927294E-4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input_399010!A$2</f>
        <v>399010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IFERROR(VLOOKUP(B135,input_399010!L:R,7,FALSE),VLOOKUP(tables_399010!C135,input_399010!A:H,8,FALSE))</f>
        <v>54450</v>
      </c>
      <c r="P135" s="46">
        <f t="shared" ca="1" si="7"/>
        <v>5.1562499999023379E-3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input_399010!A$2</f>
        <v>399010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IFERROR(VLOOKUP(B136,input_399010!L:R,7,FALSE),VLOOKUP(tables_399010!C136,input_399010!A:H,8,FALSE))</f>
        <v>47147.307690000001</v>
      </c>
      <c r="P136" s="46">
        <f t="shared" ca="1" si="7"/>
        <v>4.4647071675290723E-3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input_399010!A$2</f>
        <v>399010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IFERROR(VLOOKUP(B137,input_399010!L:R,7,FALSE),VLOOKUP(tables_399010!C137,input_399010!A:H,8,FALSE))</f>
        <v>1081.1538499999999</v>
      </c>
      <c r="P137" s="46">
        <f t="shared" ca="1" si="7"/>
        <v>1.0238199336927294E-4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input_399010!A$2</f>
        <v>399010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IFERROR(VLOOKUP(B138,input_399010!L:R,7,FALSE),VLOOKUP(tables_399010!C138,input_399010!A:H,8,FALSE))</f>
        <v>19120.71429</v>
      </c>
      <c r="P138" s="46">
        <f t="shared" ca="1" si="7"/>
        <v>1.8106737016702502E-3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input_399010!A$2</f>
        <v>399010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IFERROR(VLOOKUP(B139,input_399010!L:R,7,FALSE),VLOOKUP(tables_399010!C139,input_399010!A:H,8,FALSE))</f>
        <v>825</v>
      </c>
      <c r="P139" s="46">
        <f t="shared" ca="1" si="7"/>
        <v>7.8124999998520269E-5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input_399010!A$2</f>
        <v>399010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IFERROR(VLOOKUP(B140,input_399010!L:R,7,FALSE),VLOOKUP(tables_399010!C140,input_399010!A:H,8,FALSE))</f>
        <v>19120.71429</v>
      </c>
      <c r="P140" s="46">
        <f t="shared" ca="1" si="7"/>
        <v>1.8106737016702502E-3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input_399010!A$2</f>
        <v>399010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IFERROR(VLOOKUP(B141,input_399010!L:R,7,FALSE),VLOOKUP(tables_399010!C141,input_399010!A:H,8,FALSE))</f>
        <v>825</v>
      </c>
      <c r="P141" s="46">
        <f t="shared" ca="1" si="7"/>
        <v>7.8124999998520269E-5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input_399010!A$2</f>
        <v>399010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IFERROR(VLOOKUP(B142,input_399010!L:R,7,FALSE),VLOOKUP(tables_399010!C142,input_399010!A:H,8,FALSE))</f>
        <v>19120.71429</v>
      </c>
      <c r="P142" s="46">
        <f t="shared" ca="1" si="7"/>
        <v>1.8106737016702502E-3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input_399010!A$2</f>
        <v>399010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IFERROR(VLOOKUP(B143,input_399010!L:R,7,FALSE),VLOOKUP(tables_399010!C143,input_399010!A:H,8,FALSE))</f>
        <v>825</v>
      </c>
      <c r="P143" s="46">
        <f t="shared" ca="1" si="7"/>
        <v>7.8124999998520269E-5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input_399010!A$2</f>
        <v>399010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IFERROR(VLOOKUP(B144,input_399010!L:R,7,FALSE),VLOOKUP(tables_399010!C144,input_399010!A:H,8,FALSE))</f>
        <v>19120.71429</v>
      </c>
      <c r="P144" s="46">
        <f t="shared" ca="1" si="7"/>
        <v>1.8106737016702502E-3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input_399010!A$2</f>
        <v>399010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IFERROR(VLOOKUP(B145,input_399010!L:R,7,FALSE),VLOOKUP(tables_399010!C145,input_399010!A:H,8,FALSE))</f>
        <v>825</v>
      </c>
      <c r="P145" s="46">
        <f t="shared" ca="1" si="7"/>
        <v>7.8124999998520269E-5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input_399010!A$2</f>
        <v>399010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IFERROR(VLOOKUP(B146,input_399010!L:R,7,FALSE),VLOOKUP(tables_399010!C146,input_399010!A:H,8,FALSE))</f>
        <v>54450</v>
      </c>
      <c r="P146" s="46">
        <f t="shared" ca="1" si="7"/>
        <v>5.1562499999023379E-3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input_399010!A$2</f>
        <v>399010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IFERROR(VLOOKUP(B147,input_399010!L:R,7,FALSE),VLOOKUP(tables_399010!C147,input_399010!A:H,8,FALSE))</f>
        <v>47147.307690000001</v>
      </c>
      <c r="P147" s="46">
        <f t="shared" ca="1" si="7"/>
        <v>4.4647071675290723E-3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input_399010!A$2</f>
        <v>399010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IFERROR(VLOOKUP(B148,input_399010!L:R,7,FALSE),VLOOKUP(tables_399010!C148,input_399010!A:H,8,FALSE))</f>
        <v>1081.1538499999999</v>
      </c>
      <c r="P148" s="46">
        <f t="shared" ca="1" si="7"/>
        <v>1.0238199336927294E-4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input_399010!A$2</f>
        <v>399010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IFERROR(VLOOKUP(B149,input_399010!L:R,7,FALSE),VLOOKUP(tables_399010!C149,input_399010!A:H,8,FALSE))</f>
        <v>19120.71429</v>
      </c>
      <c r="P149" s="46">
        <f t="shared" ca="1" si="7"/>
        <v>1.8106737016702502E-3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input_399010!A$2</f>
        <v>399010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IFERROR(VLOOKUP(B150,input_399010!L:R,7,FALSE),VLOOKUP(tables_399010!C150,input_399010!A:H,8,FALSE))</f>
        <v>825</v>
      </c>
      <c r="P150" s="46">
        <f t="shared" ca="1" si="7"/>
        <v>7.8124999998520269E-5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input_399010!A$2</f>
        <v>399010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IFERROR(VLOOKUP(B151,input_399010!L:R,7,FALSE),VLOOKUP(tables_399010!C151,input_399010!A:H,8,FALSE))</f>
        <v>19120.71429</v>
      </c>
      <c r="P151" s="46">
        <f t="shared" ca="1" si="7"/>
        <v>1.8106737016702502E-3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input_399010!A$2</f>
        <v>399010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IFERROR(VLOOKUP(B152,input_399010!L:R,7,FALSE),VLOOKUP(tables_399010!C152,input_399010!A:H,8,FALSE))</f>
        <v>825</v>
      </c>
      <c r="P152" s="46">
        <f t="shared" ca="1" si="7"/>
        <v>7.8124999998520269E-5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input_399010!A$2</f>
        <v>399010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IFERROR(VLOOKUP(B153,input_399010!L:R,7,FALSE),VLOOKUP(tables_399010!C153,input_399010!A:H,8,FALSE))</f>
        <v>54450</v>
      </c>
      <c r="P153" s="46">
        <f t="shared" ca="1" si="7"/>
        <v>5.1562499999023379E-3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input_399010!A$2</f>
        <v>399010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IFERROR(VLOOKUP(B154,input_399010!L:R,7,FALSE),VLOOKUP(tables_399010!C154,input_399010!A:H,8,FALSE))</f>
        <v>47147.307690000001</v>
      </c>
      <c r="P154" s="46">
        <f t="shared" ca="1" si="7"/>
        <v>4.4647071675290723E-3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input_399010!A$2</f>
        <v>399010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IFERROR(VLOOKUP(B155,input_399010!L:R,7,FALSE),VLOOKUP(tables_399010!C155,input_399010!A:H,8,FALSE))</f>
        <v>1081.1538499999999</v>
      </c>
      <c r="P155" s="46">
        <f t="shared" ca="1" si="7"/>
        <v>1.0238199336927294E-4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input_399010!A$2</f>
        <v>399010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IFERROR(VLOOKUP(B156,input_399010!L:R,7,FALSE),VLOOKUP(tables_399010!C156,input_399010!A:H,8,FALSE))</f>
        <v>19120.71429</v>
      </c>
      <c r="P156" s="46">
        <f t="shared" ca="1" si="7"/>
        <v>1.8106737016702502E-3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input_399010!A$2</f>
        <v>399010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IFERROR(VLOOKUP(B157,input_399010!L:R,7,FALSE),VLOOKUP(tables_399010!C157,input_399010!A:H,8,FALSE))</f>
        <v>825</v>
      </c>
      <c r="P157" s="46">
        <f t="shared" ca="1" si="7"/>
        <v>7.8124999998520269E-5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input_399010!A$2</f>
        <v>399010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IFERROR(VLOOKUP(B158,input_399010!L:R,7,FALSE),VLOOKUP(tables_399010!C158,input_399010!A:H,8,FALSE))</f>
        <v>54450</v>
      </c>
      <c r="P158" s="46">
        <f t="shared" ca="1" si="7"/>
        <v>5.1562499999023379E-3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input_399010!A$2</f>
        <v>399010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IFERROR(VLOOKUP(B159,input_399010!L:R,7,FALSE),VLOOKUP(tables_399010!C159,input_399010!A:H,8,FALSE))</f>
        <v>47147.307690000001</v>
      </c>
      <c r="P159" s="46">
        <f t="shared" ca="1" si="7"/>
        <v>4.4647071675290723E-3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input_399010!A$2</f>
        <v>399010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IFERROR(VLOOKUP(B160,input_399010!L:R,7,FALSE),VLOOKUP(tables_399010!C160,input_399010!A:H,8,FALSE))</f>
        <v>1081.1538499999999</v>
      </c>
      <c r="P160" s="46">
        <f t="shared" ca="1" si="7"/>
        <v>1.0238199336927294E-4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input_399010!A$2</f>
        <v>399010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IFERROR(VLOOKUP(B161,input_399010!L:R,7,FALSE),VLOOKUP(tables_399010!C161,input_399010!A:H,8,FALSE))</f>
        <v>54450</v>
      </c>
      <c r="P161" s="46">
        <f t="shared" ca="1" si="7"/>
        <v>5.1562499999023379E-3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input_399010!A$2</f>
        <v>399010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IFERROR(VLOOKUP(B162,input_399010!L:R,7,FALSE),VLOOKUP(tables_399010!C162,input_399010!A:H,8,FALSE))</f>
        <v>47147.307690000001</v>
      </c>
      <c r="P162" s="46">
        <f t="shared" ca="1" si="7"/>
        <v>4.4647071675290723E-3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input_399010!A$2</f>
        <v>399010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IFERROR(VLOOKUP(B163,input_399010!L:R,7,FALSE),VLOOKUP(tables_399010!C163,input_399010!A:H,8,FALSE))</f>
        <v>1081.1538499999999</v>
      </c>
      <c r="P163" s="46">
        <f t="shared" ca="1" si="7"/>
        <v>1.0238199336927294E-4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input_399010!A$2</f>
        <v>399010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IFERROR(VLOOKUP(B164,input_399010!L:R,7,FALSE),VLOOKUP(tables_399010!C164,input_399010!A:H,8,FALSE))</f>
        <v>19120.71429</v>
      </c>
      <c r="P164" s="46">
        <f t="shared" ca="1" si="7"/>
        <v>1.8106737016702502E-3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input_399010!A$2</f>
        <v>399010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IFERROR(VLOOKUP(B165,input_399010!L:R,7,FALSE),VLOOKUP(tables_399010!C165,input_399010!A:H,8,FALSE))</f>
        <v>825</v>
      </c>
      <c r="P165" s="46">
        <f t="shared" ca="1" si="7"/>
        <v>7.8124999998520269E-5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input_399010!A$2</f>
        <v>399010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IFERROR(VLOOKUP(B166,input_399010!L:R,7,FALSE),VLOOKUP(tables_399010!C166,input_399010!A:H,8,FALSE))</f>
        <v>54450</v>
      </c>
      <c r="P166" s="46">
        <f t="shared" ca="1" si="7"/>
        <v>5.1562499999023379E-3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input_399010!A$2</f>
        <v>399010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IFERROR(VLOOKUP(B167,input_399010!L:R,7,FALSE),VLOOKUP(tables_399010!C167,input_399010!A:H,8,FALSE))</f>
        <v>47147.307690000001</v>
      </c>
      <c r="P167" s="46">
        <f t="shared" ca="1" si="7"/>
        <v>4.4647071675290723E-3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input_399010!A$2</f>
        <v>399010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IFERROR(VLOOKUP(B168,input_399010!L:R,7,FALSE),VLOOKUP(tables_399010!C168,input_399010!A:H,8,FALSE))</f>
        <v>1081.1538499999999</v>
      </c>
      <c r="P168" s="46">
        <f t="shared" ca="1" si="7"/>
        <v>1.0238199336927294E-4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input_399010!A$2</f>
        <v>399010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IFERROR(VLOOKUP(B169,input_399010!L:R,7,FALSE),VLOOKUP(tables_399010!C169,input_399010!A:H,8,FALSE))</f>
        <v>19120.71429</v>
      </c>
      <c r="P169" s="46">
        <f t="shared" ca="1" si="7"/>
        <v>1.8106737016702502E-3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input_399010!A$2</f>
        <v>399010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IFERROR(VLOOKUP(B170,input_399010!L:R,7,FALSE),VLOOKUP(tables_399010!C170,input_399010!A:H,8,FALSE))</f>
        <v>825</v>
      </c>
      <c r="P170" s="46">
        <f t="shared" ca="1" si="7"/>
        <v>7.8124999998520269E-5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input_399010!A$2</f>
        <v>399010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IFERROR(VLOOKUP(B171,input_399010!L:R,7,FALSE),VLOOKUP(tables_399010!C171,input_399010!A:H,8,FALSE))</f>
        <v>54450</v>
      </c>
      <c r="P171" s="46">
        <f t="shared" ca="1" si="7"/>
        <v>5.1562499999023379E-3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input_399010!A$2</f>
        <v>399010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IFERROR(VLOOKUP(B172,input_399010!L:R,7,FALSE),VLOOKUP(tables_399010!C172,input_399010!A:H,8,FALSE))</f>
        <v>47147.307690000001</v>
      </c>
      <c r="P172" s="46">
        <f t="shared" ca="1" si="7"/>
        <v>4.4647071675290723E-3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input_399010!A$2</f>
        <v>399010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IFERROR(VLOOKUP(B173,input_399010!L:R,7,FALSE),VLOOKUP(tables_399010!C173,input_399010!A:H,8,FALSE))</f>
        <v>1081.1538499999999</v>
      </c>
      <c r="P173" s="46">
        <f t="shared" ca="1" si="7"/>
        <v>1.0238199336927294E-4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input_399010!A$2</f>
        <v>399010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IFERROR(VLOOKUP(B174,input_399010!L:R,7,FALSE),VLOOKUP(tables_399010!C174,input_399010!A:H,8,FALSE))</f>
        <v>19120.71429</v>
      </c>
      <c r="P174" s="46">
        <f t="shared" ca="1" si="7"/>
        <v>1.8106737016702502E-3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input_399010!A$2</f>
        <v>399010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IFERROR(VLOOKUP(B175,input_399010!L:R,7,FALSE),VLOOKUP(tables_399010!C175,input_399010!A:H,8,FALSE))</f>
        <v>825</v>
      </c>
      <c r="P175" s="46">
        <f t="shared" ca="1" si="7"/>
        <v>7.8124999998520269E-5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input_399010!A$2</f>
        <v>399010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IFERROR(VLOOKUP(B176,input_399010!L:R,7,FALSE),VLOOKUP(tables_399010!C176,input_399010!A:H,8,FALSE))</f>
        <v>19120.71429</v>
      </c>
      <c r="P176" s="46">
        <f t="shared" ca="1" si="7"/>
        <v>1.8106737016702502E-3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input_399010!A$2</f>
        <v>399010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IFERROR(VLOOKUP(B177,input_399010!L:R,7,FALSE),VLOOKUP(tables_399010!C177,input_399010!A:H,8,FALSE))</f>
        <v>825</v>
      </c>
      <c r="P177" s="46">
        <f t="shared" ca="1" si="7"/>
        <v>7.8124999998520269E-5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input_399010!A$2</f>
        <v>399010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IFERROR(VLOOKUP(B178,input_399010!L:R,7,FALSE),VLOOKUP(tables_399010!C178,input_399010!A:H,8,FALSE))</f>
        <v>54450</v>
      </c>
      <c r="P178" s="46">
        <f t="shared" ca="1" si="7"/>
        <v>5.1562499999023379E-3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input_399010!A$2</f>
        <v>399010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IFERROR(VLOOKUP(B179,input_399010!L:R,7,FALSE),VLOOKUP(tables_399010!C179,input_399010!A:H,8,FALSE))</f>
        <v>47147.307690000001</v>
      </c>
      <c r="P179" s="46">
        <f t="shared" ca="1" si="7"/>
        <v>4.4647071675290723E-3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input_399010!A$2</f>
        <v>399010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IFERROR(VLOOKUP(B180,input_399010!L:R,7,FALSE),VLOOKUP(tables_399010!C180,input_399010!A:H,8,FALSE))</f>
        <v>1081.1538499999999</v>
      </c>
      <c r="P180" s="46">
        <f t="shared" ca="1" si="7"/>
        <v>1.0238199336927294E-4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input_399010!A$2</f>
        <v>399010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IFERROR(VLOOKUP(B181,input_399010!L:R,7,FALSE),VLOOKUP(tables_399010!C181,input_399010!A:H,8,FALSE))</f>
        <v>54450</v>
      </c>
      <c r="P181" s="46">
        <f t="shared" ca="1" si="7"/>
        <v>5.1562499999023379E-3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input_399010!A$2</f>
        <v>399010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IFERROR(VLOOKUP(B182,input_399010!L:R,7,FALSE),VLOOKUP(tables_399010!C182,input_399010!A:H,8,FALSE))</f>
        <v>47147.307690000001</v>
      </c>
      <c r="P182" s="46">
        <f t="shared" ca="1" si="7"/>
        <v>4.4647071675290723E-3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input_399010!A$2</f>
        <v>399010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IFERROR(VLOOKUP(B183,input_399010!L:R,7,FALSE),VLOOKUP(tables_399010!C183,input_399010!A:H,8,FALSE))</f>
        <v>1081.1538499999999</v>
      </c>
      <c r="P183" s="46">
        <f t="shared" ca="1" si="7"/>
        <v>1.0238199336927294E-4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input_399010!A$2</f>
        <v>399010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IFERROR(VLOOKUP(B184,input_399010!L:R,7,FALSE),VLOOKUP(tables_399010!C184,input_399010!A:H,8,FALSE))</f>
        <v>19120.71429</v>
      </c>
      <c r="P184" s="46">
        <f t="shared" ca="1" si="7"/>
        <v>1.8106737016702502E-3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input_399010!A$2</f>
        <v>399010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IFERROR(VLOOKUP(B185,input_399010!L:R,7,FALSE),VLOOKUP(tables_399010!C185,input_399010!A:H,8,FALSE))</f>
        <v>825</v>
      </c>
      <c r="P185" s="46">
        <f t="shared" ca="1" si="7"/>
        <v>7.8124999998520269E-5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input_399010!A$2</f>
        <v>399010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IFERROR(VLOOKUP(B186,input_399010!L:R,7,FALSE),VLOOKUP(tables_399010!C186,input_399010!A:H,8,FALSE))</f>
        <v>54450</v>
      </c>
      <c r="P186" s="46">
        <f t="shared" ca="1" si="7"/>
        <v>5.1562499999023379E-3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input_399010!A$2</f>
        <v>399010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IFERROR(VLOOKUP(B187,input_399010!L:R,7,FALSE),VLOOKUP(tables_399010!C187,input_399010!A:H,8,FALSE))</f>
        <v>47147.307690000001</v>
      </c>
      <c r="P187" s="46">
        <f t="shared" ca="1" si="7"/>
        <v>4.4647071675290723E-3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input_399010!A$2</f>
        <v>399010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IFERROR(VLOOKUP(B188,input_399010!L:R,7,FALSE),VLOOKUP(tables_399010!C188,input_399010!A:H,8,FALSE))</f>
        <v>1081.1538499999999</v>
      </c>
      <c r="P188" s="46">
        <f t="shared" ca="1" si="7"/>
        <v>1.0238199336927294E-4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input_399010!A$2</f>
        <v>399010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IFERROR(VLOOKUP(B189,input_399010!L:R,7,FALSE),VLOOKUP(tables_399010!C189,input_399010!A:H,8,FALSE))</f>
        <v>19120.71429</v>
      </c>
      <c r="P189" s="46">
        <f t="shared" ca="1" si="7"/>
        <v>1.8106737016702502E-3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input_399010!A$2</f>
        <v>399010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IFERROR(VLOOKUP(B190,input_399010!L:R,7,FALSE),VLOOKUP(tables_399010!C190,input_399010!A:H,8,FALSE))</f>
        <v>825</v>
      </c>
      <c r="P190" s="46">
        <f t="shared" ca="1" si="7"/>
        <v>7.8124999998520269E-5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input_399010!A$2</f>
        <v>399010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IFERROR(VLOOKUP(B191,input_399010!L:R,7,FALSE),VLOOKUP(tables_399010!C191,input_399010!A:H,8,FALSE))</f>
        <v>19120.71429</v>
      </c>
      <c r="P191" s="46">
        <f t="shared" ca="1" si="7"/>
        <v>1.8106737016702502E-3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input_399010!A$2</f>
        <v>399010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IFERROR(VLOOKUP(B192,input_399010!L:R,7,FALSE),VLOOKUP(tables_399010!C192,input_399010!A:H,8,FALSE))</f>
        <v>825</v>
      </c>
      <c r="P192" s="46">
        <f t="shared" ca="1" si="7"/>
        <v>7.8124999998520269E-5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input_399010!A$2</f>
        <v>399010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IFERROR(VLOOKUP(B193,input_399010!L:R,7,FALSE),VLOOKUP(tables_399010!C193,input_399010!A:H,8,FALSE))</f>
        <v>54450</v>
      </c>
      <c r="P193" s="46">
        <f t="shared" ca="1" si="7"/>
        <v>5.1562499999023379E-3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input_399010!A$2</f>
        <v>399010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IFERROR(VLOOKUP(B194,input_399010!L:R,7,FALSE),VLOOKUP(tables_399010!C194,input_399010!A:H,8,FALSE))</f>
        <v>47147.307690000001</v>
      </c>
      <c r="P194" s="46">
        <f t="shared" ref="P194:P257" ca="1" si="10">O194/SUM(O:O)</f>
        <v>4.4647071675290723E-3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input_399010!A$2</f>
        <v>399010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IFERROR(VLOOKUP(B195,input_399010!L:R,7,FALSE),VLOOKUP(tables_399010!C195,input_399010!A:H,8,FALSE))</f>
        <v>1081.1538499999999</v>
      </c>
      <c r="P195" s="46">
        <f t="shared" ca="1" si="10"/>
        <v>1.0238199336927294E-4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input_399010!A$2</f>
        <v>399010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IFERROR(VLOOKUP(B196,input_399010!L:R,7,FALSE),VLOOKUP(tables_399010!C196,input_399010!A:H,8,FALSE))</f>
        <v>19120.71429</v>
      </c>
      <c r="P196" s="46">
        <f t="shared" ca="1" si="10"/>
        <v>1.8106737016702502E-3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input_399010!A$2</f>
        <v>399010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IFERROR(VLOOKUP(B197,input_399010!L:R,7,FALSE),VLOOKUP(tables_399010!C197,input_399010!A:H,8,FALSE))</f>
        <v>825</v>
      </c>
      <c r="P197" s="46">
        <f t="shared" ca="1" si="10"/>
        <v>7.8124999998520269E-5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input_399010!A$2</f>
        <v>399010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IFERROR(VLOOKUP(B198,input_399010!L:R,7,FALSE),VLOOKUP(tables_399010!C198,input_399010!A:H,8,FALSE))</f>
        <v>54450</v>
      </c>
      <c r="P198" s="46">
        <f t="shared" ca="1" si="10"/>
        <v>5.1562499999023379E-3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input_399010!A$2</f>
        <v>399010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IFERROR(VLOOKUP(B199,input_399010!L:R,7,FALSE),VLOOKUP(tables_399010!C199,input_399010!A:H,8,FALSE))</f>
        <v>47147.307690000001</v>
      </c>
      <c r="P199" s="46">
        <f t="shared" ca="1" si="10"/>
        <v>4.4647071675290723E-3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input_399010!A$2</f>
        <v>399010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IFERROR(VLOOKUP(B200,input_399010!L:R,7,FALSE),VLOOKUP(tables_399010!C200,input_399010!A:H,8,FALSE))</f>
        <v>1081.1538499999999</v>
      </c>
      <c r="P200" s="46">
        <f t="shared" ca="1" si="10"/>
        <v>1.0238199336927294E-4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input_399010!A$2</f>
        <v>399010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IFERROR(VLOOKUP(B201,input_399010!L:R,7,FALSE),VLOOKUP(tables_399010!C201,input_399010!A:H,8,FALSE))</f>
        <v>19120.71429</v>
      </c>
      <c r="P201" s="46">
        <f t="shared" ca="1" si="10"/>
        <v>1.8106737016702502E-3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input_399010!A$2</f>
        <v>399010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IFERROR(VLOOKUP(B202,input_399010!L:R,7,FALSE),VLOOKUP(tables_399010!C202,input_399010!A:H,8,FALSE))</f>
        <v>825</v>
      </c>
      <c r="P202" s="46">
        <f t="shared" ca="1" si="10"/>
        <v>7.8124999998520269E-5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input_399010!A$2</f>
        <v>399010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IFERROR(VLOOKUP(B203,input_399010!L:R,7,FALSE),VLOOKUP(tables_399010!C203,input_399010!A:H,8,FALSE))</f>
        <v>54450</v>
      </c>
      <c r="P203" s="46">
        <f t="shared" ca="1" si="10"/>
        <v>5.1562499999023379E-3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input_399010!A$2</f>
        <v>399010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IFERROR(VLOOKUP(B204,input_399010!L:R,7,FALSE),VLOOKUP(tables_399010!C204,input_399010!A:H,8,FALSE))</f>
        <v>47147.307690000001</v>
      </c>
      <c r="P204" s="46">
        <f t="shared" ca="1" si="10"/>
        <v>4.4647071675290723E-3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input_399010!A$2</f>
        <v>399010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IFERROR(VLOOKUP(B205,input_399010!L:R,7,FALSE),VLOOKUP(tables_399010!C205,input_399010!A:H,8,FALSE))</f>
        <v>1081.1538499999999</v>
      </c>
      <c r="P205" s="46">
        <f t="shared" ca="1" si="10"/>
        <v>1.0238199336927294E-4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input_399010!A$2</f>
        <v>399010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IFERROR(VLOOKUP(B206,input_399010!L:R,7,FALSE),VLOOKUP(tables_399010!C206,input_399010!A:H,8,FALSE))</f>
        <v>19120.71429</v>
      </c>
      <c r="P206" s="46">
        <f t="shared" ca="1" si="10"/>
        <v>1.8106737016702502E-3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input_399010!A$2</f>
        <v>399010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IFERROR(VLOOKUP(B207,input_399010!L:R,7,FALSE),VLOOKUP(tables_399010!C207,input_399010!A:H,8,FALSE))</f>
        <v>825</v>
      </c>
      <c r="P207" s="46">
        <f t="shared" ca="1" si="10"/>
        <v>7.8124999998520269E-5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input_399010!A$2</f>
        <v>399010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IFERROR(VLOOKUP(B208,input_399010!L:R,7,FALSE),VLOOKUP(tables_399010!C208,input_399010!A:H,8,FALSE))</f>
        <v>19120.71429</v>
      </c>
      <c r="P208" s="46">
        <f t="shared" ca="1" si="10"/>
        <v>1.8106737016702502E-3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input_399010!A$2</f>
        <v>399010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IFERROR(VLOOKUP(B209,input_399010!L:R,7,FALSE),VLOOKUP(tables_399010!C209,input_399010!A:H,8,FALSE))</f>
        <v>825</v>
      </c>
      <c r="P209" s="46">
        <f t="shared" ca="1" si="10"/>
        <v>7.8124999998520269E-5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input_399010!A$2</f>
        <v>399010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IFERROR(VLOOKUP(B210,input_399010!L:R,7,FALSE),VLOOKUP(tables_399010!C210,input_399010!A:H,8,FALSE))</f>
        <v>54450</v>
      </c>
      <c r="P210" s="46">
        <f t="shared" ca="1" si="10"/>
        <v>5.1562499999023379E-3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input_399010!A$2</f>
        <v>399010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IFERROR(VLOOKUP(B211,input_399010!L:R,7,FALSE),VLOOKUP(tables_399010!C211,input_399010!A:H,8,FALSE))</f>
        <v>47147.307690000001</v>
      </c>
      <c r="P211" s="46">
        <f t="shared" ca="1" si="10"/>
        <v>4.4647071675290723E-3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input_399010!A$2</f>
        <v>399010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IFERROR(VLOOKUP(B212,input_399010!L:R,7,FALSE),VLOOKUP(tables_399010!C212,input_399010!A:H,8,FALSE))</f>
        <v>1081.1538499999999</v>
      </c>
      <c r="P212" s="46">
        <f t="shared" ca="1" si="10"/>
        <v>1.0238199336927294E-4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input_399010!A$2</f>
        <v>399010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IFERROR(VLOOKUP(B213,input_399010!L:R,7,FALSE),VLOOKUP(tables_399010!C213,input_399010!A:H,8,FALSE))</f>
        <v>19120.71429</v>
      </c>
      <c r="P213" s="46">
        <f t="shared" ca="1" si="10"/>
        <v>1.8106737016702502E-3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input_399010!A$2</f>
        <v>399010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IFERROR(VLOOKUP(B214,input_399010!L:R,7,FALSE),VLOOKUP(tables_399010!C214,input_399010!A:H,8,FALSE))</f>
        <v>825</v>
      </c>
      <c r="P214" s="46">
        <f t="shared" ca="1" si="10"/>
        <v>7.8124999998520269E-5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input_399010!A$2</f>
        <v>399010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IFERROR(VLOOKUP(B215,input_399010!L:R,7,FALSE),VLOOKUP(tables_399010!C215,input_399010!A:H,8,FALSE))</f>
        <v>19120.71429</v>
      </c>
      <c r="P215" s="46">
        <f t="shared" ca="1" si="10"/>
        <v>1.8106737016702502E-3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input_399010!A$2</f>
        <v>399010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IFERROR(VLOOKUP(B216,input_399010!L:R,7,FALSE),VLOOKUP(tables_399010!C216,input_399010!A:H,8,FALSE))</f>
        <v>825</v>
      </c>
      <c r="P216" s="46">
        <f t="shared" ca="1" si="10"/>
        <v>7.8124999998520269E-5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input_399010!A$2</f>
        <v>399010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IFERROR(VLOOKUP(B217,input_399010!L:R,7,FALSE),VLOOKUP(tables_399010!C217,input_399010!A:H,8,FALSE))</f>
        <v>54450</v>
      </c>
      <c r="P217" s="46">
        <f t="shared" ca="1" si="10"/>
        <v>5.1562499999023379E-3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input_399010!A$2</f>
        <v>399010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IFERROR(VLOOKUP(B218,input_399010!L:R,7,FALSE),VLOOKUP(tables_399010!C218,input_399010!A:H,8,FALSE))</f>
        <v>47147.307690000001</v>
      </c>
      <c r="P218" s="46">
        <f t="shared" ca="1" si="10"/>
        <v>4.4647071675290723E-3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input_399010!A$2</f>
        <v>399010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IFERROR(VLOOKUP(B219,input_399010!L:R,7,FALSE),VLOOKUP(tables_399010!C219,input_399010!A:H,8,FALSE))</f>
        <v>1081.1538499999999</v>
      </c>
      <c r="P219" s="46">
        <f t="shared" ca="1" si="10"/>
        <v>1.0238199336927294E-4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input_399010!A$2</f>
        <v>399010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IFERROR(VLOOKUP(B220,input_399010!L:R,7,FALSE),VLOOKUP(tables_399010!C220,input_399010!A:H,8,FALSE))</f>
        <v>54450</v>
      </c>
      <c r="P220" s="46">
        <f t="shared" ca="1" si="10"/>
        <v>5.1562499999023379E-3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input_399010!A$2</f>
        <v>399010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IFERROR(VLOOKUP(B221,input_399010!L:R,7,FALSE),VLOOKUP(tables_399010!C221,input_399010!A:H,8,FALSE))</f>
        <v>47147.307690000001</v>
      </c>
      <c r="P221" s="46">
        <f t="shared" ca="1" si="10"/>
        <v>4.4647071675290723E-3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input_399010!A$2</f>
        <v>399010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IFERROR(VLOOKUP(B222,input_399010!L:R,7,FALSE),VLOOKUP(tables_399010!C222,input_399010!A:H,8,FALSE))</f>
        <v>1081.1538499999999</v>
      </c>
      <c r="P222" s="46">
        <f t="shared" ca="1" si="10"/>
        <v>1.0238199336927294E-4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input_399010!A$2</f>
        <v>399010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IFERROR(VLOOKUP(B223,input_399010!L:R,7,FALSE),VLOOKUP(tables_399010!C223,input_399010!A:H,8,FALSE))</f>
        <v>19120.71429</v>
      </c>
      <c r="P223" s="46">
        <f t="shared" ca="1" si="10"/>
        <v>1.8106737016702502E-3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input_399010!A$2</f>
        <v>399010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IFERROR(VLOOKUP(B224,input_399010!L:R,7,FALSE),VLOOKUP(tables_399010!C224,input_399010!A:H,8,FALSE))</f>
        <v>825</v>
      </c>
      <c r="P224" s="46">
        <f t="shared" ca="1" si="10"/>
        <v>7.8124999998520269E-5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input_399010!A$2</f>
        <v>399010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IFERROR(VLOOKUP(B225,input_399010!L:R,7,FALSE),VLOOKUP(tables_399010!C225,input_399010!A:H,8,FALSE))</f>
        <v>54450</v>
      </c>
      <c r="P225" s="46">
        <f t="shared" ca="1" si="10"/>
        <v>5.1562499999023379E-3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input_399010!A$2</f>
        <v>399010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IFERROR(VLOOKUP(B226,input_399010!L:R,7,FALSE),VLOOKUP(tables_399010!C226,input_399010!A:H,8,FALSE))</f>
        <v>47147.307690000001</v>
      </c>
      <c r="P226" s="46">
        <f t="shared" ca="1" si="10"/>
        <v>4.4647071675290723E-3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input_399010!A$2</f>
        <v>399010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IFERROR(VLOOKUP(B227,input_399010!L:R,7,FALSE),VLOOKUP(tables_399010!C227,input_399010!A:H,8,FALSE))</f>
        <v>1081.1538499999999</v>
      </c>
      <c r="P227" s="46">
        <f t="shared" ca="1" si="10"/>
        <v>1.0238199336927294E-4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input_399010!A$2</f>
        <v>399010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IFERROR(VLOOKUP(B228,input_399010!L:R,7,FALSE),VLOOKUP(tables_399010!C228,input_399010!A:H,8,FALSE))</f>
        <v>54450</v>
      </c>
      <c r="P228" s="46">
        <f t="shared" ca="1" si="10"/>
        <v>5.1562499999023379E-3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input_399010!A$2</f>
        <v>399010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IFERROR(VLOOKUP(B229,input_399010!L:R,7,FALSE),VLOOKUP(tables_399010!C229,input_399010!A:H,8,FALSE))</f>
        <v>47147.307690000001</v>
      </c>
      <c r="P229" s="46">
        <f t="shared" ca="1" si="10"/>
        <v>4.4647071675290723E-3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input_399010!A$2</f>
        <v>399010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IFERROR(VLOOKUP(B230,input_399010!L:R,7,FALSE),VLOOKUP(tables_399010!C230,input_399010!A:H,8,FALSE))</f>
        <v>1081.1538499999999</v>
      </c>
      <c r="P230" s="46">
        <f t="shared" ca="1" si="10"/>
        <v>1.0238199336927294E-4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input_399010!A$2</f>
        <v>399010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IFERROR(VLOOKUP(B231,input_399010!L:R,7,FALSE),VLOOKUP(tables_399010!C231,input_399010!A:H,8,FALSE))</f>
        <v>19120.71429</v>
      </c>
      <c r="P231" s="46">
        <f t="shared" ca="1" si="10"/>
        <v>1.8106737016702502E-3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input_399010!A$2</f>
        <v>399010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IFERROR(VLOOKUP(B232,input_399010!L:R,7,FALSE),VLOOKUP(tables_399010!C232,input_399010!A:H,8,FALSE))</f>
        <v>825</v>
      </c>
      <c r="P232" s="46">
        <f t="shared" ca="1" si="10"/>
        <v>7.8124999998520269E-5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input_399010!A$2</f>
        <v>399010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IFERROR(VLOOKUP(B233,input_399010!L:R,7,FALSE),VLOOKUP(tables_399010!C233,input_399010!A:H,8,FALSE))</f>
        <v>54450</v>
      </c>
      <c r="P233" s="46">
        <f t="shared" ca="1" si="10"/>
        <v>5.1562499999023379E-3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input_399010!A$2</f>
        <v>399010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IFERROR(VLOOKUP(B234,input_399010!L:R,7,FALSE),VLOOKUP(tables_399010!C234,input_399010!A:H,8,FALSE))</f>
        <v>47147.307690000001</v>
      </c>
      <c r="P234" s="46">
        <f t="shared" ca="1" si="10"/>
        <v>4.4647071675290723E-3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input_399010!A$2</f>
        <v>399010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IFERROR(VLOOKUP(B235,input_399010!L:R,7,FALSE),VLOOKUP(tables_399010!C235,input_399010!A:H,8,FALSE))</f>
        <v>1081.1538499999999</v>
      </c>
      <c r="P235" s="46">
        <f t="shared" ca="1" si="10"/>
        <v>1.0238199336927294E-4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input_399010!A$2</f>
        <v>399010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IFERROR(VLOOKUP(B236,input_399010!L:R,7,FALSE),VLOOKUP(tables_399010!C236,input_399010!A:H,8,FALSE))</f>
        <v>19120.71429</v>
      </c>
      <c r="P236" s="46">
        <f t="shared" ca="1" si="10"/>
        <v>1.8106737016702502E-3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input_399010!A$2</f>
        <v>399010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IFERROR(VLOOKUP(B237,input_399010!L:R,7,FALSE),VLOOKUP(tables_399010!C237,input_399010!A:H,8,FALSE))</f>
        <v>825</v>
      </c>
      <c r="P237" s="46">
        <f t="shared" ca="1" si="10"/>
        <v>7.8124999998520269E-5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input_399010!A$2</f>
        <v>399010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IFERROR(VLOOKUP(B238,input_399010!L:R,7,FALSE),VLOOKUP(tables_399010!C238,input_399010!A:H,8,FALSE))</f>
        <v>19120.71429</v>
      </c>
      <c r="P238" s="46">
        <f t="shared" ca="1" si="10"/>
        <v>1.8106737016702502E-3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input_399010!A$2</f>
        <v>399010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IFERROR(VLOOKUP(B239,input_399010!L:R,7,FALSE),VLOOKUP(tables_399010!C239,input_399010!A:H,8,FALSE))</f>
        <v>825</v>
      </c>
      <c r="P239" s="46">
        <f t="shared" ca="1" si="10"/>
        <v>7.8124999998520269E-5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input_399010!A$2</f>
        <v>399010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IFERROR(VLOOKUP(B240,input_399010!L:R,7,FALSE),VLOOKUP(tables_399010!C240,input_399010!A:H,8,FALSE))</f>
        <v>54450</v>
      </c>
      <c r="P240" s="46">
        <f t="shared" ca="1" si="10"/>
        <v>5.1562499999023379E-3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input_399010!A$2</f>
        <v>399010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IFERROR(VLOOKUP(B241,input_399010!L:R,7,FALSE),VLOOKUP(tables_399010!C241,input_399010!A:H,8,FALSE))</f>
        <v>47147.307690000001</v>
      </c>
      <c r="P241" s="46">
        <f t="shared" ca="1" si="10"/>
        <v>4.4647071675290723E-3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input_399010!A$2</f>
        <v>399010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IFERROR(VLOOKUP(B242,input_399010!L:R,7,FALSE),VLOOKUP(tables_399010!C242,input_399010!A:H,8,FALSE))</f>
        <v>1081.1538499999999</v>
      </c>
      <c r="P242" s="46">
        <f t="shared" ca="1" si="10"/>
        <v>1.0238199336927294E-4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input_399010!A$2</f>
        <v>399010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IFERROR(VLOOKUP(B243,input_399010!L:R,7,FALSE),VLOOKUP(tables_399010!C243,input_399010!A:H,8,FALSE))</f>
        <v>54450</v>
      </c>
      <c r="P243" s="46">
        <f t="shared" ca="1" si="10"/>
        <v>5.1562499999023379E-3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input_399010!A$2</f>
        <v>399010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IFERROR(VLOOKUP(B244,input_399010!L:R,7,FALSE),VLOOKUP(tables_399010!C244,input_399010!A:H,8,FALSE))</f>
        <v>47147.307690000001</v>
      </c>
      <c r="P244" s="46">
        <f t="shared" ca="1" si="10"/>
        <v>4.4647071675290723E-3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input_399010!A$2</f>
        <v>399010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IFERROR(VLOOKUP(B245,input_399010!L:R,7,FALSE),VLOOKUP(tables_399010!C245,input_399010!A:H,8,FALSE))</f>
        <v>1081.1538499999999</v>
      </c>
      <c r="P245" s="46">
        <f t="shared" ca="1" si="10"/>
        <v>1.0238199336927294E-4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input_399010!A$2</f>
        <v>399010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IFERROR(VLOOKUP(B246,input_399010!L:R,7,FALSE),VLOOKUP(tables_399010!C246,input_399010!A:H,8,FALSE))</f>
        <v>54450</v>
      </c>
      <c r="P246" s="46">
        <f t="shared" ca="1" si="10"/>
        <v>5.1562499999023379E-3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input_399010!A$2</f>
        <v>399010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IFERROR(VLOOKUP(B247,input_399010!L:R,7,FALSE),VLOOKUP(tables_399010!C247,input_399010!A:H,8,FALSE))</f>
        <v>47147.307690000001</v>
      </c>
      <c r="P247" s="46">
        <f t="shared" ca="1" si="10"/>
        <v>4.4647071675290723E-3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input_399010!A$2</f>
        <v>399010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IFERROR(VLOOKUP(B248,input_399010!L:R,7,FALSE),VLOOKUP(tables_399010!C248,input_399010!A:H,8,FALSE))</f>
        <v>1081.1538499999999</v>
      </c>
      <c r="P248" s="46">
        <f t="shared" ca="1" si="10"/>
        <v>1.0238199336927294E-4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input_399010!A$2</f>
        <v>399010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IFERROR(VLOOKUP(B249,input_399010!L:R,7,FALSE),VLOOKUP(tables_399010!C249,input_399010!A:H,8,FALSE))</f>
        <v>54450</v>
      </c>
      <c r="P249" s="46">
        <f t="shared" ca="1" si="10"/>
        <v>5.1562499999023379E-3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input_399010!A$2</f>
        <v>399010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IFERROR(VLOOKUP(B250,input_399010!L:R,7,FALSE),VLOOKUP(tables_399010!C250,input_399010!A:H,8,FALSE))</f>
        <v>47147.307690000001</v>
      </c>
      <c r="P250" s="46">
        <f t="shared" ca="1" si="10"/>
        <v>4.4647071675290723E-3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input_399010!A$2</f>
        <v>399010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IFERROR(VLOOKUP(B251,input_399010!L:R,7,FALSE),VLOOKUP(tables_399010!C251,input_399010!A:H,8,FALSE))</f>
        <v>1081.1538499999999</v>
      </c>
      <c r="P251" s="46">
        <f t="shared" ca="1" si="10"/>
        <v>1.0238199336927294E-4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input_399010!A$2</f>
        <v>399010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IFERROR(VLOOKUP(B252,input_399010!L:R,7,FALSE),VLOOKUP(tables_399010!C252,input_399010!A:H,8,FALSE))</f>
        <v>19120.71429</v>
      </c>
      <c r="P252" s="46">
        <f t="shared" ca="1" si="10"/>
        <v>1.8106737016702502E-3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input_399010!A$2</f>
        <v>399010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IFERROR(VLOOKUP(B253,input_399010!L:R,7,FALSE),VLOOKUP(tables_399010!C253,input_399010!A:H,8,FALSE))</f>
        <v>825</v>
      </c>
      <c r="P253" s="46">
        <f t="shared" ca="1" si="10"/>
        <v>7.8124999998520269E-5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input_399010!A$2</f>
        <v>399010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IFERROR(VLOOKUP(B254,input_399010!L:R,7,FALSE),VLOOKUP(tables_399010!C254,input_399010!A:H,8,FALSE))</f>
        <v>19120.71429</v>
      </c>
      <c r="P254" s="46">
        <f t="shared" ca="1" si="10"/>
        <v>1.8106737016702502E-3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input_399010!A$2</f>
        <v>399010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IFERROR(VLOOKUP(B255,input_399010!L:R,7,FALSE),VLOOKUP(tables_399010!C255,input_399010!A:H,8,FALSE))</f>
        <v>825</v>
      </c>
      <c r="P255" s="46">
        <f t="shared" ca="1" si="10"/>
        <v>7.8124999998520269E-5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input_399010!A$2</f>
        <v>399010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IFERROR(VLOOKUP(B256,input_399010!L:R,7,FALSE),VLOOKUP(tables_399010!C256,input_399010!A:H,8,FALSE))</f>
        <v>106095</v>
      </c>
      <c r="P256" s="46">
        <f t="shared" ca="1" si="10"/>
        <v>1.0046874999809706E-2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input_399010!A$2</f>
        <v>399010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IFERROR(VLOOKUP(B257,input_399010!L:R,7,FALSE),VLOOKUP(tables_399010!C257,input_399010!A:H,8,FALSE))</f>
        <v>2805</v>
      </c>
      <c r="P257" s="46">
        <f t="shared" ca="1" si="10"/>
        <v>2.6562499999496889E-4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input_399010!A$2</f>
        <v>399010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IFERROR(VLOOKUP(B258,input_399010!L:R,7,FALSE),VLOOKUP(tables_399010!C258,input_399010!A:H,8,FALSE))</f>
        <v>106095</v>
      </c>
      <c r="P258" s="46">
        <f t="shared" ref="P258:P294" ca="1" si="13">O258/SUM(O:O)</f>
        <v>1.0046874999809706E-2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input_399010!A$2</f>
        <v>399010</v>
      </c>
      <c r="B259" s="60">
        <v>731</v>
      </c>
      <c r="C259" s="7" t="str">
        <f t="shared" si="12"/>
        <v>Premium5R3less</v>
      </c>
      <c r="D259" s="7" t="str">
        <f t="shared" ref="D259:D314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IFERROR(VLOOKUP(B259,input_399010!L:R,7,FALSE),VLOOKUP(tables_399010!C259,input_399010!A:H,8,FALSE))</f>
        <v>2805</v>
      </c>
      <c r="P259" s="46">
        <f t="shared" ca="1" si="13"/>
        <v>2.6562499999496889E-4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input_399010!A$2</f>
        <v>399010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IFERROR(VLOOKUP(B260,input_399010!L:R,7,FALSE),VLOOKUP(tables_399010!C260,input_399010!A:H,8,FALSE))</f>
        <v>11676</v>
      </c>
      <c r="P260" s="46">
        <f t="shared" ca="1" si="13"/>
        <v>1.1056818181608759E-3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input_399010!A$2</f>
        <v>399010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IFERROR(VLOOKUP(B261,input_399010!L:R,7,FALSE),VLOOKUP(tables_399010!C261,input_399010!A:H,8,FALSE))</f>
        <v>11676</v>
      </c>
      <c r="P261" s="46">
        <f t="shared" ca="1" si="13"/>
        <v>1.1056818181608759E-3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input_399010!A$2</f>
        <v>399010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IFERROR(VLOOKUP(B262,input_399010!L:R,7,FALSE),VLOOKUP(tables_399010!C262,input_399010!A:H,8,FALSE))</f>
        <v>19120.71429</v>
      </c>
      <c r="P262" s="46">
        <f t="shared" ca="1" si="13"/>
        <v>1.8106737016702502E-3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input_399010!A$2</f>
        <v>399010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IFERROR(VLOOKUP(B263,input_399010!L:R,7,FALSE),VLOOKUP(tables_399010!C263,input_399010!A:H,8,FALSE))</f>
        <v>825</v>
      </c>
      <c r="P263" s="46">
        <f t="shared" ca="1" si="13"/>
        <v>7.8124999998520269E-5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input_399010!A$2</f>
        <v>399010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IFERROR(VLOOKUP(B264,input_399010!L:R,7,FALSE),VLOOKUP(tables_399010!C264,input_399010!A:H,8,FALSE))</f>
        <v>19120.71429</v>
      </c>
      <c r="P264" s="46">
        <f t="shared" ca="1" si="13"/>
        <v>1.8106737016702502E-3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input_399010!A$2</f>
        <v>399010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IFERROR(VLOOKUP(B265,input_399010!L:R,7,FALSE),VLOOKUP(tables_399010!C265,input_399010!A:H,8,FALSE))</f>
        <v>825</v>
      </c>
      <c r="P265" s="46">
        <f t="shared" ca="1" si="13"/>
        <v>7.8124999998520269E-5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input_399010!A$2</f>
        <v>399010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IFERROR(VLOOKUP(B266,input_399010!L:R,7,FALSE),VLOOKUP(tables_399010!C266,input_399010!A:H,8,FALSE))</f>
        <v>54450</v>
      </c>
      <c r="P266" s="46">
        <f t="shared" ca="1" si="13"/>
        <v>5.1562499999023379E-3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input_399010!A$2</f>
        <v>399010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IFERROR(VLOOKUP(B267,input_399010!L:R,7,FALSE),VLOOKUP(tables_399010!C267,input_399010!A:H,8,FALSE))</f>
        <v>47147.307690000001</v>
      </c>
      <c r="P267" s="46">
        <f t="shared" ca="1" si="13"/>
        <v>4.4647071675290723E-3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input_399010!A$2</f>
        <v>399010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IFERROR(VLOOKUP(B268,input_399010!L:R,7,FALSE),VLOOKUP(tables_399010!C268,input_399010!A:H,8,FALSE))</f>
        <v>1081.1538499999999</v>
      </c>
      <c r="P268" s="46">
        <f t="shared" ca="1" si="13"/>
        <v>1.0238199336927294E-4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input_399010!A$2</f>
        <v>399010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IFERROR(VLOOKUP(B269,input_399010!L:R,7,FALSE),VLOOKUP(tables_399010!C269,input_399010!A:H,8,FALSE))</f>
        <v>54450</v>
      </c>
      <c r="P269" s="46">
        <f t="shared" ca="1" si="13"/>
        <v>5.1562499999023379E-3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input_399010!A$2</f>
        <v>399010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IFERROR(VLOOKUP(B270,input_399010!L:R,7,FALSE),VLOOKUP(tables_399010!C270,input_399010!A:H,8,FALSE))</f>
        <v>47147.307690000001</v>
      </c>
      <c r="P270" s="46">
        <f t="shared" ca="1" si="13"/>
        <v>4.4647071675290723E-3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input_399010!A$2</f>
        <v>399010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IFERROR(VLOOKUP(B271,input_399010!L:R,7,FALSE),VLOOKUP(tables_399010!C271,input_399010!A:H,8,FALSE))</f>
        <v>1081.1538499999999</v>
      </c>
      <c r="P271" s="46">
        <f t="shared" ca="1" si="13"/>
        <v>1.0238199336927294E-4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input_399010!A$2</f>
        <v>399010</v>
      </c>
      <c r="B272" s="82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IFERROR(VLOOKUP(B272,input_399010!L:R,7,FALSE),VLOOKUP(tables_399010!C272,input_399010!A:H,8,FALSE))</f>
        <v>11676</v>
      </c>
      <c r="P272" s="46">
        <f t="shared" ca="1" si="13"/>
        <v>1.1056818181608759E-3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input_399010!A$2</f>
        <v>399010</v>
      </c>
      <c r="B273" s="82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IFERROR(VLOOKUP(B273,input_399010!L:R,7,FALSE),VLOOKUP(tables_399010!C273,input_399010!A:H,8,FALSE))</f>
        <v>11676</v>
      </c>
      <c r="P273" s="46">
        <f t="shared" ca="1" si="13"/>
        <v>1.1056818181608759E-3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input_399010!A$2</f>
        <v>399010</v>
      </c>
      <c r="B274" s="82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IFERROR(VLOOKUP(B274,input_399010!L:R,7,FALSE),VLOOKUP(tables_399010!C274,input_399010!A:H,8,FALSE))</f>
        <v>106095</v>
      </c>
      <c r="P274" s="46">
        <f t="shared" ca="1" si="13"/>
        <v>1.0046874999809706E-2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input_399010!A$2</f>
        <v>399010</v>
      </c>
      <c r="B275" s="82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IFERROR(VLOOKUP(B275,input_399010!L:R,7,FALSE),VLOOKUP(tables_399010!C275,input_399010!A:H,8,FALSE))</f>
        <v>2805</v>
      </c>
      <c r="P275" s="46">
        <f t="shared" ca="1" si="13"/>
        <v>2.6562499999496889E-4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input_399010!A$2</f>
        <v>399010</v>
      </c>
      <c r="B276" s="82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IFERROR(VLOOKUP(B276,input_399010!L:R,7,FALSE),VLOOKUP(tables_399010!C276,input_399010!A:H,8,FALSE))</f>
        <v>106095</v>
      </c>
      <c r="P276" s="46">
        <f t="shared" ca="1" si="13"/>
        <v>1.0046874999809706E-2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input_399010!A$2</f>
        <v>399010</v>
      </c>
      <c r="B277" s="82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IFERROR(VLOOKUP(B277,input_399010!L:R,7,FALSE),VLOOKUP(tables_399010!C277,input_399010!A:H,8,FALSE))</f>
        <v>2805</v>
      </c>
      <c r="P277" s="46">
        <f t="shared" ca="1" si="13"/>
        <v>2.6562499999496889E-4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input_399010!A$2</f>
        <v>399010</v>
      </c>
      <c r="B278" s="82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IFERROR(VLOOKUP(B278,input_399010!L:R,7,FALSE),VLOOKUP(tables_399010!C278,input_399010!A:H,8,FALSE))</f>
        <v>106095</v>
      </c>
      <c r="P278" s="46">
        <f t="shared" ca="1" si="13"/>
        <v>1.0046874999809706E-2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input_399010!A$2</f>
        <v>399010</v>
      </c>
      <c r="B279" s="82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IFERROR(VLOOKUP(B279,input_399010!L:R,7,FALSE),VLOOKUP(tables_399010!C279,input_399010!A:H,8,FALSE))</f>
        <v>2805</v>
      </c>
      <c r="P279" s="46">
        <f t="shared" ca="1" si="13"/>
        <v>2.6562499999496889E-4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input_399010!A$2</f>
        <v>399010</v>
      </c>
      <c r="B280" s="82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IFERROR(VLOOKUP(B280,input_399010!L:R,7,FALSE),VLOOKUP(tables_399010!C280,input_399010!A:H,8,FALSE))</f>
        <v>106095</v>
      </c>
      <c r="P280" s="46">
        <f t="shared" ca="1" si="13"/>
        <v>1.0046874999809706E-2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input_399010!A$2</f>
        <v>399010</v>
      </c>
      <c r="B281" s="82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IFERROR(VLOOKUP(B281,input_399010!L:R,7,FALSE),VLOOKUP(tables_399010!C281,input_399010!A:H,8,FALSE))</f>
        <v>2805</v>
      </c>
      <c r="P281" s="46">
        <f t="shared" ca="1" si="13"/>
        <v>2.6562499999496889E-4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input_399010!A$2</f>
        <v>399010</v>
      </c>
      <c r="B282" s="82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IFERROR(VLOOKUP(B282,input_399010!L:R,7,FALSE),VLOOKUP(tables_399010!C282,input_399010!A:H,8,FALSE))</f>
        <v>11676</v>
      </c>
      <c r="P282" s="46">
        <f t="shared" ca="1" si="13"/>
        <v>1.1056818181608759E-3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input_399010!A$2</f>
        <v>399010</v>
      </c>
      <c r="B283" s="82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IFERROR(VLOOKUP(B283,input_399010!L:R,7,FALSE),VLOOKUP(tables_399010!C283,input_399010!A:H,8,FALSE))</f>
        <v>11676</v>
      </c>
      <c r="P283" s="46">
        <f t="shared" ca="1" si="13"/>
        <v>1.1056818181608759E-3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input_399010!A$2</f>
        <v>399010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IFERROR(VLOOKUP(B284,input_399010!L:R,7,FALSE),VLOOKUP(tables_399010!C284,input_399010!A:H,8,FALSE))</f>
        <v>11676</v>
      </c>
      <c r="P284" s="46">
        <f t="shared" ca="1" si="13"/>
        <v>1.1056818181608759E-3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input_399010!A$2</f>
        <v>399010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IFERROR(VLOOKUP(B285,input_399010!L:R,7,FALSE),VLOOKUP(tables_399010!C285,input_399010!A:H,8,FALSE))</f>
        <v>11676</v>
      </c>
      <c r="P285" s="46">
        <f t="shared" ca="1" si="13"/>
        <v>1.1056818181608759E-3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input_399010!A$2</f>
        <v>399010</v>
      </c>
      <c r="B286" s="5">
        <v>746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IFERROR(VLOOKUP(B286,input_399010!L:R,7,FALSE),VLOOKUP(tables_399010!C286,input_399010!A:H,8,FALSE))</f>
        <v>106095</v>
      </c>
      <c r="P286" s="46">
        <f t="shared" ca="1" si="13"/>
        <v>1.0046874999809706E-2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input_399010!A$2</f>
        <v>399010</v>
      </c>
      <c r="B287" s="5">
        <v>747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IFERROR(VLOOKUP(B287,input_399010!L:R,7,FALSE),VLOOKUP(tables_399010!C287,input_399010!A:H,8,FALSE))</f>
        <v>2805</v>
      </c>
      <c r="P287" s="46">
        <f t="shared" ca="1" si="13"/>
        <v>2.6562499999496889E-4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input_399010!A$2</f>
        <v>399010</v>
      </c>
      <c r="B288" s="5">
        <v>748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IFERROR(VLOOKUP(B288,input_399010!L:R,7,FALSE),VLOOKUP(tables_399010!C288,input_399010!A:H,8,FALSE))</f>
        <v>106095</v>
      </c>
      <c r="P288" s="46">
        <f t="shared" ca="1" si="13"/>
        <v>1.0046874999809706E-2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input_399010!A$2</f>
        <v>399010</v>
      </c>
      <c r="B289" s="5">
        <v>749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IFERROR(VLOOKUP(B289,input_399010!L:R,7,FALSE),VLOOKUP(tables_399010!C289,input_399010!A:H,8,FALSE))</f>
        <v>2805</v>
      </c>
      <c r="P289" s="46">
        <f t="shared" ca="1" si="13"/>
        <v>2.6562499999496889E-4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input_399010!A$2</f>
        <v>399010</v>
      </c>
      <c r="B290" s="5">
        <v>937</v>
      </c>
      <c r="C290" s="7" t="str">
        <f t="shared" ref="C290:C294" si="16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IFERROR(VLOOKUP(B290,input_399010!L:R,7,FALSE),VLOOKUP(tables_399010!C290,input_399010!A:H,8,FALSE))</f>
        <v>11676</v>
      </c>
      <c r="P290" s="46">
        <f t="shared" ca="1" si="13"/>
        <v>1.1056818181608759E-3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input_399010!A$2</f>
        <v>399010</v>
      </c>
      <c r="B291" s="5">
        <v>939</v>
      </c>
      <c r="C291" s="7" t="str">
        <f t="shared" si="16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IFERROR(VLOOKUP(B291,input_399010!L:R,7,FALSE),VLOOKUP(tables_399010!C291,input_399010!A:H,8,FALSE))</f>
        <v>106095</v>
      </c>
      <c r="P291" s="46">
        <f t="shared" ca="1" si="13"/>
        <v>1.0046874999809706E-2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input_399010!A$2</f>
        <v>399010</v>
      </c>
      <c r="B292" s="5">
        <v>940</v>
      </c>
      <c r="C292" s="7" t="str">
        <f t="shared" si="16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IFERROR(VLOOKUP(B292,input_399010!L:R,7,FALSE),VLOOKUP(tables_399010!C292,input_399010!A:H,8,FALSE))</f>
        <v>2805</v>
      </c>
      <c r="P292" s="46">
        <f t="shared" ca="1" si="13"/>
        <v>2.6562499999496889E-4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input_399010!A$2</f>
        <v>399010</v>
      </c>
      <c r="B293" s="5">
        <v>941</v>
      </c>
      <c r="C293" s="7" t="str">
        <f t="shared" si="16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IFERROR(VLOOKUP(B293,input_399010!L:R,7,FALSE),VLOOKUP(tables_399010!C293,input_399010!A:H,8,FALSE))</f>
        <v>11676</v>
      </c>
      <c r="P293" s="46">
        <f t="shared" ca="1" si="13"/>
        <v>1.1056818181608759E-3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input_399010!A$2</f>
        <v>399010</v>
      </c>
      <c r="B294" s="5">
        <v>943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IFERROR(VLOOKUP(B294,input_399010!L:R,7,FALSE),VLOOKUP(tables_399010!C294,input_399010!A:H,8,FALSE))</f>
        <v>11676</v>
      </c>
      <c r="P294" s="46">
        <f t="shared" ca="1" si="13"/>
        <v>1.1056818181608759E-3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input_399010!A$2</f>
        <v>399010</v>
      </c>
      <c r="B295" s="5">
        <v>1012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IFERROR(VLOOKUP(B295,input_399010!L:R,7,FALSE),VLOOKUP(tables_399010!C295,input_399010!A:H,8,FALSE))</f>
        <v>11676</v>
      </c>
      <c r="P295" s="46">
        <f t="shared" ref="P295:P299" ca="1" si="18">O295/SUM(O:O)</f>
        <v>1.1056818181608759E-3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input_399010!A$2</f>
        <v>399010</v>
      </c>
      <c r="B296" s="5">
        <v>1014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IFERROR(VLOOKUP(B296,input_399010!L:R,7,FALSE),VLOOKUP(tables_399010!C296,input_399010!A:H,8,FALSE))</f>
        <v>11676</v>
      </c>
      <c r="P296" s="46">
        <f t="shared" ca="1" si="18"/>
        <v>1.1056818181608759E-3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input_399010!A$2</f>
        <v>399010</v>
      </c>
      <c r="B297" s="5">
        <v>1016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IFERROR(VLOOKUP(B297,input_399010!L:R,7,FALSE),VLOOKUP(tables_399010!C297,input_399010!A:H,8,FALSE))</f>
        <v>106095</v>
      </c>
      <c r="P297" s="46">
        <f t="shared" ca="1" si="18"/>
        <v>1.0046874999809706E-2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input_399010!A$2</f>
        <v>399010</v>
      </c>
      <c r="B298" s="5">
        <v>1017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IFERROR(VLOOKUP(B298,input_399010!L:R,7,FALSE),VLOOKUP(tables_399010!C298,input_399010!A:H,8,FALSE))</f>
        <v>2805</v>
      </c>
      <c r="P298" s="46">
        <f t="shared" ca="1" si="18"/>
        <v>2.6562499999496889E-4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input_399010!A$2</f>
        <v>399010</v>
      </c>
      <c r="B299" s="5">
        <v>1018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IFERROR(VLOOKUP(B299,input_399010!L:R,7,FALSE),VLOOKUP(tables_399010!C299,input_399010!A:H,8,FALSE))</f>
        <v>11676</v>
      </c>
      <c r="P299" s="46">
        <f t="shared" ca="1" si="18"/>
        <v>1.1056818181608759E-3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input_399010!A$2</f>
        <v>399010</v>
      </c>
      <c r="B300" s="5">
        <v>1026</v>
      </c>
      <c r="C300" s="7" t="str">
        <f t="shared" ref="C300:C304" si="19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IFERROR(VLOOKUP(B300,input_399010!L:R,7,FALSE),VLOOKUP(tables_399010!C300,input_399010!A:H,8,FALSE))</f>
        <v>106095</v>
      </c>
      <c r="P300" s="46">
        <f t="shared" ref="P300:P304" ca="1" si="20">O300/SUM(O:O)</f>
        <v>1.0046874999809706E-2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input_399010!A$2</f>
        <v>399010</v>
      </c>
      <c r="B301" s="5">
        <v>1027</v>
      </c>
      <c r="C301" s="7" t="str">
        <f t="shared" si="19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IFERROR(VLOOKUP(B301,input_399010!L:R,7,FALSE),VLOOKUP(tables_399010!C301,input_399010!A:H,8,FALSE))</f>
        <v>2805</v>
      </c>
      <c r="P301" s="46">
        <f t="shared" ca="1" si="20"/>
        <v>2.6562499999496889E-4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input_399010!A$2</f>
        <v>399010</v>
      </c>
      <c r="B302" s="5">
        <v>1028</v>
      </c>
      <c r="C302" s="7" t="str">
        <f t="shared" si="19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IFERROR(VLOOKUP(B302,input_399010!L:R,7,FALSE),VLOOKUP(tables_399010!C302,input_399010!A:H,8,FALSE))</f>
        <v>11676</v>
      </c>
      <c r="P302" s="46">
        <f t="shared" ca="1" si="20"/>
        <v>1.1056818181608759E-3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input_399010!A$2</f>
        <v>399010</v>
      </c>
      <c r="B303" s="5">
        <v>1031</v>
      </c>
      <c r="C303" s="7" t="str">
        <f t="shared" si="19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IFERROR(VLOOKUP(B303,input_399010!L:R,7,FALSE),VLOOKUP(tables_399010!C303,input_399010!A:H,8,FALSE))</f>
        <v>11676</v>
      </c>
      <c r="P303" s="46">
        <f t="shared" ca="1" si="20"/>
        <v>1.1056818181608759E-3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input_399010!A$2</f>
        <v>399010</v>
      </c>
      <c r="B304" s="5">
        <v>1033</v>
      </c>
      <c r="C304" s="7" t="str">
        <f t="shared" si="19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IFERROR(VLOOKUP(B304,input_399010!L:R,7,FALSE),VLOOKUP(tables_399010!C304,input_399010!A:H,8,FALSE))</f>
        <v>11676</v>
      </c>
      <c r="P304" s="46">
        <f t="shared" ca="1" si="20"/>
        <v>1.1056818181608759E-3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input_399010!A$2</f>
        <v>399010</v>
      </c>
      <c r="B305" s="5">
        <v>1067</v>
      </c>
      <c r="C305" s="7" t="str">
        <f t="shared" ref="C305:C309" si="21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IFERROR(VLOOKUP(B305,input_399010!L:R,7,FALSE),VLOOKUP(tables_399010!C305,input_399010!A:H,8,FALSE))</f>
        <v>106095</v>
      </c>
      <c r="P305" s="46">
        <f t="shared" ref="P305:P309" ca="1" si="22">O305/SUM(O:O)</f>
        <v>1.0046874999809706E-2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input_399010!A$2</f>
        <v>399010</v>
      </c>
      <c r="B306" s="5">
        <v>1068</v>
      </c>
      <c r="C306" s="7" t="str">
        <f t="shared" si="21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IFERROR(VLOOKUP(B306,input_399010!L:R,7,FALSE),VLOOKUP(tables_399010!C306,input_399010!A:H,8,FALSE))</f>
        <v>2805</v>
      </c>
      <c r="P306" s="46">
        <f t="shared" ca="1" si="22"/>
        <v>2.6562499999496889E-4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input_399010!A$2</f>
        <v>399010</v>
      </c>
      <c r="B307" s="5">
        <v>1069</v>
      </c>
      <c r="C307" s="7" t="str">
        <f t="shared" si="21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IFERROR(VLOOKUP(B307,input_399010!L:R,7,FALSE),VLOOKUP(tables_399010!C307,input_399010!A:H,8,FALSE))</f>
        <v>11676</v>
      </c>
      <c r="P307" s="46">
        <f t="shared" ca="1" si="22"/>
        <v>1.1056818181608759E-3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input_399010!A$2</f>
        <v>399010</v>
      </c>
      <c r="B308" s="5">
        <v>1072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IFERROR(VLOOKUP(B308,input_399010!L:R,7,FALSE),VLOOKUP(tables_399010!C308,input_399010!A:H,8,FALSE))</f>
        <v>11676</v>
      </c>
      <c r="P308" s="46">
        <f t="shared" ca="1" si="22"/>
        <v>1.1056818181608759E-3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input_399010!A$2</f>
        <v>399010</v>
      </c>
      <c r="B309" s="5">
        <v>1074</v>
      </c>
      <c r="C309" s="7" t="str">
        <f t="shared" si="21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IFERROR(VLOOKUP(B309,input_399010!L:R,7,FALSE),VLOOKUP(tables_399010!C309,input_399010!A:H,8,FALSE))</f>
        <v>11676</v>
      </c>
      <c r="P309" s="46">
        <f t="shared" ca="1" si="22"/>
        <v>1.1056818181608759E-3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input_399010!A$2</f>
        <v>399010</v>
      </c>
      <c r="B310" s="82">
        <v>972</v>
      </c>
      <c r="C310" s="7" t="str">
        <f t="shared" ref="C310:C314" si="23">D310&amp;J310&amp;E310&amp;F310&amp;G310</f>
        <v>PremiumSSS5R3less</v>
      </c>
      <c r="D310" s="7" t="str">
        <f t="shared" si="14"/>
        <v>PremiumSSS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コーシー</v>
      </c>
      <c r="I310" s="7" t="str">
        <f>VLOOKUP(B310,[1]characters!$A:$J,10,FALSE)</f>
        <v>PremiumSSS</v>
      </c>
      <c r="J310" s="7">
        <f>VLOOKUP(B310,[1]characters!$A:$I,9,FALSE)</f>
        <v>5</v>
      </c>
      <c r="K310" s="7" t="str">
        <f>VLOOKUP(B310,[1]characters!$A:$H,8,FALSE)</f>
        <v>red</v>
      </c>
      <c r="L310" s="7" t="str">
        <f>VLOOKUP(B310,[1]characters!$A:$K,11,FALSE)</f>
        <v>attack</v>
      </c>
      <c r="M310" s="7" t="str">
        <f>VLOOKUP(B310,[1]characters!$A:$M,13,FALSE)</f>
        <v>academia</v>
      </c>
      <c r="N310" s="7" t="str">
        <f>VLOOKUP(B310,[1]characters!$A:$G,7,FALSE)</f>
        <v>男性</v>
      </c>
      <c r="O310" s="45">
        <f>IFERROR(VLOOKUP(B310,input_399010!L:R,7,FALSE),VLOOKUP(tables_399010!C310,input_399010!A:H,8,FALSE))</f>
        <v>105600</v>
      </c>
      <c r="P310" s="46">
        <f t="shared" ref="P310:P314" ca="1" si="24">O310/SUM(O:O)</f>
        <v>9.9999999998105944E-3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input_399010!A$2</f>
        <v>399010</v>
      </c>
      <c r="B311" s="82">
        <v>953</v>
      </c>
      <c r="C311" s="7" t="str">
        <f t="shared" si="23"/>
        <v>PremiumSSS5R3less</v>
      </c>
      <c r="D311" s="7" t="str">
        <f t="shared" si="14"/>
        <v>PremiumSSS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ハイゼンベルク</v>
      </c>
      <c r="I311" s="7" t="str">
        <f>VLOOKUP(B311,[1]characters!$A:$J,10,FALSE)</f>
        <v>PremiumSSS</v>
      </c>
      <c r="J311" s="7">
        <f>VLOOKUP(B311,[1]characters!$A:$I,9,FALSE)</f>
        <v>5</v>
      </c>
      <c r="K311" s="7" t="str">
        <f>VLOOKUP(B311,[1]characters!$A:$H,8,FALSE)</f>
        <v>green</v>
      </c>
      <c r="L311" s="7" t="str">
        <f>VLOOKUP(B311,[1]characters!$A:$K,11,FALSE)</f>
        <v>attack</v>
      </c>
      <c r="M311" s="7" t="str">
        <f>VLOOKUP(B311,[1]characters!$A:$M,13,FALSE)</f>
        <v>academia</v>
      </c>
      <c r="N311" s="7" t="str">
        <f>VLOOKUP(B311,[1]characters!$A:$G,7,FALSE)</f>
        <v>男性</v>
      </c>
      <c r="O311" s="45">
        <f>IFERROR(VLOOKUP(B311,input_399010!L:R,7,FALSE),VLOOKUP(tables_399010!C311,input_399010!A:H,8,FALSE))</f>
        <v>26400</v>
      </c>
      <c r="P311" s="46">
        <f t="shared" ca="1" si="24"/>
        <v>2.4999999999526486E-3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input_399010!A$2</f>
        <v>399010</v>
      </c>
      <c r="B312" s="82">
        <v>880</v>
      </c>
      <c r="C312" s="7" t="str">
        <f t="shared" si="23"/>
        <v>PremiumSSS5R3less</v>
      </c>
      <c r="D312" s="7" t="str">
        <f t="shared" si="14"/>
        <v>PremiumSSS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ハーシェル</v>
      </c>
      <c r="I312" s="7" t="str">
        <f>VLOOKUP(B312,[1]characters!$A:$J,10,FALSE)</f>
        <v>PremiumSSS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heal</v>
      </c>
      <c r="M312" s="7" t="str">
        <f>VLOOKUP(B312,[1]characters!$A:$M,13,FALSE)</f>
        <v>academia</v>
      </c>
      <c r="N312" s="7" t="str">
        <f>VLOOKUP(B312,[1]characters!$A:$G,7,FALSE)</f>
        <v>男性</v>
      </c>
      <c r="O312" s="45">
        <f>IFERROR(VLOOKUP(B312,input_399010!L:R,7,FALSE),VLOOKUP(tables_399010!C312,input_399010!A:H,8,FALSE))</f>
        <v>26400</v>
      </c>
      <c r="P312" s="46">
        <f t="shared" ca="1" si="24"/>
        <v>2.4999999999526486E-3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input_399010!A$2</f>
        <v>399010</v>
      </c>
      <c r="B313" s="82">
        <v>619</v>
      </c>
      <c r="C313" s="7" t="str">
        <f t="shared" si="23"/>
        <v>PremiumSSS4R3less</v>
      </c>
      <c r="D313" s="7" t="str">
        <f t="shared" si="14"/>
        <v>PremiumSSS</v>
      </c>
      <c r="E313" s="7" t="str">
        <f>IF(COUNTIF('R6追加前'!A:A,B313)=0,IF(OR(I313="PremiumSS",I313="PremiumSSw"),"R5only","R3less"),"")</f>
        <v>R3less</v>
      </c>
      <c r="F313" s="7" t="str">
        <f>IF(COUNTIF('R6開放'!A:A,B313)&gt;0,"R6release","")</f>
        <v/>
      </c>
      <c r="G313" s="7"/>
      <c r="H313" s="7" t="str">
        <f>VLOOKUP(B313,[1]characters!$A:$C,3,FALSE)</f>
        <v>メビウス</v>
      </c>
      <c r="I313" s="7" t="str">
        <f>VLOOKUP(B313,[1]characters!$A:$J,10,FALSE)</f>
        <v>PremiumSSS</v>
      </c>
      <c r="J313" s="7">
        <f>VLOOKUP(B313,[1]characters!$A:$I,9,FALSE)</f>
        <v>4</v>
      </c>
      <c r="K313" s="7" t="str">
        <f>VLOOKUP(B313,[1]characters!$A:$H,8,FALSE)</f>
        <v>blue</v>
      </c>
      <c r="L313" s="7" t="str">
        <f>VLOOKUP(B313,[1]characters!$A:$K,11,FALSE)</f>
        <v>balance</v>
      </c>
      <c r="M313" s="7" t="str">
        <f>VLOOKUP(B313,[1]characters!$A:$M,13,FALSE)</f>
        <v>human</v>
      </c>
      <c r="N313" s="7" t="str">
        <f>VLOOKUP(B313,[1]characters!$A:$G,7,FALSE)</f>
        <v>女性</v>
      </c>
      <c r="O313" s="45">
        <f>IFERROR(VLOOKUP(B313,input_399010!L:R,7,FALSE),VLOOKUP(tables_399010!C313,input_399010!A:H,8,FALSE))</f>
        <v>25080</v>
      </c>
      <c r="P313" s="46">
        <f t="shared" ca="1" si="24"/>
        <v>2.374999999955016E-3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input_399010!A$2</f>
        <v>399010</v>
      </c>
      <c r="B314" s="82">
        <v>620</v>
      </c>
      <c r="C314" s="7" t="str">
        <f t="shared" si="23"/>
        <v>PremiumSSS5R3less</v>
      </c>
      <c r="D314" s="7" t="str">
        <f t="shared" si="14"/>
        <v>PremiumSSS</v>
      </c>
      <c r="E314" s="7" t="str">
        <f>IF(COUNTIF('R6追加前'!A:A,B314)=0,IF(OR(I314="PremiumSS",I314="PremiumSSw"),"R5only","R3less"),"")</f>
        <v>R3less</v>
      </c>
      <c r="F314" s="7" t="str">
        <f>IF(COUNTIF('R6開放'!A:A,B314)&gt;0,"R6release","")</f>
        <v/>
      </c>
      <c r="G314" s="7"/>
      <c r="H314" s="7" t="str">
        <f>VLOOKUP(B314,[1]characters!$A:$C,3,FALSE)</f>
        <v>奇跡の調和 メビウス</v>
      </c>
      <c r="I314" s="7" t="str">
        <f>VLOOKUP(B314,[1]characters!$A:$J,10,FALSE)</f>
        <v>PremiumSSS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balance</v>
      </c>
      <c r="M314" s="7" t="str">
        <f>VLOOKUP(B314,[1]characters!$A:$M,13,FALSE)</f>
        <v>human</v>
      </c>
      <c r="N314" s="7" t="str">
        <f>VLOOKUP(B314,[1]characters!$A:$G,7,FALSE)</f>
        <v>女性</v>
      </c>
      <c r="O314" s="45">
        <f>IFERROR(VLOOKUP(B314,input_399010!L:R,7,FALSE),VLOOKUP(tables_399010!C314,input_399010!A:H,8,FALSE))</f>
        <v>1320</v>
      </c>
      <c r="P314" s="46">
        <f t="shared" ca="1" si="24"/>
        <v>1.2499999999763243E-4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tabSelected="1" topLeftCell="A6" workbookViewId="0">
      <selection activeCell="G38" sqref="G38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399100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82">
        <v>972</v>
      </c>
      <c r="M3" s="37" t="str">
        <f>VLOOKUP(L3,[1]characters!$A:$C,3,FALSE)</f>
        <v>コーシー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VLOOKUP(L3,tables_399100!B:C,2,FALSE)</f>
        <v>PremiumSSS5R3less</v>
      </c>
      <c r="R3" s="62">
        <f t="shared" ref="R3:R20" si="1">N3*A$36</f>
        <v>105600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82">
        <v>953</v>
      </c>
      <c r="M4" s="37" t="str">
        <f>VLOOKUP(L4,[1]characters!$A:$C,3,FALSE)</f>
        <v>ハイゼンベルク</v>
      </c>
      <c r="N4" s="63">
        <v>2.5000000000000001E-3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VLOOKUP(L4,tables_399100!B:C,2,FALSE)</f>
        <v>PremiumSSS5R3less</v>
      </c>
      <c r="R4" s="62">
        <f t="shared" si="1"/>
        <v>26400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1.5624999999999999E-3</v>
      </c>
      <c r="F5">
        <f>(COUNTIF(tables_399100!C:C,input_399100!A28)+COUNTIF(tables_399100!C:C,input_399100!A29))</f>
        <v>48</v>
      </c>
      <c r="H5" s="85"/>
      <c r="I5" s="31"/>
      <c r="L5" s="82">
        <v>880</v>
      </c>
      <c r="M5" s="37" t="str">
        <f>VLOOKUP(L5,[1]characters!$A:$C,3,FALSE)</f>
        <v>ハーシェル</v>
      </c>
      <c r="N5" s="63">
        <v>2.5000000000000001E-3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VLOOKUP(L5,tables_399100!B:C,2,FALSE)</f>
        <v>PremiumSSS5R3less</v>
      </c>
      <c r="R5" s="62">
        <f t="shared" si="1"/>
        <v>26400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1-B5-B7-B8</f>
        <v>0.95</v>
      </c>
      <c r="D6" t="s">
        <v>202</v>
      </c>
      <c r="E6" s="76">
        <f>(B10-H6)/(F6-I6)</f>
        <v>1.03125E-2</v>
      </c>
      <c r="F6">
        <f>(COUNTIF(tables_399100!C:C,input_399100!A25)+COUNTIF(tables_399100!C:C,input_399100!A18)+COUNTIF(tables_399100!C:C,input_399100!A20)+COUNTIF(tables_399100!C:C,input_399100!A22))</f>
        <v>88</v>
      </c>
      <c r="H6" s="90"/>
      <c r="I6" s="31"/>
      <c r="L6" s="82">
        <v>619</v>
      </c>
      <c r="M6" s="37" t="str">
        <f>VLOOKUP(L6,[1]characters!$A:$C,3,FALSE)</f>
        <v>メビウス</v>
      </c>
      <c r="N6" s="102">
        <v>2.3749999999999999E-3</v>
      </c>
      <c r="O6" s="37">
        <f>VLOOKUP(L6,[1]characters!$A:$I,9,FALSE)</f>
        <v>4</v>
      </c>
      <c r="P6" s="37" t="str">
        <f>VLOOKUP(L6,[1]characters!$A:$J,10,FALSE)</f>
        <v>PremiumSSS</v>
      </c>
      <c r="Q6" s="37" t="str">
        <f>VLOOKUP(L6,tables_399100!B:C,2,FALSE)</f>
        <v>PremiumSSS4R3less</v>
      </c>
      <c r="R6" s="62">
        <f t="shared" si="1"/>
        <v>25080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82">
        <v>620</v>
      </c>
      <c r="M7" s="37" t="str">
        <f>VLOOKUP(L7,[1]characters!$A:$C,3,FALSE)</f>
        <v>奇跡の調和 メビウス</v>
      </c>
      <c r="N7" s="102">
        <v>1.25E-4</v>
      </c>
      <c r="O7" s="37">
        <f>VLOOKUP(L7,[1]characters!$A:$I,9,FALSE)</f>
        <v>5</v>
      </c>
      <c r="P7" s="37" t="str">
        <f>VLOOKUP(L7,[1]characters!$A:$J,10,FALSE)</f>
        <v>PremiumSSS</v>
      </c>
      <c r="Q7" s="37" t="str">
        <f>VLOOKUP(L7,tables_399100!B:C,2,FALSE)</f>
        <v>PremiumSSS5R3less</v>
      </c>
      <c r="R7" s="62">
        <f t="shared" si="1"/>
        <v>1320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VLOOKUP(L8,tables_399100!B:C,2,FALSE)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9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VLOOKUP(L9,tables_399100!B:C,2,FALSE)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0.90750000000000008</v>
      </c>
      <c r="C10" t="s">
        <v>208</v>
      </c>
      <c r="L10" s="89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VLOOKUP(L10,tables_399100!B:C,2,FALSE)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7.4999999999999997E-2</v>
      </c>
      <c r="C11" t="s">
        <v>243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VLOOKUP(L11,tables_399100!B:C,2,FALSE)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1">
        <v>1.7500000000000002E-2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VLOOKUP(L12,tables_399100!B:C,2,FALSE)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VLOOKUP(L13,tables_399100!B:C,2,FALSE)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VLOOKUP(L14,tables_399100!B:C,2,FALSE)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VLOOKUP(L15,tables_399100!B:C,2,FALSE)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VLOOKUP(L16,tables_399100!B:C,2,FALSE)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</v>
      </c>
      <c r="C17" s="86">
        <f t="shared" ref="C17:C31" si="2">SUMIF(Q:Q,A17,N:N)</f>
        <v>0</v>
      </c>
      <c r="D17" s="74">
        <f t="shared" ref="D17:D32" si="3">B17-C17</f>
        <v>0</v>
      </c>
      <c r="E17">
        <f>COUNTIF(tables_399010!C:C,input_399010!A17)-COUNTIF(Q:Q,A17)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VLOOKUP(L17,tables_399100!B:C,2,FALSE)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</f>
        <v>0.23688636363636362</v>
      </c>
      <c r="C18" s="86">
        <f t="shared" si="2"/>
        <v>0</v>
      </c>
      <c r="D18" s="74">
        <f t="shared" si="3"/>
        <v>0.23688636363636362</v>
      </c>
      <c r="E18">
        <f>COUNTIF(tables_399010!C:C,input_399010!A18)-COUNTIF(Q:Q,A18)</f>
        <v>20</v>
      </c>
      <c r="F18" s="43">
        <f>IFERROR(B18/E18,0)</f>
        <v>1.1844318181818182E-2</v>
      </c>
      <c r="G18">
        <f t="shared" si="4"/>
        <v>2501520</v>
      </c>
      <c r="H18">
        <f t="shared" si="5"/>
        <v>125076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VLOOKUP(L18,tables_399100!B:C,2,FALSE)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6">
        <f t="shared" si="2"/>
        <v>0</v>
      </c>
      <c r="D19" s="74">
        <f t="shared" si="3"/>
        <v>0</v>
      </c>
      <c r="E19">
        <f>COUNTIF(tables_399010!C:C,input_399010!A19)-COUNTIF(Q:Q,A19)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VLOOKUP(L19,tables_399100!B:C,2,FALSE)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83">
        <f>E$6*E20*B$6-B33-F34-F35</f>
        <v>0.5002897727007577</v>
      </c>
      <c r="C20" s="86">
        <f t="shared" si="2"/>
        <v>0</v>
      </c>
      <c r="D20" s="74">
        <f t="shared" si="3"/>
        <v>0.5002897727007577</v>
      </c>
      <c r="E20">
        <f>COUNTIF(tables_399010!C:C,input_399010!A20)-COUNTIF(Q:Q,A20)</f>
        <v>52</v>
      </c>
      <c r="F20" s="43">
        <f t="shared" si="8"/>
        <v>9.6209571673222631E-3</v>
      </c>
      <c r="G20">
        <f t="shared" si="4"/>
        <v>5283059.9997200016</v>
      </c>
      <c r="H20">
        <f t="shared" si="5"/>
        <v>101597.30769</v>
      </c>
      <c r="I20">
        <f t="shared" si="6"/>
        <v>0.30769000000145752</v>
      </c>
      <c r="J20">
        <f t="shared" si="7"/>
        <v>3.2500243751674187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VLOOKUP(L20,tables_399100!B:C,2,FALSE)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99">
        <f>E$6*E21*B$7-E35+F35</f>
        <v>5.3238636515149547E-3</v>
      </c>
      <c r="C21" s="86">
        <f t="shared" si="2"/>
        <v>0</v>
      </c>
      <c r="D21" s="74">
        <f t="shared" si="3"/>
        <v>5.3238636515149547E-3</v>
      </c>
      <c r="E21">
        <f>COUNTIF(tables_399010!C:C,input_399010!A21)-COUNTIF(Q:Q,A21)</f>
        <v>52</v>
      </c>
      <c r="F21" s="43">
        <f t="shared" si="8"/>
        <v>1.0238199329836451E-4</v>
      </c>
      <c r="G21">
        <f t="shared" si="4"/>
        <v>56220.000159997922</v>
      </c>
      <c r="H21">
        <f t="shared" si="5"/>
        <v>1081.1538499999999</v>
      </c>
      <c r="I21">
        <f t="shared" si="6"/>
        <v>0.15384999999992033</v>
      </c>
      <c r="J21">
        <f t="shared" si="7"/>
        <v>6.4998375040657645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0.1205625</v>
      </c>
      <c r="C22" s="86">
        <f t="shared" si="2"/>
        <v>0</v>
      </c>
      <c r="D22" s="74">
        <f t="shared" si="3"/>
        <v>0.1205625</v>
      </c>
      <c r="E22">
        <f>COUNTIF(tables_399010!C:C,input_399010!A22)-COUNTIF(Q:Q,A22)</f>
        <v>12</v>
      </c>
      <c r="F22" s="43">
        <f t="shared" si="8"/>
        <v>1.0046875E-2</v>
      </c>
      <c r="G22">
        <f t="shared" si="4"/>
        <v>1273140</v>
      </c>
      <c r="H22">
        <f t="shared" si="5"/>
        <v>106095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B$7*E23*E6-0.003</f>
        <v>3.1875000000000011E-3</v>
      </c>
      <c r="C23" s="86">
        <f t="shared" si="2"/>
        <v>0</v>
      </c>
      <c r="D23" s="74">
        <f t="shared" si="3"/>
        <v>3.1875000000000011E-3</v>
      </c>
      <c r="E23">
        <f>COUNTIF(tables_399010!C:C,input_399010!A23)-COUNTIF(Q:Q,A23)</f>
        <v>12</v>
      </c>
      <c r="F23" s="43">
        <f t="shared" si="8"/>
        <v>2.6562500000000007E-4</v>
      </c>
      <c r="G23">
        <f t="shared" si="4"/>
        <v>33660.000000000015</v>
      </c>
      <c r="H23">
        <f t="shared" si="5"/>
        <v>2805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6">
        <f t="shared" si="2"/>
        <v>0</v>
      </c>
      <c r="D24" s="74">
        <f t="shared" si="3"/>
        <v>0</v>
      </c>
      <c r="E24">
        <f>COUNTIF(tables_399010!C:C,input_399010!A24)-COUNTIF(Q:Q,A24)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3.91875E-2</v>
      </c>
      <c r="C25" s="86">
        <f t="shared" si="2"/>
        <v>0</v>
      </c>
      <c r="D25" s="74">
        <f t="shared" si="3"/>
        <v>3.91875E-2</v>
      </c>
      <c r="E25">
        <f>COUNTIF(tables_399010!C:C,input_399010!A25)-COUNTIF(Q:Q,A25)</f>
        <v>4</v>
      </c>
      <c r="F25" s="43">
        <f t="shared" si="8"/>
        <v>9.796875E-3</v>
      </c>
      <c r="G25">
        <f t="shared" si="4"/>
        <v>413820</v>
      </c>
      <c r="H25">
        <f t="shared" si="5"/>
        <v>103455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2.0625000000000001E-3</v>
      </c>
      <c r="C26" s="86">
        <f t="shared" si="2"/>
        <v>0</v>
      </c>
      <c r="D26" s="74">
        <f t="shared" si="3"/>
        <v>2.0625000000000001E-3</v>
      </c>
      <c r="E26">
        <f>COUNTIF(tables_399010!C:C,input_399010!A26)-COUNTIF(Q:Q,A26)</f>
        <v>4</v>
      </c>
      <c r="F26" s="43">
        <f t="shared" si="8"/>
        <v>5.1562500000000002E-4</v>
      </c>
      <c r="G26">
        <f t="shared" si="4"/>
        <v>21780</v>
      </c>
      <c r="H26">
        <f t="shared" si="5"/>
        <v>5445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E$5*E27*(B$5+B$6)+B33+E36</f>
        <v>5.0698863636363632E-2</v>
      </c>
      <c r="C27" s="86">
        <f t="shared" si="2"/>
        <v>0</v>
      </c>
      <c r="D27" s="74">
        <f t="shared" si="3"/>
        <v>5.0698863636363632E-2</v>
      </c>
      <c r="E27">
        <f>COUNTIF(tables_399010!C:C,input_399010!A27)-COUNTIF(Q:Q,A27)</f>
        <v>28</v>
      </c>
      <c r="F27" s="43">
        <f>IFERROR(B27/E27,0)</f>
        <v>1.8106737012987012E-3</v>
      </c>
      <c r="G27">
        <f t="shared" si="4"/>
        <v>535380</v>
      </c>
      <c r="H27">
        <f t="shared" si="5"/>
        <v>19120.71429</v>
      </c>
      <c r="I27">
        <f t="shared" si="6"/>
        <v>0.71428999999989173</v>
      </c>
      <c r="J27">
        <f t="shared" si="7"/>
        <v>1.3999916000506119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E$5*E28*0.05</f>
        <v>2.1874999999999998E-3</v>
      </c>
      <c r="C28" s="86">
        <f t="shared" si="2"/>
        <v>0</v>
      </c>
      <c r="D28" s="74">
        <f t="shared" si="3"/>
        <v>2.1874999999999998E-3</v>
      </c>
      <c r="E28">
        <f>COUNTIF(tables_399010!C:C,input_399010!A28)-COUNTIF(Q:Q,A28)</f>
        <v>28</v>
      </c>
      <c r="F28" s="43">
        <f t="shared" si="8"/>
        <v>7.8124999999999988E-5</v>
      </c>
      <c r="G28">
        <f t="shared" si="4"/>
        <v>23099.999999999996</v>
      </c>
      <c r="H28">
        <f t="shared" si="5"/>
        <v>825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E$5*E29-E36</f>
        <v>2.211363636363636E-2</v>
      </c>
      <c r="C29" s="86">
        <f t="shared" si="2"/>
        <v>0</v>
      </c>
      <c r="D29" s="74">
        <f t="shared" si="3"/>
        <v>2.211363636363636E-2</v>
      </c>
      <c r="E29">
        <f>COUNTIF(tables_399010!C:C,input_399010!A29)-COUNTIF(Q:Q,A29)</f>
        <v>20</v>
      </c>
      <c r="F29" s="43">
        <f t="shared" si="8"/>
        <v>1.1056818181818179E-3</v>
      </c>
      <c r="G29">
        <f t="shared" si="4"/>
        <v>233519.99999999997</v>
      </c>
      <c r="H29">
        <f t="shared" si="5"/>
        <v>11676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240</v>
      </c>
      <c r="B30" s="56">
        <f>0</f>
        <v>0</v>
      </c>
      <c r="C30" s="86">
        <f t="shared" si="2"/>
        <v>2.3749999999999999E-3</v>
      </c>
      <c r="D30" s="74">
        <f t="shared" si="3"/>
        <v>-2.3749999999999999E-3</v>
      </c>
      <c r="E30">
        <f>COUNTIF(tables_399010!C:C,input_399010!A30)-COUNTIF(Q:Q,A30)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241</v>
      </c>
      <c r="B31" s="56">
        <v>0</v>
      </c>
      <c r="C31" s="86">
        <f t="shared" si="2"/>
        <v>1.5125000000000001E-2</v>
      </c>
      <c r="D31" s="74">
        <f t="shared" si="3"/>
        <v>-1.5125000000000001E-2</v>
      </c>
      <c r="E31">
        <f>COUNTIF(tables_399010!C:C,input_399010!A31)-COUNTIF(Q:Q,A31)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0.98249999998863635</v>
      </c>
      <c r="C32" s="41">
        <f>SUM(C19:C31)</f>
        <v>1.7500000000000002E-2</v>
      </c>
      <c r="D32" s="42">
        <f t="shared" si="3"/>
        <v>0.96499999998863639</v>
      </c>
      <c r="L32" s="57"/>
      <c r="M32" s="57"/>
      <c r="N32" s="57"/>
      <c r="O32" s="57"/>
      <c r="P32" s="57"/>
      <c r="Q32" s="57"/>
      <c r="R32" s="59"/>
    </row>
    <row r="33" spans="1:7" x14ac:dyDescent="0.15">
      <c r="B33" s="101"/>
    </row>
    <row r="34" spans="1:7" x14ac:dyDescent="0.15">
      <c r="B34" s="100"/>
      <c r="E34" s="96">
        <f>3.06363636363636%</f>
        <v>3.06363636363636E-2</v>
      </c>
      <c r="F34">
        <v>4.3125000113636847E-3</v>
      </c>
    </row>
    <row r="35" spans="1:7" x14ac:dyDescent="0.15">
      <c r="A35" t="s">
        <v>73</v>
      </c>
      <c r="E35" s="55">
        <v>2.63238636363636E-2</v>
      </c>
      <c r="F35">
        <v>4.8352272878785518E-3</v>
      </c>
    </row>
    <row r="36" spans="1:7" x14ac:dyDescent="0.15">
      <c r="A36" s="31">
        <f>LCM(F5-I5,F6-I6)*1000*2*2*5</f>
        <v>10560000</v>
      </c>
      <c r="E36">
        <v>9.1363636363636369E-3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SUMIF(tables_399100!C:C,input_399100!A40,tables_399100!O:O)</f>
        <v>0</v>
      </c>
      <c r="C40" s="54">
        <f t="shared" ref="C40:C46" ca="1" si="9">B40/B$47</f>
        <v>0</v>
      </c>
      <c r="E40">
        <v>3</v>
      </c>
      <c r="F40">
        <f ca="1">SUMIF(tables_399100!J:J,input_399100!E40,tables_399100!O:O)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SUMIF(tables_399100!C:C,input_399100!A41,tables_399100!O:O)</f>
        <v>5283059.9998800047</v>
      </c>
      <c r="C41" s="54">
        <f t="shared" ca="1" si="9"/>
        <v>0.89577398871789393</v>
      </c>
      <c r="E41">
        <v>4</v>
      </c>
      <c r="F41">
        <f ca="1">SUMIF(tables_399100!J:J,input_399100!E41,tables_399100!O:O)</f>
        <v>10032000</v>
      </c>
      <c r="G41">
        <f ca="1">F41/A36</f>
        <v>0.95</v>
      </c>
    </row>
    <row r="42" spans="1:7" x14ac:dyDescent="0.15">
      <c r="A42" s="33" t="s">
        <v>106</v>
      </c>
      <c r="B42">
        <f ca="1">SUMIF(tables_399100!C:C,input_399100!A42,tables_399100!O:O)</f>
        <v>535380.00011999963</v>
      </c>
      <c r="C42" s="54">
        <f t="shared" ca="1" si="9"/>
        <v>9.0776837324991838E-2</v>
      </c>
      <c r="E42">
        <v>5</v>
      </c>
      <c r="F42">
        <f ca="1">SUMIF(tables_399100!J:J,input_399100!E42,tables_399100!O:O)</f>
        <v>528000.00020000013</v>
      </c>
      <c r="G42">
        <f ca="1">F42/A36</f>
        <v>5.0000000018939408E-2</v>
      </c>
    </row>
    <row r="43" spans="1:7" x14ac:dyDescent="0.15">
      <c r="A43" s="33" t="s">
        <v>109</v>
      </c>
      <c r="B43">
        <f>SUMIF(tables_399100!C:C,input_399100!A43,tables_399100!O:O)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SUMIF(tables_399100!C:C,input_399100!A44,tables_399100!O:O)</f>
        <v>56220.000200000039</v>
      </c>
      <c r="C44" s="54">
        <f t="shared" ca="1" si="9"/>
        <v>9.5324326859847659E-3</v>
      </c>
      <c r="E44" t="s">
        <v>54</v>
      </c>
      <c r="F44" s="55"/>
    </row>
    <row r="45" spans="1:7" x14ac:dyDescent="0.15">
      <c r="A45" s="33" t="s">
        <v>107</v>
      </c>
      <c r="B45">
        <f ca="1">SUMIF(tables_399100!C:C,input_399100!A45,tables_399100!O:O)</f>
        <v>23100</v>
      </c>
      <c r="C45" s="54">
        <f t="shared" ca="1" si="9"/>
        <v>3.9167412711294857E-3</v>
      </c>
      <c r="E45" t="s">
        <v>204</v>
      </c>
      <c r="F45" s="55">
        <f ca="1">SUMIF(tables_399100!I:I,input_399100!E45,tables_399100!P:P)</f>
        <v>0.2368863636318769</v>
      </c>
    </row>
    <row r="46" spans="1:7" x14ac:dyDescent="0.15">
      <c r="A46" s="33" t="s">
        <v>108</v>
      </c>
      <c r="B46">
        <f>SUMIF(tables_399100!C:C,input_399100!A46,tables_399100!O:O)</f>
        <v>0</v>
      </c>
      <c r="C46" s="54">
        <f t="shared" ca="1" si="9"/>
        <v>0</v>
      </c>
      <c r="E46" t="s">
        <v>205</v>
      </c>
      <c r="F46" s="55">
        <f ca="1">SUMIF(tables_399100!I:I,input_399100!E46,tables_399100!P:P)</f>
        <v>0.19623426573302563</v>
      </c>
    </row>
    <row r="47" spans="1:7" x14ac:dyDescent="0.15">
      <c r="A47" s="39" t="s">
        <v>59</v>
      </c>
      <c r="B47">
        <f ca="1">SUM(B40:B46)</f>
        <v>5897760.0002000043</v>
      </c>
      <c r="C47" s="55">
        <f ca="1">SUM(C40:C46)</f>
        <v>1</v>
      </c>
      <c r="E47" t="s">
        <v>206</v>
      </c>
      <c r="F47" s="55">
        <f ca="1">SUMIF(tables_399100!I:I,input_399100!E47,tables_399100!P:P)</f>
        <v>0.47437937062548474</v>
      </c>
    </row>
    <row r="48" spans="1:7" x14ac:dyDescent="0.15">
      <c r="E48" t="s">
        <v>207</v>
      </c>
      <c r="F48" s="55">
        <f ca="1">SUMIF(tables_399100!I:I,input_399100!E48,tables_399100!P:P)</f>
        <v>7.3894318191782146E-2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14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E3" sqref="E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input_399100!A$2</f>
        <v>399100</v>
      </c>
      <c r="B2" s="6">
        <v>126</v>
      </c>
      <c r="C2" s="7" t="str">
        <f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IFERROR(VLOOKUP(B2,input_399100!L:R,7,FALSE),VLOOKUP(tables_399100!C2,input_399100!A:H,8,FALSE))</f>
        <v>0</v>
      </c>
      <c r="P2" s="46">
        <f t="shared" ref="P2:P65" ca="1" si="0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input_399100!A$2</f>
        <v>399100</v>
      </c>
      <c r="B3" s="6">
        <v>127</v>
      </c>
      <c r="C3" s="7" t="str">
        <f t="shared" ref="C3:C65" si="1">D3&amp;J3&amp;E3&amp;F3&amp;G3</f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IFERROR(VLOOKUP(B3,input_399100!L:R,7,FALSE),VLOOKUP(tables_399100!C3,input_399100!A:H,8,FALSE))</f>
        <v>125076</v>
      </c>
      <c r="P3" s="46">
        <f t="shared" ca="1" si="0"/>
        <v>1.1844318181593845E-2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input_399100!A$2</f>
        <v>399100</v>
      </c>
      <c r="B4" s="6">
        <v>128</v>
      </c>
      <c r="C4" s="7" t="str">
        <f t="shared" si="1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IFERROR(VLOOKUP(B4,input_399100!L:R,7,FALSE),VLOOKUP(tables_399100!C4,input_399100!A:H,8,FALSE))</f>
        <v>0</v>
      </c>
      <c r="P4" s="46">
        <f t="shared" ca="1" si="0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input_399100!A$2</f>
        <v>399100</v>
      </c>
      <c r="B5" s="6">
        <v>129</v>
      </c>
      <c r="C5" s="7" t="str">
        <f t="shared" si="1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IFERROR(VLOOKUP(B5,input_399100!L:R,7,FALSE),VLOOKUP(tables_399100!C5,input_399100!A:H,8,FALSE))</f>
        <v>125076</v>
      </c>
      <c r="P5" s="46">
        <f t="shared" ca="1" si="0"/>
        <v>1.1844318181593845E-2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input_399100!A$2</f>
        <v>399100</v>
      </c>
      <c r="B6" s="6">
        <v>130</v>
      </c>
      <c r="C6" s="7" t="str">
        <f t="shared" si="1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IFERROR(VLOOKUP(B6,input_399100!L:R,7,FALSE),VLOOKUP(tables_399100!C6,input_399100!A:H,8,FALSE))</f>
        <v>0</v>
      </c>
      <c r="P6" s="46">
        <f t="shared" ca="1" si="0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input_399100!A$2</f>
        <v>399100</v>
      </c>
      <c r="B7" s="6">
        <v>131</v>
      </c>
      <c r="C7" s="7" t="str">
        <f t="shared" si="1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IFERROR(VLOOKUP(B7,input_399100!L:R,7,FALSE),VLOOKUP(tables_399100!C7,input_399100!A:H,8,FALSE))</f>
        <v>125076</v>
      </c>
      <c r="P7" s="46">
        <f t="shared" ca="1" si="0"/>
        <v>1.1844318181593845E-2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input_399100!A$2</f>
        <v>399100</v>
      </c>
      <c r="B8" s="6">
        <v>132</v>
      </c>
      <c r="C8" s="7" t="str">
        <f t="shared" si="1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IFERROR(VLOOKUP(B8,input_399100!L:R,7,FALSE),VLOOKUP(tables_399100!C8,input_399100!A:H,8,FALSE))</f>
        <v>0</v>
      </c>
      <c r="P8" s="46">
        <f t="shared" ca="1" si="0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input_399100!A$2</f>
        <v>399100</v>
      </c>
      <c r="B9" s="6">
        <v>133</v>
      </c>
      <c r="C9" s="7" t="str">
        <f t="shared" si="1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IFERROR(VLOOKUP(B9,input_399100!L:R,7,FALSE),VLOOKUP(tables_399100!C9,input_399100!A:H,8,FALSE))</f>
        <v>125076</v>
      </c>
      <c r="P9" s="46">
        <f t="shared" ca="1" si="0"/>
        <v>1.1844318181593845E-2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input_399100!A$2</f>
        <v>399100</v>
      </c>
      <c r="B10" s="6">
        <v>134</v>
      </c>
      <c r="C10" s="7" t="str">
        <f t="shared" si="1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IFERROR(VLOOKUP(B10,input_399100!L:R,7,FALSE),VLOOKUP(tables_399100!C10,input_399100!A:H,8,FALSE))</f>
        <v>0</v>
      </c>
      <c r="P10" s="46">
        <f t="shared" ca="1" si="0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input_399100!A$2</f>
        <v>399100</v>
      </c>
      <c r="B11" s="6">
        <v>135</v>
      </c>
      <c r="C11" s="7" t="str">
        <f t="shared" si="1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IFERROR(VLOOKUP(B11,input_399100!L:R,7,FALSE),VLOOKUP(tables_399100!C11,input_399100!A:H,8,FALSE))</f>
        <v>125076</v>
      </c>
      <c r="P11" s="46">
        <f t="shared" ca="1" si="0"/>
        <v>1.1844318181593845E-2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input_399100!A$2</f>
        <v>399100</v>
      </c>
      <c r="B12" s="8">
        <v>136</v>
      </c>
      <c r="C12" s="7" t="str">
        <f t="shared" si="1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IFERROR(VLOOKUP(B12,input_399100!L:R,7,FALSE),VLOOKUP(tables_399100!C12,input_399100!A:H,8,FALSE))</f>
        <v>0</v>
      </c>
      <c r="P12" s="46">
        <f t="shared" ca="1" si="0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input_399100!A$2</f>
        <v>399100</v>
      </c>
      <c r="B13" s="8">
        <v>137</v>
      </c>
      <c r="C13" s="7" t="str">
        <f t="shared" si="1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IFERROR(VLOOKUP(B13,input_399100!L:R,7,FALSE),VLOOKUP(tables_399100!C13,input_399100!A:H,8,FALSE))</f>
        <v>125076</v>
      </c>
      <c r="P13" s="46">
        <f t="shared" ca="1" si="0"/>
        <v>1.1844318181593845E-2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input_399100!A$2</f>
        <v>399100</v>
      </c>
      <c r="B14" s="6">
        <v>138</v>
      </c>
      <c r="C14" s="7" t="str">
        <f t="shared" si="1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IFERROR(VLOOKUP(B14,input_399100!L:R,7,FALSE),VLOOKUP(tables_399100!C14,input_399100!A:H,8,FALSE))</f>
        <v>0</v>
      </c>
      <c r="P14" s="46">
        <f t="shared" ca="1" si="0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input_399100!A$2</f>
        <v>399100</v>
      </c>
      <c r="B15" s="6">
        <v>139</v>
      </c>
      <c r="C15" s="7" t="str">
        <f t="shared" si="1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IFERROR(VLOOKUP(B15,input_399100!L:R,7,FALSE),VLOOKUP(tables_399100!C15,input_399100!A:H,8,FALSE))</f>
        <v>125076</v>
      </c>
      <c r="P15" s="46">
        <f t="shared" ca="1" si="0"/>
        <v>1.1844318181593845E-2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input_399100!A$2</f>
        <v>399100</v>
      </c>
      <c r="B16" s="10">
        <v>140</v>
      </c>
      <c r="C16" s="7" t="str">
        <f t="shared" si="1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IFERROR(VLOOKUP(B16,input_399100!L:R,7,FALSE),VLOOKUP(tables_399100!C16,input_399100!A:H,8,FALSE))</f>
        <v>0</v>
      </c>
      <c r="P16" s="46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input_399100!A$2</f>
        <v>399100</v>
      </c>
      <c r="B17" s="11">
        <v>141</v>
      </c>
      <c r="C17" s="7" t="str">
        <f t="shared" si="1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IFERROR(VLOOKUP(B17,input_399100!L:R,7,FALSE),VLOOKUP(tables_399100!C17,input_399100!A:H,8,FALSE))</f>
        <v>125076</v>
      </c>
      <c r="P17" s="46">
        <f t="shared" ca="1" si="0"/>
        <v>1.1844318181593845E-2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input_399100!A$2</f>
        <v>399100</v>
      </c>
      <c r="B18" s="6">
        <v>142</v>
      </c>
      <c r="C18" s="7" t="str">
        <f t="shared" si="1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IFERROR(VLOOKUP(B18,input_399100!L:R,7,FALSE),VLOOKUP(tables_399100!C18,input_399100!A:H,8,FALSE))</f>
        <v>0</v>
      </c>
      <c r="P18" s="46">
        <f t="shared" ca="1" si="0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input_399100!A$2</f>
        <v>399100</v>
      </c>
      <c r="B19" s="6">
        <v>143</v>
      </c>
      <c r="C19" s="7" t="str">
        <f t="shared" si="1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IFERROR(VLOOKUP(B19,input_399100!L:R,7,FALSE),VLOOKUP(tables_399100!C19,input_399100!A:H,8,FALSE))</f>
        <v>125076</v>
      </c>
      <c r="P19" s="46">
        <f t="shared" ca="1" si="0"/>
        <v>1.1844318181593845E-2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input_399100!A$2</f>
        <v>399100</v>
      </c>
      <c r="B20" s="10">
        <v>144</v>
      </c>
      <c r="C20" s="7" t="str">
        <f t="shared" si="1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IFERROR(VLOOKUP(B20,input_399100!L:R,7,FALSE),VLOOKUP(tables_399100!C20,input_399100!A:H,8,FALSE))</f>
        <v>0</v>
      </c>
      <c r="P20" s="46">
        <f t="shared" ca="1" si="0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input_399100!A$2</f>
        <v>399100</v>
      </c>
      <c r="B21" s="6">
        <v>145</v>
      </c>
      <c r="C21" s="7" t="str">
        <f t="shared" si="1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IFERROR(VLOOKUP(B21,input_399100!L:R,7,FALSE),VLOOKUP(tables_399100!C21,input_399100!A:H,8,FALSE))</f>
        <v>125076</v>
      </c>
      <c r="P21" s="46">
        <f t="shared" ca="1" si="0"/>
        <v>1.1844318181593845E-2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input_399100!A$2</f>
        <v>399100</v>
      </c>
      <c r="B22" s="6">
        <v>146</v>
      </c>
      <c r="C22" s="7" t="str">
        <f t="shared" si="1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IFERROR(VLOOKUP(B22,input_399100!L:R,7,FALSE),VLOOKUP(tables_399100!C22,input_399100!A:H,8,FALSE))</f>
        <v>0</v>
      </c>
      <c r="P22" s="46">
        <f t="shared" ca="1" si="0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input_399100!A$2</f>
        <v>399100</v>
      </c>
      <c r="B23" s="6">
        <v>147</v>
      </c>
      <c r="C23" s="7" t="str">
        <f t="shared" si="1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IFERROR(VLOOKUP(B23,input_399100!L:R,7,FALSE),VLOOKUP(tables_399100!C23,input_399100!A:H,8,FALSE))</f>
        <v>125076</v>
      </c>
      <c r="P23" s="46">
        <f t="shared" ca="1" si="0"/>
        <v>1.1844318181593845E-2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input_399100!A$2</f>
        <v>399100</v>
      </c>
      <c r="B24" s="6">
        <v>148</v>
      </c>
      <c r="C24" s="7" t="str">
        <f t="shared" si="1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IFERROR(VLOOKUP(B24,input_399100!L:R,7,FALSE),VLOOKUP(tables_399100!C24,input_399100!A:H,8,FALSE))</f>
        <v>0</v>
      </c>
      <c r="P24" s="46">
        <f t="shared" ca="1" si="0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input_399100!A$2</f>
        <v>399100</v>
      </c>
      <c r="B25" s="6">
        <v>149</v>
      </c>
      <c r="C25" s="7" t="str">
        <f t="shared" si="1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IFERROR(VLOOKUP(B25,input_399100!L:R,7,FALSE),VLOOKUP(tables_399100!C25,input_399100!A:H,8,FALSE))</f>
        <v>125076</v>
      </c>
      <c r="P25" s="46">
        <f t="shared" ca="1" si="0"/>
        <v>1.1844318181593845E-2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input_399100!A$2</f>
        <v>399100</v>
      </c>
      <c r="B26" s="6">
        <v>150</v>
      </c>
      <c r="C26" s="7" t="str">
        <f t="shared" si="1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IFERROR(VLOOKUP(B26,input_399100!L:R,7,FALSE),VLOOKUP(tables_399100!C26,input_399100!A:H,8,FALSE))</f>
        <v>0</v>
      </c>
      <c r="P26" s="46">
        <f t="shared" ca="1" si="0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input_399100!A$2</f>
        <v>399100</v>
      </c>
      <c r="B27" s="6">
        <v>151</v>
      </c>
      <c r="C27" s="7" t="str">
        <f t="shared" si="1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IFERROR(VLOOKUP(B27,input_399100!L:R,7,FALSE),VLOOKUP(tables_399100!C27,input_399100!A:H,8,FALSE))</f>
        <v>125076</v>
      </c>
      <c r="P27" s="46">
        <f t="shared" ca="1" si="0"/>
        <v>1.1844318181593845E-2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input_399100!A$2</f>
        <v>399100</v>
      </c>
      <c r="B28" s="6">
        <v>152</v>
      </c>
      <c r="C28" s="7" t="str">
        <f t="shared" si="1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IFERROR(VLOOKUP(B28,input_399100!L:R,7,FALSE),VLOOKUP(tables_399100!C28,input_399100!A:H,8,FALSE))</f>
        <v>0</v>
      </c>
      <c r="P28" s="46">
        <f t="shared" ca="1" si="0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input_399100!A$2</f>
        <v>399100</v>
      </c>
      <c r="B29" s="6">
        <v>153</v>
      </c>
      <c r="C29" s="7" t="str">
        <f t="shared" si="1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IFERROR(VLOOKUP(B29,input_399100!L:R,7,FALSE),VLOOKUP(tables_399100!C29,input_399100!A:H,8,FALSE))</f>
        <v>125076</v>
      </c>
      <c r="P29" s="46">
        <f t="shared" ca="1" si="0"/>
        <v>1.1844318181593845E-2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input_399100!A$2</f>
        <v>399100</v>
      </c>
      <c r="B30" s="6">
        <v>154</v>
      </c>
      <c r="C30" s="7" t="str">
        <f t="shared" si="1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IFERROR(VLOOKUP(B30,input_399100!L:R,7,FALSE),VLOOKUP(tables_399100!C30,input_399100!A:H,8,FALSE))</f>
        <v>0</v>
      </c>
      <c r="P30" s="46">
        <f t="shared" ca="1" si="0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input_399100!A$2</f>
        <v>399100</v>
      </c>
      <c r="B31" s="6">
        <v>155</v>
      </c>
      <c r="C31" s="7" t="str">
        <f t="shared" si="1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IFERROR(VLOOKUP(B31,input_399100!L:R,7,FALSE),VLOOKUP(tables_399100!C31,input_399100!A:H,8,FALSE))</f>
        <v>125076</v>
      </c>
      <c r="P31" s="46">
        <f t="shared" ca="1" si="0"/>
        <v>1.1844318181593845E-2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input_399100!A$2</f>
        <v>399100</v>
      </c>
      <c r="B32" s="6">
        <v>156</v>
      </c>
      <c r="C32" s="7" t="str">
        <f t="shared" si="1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IFERROR(VLOOKUP(B32,input_399100!L:R,7,FALSE),VLOOKUP(tables_399100!C32,input_399100!A:H,8,FALSE))</f>
        <v>0</v>
      </c>
      <c r="P32" s="46">
        <f t="shared" ca="1" si="0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input_399100!A$2</f>
        <v>399100</v>
      </c>
      <c r="B33" s="6">
        <v>157</v>
      </c>
      <c r="C33" s="7" t="str">
        <f t="shared" si="1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IFERROR(VLOOKUP(B33,input_399100!L:R,7,FALSE),VLOOKUP(tables_399100!C33,input_399100!A:H,8,FALSE))</f>
        <v>125076</v>
      </c>
      <c r="P33" s="46">
        <f t="shared" ca="1" si="0"/>
        <v>1.1844318181593845E-2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input_399100!A$2</f>
        <v>399100</v>
      </c>
      <c r="B34" s="6">
        <v>158</v>
      </c>
      <c r="C34" s="7" t="str">
        <f t="shared" si="1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IFERROR(VLOOKUP(B34,input_399100!L:R,7,FALSE),VLOOKUP(tables_399100!C34,input_399100!A:H,8,FALSE))</f>
        <v>0</v>
      </c>
      <c r="P34" s="46">
        <f t="shared" ca="1" si="0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input_399100!A$2</f>
        <v>399100</v>
      </c>
      <c r="B35" s="6">
        <v>159</v>
      </c>
      <c r="C35" s="7" t="str">
        <f t="shared" si="1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IFERROR(VLOOKUP(B35,input_399100!L:R,7,FALSE),VLOOKUP(tables_399100!C35,input_399100!A:H,8,FALSE))</f>
        <v>125076</v>
      </c>
      <c r="P35" s="46">
        <f t="shared" ca="1" si="0"/>
        <v>1.1844318181593845E-2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input_399100!A$2</f>
        <v>399100</v>
      </c>
      <c r="B36" s="6">
        <v>160</v>
      </c>
      <c r="C36" s="7" t="str">
        <f t="shared" si="1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IFERROR(VLOOKUP(B36,input_399100!L:R,7,FALSE),VLOOKUP(tables_399100!C36,input_399100!A:H,8,FALSE))</f>
        <v>0</v>
      </c>
      <c r="P36" s="46">
        <f t="shared" ca="1" si="0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input_399100!A$2</f>
        <v>399100</v>
      </c>
      <c r="B37" s="6">
        <v>161</v>
      </c>
      <c r="C37" s="7" t="str">
        <f t="shared" si="1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IFERROR(VLOOKUP(B37,input_399100!L:R,7,FALSE),VLOOKUP(tables_399100!C37,input_399100!A:H,8,FALSE))</f>
        <v>125076</v>
      </c>
      <c r="P37" s="46">
        <f t="shared" ca="1" si="0"/>
        <v>1.1844318181593845E-2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input_399100!A$2</f>
        <v>399100</v>
      </c>
      <c r="B38" s="6">
        <v>162</v>
      </c>
      <c r="C38" s="7" t="str">
        <f t="shared" si="1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IFERROR(VLOOKUP(B38,input_399100!L:R,7,FALSE),VLOOKUP(tables_399100!C38,input_399100!A:H,8,FALSE))</f>
        <v>0</v>
      </c>
      <c r="P38" s="46">
        <f t="shared" ca="1" si="0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input_399100!A$2</f>
        <v>399100</v>
      </c>
      <c r="B39" s="6">
        <v>163</v>
      </c>
      <c r="C39" s="7" t="str">
        <f t="shared" si="1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IFERROR(VLOOKUP(B39,input_399100!L:R,7,FALSE),VLOOKUP(tables_399100!C39,input_399100!A:H,8,FALSE))</f>
        <v>125076</v>
      </c>
      <c r="P39" s="46">
        <f t="shared" ca="1" si="0"/>
        <v>1.1844318181593845E-2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input_399100!A$2</f>
        <v>399100</v>
      </c>
      <c r="B40" s="6">
        <v>164</v>
      </c>
      <c r="C40" s="7" t="str">
        <f t="shared" si="1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IFERROR(VLOOKUP(B40,input_399100!L:R,7,FALSE),VLOOKUP(tables_399100!C40,input_399100!A:H,8,FALSE))</f>
        <v>0</v>
      </c>
      <c r="P40" s="46">
        <f t="shared" ca="1" si="0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input_399100!A$2</f>
        <v>399100</v>
      </c>
      <c r="B41" s="6">
        <v>165</v>
      </c>
      <c r="C41" s="7" t="str">
        <f t="shared" si="1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IFERROR(VLOOKUP(B41,input_399100!L:R,7,FALSE),VLOOKUP(tables_399100!C41,input_399100!A:H,8,FALSE))</f>
        <v>125076</v>
      </c>
      <c r="P41" s="46">
        <f t="shared" ca="1" si="0"/>
        <v>1.1844318181593845E-2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input_399100!A$2</f>
        <v>399100</v>
      </c>
      <c r="B42" s="6">
        <v>166</v>
      </c>
      <c r="C42" s="7" t="str">
        <f t="shared" si="1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IFERROR(VLOOKUP(B42,input_399100!L:R,7,FALSE),VLOOKUP(tables_399100!C42,input_399100!A:H,8,FALSE))</f>
        <v>0</v>
      </c>
      <c r="P42" s="46">
        <f t="shared" ca="1" si="0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input_399100!A$2</f>
        <v>399100</v>
      </c>
      <c r="B43" s="6">
        <v>167</v>
      </c>
      <c r="C43" s="7" t="str">
        <f t="shared" si="1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IFERROR(VLOOKUP(B43,input_399100!L:R,7,FALSE),VLOOKUP(tables_399100!C43,input_399100!A:H,8,FALSE))</f>
        <v>103455</v>
      </c>
      <c r="P43" s="46">
        <f t="shared" ca="1" si="0"/>
        <v>9.7968749998144436E-3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input_399100!A$2</f>
        <v>399100</v>
      </c>
      <c r="B44" s="6">
        <v>168</v>
      </c>
      <c r="C44" s="7" t="str">
        <f t="shared" si="1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IFERROR(VLOOKUP(B44,input_399100!L:R,7,FALSE),VLOOKUP(tables_399100!C44,input_399100!A:H,8,FALSE))</f>
        <v>5445</v>
      </c>
      <c r="P44" s="46">
        <f t="shared" ca="1" si="0"/>
        <v>5.1562499999023386E-4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input_399100!A$2</f>
        <v>399100</v>
      </c>
      <c r="B45" s="6">
        <v>169</v>
      </c>
      <c r="C45" s="7" t="str">
        <f t="shared" si="1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IFERROR(VLOOKUP(B45,input_399100!L:R,7,FALSE),VLOOKUP(tables_399100!C45,input_399100!A:H,8,FALSE))</f>
        <v>0</v>
      </c>
      <c r="P45" s="46">
        <f t="shared" ca="1" si="0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input_399100!A$2</f>
        <v>399100</v>
      </c>
      <c r="B46" s="6">
        <v>170</v>
      </c>
      <c r="C46" s="7" t="str">
        <f t="shared" si="1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IFERROR(VLOOKUP(B46,input_399100!L:R,7,FALSE),VLOOKUP(tables_399100!C46,input_399100!A:H,8,FALSE))</f>
        <v>103455</v>
      </c>
      <c r="P46" s="46">
        <f t="shared" ca="1" si="0"/>
        <v>9.7968749998144436E-3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input_399100!A$2</f>
        <v>399100</v>
      </c>
      <c r="B47" s="6">
        <v>171</v>
      </c>
      <c r="C47" s="7" t="str">
        <f t="shared" si="1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IFERROR(VLOOKUP(B47,input_399100!L:R,7,FALSE),VLOOKUP(tables_399100!C47,input_399100!A:H,8,FALSE))</f>
        <v>5445</v>
      </c>
      <c r="P47" s="46">
        <f t="shared" ca="1" si="0"/>
        <v>5.1562499999023386E-4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input_399100!A$2</f>
        <v>399100</v>
      </c>
      <c r="B48" s="6">
        <v>172</v>
      </c>
      <c r="C48" s="7" t="str">
        <f t="shared" si="1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IFERROR(VLOOKUP(B48,input_399100!L:R,7,FALSE),VLOOKUP(tables_399100!C48,input_399100!A:H,8,FALSE))</f>
        <v>0</v>
      </c>
      <c r="P48" s="46">
        <f t="shared" ca="1" si="0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input_399100!A$2</f>
        <v>399100</v>
      </c>
      <c r="B49" s="6">
        <v>173</v>
      </c>
      <c r="C49" s="7" t="str">
        <f t="shared" si="1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IFERROR(VLOOKUP(B49,input_399100!L:R,7,FALSE),VLOOKUP(tables_399100!C49,input_399100!A:H,8,FALSE))</f>
        <v>103455</v>
      </c>
      <c r="P49" s="46">
        <f t="shared" ca="1" si="0"/>
        <v>9.7968749998144436E-3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input_399100!A$2</f>
        <v>399100</v>
      </c>
      <c r="B50" s="6">
        <v>174</v>
      </c>
      <c r="C50" s="7" t="str">
        <f t="shared" si="1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IFERROR(VLOOKUP(B50,input_399100!L:R,7,FALSE),VLOOKUP(tables_399100!C50,input_399100!A:H,8,FALSE))</f>
        <v>5445</v>
      </c>
      <c r="P50" s="46">
        <f t="shared" ca="1" si="0"/>
        <v>5.1562499999023386E-4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input_399100!A$2</f>
        <v>399100</v>
      </c>
      <c r="B51" s="6">
        <v>175</v>
      </c>
      <c r="C51" s="7" t="str">
        <f t="shared" si="1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IFERROR(VLOOKUP(B51,input_399100!L:R,7,FALSE),VLOOKUP(tables_399100!C51,input_399100!A:H,8,FALSE))</f>
        <v>0</v>
      </c>
      <c r="P51" s="46">
        <f t="shared" ca="1" si="0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input_399100!A$2</f>
        <v>399100</v>
      </c>
      <c r="B52" s="6">
        <v>176</v>
      </c>
      <c r="C52" s="7" t="str">
        <f t="shared" si="1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IFERROR(VLOOKUP(B52,input_399100!L:R,7,FALSE),VLOOKUP(tables_399100!C52,input_399100!A:H,8,FALSE))</f>
        <v>101597.30769</v>
      </c>
      <c r="P52" s="46">
        <f t="shared" ca="1" si="0"/>
        <v>9.6209571674314119E-3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input_399100!A$2</f>
        <v>399100</v>
      </c>
      <c r="B53" s="6">
        <v>177</v>
      </c>
      <c r="C53" s="7" t="str">
        <f t="shared" si="1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IFERROR(VLOOKUP(B53,input_399100!L:R,7,FALSE),VLOOKUP(tables_399100!C53,input_399100!A:H,8,FALSE))</f>
        <v>1081.1538499999999</v>
      </c>
      <c r="P53" s="46">
        <f t="shared" ca="1" si="0"/>
        <v>1.0238199336927296E-4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input_399100!A$2</f>
        <v>399100</v>
      </c>
      <c r="B54" s="6">
        <v>178</v>
      </c>
      <c r="C54" s="7" t="str">
        <f t="shared" si="1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IFERROR(VLOOKUP(B54,input_399100!L:R,7,FALSE),VLOOKUP(tables_399100!C54,input_399100!A:H,8,FALSE))</f>
        <v>0</v>
      </c>
      <c r="P54" s="46">
        <f t="shared" ca="1" si="0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input_399100!A$2</f>
        <v>399100</v>
      </c>
      <c r="B55" s="6">
        <v>179</v>
      </c>
      <c r="C55" s="7" t="str">
        <f t="shared" si="1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IFERROR(VLOOKUP(B55,input_399100!L:R,7,FALSE),VLOOKUP(tables_399100!C55,input_399100!A:H,8,FALSE))</f>
        <v>101597.30769</v>
      </c>
      <c r="P55" s="46">
        <f t="shared" ca="1" si="0"/>
        <v>9.6209571674314119E-3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input_399100!A$2</f>
        <v>399100</v>
      </c>
      <c r="B56" s="6">
        <v>180</v>
      </c>
      <c r="C56" s="7" t="str">
        <f t="shared" si="1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IFERROR(VLOOKUP(B56,input_399100!L:R,7,FALSE),VLOOKUP(tables_399100!C56,input_399100!A:H,8,FALSE))</f>
        <v>1081.1538499999999</v>
      </c>
      <c r="P56" s="46">
        <f t="shared" ca="1" si="0"/>
        <v>1.0238199336927296E-4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input_399100!A$2</f>
        <v>399100</v>
      </c>
      <c r="B57" s="6">
        <v>181</v>
      </c>
      <c r="C57" s="7" t="str">
        <f t="shared" si="1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IFERROR(VLOOKUP(B57,input_399100!L:R,7,FALSE),VLOOKUP(tables_399100!C57,input_399100!A:H,8,FALSE))</f>
        <v>0</v>
      </c>
      <c r="P57" s="46">
        <f t="shared" ca="1" si="0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input_399100!A$2</f>
        <v>399100</v>
      </c>
      <c r="B58" s="6">
        <v>182</v>
      </c>
      <c r="C58" s="7" t="str">
        <f t="shared" si="1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IFERROR(VLOOKUP(B58,input_399100!L:R,7,FALSE),VLOOKUP(tables_399100!C58,input_399100!A:H,8,FALSE))</f>
        <v>101597.30769</v>
      </c>
      <c r="P58" s="46">
        <f t="shared" ca="1" si="0"/>
        <v>9.6209571674314119E-3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input_399100!A$2</f>
        <v>399100</v>
      </c>
      <c r="B59" s="6">
        <v>183</v>
      </c>
      <c r="C59" s="7" t="str">
        <f t="shared" si="1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IFERROR(VLOOKUP(B59,input_399100!L:R,7,FALSE),VLOOKUP(tables_399100!C59,input_399100!A:H,8,FALSE))</f>
        <v>1081.1538499999999</v>
      </c>
      <c r="P59" s="46">
        <f t="shared" ca="1" si="0"/>
        <v>1.0238199336927296E-4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input_399100!A$2</f>
        <v>399100</v>
      </c>
      <c r="B60" s="6">
        <v>184</v>
      </c>
      <c r="C60" s="7" t="str">
        <f t="shared" si="1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IFERROR(VLOOKUP(B60,input_399100!L:R,7,FALSE),VLOOKUP(tables_399100!C60,input_399100!A:H,8,FALSE))</f>
        <v>0</v>
      </c>
      <c r="P60" s="46">
        <f t="shared" ca="1" si="0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input_399100!A$2</f>
        <v>399100</v>
      </c>
      <c r="B61" s="6">
        <v>185</v>
      </c>
      <c r="C61" s="7" t="str">
        <f t="shared" si="1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IFERROR(VLOOKUP(B61,input_399100!L:R,7,FALSE),VLOOKUP(tables_399100!C61,input_399100!A:H,8,FALSE))</f>
        <v>101597.30769</v>
      </c>
      <c r="P61" s="46">
        <f t="shared" ca="1" si="0"/>
        <v>9.6209571674314119E-3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input_399100!A$2</f>
        <v>399100</v>
      </c>
      <c r="B62" s="8">
        <v>186</v>
      </c>
      <c r="C62" s="7" t="str">
        <f t="shared" si="1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IFERROR(VLOOKUP(B62,input_399100!L:R,7,FALSE),VLOOKUP(tables_399100!C62,input_399100!A:H,8,FALSE))</f>
        <v>1081.1538499999999</v>
      </c>
      <c r="P62" s="46">
        <f t="shared" ca="1" si="0"/>
        <v>1.0238199336927296E-4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input_399100!A$2</f>
        <v>399100</v>
      </c>
      <c r="B63" s="8">
        <v>187</v>
      </c>
      <c r="C63" s="7" t="str">
        <f t="shared" si="1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IFERROR(VLOOKUP(B63,input_399100!L:R,7,FALSE),VLOOKUP(tables_399100!C63,input_399100!A:H,8,FALSE))</f>
        <v>0</v>
      </c>
      <c r="P63" s="46">
        <f t="shared" ca="1" si="0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input_399100!A$2</f>
        <v>399100</v>
      </c>
      <c r="B64" s="8">
        <v>188</v>
      </c>
      <c r="C64" s="7" t="str">
        <f t="shared" si="1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IFERROR(VLOOKUP(B64,input_399100!L:R,7,FALSE),VLOOKUP(tables_399100!C64,input_399100!A:H,8,FALSE))</f>
        <v>101597.30769</v>
      </c>
      <c r="P64" s="46">
        <f t="shared" ca="1" si="0"/>
        <v>9.6209571674314119E-3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input_399100!A$2</f>
        <v>399100</v>
      </c>
      <c r="B65" s="8">
        <v>189</v>
      </c>
      <c r="C65" s="7" t="str">
        <f t="shared" si="1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IFERROR(VLOOKUP(B65,input_399100!L:R,7,FALSE),VLOOKUP(tables_399100!C65,input_399100!A:H,8,FALSE))</f>
        <v>1081.1538499999999</v>
      </c>
      <c r="P65" s="46">
        <f t="shared" ca="1" si="0"/>
        <v>1.0238199336927296E-4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input_399100!A$2</f>
        <v>399100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IFERROR(VLOOKUP(B66,input_399100!L:R,7,FALSE),VLOOKUP(tables_399100!C66,input_399100!A:H,8,FALSE))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input_399100!A$2</f>
        <v>399100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IFERROR(VLOOKUP(B67,input_399100!L:R,7,FALSE),VLOOKUP(tables_399100!C67,input_399100!A:H,8,FALSE))</f>
        <v>101597.30769</v>
      </c>
      <c r="P67" s="46">
        <f t="shared" ca="1" si="4"/>
        <v>9.6209571674314119E-3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input_399100!A$2</f>
        <v>399100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IFERROR(VLOOKUP(B68,input_399100!L:R,7,FALSE),VLOOKUP(tables_399100!C68,input_399100!A:H,8,FALSE))</f>
        <v>1081.1538499999999</v>
      </c>
      <c r="P68" s="46">
        <f t="shared" ca="1" si="4"/>
        <v>1.0238199336927296E-4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input_399100!A$2</f>
        <v>399100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IFERROR(VLOOKUP(B69,input_399100!L:R,7,FALSE),VLOOKUP(tables_399100!C69,input_399100!A:H,8,FALSE))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input_399100!A$2</f>
        <v>399100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IFERROR(VLOOKUP(B70,input_399100!L:R,7,FALSE),VLOOKUP(tables_399100!C70,input_399100!A:H,8,FALSE))</f>
        <v>101597.30769</v>
      </c>
      <c r="P70" s="46">
        <f t="shared" ca="1" si="4"/>
        <v>9.6209571674314119E-3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input_399100!A$2</f>
        <v>399100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IFERROR(VLOOKUP(B71,input_399100!L:R,7,FALSE),VLOOKUP(tables_399100!C71,input_399100!A:H,8,FALSE))</f>
        <v>1081.1538499999999</v>
      </c>
      <c r="P71" s="46">
        <f t="shared" ca="1" si="4"/>
        <v>1.0238199336927296E-4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input_399100!A$2</f>
        <v>399100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IFERROR(VLOOKUP(B72,input_399100!L:R,7,FALSE),VLOOKUP(tables_399100!C72,input_399100!A:H,8,FALSE))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input_399100!A$2</f>
        <v>399100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IFERROR(VLOOKUP(B73,input_399100!L:R,7,FALSE),VLOOKUP(tables_399100!C73,input_399100!A:H,8,FALSE))</f>
        <v>101597.30769</v>
      </c>
      <c r="P73" s="46">
        <f t="shared" ca="1" si="4"/>
        <v>9.6209571674314119E-3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input_399100!A$2</f>
        <v>399100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IFERROR(VLOOKUP(B74,input_399100!L:R,7,FALSE),VLOOKUP(tables_399100!C74,input_399100!A:H,8,FALSE))</f>
        <v>1081.1538499999999</v>
      </c>
      <c r="P74" s="46">
        <f t="shared" ca="1" si="4"/>
        <v>1.0238199336927296E-4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input_399100!A$2</f>
        <v>399100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IFERROR(VLOOKUP(B75,input_399100!L:R,7,FALSE),VLOOKUP(tables_399100!C75,input_399100!A:H,8,FALSE))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input_399100!A$2</f>
        <v>399100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IFERROR(VLOOKUP(B76,input_399100!L:R,7,FALSE),VLOOKUP(tables_399100!C76,input_399100!A:H,8,FALSE))</f>
        <v>101597.30769</v>
      </c>
      <c r="P76" s="46">
        <f t="shared" ca="1" si="4"/>
        <v>9.6209571674314119E-3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input_399100!A$2</f>
        <v>399100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IFERROR(VLOOKUP(B77,input_399100!L:R,7,FALSE),VLOOKUP(tables_399100!C77,input_399100!A:H,8,FALSE))</f>
        <v>1081.1538499999999</v>
      </c>
      <c r="P77" s="46">
        <f t="shared" ca="1" si="4"/>
        <v>1.0238199336927296E-4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input_399100!A$2</f>
        <v>399100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IFERROR(VLOOKUP(B78,input_399100!L:R,7,FALSE),VLOOKUP(tables_399100!C78,input_399100!A:H,8,FALSE))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input_399100!A$2</f>
        <v>399100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IFERROR(VLOOKUP(B79,input_399100!L:R,7,FALSE),VLOOKUP(tables_399100!C79,input_399100!A:H,8,FALSE))</f>
        <v>101597.30769</v>
      </c>
      <c r="P79" s="46">
        <f t="shared" ca="1" si="4"/>
        <v>9.6209571674314119E-3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input_399100!A$2</f>
        <v>399100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IFERROR(VLOOKUP(B80,input_399100!L:R,7,FALSE),VLOOKUP(tables_399100!C80,input_399100!A:H,8,FALSE))</f>
        <v>1081.1538499999999</v>
      </c>
      <c r="P80" s="46">
        <f t="shared" ca="1" si="4"/>
        <v>1.0238199336927296E-4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input_399100!A$2</f>
        <v>399100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IFERROR(VLOOKUP(B81,input_399100!L:R,7,FALSE),VLOOKUP(tables_399100!C81,input_399100!A:H,8,FALSE))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input_399100!A$2</f>
        <v>399100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IFERROR(VLOOKUP(B82,input_399100!L:R,7,FALSE),VLOOKUP(tables_399100!C82,input_399100!A:H,8,FALSE))</f>
        <v>101597.30769</v>
      </c>
      <c r="P82" s="46">
        <f t="shared" ca="1" si="4"/>
        <v>9.6209571674314119E-3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input_399100!A$2</f>
        <v>399100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IFERROR(VLOOKUP(B83,input_399100!L:R,7,FALSE),VLOOKUP(tables_399100!C83,input_399100!A:H,8,FALSE))</f>
        <v>1081.1538499999999</v>
      </c>
      <c r="P83" s="46">
        <f t="shared" ca="1" si="4"/>
        <v>1.0238199336927296E-4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input_399100!A$2</f>
        <v>399100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IFERROR(VLOOKUP(B84,input_399100!L:R,7,FALSE),VLOOKUP(tables_399100!C84,input_399100!A:H,8,FALSE))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input_399100!A$2</f>
        <v>399100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IFERROR(VLOOKUP(B85,input_399100!L:R,7,FALSE),VLOOKUP(tables_399100!C85,input_399100!A:H,8,FALSE))</f>
        <v>101597.30769</v>
      </c>
      <c r="P85" s="46">
        <f t="shared" ca="1" si="4"/>
        <v>9.6209571674314119E-3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input_399100!A$2</f>
        <v>399100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IFERROR(VLOOKUP(B86,input_399100!L:R,7,FALSE),VLOOKUP(tables_399100!C86,input_399100!A:H,8,FALSE))</f>
        <v>1081.1538499999999</v>
      </c>
      <c r="P86" s="46">
        <f t="shared" ca="1" si="4"/>
        <v>1.0238199336927296E-4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input_399100!A$2</f>
        <v>399100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IFERROR(VLOOKUP(B87,input_399100!L:R,7,FALSE),VLOOKUP(tables_399100!C87,input_399100!A:H,8,FALSE))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input_399100!A$2</f>
        <v>399100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IFERROR(VLOOKUP(B88,input_399100!L:R,7,FALSE),VLOOKUP(tables_399100!C88,input_399100!A:H,8,FALSE))</f>
        <v>101597.30769</v>
      </c>
      <c r="P88" s="46">
        <f t="shared" ca="1" si="4"/>
        <v>9.6209571674314119E-3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input_399100!A$2</f>
        <v>399100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IFERROR(VLOOKUP(B89,input_399100!L:R,7,FALSE),VLOOKUP(tables_399100!C89,input_399100!A:H,8,FALSE))</f>
        <v>1081.1538499999999</v>
      </c>
      <c r="P89" s="46">
        <f t="shared" ca="1" si="4"/>
        <v>1.0238199336927296E-4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input_399100!A$2</f>
        <v>399100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IFERROR(VLOOKUP(B90,input_399100!L:R,7,FALSE),VLOOKUP(tables_399100!C90,input_399100!A:H,8,FALSE))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input_399100!A$2</f>
        <v>399100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IFERROR(VLOOKUP(B91,input_399100!L:R,7,FALSE),VLOOKUP(tables_399100!C91,input_399100!A:H,8,FALSE))</f>
        <v>101597.30769</v>
      </c>
      <c r="P91" s="46">
        <f t="shared" ca="1" si="4"/>
        <v>9.6209571674314119E-3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input_399100!A$2</f>
        <v>399100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IFERROR(VLOOKUP(B92,input_399100!L:R,7,FALSE),VLOOKUP(tables_399100!C92,input_399100!A:H,8,FALSE))</f>
        <v>1081.1538499999999</v>
      </c>
      <c r="P92" s="46">
        <f t="shared" ca="1" si="4"/>
        <v>1.0238199336927296E-4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input_399100!A$2</f>
        <v>399100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IFERROR(VLOOKUP(B93,input_399100!L:R,7,FALSE),VLOOKUP(tables_399100!C93,input_399100!A:H,8,FALSE))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input_399100!A$2</f>
        <v>399100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IFERROR(VLOOKUP(B94,input_399100!L:R,7,FALSE),VLOOKUP(tables_399100!C94,input_399100!A:H,8,FALSE))</f>
        <v>101597.30769</v>
      </c>
      <c r="P94" s="46">
        <f t="shared" ca="1" si="4"/>
        <v>9.6209571674314119E-3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input_399100!A$2</f>
        <v>399100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IFERROR(VLOOKUP(B95,input_399100!L:R,7,FALSE),VLOOKUP(tables_399100!C95,input_399100!A:H,8,FALSE))</f>
        <v>1081.1538499999999</v>
      </c>
      <c r="P95" s="46">
        <f t="shared" ca="1" si="4"/>
        <v>1.0238199336927296E-4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input_399100!A$2</f>
        <v>399100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IFERROR(VLOOKUP(B96,input_399100!L:R,7,FALSE),VLOOKUP(tables_399100!C96,input_399100!A:H,8,FALSE))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input_399100!A$2</f>
        <v>399100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IFERROR(VLOOKUP(B97,input_399100!L:R,7,FALSE),VLOOKUP(tables_399100!C97,input_399100!A:H,8,FALSE))</f>
        <v>101597.30769</v>
      </c>
      <c r="P97" s="46">
        <f t="shared" ca="1" si="4"/>
        <v>9.6209571674314119E-3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input_399100!A$2</f>
        <v>399100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IFERROR(VLOOKUP(B98,input_399100!L:R,7,FALSE),VLOOKUP(tables_399100!C98,input_399100!A:H,8,FALSE))</f>
        <v>1081.1538499999999</v>
      </c>
      <c r="P98" s="46">
        <f t="shared" ca="1" si="4"/>
        <v>1.0238199336927296E-4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input_399100!A$2</f>
        <v>399100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IFERROR(VLOOKUP(B99,input_399100!L:R,7,FALSE),VLOOKUP(tables_399100!C99,input_399100!A:H,8,FALSE))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input_399100!A$2</f>
        <v>399100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IFERROR(VLOOKUP(B100,input_399100!L:R,7,FALSE),VLOOKUP(tables_399100!C100,input_399100!A:H,8,FALSE))</f>
        <v>101597.30769</v>
      </c>
      <c r="P100" s="46">
        <f t="shared" ca="1" si="4"/>
        <v>9.6209571674314119E-3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input_399100!A$2</f>
        <v>399100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IFERROR(VLOOKUP(B101,input_399100!L:R,7,FALSE),VLOOKUP(tables_399100!C101,input_399100!A:H,8,FALSE))</f>
        <v>1081.1538499999999</v>
      </c>
      <c r="P101" s="46">
        <f t="shared" ca="1" si="4"/>
        <v>1.0238199336927296E-4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input_399100!A$2</f>
        <v>399100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IFERROR(VLOOKUP(B102,input_399100!L:R,7,FALSE),VLOOKUP(tables_399100!C102,input_399100!A:H,8,FALSE))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input_399100!A$2</f>
        <v>399100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IFERROR(VLOOKUP(B103,input_399100!L:R,7,FALSE),VLOOKUP(tables_399100!C103,input_399100!A:H,8,FALSE))</f>
        <v>101597.30769</v>
      </c>
      <c r="P103" s="46">
        <f t="shared" ca="1" si="4"/>
        <v>9.6209571674314119E-3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input_399100!A$2</f>
        <v>399100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IFERROR(VLOOKUP(B104,input_399100!L:R,7,FALSE),VLOOKUP(tables_399100!C104,input_399100!A:H,8,FALSE))</f>
        <v>1081.1538499999999</v>
      </c>
      <c r="P104" s="46">
        <f t="shared" ca="1" si="4"/>
        <v>1.0238199336927296E-4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input_399100!A$2</f>
        <v>399100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IFERROR(VLOOKUP(B105,input_399100!L:R,7,FALSE),VLOOKUP(tables_399100!C105,input_399100!A:H,8,FALSE))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input_399100!A$2</f>
        <v>399100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IFERROR(VLOOKUP(B106,input_399100!L:R,7,FALSE),VLOOKUP(tables_399100!C106,input_399100!A:H,8,FALSE))</f>
        <v>101597.30769</v>
      </c>
      <c r="P106" s="46">
        <f t="shared" ca="1" si="4"/>
        <v>9.6209571674314119E-3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input_399100!A$2</f>
        <v>399100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IFERROR(VLOOKUP(B107,input_399100!L:R,7,FALSE),VLOOKUP(tables_399100!C107,input_399100!A:H,8,FALSE))</f>
        <v>1081.1538499999999</v>
      </c>
      <c r="P107" s="46">
        <f t="shared" ca="1" si="4"/>
        <v>1.0238199336927296E-4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input_399100!A$2</f>
        <v>399100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IFERROR(VLOOKUP(B108,input_399100!L:R,7,FALSE),VLOOKUP(tables_399100!C108,input_399100!A:H,8,FALSE))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input_399100!A$2</f>
        <v>399100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IFERROR(VLOOKUP(B109,input_399100!L:R,7,FALSE),VLOOKUP(tables_399100!C109,input_399100!A:H,8,FALSE))</f>
        <v>101597.30769</v>
      </c>
      <c r="P109" s="46">
        <f t="shared" ca="1" si="4"/>
        <v>9.6209571674314119E-3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input_399100!A$2</f>
        <v>399100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IFERROR(VLOOKUP(B110,input_399100!L:R,7,FALSE),VLOOKUP(tables_399100!C110,input_399100!A:H,8,FALSE))</f>
        <v>1081.1538499999999</v>
      </c>
      <c r="P110" s="46">
        <f t="shared" ca="1" si="4"/>
        <v>1.0238199336927296E-4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input_399100!A$2</f>
        <v>399100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IFERROR(VLOOKUP(B111,input_399100!L:R,7,FALSE),VLOOKUP(tables_399100!C111,input_399100!A:H,8,FALSE))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input_399100!A$2</f>
        <v>399100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IFERROR(VLOOKUP(B112,input_399100!L:R,7,FALSE),VLOOKUP(tables_399100!C112,input_399100!A:H,8,FALSE))</f>
        <v>103455</v>
      </c>
      <c r="P112" s="46">
        <f t="shared" ca="1" si="4"/>
        <v>9.7968749998144436E-3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input_399100!A$2</f>
        <v>399100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IFERROR(VLOOKUP(B113,input_399100!L:R,7,FALSE),VLOOKUP(tables_399100!C113,input_399100!A:H,8,FALSE))</f>
        <v>5445</v>
      </c>
      <c r="P113" s="46">
        <f t="shared" ca="1" si="4"/>
        <v>5.1562499999023386E-4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input_399100!A$2</f>
        <v>399100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IFERROR(VLOOKUP(B114,input_399100!L:R,7,FALSE),VLOOKUP(tables_399100!C114,input_399100!A:H,8,FALSE))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input_399100!A$2</f>
        <v>399100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IFERROR(VLOOKUP(B115,input_399100!L:R,7,FALSE),VLOOKUP(tables_399100!C115,input_399100!A:H,8,FALSE))</f>
        <v>101597.30769</v>
      </c>
      <c r="P115" s="46">
        <f t="shared" ca="1" si="4"/>
        <v>9.6209571674314119E-3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input_399100!A$2</f>
        <v>399100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IFERROR(VLOOKUP(B116,input_399100!L:R,7,FALSE),VLOOKUP(tables_399100!C116,input_399100!A:H,8,FALSE))</f>
        <v>1081.1538499999999</v>
      </c>
      <c r="P116" s="46">
        <f t="shared" ca="1" si="4"/>
        <v>1.0238199336927296E-4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input_399100!A$2</f>
        <v>399100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IFERROR(VLOOKUP(B117,input_399100!L:R,7,FALSE),VLOOKUP(tables_399100!C117,input_399100!A:H,8,FALSE))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input_399100!A$2</f>
        <v>399100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IFERROR(VLOOKUP(B118,input_399100!L:R,7,FALSE),VLOOKUP(tables_399100!C118,input_399100!A:H,8,FALSE))</f>
        <v>101597.30769</v>
      </c>
      <c r="P118" s="46">
        <f t="shared" ca="1" si="4"/>
        <v>9.6209571674314119E-3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input_399100!A$2</f>
        <v>399100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IFERROR(VLOOKUP(B119,input_399100!L:R,7,FALSE),VLOOKUP(tables_399100!C119,input_399100!A:H,8,FALSE))</f>
        <v>1081.1538499999999</v>
      </c>
      <c r="P119" s="46">
        <f t="shared" ca="1" si="4"/>
        <v>1.0238199336927296E-4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input_399100!A$2</f>
        <v>399100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IFERROR(VLOOKUP(B120,input_399100!L:R,7,FALSE),VLOOKUP(tables_399100!C120,input_399100!A:H,8,FALSE))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input_399100!A$2</f>
        <v>399100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IFERROR(VLOOKUP(B121,input_399100!L:R,7,FALSE),VLOOKUP(tables_399100!C121,input_399100!A:H,8,FALSE))</f>
        <v>101597.30769</v>
      </c>
      <c r="P121" s="46">
        <f t="shared" ca="1" si="4"/>
        <v>9.6209571674314119E-3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input_399100!A$2</f>
        <v>399100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IFERROR(VLOOKUP(B122,input_399100!L:R,7,FALSE),VLOOKUP(tables_399100!C122,input_399100!A:H,8,FALSE))</f>
        <v>1081.1538499999999</v>
      </c>
      <c r="P122" s="46">
        <f t="shared" ca="1" si="4"/>
        <v>1.0238199336927296E-4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input_399100!A$2</f>
        <v>399100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IFERROR(VLOOKUP(B123,input_399100!L:R,7,FALSE),VLOOKUP(tables_399100!C123,input_399100!A:H,8,FALSE))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input_399100!A$2</f>
        <v>399100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IFERROR(VLOOKUP(B124,input_399100!L:R,7,FALSE),VLOOKUP(tables_399100!C124,input_399100!A:H,8,FALSE))</f>
        <v>101597.30769</v>
      </c>
      <c r="P124" s="46">
        <f t="shared" ca="1" si="4"/>
        <v>9.6209571674314119E-3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input_399100!A$2</f>
        <v>399100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IFERROR(VLOOKUP(B125,input_399100!L:R,7,FALSE),VLOOKUP(tables_399100!C125,input_399100!A:H,8,FALSE))</f>
        <v>1081.1538499999999</v>
      </c>
      <c r="P125" s="46">
        <f t="shared" ca="1" si="4"/>
        <v>1.0238199336927296E-4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input_399100!A$2</f>
        <v>399100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IFERROR(VLOOKUP(B126,input_399100!L:R,7,FALSE),VLOOKUP(tables_399100!C126,input_399100!A:H,8,FALSE))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input_399100!A$2</f>
        <v>399100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IFERROR(VLOOKUP(B127,input_399100!L:R,7,FALSE),VLOOKUP(tables_399100!C127,input_399100!A:H,8,FALSE))</f>
        <v>101597.30769</v>
      </c>
      <c r="P127" s="46">
        <f t="shared" ca="1" si="4"/>
        <v>9.6209571674314119E-3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input_399100!A$2</f>
        <v>399100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IFERROR(VLOOKUP(B128,input_399100!L:R,7,FALSE),VLOOKUP(tables_399100!C128,input_399100!A:H,8,FALSE))</f>
        <v>1081.1538499999999</v>
      </c>
      <c r="P128" s="46">
        <f t="shared" ca="1" si="4"/>
        <v>1.0238199336927296E-4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input_399100!A$2</f>
        <v>399100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IFERROR(VLOOKUP(B129,input_399100!L:R,7,FALSE),VLOOKUP(tables_399100!C129,input_399100!A:H,8,FALSE))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input_399100!A$2</f>
        <v>399100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IFERROR(VLOOKUP(B130,input_399100!L:R,7,FALSE),VLOOKUP(tables_399100!C130,input_399100!A:H,8,FALSE))</f>
        <v>101597.30769</v>
      </c>
      <c r="P130" s="46">
        <f t="shared" ref="P130:P193" ca="1" si="7">O130/SUM(O:O)</f>
        <v>9.6209571674314119E-3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input_399100!A$2</f>
        <v>399100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IFERROR(VLOOKUP(B131,input_399100!L:R,7,FALSE),VLOOKUP(tables_399100!C131,input_399100!A:H,8,FALSE))</f>
        <v>1081.1538499999999</v>
      </c>
      <c r="P131" s="46">
        <f t="shared" ca="1" si="7"/>
        <v>1.0238199336927296E-4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input_399100!A$2</f>
        <v>399100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IFERROR(VLOOKUP(B132,input_399100!L:R,7,FALSE),VLOOKUP(tables_399100!C132,input_399100!A:H,8,FALSE))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input_399100!A$2</f>
        <v>399100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IFERROR(VLOOKUP(B133,input_399100!L:R,7,FALSE),VLOOKUP(tables_399100!C133,input_399100!A:H,8,FALSE))</f>
        <v>101597.30769</v>
      </c>
      <c r="P133" s="46">
        <f t="shared" ca="1" si="7"/>
        <v>9.6209571674314119E-3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input_399100!A$2</f>
        <v>399100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IFERROR(VLOOKUP(B134,input_399100!L:R,7,FALSE),VLOOKUP(tables_399100!C134,input_399100!A:H,8,FALSE))</f>
        <v>1081.1538499999999</v>
      </c>
      <c r="P134" s="46">
        <f t="shared" ca="1" si="7"/>
        <v>1.0238199336927296E-4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input_399100!A$2</f>
        <v>399100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IFERROR(VLOOKUP(B135,input_399100!L:R,7,FALSE),VLOOKUP(tables_399100!C135,input_399100!A:H,8,FALSE))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input_399100!A$2</f>
        <v>399100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IFERROR(VLOOKUP(B136,input_399100!L:R,7,FALSE),VLOOKUP(tables_399100!C136,input_399100!A:H,8,FALSE))</f>
        <v>101597.30769</v>
      </c>
      <c r="P136" s="46">
        <f t="shared" ca="1" si="7"/>
        <v>9.6209571674314119E-3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input_399100!A$2</f>
        <v>399100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IFERROR(VLOOKUP(B137,input_399100!L:R,7,FALSE),VLOOKUP(tables_399100!C137,input_399100!A:H,8,FALSE))</f>
        <v>1081.1538499999999</v>
      </c>
      <c r="P137" s="46">
        <f t="shared" ca="1" si="7"/>
        <v>1.0238199336927296E-4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input_399100!A$2</f>
        <v>399100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IFERROR(VLOOKUP(B138,input_399100!L:R,7,FALSE),VLOOKUP(tables_399100!C138,input_399100!A:H,8,FALSE))</f>
        <v>19120.71429</v>
      </c>
      <c r="P138" s="46">
        <f t="shared" ca="1" si="7"/>
        <v>1.8106737016702506E-3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input_399100!A$2</f>
        <v>399100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IFERROR(VLOOKUP(B139,input_399100!L:R,7,FALSE),VLOOKUP(tables_399100!C139,input_399100!A:H,8,FALSE))</f>
        <v>825</v>
      </c>
      <c r="P139" s="46">
        <f t="shared" ca="1" si="7"/>
        <v>7.8124999998520283E-5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input_399100!A$2</f>
        <v>399100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IFERROR(VLOOKUP(B140,input_399100!L:R,7,FALSE),VLOOKUP(tables_399100!C140,input_399100!A:H,8,FALSE))</f>
        <v>19120.71429</v>
      </c>
      <c r="P140" s="46">
        <f t="shared" ca="1" si="7"/>
        <v>1.8106737016702506E-3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input_399100!A$2</f>
        <v>399100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IFERROR(VLOOKUP(B141,input_399100!L:R,7,FALSE),VLOOKUP(tables_399100!C141,input_399100!A:H,8,FALSE))</f>
        <v>825</v>
      </c>
      <c r="P141" s="46">
        <f t="shared" ca="1" si="7"/>
        <v>7.8124999998520283E-5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input_399100!A$2</f>
        <v>399100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IFERROR(VLOOKUP(B142,input_399100!L:R,7,FALSE),VLOOKUP(tables_399100!C142,input_399100!A:H,8,FALSE))</f>
        <v>19120.71429</v>
      </c>
      <c r="P142" s="46">
        <f t="shared" ca="1" si="7"/>
        <v>1.8106737016702506E-3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input_399100!A$2</f>
        <v>399100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IFERROR(VLOOKUP(B143,input_399100!L:R,7,FALSE),VLOOKUP(tables_399100!C143,input_399100!A:H,8,FALSE))</f>
        <v>825</v>
      </c>
      <c r="P143" s="46">
        <f t="shared" ca="1" si="7"/>
        <v>7.8124999998520283E-5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input_399100!A$2</f>
        <v>399100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IFERROR(VLOOKUP(B144,input_399100!L:R,7,FALSE),VLOOKUP(tables_399100!C144,input_399100!A:H,8,FALSE))</f>
        <v>19120.71429</v>
      </c>
      <c r="P144" s="46">
        <f t="shared" ca="1" si="7"/>
        <v>1.8106737016702506E-3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input_399100!A$2</f>
        <v>399100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IFERROR(VLOOKUP(B145,input_399100!L:R,7,FALSE),VLOOKUP(tables_399100!C145,input_399100!A:H,8,FALSE))</f>
        <v>825</v>
      </c>
      <c r="P145" s="46">
        <f t="shared" ca="1" si="7"/>
        <v>7.8124999998520283E-5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input_399100!A$2</f>
        <v>399100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IFERROR(VLOOKUP(B146,input_399100!L:R,7,FALSE),VLOOKUP(tables_399100!C146,input_399100!A:H,8,FALSE))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input_399100!A$2</f>
        <v>399100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IFERROR(VLOOKUP(B147,input_399100!L:R,7,FALSE),VLOOKUP(tables_399100!C147,input_399100!A:H,8,FALSE))</f>
        <v>101597.30769</v>
      </c>
      <c r="P147" s="46">
        <f t="shared" ca="1" si="7"/>
        <v>9.6209571674314119E-3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input_399100!A$2</f>
        <v>399100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IFERROR(VLOOKUP(B148,input_399100!L:R,7,FALSE),VLOOKUP(tables_399100!C148,input_399100!A:H,8,FALSE))</f>
        <v>1081.1538499999999</v>
      </c>
      <c r="P148" s="46">
        <f t="shared" ca="1" si="7"/>
        <v>1.0238199336927296E-4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input_399100!A$2</f>
        <v>399100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IFERROR(VLOOKUP(B149,input_399100!L:R,7,FALSE),VLOOKUP(tables_399100!C149,input_399100!A:H,8,FALSE))</f>
        <v>19120.71429</v>
      </c>
      <c r="P149" s="46">
        <f t="shared" ca="1" si="7"/>
        <v>1.8106737016702506E-3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input_399100!A$2</f>
        <v>399100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IFERROR(VLOOKUP(B150,input_399100!L:R,7,FALSE),VLOOKUP(tables_399100!C150,input_399100!A:H,8,FALSE))</f>
        <v>825</v>
      </c>
      <c r="P150" s="46">
        <f t="shared" ca="1" si="7"/>
        <v>7.8124999998520283E-5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input_399100!A$2</f>
        <v>399100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IFERROR(VLOOKUP(B151,input_399100!L:R,7,FALSE),VLOOKUP(tables_399100!C151,input_399100!A:H,8,FALSE))</f>
        <v>19120.71429</v>
      </c>
      <c r="P151" s="46">
        <f t="shared" ca="1" si="7"/>
        <v>1.8106737016702506E-3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input_399100!A$2</f>
        <v>399100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IFERROR(VLOOKUP(B152,input_399100!L:R,7,FALSE),VLOOKUP(tables_399100!C152,input_399100!A:H,8,FALSE))</f>
        <v>825</v>
      </c>
      <c r="P152" s="46">
        <f t="shared" ca="1" si="7"/>
        <v>7.8124999998520283E-5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input_399100!A$2</f>
        <v>399100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IFERROR(VLOOKUP(B153,input_399100!L:R,7,FALSE),VLOOKUP(tables_399100!C153,input_399100!A:H,8,FALSE))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input_399100!A$2</f>
        <v>399100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IFERROR(VLOOKUP(B154,input_399100!L:R,7,FALSE),VLOOKUP(tables_399100!C154,input_399100!A:H,8,FALSE))</f>
        <v>101597.30769</v>
      </c>
      <c r="P154" s="46">
        <f t="shared" ca="1" si="7"/>
        <v>9.6209571674314119E-3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input_399100!A$2</f>
        <v>399100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IFERROR(VLOOKUP(B155,input_399100!L:R,7,FALSE),VLOOKUP(tables_399100!C155,input_399100!A:H,8,FALSE))</f>
        <v>1081.1538499999999</v>
      </c>
      <c r="P155" s="46">
        <f t="shared" ca="1" si="7"/>
        <v>1.0238199336927296E-4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input_399100!A$2</f>
        <v>399100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IFERROR(VLOOKUP(B156,input_399100!L:R,7,FALSE),VLOOKUP(tables_399100!C156,input_399100!A:H,8,FALSE))</f>
        <v>19120.71429</v>
      </c>
      <c r="P156" s="46">
        <f t="shared" ca="1" si="7"/>
        <v>1.8106737016702506E-3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input_399100!A$2</f>
        <v>399100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IFERROR(VLOOKUP(B157,input_399100!L:R,7,FALSE),VLOOKUP(tables_399100!C157,input_399100!A:H,8,FALSE))</f>
        <v>825</v>
      </c>
      <c r="P157" s="46">
        <f t="shared" ca="1" si="7"/>
        <v>7.8124999998520283E-5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input_399100!A$2</f>
        <v>399100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IFERROR(VLOOKUP(B158,input_399100!L:R,7,FALSE),VLOOKUP(tables_399100!C158,input_399100!A:H,8,FALSE))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input_399100!A$2</f>
        <v>399100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IFERROR(VLOOKUP(B159,input_399100!L:R,7,FALSE),VLOOKUP(tables_399100!C159,input_399100!A:H,8,FALSE))</f>
        <v>101597.30769</v>
      </c>
      <c r="P159" s="46">
        <f t="shared" ca="1" si="7"/>
        <v>9.6209571674314119E-3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input_399100!A$2</f>
        <v>399100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IFERROR(VLOOKUP(B160,input_399100!L:R,7,FALSE),VLOOKUP(tables_399100!C160,input_399100!A:H,8,FALSE))</f>
        <v>1081.1538499999999</v>
      </c>
      <c r="P160" s="46">
        <f t="shared" ca="1" si="7"/>
        <v>1.0238199336927296E-4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input_399100!A$2</f>
        <v>399100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IFERROR(VLOOKUP(B161,input_399100!L:R,7,FALSE),VLOOKUP(tables_399100!C161,input_399100!A:H,8,FALSE))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input_399100!A$2</f>
        <v>399100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IFERROR(VLOOKUP(B162,input_399100!L:R,7,FALSE),VLOOKUP(tables_399100!C162,input_399100!A:H,8,FALSE))</f>
        <v>101597.30769</v>
      </c>
      <c r="P162" s="46">
        <f t="shared" ca="1" si="7"/>
        <v>9.6209571674314119E-3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input_399100!A$2</f>
        <v>399100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IFERROR(VLOOKUP(B163,input_399100!L:R,7,FALSE),VLOOKUP(tables_399100!C163,input_399100!A:H,8,FALSE))</f>
        <v>1081.1538499999999</v>
      </c>
      <c r="P163" s="46">
        <f t="shared" ca="1" si="7"/>
        <v>1.0238199336927296E-4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input_399100!A$2</f>
        <v>399100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IFERROR(VLOOKUP(B164,input_399100!L:R,7,FALSE),VLOOKUP(tables_399100!C164,input_399100!A:H,8,FALSE))</f>
        <v>19120.71429</v>
      </c>
      <c r="P164" s="46">
        <f t="shared" ca="1" si="7"/>
        <v>1.8106737016702506E-3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input_399100!A$2</f>
        <v>399100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IFERROR(VLOOKUP(B165,input_399100!L:R,7,FALSE),VLOOKUP(tables_399100!C165,input_399100!A:H,8,FALSE))</f>
        <v>825</v>
      </c>
      <c r="P165" s="46">
        <f t="shared" ca="1" si="7"/>
        <v>7.8124999998520283E-5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input_399100!A$2</f>
        <v>399100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IFERROR(VLOOKUP(B166,input_399100!L:R,7,FALSE),VLOOKUP(tables_399100!C166,input_399100!A:H,8,FALSE))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input_399100!A$2</f>
        <v>399100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IFERROR(VLOOKUP(B167,input_399100!L:R,7,FALSE),VLOOKUP(tables_399100!C167,input_399100!A:H,8,FALSE))</f>
        <v>101597.30769</v>
      </c>
      <c r="P167" s="46">
        <f t="shared" ca="1" si="7"/>
        <v>9.6209571674314119E-3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input_399100!A$2</f>
        <v>399100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IFERROR(VLOOKUP(B168,input_399100!L:R,7,FALSE),VLOOKUP(tables_399100!C168,input_399100!A:H,8,FALSE))</f>
        <v>1081.1538499999999</v>
      </c>
      <c r="P168" s="46">
        <f t="shared" ca="1" si="7"/>
        <v>1.0238199336927296E-4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input_399100!A$2</f>
        <v>399100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IFERROR(VLOOKUP(B169,input_399100!L:R,7,FALSE),VLOOKUP(tables_399100!C169,input_399100!A:H,8,FALSE))</f>
        <v>19120.71429</v>
      </c>
      <c r="P169" s="46">
        <f t="shared" ca="1" si="7"/>
        <v>1.8106737016702506E-3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input_399100!A$2</f>
        <v>399100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IFERROR(VLOOKUP(B170,input_399100!L:R,7,FALSE),VLOOKUP(tables_399100!C170,input_399100!A:H,8,FALSE))</f>
        <v>825</v>
      </c>
      <c r="P170" s="46">
        <f t="shared" ca="1" si="7"/>
        <v>7.8124999998520283E-5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input_399100!A$2</f>
        <v>399100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IFERROR(VLOOKUP(B171,input_399100!L:R,7,FALSE),VLOOKUP(tables_399100!C171,input_399100!A:H,8,FALSE))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input_399100!A$2</f>
        <v>399100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IFERROR(VLOOKUP(B172,input_399100!L:R,7,FALSE),VLOOKUP(tables_399100!C172,input_399100!A:H,8,FALSE))</f>
        <v>101597.30769</v>
      </c>
      <c r="P172" s="46">
        <f t="shared" ca="1" si="7"/>
        <v>9.6209571674314119E-3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input_399100!A$2</f>
        <v>399100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IFERROR(VLOOKUP(B173,input_399100!L:R,7,FALSE),VLOOKUP(tables_399100!C173,input_399100!A:H,8,FALSE))</f>
        <v>1081.1538499999999</v>
      </c>
      <c r="P173" s="46">
        <f t="shared" ca="1" si="7"/>
        <v>1.0238199336927296E-4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input_399100!A$2</f>
        <v>399100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IFERROR(VLOOKUP(B174,input_399100!L:R,7,FALSE),VLOOKUP(tables_399100!C174,input_399100!A:H,8,FALSE))</f>
        <v>19120.71429</v>
      </c>
      <c r="P174" s="46">
        <f t="shared" ca="1" si="7"/>
        <v>1.8106737016702506E-3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input_399100!A$2</f>
        <v>399100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IFERROR(VLOOKUP(B175,input_399100!L:R,7,FALSE),VLOOKUP(tables_399100!C175,input_399100!A:H,8,FALSE))</f>
        <v>825</v>
      </c>
      <c r="P175" s="46">
        <f t="shared" ca="1" si="7"/>
        <v>7.8124999998520283E-5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input_399100!A$2</f>
        <v>399100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IFERROR(VLOOKUP(B176,input_399100!L:R,7,FALSE),VLOOKUP(tables_399100!C176,input_399100!A:H,8,FALSE))</f>
        <v>19120.71429</v>
      </c>
      <c r="P176" s="46">
        <f t="shared" ca="1" si="7"/>
        <v>1.8106737016702506E-3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input_399100!A$2</f>
        <v>399100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IFERROR(VLOOKUP(B177,input_399100!L:R,7,FALSE),VLOOKUP(tables_399100!C177,input_399100!A:H,8,FALSE))</f>
        <v>825</v>
      </c>
      <c r="P177" s="46">
        <f t="shared" ca="1" si="7"/>
        <v>7.8124999998520283E-5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input_399100!A$2</f>
        <v>399100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IFERROR(VLOOKUP(B178,input_399100!L:R,7,FALSE),VLOOKUP(tables_399100!C178,input_399100!A:H,8,FALSE))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input_399100!A$2</f>
        <v>399100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IFERROR(VLOOKUP(B179,input_399100!L:R,7,FALSE),VLOOKUP(tables_399100!C179,input_399100!A:H,8,FALSE))</f>
        <v>101597.30769</v>
      </c>
      <c r="P179" s="46">
        <f t="shared" ca="1" si="7"/>
        <v>9.6209571674314119E-3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input_399100!A$2</f>
        <v>399100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IFERROR(VLOOKUP(B180,input_399100!L:R,7,FALSE),VLOOKUP(tables_399100!C180,input_399100!A:H,8,FALSE))</f>
        <v>1081.1538499999999</v>
      </c>
      <c r="P180" s="46">
        <f t="shared" ca="1" si="7"/>
        <v>1.0238199336927296E-4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input_399100!A$2</f>
        <v>399100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IFERROR(VLOOKUP(B181,input_399100!L:R,7,FALSE),VLOOKUP(tables_399100!C181,input_399100!A:H,8,FALSE))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input_399100!A$2</f>
        <v>399100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IFERROR(VLOOKUP(B182,input_399100!L:R,7,FALSE),VLOOKUP(tables_399100!C182,input_399100!A:H,8,FALSE))</f>
        <v>101597.30769</v>
      </c>
      <c r="P182" s="46">
        <f t="shared" ca="1" si="7"/>
        <v>9.6209571674314119E-3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input_399100!A$2</f>
        <v>399100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IFERROR(VLOOKUP(B183,input_399100!L:R,7,FALSE),VLOOKUP(tables_399100!C183,input_399100!A:H,8,FALSE))</f>
        <v>1081.1538499999999</v>
      </c>
      <c r="P183" s="46">
        <f t="shared" ca="1" si="7"/>
        <v>1.0238199336927296E-4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input_399100!A$2</f>
        <v>399100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IFERROR(VLOOKUP(B184,input_399100!L:R,7,FALSE),VLOOKUP(tables_399100!C184,input_399100!A:H,8,FALSE))</f>
        <v>19120.71429</v>
      </c>
      <c r="P184" s="46">
        <f t="shared" ca="1" si="7"/>
        <v>1.8106737016702506E-3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input_399100!A$2</f>
        <v>399100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IFERROR(VLOOKUP(B185,input_399100!L:R,7,FALSE),VLOOKUP(tables_399100!C185,input_399100!A:H,8,FALSE))</f>
        <v>825</v>
      </c>
      <c r="P185" s="46">
        <f t="shared" ca="1" si="7"/>
        <v>7.8124999998520283E-5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input_399100!A$2</f>
        <v>399100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IFERROR(VLOOKUP(B186,input_399100!L:R,7,FALSE),VLOOKUP(tables_399100!C186,input_399100!A:H,8,FALSE))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input_399100!A$2</f>
        <v>399100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IFERROR(VLOOKUP(B187,input_399100!L:R,7,FALSE),VLOOKUP(tables_399100!C187,input_399100!A:H,8,FALSE))</f>
        <v>101597.30769</v>
      </c>
      <c r="P187" s="46">
        <f t="shared" ca="1" si="7"/>
        <v>9.6209571674314119E-3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input_399100!A$2</f>
        <v>399100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IFERROR(VLOOKUP(B188,input_399100!L:R,7,FALSE),VLOOKUP(tables_399100!C188,input_399100!A:H,8,FALSE))</f>
        <v>1081.1538499999999</v>
      </c>
      <c r="P188" s="46">
        <f t="shared" ca="1" si="7"/>
        <v>1.0238199336927296E-4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input_399100!A$2</f>
        <v>399100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IFERROR(VLOOKUP(B189,input_399100!L:R,7,FALSE),VLOOKUP(tables_399100!C189,input_399100!A:H,8,FALSE))</f>
        <v>19120.71429</v>
      </c>
      <c r="P189" s="46">
        <f t="shared" ca="1" si="7"/>
        <v>1.8106737016702506E-3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input_399100!A$2</f>
        <v>399100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IFERROR(VLOOKUP(B190,input_399100!L:R,7,FALSE),VLOOKUP(tables_399100!C190,input_399100!A:H,8,FALSE))</f>
        <v>825</v>
      </c>
      <c r="P190" s="46">
        <f t="shared" ca="1" si="7"/>
        <v>7.8124999998520283E-5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input_399100!A$2</f>
        <v>399100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IFERROR(VLOOKUP(B191,input_399100!L:R,7,FALSE),VLOOKUP(tables_399100!C191,input_399100!A:H,8,FALSE))</f>
        <v>19120.71429</v>
      </c>
      <c r="P191" s="46">
        <f t="shared" ca="1" si="7"/>
        <v>1.8106737016702506E-3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input_399100!A$2</f>
        <v>399100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IFERROR(VLOOKUP(B192,input_399100!L:R,7,FALSE),VLOOKUP(tables_399100!C192,input_399100!A:H,8,FALSE))</f>
        <v>825</v>
      </c>
      <c r="P192" s="46">
        <f t="shared" ca="1" si="7"/>
        <v>7.8124999998520283E-5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input_399100!A$2</f>
        <v>399100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IFERROR(VLOOKUP(B193,input_399100!L:R,7,FALSE),VLOOKUP(tables_399100!C193,input_399100!A:H,8,FALSE))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input_399100!A$2</f>
        <v>399100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IFERROR(VLOOKUP(B194,input_399100!L:R,7,FALSE),VLOOKUP(tables_399100!C194,input_399100!A:H,8,FALSE))</f>
        <v>101597.30769</v>
      </c>
      <c r="P194" s="46">
        <f t="shared" ref="P194:P257" ca="1" si="10">O194/SUM(O:O)</f>
        <v>9.6209571674314119E-3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input_399100!A$2</f>
        <v>399100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IFERROR(VLOOKUP(B195,input_399100!L:R,7,FALSE),VLOOKUP(tables_399100!C195,input_399100!A:H,8,FALSE))</f>
        <v>1081.1538499999999</v>
      </c>
      <c r="P195" s="46">
        <f t="shared" ca="1" si="10"/>
        <v>1.0238199336927296E-4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input_399100!A$2</f>
        <v>399100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IFERROR(VLOOKUP(B196,input_399100!L:R,7,FALSE),VLOOKUP(tables_399100!C196,input_399100!A:H,8,FALSE))</f>
        <v>19120.71429</v>
      </c>
      <c r="P196" s="46">
        <f t="shared" ca="1" si="10"/>
        <v>1.8106737016702506E-3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input_399100!A$2</f>
        <v>399100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IFERROR(VLOOKUP(B197,input_399100!L:R,7,FALSE),VLOOKUP(tables_399100!C197,input_399100!A:H,8,FALSE))</f>
        <v>825</v>
      </c>
      <c r="P197" s="46">
        <f t="shared" ca="1" si="10"/>
        <v>7.8124999998520283E-5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input_399100!A$2</f>
        <v>399100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IFERROR(VLOOKUP(B198,input_399100!L:R,7,FALSE),VLOOKUP(tables_399100!C198,input_399100!A:H,8,FALSE))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input_399100!A$2</f>
        <v>399100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IFERROR(VLOOKUP(B199,input_399100!L:R,7,FALSE),VLOOKUP(tables_399100!C199,input_399100!A:H,8,FALSE))</f>
        <v>101597.30769</v>
      </c>
      <c r="P199" s="46">
        <f t="shared" ca="1" si="10"/>
        <v>9.6209571674314119E-3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input_399100!A$2</f>
        <v>399100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IFERROR(VLOOKUP(B200,input_399100!L:R,7,FALSE),VLOOKUP(tables_399100!C200,input_399100!A:H,8,FALSE))</f>
        <v>1081.1538499999999</v>
      </c>
      <c r="P200" s="46">
        <f t="shared" ca="1" si="10"/>
        <v>1.0238199336927296E-4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input_399100!A$2</f>
        <v>399100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IFERROR(VLOOKUP(B201,input_399100!L:R,7,FALSE),VLOOKUP(tables_399100!C201,input_399100!A:H,8,FALSE))</f>
        <v>19120.71429</v>
      </c>
      <c r="P201" s="46">
        <f t="shared" ca="1" si="10"/>
        <v>1.8106737016702506E-3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input_399100!A$2</f>
        <v>399100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IFERROR(VLOOKUP(B202,input_399100!L:R,7,FALSE),VLOOKUP(tables_399100!C202,input_399100!A:H,8,FALSE))</f>
        <v>825</v>
      </c>
      <c r="P202" s="46">
        <f t="shared" ca="1" si="10"/>
        <v>7.8124999998520283E-5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input_399100!A$2</f>
        <v>399100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IFERROR(VLOOKUP(B203,input_399100!L:R,7,FALSE),VLOOKUP(tables_399100!C203,input_399100!A:H,8,FALSE))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input_399100!A$2</f>
        <v>399100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IFERROR(VLOOKUP(B204,input_399100!L:R,7,FALSE),VLOOKUP(tables_399100!C204,input_399100!A:H,8,FALSE))</f>
        <v>101597.30769</v>
      </c>
      <c r="P204" s="46">
        <f t="shared" ca="1" si="10"/>
        <v>9.6209571674314119E-3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input_399100!A$2</f>
        <v>399100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IFERROR(VLOOKUP(B205,input_399100!L:R,7,FALSE),VLOOKUP(tables_399100!C205,input_399100!A:H,8,FALSE))</f>
        <v>1081.1538499999999</v>
      </c>
      <c r="P205" s="46">
        <f t="shared" ca="1" si="10"/>
        <v>1.0238199336927296E-4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input_399100!A$2</f>
        <v>399100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IFERROR(VLOOKUP(B206,input_399100!L:R,7,FALSE),VLOOKUP(tables_399100!C206,input_399100!A:H,8,FALSE))</f>
        <v>19120.71429</v>
      </c>
      <c r="P206" s="46">
        <f t="shared" ca="1" si="10"/>
        <v>1.8106737016702506E-3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input_399100!A$2</f>
        <v>399100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IFERROR(VLOOKUP(B207,input_399100!L:R,7,FALSE),VLOOKUP(tables_399100!C207,input_399100!A:H,8,FALSE))</f>
        <v>825</v>
      </c>
      <c r="P207" s="46">
        <f t="shared" ca="1" si="10"/>
        <v>7.8124999998520283E-5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input_399100!A$2</f>
        <v>399100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IFERROR(VLOOKUP(B208,input_399100!L:R,7,FALSE),VLOOKUP(tables_399100!C208,input_399100!A:H,8,FALSE))</f>
        <v>19120.71429</v>
      </c>
      <c r="P208" s="46">
        <f t="shared" ca="1" si="10"/>
        <v>1.8106737016702506E-3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input_399100!A$2</f>
        <v>399100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IFERROR(VLOOKUP(B209,input_399100!L:R,7,FALSE),VLOOKUP(tables_399100!C209,input_399100!A:H,8,FALSE))</f>
        <v>825</v>
      </c>
      <c r="P209" s="46">
        <f t="shared" ca="1" si="10"/>
        <v>7.8124999998520283E-5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input_399100!A$2</f>
        <v>399100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IFERROR(VLOOKUP(B210,input_399100!L:R,7,FALSE),VLOOKUP(tables_399100!C210,input_399100!A:H,8,FALSE))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input_399100!A$2</f>
        <v>399100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IFERROR(VLOOKUP(B211,input_399100!L:R,7,FALSE),VLOOKUP(tables_399100!C211,input_399100!A:H,8,FALSE))</f>
        <v>101597.30769</v>
      </c>
      <c r="P211" s="46">
        <f t="shared" ca="1" si="10"/>
        <v>9.6209571674314119E-3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input_399100!A$2</f>
        <v>399100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IFERROR(VLOOKUP(B212,input_399100!L:R,7,FALSE),VLOOKUP(tables_399100!C212,input_399100!A:H,8,FALSE))</f>
        <v>1081.1538499999999</v>
      </c>
      <c r="P212" s="46">
        <f t="shared" ca="1" si="10"/>
        <v>1.0238199336927296E-4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input_399100!A$2</f>
        <v>399100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IFERROR(VLOOKUP(B213,input_399100!L:R,7,FALSE),VLOOKUP(tables_399100!C213,input_399100!A:H,8,FALSE))</f>
        <v>19120.71429</v>
      </c>
      <c r="P213" s="46">
        <f t="shared" ca="1" si="10"/>
        <v>1.8106737016702506E-3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input_399100!A$2</f>
        <v>399100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IFERROR(VLOOKUP(B214,input_399100!L:R,7,FALSE),VLOOKUP(tables_399100!C214,input_399100!A:H,8,FALSE))</f>
        <v>825</v>
      </c>
      <c r="P214" s="46">
        <f t="shared" ca="1" si="10"/>
        <v>7.8124999998520283E-5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input_399100!A$2</f>
        <v>399100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IFERROR(VLOOKUP(B215,input_399100!L:R,7,FALSE),VLOOKUP(tables_399100!C215,input_399100!A:H,8,FALSE))</f>
        <v>19120.71429</v>
      </c>
      <c r="P215" s="46">
        <f t="shared" ca="1" si="10"/>
        <v>1.8106737016702506E-3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input_399100!A$2</f>
        <v>399100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IFERROR(VLOOKUP(B216,input_399100!L:R,7,FALSE),VLOOKUP(tables_399100!C216,input_399100!A:H,8,FALSE))</f>
        <v>825</v>
      </c>
      <c r="P216" s="46">
        <f t="shared" ca="1" si="10"/>
        <v>7.8124999998520283E-5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input_399100!A$2</f>
        <v>399100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IFERROR(VLOOKUP(B217,input_399100!L:R,7,FALSE),VLOOKUP(tables_399100!C217,input_399100!A:H,8,FALSE))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input_399100!A$2</f>
        <v>399100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IFERROR(VLOOKUP(B218,input_399100!L:R,7,FALSE),VLOOKUP(tables_399100!C218,input_399100!A:H,8,FALSE))</f>
        <v>101597.30769</v>
      </c>
      <c r="P218" s="46">
        <f t="shared" ca="1" si="10"/>
        <v>9.6209571674314119E-3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input_399100!A$2</f>
        <v>399100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IFERROR(VLOOKUP(B219,input_399100!L:R,7,FALSE),VLOOKUP(tables_399100!C219,input_399100!A:H,8,FALSE))</f>
        <v>1081.1538499999999</v>
      </c>
      <c r="P219" s="46">
        <f t="shared" ca="1" si="10"/>
        <v>1.0238199336927296E-4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input_399100!A$2</f>
        <v>399100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IFERROR(VLOOKUP(B220,input_399100!L:R,7,FALSE),VLOOKUP(tables_399100!C220,input_399100!A:H,8,FALSE))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input_399100!A$2</f>
        <v>399100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IFERROR(VLOOKUP(B221,input_399100!L:R,7,FALSE),VLOOKUP(tables_399100!C221,input_399100!A:H,8,FALSE))</f>
        <v>101597.30769</v>
      </c>
      <c r="P221" s="46">
        <f t="shared" ca="1" si="10"/>
        <v>9.6209571674314119E-3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input_399100!A$2</f>
        <v>399100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IFERROR(VLOOKUP(B222,input_399100!L:R,7,FALSE),VLOOKUP(tables_399100!C222,input_399100!A:H,8,FALSE))</f>
        <v>1081.1538499999999</v>
      </c>
      <c r="P222" s="46">
        <f t="shared" ca="1" si="10"/>
        <v>1.0238199336927296E-4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input_399100!A$2</f>
        <v>399100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IFERROR(VLOOKUP(B223,input_399100!L:R,7,FALSE),VLOOKUP(tables_399100!C223,input_399100!A:H,8,FALSE))</f>
        <v>19120.71429</v>
      </c>
      <c r="P223" s="46">
        <f t="shared" ca="1" si="10"/>
        <v>1.8106737016702506E-3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input_399100!A$2</f>
        <v>399100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IFERROR(VLOOKUP(B224,input_399100!L:R,7,FALSE),VLOOKUP(tables_399100!C224,input_399100!A:H,8,FALSE))</f>
        <v>825</v>
      </c>
      <c r="P224" s="46">
        <f t="shared" ca="1" si="10"/>
        <v>7.8124999998520283E-5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input_399100!A$2</f>
        <v>399100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IFERROR(VLOOKUP(B225,input_399100!L:R,7,FALSE),VLOOKUP(tables_399100!C225,input_399100!A:H,8,FALSE))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input_399100!A$2</f>
        <v>399100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IFERROR(VLOOKUP(B226,input_399100!L:R,7,FALSE),VLOOKUP(tables_399100!C226,input_399100!A:H,8,FALSE))</f>
        <v>101597.30769</v>
      </c>
      <c r="P226" s="46">
        <f t="shared" ca="1" si="10"/>
        <v>9.6209571674314119E-3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input_399100!A$2</f>
        <v>399100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IFERROR(VLOOKUP(B227,input_399100!L:R,7,FALSE),VLOOKUP(tables_399100!C227,input_399100!A:H,8,FALSE))</f>
        <v>1081.1538499999999</v>
      </c>
      <c r="P227" s="46">
        <f t="shared" ca="1" si="10"/>
        <v>1.0238199336927296E-4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input_399100!A$2</f>
        <v>399100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IFERROR(VLOOKUP(B228,input_399100!L:R,7,FALSE),VLOOKUP(tables_399100!C228,input_399100!A:H,8,FALSE))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input_399100!A$2</f>
        <v>399100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IFERROR(VLOOKUP(B229,input_399100!L:R,7,FALSE),VLOOKUP(tables_399100!C229,input_399100!A:H,8,FALSE))</f>
        <v>101597.30769</v>
      </c>
      <c r="P229" s="46">
        <f t="shared" ca="1" si="10"/>
        <v>9.6209571674314119E-3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input_399100!A$2</f>
        <v>399100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IFERROR(VLOOKUP(B230,input_399100!L:R,7,FALSE),VLOOKUP(tables_399100!C230,input_399100!A:H,8,FALSE))</f>
        <v>1081.1538499999999</v>
      </c>
      <c r="P230" s="46">
        <f t="shared" ca="1" si="10"/>
        <v>1.0238199336927296E-4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input_399100!A$2</f>
        <v>399100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IFERROR(VLOOKUP(B231,input_399100!L:R,7,FALSE),VLOOKUP(tables_399100!C231,input_399100!A:H,8,FALSE))</f>
        <v>19120.71429</v>
      </c>
      <c r="P231" s="46">
        <f t="shared" ca="1" si="10"/>
        <v>1.8106737016702506E-3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input_399100!A$2</f>
        <v>399100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IFERROR(VLOOKUP(B232,input_399100!L:R,7,FALSE),VLOOKUP(tables_399100!C232,input_399100!A:H,8,FALSE))</f>
        <v>825</v>
      </c>
      <c r="P232" s="46">
        <f t="shared" ca="1" si="10"/>
        <v>7.8124999998520283E-5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input_399100!A$2</f>
        <v>399100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IFERROR(VLOOKUP(B233,input_399100!L:R,7,FALSE),VLOOKUP(tables_399100!C233,input_399100!A:H,8,FALSE))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input_399100!A$2</f>
        <v>399100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IFERROR(VLOOKUP(B234,input_399100!L:R,7,FALSE),VLOOKUP(tables_399100!C234,input_399100!A:H,8,FALSE))</f>
        <v>101597.30769</v>
      </c>
      <c r="P234" s="46">
        <f t="shared" ca="1" si="10"/>
        <v>9.6209571674314119E-3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input_399100!A$2</f>
        <v>399100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IFERROR(VLOOKUP(B235,input_399100!L:R,7,FALSE),VLOOKUP(tables_399100!C235,input_399100!A:H,8,FALSE))</f>
        <v>1081.1538499999999</v>
      </c>
      <c r="P235" s="46">
        <f t="shared" ca="1" si="10"/>
        <v>1.0238199336927296E-4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input_399100!A$2</f>
        <v>399100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IFERROR(VLOOKUP(B236,input_399100!L:R,7,FALSE),VLOOKUP(tables_399100!C236,input_399100!A:H,8,FALSE))</f>
        <v>19120.71429</v>
      </c>
      <c r="P236" s="46">
        <f t="shared" ca="1" si="10"/>
        <v>1.8106737016702506E-3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input_399100!A$2</f>
        <v>399100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IFERROR(VLOOKUP(B237,input_399100!L:R,7,FALSE),VLOOKUP(tables_399100!C237,input_399100!A:H,8,FALSE))</f>
        <v>825</v>
      </c>
      <c r="P237" s="46">
        <f t="shared" ca="1" si="10"/>
        <v>7.8124999998520283E-5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input_399100!A$2</f>
        <v>399100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IFERROR(VLOOKUP(B238,input_399100!L:R,7,FALSE),VLOOKUP(tables_399100!C238,input_399100!A:H,8,FALSE))</f>
        <v>19120.71429</v>
      </c>
      <c r="P238" s="46">
        <f t="shared" ca="1" si="10"/>
        <v>1.8106737016702506E-3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input_399100!A$2</f>
        <v>399100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IFERROR(VLOOKUP(B239,input_399100!L:R,7,FALSE),VLOOKUP(tables_399100!C239,input_399100!A:H,8,FALSE))</f>
        <v>825</v>
      </c>
      <c r="P239" s="46">
        <f t="shared" ca="1" si="10"/>
        <v>7.8124999998520283E-5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input_399100!A$2</f>
        <v>399100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IFERROR(VLOOKUP(B240,input_399100!L:R,7,FALSE),VLOOKUP(tables_399100!C240,input_399100!A:H,8,FALSE))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input_399100!A$2</f>
        <v>399100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IFERROR(VLOOKUP(B241,input_399100!L:R,7,FALSE),VLOOKUP(tables_399100!C241,input_399100!A:H,8,FALSE))</f>
        <v>101597.30769</v>
      </c>
      <c r="P241" s="46">
        <f t="shared" ca="1" si="10"/>
        <v>9.6209571674314119E-3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input_399100!A$2</f>
        <v>399100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IFERROR(VLOOKUP(B242,input_399100!L:R,7,FALSE),VLOOKUP(tables_399100!C242,input_399100!A:H,8,FALSE))</f>
        <v>1081.1538499999999</v>
      </c>
      <c r="P242" s="46">
        <f t="shared" ca="1" si="10"/>
        <v>1.0238199336927296E-4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input_399100!A$2</f>
        <v>399100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IFERROR(VLOOKUP(B243,input_399100!L:R,7,FALSE),VLOOKUP(tables_399100!C243,input_399100!A:H,8,FALSE))</f>
        <v>0</v>
      </c>
      <c r="P243" s="46">
        <f t="shared" ca="1" si="10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input_399100!A$2</f>
        <v>399100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IFERROR(VLOOKUP(B244,input_399100!L:R,7,FALSE),VLOOKUP(tables_399100!C244,input_399100!A:H,8,FALSE))</f>
        <v>101597.30769</v>
      </c>
      <c r="P244" s="46">
        <f t="shared" ca="1" si="10"/>
        <v>9.6209571674314119E-3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input_399100!A$2</f>
        <v>399100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IFERROR(VLOOKUP(B245,input_399100!L:R,7,FALSE),VLOOKUP(tables_399100!C245,input_399100!A:H,8,FALSE))</f>
        <v>1081.1538499999999</v>
      </c>
      <c r="P245" s="46">
        <f t="shared" ca="1" si="10"/>
        <v>1.0238199336927296E-4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input_399100!A$2</f>
        <v>399100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IFERROR(VLOOKUP(B246,input_399100!L:R,7,FALSE),VLOOKUP(tables_399100!C246,input_399100!A:H,8,FALSE))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input_399100!A$2</f>
        <v>399100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IFERROR(VLOOKUP(B247,input_399100!L:R,7,FALSE),VLOOKUP(tables_399100!C247,input_399100!A:H,8,FALSE))</f>
        <v>101597.30769</v>
      </c>
      <c r="P247" s="46">
        <f t="shared" ca="1" si="10"/>
        <v>9.6209571674314119E-3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input_399100!A$2</f>
        <v>399100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IFERROR(VLOOKUP(B248,input_399100!L:R,7,FALSE),VLOOKUP(tables_399100!C248,input_399100!A:H,8,FALSE))</f>
        <v>1081.1538499999999</v>
      </c>
      <c r="P248" s="46">
        <f t="shared" ca="1" si="10"/>
        <v>1.0238199336927296E-4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input_399100!A$2</f>
        <v>399100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IFERROR(VLOOKUP(B249,input_399100!L:R,7,FALSE),VLOOKUP(tables_399100!C249,input_399100!A:H,8,FALSE))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input_399100!A$2</f>
        <v>399100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IFERROR(VLOOKUP(B250,input_399100!L:R,7,FALSE),VLOOKUP(tables_399100!C250,input_399100!A:H,8,FALSE))</f>
        <v>101597.30769</v>
      </c>
      <c r="P250" s="46">
        <f t="shared" ca="1" si="10"/>
        <v>9.6209571674314119E-3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input_399100!A$2</f>
        <v>399100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IFERROR(VLOOKUP(B251,input_399100!L:R,7,FALSE),VLOOKUP(tables_399100!C251,input_399100!A:H,8,FALSE))</f>
        <v>1081.1538499999999</v>
      </c>
      <c r="P251" s="46">
        <f t="shared" ca="1" si="10"/>
        <v>1.0238199336927296E-4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input_399100!A$2</f>
        <v>399100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IFERROR(VLOOKUP(B252,input_399100!L:R,7,FALSE),VLOOKUP(tables_399100!C252,input_399100!A:H,8,FALSE))</f>
        <v>19120.71429</v>
      </c>
      <c r="P252" s="46">
        <f t="shared" ca="1" si="10"/>
        <v>1.8106737016702506E-3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input_399100!A$2</f>
        <v>399100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IFERROR(VLOOKUP(B253,input_399100!L:R,7,FALSE),VLOOKUP(tables_399100!C253,input_399100!A:H,8,FALSE))</f>
        <v>825</v>
      </c>
      <c r="P253" s="46">
        <f t="shared" ca="1" si="10"/>
        <v>7.8124999998520283E-5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input_399100!A$2</f>
        <v>399100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IFERROR(VLOOKUP(B254,input_399100!L:R,7,FALSE),VLOOKUP(tables_399100!C254,input_399100!A:H,8,FALSE))</f>
        <v>19120.71429</v>
      </c>
      <c r="P254" s="46">
        <f t="shared" ca="1" si="10"/>
        <v>1.8106737016702506E-3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input_399100!A$2</f>
        <v>399100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IFERROR(VLOOKUP(B255,input_399100!L:R,7,FALSE),VLOOKUP(tables_399100!C255,input_399100!A:H,8,FALSE))</f>
        <v>825</v>
      </c>
      <c r="P255" s="46">
        <f t="shared" ca="1" si="10"/>
        <v>7.8124999998520283E-5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input_399100!A$2</f>
        <v>399100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IFERROR(VLOOKUP(B256,input_399100!L:R,7,FALSE),VLOOKUP(tables_399100!C256,input_399100!A:H,8,FALSE))</f>
        <v>106095</v>
      </c>
      <c r="P256" s="46">
        <f t="shared" ca="1" si="10"/>
        <v>1.0046874999809708E-2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input_399100!A$2</f>
        <v>399100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IFERROR(VLOOKUP(B257,input_399100!L:R,7,FALSE),VLOOKUP(tables_399100!C257,input_399100!A:H,8,FALSE))</f>
        <v>2805</v>
      </c>
      <c r="P257" s="46">
        <f t="shared" ca="1" si="10"/>
        <v>2.6562499999496894E-4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input_399100!A$2</f>
        <v>399100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IFERROR(VLOOKUP(B258,input_399100!L:R,7,FALSE),VLOOKUP(tables_399100!C258,input_399100!A:H,8,FALSE))</f>
        <v>106095</v>
      </c>
      <c r="P258" s="46">
        <f t="shared" ref="P258:P294" ca="1" si="13">O258/SUM(O:O)</f>
        <v>1.0046874999809708E-2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input_399100!A$2</f>
        <v>399100</v>
      </c>
      <c r="B259" s="60">
        <v>731</v>
      </c>
      <c r="C259" s="7" t="str">
        <f t="shared" si="12"/>
        <v>Premium5R3less</v>
      </c>
      <c r="D259" s="7" t="str">
        <f t="shared" ref="D259:D314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IFERROR(VLOOKUP(B259,input_399100!L:R,7,FALSE),VLOOKUP(tables_399100!C259,input_399100!A:H,8,FALSE))</f>
        <v>2805</v>
      </c>
      <c r="P259" s="46">
        <f t="shared" ca="1" si="13"/>
        <v>2.6562499999496894E-4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input_399100!A$2</f>
        <v>399100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IFERROR(VLOOKUP(B260,input_399100!L:R,7,FALSE),VLOOKUP(tables_399100!C260,input_399100!A:H,8,FALSE))</f>
        <v>11676</v>
      </c>
      <c r="P260" s="46">
        <f t="shared" ca="1" si="13"/>
        <v>1.1056818181608761E-3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input_399100!A$2</f>
        <v>399100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IFERROR(VLOOKUP(B261,input_399100!L:R,7,FALSE),VLOOKUP(tables_399100!C261,input_399100!A:H,8,FALSE))</f>
        <v>11676</v>
      </c>
      <c r="P261" s="46">
        <f t="shared" ca="1" si="13"/>
        <v>1.1056818181608761E-3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input_399100!A$2</f>
        <v>399100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IFERROR(VLOOKUP(B262,input_399100!L:R,7,FALSE),VLOOKUP(tables_399100!C262,input_399100!A:H,8,FALSE))</f>
        <v>19120.71429</v>
      </c>
      <c r="P262" s="46">
        <f t="shared" ca="1" si="13"/>
        <v>1.8106737016702506E-3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input_399100!A$2</f>
        <v>399100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IFERROR(VLOOKUP(B263,input_399100!L:R,7,FALSE),VLOOKUP(tables_399100!C263,input_399100!A:H,8,FALSE))</f>
        <v>825</v>
      </c>
      <c r="P263" s="46">
        <f t="shared" ca="1" si="13"/>
        <v>7.8124999998520283E-5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input_399100!A$2</f>
        <v>399100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IFERROR(VLOOKUP(B264,input_399100!L:R,7,FALSE),VLOOKUP(tables_399100!C264,input_399100!A:H,8,FALSE))</f>
        <v>19120.71429</v>
      </c>
      <c r="P264" s="46">
        <f t="shared" ca="1" si="13"/>
        <v>1.8106737016702506E-3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input_399100!A$2</f>
        <v>399100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IFERROR(VLOOKUP(B265,input_399100!L:R,7,FALSE),VLOOKUP(tables_399100!C265,input_399100!A:H,8,FALSE))</f>
        <v>825</v>
      </c>
      <c r="P265" s="46">
        <f t="shared" ca="1" si="13"/>
        <v>7.8124999998520283E-5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input_399100!A$2</f>
        <v>399100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IFERROR(VLOOKUP(B266,input_399100!L:R,7,FALSE),VLOOKUP(tables_399100!C266,input_399100!A:H,8,FALSE))</f>
        <v>0</v>
      </c>
      <c r="P266" s="46">
        <f t="shared" ca="1" si="13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input_399100!A$2</f>
        <v>399100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IFERROR(VLOOKUP(B267,input_399100!L:R,7,FALSE),VLOOKUP(tables_399100!C267,input_399100!A:H,8,FALSE))</f>
        <v>101597.30769</v>
      </c>
      <c r="P267" s="46">
        <f t="shared" ca="1" si="13"/>
        <v>9.6209571674314119E-3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input_399100!A$2</f>
        <v>399100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IFERROR(VLOOKUP(B268,input_399100!L:R,7,FALSE),VLOOKUP(tables_399100!C268,input_399100!A:H,8,FALSE))</f>
        <v>1081.1538499999999</v>
      </c>
      <c r="P268" s="46">
        <f t="shared" ca="1" si="13"/>
        <v>1.0238199336927296E-4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input_399100!A$2</f>
        <v>399100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IFERROR(VLOOKUP(B269,input_399100!L:R,7,FALSE),VLOOKUP(tables_399100!C269,input_399100!A:H,8,FALSE))</f>
        <v>0</v>
      </c>
      <c r="P269" s="46">
        <f t="shared" ca="1" si="13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input_399100!A$2</f>
        <v>399100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IFERROR(VLOOKUP(B270,input_399100!L:R,7,FALSE),VLOOKUP(tables_399100!C270,input_399100!A:H,8,FALSE))</f>
        <v>101597.30769</v>
      </c>
      <c r="P270" s="46">
        <f t="shared" ca="1" si="13"/>
        <v>9.6209571674314119E-3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input_399100!A$2</f>
        <v>399100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IFERROR(VLOOKUP(B271,input_399100!L:R,7,FALSE),VLOOKUP(tables_399100!C271,input_399100!A:H,8,FALSE))</f>
        <v>1081.1538499999999</v>
      </c>
      <c r="P271" s="46">
        <f t="shared" ca="1" si="13"/>
        <v>1.0238199336927296E-4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input_399100!A$2</f>
        <v>399100</v>
      </c>
      <c r="B272" s="82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IFERROR(VLOOKUP(B272,input_399100!L:R,7,FALSE),VLOOKUP(tables_399100!C272,input_399100!A:H,8,FALSE))</f>
        <v>11676</v>
      </c>
      <c r="P272" s="46">
        <f t="shared" ca="1" si="13"/>
        <v>1.1056818181608761E-3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input_399100!A$2</f>
        <v>399100</v>
      </c>
      <c r="B273" s="82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IFERROR(VLOOKUP(B273,input_399100!L:R,7,FALSE),VLOOKUP(tables_399100!C273,input_399100!A:H,8,FALSE))</f>
        <v>11676</v>
      </c>
      <c r="P273" s="46">
        <f t="shared" ca="1" si="13"/>
        <v>1.1056818181608761E-3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input_399100!A$2</f>
        <v>399100</v>
      </c>
      <c r="B274" s="82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IFERROR(VLOOKUP(B274,input_399100!L:R,7,FALSE),VLOOKUP(tables_399100!C274,input_399100!A:H,8,FALSE))</f>
        <v>106095</v>
      </c>
      <c r="P274" s="46">
        <f t="shared" ca="1" si="13"/>
        <v>1.0046874999809708E-2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input_399100!A$2</f>
        <v>399100</v>
      </c>
      <c r="B275" s="82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IFERROR(VLOOKUP(B275,input_399100!L:R,7,FALSE),VLOOKUP(tables_399100!C275,input_399100!A:H,8,FALSE))</f>
        <v>2805</v>
      </c>
      <c r="P275" s="46">
        <f t="shared" ca="1" si="13"/>
        <v>2.6562499999496894E-4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input_399100!A$2</f>
        <v>399100</v>
      </c>
      <c r="B276" s="82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IFERROR(VLOOKUP(B276,input_399100!L:R,7,FALSE),VLOOKUP(tables_399100!C276,input_399100!A:H,8,FALSE))</f>
        <v>106095</v>
      </c>
      <c r="P276" s="46">
        <f t="shared" ca="1" si="13"/>
        <v>1.0046874999809708E-2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input_399100!A$2</f>
        <v>399100</v>
      </c>
      <c r="B277" s="82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IFERROR(VLOOKUP(B277,input_399100!L:R,7,FALSE),VLOOKUP(tables_399100!C277,input_399100!A:H,8,FALSE))</f>
        <v>2805</v>
      </c>
      <c r="P277" s="46">
        <f t="shared" ca="1" si="13"/>
        <v>2.6562499999496894E-4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input_399100!A$2</f>
        <v>399100</v>
      </c>
      <c r="B278" s="82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IFERROR(VLOOKUP(B278,input_399100!L:R,7,FALSE),VLOOKUP(tables_399100!C278,input_399100!A:H,8,FALSE))</f>
        <v>106095</v>
      </c>
      <c r="P278" s="46">
        <f t="shared" ca="1" si="13"/>
        <v>1.0046874999809708E-2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input_399100!A$2</f>
        <v>399100</v>
      </c>
      <c r="B279" s="82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IFERROR(VLOOKUP(B279,input_399100!L:R,7,FALSE),VLOOKUP(tables_399100!C279,input_399100!A:H,8,FALSE))</f>
        <v>2805</v>
      </c>
      <c r="P279" s="46">
        <f t="shared" ca="1" si="13"/>
        <v>2.6562499999496894E-4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input_399100!A$2</f>
        <v>399100</v>
      </c>
      <c r="B280" s="82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IFERROR(VLOOKUP(B280,input_399100!L:R,7,FALSE),VLOOKUP(tables_399100!C280,input_399100!A:H,8,FALSE))</f>
        <v>106095</v>
      </c>
      <c r="P280" s="46">
        <f t="shared" ca="1" si="13"/>
        <v>1.0046874999809708E-2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input_399100!A$2</f>
        <v>399100</v>
      </c>
      <c r="B281" s="82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IFERROR(VLOOKUP(B281,input_399100!L:R,7,FALSE),VLOOKUP(tables_399100!C281,input_399100!A:H,8,FALSE))</f>
        <v>2805</v>
      </c>
      <c r="P281" s="46">
        <f t="shared" ca="1" si="13"/>
        <v>2.6562499999496894E-4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input_399100!A$2</f>
        <v>399100</v>
      </c>
      <c r="B282" s="82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IFERROR(VLOOKUP(B282,input_399100!L:R,7,FALSE),VLOOKUP(tables_399100!C282,input_399100!A:H,8,FALSE))</f>
        <v>11676</v>
      </c>
      <c r="P282" s="46">
        <f t="shared" ca="1" si="13"/>
        <v>1.1056818181608761E-3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input_399100!A$2</f>
        <v>399100</v>
      </c>
      <c r="B283" s="82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IFERROR(VLOOKUP(B283,input_399100!L:R,7,FALSE),VLOOKUP(tables_399100!C283,input_399100!A:H,8,FALSE))</f>
        <v>11676</v>
      </c>
      <c r="P283" s="46">
        <f t="shared" ca="1" si="13"/>
        <v>1.1056818181608761E-3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input_399100!A$2</f>
        <v>399100</v>
      </c>
      <c r="B284" s="92">
        <v>742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IFERROR(VLOOKUP(B284,input_399100!L:R,7,FALSE),VLOOKUP(tables_399100!C284,input_399100!A:H,8,FALSE))</f>
        <v>11676</v>
      </c>
      <c r="P284" s="46">
        <f t="shared" ca="1" si="13"/>
        <v>1.1056818181608761E-3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input_399100!A$2</f>
        <v>399100</v>
      </c>
      <c r="B285" s="92">
        <v>744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IFERROR(VLOOKUP(B285,input_399100!L:R,7,FALSE),VLOOKUP(tables_399100!C285,input_399100!A:H,8,FALSE))</f>
        <v>11676</v>
      </c>
      <c r="P285" s="46">
        <f t="shared" ca="1" si="13"/>
        <v>1.1056818181608761E-3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input_399100!A$2</f>
        <v>399100</v>
      </c>
      <c r="B286" s="92">
        <v>746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IFERROR(VLOOKUP(B286,input_399100!L:R,7,FALSE),VLOOKUP(tables_399100!C286,input_399100!A:H,8,FALSE))</f>
        <v>106095</v>
      </c>
      <c r="P286" s="46">
        <f t="shared" ca="1" si="13"/>
        <v>1.0046874999809708E-2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input_399100!A$2</f>
        <v>399100</v>
      </c>
      <c r="B287" s="92">
        <v>747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IFERROR(VLOOKUP(B287,input_399100!L:R,7,FALSE),VLOOKUP(tables_399100!C287,input_399100!A:H,8,FALSE))</f>
        <v>2805</v>
      </c>
      <c r="P287" s="46">
        <f t="shared" ca="1" si="13"/>
        <v>2.6562499999496894E-4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input_399100!A$2</f>
        <v>399100</v>
      </c>
      <c r="B288" s="92">
        <v>748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IFERROR(VLOOKUP(B288,input_399100!L:R,7,FALSE),VLOOKUP(tables_399100!C288,input_399100!A:H,8,FALSE))</f>
        <v>106095</v>
      </c>
      <c r="P288" s="46">
        <f t="shared" ca="1" si="13"/>
        <v>1.0046874999809708E-2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input_399100!A$2</f>
        <v>399100</v>
      </c>
      <c r="B289" s="92">
        <v>749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IFERROR(VLOOKUP(B289,input_399100!L:R,7,FALSE),VLOOKUP(tables_399100!C289,input_399100!A:H,8,FALSE))</f>
        <v>2805</v>
      </c>
      <c r="P289" s="46">
        <f t="shared" ca="1" si="13"/>
        <v>2.6562499999496894E-4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input_399100!A$2</f>
        <v>399100</v>
      </c>
      <c r="B290" s="5">
        <v>937</v>
      </c>
      <c r="C290" s="7" t="str">
        <f t="shared" ref="C290:C294" si="18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IFERROR(VLOOKUP(B290,input_399100!L:R,7,FALSE),VLOOKUP(tables_399100!C290,input_399100!A:H,8,FALSE))</f>
        <v>11676</v>
      </c>
      <c r="P290" s="46">
        <f t="shared" ca="1" si="13"/>
        <v>1.1056818181608761E-3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input_399100!A$2</f>
        <v>399100</v>
      </c>
      <c r="B291" s="5">
        <v>939</v>
      </c>
      <c r="C291" s="7" t="str">
        <f t="shared" si="18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IFERROR(VLOOKUP(B291,input_399100!L:R,7,FALSE),VLOOKUP(tables_399100!C291,input_399100!A:H,8,FALSE))</f>
        <v>106095</v>
      </c>
      <c r="P291" s="46">
        <f t="shared" ca="1" si="13"/>
        <v>1.0046874999809708E-2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input_399100!A$2</f>
        <v>399100</v>
      </c>
      <c r="B292" s="5">
        <v>940</v>
      </c>
      <c r="C292" s="7" t="str">
        <f t="shared" si="18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IFERROR(VLOOKUP(B292,input_399100!L:R,7,FALSE),VLOOKUP(tables_399100!C292,input_399100!A:H,8,FALSE))</f>
        <v>2805</v>
      </c>
      <c r="P292" s="46">
        <f t="shared" ca="1" si="13"/>
        <v>2.6562499999496894E-4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input_399100!A$2</f>
        <v>399100</v>
      </c>
      <c r="B293" s="5">
        <v>941</v>
      </c>
      <c r="C293" s="7" t="str">
        <f t="shared" si="18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IFERROR(VLOOKUP(B293,input_399100!L:R,7,FALSE),VLOOKUP(tables_399100!C293,input_399100!A:H,8,FALSE))</f>
        <v>11676</v>
      </c>
      <c r="P293" s="46">
        <f t="shared" ca="1" si="13"/>
        <v>1.1056818181608761E-3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input_399100!A$2</f>
        <v>399100</v>
      </c>
      <c r="B294" s="5">
        <v>943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IFERROR(VLOOKUP(B294,input_399100!L:R,7,FALSE),VLOOKUP(tables_399100!C294,input_399100!A:H,8,FALSE))</f>
        <v>11676</v>
      </c>
      <c r="P294" s="46">
        <f t="shared" ca="1" si="13"/>
        <v>1.1056818181608761E-3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input_399100!A$2</f>
        <v>399100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IFERROR(VLOOKUP(B295,input_399100!L:R,7,FALSE),VLOOKUP(tables_399100!C295,input_399100!A:H,8,FALSE))</f>
        <v>11676</v>
      </c>
      <c r="P295" s="46">
        <f t="shared" ref="P295:P299" ca="1" si="20">O295/SUM(O:O)</f>
        <v>1.1056818181608761E-3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input_399100!A$2</f>
        <v>399100</v>
      </c>
      <c r="B296" s="5">
        <v>1014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IFERROR(VLOOKUP(B296,input_399100!L:R,7,FALSE),VLOOKUP(tables_399100!C296,input_399100!A:H,8,FALSE))</f>
        <v>11676</v>
      </c>
      <c r="P296" s="46">
        <f t="shared" ca="1" si="20"/>
        <v>1.1056818181608761E-3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input_399100!A$2</f>
        <v>399100</v>
      </c>
      <c r="B297" s="5">
        <v>1016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IFERROR(VLOOKUP(B297,input_399100!L:R,7,FALSE),VLOOKUP(tables_399100!C297,input_399100!A:H,8,FALSE))</f>
        <v>106095</v>
      </c>
      <c r="P297" s="46">
        <f t="shared" ca="1" si="20"/>
        <v>1.0046874999809708E-2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input_399100!A$2</f>
        <v>399100</v>
      </c>
      <c r="B298" s="5">
        <v>1017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IFERROR(VLOOKUP(B298,input_399100!L:R,7,FALSE),VLOOKUP(tables_399100!C298,input_399100!A:H,8,FALSE))</f>
        <v>2805</v>
      </c>
      <c r="P298" s="46">
        <f t="shared" ca="1" si="20"/>
        <v>2.6562499999496894E-4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input_399100!A$2</f>
        <v>399100</v>
      </c>
      <c r="B299" s="5">
        <v>1018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IFERROR(VLOOKUP(B299,input_399100!L:R,7,FALSE),VLOOKUP(tables_399100!C299,input_399100!A:H,8,FALSE))</f>
        <v>11676</v>
      </c>
      <c r="P299" s="46">
        <f t="shared" ca="1" si="20"/>
        <v>1.1056818181608761E-3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input_399100!A$2</f>
        <v>399100</v>
      </c>
      <c r="B300" s="5">
        <v>1026</v>
      </c>
      <c r="C300" s="7" t="str">
        <f t="shared" ref="C300:C304" si="21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IFERROR(VLOOKUP(B300,input_399100!L:R,7,FALSE),VLOOKUP(tables_399100!C300,input_399100!A:H,8,FALSE))</f>
        <v>106095</v>
      </c>
      <c r="P300" s="46">
        <f t="shared" ref="P300:P304" ca="1" si="22">O300/SUM(O:O)</f>
        <v>1.0046874999809708E-2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input_399100!A$2</f>
        <v>399100</v>
      </c>
      <c r="B301" s="5">
        <v>1027</v>
      </c>
      <c r="C301" s="7" t="str">
        <f t="shared" si="21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IFERROR(VLOOKUP(B301,input_399100!L:R,7,FALSE),VLOOKUP(tables_399100!C301,input_399100!A:H,8,FALSE))</f>
        <v>2805</v>
      </c>
      <c r="P301" s="46">
        <f t="shared" ca="1" si="22"/>
        <v>2.6562499999496894E-4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input_399100!A$2</f>
        <v>399100</v>
      </c>
      <c r="B302" s="5">
        <v>1028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IFERROR(VLOOKUP(B302,input_399100!L:R,7,FALSE),VLOOKUP(tables_399100!C302,input_399100!A:H,8,FALSE))</f>
        <v>11676</v>
      </c>
      <c r="P302" s="46">
        <f t="shared" ca="1" si="22"/>
        <v>1.1056818181608761E-3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input_399100!A$2</f>
        <v>399100</v>
      </c>
      <c r="B303" s="5">
        <v>1031</v>
      </c>
      <c r="C303" s="7" t="str">
        <f t="shared" si="21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IFERROR(VLOOKUP(B303,input_399100!L:R,7,FALSE),VLOOKUP(tables_399100!C303,input_399100!A:H,8,FALSE))</f>
        <v>11676</v>
      </c>
      <c r="P303" s="46">
        <f t="shared" ca="1" si="22"/>
        <v>1.1056818181608761E-3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input_399100!A$2</f>
        <v>399100</v>
      </c>
      <c r="B304" s="5">
        <v>1033</v>
      </c>
      <c r="C304" s="7" t="str">
        <f t="shared" si="21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IFERROR(VLOOKUP(B304,input_399100!L:R,7,FALSE),VLOOKUP(tables_399100!C304,input_399100!A:H,8,FALSE))</f>
        <v>11676</v>
      </c>
      <c r="P304" s="46">
        <f t="shared" ca="1" si="22"/>
        <v>1.1056818181608761E-3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input_399100!A$2</f>
        <v>399100</v>
      </c>
      <c r="B305" s="5">
        <v>1067</v>
      </c>
      <c r="C305" s="7" t="str">
        <f t="shared" ref="C305:C309" si="23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IFERROR(VLOOKUP(B305,input_399100!L:R,7,FALSE),VLOOKUP(tables_399100!C305,input_399100!A:H,8,FALSE))</f>
        <v>106095</v>
      </c>
      <c r="P305" s="46">
        <f t="shared" ref="P305:P309" ca="1" si="24">O305/SUM(O:O)</f>
        <v>1.0046874999809708E-2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input_399100!A$2</f>
        <v>399100</v>
      </c>
      <c r="B306" s="5">
        <v>1068</v>
      </c>
      <c r="C306" s="7" t="str">
        <f t="shared" si="23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IFERROR(VLOOKUP(B306,input_399100!L:R,7,FALSE),VLOOKUP(tables_399100!C306,input_399100!A:H,8,FALSE))</f>
        <v>2805</v>
      </c>
      <c r="P306" s="46">
        <f t="shared" ca="1" si="24"/>
        <v>2.6562499999496894E-4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input_399100!A$2</f>
        <v>399100</v>
      </c>
      <c r="B307" s="5">
        <v>1069</v>
      </c>
      <c r="C307" s="7" t="str">
        <f t="shared" si="23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IFERROR(VLOOKUP(B307,input_399100!L:R,7,FALSE),VLOOKUP(tables_399100!C307,input_399100!A:H,8,FALSE))</f>
        <v>11676</v>
      </c>
      <c r="P307" s="46">
        <f t="shared" ca="1" si="24"/>
        <v>1.1056818181608761E-3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input_399100!A$2</f>
        <v>399100</v>
      </c>
      <c r="B308" s="5">
        <v>1072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IFERROR(VLOOKUP(B308,input_399100!L:R,7,FALSE),VLOOKUP(tables_399100!C308,input_399100!A:H,8,FALSE))</f>
        <v>11676</v>
      </c>
      <c r="P308" s="46">
        <f t="shared" ca="1" si="24"/>
        <v>1.1056818181608761E-3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input_399100!A$2</f>
        <v>399100</v>
      </c>
      <c r="B309" s="5">
        <v>1074</v>
      </c>
      <c r="C309" s="7" t="str">
        <f t="shared" si="23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IFERROR(VLOOKUP(B309,input_399100!L:R,7,FALSE),VLOOKUP(tables_399100!C309,input_399100!A:H,8,FALSE))</f>
        <v>11676</v>
      </c>
      <c r="P309" s="46">
        <f t="shared" ca="1" si="24"/>
        <v>1.1056818181608761E-3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input_399100!A$2</f>
        <v>399100</v>
      </c>
      <c r="B310" s="82">
        <v>972</v>
      </c>
      <c r="C310" s="7" t="str">
        <f t="shared" ref="C310:C314" si="25">D310&amp;J310&amp;E310&amp;F310&amp;G310</f>
        <v>PremiumSSS5R3less</v>
      </c>
      <c r="D310" s="7" t="str">
        <f t="shared" si="14"/>
        <v>PremiumSSS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コーシー</v>
      </c>
      <c r="I310" s="7" t="str">
        <f>VLOOKUP(B310,[1]characters!$A:$J,10,FALSE)</f>
        <v>PremiumSSS</v>
      </c>
      <c r="J310" s="7">
        <f>VLOOKUP(B310,[1]characters!$A:$I,9,FALSE)</f>
        <v>5</v>
      </c>
      <c r="K310" s="7" t="str">
        <f>VLOOKUP(B310,[1]characters!$A:$H,8,FALSE)</f>
        <v>red</v>
      </c>
      <c r="L310" s="7" t="str">
        <f>VLOOKUP(B310,[1]characters!$A:$K,11,FALSE)</f>
        <v>attack</v>
      </c>
      <c r="M310" s="7" t="str">
        <f>VLOOKUP(B310,[1]characters!$A:$M,13,FALSE)</f>
        <v>academia</v>
      </c>
      <c r="N310" s="7" t="str">
        <f>VLOOKUP(B310,[1]characters!$A:$G,7,FALSE)</f>
        <v>男性</v>
      </c>
      <c r="O310" s="45">
        <f>IFERROR(VLOOKUP(B310,input_399100!L:R,7,FALSE),VLOOKUP(tables_399100!C310,input_399100!A:H,8,FALSE))</f>
        <v>105600</v>
      </c>
      <c r="P310" s="46">
        <f t="shared" ref="P310:P314" ca="1" si="26">O310/SUM(O:O)</f>
        <v>9.9999999998105962E-3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input_399100!A$2</f>
        <v>399100</v>
      </c>
      <c r="B311" s="82">
        <v>953</v>
      </c>
      <c r="C311" s="7" t="str">
        <f t="shared" si="25"/>
        <v>PremiumSSS5R3less</v>
      </c>
      <c r="D311" s="7" t="str">
        <f t="shared" si="14"/>
        <v>PremiumSSS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ハイゼンベルク</v>
      </c>
      <c r="I311" s="7" t="str">
        <f>VLOOKUP(B311,[1]characters!$A:$J,10,FALSE)</f>
        <v>PremiumSSS</v>
      </c>
      <c r="J311" s="7">
        <f>VLOOKUP(B311,[1]characters!$A:$I,9,FALSE)</f>
        <v>5</v>
      </c>
      <c r="K311" s="7" t="str">
        <f>VLOOKUP(B311,[1]characters!$A:$H,8,FALSE)</f>
        <v>green</v>
      </c>
      <c r="L311" s="7" t="str">
        <f>VLOOKUP(B311,[1]characters!$A:$K,11,FALSE)</f>
        <v>attack</v>
      </c>
      <c r="M311" s="7" t="str">
        <f>VLOOKUP(B311,[1]characters!$A:$M,13,FALSE)</f>
        <v>academia</v>
      </c>
      <c r="N311" s="7" t="str">
        <f>VLOOKUP(B311,[1]characters!$A:$G,7,FALSE)</f>
        <v>男性</v>
      </c>
      <c r="O311" s="45">
        <f>IFERROR(VLOOKUP(B311,input_399100!L:R,7,FALSE),VLOOKUP(tables_399100!C311,input_399100!A:H,8,FALSE))</f>
        <v>26400</v>
      </c>
      <c r="P311" s="46">
        <f t="shared" ca="1" si="26"/>
        <v>2.499999999952649E-3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input_399100!A$2</f>
        <v>399100</v>
      </c>
      <c r="B312" s="82">
        <v>880</v>
      </c>
      <c r="C312" s="7" t="str">
        <f t="shared" si="25"/>
        <v>PremiumSSS5R3less</v>
      </c>
      <c r="D312" s="7" t="str">
        <f t="shared" si="14"/>
        <v>PremiumSSS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ハーシェル</v>
      </c>
      <c r="I312" s="7" t="str">
        <f>VLOOKUP(B312,[1]characters!$A:$J,10,FALSE)</f>
        <v>PremiumSSS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heal</v>
      </c>
      <c r="M312" s="7" t="str">
        <f>VLOOKUP(B312,[1]characters!$A:$M,13,FALSE)</f>
        <v>academia</v>
      </c>
      <c r="N312" s="7" t="str">
        <f>VLOOKUP(B312,[1]characters!$A:$G,7,FALSE)</f>
        <v>男性</v>
      </c>
      <c r="O312" s="45">
        <f>IFERROR(VLOOKUP(B312,input_399100!L:R,7,FALSE),VLOOKUP(tables_399100!C312,input_399100!A:H,8,FALSE))</f>
        <v>26400</v>
      </c>
      <c r="P312" s="46">
        <f t="shared" ca="1" si="26"/>
        <v>2.499999999952649E-3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input_399100!A$2</f>
        <v>399100</v>
      </c>
      <c r="B313" s="82">
        <v>619</v>
      </c>
      <c r="C313" s="7" t="str">
        <f t="shared" si="25"/>
        <v>PremiumSSS4R3less</v>
      </c>
      <c r="D313" s="7" t="str">
        <f t="shared" si="14"/>
        <v>PremiumSSS</v>
      </c>
      <c r="E313" s="7" t="str">
        <f>IF(COUNTIF('R6追加前'!A:A,B313)=0,IF(OR(I313="PremiumSS",I313="PremiumSSw"),"R5only","R3less"),"")</f>
        <v>R3less</v>
      </c>
      <c r="F313" s="7" t="str">
        <f>IF(COUNTIF('R6開放'!A:A,B313)&gt;0,"R6release","")</f>
        <v/>
      </c>
      <c r="G313" s="7"/>
      <c r="H313" s="7" t="str">
        <f>VLOOKUP(B313,[1]characters!$A:$C,3,FALSE)</f>
        <v>メビウス</v>
      </c>
      <c r="I313" s="7" t="str">
        <f>VLOOKUP(B313,[1]characters!$A:$J,10,FALSE)</f>
        <v>PremiumSSS</v>
      </c>
      <c r="J313" s="7">
        <f>VLOOKUP(B313,[1]characters!$A:$I,9,FALSE)</f>
        <v>4</v>
      </c>
      <c r="K313" s="7" t="str">
        <f>VLOOKUP(B313,[1]characters!$A:$H,8,FALSE)</f>
        <v>blue</v>
      </c>
      <c r="L313" s="7" t="str">
        <f>VLOOKUP(B313,[1]characters!$A:$K,11,FALSE)</f>
        <v>balance</v>
      </c>
      <c r="M313" s="7" t="str">
        <f>VLOOKUP(B313,[1]characters!$A:$M,13,FALSE)</f>
        <v>human</v>
      </c>
      <c r="N313" s="7" t="str">
        <f>VLOOKUP(B313,[1]characters!$A:$G,7,FALSE)</f>
        <v>女性</v>
      </c>
      <c r="O313" s="45">
        <f>IFERROR(VLOOKUP(B313,input_399100!L:R,7,FALSE),VLOOKUP(tables_399100!C313,input_399100!A:H,8,FALSE))</f>
        <v>25080</v>
      </c>
      <c r="P313" s="46">
        <f t="shared" ca="1" si="26"/>
        <v>2.3749999999550164E-3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input_399100!A$2</f>
        <v>399100</v>
      </c>
      <c r="B314" s="82">
        <v>620</v>
      </c>
      <c r="C314" s="7" t="str">
        <f t="shared" si="25"/>
        <v>PremiumSSS5R3less</v>
      </c>
      <c r="D314" s="7" t="str">
        <f t="shared" si="14"/>
        <v>PremiumSSS</v>
      </c>
      <c r="E314" s="7" t="str">
        <f>IF(COUNTIF('R6追加前'!A:A,B314)=0,IF(OR(I314="PremiumSS",I314="PremiumSSw"),"R5only","R3less"),"")</f>
        <v>R3less</v>
      </c>
      <c r="F314" s="7" t="str">
        <f>IF(COUNTIF('R6開放'!A:A,B314)&gt;0,"R6release","")</f>
        <v/>
      </c>
      <c r="G314" s="7"/>
      <c r="H314" s="7" t="str">
        <f>VLOOKUP(B314,[1]characters!$A:$C,3,FALSE)</f>
        <v>奇跡の調和 メビウス</v>
      </c>
      <c r="I314" s="7" t="str">
        <f>VLOOKUP(B314,[1]characters!$A:$J,10,FALSE)</f>
        <v>PremiumSSS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balance</v>
      </c>
      <c r="M314" s="7" t="str">
        <f>VLOOKUP(B314,[1]characters!$A:$M,13,FALSE)</f>
        <v>human</v>
      </c>
      <c r="N314" s="7" t="str">
        <f>VLOOKUP(B314,[1]characters!$A:$G,7,FALSE)</f>
        <v>女性</v>
      </c>
      <c r="O314" s="45">
        <f>IFERROR(VLOOKUP(B314,input_399100!L:R,7,FALSE),VLOOKUP(tables_399100!C314,input_399100!A:H,8,FALSE))</f>
        <v>1320</v>
      </c>
      <c r="P314" s="46">
        <f t="shared" ca="1" si="26"/>
        <v>1.2499999999763246E-4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6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H15" sqref="H1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input_399100!A$2</f>
        <v>399100</v>
      </c>
      <c r="B2" s="5">
        <v>1067</v>
      </c>
      <c r="C2" s="7" t="str">
        <f t="shared" ref="C2:C6" si="0">D2&amp;J2&amp;E2&amp;F2&amp;G2</f>
        <v>Premium4R3less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ウシュムガル</v>
      </c>
      <c r="I2" s="7" t="str">
        <f>VLOOKUP(B2,[1]characters!$A:$J,10,FALSE)</f>
        <v>PremiumS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dragon</v>
      </c>
      <c r="N2" s="7" t="str">
        <f>VLOOKUP(B2,[1]characters!$A:$G,7,FALSE)</f>
        <v>男性</v>
      </c>
      <c r="O2" s="45">
        <f>400-O3</f>
        <v>380</v>
      </c>
      <c r="P2" s="46">
        <f>O2/SUM(O:O)</f>
        <v>0.38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input_399100!A$2</f>
        <v>399100</v>
      </c>
      <c r="B3" s="5">
        <v>1068</v>
      </c>
      <c r="C3" s="7" t="str">
        <f t="shared" si="0"/>
        <v>Premium5R3less</v>
      </c>
      <c r="D3" s="7" t="str">
        <f t="shared" ref="D3:D6" si="1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想母の羽龍 ウシュムガル</v>
      </c>
      <c r="I3" s="7" t="str">
        <f>VLOOKUP(B3,[1]characters!$A:$J,10,FALSE)</f>
        <v>PremiumS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balance</v>
      </c>
      <c r="M3" s="7" t="str">
        <f>VLOOKUP(B3,[1]characters!$A:$M,13,FALSE)</f>
        <v>dragon</v>
      </c>
      <c r="N3" s="7" t="str">
        <f>VLOOKUP(B3,[1]characters!$A:$G,7,FALSE)</f>
        <v>男性</v>
      </c>
      <c r="O3" s="45">
        <f>400*0.05</f>
        <v>20</v>
      </c>
      <c r="P3" s="46">
        <f>O3/SUM(O:O)</f>
        <v>0.02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input_399100!A$2</f>
        <v>399100</v>
      </c>
      <c r="B4" s="5">
        <v>1069</v>
      </c>
      <c r="C4" s="7" t="str">
        <f t="shared" si="0"/>
        <v>PremiumSS5R5only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イシュタル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technical</v>
      </c>
      <c r="M4" s="7" t="str">
        <f>VLOOKUP(B4,[1]characters!$A:$M,13,FALSE)</f>
        <v>god</v>
      </c>
      <c r="N4" s="7" t="str">
        <f>VLOOKUP(B4,[1]characters!$A:$G,7,FALSE)</f>
        <v>男性</v>
      </c>
      <c r="O4" s="45">
        <v>100</v>
      </c>
      <c r="P4" s="46">
        <f>O4/SUM(O:O)</f>
        <v>0.1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input_399100!A$2</f>
        <v>399100</v>
      </c>
      <c r="B5" s="5">
        <v>1072</v>
      </c>
      <c r="C5" s="7" t="str">
        <f t="shared" si="0"/>
        <v>PremiumSS5R5only</v>
      </c>
      <c r="D5" s="7" t="str">
        <f t="shared" si="1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エンキドゥ</v>
      </c>
      <c r="I5" s="7" t="str">
        <f>VLOOKUP(B5,[1]characters!$A:$J,10,FALSE)</f>
        <v>PremiumSSw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男性</v>
      </c>
      <c r="O5" s="45">
        <v>250</v>
      </c>
      <c r="P5" s="46">
        <f>O5/SUM(O:O)</f>
        <v>0.25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input_399100!A$2</f>
        <v>399100</v>
      </c>
      <c r="B6" s="5">
        <v>1074</v>
      </c>
      <c r="C6" s="7" t="str">
        <f t="shared" si="0"/>
        <v>PremiumSS5R5only</v>
      </c>
      <c r="D6" s="7" t="str">
        <f t="shared" si="1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マルドゥク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technical</v>
      </c>
      <c r="M6" s="7" t="str">
        <f>VLOOKUP(B6,[1]characters!$A:$M,13,FALSE)</f>
        <v>god</v>
      </c>
      <c r="N6" s="7" t="str">
        <f>VLOOKUP(B6,[1]characters!$A:$G,7,FALSE)</f>
        <v>男性</v>
      </c>
      <c r="O6" s="45">
        <v>250</v>
      </c>
      <c r="P6" s="46">
        <f>O6/SUM(O:O)</f>
        <v>0.25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/>
      <c r="B2" s="79"/>
      <c r="C2" s="80"/>
      <c r="D2" s="80"/>
      <c r="E2" s="80"/>
      <c r="F2" s="80"/>
      <c r="G2" s="1"/>
      <c r="H2" s="1"/>
      <c r="I2" s="1"/>
      <c r="J2" s="1"/>
      <c r="K2" s="1"/>
      <c r="L2" s="1"/>
      <c r="M2" s="1"/>
      <c r="N2" s="80"/>
      <c r="O2" s="80"/>
      <c r="P2" s="80"/>
      <c r="Q2" s="81"/>
    </row>
    <row r="3" spans="1:17" ht="21" customHeight="1" x14ac:dyDescent="0.15">
      <c r="A3" s="79"/>
      <c r="B3" s="79"/>
      <c r="G3" s="87"/>
      <c r="H3" s="87"/>
      <c r="I3" s="87"/>
      <c r="J3" s="87"/>
      <c r="K3" s="87"/>
      <c r="L3" s="87"/>
      <c r="M3" s="87"/>
      <c r="N3" s="80"/>
      <c r="O3" s="80"/>
      <c r="P3" s="80"/>
      <c r="Q3" s="81"/>
    </row>
    <row r="4" spans="1:17" ht="21" customHeight="1" x14ac:dyDescent="0.15">
      <c r="A4" s="79"/>
      <c r="B4" s="79"/>
      <c r="G4" s="87"/>
      <c r="H4" s="87"/>
      <c r="I4" s="87"/>
      <c r="J4" s="87"/>
      <c r="K4" s="87"/>
      <c r="L4" s="87"/>
      <c r="M4" s="87"/>
      <c r="N4" s="80"/>
      <c r="O4" s="80"/>
      <c r="P4" s="80"/>
      <c r="Q4" s="81"/>
    </row>
    <row r="5" spans="1:17" ht="21" customHeight="1" x14ac:dyDescent="0.15">
      <c r="A5" s="79"/>
      <c r="B5" s="79"/>
      <c r="G5" s="87"/>
      <c r="H5" s="87"/>
      <c r="I5" s="87"/>
      <c r="J5" s="87"/>
      <c r="K5" s="87"/>
      <c r="L5" s="87"/>
      <c r="M5" s="87"/>
      <c r="N5" s="80"/>
      <c r="O5" s="80"/>
      <c r="P5" s="80"/>
      <c r="Q5" s="81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42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input_399010</vt:lpstr>
      <vt:lpstr>tables_399010</vt:lpstr>
      <vt:lpstr>input_399100</vt:lpstr>
      <vt:lpstr>tables_399100</vt:lpstr>
      <vt:lpstr>tables_settle_399100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2016-09-02T12:22:25Z</dcterms:modified>
</cp:coreProperties>
</file>