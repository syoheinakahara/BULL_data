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8"/>
  </bookViews>
  <sheets>
    <sheet name="characters" sheetId="164" r:id="rId1"/>
    <sheet name="確率の考え方" sheetId="110" r:id="rId2"/>
    <sheet name="Sheet1" sheetId="107" r:id="rId3"/>
    <sheet name="output" sheetId="103" r:id="rId4"/>
    <sheet name="input_497101" sheetId="157" r:id="rId5"/>
    <sheet name="tables_497101" sheetId="158" r:id="rId6"/>
    <sheet name="input_497103" sheetId="153" r:id="rId7"/>
    <sheet name="tables_497103" sheetId="154" r:id="rId8"/>
    <sheet name="tables_settle_497103" sheetId="159" r:id="rId9"/>
    <sheet name="input_497104" sheetId="161" r:id="rId10"/>
    <sheet name="tables_497104" sheetId="160" r:id="rId11"/>
    <sheet name="input_497105" sheetId="163" r:id="rId12"/>
    <sheet name="tables_497105" sheetId="162" r:id="rId13"/>
    <sheet name="input_497100" sheetId="166" r:id="rId14"/>
    <sheet name="tables_497100" sheetId="165" r:id="rId15"/>
    <sheet name="gacha_bonus_tables" sheetId="98" r:id="rId16"/>
    <sheet name="R6追加前" sheetId="111" r:id="rId17"/>
    <sheet name="R6開放" sheetId="112" r:id="rId18"/>
  </sheets>
  <externalReferences>
    <externalReference r:id="rId19"/>
  </externalReferences>
  <definedNames>
    <definedName name="_xlnm._FilterDatabase" localSheetId="0" hidden="1">characters!$A$1:$W$1476</definedName>
    <definedName name="_xlnm._FilterDatabase" localSheetId="15" hidden="1">gacha_bonus_tables!$A$1:$F$1</definedName>
    <definedName name="_xlnm._FilterDatabase" localSheetId="14" hidden="1">tables_497100!$A$1:$V$294</definedName>
    <definedName name="_xlnm._FilterDatabase" localSheetId="5" hidden="1">tables_497101!$A$1:$V$294</definedName>
    <definedName name="_xlnm._FilterDatabase" localSheetId="7" hidden="1">tables_497103!$A$1:$V$294</definedName>
    <definedName name="_xlnm._FilterDatabase" localSheetId="10" hidden="1">tables_497104!$A$1:$V$294</definedName>
    <definedName name="_xlnm._FilterDatabase" localSheetId="12" hidden="1">tables_497105!$A$1:$V$294</definedName>
    <definedName name="_xlnm._FilterDatabase" localSheetId="8" hidden="1">tables_settle_497103!$A$1:$V$2</definedName>
    <definedName name="COLORS">[1]属性!$A$2:$A$6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1" i="166" l="1"/>
  <c r="M10" i="166"/>
  <c r="M9" i="166"/>
  <c r="M8" i="166"/>
  <c r="M7" i="166"/>
  <c r="M6" i="166"/>
  <c r="M5" i="166"/>
  <c r="M4" i="166"/>
  <c r="M11" i="163"/>
  <c r="M10" i="163"/>
  <c r="M9" i="163"/>
  <c r="M8" i="163"/>
  <c r="M7" i="163"/>
  <c r="M6" i="163"/>
  <c r="M5" i="163"/>
  <c r="M4" i="163"/>
  <c r="M11" i="161"/>
  <c r="M10" i="161"/>
  <c r="M9" i="161"/>
  <c r="M8" i="161"/>
  <c r="M7" i="161"/>
  <c r="M6" i="161"/>
  <c r="M5" i="161"/>
  <c r="M4" i="161"/>
  <c r="M11" i="153"/>
  <c r="M10" i="153"/>
  <c r="M9" i="153"/>
  <c r="M8" i="153"/>
  <c r="M7" i="153"/>
  <c r="M6" i="153"/>
  <c r="M5" i="153"/>
  <c r="M4" i="153"/>
  <c r="A2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F5" i="153"/>
  <c r="F6" i="153"/>
  <c r="A36" i="153"/>
  <c r="R6" i="153"/>
  <c r="O349" i="154"/>
  <c r="R8" i="153"/>
  <c r="O351" i="154"/>
  <c r="F346" i="154"/>
  <c r="F347" i="154"/>
  <c r="F348" i="154"/>
  <c r="F349" i="154"/>
  <c r="F350" i="154"/>
  <c r="F351" i="154"/>
  <c r="F352" i="154"/>
  <c r="M6" i="157"/>
  <c r="M7" i="157"/>
  <c r="A2" i="161"/>
  <c r="A2" i="160"/>
  <c r="I2" i="165"/>
  <c r="J2" i="165"/>
  <c r="D2" i="165"/>
  <c r="E2" i="165"/>
  <c r="F2" i="165"/>
  <c r="C2" i="165"/>
  <c r="I3" i="165"/>
  <c r="J3" i="165"/>
  <c r="D3" i="165"/>
  <c r="E3" i="165"/>
  <c r="F3" i="165"/>
  <c r="C3" i="165"/>
  <c r="I4" i="165"/>
  <c r="J4" i="165"/>
  <c r="D4" i="165"/>
  <c r="E4" i="165"/>
  <c r="F4" i="165"/>
  <c r="C4" i="165"/>
  <c r="I5" i="165"/>
  <c r="J5" i="165"/>
  <c r="D5" i="165"/>
  <c r="E5" i="165"/>
  <c r="F5" i="165"/>
  <c r="C5" i="165"/>
  <c r="I6" i="165"/>
  <c r="J6" i="165"/>
  <c r="D6" i="165"/>
  <c r="E6" i="165"/>
  <c r="F6" i="165"/>
  <c r="C6" i="165"/>
  <c r="I7" i="165"/>
  <c r="J7" i="165"/>
  <c r="D7" i="165"/>
  <c r="E7" i="165"/>
  <c r="F7" i="165"/>
  <c r="C7" i="165"/>
  <c r="I8" i="165"/>
  <c r="J8" i="165"/>
  <c r="D8" i="165"/>
  <c r="E8" i="165"/>
  <c r="F8" i="165"/>
  <c r="C8" i="165"/>
  <c r="I9" i="165"/>
  <c r="J9" i="165"/>
  <c r="D9" i="165"/>
  <c r="E9" i="165"/>
  <c r="F9" i="165"/>
  <c r="C9" i="165"/>
  <c r="I10" i="165"/>
  <c r="J10" i="165"/>
  <c r="D10" i="165"/>
  <c r="E10" i="165"/>
  <c r="F10" i="165"/>
  <c r="C10" i="165"/>
  <c r="I11" i="165"/>
  <c r="J11" i="165"/>
  <c r="D11" i="165"/>
  <c r="E11" i="165"/>
  <c r="F11" i="165"/>
  <c r="C11" i="165"/>
  <c r="I12" i="165"/>
  <c r="J12" i="165"/>
  <c r="D12" i="165"/>
  <c r="E12" i="165"/>
  <c r="F12" i="165"/>
  <c r="C12" i="165"/>
  <c r="I13" i="165"/>
  <c r="J13" i="165"/>
  <c r="D13" i="165"/>
  <c r="E13" i="165"/>
  <c r="F13" i="165"/>
  <c r="C13" i="165"/>
  <c r="I14" i="165"/>
  <c r="J14" i="165"/>
  <c r="D14" i="165"/>
  <c r="E14" i="165"/>
  <c r="F14" i="165"/>
  <c r="C14" i="165"/>
  <c r="I15" i="165"/>
  <c r="J15" i="165"/>
  <c r="D15" i="165"/>
  <c r="E15" i="165"/>
  <c r="F15" i="165"/>
  <c r="C15" i="165"/>
  <c r="I16" i="165"/>
  <c r="J16" i="165"/>
  <c r="D16" i="165"/>
  <c r="E16" i="165"/>
  <c r="F16" i="165"/>
  <c r="C16" i="165"/>
  <c r="I17" i="165"/>
  <c r="J17" i="165"/>
  <c r="D17" i="165"/>
  <c r="E17" i="165"/>
  <c r="F17" i="165"/>
  <c r="C17" i="165"/>
  <c r="I18" i="165"/>
  <c r="J18" i="165"/>
  <c r="D18" i="165"/>
  <c r="E18" i="165"/>
  <c r="F18" i="165"/>
  <c r="C18" i="165"/>
  <c r="I19" i="165"/>
  <c r="J19" i="165"/>
  <c r="D19" i="165"/>
  <c r="E19" i="165"/>
  <c r="F19" i="165"/>
  <c r="C19" i="165"/>
  <c r="I20" i="165"/>
  <c r="J20" i="165"/>
  <c r="D20" i="165"/>
  <c r="E20" i="165"/>
  <c r="F20" i="165"/>
  <c r="C20" i="165"/>
  <c r="I21" i="165"/>
  <c r="J21" i="165"/>
  <c r="D21" i="165"/>
  <c r="E21" i="165"/>
  <c r="F21" i="165"/>
  <c r="C21" i="165"/>
  <c r="I22" i="165"/>
  <c r="J22" i="165"/>
  <c r="D22" i="165"/>
  <c r="E22" i="165"/>
  <c r="F22" i="165"/>
  <c r="C22" i="165"/>
  <c r="I23" i="165"/>
  <c r="J23" i="165"/>
  <c r="D23" i="165"/>
  <c r="E23" i="165"/>
  <c r="F23" i="165"/>
  <c r="C23" i="165"/>
  <c r="I24" i="165"/>
  <c r="J24" i="165"/>
  <c r="D24" i="165"/>
  <c r="E24" i="165"/>
  <c r="F24" i="165"/>
  <c r="C24" i="165"/>
  <c r="I25" i="165"/>
  <c r="J25" i="165"/>
  <c r="D25" i="165"/>
  <c r="E25" i="165"/>
  <c r="F25" i="165"/>
  <c r="C25" i="165"/>
  <c r="I26" i="165"/>
  <c r="J26" i="165"/>
  <c r="D26" i="165"/>
  <c r="E26" i="165"/>
  <c r="F26" i="165"/>
  <c r="C26" i="165"/>
  <c r="I27" i="165"/>
  <c r="J27" i="165"/>
  <c r="D27" i="165"/>
  <c r="E27" i="165"/>
  <c r="F27" i="165"/>
  <c r="C27" i="165"/>
  <c r="I28" i="165"/>
  <c r="J28" i="165"/>
  <c r="D28" i="165"/>
  <c r="E28" i="165"/>
  <c r="F28" i="165"/>
  <c r="C28" i="165"/>
  <c r="I29" i="165"/>
  <c r="J29" i="165"/>
  <c r="D29" i="165"/>
  <c r="E29" i="165"/>
  <c r="F29" i="165"/>
  <c r="C29" i="165"/>
  <c r="I30" i="165"/>
  <c r="J30" i="165"/>
  <c r="D30" i="165"/>
  <c r="E30" i="165"/>
  <c r="F30" i="165"/>
  <c r="C30" i="165"/>
  <c r="I31" i="165"/>
  <c r="J31" i="165"/>
  <c r="D31" i="165"/>
  <c r="E31" i="165"/>
  <c r="F31" i="165"/>
  <c r="C31" i="165"/>
  <c r="I32" i="165"/>
  <c r="J32" i="165"/>
  <c r="D32" i="165"/>
  <c r="E32" i="165"/>
  <c r="F32" i="165"/>
  <c r="C32" i="165"/>
  <c r="I33" i="165"/>
  <c r="J33" i="165"/>
  <c r="D33" i="165"/>
  <c r="E33" i="165"/>
  <c r="F33" i="165"/>
  <c r="C33" i="165"/>
  <c r="I34" i="165"/>
  <c r="J34" i="165"/>
  <c r="D34" i="165"/>
  <c r="E34" i="165"/>
  <c r="F34" i="165"/>
  <c r="C34" i="165"/>
  <c r="I35" i="165"/>
  <c r="J35" i="165"/>
  <c r="D35" i="165"/>
  <c r="E35" i="165"/>
  <c r="F35" i="165"/>
  <c r="C35" i="165"/>
  <c r="I36" i="165"/>
  <c r="J36" i="165"/>
  <c r="D36" i="165"/>
  <c r="E36" i="165"/>
  <c r="F36" i="165"/>
  <c r="C36" i="165"/>
  <c r="I37" i="165"/>
  <c r="J37" i="165"/>
  <c r="D37" i="165"/>
  <c r="E37" i="165"/>
  <c r="F37" i="165"/>
  <c r="C37" i="165"/>
  <c r="I38" i="165"/>
  <c r="J38" i="165"/>
  <c r="D38" i="165"/>
  <c r="E38" i="165"/>
  <c r="F38" i="165"/>
  <c r="C38" i="165"/>
  <c r="I39" i="165"/>
  <c r="J39" i="165"/>
  <c r="D39" i="165"/>
  <c r="E39" i="165"/>
  <c r="F39" i="165"/>
  <c r="C39" i="165"/>
  <c r="I40" i="165"/>
  <c r="J40" i="165"/>
  <c r="D40" i="165"/>
  <c r="E40" i="165"/>
  <c r="F40" i="165"/>
  <c r="C40" i="165"/>
  <c r="I41" i="165"/>
  <c r="J41" i="165"/>
  <c r="D41" i="165"/>
  <c r="E41" i="165"/>
  <c r="F41" i="165"/>
  <c r="C41" i="165"/>
  <c r="I42" i="165"/>
  <c r="D42" i="165"/>
  <c r="J42" i="165"/>
  <c r="E42" i="165"/>
  <c r="F42" i="165"/>
  <c r="C42" i="165"/>
  <c r="I43" i="165"/>
  <c r="D43" i="165"/>
  <c r="J43" i="165"/>
  <c r="E43" i="165"/>
  <c r="F43" i="165"/>
  <c r="C43" i="165"/>
  <c r="I44" i="165"/>
  <c r="D44" i="165"/>
  <c r="J44" i="165"/>
  <c r="E44" i="165"/>
  <c r="F44" i="165"/>
  <c r="C44" i="165"/>
  <c r="I45" i="165"/>
  <c r="D45" i="165"/>
  <c r="J45" i="165"/>
  <c r="E45" i="165"/>
  <c r="F45" i="165"/>
  <c r="C45" i="165"/>
  <c r="I46" i="165"/>
  <c r="D46" i="165"/>
  <c r="J46" i="165"/>
  <c r="E46" i="165"/>
  <c r="F46" i="165"/>
  <c r="C46" i="165"/>
  <c r="I47" i="165"/>
  <c r="D47" i="165"/>
  <c r="J47" i="165"/>
  <c r="E47" i="165"/>
  <c r="F47" i="165"/>
  <c r="C47" i="165"/>
  <c r="I48" i="165"/>
  <c r="D48" i="165"/>
  <c r="J48" i="165"/>
  <c r="E48" i="165"/>
  <c r="F48" i="165"/>
  <c r="C48" i="165"/>
  <c r="I49" i="165"/>
  <c r="D49" i="165"/>
  <c r="J49" i="165"/>
  <c r="E49" i="165"/>
  <c r="F49" i="165"/>
  <c r="C49" i="165"/>
  <c r="I50" i="165"/>
  <c r="D50" i="165"/>
  <c r="J50" i="165"/>
  <c r="E50" i="165"/>
  <c r="F50" i="165"/>
  <c r="C50" i="165"/>
  <c r="I51" i="165"/>
  <c r="D51" i="165"/>
  <c r="J51" i="165"/>
  <c r="E51" i="165"/>
  <c r="F51" i="165"/>
  <c r="C51" i="165"/>
  <c r="I52" i="165"/>
  <c r="D52" i="165"/>
  <c r="J52" i="165"/>
  <c r="E52" i="165"/>
  <c r="F52" i="165"/>
  <c r="C52" i="165"/>
  <c r="I53" i="165"/>
  <c r="D53" i="165"/>
  <c r="J53" i="165"/>
  <c r="E53" i="165"/>
  <c r="F53" i="165"/>
  <c r="C53" i="165"/>
  <c r="I54" i="165"/>
  <c r="D54" i="165"/>
  <c r="J54" i="165"/>
  <c r="E54" i="165"/>
  <c r="F54" i="165"/>
  <c r="C54" i="165"/>
  <c r="I55" i="165"/>
  <c r="D55" i="165"/>
  <c r="J55" i="165"/>
  <c r="E55" i="165"/>
  <c r="F55" i="165"/>
  <c r="C55" i="165"/>
  <c r="I56" i="165"/>
  <c r="D56" i="165"/>
  <c r="J56" i="165"/>
  <c r="E56" i="165"/>
  <c r="F56" i="165"/>
  <c r="C56" i="165"/>
  <c r="I57" i="165"/>
  <c r="D57" i="165"/>
  <c r="J57" i="165"/>
  <c r="E57" i="165"/>
  <c r="F57" i="165"/>
  <c r="C57" i="165"/>
  <c r="I58" i="165"/>
  <c r="D58" i="165"/>
  <c r="J58" i="165"/>
  <c r="E58" i="165"/>
  <c r="F58" i="165"/>
  <c r="C58" i="165"/>
  <c r="I59" i="165"/>
  <c r="D59" i="165"/>
  <c r="J59" i="165"/>
  <c r="E59" i="165"/>
  <c r="F59" i="165"/>
  <c r="C59" i="165"/>
  <c r="I60" i="165"/>
  <c r="D60" i="165"/>
  <c r="J60" i="165"/>
  <c r="E60" i="165"/>
  <c r="F60" i="165"/>
  <c r="C60" i="165"/>
  <c r="I61" i="165"/>
  <c r="D61" i="165"/>
  <c r="J61" i="165"/>
  <c r="E61" i="165"/>
  <c r="F61" i="165"/>
  <c r="C61" i="165"/>
  <c r="I62" i="165"/>
  <c r="D62" i="165"/>
  <c r="J62" i="165"/>
  <c r="E62" i="165"/>
  <c r="F62" i="165"/>
  <c r="C62" i="165"/>
  <c r="I63" i="165"/>
  <c r="D63" i="165"/>
  <c r="J63" i="165"/>
  <c r="E63" i="165"/>
  <c r="F63" i="165"/>
  <c r="C63" i="165"/>
  <c r="I64" i="165"/>
  <c r="D64" i="165"/>
  <c r="J64" i="165"/>
  <c r="E64" i="165"/>
  <c r="F64" i="165"/>
  <c r="C64" i="165"/>
  <c r="I65" i="165"/>
  <c r="D65" i="165"/>
  <c r="J65" i="165"/>
  <c r="E65" i="165"/>
  <c r="F65" i="165"/>
  <c r="C65" i="165"/>
  <c r="I66" i="165"/>
  <c r="D66" i="165"/>
  <c r="J66" i="165"/>
  <c r="E66" i="165"/>
  <c r="F66" i="165"/>
  <c r="C66" i="165"/>
  <c r="I67" i="165"/>
  <c r="D67" i="165"/>
  <c r="J67" i="165"/>
  <c r="E67" i="165"/>
  <c r="F67" i="165"/>
  <c r="C67" i="165"/>
  <c r="I68" i="165"/>
  <c r="D68" i="165"/>
  <c r="J68" i="165"/>
  <c r="E68" i="165"/>
  <c r="F68" i="165"/>
  <c r="C68" i="165"/>
  <c r="I69" i="165"/>
  <c r="D69" i="165"/>
  <c r="J69" i="165"/>
  <c r="E69" i="165"/>
  <c r="F69" i="165"/>
  <c r="C69" i="165"/>
  <c r="I70" i="165"/>
  <c r="D70" i="165"/>
  <c r="J70" i="165"/>
  <c r="E70" i="165"/>
  <c r="F70" i="165"/>
  <c r="C70" i="165"/>
  <c r="I71" i="165"/>
  <c r="D71" i="165"/>
  <c r="J71" i="165"/>
  <c r="E71" i="165"/>
  <c r="F71" i="165"/>
  <c r="C71" i="165"/>
  <c r="I72" i="165"/>
  <c r="D72" i="165"/>
  <c r="J72" i="165"/>
  <c r="E72" i="165"/>
  <c r="F72" i="165"/>
  <c r="C72" i="165"/>
  <c r="I73" i="165"/>
  <c r="D73" i="165"/>
  <c r="J73" i="165"/>
  <c r="E73" i="165"/>
  <c r="F73" i="165"/>
  <c r="C73" i="165"/>
  <c r="I74" i="165"/>
  <c r="D74" i="165"/>
  <c r="J74" i="165"/>
  <c r="E74" i="165"/>
  <c r="F74" i="165"/>
  <c r="C74" i="165"/>
  <c r="I75" i="165"/>
  <c r="D75" i="165"/>
  <c r="J75" i="165"/>
  <c r="E75" i="165"/>
  <c r="F75" i="165"/>
  <c r="C75" i="165"/>
  <c r="I76" i="165"/>
  <c r="D76" i="165"/>
  <c r="J76" i="165"/>
  <c r="E76" i="165"/>
  <c r="F76" i="165"/>
  <c r="C76" i="165"/>
  <c r="I77" i="165"/>
  <c r="D77" i="165"/>
  <c r="J77" i="165"/>
  <c r="E77" i="165"/>
  <c r="F77" i="165"/>
  <c r="C77" i="165"/>
  <c r="I78" i="165"/>
  <c r="D78" i="165"/>
  <c r="J78" i="165"/>
  <c r="E78" i="165"/>
  <c r="F78" i="165"/>
  <c r="C78" i="165"/>
  <c r="I79" i="165"/>
  <c r="D79" i="165"/>
  <c r="J79" i="165"/>
  <c r="E79" i="165"/>
  <c r="F79" i="165"/>
  <c r="C79" i="165"/>
  <c r="I80" i="165"/>
  <c r="D80" i="165"/>
  <c r="J80" i="165"/>
  <c r="E80" i="165"/>
  <c r="F80" i="165"/>
  <c r="C80" i="165"/>
  <c r="I81" i="165"/>
  <c r="D81" i="165"/>
  <c r="J81" i="165"/>
  <c r="E81" i="165"/>
  <c r="F81" i="165"/>
  <c r="C81" i="165"/>
  <c r="I82" i="165"/>
  <c r="D82" i="165"/>
  <c r="J82" i="165"/>
  <c r="E82" i="165"/>
  <c r="F82" i="165"/>
  <c r="C82" i="165"/>
  <c r="I83" i="165"/>
  <c r="D83" i="165"/>
  <c r="J83" i="165"/>
  <c r="E83" i="165"/>
  <c r="F83" i="165"/>
  <c r="C83" i="165"/>
  <c r="I84" i="165"/>
  <c r="D84" i="165"/>
  <c r="J84" i="165"/>
  <c r="E84" i="165"/>
  <c r="F84" i="165"/>
  <c r="C84" i="165"/>
  <c r="I85" i="165"/>
  <c r="D85" i="165"/>
  <c r="J85" i="165"/>
  <c r="E85" i="165"/>
  <c r="F85" i="165"/>
  <c r="C85" i="165"/>
  <c r="I86" i="165"/>
  <c r="D86" i="165"/>
  <c r="J86" i="165"/>
  <c r="E86" i="165"/>
  <c r="F86" i="165"/>
  <c r="C86" i="165"/>
  <c r="I87" i="165"/>
  <c r="D87" i="165"/>
  <c r="J87" i="165"/>
  <c r="E87" i="165"/>
  <c r="F87" i="165"/>
  <c r="C87" i="165"/>
  <c r="I88" i="165"/>
  <c r="D88" i="165"/>
  <c r="J88" i="165"/>
  <c r="E88" i="165"/>
  <c r="F88" i="165"/>
  <c r="C88" i="165"/>
  <c r="I89" i="165"/>
  <c r="D89" i="165"/>
  <c r="J89" i="165"/>
  <c r="E89" i="165"/>
  <c r="F89" i="165"/>
  <c r="C89" i="165"/>
  <c r="I90" i="165"/>
  <c r="D90" i="165"/>
  <c r="J90" i="165"/>
  <c r="E90" i="165"/>
  <c r="F90" i="165"/>
  <c r="C90" i="165"/>
  <c r="I91" i="165"/>
  <c r="D91" i="165"/>
  <c r="J91" i="165"/>
  <c r="E91" i="165"/>
  <c r="F91" i="165"/>
  <c r="C91" i="165"/>
  <c r="I92" i="165"/>
  <c r="D92" i="165"/>
  <c r="J92" i="165"/>
  <c r="E92" i="165"/>
  <c r="F92" i="165"/>
  <c r="C92" i="165"/>
  <c r="I93" i="165"/>
  <c r="D93" i="165"/>
  <c r="J93" i="165"/>
  <c r="E93" i="165"/>
  <c r="F93" i="165"/>
  <c r="C93" i="165"/>
  <c r="I94" i="165"/>
  <c r="D94" i="165"/>
  <c r="J94" i="165"/>
  <c r="E94" i="165"/>
  <c r="F94" i="165"/>
  <c r="C94" i="165"/>
  <c r="I95" i="165"/>
  <c r="D95" i="165"/>
  <c r="J95" i="165"/>
  <c r="E95" i="165"/>
  <c r="F95" i="165"/>
  <c r="C95" i="165"/>
  <c r="I96" i="165"/>
  <c r="D96" i="165"/>
  <c r="J96" i="165"/>
  <c r="E96" i="165"/>
  <c r="F96" i="165"/>
  <c r="C96" i="165"/>
  <c r="I97" i="165"/>
  <c r="D97" i="165"/>
  <c r="J97" i="165"/>
  <c r="E97" i="165"/>
  <c r="F97" i="165"/>
  <c r="C97" i="165"/>
  <c r="I98" i="165"/>
  <c r="D98" i="165"/>
  <c r="J98" i="165"/>
  <c r="E98" i="165"/>
  <c r="F98" i="165"/>
  <c r="C98" i="165"/>
  <c r="I99" i="165"/>
  <c r="D99" i="165"/>
  <c r="J99" i="165"/>
  <c r="E99" i="165"/>
  <c r="F99" i="165"/>
  <c r="C99" i="165"/>
  <c r="I100" i="165"/>
  <c r="D100" i="165"/>
  <c r="J100" i="165"/>
  <c r="E100" i="165"/>
  <c r="F100" i="165"/>
  <c r="C100" i="165"/>
  <c r="I101" i="165"/>
  <c r="D101" i="165"/>
  <c r="J101" i="165"/>
  <c r="E101" i="165"/>
  <c r="F101" i="165"/>
  <c r="C101" i="165"/>
  <c r="I102" i="165"/>
  <c r="D102" i="165"/>
  <c r="J102" i="165"/>
  <c r="E102" i="165"/>
  <c r="F102" i="165"/>
  <c r="C102" i="165"/>
  <c r="I103" i="165"/>
  <c r="D103" i="165"/>
  <c r="J103" i="165"/>
  <c r="E103" i="165"/>
  <c r="F103" i="165"/>
  <c r="C103" i="165"/>
  <c r="I104" i="165"/>
  <c r="D104" i="165"/>
  <c r="J104" i="165"/>
  <c r="E104" i="165"/>
  <c r="F104" i="165"/>
  <c r="C104" i="165"/>
  <c r="I105" i="165"/>
  <c r="D105" i="165"/>
  <c r="J105" i="165"/>
  <c r="E105" i="165"/>
  <c r="F105" i="165"/>
  <c r="C105" i="165"/>
  <c r="I106" i="165"/>
  <c r="D106" i="165"/>
  <c r="J106" i="165"/>
  <c r="E106" i="165"/>
  <c r="F106" i="165"/>
  <c r="C106" i="165"/>
  <c r="I107" i="165"/>
  <c r="D107" i="165"/>
  <c r="J107" i="165"/>
  <c r="E107" i="165"/>
  <c r="F107" i="165"/>
  <c r="C107" i="165"/>
  <c r="I108" i="165"/>
  <c r="D108" i="165"/>
  <c r="J108" i="165"/>
  <c r="E108" i="165"/>
  <c r="F108" i="165"/>
  <c r="C108" i="165"/>
  <c r="I109" i="165"/>
  <c r="D109" i="165"/>
  <c r="J109" i="165"/>
  <c r="E109" i="165"/>
  <c r="F109" i="165"/>
  <c r="C109" i="165"/>
  <c r="I110" i="165"/>
  <c r="D110" i="165"/>
  <c r="J110" i="165"/>
  <c r="E110" i="165"/>
  <c r="F110" i="165"/>
  <c r="C110" i="165"/>
  <c r="I111" i="165"/>
  <c r="D111" i="165"/>
  <c r="J111" i="165"/>
  <c r="E111" i="165"/>
  <c r="F111" i="165"/>
  <c r="C111" i="165"/>
  <c r="I112" i="165"/>
  <c r="D112" i="165"/>
  <c r="J112" i="165"/>
  <c r="E112" i="165"/>
  <c r="F112" i="165"/>
  <c r="C112" i="165"/>
  <c r="I113" i="165"/>
  <c r="D113" i="165"/>
  <c r="J113" i="165"/>
  <c r="E113" i="165"/>
  <c r="F113" i="165"/>
  <c r="C113" i="165"/>
  <c r="I114" i="165"/>
  <c r="D114" i="165"/>
  <c r="J114" i="165"/>
  <c r="E114" i="165"/>
  <c r="F114" i="165"/>
  <c r="C114" i="165"/>
  <c r="I115" i="165"/>
  <c r="D115" i="165"/>
  <c r="J115" i="165"/>
  <c r="E115" i="165"/>
  <c r="F115" i="165"/>
  <c r="C115" i="165"/>
  <c r="I116" i="165"/>
  <c r="D116" i="165"/>
  <c r="J116" i="165"/>
  <c r="E116" i="165"/>
  <c r="F116" i="165"/>
  <c r="C116" i="165"/>
  <c r="I117" i="165"/>
  <c r="D117" i="165"/>
  <c r="J117" i="165"/>
  <c r="E117" i="165"/>
  <c r="F117" i="165"/>
  <c r="C117" i="165"/>
  <c r="I118" i="165"/>
  <c r="D118" i="165"/>
  <c r="J118" i="165"/>
  <c r="E118" i="165"/>
  <c r="F118" i="165"/>
  <c r="C118" i="165"/>
  <c r="I119" i="165"/>
  <c r="D119" i="165"/>
  <c r="J119" i="165"/>
  <c r="E119" i="165"/>
  <c r="F119" i="165"/>
  <c r="C119" i="165"/>
  <c r="I120" i="165"/>
  <c r="D120" i="165"/>
  <c r="J120" i="165"/>
  <c r="E120" i="165"/>
  <c r="F120" i="165"/>
  <c r="C120" i="165"/>
  <c r="I121" i="165"/>
  <c r="D121" i="165"/>
  <c r="J121" i="165"/>
  <c r="E121" i="165"/>
  <c r="F121" i="165"/>
  <c r="C121" i="165"/>
  <c r="I122" i="165"/>
  <c r="D122" i="165"/>
  <c r="J122" i="165"/>
  <c r="E122" i="165"/>
  <c r="F122" i="165"/>
  <c r="C122" i="165"/>
  <c r="I123" i="165"/>
  <c r="D123" i="165"/>
  <c r="J123" i="165"/>
  <c r="E123" i="165"/>
  <c r="F123" i="165"/>
  <c r="C123" i="165"/>
  <c r="I124" i="165"/>
  <c r="D124" i="165"/>
  <c r="J124" i="165"/>
  <c r="E124" i="165"/>
  <c r="F124" i="165"/>
  <c r="C124" i="165"/>
  <c r="I125" i="165"/>
  <c r="D125" i="165"/>
  <c r="J125" i="165"/>
  <c r="E125" i="165"/>
  <c r="F125" i="165"/>
  <c r="C125" i="165"/>
  <c r="I126" i="165"/>
  <c r="D126" i="165"/>
  <c r="J126" i="165"/>
  <c r="E126" i="165"/>
  <c r="F126" i="165"/>
  <c r="C126" i="165"/>
  <c r="I127" i="165"/>
  <c r="D127" i="165"/>
  <c r="J127" i="165"/>
  <c r="E127" i="165"/>
  <c r="F127" i="165"/>
  <c r="C127" i="165"/>
  <c r="I128" i="165"/>
  <c r="D128" i="165"/>
  <c r="J128" i="165"/>
  <c r="E128" i="165"/>
  <c r="F128" i="165"/>
  <c r="C128" i="165"/>
  <c r="I129" i="165"/>
  <c r="D129" i="165"/>
  <c r="J129" i="165"/>
  <c r="E129" i="165"/>
  <c r="F129" i="165"/>
  <c r="C129" i="165"/>
  <c r="I130" i="165"/>
  <c r="D130" i="165"/>
  <c r="J130" i="165"/>
  <c r="E130" i="165"/>
  <c r="F130" i="165"/>
  <c r="C130" i="165"/>
  <c r="I131" i="165"/>
  <c r="D131" i="165"/>
  <c r="J131" i="165"/>
  <c r="E131" i="165"/>
  <c r="F131" i="165"/>
  <c r="C131" i="165"/>
  <c r="I132" i="165"/>
  <c r="D132" i="165"/>
  <c r="J132" i="165"/>
  <c r="E132" i="165"/>
  <c r="F132" i="165"/>
  <c r="C132" i="165"/>
  <c r="I133" i="165"/>
  <c r="D133" i="165"/>
  <c r="J133" i="165"/>
  <c r="E133" i="165"/>
  <c r="F133" i="165"/>
  <c r="C133" i="165"/>
  <c r="I134" i="165"/>
  <c r="D134" i="165"/>
  <c r="J134" i="165"/>
  <c r="E134" i="165"/>
  <c r="F134" i="165"/>
  <c r="C134" i="165"/>
  <c r="I135" i="165"/>
  <c r="D135" i="165"/>
  <c r="J135" i="165"/>
  <c r="E135" i="165"/>
  <c r="F135" i="165"/>
  <c r="C135" i="165"/>
  <c r="I136" i="165"/>
  <c r="D136" i="165"/>
  <c r="J136" i="165"/>
  <c r="E136" i="165"/>
  <c r="F136" i="165"/>
  <c r="C136" i="165"/>
  <c r="I137" i="165"/>
  <c r="D137" i="165"/>
  <c r="J137" i="165"/>
  <c r="E137" i="165"/>
  <c r="F137" i="165"/>
  <c r="C137" i="165"/>
  <c r="I138" i="165"/>
  <c r="D138" i="165"/>
  <c r="J138" i="165"/>
  <c r="E138" i="165"/>
  <c r="F138" i="165"/>
  <c r="C138" i="165"/>
  <c r="I139" i="165"/>
  <c r="D139" i="165"/>
  <c r="J139" i="165"/>
  <c r="E139" i="165"/>
  <c r="F139" i="165"/>
  <c r="C139" i="165"/>
  <c r="I140" i="165"/>
  <c r="D140" i="165"/>
  <c r="J140" i="165"/>
  <c r="E140" i="165"/>
  <c r="F140" i="165"/>
  <c r="C140" i="165"/>
  <c r="I141" i="165"/>
  <c r="D141" i="165"/>
  <c r="J141" i="165"/>
  <c r="E141" i="165"/>
  <c r="F141" i="165"/>
  <c r="C141" i="165"/>
  <c r="I142" i="165"/>
  <c r="D142" i="165"/>
  <c r="J142" i="165"/>
  <c r="E142" i="165"/>
  <c r="F142" i="165"/>
  <c r="C142" i="165"/>
  <c r="I143" i="165"/>
  <c r="D143" i="165"/>
  <c r="J143" i="165"/>
  <c r="E143" i="165"/>
  <c r="F143" i="165"/>
  <c r="C143" i="165"/>
  <c r="I144" i="165"/>
  <c r="D144" i="165"/>
  <c r="J144" i="165"/>
  <c r="E144" i="165"/>
  <c r="F144" i="165"/>
  <c r="C144" i="165"/>
  <c r="I145" i="165"/>
  <c r="D145" i="165"/>
  <c r="J145" i="165"/>
  <c r="E145" i="165"/>
  <c r="F145" i="165"/>
  <c r="C145" i="165"/>
  <c r="I146" i="165"/>
  <c r="D146" i="165"/>
  <c r="J146" i="165"/>
  <c r="E146" i="165"/>
  <c r="F146" i="165"/>
  <c r="C146" i="165"/>
  <c r="I147" i="165"/>
  <c r="D147" i="165"/>
  <c r="J147" i="165"/>
  <c r="E147" i="165"/>
  <c r="F147" i="165"/>
  <c r="C147" i="165"/>
  <c r="I148" i="165"/>
  <c r="D148" i="165"/>
  <c r="J148" i="165"/>
  <c r="E148" i="165"/>
  <c r="F148" i="165"/>
  <c r="C148" i="165"/>
  <c r="I149" i="165"/>
  <c r="D149" i="165"/>
  <c r="J149" i="165"/>
  <c r="E149" i="165"/>
  <c r="F149" i="165"/>
  <c r="C149" i="165"/>
  <c r="I150" i="165"/>
  <c r="D150" i="165"/>
  <c r="J150" i="165"/>
  <c r="E150" i="165"/>
  <c r="F150" i="165"/>
  <c r="C150" i="165"/>
  <c r="I151" i="165"/>
  <c r="D151" i="165"/>
  <c r="J151" i="165"/>
  <c r="E151" i="165"/>
  <c r="F151" i="165"/>
  <c r="C151" i="165"/>
  <c r="I152" i="165"/>
  <c r="D152" i="165"/>
  <c r="J152" i="165"/>
  <c r="E152" i="165"/>
  <c r="F152" i="165"/>
  <c r="C152" i="165"/>
  <c r="I153" i="165"/>
  <c r="D153" i="165"/>
  <c r="J153" i="165"/>
  <c r="E153" i="165"/>
  <c r="F153" i="165"/>
  <c r="C153" i="165"/>
  <c r="I154" i="165"/>
  <c r="D154" i="165"/>
  <c r="J154" i="165"/>
  <c r="E154" i="165"/>
  <c r="F154" i="165"/>
  <c r="C154" i="165"/>
  <c r="I155" i="165"/>
  <c r="D155" i="165"/>
  <c r="J155" i="165"/>
  <c r="E155" i="165"/>
  <c r="F155" i="165"/>
  <c r="C155" i="165"/>
  <c r="I156" i="165"/>
  <c r="D156" i="165"/>
  <c r="J156" i="165"/>
  <c r="E156" i="165"/>
  <c r="F156" i="165"/>
  <c r="C156" i="165"/>
  <c r="I157" i="165"/>
  <c r="D157" i="165"/>
  <c r="J157" i="165"/>
  <c r="E157" i="165"/>
  <c r="F157" i="165"/>
  <c r="C157" i="165"/>
  <c r="I158" i="165"/>
  <c r="D158" i="165"/>
  <c r="J158" i="165"/>
  <c r="E158" i="165"/>
  <c r="F158" i="165"/>
  <c r="C158" i="165"/>
  <c r="I159" i="165"/>
  <c r="D159" i="165"/>
  <c r="J159" i="165"/>
  <c r="E159" i="165"/>
  <c r="F159" i="165"/>
  <c r="C159" i="165"/>
  <c r="I160" i="165"/>
  <c r="D160" i="165"/>
  <c r="J160" i="165"/>
  <c r="E160" i="165"/>
  <c r="F160" i="165"/>
  <c r="C160" i="165"/>
  <c r="I161" i="165"/>
  <c r="D161" i="165"/>
  <c r="J161" i="165"/>
  <c r="E161" i="165"/>
  <c r="F161" i="165"/>
  <c r="C161" i="165"/>
  <c r="I162" i="165"/>
  <c r="D162" i="165"/>
  <c r="J162" i="165"/>
  <c r="E162" i="165"/>
  <c r="F162" i="165"/>
  <c r="C162" i="165"/>
  <c r="I163" i="165"/>
  <c r="D163" i="165"/>
  <c r="J163" i="165"/>
  <c r="E163" i="165"/>
  <c r="F163" i="165"/>
  <c r="C163" i="165"/>
  <c r="I164" i="165"/>
  <c r="D164" i="165"/>
  <c r="J164" i="165"/>
  <c r="E164" i="165"/>
  <c r="F164" i="165"/>
  <c r="C164" i="165"/>
  <c r="I165" i="165"/>
  <c r="D165" i="165"/>
  <c r="J165" i="165"/>
  <c r="E165" i="165"/>
  <c r="F165" i="165"/>
  <c r="C165" i="165"/>
  <c r="I166" i="165"/>
  <c r="D166" i="165"/>
  <c r="J166" i="165"/>
  <c r="E166" i="165"/>
  <c r="F166" i="165"/>
  <c r="C166" i="165"/>
  <c r="I167" i="165"/>
  <c r="D167" i="165"/>
  <c r="J167" i="165"/>
  <c r="E167" i="165"/>
  <c r="F167" i="165"/>
  <c r="C167" i="165"/>
  <c r="I168" i="165"/>
  <c r="D168" i="165"/>
  <c r="J168" i="165"/>
  <c r="E168" i="165"/>
  <c r="F168" i="165"/>
  <c r="C168" i="165"/>
  <c r="I169" i="165"/>
  <c r="D169" i="165"/>
  <c r="J169" i="165"/>
  <c r="E169" i="165"/>
  <c r="F169" i="165"/>
  <c r="C169" i="165"/>
  <c r="I170" i="165"/>
  <c r="D170" i="165"/>
  <c r="J170" i="165"/>
  <c r="E170" i="165"/>
  <c r="F170" i="165"/>
  <c r="C170" i="165"/>
  <c r="I171" i="165"/>
  <c r="D171" i="165"/>
  <c r="J171" i="165"/>
  <c r="E171" i="165"/>
  <c r="F171" i="165"/>
  <c r="C171" i="165"/>
  <c r="I172" i="165"/>
  <c r="D172" i="165"/>
  <c r="J172" i="165"/>
  <c r="E172" i="165"/>
  <c r="F172" i="165"/>
  <c r="C172" i="165"/>
  <c r="I173" i="165"/>
  <c r="D173" i="165"/>
  <c r="J173" i="165"/>
  <c r="E173" i="165"/>
  <c r="F173" i="165"/>
  <c r="C173" i="165"/>
  <c r="I174" i="165"/>
  <c r="D174" i="165"/>
  <c r="J174" i="165"/>
  <c r="E174" i="165"/>
  <c r="F174" i="165"/>
  <c r="C174" i="165"/>
  <c r="I175" i="165"/>
  <c r="D175" i="165"/>
  <c r="J175" i="165"/>
  <c r="E175" i="165"/>
  <c r="F175" i="165"/>
  <c r="C175" i="165"/>
  <c r="I176" i="165"/>
  <c r="D176" i="165"/>
  <c r="J176" i="165"/>
  <c r="E176" i="165"/>
  <c r="F176" i="165"/>
  <c r="C176" i="165"/>
  <c r="I177" i="165"/>
  <c r="D177" i="165"/>
  <c r="J177" i="165"/>
  <c r="E177" i="165"/>
  <c r="F177" i="165"/>
  <c r="C177" i="165"/>
  <c r="I178" i="165"/>
  <c r="D178" i="165"/>
  <c r="J178" i="165"/>
  <c r="E178" i="165"/>
  <c r="F178" i="165"/>
  <c r="C178" i="165"/>
  <c r="I179" i="165"/>
  <c r="D179" i="165"/>
  <c r="J179" i="165"/>
  <c r="E179" i="165"/>
  <c r="F179" i="165"/>
  <c r="C179" i="165"/>
  <c r="I180" i="165"/>
  <c r="D180" i="165"/>
  <c r="J180" i="165"/>
  <c r="E180" i="165"/>
  <c r="F180" i="165"/>
  <c r="C180" i="165"/>
  <c r="I181" i="165"/>
  <c r="D181" i="165"/>
  <c r="J181" i="165"/>
  <c r="E181" i="165"/>
  <c r="F181" i="165"/>
  <c r="C181" i="165"/>
  <c r="I182" i="165"/>
  <c r="D182" i="165"/>
  <c r="J182" i="165"/>
  <c r="E182" i="165"/>
  <c r="F182" i="165"/>
  <c r="C182" i="165"/>
  <c r="I183" i="165"/>
  <c r="D183" i="165"/>
  <c r="J183" i="165"/>
  <c r="E183" i="165"/>
  <c r="F183" i="165"/>
  <c r="C183" i="165"/>
  <c r="I184" i="165"/>
  <c r="D184" i="165"/>
  <c r="J184" i="165"/>
  <c r="E184" i="165"/>
  <c r="F184" i="165"/>
  <c r="C184" i="165"/>
  <c r="I185" i="165"/>
  <c r="D185" i="165"/>
  <c r="J185" i="165"/>
  <c r="E185" i="165"/>
  <c r="F185" i="165"/>
  <c r="C185" i="165"/>
  <c r="I186" i="165"/>
  <c r="D186" i="165"/>
  <c r="J186" i="165"/>
  <c r="E186" i="165"/>
  <c r="F186" i="165"/>
  <c r="C186" i="165"/>
  <c r="I187" i="165"/>
  <c r="D187" i="165"/>
  <c r="J187" i="165"/>
  <c r="E187" i="165"/>
  <c r="F187" i="165"/>
  <c r="C187" i="165"/>
  <c r="I188" i="165"/>
  <c r="D188" i="165"/>
  <c r="J188" i="165"/>
  <c r="E188" i="165"/>
  <c r="F188" i="165"/>
  <c r="C188" i="165"/>
  <c r="I189" i="165"/>
  <c r="D189" i="165"/>
  <c r="J189" i="165"/>
  <c r="E189" i="165"/>
  <c r="F189" i="165"/>
  <c r="C189" i="165"/>
  <c r="I190" i="165"/>
  <c r="D190" i="165"/>
  <c r="J190" i="165"/>
  <c r="E190" i="165"/>
  <c r="F190" i="165"/>
  <c r="C190" i="165"/>
  <c r="I191" i="165"/>
  <c r="D191" i="165"/>
  <c r="J191" i="165"/>
  <c r="E191" i="165"/>
  <c r="F191" i="165"/>
  <c r="C191" i="165"/>
  <c r="I192" i="165"/>
  <c r="D192" i="165"/>
  <c r="J192" i="165"/>
  <c r="E192" i="165"/>
  <c r="F192" i="165"/>
  <c r="C192" i="165"/>
  <c r="I193" i="165"/>
  <c r="D193" i="165"/>
  <c r="J193" i="165"/>
  <c r="E193" i="165"/>
  <c r="F193" i="165"/>
  <c r="C193" i="165"/>
  <c r="I194" i="165"/>
  <c r="D194" i="165"/>
  <c r="J194" i="165"/>
  <c r="E194" i="165"/>
  <c r="F194" i="165"/>
  <c r="C194" i="165"/>
  <c r="I195" i="165"/>
  <c r="D195" i="165"/>
  <c r="J195" i="165"/>
  <c r="E195" i="165"/>
  <c r="F195" i="165"/>
  <c r="C195" i="165"/>
  <c r="I196" i="165"/>
  <c r="D196" i="165"/>
  <c r="J196" i="165"/>
  <c r="E196" i="165"/>
  <c r="F196" i="165"/>
  <c r="C196" i="165"/>
  <c r="I197" i="165"/>
  <c r="D197" i="165"/>
  <c r="J197" i="165"/>
  <c r="E197" i="165"/>
  <c r="F197" i="165"/>
  <c r="C197" i="165"/>
  <c r="I198" i="165"/>
  <c r="D198" i="165"/>
  <c r="J198" i="165"/>
  <c r="E198" i="165"/>
  <c r="F198" i="165"/>
  <c r="C198" i="165"/>
  <c r="I199" i="165"/>
  <c r="D199" i="165"/>
  <c r="J199" i="165"/>
  <c r="E199" i="165"/>
  <c r="F199" i="165"/>
  <c r="C199" i="165"/>
  <c r="I200" i="165"/>
  <c r="D200" i="165"/>
  <c r="J200" i="165"/>
  <c r="E200" i="165"/>
  <c r="F200" i="165"/>
  <c r="C200" i="165"/>
  <c r="I201" i="165"/>
  <c r="D201" i="165"/>
  <c r="J201" i="165"/>
  <c r="E201" i="165"/>
  <c r="F201" i="165"/>
  <c r="C201" i="165"/>
  <c r="I202" i="165"/>
  <c r="D202" i="165"/>
  <c r="J202" i="165"/>
  <c r="E202" i="165"/>
  <c r="F202" i="165"/>
  <c r="C202" i="165"/>
  <c r="I203" i="165"/>
  <c r="D203" i="165"/>
  <c r="J203" i="165"/>
  <c r="E203" i="165"/>
  <c r="F203" i="165"/>
  <c r="C203" i="165"/>
  <c r="I204" i="165"/>
  <c r="D204" i="165"/>
  <c r="J204" i="165"/>
  <c r="E204" i="165"/>
  <c r="F204" i="165"/>
  <c r="C204" i="165"/>
  <c r="I205" i="165"/>
  <c r="D205" i="165"/>
  <c r="J205" i="165"/>
  <c r="E205" i="165"/>
  <c r="F205" i="165"/>
  <c r="C205" i="165"/>
  <c r="I206" i="165"/>
  <c r="D206" i="165"/>
  <c r="J206" i="165"/>
  <c r="E206" i="165"/>
  <c r="F206" i="165"/>
  <c r="C206" i="165"/>
  <c r="I207" i="165"/>
  <c r="D207" i="165"/>
  <c r="J207" i="165"/>
  <c r="E207" i="165"/>
  <c r="F207" i="165"/>
  <c r="C207" i="165"/>
  <c r="I208" i="165"/>
  <c r="D208" i="165"/>
  <c r="J208" i="165"/>
  <c r="E208" i="165"/>
  <c r="F208" i="165"/>
  <c r="C208" i="165"/>
  <c r="I209" i="165"/>
  <c r="D209" i="165"/>
  <c r="J209" i="165"/>
  <c r="E209" i="165"/>
  <c r="F209" i="165"/>
  <c r="C209" i="165"/>
  <c r="I210" i="165"/>
  <c r="D210" i="165"/>
  <c r="J210" i="165"/>
  <c r="E210" i="165"/>
  <c r="F210" i="165"/>
  <c r="C210" i="165"/>
  <c r="I211" i="165"/>
  <c r="D211" i="165"/>
  <c r="J211" i="165"/>
  <c r="E211" i="165"/>
  <c r="F211" i="165"/>
  <c r="C211" i="165"/>
  <c r="I212" i="165"/>
  <c r="D212" i="165"/>
  <c r="J212" i="165"/>
  <c r="E212" i="165"/>
  <c r="F212" i="165"/>
  <c r="C212" i="165"/>
  <c r="I213" i="165"/>
  <c r="D213" i="165"/>
  <c r="J213" i="165"/>
  <c r="E213" i="165"/>
  <c r="F213" i="165"/>
  <c r="C213" i="165"/>
  <c r="I214" i="165"/>
  <c r="D214" i="165"/>
  <c r="J214" i="165"/>
  <c r="E214" i="165"/>
  <c r="F214" i="165"/>
  <c r="C214" i="165"/>
  <c r="I215" i="165"/>
  <c r="J215" i="165"/>
  <c r="D215" i="165"/>
  <c r="E215" i="165"/>
  <c r="F215" i="165"/>
  <c r="C215" i="165"/>
  <c r="I216" i="165"/>
  <c r="J216" i="165"/>
  <c r="D216" i="165"/>
  <c r="E216" i="165"/>
  <c r="F216" i="165"/>
  <c r="C216" i="165"/>
  <c r="I217" i="165"/>
  <c r="J217" i="165"/>
  <c r="D217" i="165"/>
  <c r="E217" i="165"/>
  <c r="F217" i="165"/>
  <c r="C217" i="165"/>
  <c r="I218" i="165"/>
  <c r="J218" i="165"/>
  <c r="D218" i="165"/>
  <c r="E218" i="165"/>
  <c r="F218" i="165"/>
  <c r="C218" i="165"/>
  <c r="I219" i="165"/>
  <c r="J219" i="165"/>
  <c r="D219" i="165"/>
  <c r="E219" i="165"/>
  <c r="F219" i="165"/>
  <c r="C219" i="165"/>
  <c r="I220" i="165"/>
  <c r="J220" i="165"/>
  <c r="D220" i="165"/>
  <c r="E220" i="165"/>
  <c r="F220" i="165"/>
  <c r="C220" i="165"/>
  <c r="I221" i="165"/>
  <c r="D221" i="165"/>
  <c r="J221" i="165"/>
  <c r="E221" i="165"/>
  <c r="F221" i="165"/>
  <c r="C221" i="165"/>
  <c r="I222" i="165"/>
  <c r="D222" i="165"/>
  <c r="J222" i="165"/>
  <c r="E222" i="165"/>
  <c r="F222" i="165"/>
  <c r="C222" i="165"/>
  <c r="I223" i="165"/>
  <c r="D223" i="165"/>
  <c r="J223" i="165"/>
  <c r="E223" i="165"/>
  <c r="F223" i="165"/>
  <c r="C223" i="165"/>
  <c r="I224" i="165"/>
  <c r="D224" i="165"/>
  <c r="J224" i="165"/>
  <c r="E224" i="165"/>
  <c r="F224" i="165"/>
  <c r="C224" i="165"/>
  <c r="I225" i="165"/>
  <c r="D225" i="165"/>
  <c r="J225" i="165"/>
  <c r="E225" i="165"/>
  <c r="F225" i="165"/>
  <c r="C225" i="165"/>
  <c r="I226" i="165"/>
  <c r="D226" i="165"/>
  <c r="J226" i="165"/>
  <c r="E226" i="165"/>
  <c r="F226" i="165"/>
  <c r="C226" i="165"/>
  <c r="I227" i="165"/>
  <c r="D227" i="165"/>
  <c r="J227" i="165"/>
  <c r="E227" i="165"/>
  <c r="F227" i="165"/>
  <c r="C227" i="165"/>
  <c r="I228" i="165"/>
  <c r="D228" i="165"/>
  <c r="J228" i="165"/>
  <c r="E228" i="165"/>
  <c r="F228" i="165"/>
  <c r="C228" i="165"/>
  <c r="I229" i="165"/>
  <c r="D229" i="165"/>
  <c r="J229" i="165"/>
  <c r="E229" i="165"/>
  <c r="F229" i="165"/>
  <c r="C229" i="165"/>
  <c r="I230" i="165"/>
  <c r="D230" i="165"/>
  <c r="J230" i="165"/>
  <c r="E230" i="165"/>
  <c r="F230" i="165"/>
  <c r="C230" i="165"/>
  <c r="I231" i="165"/>
  <c r="D231" i="165"/>
  <c r="J231" i="165"/>
  <c r="E231" i="165"/>
  <c r="F231" i="165"/>
  <c r="C231" i="165"/>
  <c r="I232" i="165"/>
  <c r="D232" i="165"/>
  <c r="J232" i="165"/>
  <c r="E232" i="165"/>
  <c r="F232" i="165"/>
  <c r="C232" i="165"/>
  <c r="I233" i="165"/>
  <c r="D233" i="165"/>
  <c r="J233" i="165"/>
  <c r="E233" i="165"/>
  <c r="F233" i="165"/>
  <c r="C233" i="165"/>
  <c r="I234" i="165"/>
  <c r="D234" i="165"/>
  <c r="J234" i="165"/>
  <c r="E234" i="165"/>
  <c r="F234" i="165"/>
  <c r="C234" i="165"/>
  <c r="I235" i="165"/>
  <c r="D235" i="165"/>
  <c r="J235" i="165"/>
  <c r="E235" i="165"/>
  <c r="F235" i="165"/>
  <c r="C235" i="165"/>
  <c r="I236" i="165"/>
  <c r="D236" i="165"/>
  <c r="J236" i="165"/>
  <c r="E236" i="165"/>
  <c r="F236" i="165"/>
  <c r="C236" i="165"/>
  <c r="I237" i="165"/>
  <c r="D237" i="165"/>
  <c r="J237" i="165"/>
  <c r="E237" i="165"/>
  <c r="F237" i="165"/>
  <c r="C237" i="165"/>
  <c r="I238" i="165"/>
  <c r="D238" i="165"/>
  <c r="J238" i="165"/>
  <c r="E238" i="165"/>
  <c r="F238" i="165"/>
  <c r="C238" i="165"/>
  <c r="I239" i="165"/>
  <c r="D239" i="165"/>
  <c r="J239" i="165"/>
  <c r="E239" i="165"/>
  <c r="F239" i="165"/>
  <c r="C239" i="165"/>
  <c r="I240" i="165"/>
  <c r="D240" i="165"/>
  <c r="J240" i="165"/>
  <c r="E240" i="165"/>
  <c r="F240" i="165"/>
  <c r="C240" i="165"/>
  <c r="I241" i="165"/>
  <c r="D241" i="165"/>
  <c r="J241" i="165"/>
  <c r="E241" i="165"/>
  <c r="F241" i="165"/>
  <c r="C241" i="165"/>
  <c r="I242" i="165"/>
  <c r="D242" i="165"/>
  <c r="J242" i="165"/>
  <c r="E242" i="165"/>
  <c r="F242" i="165"/>
  <c r="C242" i="165"/>
  <c r="I243" i="165"/>
  <c r="D243" i="165"/>
  <c r="J243" i="165"/>
  <c r="E243" i="165"/>
  <c r="F243" i="165"/>
  <c r="C243" i="165"/>
  <c r="I244" i="165"/>
  <c r="D244" i="165"/>
  <c r="J244" i="165"/>
  <c r="E244" i="165"/>
  <c r="F244" i="165"/>
  <c r="C244" i="165"/>
  <c r="I245" i="165"/>
  <c r="D245" i="165"/>
  <c r="J245" i="165"/>
  <c r="E245" i="165"/>
  <c r="F245" i="165"/>
  <c r="C245" i="165"/>
  <c r="I246" i="165"/>
  <c r="D246" i="165"/>
  <c r="J246" i="165"/>
  <c r="E246" i="165"/>
  <c r="F246" i="165"/>
  <c r="C246" i="165"/>
  <c r="I247" i="165"/>
  <c r="D247" i="165"/>
  <c r="J247" i="165"/>
  <c r="E247" i="165"/>
  <c r="F247" i="165"/>
  <c r="C247" i="165"/>
  <c r="I248" i="165"/>
  <c r="D248" i="165"/>
  <c r="J248" i="165"/>
  <c r="E248" i="165"/>
  <c r="F248" i="165"/>
  <c r="C248" i="165"/>
  <c r="I249" i="165"/>
  <c r="D249" i="165"/>
  <c r="J249" i="165"/>
  <c r="E249" i="165"/>
  <c r="F249" i="165"/>
  <c r="C249" i="165"/>
  <c r="I250" i="165"/>
  <c r="D250" i="165"/>
  <c r="J250" i="165"/>
  <c r="E250" i="165"/>
  <c r="F250" i="165"/>
  <c r="C250" i="165"/>
  <c r="I251" i="165"/>
  <c r="D251" i="165"/>
  <c r="J251" i="165"/>
  <c r="E251" i="165"/>
  <c r="F251" i="165"/>
  <c r="C251" i="165"/>
  <c r="I252" i="165"/>
  <c r="D252" i="165"/>
  <c r="J252" i="165"/>
  <c r="E252" i="165"/>
  <c r="F252" i="165"/>
  <c r="C252" i="165"/>
  <c r="I253" i="165"/>
  <c r="D253" i="165"/>
  <c r="J253" i="165"/>
  <c r="E253" i="165"/>
  <c r="F253" i="165"/>
  <c r="C253" i="165"/>
  <c r="I254" i="165"/>
  <c r="D254" i="165"/>
  <c r="J254" i="165"/>
  <c r="E254" i="165"/>
  <c r="F254" i="165"/>
  <c r="C254" i="165"/>
  <c r="I255" i="165"/>
  <c r="D255" i="165"/>
  <c r="J255" i="165"/>
  <c r="E255" i="165"/>
  <c r="F255" i="165"/>
  <c r="C255" i="165"/>
  <c r="I256" i="165"/>
  <c r="D256" i="165"/>
  <c r="J256" i="165"/>
  <c r="E256" i="165"/>
  <c r="F256" i="165"/>
  <c r="C256" i="165"/>
  <c r="I257" i="165"/>
  <c r="D257" i="165"/>
  <c r="J257" i="165"/>
  <c r="E257" i="165"/>
  <c r="F257" i="165"/>
  <c r="C257" i="165"/>
  <c r="I258" i="165"/>
  <c r="D258" i="165"/>
  <c r="J258" i="165"/>
  <c r="E258" i="165"/>
  <c r="F258" i="165"/>
  <c r="C258" i="165"/>
  <c r="I259" i="165"/>
  <c r="D259" i="165"/>
  <c r="J259" i="165"/>
  <c r="E259" i="165"/>
  <c r="F259" i="165"/>
  <c r="C259" i="165"/>
  <c r="I260" i="165"/>
  <c r="D260" i="165"/>
  <c r="J260" i="165"/>
  <c r="E260" i="165"/>
  <c r="F260" i="165"/>
  <c r="C260" i="165"/>
  <c r="I261" i="165"/>
  <c r="D261" i="165"/>
  <c r="J261" i="165"/>
  <c r="E261" i="165"/>
  <c r="F261" i="165"/>
  <c r="C261" i="165"/>
  <c r="I262" i="165"/>
  <c r="D262" i="165"/>
  <c r="J262" i="165"/>
  <c r="E262" i="165"/>
  <c r="F262" i="165"/>
  <c r="C262" i="165"/>
  <c r="I263" i="165"/>
  <c r="D263" i="165"/>
  <c r="J263" i="165"/>
  <c r="E263" i="165"/>
  <c r="F263" i="165"/>
  <c r="C263" i="165"/>
  <c r="I264" i="165"/>
  <c r="D264" i="165"/>
  <c r="J264" i="165"/>
  <c r="E264" i="165"/>
  <c r="F264" i="165"/>
  <c r="C264" i="165"/>
  <c r="I265" i="165"/>
  <c r="D265" i="165"/>
  <c r="J265" i="165"/>
  <c r="E265" i="165"/>
  <c r="F265" i="165"/>
  <c r="C265" i="165"/>
  <c r="I266" i="165"/>
  <c r="D266" i="165"/>
  <c r="J266" i="165"/>
  <c r="E266" i="165"/>
  <c r="F266" i="165"/>
  <c r="C266" i="165"/>
  <c r="I267" i="165"/>
  <c r="D267" i="165"/>
  <c r="J267" i="165"/>
  <c r="E267" i="165"/>
  <c r="F267" i="165"/>
  <c r="C267" i="165"/>
  <c r="I268" i="165"/>
  <c r="D268" i="165"/>
  <c r="J268" i="165"/>
  <c r="E268" i="165"/>
  <c r="F268" i="165"/>
  <c r="C268" i="165"/>
  <c r="I269" i="165"/>
  <c r="D269" i="165"/>
  <c r="J269" i="165"/>
  <c r="E269" i="165"/>
  <c r="F269" i="165"/>
  <c r="C269" i="165"/>
  <c r="I270" i="165"/>
  <c r="D270" i="165"/>
  <c r="J270" i="165"/>
  <c r="E270" i="165"/>
  <c r="F270" i="165"/>
  <c r="C270" i="165"/>
  <c r="I271" i="165"/>
  <c r="D271" i="165"/>
  <c r="J271" i="165"/>
  <c r="E271" i="165"/>
  <c r="F271" i="165"/>
  <c r="C271" i="165"/>
  <c r="I272" i="165"/>
  <c r="D272" i="165"/>
  <c r="J272" i="165"/>
  <c r="E272" i="165"/>
  <c r="F272" i="165"/>
  <c r="C272" i="165"/>
  <c r="I273" i="165"/>
  <c r="D273" i="165"/>
  <c r="J273" i="165"/>
  <c r="E273" i="165"/>
  <c r="F273" i="165"/>
  <c r="C273" i="165"/>
  <c r="I274" i="165"/>
  <c r="D274" i="165"/>
  <c r="J274" i="165"/>
  <c r="E274" i="165"/>
  <c r="F274" i="165"/>
  <c r="C274" i="165"/>
  <c r="I275" i="165"/>
  <c r="D275" i="165"/>
  <c r="J275" i="165"/>
  <c r="E275" i="165"/>
  <c r="F275" i="165"/>
  <c r="C275" i="165"/>
  <c r="I276" i="165"/>
  <c r="D276" i="165"/>
  <c r="J276" i="165"/>
  <c r="E276" i="165"/>
  <c r="F276" i="165"/>
  <c r="C276" i="165"/>
  <c r="I277" i="165"/>
  <c r="D277" i="165"/>
  <c r="J277" i="165"/>
  <c r="E277" i="165"/>
  <c r="F277" i="165"/>
  <c r="C277" i="165"/>
  <c r="I278" i="165"/>
  <c r="D278" i="165"/>
  <c r="J278" i="165"/>
  <c r="E278" i="165"/>
  <c r="F278" i="165"/>
  <c r="C278" i="165"/>
  <c r="I279" i="165"/>
  <c r="D279" i="165"/>
  <c r="J279" i="165"/>
  <c r="E279" i="165"/>
  <c r="F279" i="165"/>
  <c r="C279" i="165"/>
  <c r="I280" i="165"/>
  <c r="D280" i="165"/>
  <c r="J280" i="165"/>
  <c r="E280" i="165"/>
  <c r="F280" i="165"/>
  <c r="C280" i="165"/>
  <c r="I281" i="165"/>
  <c r="D281" i="165"/>
  <c r="J281" i="165"/>
  <c r="E281" i="165"/>
  <c r="F281" i="165"/>
  <c r="C281" i="165"/>
  <c r="I282" i="165"/>
  <c r="D282" i="165"/>
  <c r="J282" i="165"/>
  <c r="E282" i="165"/>
  <c r="F282" i="165"/>
  <c r="C282" i="165"/>
  <c r="I283" i="165"/>
  <c r="D283" i="165"/>
  <c r="J283" i="165"/>
  <c r="E283" i="165"/>
  <c r="F283" i="165"/>
  <c r="C283" i="165"/>
  <c r="I284" i="165"/>
  <c r="D284" i="165"/>
  <c r="J284" i="165"/>
  <c r="E284" i="165"/>
  <c r="F284" i="165"/>
  <c r="C284" i="165"/>
  <c r="I285" i="165"/>
  <c r="D285" i="165"/>
  <c r="J285" i="165"/>
  <c r="E285" i="165"/>
  <c r="F285" i="165"/>
  <c r="C285" i="165"/>
  <c r="I286" i="165"/>
  <c r="D286" i="165"/>
  <c r="J286" i="165"/>
  <c r="E286" i="165"/>
  <c r="F286" i="165"/>
  <c r="C286" i="165"/>
  <c r="I287" i="165"/>
  <c r="D287" i="165"/>
  <c r="J287" i="165"/>
  <c r="E287" i="165"/>
  <c r="F287" i="165"/>
  <c r="C287" i="165"/>
  <c r="I288" i="165"/>
  <c r="D288" i="165"/>
  <c r="J288" i="165"/>
  <c r="E288" i="165"/>
  <c r="F288" i="165"/>
  <c r="C288" i="165"/>
  <c r="I289" i="165"/>
  <c r="D289" i="165"/>
  <c r="J289" i="165"/>
  <c r="E289" i="165"/>
  <c r="F289" i="165"/>
  <c r="C289" i="165"/>
  <c r="I290" i="165"/>
  <c r="D290" i="165"/>
  <c r="J290" i="165"/>
  <c r="E290" i="165"/>
  <c r="F290" i="165"/>
  <c r="C290" i="165"/>
  <c r="I291" i="165"/>
  <c r="D291" i="165"/>
  <c r="J291" i="165"/>
  <c r="E291" i="165"/>
  <c r="F291" i="165"/>
  <c r="C291" i="165"/>
  <c r="I292" i="165"/>
  <c r="D292" i="165"/>
  <c r="J292" i="165"/>
  <c r="E292" i="165"/>
  <c r="F292" i="165"/>
  <c r="C292" i="165"/>
  <c r="I293" i="165"/>
  <c r="D293" i="165"/>
  <c r="J293" i="165"/>
  <c r="E293" i="165"/>
  <c r="F293" i="165"/>
  <c r="C293" i="165"/>
  <c r="I294" i="165"/>
  <c r="D294" i="165"/>
  <c r="J294" i="165"/>
  <c r="E294" i="165"/>
  <c r="F294" i="165"/>
  <c r="C294" i="165"/>
  <c r="I295" i="165"/>
  <c r="D295" i="165"/>
  <c r="J295" i="165"/>
  <c r="E295" i="165"/>
  <c r="F295" i="165"/>
  <c r="C295" i="165"/>
  <c r="I296" i="165"/>
  <c r="D296" i="165"/>
  <c r="J296" i="165"/>
  <c r="E296" i="165"/>
  <c r="F296" i="165"/>
  <c r="C296" i="165"/>
  <c r="I297" i="165"/>
  <c r="D297" i="165"/>
  <c r="J297" i="165"/>
  <c r="E297" i="165"/>
  <c r="F297" i="165"/>
  <c r="C297" i="165"/>
  <c r="I298" i="165"/>
  <c r="D298" i="165"/>
  <c r="J298" i="165"/>
  <c r="E298" i="165"/>
  <c r="F298" i="165"/>
  <c r="C298" i="165"/>
  <c r="I299" i="165"/>
  <c r="D299" i="165"/>
  <c r="J299" i="165"/>
  <c r="E299" i="165"/>
  <c r="F299" i="165"/>
  <c r="C299" i="165"/>
  <c r="I300" i="165"/>
  <c r="D300" i="165"/>
  <c r="J300" i="165"/>
  <c r="E300" i="165"/>
  <c r="F300" i="165"/>
  <c r="C300" i="165"/>
  <c r="I301" i="165"/>
  <c r="D301" i="165"/>
  <c r="J301" i="165"/>
  <c r="E301" i="165"/>
  <c r="F301" i="165"/>
  <c r="C301" i="165"/>
  <c r="I302" i="165"/>
  <c r="D302" i="165"/>
  <c r="J302" i="165"/>
  <c r="E302" i="165"/>
  <c r="F302" i="165"/>
  <c r="C302" i="165"/>
  <c r="I303" i="165"/>
  <c r="D303" i="165"/>
  <c r="J303" i="165"/>
  <c r="E303" i="165"/>
  <c r="F303" i="165"/>
  <c r="C303" i="165"/>
  <c r="I304" i="165"/>
  <c r="D304" i="165"/>
  <c r="J304" i="165"/>
  <c r="E304" i="165"/>
  <c r="F304" i="165"/>
  <c r="C304" i="165"/>
  <c r="I305" i="165"/>
  <c r="D305" i="165"/>
  <c r="J305" i="165"/>
  <c r="E305" i="165"/>
  <c r="F305" i="165"/>
  <c r="C305" i="165"/>
  <c r="I306" i="165"/>
  <c r="D306" i="165"/>
  <c r="J306" i="165"/>
  <c r="E306" i="165"/>
  <c r="F306" i="165"/>
  <c r="C306" i="165"/>
  <c r="I307" i="165"/>
  <c r="D307" i="165"/>
  <c r="J307" i="165"/>
  <c r="E307" i="165"/>
  <c r="F307" i="165"/>
  <c r="C307" i="165"/>
  <c r="I308" i="165"/>
  <c r="D308" i="165"/>
  <c r="J308" i="165"/>
  <c r="E308" i="165"/>
  <c r="F308" i="165"/>
  <c r="C308" i="165"/>
  <c r="I309" i="165"/>
  <c r="D309" i="165"/>
  <c r="J309" i="165"/>
  <c r="E309" i="165"/>
  <c r="F309" i="165"/>
  <c r="C309" i="165"/>
  <c r="I310" i="165"/>
  <c r="D310" i="165"/>
  <c r="J310" i="165"/>
  <c r="E310" i="165"/>
  <c r="F310" i="165"/>
  <c r="C310" i="165"/>
  <c r="I311" i="165"/>
  <c r="D311" i="165"/>
  <c r="J311" i="165"/>
  <c r="E311" i="165"/>
  <c r="F311" i="165"/>
  <c r="C311" i="165"/>
  <c r="I312" i="165"/>
  <c r="D312" i="165"/>
  <c r="J312" i="165"/>
  <c r="E312" i="165"/>
  <c r="F312" i="165"/>
  <c r="C312" i="165"/>
  <c r="I313" i="165"/>
  <c r="D313" i="165"/>
  <c r="J313" i="165"/>
  <c r="E313" i="165"/>
  <c r="F313" i="165"/>
  <c r="C313" i="165"/>
  <c r="I314" i="165"/>
  <c r="D314" i="165"/>
  <c r="J314" i="165"/>
  <c r="E314" i="165"/>
  <c r="F314" i="165"/>
  <c r="C314" i="165"/>
  <c r="I315" i="165"/>
  <c r="D315" i="165"/>
  <c r="J315" i="165"/>
  <c r="E315" i="165"/>
  <c r="F315" i="165"/>
  <c r="C315" i="165"/>
  <c r="I316" i="165"/>
  <c r="D316" i="165"/>
  <c r="J316" i="165"/>
  <c r="E316" i="165"/>
  <c r="F316" i="165"/>
  <c r="C316" i="165"/>
  <c r="I317" i="165"/>
  <c r="D317" i="165"/>
  <c r="J317" i="165"/>
  <c r="E317" i="165"/>
  <c r="F317" i="165"/>
  <c r="C317" i="165"/>
  <c r="I318" i="165"/>
  <c r="D318" i="165"/>
  <c r="J318" i="165"/>
  <c r="E318" i="165"/>
  <c r="F318" i="165"/>
  <c r="C318" i="165"/>
  <c r="I319" i="165"/>
  <c r="D319" i="165"/>
  <c r="J319" i="165"/>
  <c r="E319" i="165"/>
  <c r="F319" i="165"/>
  <c r="C319" i="165"/>
  <c r="I320" i="165"/>
  <c r="D320" i="165"/>
  <c r="J320" i="165"/>
  <c r="E320" i="165"/>
  <c r="F320" i="165"/>
  <c r="C320" i="165"/>
  <c r="I321" i="165"/>
  <c r="D321" i="165"/>
  <c r="J321" i="165"/>
  <c r="E321" i="165"/>
  <c r="F321" i="165"/>
  <c r="C321" i="165"/>
  <c r="I322" i="165"/>
  <c r="D322" i="165"/>
  <c r="J322" i="165"/>
  <c r="E322" i="165"/>
  <c r="F322" i="165"/>
  <c r="C322" i="165"/>
  <c r="I323" i="165"/>
  <c r="D323" i="165"/>
  <c r="J323" i="165"/>
  <c r="E323" i="165"/>
  <c r="F323" i="165"/>
  <c r="C323" i="165"/>
  <c r="I324" i="165"/>
  <c r="D324" i="165"/>
  <c r="J324" i="165"/>
  <c r="E324" i="165"/>
  <c r="F324" i="165"/>
  <c r="C324" i="165"/>
  <c r="I325" i="165"/>
  <c r="D325" i="165"/>
  <c r="J325" i="165"/>
  <c r="E325" i="165"/>
  <c r="F325" i="165"/>
  <c r="C325" i="165"/>
  <c r="I326" i="165"/>
  <c r="D326" i="165"/>
  <c r="J326" i="165"/>
  <c r="E326" i="165"/>
  <c r="F326" i="165"/>
  <c r="C326" i="165"/>
  <c r="I327" i="165"/>
  <c r="D327" i="165"/>
  <c r="J327" i="165"/>
  <c r="E327" i="165"/>
  <c r="F327" i="165"/>
  <c r="C327" i="165"/>
  <c r="I328" i="165"/>
  <c r="D328" i="165"/>
  <c r="J328" i="165"/>
  <c r="E328" i="165"/>
  <c r="F328" i="165"/>
  <c r="C328" i="165"/>
  <c r="I329" i="165"/>
  <c r="D329" i="165"/>
  <c r="J329" i="165"/>
  <c r="E329" i="165"/>
  <c r="F329" i="165"/>
  <c r="C329" i="165"/>
  <c r="I330" i="165"/>
  <c r="D330" i="165"/>
  <c r="J330" i="165"/>
  <c r="E330" i="165"/>
  <c r="F330" i="165"/>
  <c r="C330" i="165"/>
  <c r="I331" i="165"/>
  <c r="D331" i="165"/>
  <c r="J331" i="165"/>
  <c r="E331" i="165"/>
  <c r="F331" i="165"/>
  <c r="C331" i="165"/>
  <c r="I332" i="165"/>
  <c r="D332" i="165"/>
  <c r="J332" i="165"/>
  <c r="E332" i="165"/>
  <c r="F332" i="165"/>
  <c r="C332" i="165"/>
  <c r="I333" i="165"/>
  <c r="D333" i="165"/>
  <c r="J333" i="165"/>
  <c r="E333" i="165"/>
  <c r="F333" i="165"/>
  <c r="C333" i="165"/>
  <c r="I334" i="165"/>
  <c r="D334" i="165"/>
  <c r="J334" i="165"/>
  <c r="E334" i="165"/>
  <c r="F334" i="165"/>
  <c r="C334" i="165"/>
  <c r="I335" i="165"/>
  <c r="D335" i="165"/>
  <c r="J335" i="165"/>
  <c r="E335" i="165"/>
  <c r="F335" i="165"/>
  <c r="C335" i="165"/>
  <c r="I336" i="165"/>
  <c r="D336" i="165"/>
  <c r="J336" i="165"/>
  <c r="E336" i="165"/>
  <c r="F336" i="165"/>
  <c r="C336" i="165"/>
  <c r="I337" i="165"/>
  <c r="D337" i="165"/>
  <c r="J337" i="165"/>
  <c r="E337" i="165"/>
  <c r="F337" i="165"/>
  <c r="C337" i="165"/>
  <c r="I338" i="165"/>
  <c r="D338" i="165"/>
  <c r="J338" i="165"/>
  <c r="E338" i="165"/>
  <c r="F338" i="165"/>
  <c r="C338" i="165"/>
  <c r="I339" i="165"/>
  <c r="D339" i="165"/>
  <c r="J339" i="165"/>
  <c r="E339" i="165"/>
  <c r="F339" i="165"/>
  <c r="C339" i="165"/>
  <c r="I340" i="165"/>
  <c r="D340" i="165"/>
  <c r="J340" i="165"/>
  <c r="E340" i="165"/>
  <c r="F340" i="165"/>
  <c r="C340" i="165"/>
  <c r="I341" i="165"/>
  <c r="D341" i="165"/>
  <c r="J341" i="165"/>
  <c r="E341" i="165"/>
  <c r="F341" i="165"/>
  <c r="C341" i="165"/>
  <c r="I342" i="165"/>
  <c r="D342" i="165"/>
  <c r="J342" i="165"/>
  <c r="E342" i="165"/>
  <c r="F342" i="165"/>
  <c r="C342" i="165"/>
  <c r="I343" i="165"/>
  <c r="D343" i="165"/>
  <c r="J343" i="165"/>
  <c r="E343" i="165"/>
  <c r="F343" i="165"/>
  <c r="C343" i="165"/>
  <c r="I344" i="165"/>
  <c r="D344" i="165"/>
  <c r="J344" i="165"/>
  <c r="E344" i="165"/>
  <c r="F344" i="165"/>
  <c r="C344" i="165"/>
  <c r="I345" i="165"/>
  <c r="D345" i="165"/>
  <c r="J345" i="165"/>
  <c r="E345" i="165"/>
  <c r="F345" i="165"/>
  <c r="C345" i="165"/>
  <c r="I346" i="165"/>
  <c r="D346" i="165"/>
  <c r="J346" i="165"/>
  <c r="E346" i="165"/>
  <c r="F346" i="165"/>
  <c r="C346" i="165"/>
  <c r="I347" i="165"/>
  <c r="D347" i="165"/>
  <c r="J347" i="165"/>
  <c r="E347" i="165"/>
  <c r="F347" i="165"/>
  <c r="C347" i="165"/>
  <c r="I348" i="165"/>
  <c r="D348" i="165"/>
  <c r="J348" i="165"/>
  <c r="E348" i="165"/>
  <c r="F348" i="165"/>
  <c r="C348" i="165"/>
  <c r="I349" i="165"/>
  <c r="D349" i="165"/>
  <c r="J349" i="165"/>
  <c r="E349" i="165"/>
  <c r="F349" i="165"/>
  <c r="C349" i="165"/>
  <c r="I350" i="165"/>
  <c r="D350" i="165"/>
  <c r="J350" i="165"/>
  <c r="E350" i="165"/>
  <c r="F350" i="165"/>
  <c r="C350" i="165"/>
  <c r="I351" i="165"/>
  <c r="D351" i="165"/>
  <c r="J351" i="165"/>
  <c r="E351" i="165"/>
  <c r="F351" i="165"/>
  <c r="C351" i="165"/>
  <c r="I352" i="165"/>
  <c r="D352" i="165"/>
  <c r="J352" i="165"/>
  <c r="E352" i="165"/>
  <c r="F352" i="165"/>
  <c r="C352" i="165"/>
  <c r="F6" i="166"/>
  <c r="E6" i="166"/>
  <c r="Q3" i="166"/>
  <c r="Q4" i="166"/>
  <c r="Q5" i="166"/>
  <c r="Q6" i="166"/>
  <c r="Q7" i="166"/>
  <c r="Q8" i="166"/>
  <c r="Q9" i="166"/>
  <c r="Q10" i="166"/>
  <c r="Q11" i="166"/>
  <c r="Q12" i="166"/>
  <c r="Q13" i="166"/>
  <c r="Q14" i="166"/>
  <c r="Q15" i="166"/>
  <c r="Q16" i="166"/>
  <c r="Q17" i="166"/>
  <c r="Q18" i="166"/>
  <c r="Q19" i="166"/>
  <c r="Q20" i="166"/>
  <c r="E20" i="166"/>
  <c r="B20" i="166"/>
  <c r="F5" i="166"/>
  <c r="E5" i="166"/>
  <c r="E27" i="166"/>
  <c r="B27" i="166"/>
  <c r="E29" i="166"/>
  <c r="B29" i="166"/>
  <c r="E28" i="166"/>
  <c r="B28" i="166"/>
  <c r="A2" i="166"/>
  <c r="A36" i="166"/>
  <c r="G27" i="166"/>
  <c r="H27" i="166"/>
  <c r="O138" i="165"/>
  <c r="E19" i="166"/>
  <c r="B19" i="166"/>
  <c r="E24" i="166"/>
  <c r="B24" i="166"/>
  <c r="B17" i="166"/>
  <c r="G17" i="166"/>
  <c r="E17" i="166"/>
  <c r="H17" i="166"/>
  <c r="O2" i="165"/>
  <c r="E18" i="166"/>
  <c r="B18" i="166"/>
  <c r="G18" i="166"/>
  <c r="H18" i="166"/>
  <c r="O3" i="165"/>
  <c r="O4" i="165"/>
  <c r="O5" i="165"/>
  <c r="O6" i="165"/>
  <c r="O7" i="165"/>
  <c r="O8" i="165"/>
  <c r="O9" i="165"/>
  <c r="O10" i="165"/>
  <c r="O11" i="165"/>
  <c r="O12" i="165"/>
  <c r="O13" i="165"/>
  <c r="O14" i="165"/>
  <c r="O15" i="165"/>
  <c r="O16" i="165"/>
  <c r="O17" i="165"/>
  <c r="O18" i="165"/>
  <c r="O19" i="165"/>
  <c r="O20" i="165"/>
  <c r="O21" i="165"/>
  <c r="O22" i="165"/>
  <c r="O23" i="165"/>
  <c r="O24" i="165"/>
  <c r="O25" i="165"/>
  <c r="O26" i="165"/>
  <c r="O27" i="165"/>
  <c r="O28" i="165"/>
  <c r="O29" i="165"/>
  <c r="O30" i="165"/>
  <c r="O31" i="165"/>
  <c r="O32" i="165"/>
  <c r="O33" i="165"/>
  <c r="O34" i="165"/>
  <c r="O35" i="165"/>
  <c r="O36" i="165"/>
  <c r="O37" i="165"/>
  <c r="O38" i="165"/>
  <c r="O39" i="165"/>
  <c r="O40" i="165"/>
  <c r="O41" i="165"/>
  <c r="G24" i="166"/>
  <c r="H24" i="166"/>
  <c r="O42" i="165"/>
  <c r="E25" i="166"/>
  <c r="B25" i="166"/>
  <c r="G25" i="166"/>
  <c r="H25" i="166"/>
  <c r="O43" i="165"/>
  <c r="E26" i="166"/>
  <c r="B26" i="166"/>
  <c r="G26" i="166"/>
  <c r="H26" i="166"/>
  <c r="O44" i="165"/>
  <c r="O45" i="165"/>
  <c r="O46" i="165"/>
  <c r="O47" i="165"/>
  <c r="O48" i="165"/>
  <c r="O49" i="165"/>
  <c r="O50" i="165"/>
  <c r="G19" i="166"/>
  <c r="H19" i="166"/>
  <c r="O51" i="165"/>
  <c r="G20" i="166"/>
  <c r="H20" i="166"/>
  <c r="O52" i="165"/>
  <c r="E23" i="166"/>
  <c r="B23" i="166"/>
  <c r="B21" i="166"/>
  <c r="G21" i="166"/>
  <c r="E21" i="166"/>
  <c r="H21" i="166"/>
  <c r="O53" i="165"/>
  <c r="O54" i="165"/>
  <c r="O55" i="165"/>
  <c r="O56" i="165"/>
  <c r="O57" i="165"/>
  <c r="O58" i="165"/>
  <c r="O59" i="165"/>
  <c r="O60" i="165"/>
  <c r="O61" i="165"/>
  <c r="O62" i="165"/>
  <c r="O63" i="165"/>
  <c r="O64" i="165"/>
  <c r="O65" i="165"/>
  <c r="O66" i="165"/>
  <c r="O67" i="165"/>
  <c r="O68" i="165"/>
  <c r="O69" i="165"/>
  <c r="O70" i="165"/>
  <c r="O71" i="165"/>
  <c r="O72" i="165"/>
  <c r="O73" i="165"/>
  <c r="O74" i="165"/>
  <c r="O75" i="165"/>
  <c r="O76" i="165"/>
  <c r="O77" i="165"/>
  <c r="O78" i="165"/>
  <c r="O79" i="165"/>
  <c r="O80" i="165"/>
  <c r="O81" i="165"/>
  <c r="O82" i="165"/>
  <c r="O83" i="165"/>
  <c r="O84" i="165"/>
  <c r="O85" i="165"/>
  <c r="O86" i="165"/>
  <c r="O87" i="165"/>
  <c r="O88" i="165"/>
  <c r="O89" i="165"/>
  <c r="O90" i="165"/>
  <c r="O91" i="165"/>
  <c r="O92" i="165"/>
  <c r="O93" i="165"/>
  <c r="O94" i="165"/>
  <c r="O95" i="165"/>
  <c r="O96" i="165"/>
  <c r="O97" i="165"/>
  <c r="O98" i="165"/>
  <c r="O99" i="165"/>
  <c r="O100" i="165"/>
  <c r="O101" i="165"/>
  <c r="O102" i="165"/>
  <c r="O103" i="165"/>
  <c r="O104" i="165"/>
  <c r="O105" i="165"/>
  <c r="O106" i="165"/>
  <c r="O107" i="165"/>
  <c r="O108" i="165"/>
  <c r="O109" i="165"/>
  <c r="O110" i="165"/>
  <c r="O111" i="165"/>
  <c r="O112" i="165"/>
  <c r="O113" i="165"/>
  <c r="O114" i="165"/>
  <c r="O115" i="165"/>
  <c r="O116" i="165"/>
  <c r="O117" i="165"/>
  <c r="O118" i="165"/>
  <c r="O119" i="165"/>
  <c r="O120" i="165"/>
  <c r="O121" i="165"/>
  <c r="O122" i="165"/>
  <c r="O123" i="165"/>
  <c r="O124" i="165"/>
  <c r="O125" i="165"/>
  <c r="O126" i="165"/>
  <c r="O127" i="165"/>
  <c r="O128" i="165"/>
  <c r="O129" i="165"/>
  <c r="O130" i="165"/>
  <c r="O131" i="165"/>
  <c r="O132" i="165"/>
  <c r="O133" i="165"/>
  <c r="O134" i="165"/>
  <c r="O135" i="165"/>
  <c r="O136" i="165"/>
  <c r="O137" i="165"/>
  <c r="G28" i="166"/>
  <c r="H28" i="166"/>
  <c r="O139" i="165"/>
  <c r="O140" i="165"/>
  <c r="O141" i="165"/>
  <c r="O142" i="165"/>
  <c r="O143" i="165"/>
  <c r="O144" i="165"/>
  <c r="O145" i="165"/>
  <c r="O146" i="165"/>
  <c r="O147" i="165"/>
  <c r="O148" i="165"/>
  <c r="O149" i="165"/>
  <c r="O150" i="165"/>
  <c r="O151" i="165"/>
  <c r="O152" i="165"/>
  <c r="O153" i="165"/>
  <c r="O154" i="165"/>
  <c r="O155" i="165"/>
  <c r="O156" i="165"/>
  <c r="O157" i="165"/>
  <c r="O158" i="165"/>
  <c r="O159" i="165"/>
  <c r="O160" i="165"/>
  <c r="O161" i="165"/>
  <c r="O162" i="165"/>
  <c r="O163" i="165"/>
  <c r="O164" i="165"/>
  <c r="O165" i="165"/>
  <c r="O166" i="165"/>
  <c r="O167" i="165"/>
  <c r="O168" i="165"/>
  <c r="O169" i="165"/>
  <c r="O170" i="165"/>
  <c r="O171" i="165"/>
  <c r="O172" i="165"/>
  <c r="O173" i="165"/>
  <c r="O174" i="165"/>
  <c r="O175" i="165"/>
  <c r="O176" i="165"/>
  <c r="O177" i="165"/>
  <c r="O178" i="165"/>
  <c r="O179" i="165"/>
  <c r="O180" i="165"/>
  <c r="O181" i="165"/>
  <c r="O182" i="165"/>
  <c r="O183" i="165"/>
  <c r="O184" i="165"/>
  <c r="O185" i="165"/>
  <c r="O186" i="165"/>
  <c r="O187" i="165"/>
  <c r="O188" i="165"/>
  <c r="O189" i="165"/>
  <c r="O190" i="165"/>
  <c r="O191" i="165"/>
  <c r="O192" i="165"/>
  <c r="O193" i="165"/>
  <c r="O194" i="165"/>
  <c r="O195" i="165"/>
  <c r="O196" i="165"/>
  <c r="O197" i="165"/>
  <c r="O198" i="165"/>
  <c r="O199" i="165"/>
  <c r="O200" i="165"/>
  <c r="O201" i="165"/>
  <c r="O202" i="165"/>
  <c r="O203" i="165"/>
  <c r="O204" i="165"/>
  <c r="O205" i="165"/>
  <c r="O206" i="165"/>
  <c r="O207" i="165"/>
  <c r="O208" i="165"/>
  <c r="O209" i="165"/>
  <c r="O210" i="165"/>
  <c r="O211" i="165"/>
  <c r="O212" i="165"/>
  <c r="O213" i="165"/>
  <c r="O214" i="165"/>
  <c r="G23" i="166"/>
  <c r="H23" i="166"/>
  <c r="O215" i="165"/>
  <c r="O216" i="165"/>
  <c r="O217" i="165"/>
  <c r="O218" i="165"/>
  <c r="O219" i="165"/>
  <c r="O220" i="165"/>
  <c r="O221" i="165"/>
  <c r="O222" i="165"/>
  <c r="O223" i="165"/>
  <c r="O224" i="165"/>
  <c r="O225" i="165"/>
  <c r="O226" i="165"/>
  <c r="O227" i="165"/>
  <c r="O228" i="165"/>
  <c r="O229" i="165"/>
  <c r="O230" i="165"/>
  <c r="O231" i="165"/>
  <c r="O232" i="165"/>
  <c r="O233" i="165"/>
  <c r="O234" i="165"/>
  <c r="O235" i="165"/>
  <c r="O236" i="165"/>
  <c r="O237" i="165"/>
  <c r="O238" i="165"/>
  <c r="O239" i="165"/>
  <c r="O240" i="165"/>
  <c r="O241" i="165"/>
  <c r="O242" i="165"/>
  <c r="O243" i="165"/>
  <c r="O244" i="165"/>
  <c r="O245" i="165"/>
  <c r="O246" i="165"/>
  <c r="O247" i="165"/>
  <c r="O248" i="165"/>
  <c r="O249" i="165"/>
  <c r="O250" i="165"/>
  <c r="O251" i="165"/>
  <c r="O252" i="165"/>
  <c r="O253" i="165"/>
  <c r="O254" i="165"/>
  <c r="O255" i="165"/>
  <c r="O256" i="165"/>
  <c r="O257" i="165"/>
  <c r="O258" i="165"/>
  <c r="O259" i="165"/>
  <c r="O260" i="165"/>
  <c r="O261" i="165"/>
  <c r="E22" i="166"/>
  <c r="B22" i="166"/>
  <c r="G22" i="166"/>
  <c r="H22" i="166"/>
  <c r="O262" i="165"/>
  <c r="O263" i="165"/>
  <c r="O264" i="165"/>
  <c r="O265" i="165"/>
  <c r="G29" i="166"/>
  <c r="H29" i="166"/>
  <c r="O266" i="165"/>
  <c r="O267" i="165"/>
  <c r="O268" i="165"/>
  <c r="O269" i="165"/>
  <c r="O270" i="165"/>
  <c r="O271" i="165"/>
  <c r="O272" i="165"/>
  <c r="O273" i="165"/>
  <c r="O274" i="165"/>
  <c r="O275" i="165"/>
  <c r="O276" i="165"/>
  <c r="O277" i="165"/>
  <c r="O278" i="165"/>
  <c r="O279" i="165"/>
  <c r="O280" i="165"/>
  <c r="O281" i="165"/>
  <c r="O282" i="165"/>
  <c r="O283" i="165"/>
  <c r="O284" i="165"/>
  <c r="O285" i="165"/>
  <c r="O286" i="165"/>
  <c r="O287" i="165"/>
  <c r="O288" i="165"/>
  <c r="O289" i="165"/>
  <c r="O290" i="165"/>
  <c r="O291" i="165"/>
  <c r="O292" i="165"/>
  <c r="O293" i="165"/>
  <c r="O294" i="165"/>
  <c r="O295" i="165"/>
  <c r="O296" i="165"/>
  <c r="O297" i="165"/>
  <c r="O298" i="165"/>
  <c r="O299" i="165"/>
  <c r="O300" i="165"/>
  <c r="O301" i="165"/>
  <c r="O302" i="165"/>
  <c r="O303" i="165"/>
  <c r="O304" i="165"/>
  <c r="O305" i="165"/>
  <c r="O306" i="165"/>
  <c r="O307" i="165"/>
  <c r="O308" i="165"/>
  <c r="O309" i="165"/>
  <c r="O310" i="165"/>
  <c r="O311" i="165"/>
  <c r="O312" i="165"/>
  <c r="O313" i="165"/>
  <c r="O314" i="165"/>
  <c r="O315" i="165"/>
  <c r="O316" i="165"/>
  <c r="O317" i="165"/>
  <c r="O318" i="165"/>
  <c r="O319" i="165"/>
  <c r="O320" i="165"/>
  <c r="O321" i="165"/>
  <c r="O322" i="165"/>
  <c r="O323" i="165"/>
  <c r="O324" i="165"/>
  <c r="O325" i="165"/>
  <c r="O326" i="165"/>
  <c r="O327" i="165"/>
  <c r="O328" i="165"/>
  <c r="O329" i="165"/>
  <c r="O330" i="165"/>
  <c r="O331" i="165"/>
  <c r="O332" i="165"/>
  <c r="O333" i="165"/>
  <c r="O334" i="165"/>
  <c r="O335" i="165"/>
  <c r="O336" i="165"/>
  <c r="O337" i="165"/>
  <c r="O338" i="165"/>
  <c r="O339" i="165"/>
  <c r="O340" i="165"/>
  <c r="O341" i="165"/>
  <c r="O342" i="165"/>
  <c r="O343" i="165"/>
  <c r="O344" i="165"/>
  <c r="O345" i="165"/>
  <c r="R3" i="166"/>
  <c r="O346" i="165"/>
  <c r="R4" i="166"/>
  <c r="O347" i="165"/>
  <c r="R5" i="166"/>
  <c r="O348" i="165"/>
  <c r="R6" i="166"/>
  <c r="O349" i="165"/>
  <c r="R7" i="166"/>
  <c r="O350" i="165"/>
  <c r="R8" i="166"/>
  <c r="O351" i="165"/>
  <c r="R9" i="166"/>
  <c r="O352" i="165"/>
  <c r="R10" i="166"/>
  <c r="R11" i="166"/>
  <c r="P138" i="165"/>
  <c r="P139" i="165"/>
  <c r="P140" i="165"/>
  <c r="P141" i="165"/>
  <c r="P2" i="165"/>
  <c r="P3" i="165"/>
  <c r="P4" i="165"/>
  <c r="P5" i="165"/>
  <c r="P6" i="165"/>
  <c r="P7" i="165"/>
  <c r="P8" i="165"/>
  <c r="P9" i="165"/>
  <c r="P10" i="165"/>
  <c r="P11" i="165"/>
  <c r="P12" i="165"/>
  <c r="P13" i="165"/>
  <c r="P14" i="165"/>
  <c r="P15" i="165"/>
  <c r="P16" i="165"/>
  <c r="P17" i="165"/>
  <c r="P18" i="165"/>
  <c r="P19" i="165"/>
  <c r="P20" i="165"/>
  <c r="P21" i="165"/>
  <c r="P22" i="165"/>
  <c r="P23" i="165"/>
  <c r="P24" i="165"/>
  <c r="P25" i="165"/>
  <c r="P26" i="165"/>
  <c r="P27" i="165"/>
  <c r="P28" i="165"/>
  <c r="P29" i="165"/>
  <c r="P30" i="165"/>
  <c r="P31" i="165"/>
  <c r="P32" i="165"/>
  <c r="P33" i="165"/>
  <c r="P34" i="165"/>
  <c r="P35" i="165"/>
  <c r="P36" i="165"/>
  <c r="P37" i="165"/>
  <c r="P38" i="165"/>
  <c r="P39" i="165"/>
  <c r="P40" i="165"/>
  <c r="P41" i="165"/>
  <c r="P42" i="165"/>
  <c r="P43" i="165"/>
  <c r="P44" i="165"/>
  <c r="P45" i="165"/>
  <c r="P46" i="165"/>
  <c r="P47" i="165"/>
  <c r="P48" i="165"/>
  <c r="P49" i="165"/>
  <c r="P50" i="165"/>
  <c r="P51" i="165"/>
  <c r="P52" i="165"/>
  <c r="P53" i="165"/>
  <c r="P54" i="165"/>
  <c r="P55" i="165"/>
  <c r="P56" i="165"/>
  <c r="P57" i="165"/>
  <c r="P58" i="165"/>
  <c r="P59" i="165"/>
  <c r="P60" i="165"/>
  <c r="P61" i="165"/>
  <c r="P62" i="165"/>
  <c r="P63" i="165"/>
  <c r="P64" i="165"/>
  <c r="P65" i="165"/>
  <c r="P66" i="165"/>
  <c r="P67" i="165"/>
  <c r="P68" i="165"/>
  <c r="P69" i="165"/>
  <c r="P70" i="165"/>
  <c r="P71" i="165"/>
  <c r="P72" i="165"/>
  <c r="P73" i="165"/>
  <c r="P74" i="165"/>
  <c r="P75" i="165"/>
  <c r="P76" i="165"/>
  <c r="P77" i="165"/>
  <c r="P78" i="165"/>
  <c r="P79" i="165"/>
  <c r="P80" i="165"/>
  <c r="P81" i="165"/>
  <c r="P82" i="165"/>
  <c r="P83" i="165"/>
  <c r="P84" i="165"/>
  <c r="P85" i="165"/>
  <c r="P86" i="165"/>
  <c r="P87" i="165"/>
  <c r="P88" i="165"/>
  <c r="P89" i="165"/>
  <c r="P90" i="165"/>
  <c r="P91" i="165"/>
  <c r="P92" i="165"/>
  <c r="P93" i="165"/>
  <c r="P94" i="165"/>
  <c r="P95" i="165"/>
  <c r="P96" i="165"/>
  <c r="P97" i="165"/>
  <c r="P98" i="165"/>
  <c r="P99" i="165"/>
  <c r="P100" i="165"/>
  <c r="P101" i="165"/>
  <c r="P102" i="165"/>
  <c r="P103" i="165"/>
  <c r="P104" i="165"/>
  <c r="P105" i="165"/>
  <c r="P106" i="165"/>
  <c r="P107" i="165"/>
  <c r="P108" i="165"/>
  <c r="P109" i="165"/>
  <c r="P110" i="165"/>
  <c r="P111" i="165"/>
  <c r="P112" i="165"/>
  <c r="P113" i="165"/>
  <c r="P114" i="165"/>
  <c r="P115" i="165"/>
  <c r="P116" i="165"/>
  <c r="P117" i="165"/>
  <c r="P118" i="165"/>
  <c r="P119" i="165"/>
  <c r="P120" i="165"/>
  <c r="P121" i="165"/>
  <c r="P122" i="165"/>
  <c r="P123" i="165"/>
  <c r="P124" i="165"/>
  <c r="P125" i="165"/>
  <c r="P126" i="165"/>
  <c r="P127" i="165"/>
  <c r="P128" i="165"/>
  <c r="P129" i="165"/>
  <c r="P130" i="165"/>
  <c r="P131" i="165"/>
  <c r="P132" i="165"/>
  <c r="P133" i="165"/>
  <c r="P134" i="165"/>
  <c r="P135" i="165"/>
  <c r="P136" i="165"/>
  <c r="P137" i="165"/>
  <c r="P142" i="165"/>
  <c r="P143" i="165"/>
  <c r="P144" i="165"/>
  <c r="P145" i="165"/>
  <c r="P146" i="165"/>
  <c r="P147" i="165"/>
  <c r="P148" i="165"/>
  <c r="P149" i="165"/>
  <c r="P150" i="165"/>
  <c r="P151" i="165"/>
  <c r="P152" i="165"/>
  <c r="P153" i="165"/>
  <c r="P154" i="165"/>
  <c r="P155" i="165"/>
  <c r="P156" i="165"/>
  <c r="P157" i="165"/>
  <c r="P158" i="165"/>
  <c r="P159" i="165"/>
  <c r="P160" i="165"/>
  <c r="P161" i="165"/>
  <c r="P162" i="165"/>
  <c r="P163" i="165"/>
  <c r="P164" i="165"/>
  <c r="P165" i="165"/>
  <c r="P166" i="165"/>
  <c r="P167" i="165"/>
  <c r="P168" i="165"/>
  <c r="P169" i="165"/>
  <c r="P170" i="165"/>
  <c r="P171" i="165"/>
  <c r="P172" i="165"/>
  <c r="P173" i="165"/>
  <c r="P174" i="165"/>
  <c r="P175" i="165"/>
  <c r="P176" i="165"/>
  <c r="P177" i="165"/>
  <c r="P178" i="165"/>
  <c r="P179" i="165"/>
  <c r="P180" i="165"/>
  <c r="P181" i="165"/>
  <c r="P182" i="165"/>
  <c r="P183" i="165"/>
  <c r="P184" i="165"/>
  <c r="P185" i="165"/>
  <c r="P186" i="165"/>
  <c r="P187" i="165"/>
  <c r="P188" i="165"/>
  <c r="P189" i="165"/>
  <c r="P190" i="165"/>
  <c r="P191" i="165"/>
  <c r="P192" i="165"/>
  <c r="P193" i="165"/>
  <c r="P194" i="165"/>
  <c r="P195" i="165"/>
  <c r="P196" i="165"/>
  <c r="P197" i="165"/>
  <c r="P198" i="165"/>
  <c r="P199" i="165"/>
  <c r="P200" i="165"/>
  <c r="P201" i="165"/>
  <c r="P202" i="165"/>
  <c r="P203" i="165"/>
  <c r="P204" i="165"/>
  <c r="P205" i="165"/>
  <c r="P206" i="165"/>
  <c r="P207" i="165"/>
  <c r="P208" i="165"/>
  <c r="P209" i="165"/>
  <c r="P210" i="165"/>
  <c r="P211" i="165"/>
  <c r="P212" i="165"/>
  <c r="P213" i="165"/>
  <c r="P214" i="165"/>
  <c r="P215" i="165"/>
  <c r="P216" i="165"/>
  <c r="P217" i="165"/>
  <c r="P218" i="165"/>
  <c r="P219" i="165"/>
  <c r="P220" i="165"/>
  <c r="P221" i="165"/>
  <c r="P222" i="165"/>
  <c r="P223" i="165"/>
  <c r="P224" i="165"/>
  <c r="P225" i="165"/>
  <c r="P226" i="165"/>
  <c r="P227" i="165"/>
  <c r="P228" i="165"/>
  <c r="P229" i="165"/>
  <c r="P230" i="165"/>
  <c r="P231" i="165"/>
  <c r="P232" i="165"/>
  <c r="P233" i="165"/>
  <c r="P234" i="165"/>
  <c r="P235" i="165"/>
  <c r="P236" i="165"/>
  <c r="P237" i="165"/>
  <c r="P238" i="165"/>
  <c r="P239" i="165"/>
  <c r="P240" i="165"/>
  <c r="P241" i="165"/>
  <c r="P242" i="165"/>
  <c r="P243" i="165"/>
  <c r="P244" i="165"/>
  <c r="P245" i="165"/>
  <c r="P246" i="165"/>
  <c r="P247" i="165"/>
  <c r="P248" i="165"/>
  <c r="P249" i="165"/>
  <c r="P250" i="165"/>
  <c r="P251" i="165"/>
  <c r="P252" i="165"/>
  <c r="P253" i="165"/>
  <c r="P254" i="165"/>
  <c r="P255" i="165"/>
  <c r="P256" i="165"/>
  <c r="P257" i="165"/>
  <c r="P258" i="165"/>
  <c r="P259" i="165"/>
  <c r="P260" i="165"/>
  <c r="P261" i="165"/>
  <c r="P262" i="165"/>
  <c r="P263" i="165"/>
  <c r="P264" i="165"/>
  <c r="P265" i="165"/>
  <c r="P266" i="165"/>
  <c r="P267" i="165"/>
  <c r="P268" i="165"/>
  <c r="P269" i="165"/>
  <c r="P270" i="165"/>
  <c r="P271" i="165"/>
  <c r="P272" i="165"/>
  <c r="P273" i="165"/>
  <c r="P274" i="165"/>
  <c r="P275" i="165"/>
  <c r="P276" i="165"/>
  <c r="P277" i="165"/>
  <c r="P278" i="165"/>
  <c r="P279" i="165"/>
  <c r="P280" i="165"/>
  <c r="P281" i="165"/>
  <c r="P282" i="165"/>
  <c r="P283" i="165"/>
  <c r="P284" i="165"/>
  <c r="P285" i="165"/>
  <c r="P286" i="165"/>
  <c r="P287" i="165"/>
  <c r="P288" i="165"/>
  <c r="P289" i="165"/>
  <c r="P290" i="165"/>
  <c r="P291" i="165"/>
  <c r="P292" i="165"/>
  <c r="P293" i="165"/>
  <c r="P294" i="165"/>
  <c r="P295" i="165"/>
  <c r="P296" i="165"/>
  <c r="P297" i="165"/>
  <c r="P298" i="165"/>
  <c r="P299" i="165"/>
  <c r="P300" i="165"/>
  <c r="P301" i="165"/>
  <c r="P302" i="165"/>
  <c r="P303" i="165"/>
  <c r="P304" i="165"/>
  <c r="P305" i="165"/>
  <c r="P306" i="165"/>
  <c r="P307" i="165"/>
  <c r="P308" i="165"/>
  <c r="P309" i="165"/>
  <c r="P310" i="165"/>
  <c r="P311" i="165"/>
  <c r="P312" i="165"/>
  <c r="P313" i="165"/>
  <c r="P314" i="165"/>
  <c r="P315" i="165"/>
  <c r="P316" i="165"/>
  <c r="P317" i="165"/>
  <c r="P318" i="165"/>
  <c r="P319" i="165"/>
  <c r="P320" i="165"/>
  <c r="P321" i="165"/>
  <c r="P322" i="165"/>
  <c r="P323" i="165"/>
  <c r="P324" i="165"/>
  <c r="P325" i="165"/>
  <c r="P326" i="165"/>
  <c r="P327" i="165"/>
  <c r="P328" i="165"/>
  <c r="P329" i="165"/>
  <c r="P330" i="165"/>
  <c r="P331" i="165"/>
  <c r="P332" i="165"/>
  <c r="P333" i="165"/>
  <c r="P334" i="165"/>
  <c r="P335" i="165"/>
  <c r="P336" i="165"/>
  <c r="P337" i="165"/>
  <c r="P338" i="165"/>
  <c r="P339" i="165"/>
  <c r="P340" i="165"/>
  <c r="P341" i="165"/>
  <c r="P342" i="165"/>
  <c r="P343" i="165"/>
  <c r="P344" i="165"/>
  <c r="P345" i="165"/>
  <c r="P346" i="165"/>
  <c r="P347" i="165"/>
  <c r="P348" i="165"/>
  <c r="P349" i="165"/>
  <c r="P350" i="165"/>
  <c r="P351" i="165"/>
  <c r="P352" i="165"/>
  <c r="F48" i="166"/>
  <c r="F49" i="166"/>
  <c r="G48" i="166"/>
  <c r="F41" i="166"/>
  <c r="G41" i="166"/>
  <c r="F34" i="166"/>
  <c r="H346" i="165"/>
  <c r="K346" i="165"/>
  <c r="L346" i="165"/>
  <c r="M346" i="165"/>
  <c r="N346" i="165"/>
  <c r="H347" i="165"/>
  <c r="K347" i="165"/>
  <c r="L347" i="165"/>
  <c r="M347" i="165"/>
  <c r="N347" i="165"/>
  <c r="H348" i="165"/>
  <c r="K348" i="165"/>
  <c r="L348" i="165"/>
  <c r="M348" i="165"/>
  <c r="N348" i="165"/>
  <c r="H349" i="165"/>
  <c r="K349" i="165"/>
  <c r="L349" i="165"/>
  <c r="M349" i="165"/>
  <c r="N349" i="165"/>
  <c r="H350" i="165"/>
  <c r="K350" i="165"/>
  <c r="L350" i="165"/>
  <c r="M350" i="165"/>
  <c r="N350" i="165"/>
  <c r="H351" i="165"/>
  <c r="K351" i="165"/>
  <c r="L351" i="165"/>
  <c r="M351" i="165"/>
  <c r="N351" i="165"/>
  <c r="H352" i="165"/>
  <c r="K352" i="165"/>
  <c r="L352" i="165"/>
  <c r="M352" i="165"/>
  <c r="N352" i="165"/>
  <c r="A346" i="165"/>
  <c r="A347" i="165"/>
  <c r="A348" i="165"/>
  <c r="A349" i="165"/>
  <c r="A350" i="165"/>
  <c r="A351" i="165"/>
  <c r="A352" i="165"/>
  <c r="M3" i="166"/>
  <c r="I2" i="162"/>
  <c r="J2" i="162"/>
  <c r="D2" i="162"/>
  <c r="E2" i="162"/>
  <c r="F2" i="162"/>
  <c r="C2" i="162"/>
  <c r="I3" i="162"/>
  <c r="J3" i="162"/>
  <c r="D3" i="162"/>
  <c r="E3" i="162"/>
  <c r="F3" i="162"/>
  <c r="C3" i="162"/>
  <c r="I4" i="162"/>
  <c r="J4" i="162"/>
  <c r="D4" i="162"/>
  <c r="E4" i="162"/>
  <c r="F4" i="162"/>
  <c r="C4" i="162"/>
  <c r="I5" i="162"/>
  <c r="J5" i="162"/>
  <c r="D5" i="162"/>
  <c r="E5" i="162"/>
  <c r="F5" i="162"/>
  <c r="C5" i="162"/>
  <c r="I6" i="162"/>
  <c r="J6" i="162"/>
  <c r="D6" i="162"/>
  <c r="E6" i="162"/>
  <c r="F6" i="162"/>
  <c r="C6" i="162"/>
  <c r="I7" i="162"/>
  <c r="J7" i="162"/>
  <c r="D7" i="162"/>
  <c r="E7" i="162"/>
  <c r="F7" i="162"/>
  <c r="C7" i="162"/>
  <c r="I8" i="162"/>
  <c r="J8" i="162"/>
  <c r="D8" i="162"/>
  <c r="E8" i="162"/>
  <c r="F8" i="162"/>
  <c r="C8" i="162"/>
  <c r="I9" i="162"/>
  <c r="J9" i="162"/>
  <c r="D9" i="162"/>
  <c r="E9" i="162"/>
  <c r="F9" i="162"/>
  <c r="C9" i="162"/>
  <c r="I10" i="162"/>
  <c r="J10" i="162"/>
  <c r="D10" i="162"/>
  <c r="E10" i="162"/>
  <c r="F10" i="162"/>
  <c r="C10" i="162"/>
  <c r="I11" i="162"/>
  <c r="J11" i="162"/>
  <c r="D11" i="162"/>
  <c r="E11" i="162"/>
  <c r="F11" i="162"/>
  <c r="C11" i="162"/>
  <c r="I12" i="162"/>
  <c r="J12" i="162"/>
  <c r="D12" i="162"/>
  <c r="E12" i="162"/>
  <c r="F12" i="162"/>
  <c r="C12" i="162"/>
  <c r="I13" i="162"/>
  <c r="J13" i="162"/>
  <c r="D13" i="162"/>
  <c r="E13" i="162"/>
  <c r="F13" i="162"/>
  <c r="C13" i="162"/>
  <c r="I14" i="162"/>
  <c r="J14" i="162"/>
  <c r="D14" i="162"/>
  <c r="E14" i="162"/>
  <c r="F14" i="162"/>
  <c r="C14" i="162"/>
  <c r="I15" i="162"/>
  <c r="J15" i="162"/>
  <c r="D15" i="162"/>
  <c r="E15" i="162"/>
  <c r="F15" i="162"/>
  <c r="C15" i="162"/>
  <c r="I16" i="162"/>
  <c r="J16" i="162"/>
  <c r="D16" i="162"/>
  <c r="E16" i="162"/>
  <c r="F16" i="162"/>
  <c r="C16" i="162"/>
  <c r="I17" i="162"/>
  <c r="J17" i="162"/>
  <c r="D17" i="162"/>
  <c r="E17" i="162"/>
  <c r="F17" i="162"/>
  <c r="C17" i="162"/>
  <c r="I18" i="162"/>
  <c r="J18" i="162"/>
  <c r="D18" i="162"/>
  <c r="E18" i="162"/>
  <c r="F18" i="162"/>
  <c r="C18" i="162"/>
  <c r="I19" i="162"/>
  <c r="J19" i="162"/>
  <c r="D19" i="162"/>
  <c r="E19" i="162"/>
  <c r="F19" i="162"/>
  <c r="C19" i="162"/>
  <c r="I20" i="162"/>
  <c r="J20" i="162"/>
  <c r="D20" i="162"/>
  <c r="E20" i="162"/>
  <c r="F20" i="162"/>
  <c r="C20" i="162"/>
  <c r="I21" i="162"/>
  <c r="J21" i="162"/>
  <c r="D21" i="162"/>
  <c r="E21" i="162"/>
  <c r="F21" i="162"/>
  <c r="C21" i="162"/>
  <c r="I22" i="162"/>
  <c r="J22" i="162"/>
  <c r="D22" i="162"/>
  <c r="E22" i="162"/>
  <c r="F22" i="162"/>
  <c r="C22" i="162"/>
  <c r="I23" i="162"/>
  <c r="J23" i="162"/>
  <c r="D23" i="162"/>
  <c r="E23" i="162"/>
  <c r="F23" i="162"/>
  <c r="C23" i="162"/>
  <c r="I24" i="162"/>
  <c r="J24" i="162"/>
  <c r="D24" i="162"/>
  <c r="E24" i="162"/>
  <c r="F24" i="162"/>
  <c r="C24" i="162"/>
  <c r="I25" i="162"/>
  <c r="J25" i="162"/>
  <c r="D25" i="162"/>
  <c r="E25" i="162"/>
  <c r="F25" i="162"/>
  <c r="C25" i="162"/>
  <c r="I26" i="162"/>
  <c r="J26" i="162"/>
  <c r="D26" i="162"/>
  <c r="E26" i="162"/>
  <c r="F26" i="162"/>
  <c r="C26" i="162"/>
  <c r="I27" i="162"/>
  <c r="J27" i="162"/>
  <c r="D27" i="162"/>
  <c r="E27" i="162"/>
  <c r="F27" i="162"/>
  <c r="C27" i="162"/>
  <c r="I28" i="162"/>
  <c r="J28" i="162"/>
  <c r="D28" i="162"/>
  <c r="E28" i="162"/>
  <c r="F28" i="162"/>
  <c r="C28" i="162"/>
  <c r="I29" i="162"/>
  <c r="J29" i="162"/>
  <c r="D29" i="162"/>
  <c r="E29" i="162"/>
  <c r="F29" i="162"/>
  <c r="C29" i="162"/>
  <c r="I30" i="162"/>
  <c r="J30" i="162"/>
  <c r="D30" i="162"/>
  <c r="E30" i="162"/>
  <c r="F30" i="162"/>
  <c r="C30" i="162"/>
  <c r="I31" i="162"/>
  <c r="J31" i="162"/>
  <c r="D31" i="162"/>
  <c r="E31" i="162"/>
  <c r="F31" i="162"/>
  <c r="C31" i="162"/>
  <c r="I32" i="162"/>
  <c r="J32" i="162"/>
  <c r="D32" i="162"/>
  <c r="E32" i="162"/>
  <c r="F32" i="162"/>
  <c r="C32" i="162"/>
  <c r="I33" i="162"/>
  <c r="J33" i="162"/>
  <c r="D33" i="162"/>
  <c r="E33" i="162"/>
  <c r="F33" i="162"/>
  <c r="C33" i="162"/>
  <c r="I34" i="162"/>
  <c r="J34" i="162"/>
  <c r="D34" i="162"/>
  <c r="E34" i="162"/>
  <c r="F34" i="162"/>
  <c r="C34" i="162"/>
  <c r="I35" i="162"/>
  <c r="J35" i="162"/>
  <c r="D35" i="162"/>
  <c r="E35" i="162"/>
  <c r="F35" i="162"/>
  <c r="C35" i="162"/>
  <c r="I36" i="162"/>
  <c r="J36" i="162"/>
  <c r="D36" i="162"/>
  <c r="E36" i="162"/>
  <c r="F36" i="162"/>
  <c r="C36" i="162"/>
  <c r="I37" i="162"/>
  <c r="J37" i="162"/>
  <c r="D37" i="162"/>
  <c r="E37" i="162"/>
  <c r="F37" i="162"/>
  <c r="C37" i="162"/>
  <c r="I38" i="162"/>
  <c r="J38" i="162"/>
  <c r="D38" i="162"/>
  <c r="E38" i="162"/>
  <c r="F38" i="162"/>
  <c r="C38" i="162"/>
  <c r="I39" i="162"/>
  <c r="J39" i="162"/>
  <c r="D39" i="162"/>
  <c r="E39" i="162"/>
  <c r="F39" i="162"/>
  <c r="C39" i="162"/>
  <c r="I40" i="162"/>
  <c r="J40" i="162"/>
  <c r="D40" i="162"/>
  <c r="E40" i="162"/>
  <c r="F40" i="162"/>
  <c r="C40" i="162"/>
  <c r="I41" i="162"/>
  <c r="J41" i="162"/>
  <c r="D41" i="162"/>
  <c r="E41" i="162"/>
  <c r="F41" i="162"/>
  <c r="C41" i="162"/>
  <c r="I42" i="162"/>
  <c r="D42" i="162"/>
  <c r="J42" i="162"/>
  <c r="E42" i="162"/>
  <c r="F42" i="162"/>
  <c r="C42" i="162"/>
  <c r="I43" i="162"/>
  <c r="D43" i="162"/>
  <c r="J43" i="162"/>
  <c r="E43" i="162"/>
  <c r="F43" i="162"/>
  <c r="C43" i="162"/>
  <c r="I44" i="162"/>
  <c r="D44" i="162"/>
  <c r="J44" i="162"/>
  <c r="E44" i="162"/>
  <c r="F44" i="162"/>
  <c r="C44" i="162"/>
  <c r="I45" i="162"/>
  <c r="D45" i="162"/>
  <c r="J45" i="162"/>
  <c r="E45" i="162"/>
  <c r="F45" i="162"/>
  <c r="C45" i="162"/>
  <c r="I46" i="162"/>
  <c r="D46" i="162"/>
  <c r="J46" i="162"/>
  <c r="E46" i="162"/>
  <c r="F46" i="162"/>
  <c r="C46" i="162"/>
  <c r="I47" i="162"/>
  <c r="D47" i="162"/>
  <c r="J47" i="162"/>
  <c r="E47" i="162"/>
  <c r="F47" i="162"/>
  <c r="C47" i="162"/>
  <c r="I48" i="162"/>
  <c r="D48" i="162"/>
  <c r="J48" i="162"/>
  <c r="E48" i="162"/>
  <c r="F48" i="162"/>
  <c r="C48" i="162"/>
  <c r="I49" i="162"/>
  <c r="D49" i="162"/>
  <c r="J49" i="162"/>
  <c r="E49" i="162"/>
  <c r="F49" i="162"/>
  <c r="C49" i="162"/>
  <c r="I50" i="162"/>
  <c r="D50" i="162"/>
  <c r="J50" i="162"/>
  <c r="E50" i="162"/>
  <c r="F50" i="162"/>
  <c r="C50" i="162"/>
  <c r="I51" i="162"/>
  <c r="D51" i="162"/>
  <c r="J51" i="162"/>
  <c r="E51" i="162"/>
  <c r="F51" i="162"/>
  <c r="C51" i="162"/>
  <c r="I52" i="162"/>
  <c r="D52" i="162"/>
  <c r="J52" i="162"/>
  <c r="E52" i="162"/>
  <c r="F52" i="162"/>
  <c r="C52" i="162"/>
  <c r="I53" i="162"/>
  <c r="D53" i="162"/>
  <c r="J53" i="162"/>
  <c r="E53" i="162"/>
  <c r="F53" i="162"/>
  <c r="C53" i="162"/>
  <c r="I54" i="162"/>
  <c r="D54" i="162"/>
  <c r="J54" i="162"/>
  <c r="E54" i="162"/>
  <c r="F54" i="162"/>
  <c r="C54" i="162"/>
  <c r="I55" i="162"/>
  <c r="D55" i="162"/>
  <c r="J55" i="162"/>
  <c r="E55" i="162"/>
  <c r="F55" i="162"/>
  <c r="C55" i="162"/>
  <c r="I56" i="162"/>
  <c r="D56" i="162"/>
  <c r="J56" i="162"/>
  <c r="E56" i="162"/>
  <c r="F56" i="162"/>
  <c r="C56" i="162"/>
  <c r="I57" i="162"/>
  <c r="D57" i="162"/>
  <c r="J57" i="162"/>
  <c r="E57" i="162"/>
  <c r="F57" i="162"/>
  <c r="C57" i="162"/>
  <c r="I58" i="162"/>
  <c r="D58" i="162"/>
  <c r="J58" i="162"/>
  <c r="E58" i="162"/>
  <c r="F58" i="162"/>
  <c r="C58" i="162"/>
  <c r="I59" i="162"/>
  <c r="D59" i="162"/>
  <c r="J59" i="162"/>
  <c r="E59" i="162"/>
  <c r="F59" i="162"/>
  <c r="C59" i="162"/>
  <c r="I60" i="162"/>
  <c r="D60" i="162"/>
  <c r="J60" i="162"/>
  <c r="E60" i="162"/>
  <c r="F60" i="162"/>
  <c r="C60" i="162"/>
  <c r="I61" i="162"/>
  <c r="D61" i="162"/>
  <c r="J61" i="162"/>
  <c r="E61" i="162"/>
  <c r="F61" i="162"/>
  <c r="C61" i="162"/>
  <c r="I62" i="162"/>
  <c r="D62" i="162"/>
  <c r="J62" i="162"/>
  <c r="E62" i="162"/>
  <c r="F62" i="162"/>
  <c r="C62" i="162"/>
  <c r="I63" i="162"/>
  <c r="D63" i="162"/>
  <c r="J63" i="162"/>
  <c r="E63" i="162"/>
  <c r="F63" i="162"/>
  <c r="C63" i="162"/>
  <c r="I64" i="162"/>
  <c r="D64" i="162"/>
  <c r="J64" i="162"/>
  <c r="E64" i="162"/>
  <c r="F64" i="162"/>
  <c r="C64" i="162"/>
  <c r="I65" i="162"/>
  <c r="D65" i="162"/>
  <c r="J65" i="162"/>
  <c r="E65" i="162"/>
  <c r="F65" i="162"/>
  <c r="C65" i="162"/>
  <c r="I66" i="162"/>
  <c r="D66" i="162"/>
  <c r="J66" i="162"/>
  <c r="E66" i="162"/>
  <c r="F66" i="162"/>
  <c r="C66" i="162"/>
  <c r="I67" i="162"/>
  <c r="D67" i="162"/>
  <c r="J67" i="162"/>
  <c r="E67" i="162"/>
  <c r="F67" i="162"/>
  <c r="C67" i="162"/>
  <c r="I68" i="162"/>
  <c r="D68" i="162"/>
  <c r="J68" i="162"/>
  <c r="E68" i="162"/>
  <c r="F68" i="162"/>
  <c r="C68" i="162"/>
  <c r="I69" i="162"/>
  <c r="D69" i="162"/>
  <c r="J69" i="162"/>
  <c r="E69" i="162"/>
  <c r="F69" i="162"/>
  <c r="C69" i="162"/>
  <c r="I70" i="162"/>
  <c r="D70" i="162"/>
  <c r="J70" i="162"/>
  <c r="E70" i="162"/>
  <c r="F70" i="162"/>
  <c r="C70" i="162"/>
  <c r="I71" i="162"/>
  <c r="D71" i="162"/>
  <c r="J71" i="162"/>
  <c r="E71" i="162"/>
  <c r="F71" i="162"/>
  <c r="C71" i="162"/>
  <c r="I72" i="162"/>
  <c r="D72" i="162"/>
  <c r="J72" i="162"/>
  <c r="E72" i="162"/>
  <c r="F72" i="162"/>
  <c r="C72" i="162"/>
  <c r="I73" i="162"/>
  <c r="D73" i="162"/>
  <c r="J73" i="162"/>
  <c r="E73" i="162"/>
  <c r="F73" i="162"/>
  <c r="C73" i="162"/>
  <c r="I74" i="162"/>
  <c r="D74" i="162"/>
  <c r="J74" i="162"/>
  <c r="E74" i="162"/>
  <c r="F74" i="162"/>
  <c r="C74" i="162"/>
  <c r="I75" i="162"/>
  <c r="D75" i="162"/>
  <c r="J75" i="162"/>
  <c r="E75" i="162"/>
  <c r="F75" i="162"/>
  <c r="C75" i="162"/>
  <c r="I76" i="162"/>
  <c r="D76" i="162"/>
  <c r="J76" i="162"/>
  <c r="E76" i="162"/>
  <c r="F76" i="162"/>
  <c r="C76" i="162"/>
  <c r="I77" i="162"/>
  <c r="D77" i="162"/>
  <c r="J77" i="162"/>
  <c r="E77" i="162"/>
  <c r="F77" i="162"/>
  <c r="C77" i="162"/>
  <c r="I78" i="162"/>
  <c r="D78" i="162"/>
  <c r="J78" i="162"/>
  <c r="E78" i="162"/>
  <c r="F78" i="162"/>
  <c r="C78" i="162"/>
  <c r="I79" i="162"/>
  <c r="D79" i="162"/>
  <c r="J79" i="162"/>
  <c r="E79" i="162"/>
  <c r="F79" i="162"/>
  <c r="C79" i="162"/>
  <c r="I80" i="162"/>
  <c r="D80" i="162"/>
  <c r="J80" i="162"/>
  <c r="E80" i="162"/>
  <c r="F80" i="162"/>
  <c r="C80" i="162"/>
  <c r="I81" i="162"/>
  <c r="D81" i="162"/>
  <c r="J81" i="162"/>
  <c r="E81" i="162"/>
  <c r="F81" i="162"/>
  <c r="C81" i="162"/>
  <c r="I82" i="162"/>
  <c r="D82" i="162"/>
  <c r="J82" i="162"/>
  <c r="E82" i="162"/>
  <c r="F82" i="162"/>
  <c r="C82" i="162"/>
  <c r="I83" i="162"/>
  <c r="D83" i="162"/>
  <c r="J83" i="162"/>
  <c r="E83" i="162"/>
  <c r="F83" i="162"/>
  <c r="C83" i="162"/>
  <c r="I84" i="162"/>
  <c r="D84" i="162"/>
  <c r="J84" i="162"/>
  <c r="E84" i="162"/>
  <c r="F84" i="162"/>
  <c r="C84" i="162"/>
  <c r="I85" i="162"/>
  <c r="D85" i="162"/>
  <c r="J85" i="162"/>
  <c r="E85" i="162"/>
  <c r="F85" i="162"/>
  <c r="C85" i="162"/>
  <c r="I86" i="162"/>
  <c r="D86" i="162"/>
  <c r="J86" i="162"/>
  <c r="E86" i="162"/>
  <c r="F86" i="162"/>
  <c r="C86" i="162"/>
  <c r="I87" i="162"/>
  <c r="D87" i="162"/>
  <c r="J87" i="162"/>
  <c r="E87" i="162"/>
  <c r="F87" i="162"/>
  <c r="C87" i="162"/>
  <c r="I88" i="162"/>
  <c r="D88" i="162"/>
  <c r="J88" i="162"/>
  <c r="E88" i="162"/>
  <c r="F88" i="162"/>
  <c r="C88" i="162"/>
  <c r="I89" i="162"/>
  <c r="D89" i="162"/>
  <c r="J89" i="162"/>
  <c r="E89" i="162"/>
  <c r="F89" i="162"/>
  <c r="C89" i="162"/>
  <c r="I90" i="162"/>
  <c r="D90" i="162"/>
  <c r="J90" i="162"/>
  <c r="E90" i="162"/>
  <c r="F90" i="162"/>
  <c r="C90" i="162"/>
  <c r="I91" i="162"/>
  <c r="D91" i="162"/>
  <c r="J91" i="162"/>
  <c r="E91" i="162"/>
  <c r="F91" i="162"/>
  <c r="C91" i="162"/>
  <c r="I92" i="162"/>
  <c r="D92" i="162"/>
  <c r="J92" i="162"/>
  <c r="E92" i="162"/>
  <c r="F92" i="162"/>
  <c r="C92" i="162"/>
  <c r="I93" i="162"/>
  <c r="D93" i="162"/>
  <c r="J93" i="162"/>
  <c r="E93" i="162"/>
  <c r="F93" i="162"/>
  <c r="C93" i="162"/>
  <c r="I94" i="162"/>
  <c r="D94" i="162"/>
  <c r="J94" i="162"/>
  <c r="E94" i="162"/>
  <c r="F94" i="162"/>
  <c r="C94" i="162"/>
  <c r="I95" i="162"/>
  <c r="D95" i="162"/>
  <c r="J95" i="162"/>
  <c r="E95" i="162"/>
  <c r="F95" i="162"/>
  <c r="C95" i="162"/>
  <c r="I96" i="162"/>
  <c r="D96" i="162"/>
  <c r="J96" i="162"/>
  <c r="E96" i="162"/>
  <c r="F96" i="162"/>
  <c r="C96" i="162"/>
  <c r="I97" i="162"/>
  <c r="D97" i="162"/>
  <c r="J97" i="162"/>
  <c r="E97" i="162"/>
  <c r="F97" i="162"/>
  <c r="C97" i="162"/>
  <c r="I98" i="162"/>
  <c r="D98" i="162"/>
  <c r="J98" i="162"/>
  <c r="E98" i="162"/>
  <c r="F98" i="162"/>
  <c r="C98" i="162"/>
  <c r="I99" i="162"/>
  <c r="D99" i="162"/>
  <c r="J99" i="162"/>
  <c r="E99" i="162"/>
  <c r="F99" i="162"/>
  <c r="C99" i="162"/>
  <c r="I100" i="162"/>
  <c r="D100" i="162"/>
  <c r="J100" i="162"/>
  <c r="E100" i="162"/>
  <c r="F100" i="162"/>
  <c r="C100" i="162"/>
  <c r="I101" i="162"/>
  <c r="D101" i="162"/>
  <c r="J101" i="162"/>
  <c r="E101" i="162"/>
  <c r="F101" i="162"/>
  <c r="C101" i="162"/>
  <c r="I102" i="162"/>
  <c r="D102" i="162"/>
  <c r="J102" i="162"/>
  <c r="E102" i="162"/>
  <c r="F102" i="162"/>
  <c r="C102" i="162"/>
  <c r="I103" i="162"/>
  <c r="D103" i="162"/>
  <c r="J103" i="162"/>
  <c r="E103" i="162"/>
  <c r="F103" i="162"/>
  <c r="C103" i="162"/>
  <c r="I104" i="162"/>
  <c r="D104" i="162"/>
  <c r="J104" i="162"/>
  <c r="E104" i="162"/>
  <c r="F104" i="162"/>
  <c r="C104" i="162"/>
  <c r="I105" i="162"/>
  <c r="D105" i="162"/>
  <c r="J105" i="162"/>
  <c r="E105" i="162"/>
  <c r="F105" i="162"/>
  <c r="C105" i="162"/>
  <c r="I106" i="162"/>
  <c r="D106" i="162"/>
  <c r="J106" i="162"/>
  <c r="E106" i="162"/>
  <c r="F106" i="162"/>
  <c r="C106" i="162"/>
  <c r="I107" i="162"/>
  <c r="D107" i="162"/>
  <c r="J107" i="162"/>
  <c r="E107" i="162"/>
  <c r="F107" i="162"/>
  <c r="C107" i="162"/>
  <c r="I108" i="162"/>
  <c r="D108" i="162"/>
  <c r="J108" i="162"/>
  <c r="E108" i="162"/>
  <c r="F108" i="162"/>
  <c r="C108" i="162"/>
  <c r="I109" i="162"/>
  <c r="D109" i="162"/>
  <c r="J109" i="162"/>
  <c r="E109" i="162"/>
  <c r="F109" i="162"/>
  <c r="C109" i="162"/>
  <c r="I110" i="162"/>
  <c r="D110" i="162"/>
  <c r="J110" i="162"/>
  <c r="E110" i="162"/>
  <c r="F110" i="162"/>
  <c r="C110" i="162"/>
  <c r="I111" i="162"/>
  <c r="D111" i="162"/>
  <c r="J111" i="162"/>
  <c r="E111" i="162"/>
  <c r="F111" i="162"/>
  <c r="C111" i="162"/>
  <c r="I112" i="162"/>
  <c r="D112" i="162"/>
  <c r="J112" i="162"/>
  <c r="E112" i="162"/>
  <c r="F112" i="162"/>
  <c r="C112" i="162"/>
  <c r="I113" i="162"/>
  <c r="D113" i="162"/>
  <c r="J113" i="162"/>
  <c r="E113" i="162"/>
  <c r="F113" i="162"/>
  <c r="C113" i="162"/>
  <c r="I114" i="162"/>
  <c r="D114" i="162"/>
  <c r="J114" i="162"/>
  <c r="E114" i="162"/>
  <c r="F114" i="162"/>
  <c r="C114" i="162"/>
  <c r="I115" i="162"/>
  <c r="D115" i="162"/>
  <c r="J115" i="162"/>
  <c r="E115" i="162"/>
  <c r="F115" i="162"/>
  <c r="C115" i="162"/>
  <c r="I116" i="162"/>
  <c r="D116" i="162"/>
  <c r="J116" i="162"/>
  <c r="E116" i="162"/>
  <c r="F116" i="162"/>
  <c r="C116" i="162"/>
  <c r="I117" i="162"/>
  <c r="D117" i="162"/>
  <c r="J117" i="162"/>
  <c r="E117" i="162"/>
  <c r="F117" i="162"/>
  <c r="C117" i="162"/>
  <c r="I118" i="162"/>
  <c r="D118" i="162"/>
  <c r="J118" i="162"/>
  <c r="E118" i="162"/>
  <c r="F118" i="162"/>
  <c r="C118" i="162"/>
  <c r="I119" i="162"/>
  <c r="D119" i="162"/>
  <c r="J119" i="162"/>
  <c r="E119" i="162"/>
  <c r="F119" i="162"/>
  <c r="C119" i="162"/>
  <c r="I120" i="162"/>
  <c r="D120" i="162"/>
  <c r="J120" i="162"/>
  <c r="E120" i="162"/>
  <c r="F120" i="162"/>
  <c r="C120" i="162"/>
  <c r="I121" i="162"/>
  <c r="D121" i="162"/>
  <c r="J121" i="162"/>
  <c r="E121" i="162"/>
  <c r="F121" i="162"/>
  <c r="C121" i="162"/>
  <c r="I122" i="162"/>
  <c r="D122" i="162"/>
  <c r="J122" i="162"/>
  <c r="E122" i="162"/>
  <c r="F122" i="162"/>
  <c r="C122" i="162"/>
  <c r="I123" i="162"/>
  <c r="D123" i="162"/>
  <c r="J123" i="162"/>
  <c r="E123" i="162"/>
  <c r="F123" i="162"/>
  <c r="C123" i="162"/>
  <c r="I124" i="162"/>
  <c r="D124" i="162"/>
  <c r="J124" i="162"/>
  <c r="E124" i="162"/>
  <c r="F124" i="162"/>
  <c r="C124" i="162"/>
  <c r="I125" i="162"/>
  <c r="D125" i="162"/>
  <c r="J125" i="162"/>
  <c r="E125" i="162"/>
  <c r="F125" i="162"/>
  <c r="C125" i="162"/>
  <c r="I126" i="162"/>
  <c r="D126" i="162"/>
  <c r="J126" i="162"/>
  <c r="E126" i="162"/>
  <c r="F126" i="162"/>
  <c r="C126" i="162"/>
  <c r="I127" i="162"/>
  <c r="D127" i="162"/>
  <c r="J127" i="162"/>
  <c r="E127" i="162"/>
  <c r="F127" i="162"/>
  <c r="C127" i="162"/>
  <c r="I128" i="162"/>
  <c r="D128" i="162"/>
  <c r="J128" i="162"/>
  <c r="E128" i="162"/>
  <c r="F128" i="162"/>
  <c r="C128" i="162"/>
  <c r="I129" i="162"/>
  <c r="D129" i="162"/>
  <c r="J129" i="162"/>
  <c r="E129" i="162"/>
  <c r="F129" i="162"/>
  <c r="C129" i="162"/>
  <c r="I130" i="162"/>
  <c r="D130" i="162"/>
  <c r="J130" i="162"/>
  <c r="E130" i="162"/>
  <c r="F130" i="162"/>
  <c r="C130" i="162"/>
  <c r="I131" i="162"/>
  <c r="D131" i="162"/>
  <c r="J131" i="162"/>
  <c r="E131" i="162"/>
  <c r="F131" i="162"/>
  <c r="C131" i="162"/>
  <c r="I132" i="162"/>
  <c r="D132" i="162"/>
  <c r="J132" i="162"/>
  <c r="E132" i="162"/>
  <c r="F132" i="162"/>
  <c r="C132" i="162"/>
  <c r="I133" i="162"/>
  <c r="D133" i="162"/>
  <c r="J133" i="162"/>
  <c r="E133" i="162"/>
  <c r="F133" i="162"/>
  <c r="C133" i="162"/>
  <c r="I134" i="162"/>
  <c r="D134" i="162"/>
  <c r="J134" i="162"/>
  <c r="E134" i="162"/>
  <c r="F134" i="162"/>
  <c r="C134" i="162"/>
  <c r="I135" i="162"/>
  <c r="D135" i="162"/>
  <c r="J135" i="162"/>
  <c r="E135" i="162"/>
  <c r="F135" i="162"/>
  <c r="C135" i="162"/>
  <c r="I136" i="162"/>
  <c r="D136" i="162"/>
  <c r="J136" i="162"/>
  <c r="E136" i="162"/>
  <c r="F136" i="162"/>
  <c r="C136" i="162"/>
  <c r="I137" i="162"/>
  <c r="D137" i="162"/>
  <c r="J137" i="162"/>
  <c r="E137" i="162"/>
  <c r="F137" i="162"/>
  <c r="C137" i="162"/>
  <c r="I138" i="162"/>
  <c r="D138" i="162"/>
  <c r="J138" i="162"/>
  <c r="E138" i="162"/>
  <c r="F138" i="162"/>
  <c r="C138" i="162"/>
  <c r="I139" i="162"/>
  <c r="D139" i="162"/>
  <c r="J139" i="162"/>
  <c r="E139" i="162"/>
  <c r="F139" i="162"/>
  <c r="C139" i="162"/>
  <c r="I140" i="162"/>
  <c r="D140" i="162"/>
  <c r="J140" i="162"/>
  <c r="E140" i="162"/>
  <c r="F140" i="162"/>
  <c r="C140" i="162"/>
  <c r="I141" i="162"/>
  <c r="D141" i="162"/>
  <c r="J141" i="162"/>
  <c r="E141" i="162"/>
  <c r="F141" i="162"/>
  <c r="C141" i="162"/>
  <c r="I142" i="162"/>
  <c r="D142" i="162"/>
  <c r="J142" i="162"/>
  <c r="E142" i="162"/>
  <c r="F142" i="162"/>
  <c r="C142" i="162"/>
  <c r="I143" i="162"/>
  <c r="D143" i="162"/>
  <c r="J143" i="162"/>
  <c r="E143" i="162"/>
  <c r="F143" i="162"/>
  <c r="C143" i="162"/>
  <c r="I144" i="162"/>
  <c r="D144" i="162"/>
  <c r="J144" i="162"/>
  <c r="E144" i="162"/>
  <c r="F144" i="162"/>
  <c r="C144" i="162"/>
  <c r="I145" i="162"/>
  <c r="D145" i="162"/>
  <c r="J145" i="162"/>
  <c r="E145" i="162"/>
  <c r="F145" i="162"/>
  <c r="C145" i="162"/>
  <c r="I146" i="162"/>
  <c r="D146" i="162"/>
  <c r="J146" i="162"/>
  <c r="E146" i="162"/>
  <c r="F146" i="162"/>
  <c r="C146" i="162"/>
  <c r="I147" i="162"/>
  <c r="D147" i="162"/>
  <c r="J147" i="162"/>
  <c r="E147" i="162"/>
  <c r="F147" i="162"/>
  <c r="C147" i="162"/>
  <c r="I148" i="162"/>
  <c r="D148" i="162"/>
  <c r="J148" i="162"/>
  <c r="E148" i="162"/>
  <c r="F148" i="162"/>
  <c r="C148" i="162"/>
  <c r="I149" i="162"/>
  <c r="D149" i="162"/>
  <c r="J149" i="162"/>
  <c r="E149" i="162"/>
  <c r="F149" i="162"/>
  <c r="C149" i="162"/>
  <c r="I150" i="162"/>
  <c r="D150" i="162"/>
  <c r="J150" i="162"/>
  <c r="E150" i="162"/>
  <c r="F150" i="162"/>
  <c r="C150" i="162"/>
  <c r="I151" i="162"/>
  <c r="D151" i="162"/>
  <c r="J151" i="162"/>
  <c r="E151" i="162"/>
  <c r="F151" i="162"/>
  <c r="C151" i="162"/>
  <c r="I152" i="162"/>
  <c r="D152" i="162"/>
  <c r="J152" i="162"/>
  <c r="E152" i="162"/>
  <c r="F152" i="162"/>
  <c r="C152" i="162"/>
  <c r="I153" i="162"/>
  <c r="D153" i="162"/>
  <c r="J153" i="162"/>
  <c r="E153" i="162"/>
  <c r="F153" i="162"/>
  <c r="C153" i="162"/>
  <c r="I154" i="162"/>
  <c r="D154" i="162"/>
  <c r="J154" i="162"/>
  <c r="E154" i="162"/>
  <c r="F154" i="162"/>
  <c r="C154" i="162"/>
  <c r="I155" i="162"/>
  <c r="D155" i="162"/>
  <c r="J155" i="162"/>
  <c r="E155" i="162"/>
  <c r="F155" i="162"/>
  <c r="C155" i="162"/>
  <c r="I156" i="162"/>
  <c r="D156" i="162"/>
  <c r="J156" i="162"/>
  <c r="E156" i="162"/>
  <c r="F156" i="162"/>
  <c r="C156" i="162"/>
  <c r="I157" i="162"/>
  <c r="D157" i="162"/>
  <c r="J157" i="162"/>
  <c r="E157" i="162"/>
  <c r="F157" i="162"/>
  <c r="C157" i="162"/>
  <c r="I158" i="162"/>
  <c r="D158" i="162"/>
  <c r="J158" i="162"/>
  <c r="E158" i="162"/>
  <c r="F158" i="162"/>
  <c r="C158" i="162"/>
  <c r="I159" i="162"/>
  <c r="D159" i="162"/>
  <c r="J159" i="162"/>
  <c r="E159" i="162"/>
  <c r="F159" i="162"/>
  <c r="C159" i="162"/>
  <c r="I160" i="162"/>
  <c r="D160" i="162"/>
  <c r="J160" i="162"/>
  <c r="E160" i="162"/>
  <c r="F160" i="162"/>
  <c r="C160" i="162"/>
  <c r="I161" i="162"/>
  <c r="D161" i="162"/>
  <c r="J161" i="162"/>
  <c r="E161" i="162"/>
  <c r="F161" i="162"/>
  <c r="C161" i="162"/>
  <c r="I162" i="162"/>
  <c r="D162" i="162"/>
  <c r="J162" i="162"/>
  <c r="E162" i="162"/>
  <c r="F162" i="162"/>
  <c r="C162" i="162"/>
  <c r="I163" i="162"/>
  <c r="D163" i="162"/>
  <c r="J163" i="162"/>
  <c r="E163" i="162"/>
  <c r="F163" i="162"/>
  <c r="C163" i="162"/>
  <c r="I164" i="162"/>
  <c r="D164" i="162"/>
  <c r="J164" i="162"/>
  <c r="E164" i="162"/>
  <c r="F164" i="162"/>
  <c r="C164" i="162"/>
  <c r="I165" i="162"/>
  <c r="D165" i="162"/>
  <c r="J165" i="162"/>
  <c r="E165" i="162"/>
  <c r="F165" i="162"/>
  <c r="C165" i="162"/>
  <c r="I166" i="162"/>
  <c r="D166" i="162"/>
  <c r="J166" i="162"/>
  <c r="E166" i="162"/>
  <c r="F166" i="162"/>
  <c r="C166" i="162"/>
  <c r="I167" i="162"/>
  <c r="D167" i="162"/>
  <c r="J167" i="162"/>
  <c r="E167" i="162"/>
  <c r="F167" i="162"/>
  <c r="C167" i="162"/>
  <c r="I168" i="162"/>
  <c r="D168" i="162"/>
  <c r="J168" i="162"/>
  <c r="E168" i="162"/>
  <c r="F168" i="162"/>
  <c r="C168" i="162"/>
  <c r="I169" i="162"/>
  <c r="D169" i="162"/>
  <c r="J169" i="162"/>
  <c r="E169" i="162"/>
  <c r="F169" i="162"/>
  <c r="C169" i="162"/>
  <c r="I170" i="162"/>
  <c r="D170" i="162"/>
  <c r="J170" i="162"/>
  <c r="E170" i="162"/>
  <c r="F170" i="162"/>
  <c r="C170" i="162"/>
  <c r="I171" i="162"/>
  <c r="D171" i="162"/>
  <c r="J171" i="162"/>
  <c r="E171" i="162"/>
  <c r="F171" i="162"/>
  <c r="C171" i="162"/>
  <c r="I172" i="162"/>
  <c r="D172" i="162"/>
  <c r="J172" i="162"/>
  <c r="E172" i="162"/>
  <c r="F172" i="162"/>
  <c r="C172" i="162"/>
  <c r="I173" i="162"/>
  <c r="D173" i="162"/>
  <c r="J173" i="162"/>
  <c r="E173" i="162"/>
  <c r="F173" i="162"/>
  <c r="C173" i="162"/>
  <c r="I174" i="162"/>
  <c r="D174" i="162"/>
  <c r="J174" i="162"/>
  <c r="E174" i="162"/>
  <c r="F174" i="162"/>
  <c r="C174" i="162"/>
  <c r="I175" i="162"/>
  <c r="D175" i="162"/>
  <c r="J175" i="162"/>
  <c r="E175" i="162"/>
  <c r="F175" i="162"/>
  <c r="C175" i="162"/>
  <c r="I176" i="162"/>
  <c r="D176" i="162"/>
  <c r="J176" i="162"/>
  <c r="E176" i="162"/>
  <c r="F176" i="162"/>
  <c r="C176" i="162"/>
  <c r="I177" i="162"/>
  <c r="D177" i="162"/>
  <c r="J177" i="162"/>
  <c r="E177" i="162"/>
  <c r="F177" i="162"/>
  <c r="C177" i="162"/>
  <c r="I178" i="162"/>
  <c r="D178" i="162"/>
  <c r="J178" i="162"/>
  <c r="E178" i="162"/>
  <c r="F178" i="162"/>
  <c r="C178" i="162"/>
  <c r="I179" i="162"/>
  <c r="D179" i="162"/>
  <c r="J179" i="162"/>
  <c r="E179" i="162"/>
  <c r="F179" i="162"/>
  <c r="C179" i="162"/>
  <c r="I180" i="162"/>
  <c r="D180" i="162"/>
  <c r="J180" i="162"/>
  <c r="E180" i="162"/>
  <c r="F180" i="162"/>
  <c r="C180" i="162"/>
  <c r="I181" i="162"/>
  <c r="D181" i="162"/>
  <c r="J181" i="162"/>
  <c r="E181" i="162"/>
  <c r="F181" i="162"/>
  <c r="C181" i="162"/>
  <c r="I182" i="162"/>
  <c r="D182" i="162"/>
  <c r="J182" i="162"/>
  <c r="E182" i="162"/>
  <c r="F182" i="162"/>
  <c r="C182" i="162"/>
  <c r="I183" i="162"/>
  <c r="D183" i="162"/>
  <c r="J183" i="162"/>
  <c r="E183" i="162"/>
  <c r="F183" i="162"/>
  <c r="C183" i="162"/>
  <c r="I184" i="162"/>
  <c r="D184" i="162"/>
  <c r="J184" i="162"/>
  <c r="E184" i="162"/>
  <c r="F184" i="162"/>
  <c r="C184" i="162"/>
  <c r="I185" i="162"/>
  <c r="D185" i="162"/>
  <c r="J185" i="162"/>
  <c r="E185" i="162"/>
  <c r="F185" i="162"/>
  <c r="C185" i="162"/>
  <c r="I186" i="162"/>
  <c r="D186" i="162"/>
  <c r="J186" i="162"/>
  <c r="E186" i="162"/>
  <c r="F186" i="162"/>
  <c r="C186" i="162"/>
  <c r="I187" i="162"/>
  <c r="D187" i="162"/>
  <c r="J187" i="162"/>
  <c r="E187" i="162"/>
  <c r="F187" i="162"/>
  <c r="C187" i="162"/>
  <c r="I188" i="162"/>
  <c r="D188" i="162"/>
  <c r="J188" i="162"/>
  <c r="E188" i="162"/>
  <c r="F188" i="162"/>
  <c r="C188" i="162"/>
  <c r="I189" i="162"/>
  <c r="D189" i="162"/>
  <c r="J189" i="162"/>
  <c r="E189" i="162"/>
  <c r="F189" i="162"/>
  <c r="C189" i="162"/>
  <c r="I190" i="162"/>
  <c r="D190" i="162"/>
  <c r="J190" i="162"/>
  <c r="E190" i="162"/>
  <c r="F190" i="162"/>
  <c r="C190" i="162"/>
  <c r="I191" i="162"/>
  <c r="D191" i="162"/>
  <c r="J191" i="162"/>
  <c r="E191" i="162"/>
  <c r="F191" i="162"/>
  <c r="C191" i="162"/>
  <c r="I192" i="162"/>
  <c r="D192" i="162"/>
  <c r="J192" i="162"/>
  <c r="E192" i="162"/>
  <c r="F192" i="162"/>
  <c r="C192" i="162"/>
  <c r="I193" i="162"/>
  <c r="D193" i="162"/>
  <c r="J193" i="162"/>
  <c r="E193" i="162"/>
  <c r="F193" i="162"/>
  <c r="C193" i="162"/>
  <c r="I194" i="162"/>
  <c r="D194" i="162"/>
  <c r="J194" i="162"/>
  <c r="E194" i="162"/>
  <c r="F194" i="162"/>
  <c r="C194" i="162"/>
  <c r="I195" i="162"/>
  <c r="D195" i="162"/>
  <c r="J195" i="162"/>
  <c r="E195" i="162"/>
  <c r="F195" i="162"/>
  <c r="C195" i="162"/>
  <c r="I196" i="162"/>
  <c r="D196" i="162"/>
  <c r="J196" i="162"/>
  <c r="E196" i="162"/>
  <c r="F196" i="162"/>
  <c r="C196" i="162"/>
  <c r="I197" i="162"/>
  <c r="D197" i="162"/>
  <c r="J197" i="162"/>
  <c r="E197" i="162"/>
  <c r="F197" i="162"/>
  <c r="C197" i="162"/>
  <c r="I198" i="162"/>
  <c r="D198" i="162"/>
  <c r="J198" i="162"/>
  <c r="E198" i="162"/>
  <c r="F198" i="162"/>
  <c r="C198" i="162"/>
  <c r="I199" i="162"/>
  <c r="D199" i="162"/>
  <c r="J199" i="162"/>
  <c r="E199" i="162"/>
  <c r="F199" i="162"/>
  <c r="C199" i="162"/>
  <c r="I200" i="162"/>
  <c r="D200" i="162"/>
  <c r="J200" i="162"/>
  <c r="E200" i="162"/>
  <c r="F200" i="162"/>
  <c r="C200" i="162"/>
  <c r="I201" i="162"/>
  <c r="D201" i="162"/>
  <c r="J201" i="162"/>
  <c r="E201" i="162"/>
  <c r="F201" i="162"/>
  <c r="C201" i="162"/>
  <c r="I202" i="162"/>
  <c r="D202" i="162"/>
  <c r="J202" i="162"/>
  <c r="E202" i="162"/>
  <c r="F202" i="162"/>
  <c r="C202" i="162"/>
  <c r="I203" i="162"/>
  <c r="D203" i="162"/>
  <c r="J203" i="162"/>
  <c r="E203" i="162"/>
  <c r="F203" i="162"/>
  <c r="C203" i="162"/>
  <c r="I204" i="162"/>
  <c r="D204" i="162"/>
  <c r="J204" i="162"/>
  <c r="E204" i="162"/>
  <c r="F204" i="162"/>
  <c r="C204" i="162"/>
  <c r="I205" i="162"/>
  <c r="D205" i="162"/>
  <c r="J205" i="162"/>
  <c r="E205" i="162"/>
  <c r="F205" i="162"/>
  <c r="C205" i="162"/>
  <c r="I206" i="162"/>
  <c r="D206" i="162"/>
  <c r="J206" i="162"/>
  <c r="E206" i="162"/>
  <c r="F206" i="162"/>
  <c r="C206" i="162"/>
  <c r="I207" i="162"/>
  <c r="D207" i="162"/>
  <c r="J207" i="162"/>
  <c r="E207" i="162"/>
  <c r="F207" i="162"/>
  <c r="C207" i="162"/>
  <c r="I208" i="162"/>
  <c r="D208" i="162"/>
  <c r="J208" i="162"/>
  <c r="E208" i="162"/>
  <c r="F208" i="162"/>
  <c r="C208" i="162"/>
  <c r="I209" i="162"/>
  <c r="D209" i="162"/>
  <c r="J209" i="162"/>
  <c r="E209" i="162"/>
  <c r="F209" i="162"/>
  <c r="C209" i="162"/>
  <c r="I210" i="162"/>
  <c r="D210" i="162"/>
  <c r="J210" i="162"/>
  <c r="E210" i="162"/>
  <c r="F210" i="162"/>
  <c r="C210" i="162"/>
  <c r="I211" i="162"/>
  <c r="D211" i="162"/>
  <c r="J211" i="162"/>
  <c r="E211" i="162"/>
  <c r="F211" i="162"/>
  <c r="C211" i="162"/>
  <c r="I212" i="162"/>
  <c r="D212" i="162"/>
  <c r="J212" i="162"/>
  <c r="E212" i="162"/>
  <c r="F212" i="162"/>
  <c r="C212" i="162"/>
  <c r="I213" i="162"/>
  <c r="D213" i="162"/>
  <c r="J213" i="162"/>
  <c r="E213" i="162"/>
  <c r="F213" i="162"/>
  <c r="C213" i="162"/>
  <c r="I214" i="162"/>
  <c r="D214" i="162"/>
  <c r="J214" i="162"/>
  <c r="E214" i="162"/>
  <c r="F214" i="162"/>
  <c r="C214" i="162"/>
  <c r="I215" i="162"/>
  <c r="J215" i="162"/>
  <c r="D215" i="162"/>
  <c r="E215" i="162"/>
  <c r="F215" i="162"/>
  <c r="C215" i="162"/>
  <c r="I216" i="162"/>
  <c r="J216" i="162"/>
  <c r="D216" i="162"/>
  <c r="E216" i="162"/>
  <c r="F216" i="162"/>
  <c r="C216" i="162"/>
  <c r="I217" i="162"/>
  <c r="J217" i="162"/>
  <c r="D217" i="162"/>
  <c r="E217" i="162"/>
  <c r="F217" i="162"/>
  <c r="C217" i="162"/>
  <c r="I218" i="162"/>
  <c r="J218" i="162"/>
  <c r="D218" i="162"/>
  <c r="E218" i="162"/>
  <c r="F218" i="162"/>
  <c r="C218" i="162"/>
  <c r="I219" i="162"/>
  <c r="J219" i="162"/>
  <c r="D219" i="162"/>
  <c r="E219" i="162"/>
  <c r="F219" i="162"/>
  <c r="C219" i="162"/>
  <c r="I220" i="162"/>
  <c r="J220" i="162"/>
  <c r="D220" i="162"/>
  <c r="E220" i="162"/>
  <c r="F220" i="162"/>
  <c r="C220" i="162"/>
  <c r="I221" i="162"/>
  <c r="D221" i="162"/>
  <c r="J221" i="162"/>
  <c r="E221" i="162"/>
  <c r="F221" i="162"/>
  <c r="C221" i="162"/>
  <c r="I222" i="162"/>
  <c r="D222" i="162"/>
  <c r="J222" i="162"/>
  <c r="E222" i="162"/>
  <c r="F222" i="162"/>
  <c r="C222" i="162"/>
  <c r="I223" i="162"/>
  <c r="D223" i="162"/>
  <c r="J223" i="162"/>
  <c r="E223" i="162"/>
  <c r="F223" i="162"/>
  <c r="C223" i="162"/>
  <c r="I224" i="162"/>
  <c r="D224" i="162"/>
  <c r="J224" i="162"/>
  <c r="E224" i="162"/>
  <c r="F224" i="162"/>
  <c r="C224" i="162"/>
  <c r="I225" i="162"/>
  <c r="D225" i="162"/>
  <c r="J225" i="162"/>
  <c r="E225" i="162"/>
  <c r="F225" i="162"/>
  <c r="C225" i="162"/>
  <c r="I226" i="162"/>
  <c r="D226" i="162"/>
  <c r="J226" i="162"/>
  <c r="E226" i="162"/>
  <c r="F226" i="162"/>
  <c r="C226" i="162"/>
  <c r="I227" i="162"/>
  <c r="D227" i="162"/>
  <c r="J227" i="162"/>
  <c r="E227" i="162"/>
  <c r="F227" i="162"/>
  <c r="C227" i="162"/>
  <c r="I228" i="162"/>
  <c r="D228" i="162"/>
  <c r="J228" i="162"/>
  <c r="E228" i="162"/>
  <c r="F228" i="162"/>
  <c r="C228" i="162"/>
  <c r="I229" i="162"/>
  <c r="D229" i="162"/>
  <c r="J229" i="162"/>
  <c r="E229" i="162"/>
  <c r="F229" i="162"/>
  <c r="C229" i="162"/>
  <c r="I230" i="162"/>
  <c r="D230" i="162"/>
  <c r="J230" i="162"/>
  <c r="E230" i="162"/>
  <c r="F230" i="162"/>
  <c r="C230" i="162"/>
  <c r="I231" i="162"/>
  <c r="D231" i="162"/>
  <c r="J231" i="162"/>
  <c r="E231" i="162"/>
  <c r="F231" i="162"/>
  <c r="C231" i="162"/>
  <c r="I232" i="162"/>
  <c r="D232" i="162"/>
  <c r="J232" i="162"/>
  <c r="E232" i="162"/>
  <c r="F232" i="162"/>
  <c r="C232" i="162"/>
  <c r="I233" i="162"/>
  <c r="D233" i="162"/>
  <c r="J233" i="162"/>
  <c r="E233" i="162"/>
  <c r="F233" i="162"/>
  <c r="C233" i="162"/>
  <c r="I234" i="162"/>
  <c r="D234" i="162"/>
  <c r="J234" i="162"/>
  <c r="E234" i="162"/>
  <c r="F234" i="162"/>
  <c r="C234" i="162"/>
  <c r="I235" i="162"/>
  <c r="D235" i="162"/>
  <c r="J235" i="162"/>
  <c r="E235" i="162"/>
  <c r="F235" i="162"/>
  <c r="C235" i="162"/>
  <c r="I236" i="162"/>
  <c r="D236" i="162"/>
  <c r="J236" i="162"/>
  <c r="E236" i="162"/>
  <c r="F236" i="162"/>
  <c r="C236" i="162"/>
  <c r="I237" i="162"/>
  <c r="D237" i="162"/>
  <c r="J237" i="162"/>
  <c r="E237" i="162"/>
  <c r="F237" i="162"/>
  <c r="C237" i="162"/>
  <c r="I238" i="162"/>
  <c r="D238" i="162"/>
  <c r="J238" i="162"/>
  <c r="E238" i="162"/>
  <c r="F238" i="162"/>
  <c r="C238" i="162"/>
  <c r="I239" i="162"/>
  <c r="D239" i="162"/>
  <c r="J239" i="162"/>
  <c r="E239" i="162"/>
  <c r="F239" i="162"/>
  <c r="C239" i="162"/>
  <c r="I240" i="162"/>
  <c r="D240" i="162"/>
  <c r="J240" i="162"/>
  <c r="E240" i="162"/>
  <c r="F240" i="162"/>
  <c r="C240" i="162"/>
  <c r="I241" i="162"/>
  <c r="D241" i="162"/>
  <c r="J241" i="162"/>
  <c r="E241" i="162"/>
  <c r="F241" i="162"/>
  <c r="C241" i="162"/>
  <c r="I242" i="162"/>
  <c r="D242" i="162"/>
  <c r="J242" i="162"/>
  <c r="E242" i="162"/>
  <c r="F242" i="162"/>
  <c r="C242" i="162"/>
  <c r="I243" i="162"/>
  <c r="D243" i="162"/>
  <c r="J243" i="162"/>
  <c r="E243" i="162"/>
  <c r="F243" i="162"/>
  <c r="C243" i="162"/>
  <c r="I244" i="162"/>
  <c r="D244" i="162"/>
  <c r="J244" i="162"/>
  <c r="E244" i="162"/>
  <c r="F244" i="162"/>
  <c r="C244" i="162"/>
  <c r="I245" i="162"/>
  <c r="D245" i="162"/>
  <c r="J245" i="162"/>
  <c r="E245" i="162"/>
  <c r="F245" i="162"/>
  <c r="C245" i="162"/>
  <c r="I246" i="162"/>
  <c r="D246" i="162"/>
  <c r="J246" i="162"/>
  <c r="E246" i="162"/>
  <c r="F246" i="162"/>
  <c r="C246" i="162"/>
  <c r="I247" i="162"/>
  <c r="D247" i="162"/>
  <c r="J247" i="162"/>
  <c r="E247" i="162"/>
  <c r="F247" i="162"/>
  <c r="C247" i="162"/>
  <c r="I248" i="162"/>
  <c r="D248" i="162"/>
  <c r="J248" i="162"/>
  <c r="E248" i="162"/>
  <c r="F248" i="162"/>
  <c r="C248" i="162"/>
  <c r="I249" i="162"/>
  <c r="D249" i="162"/>
  <c r="J249" i="162"/>
  <c r="E249" i="162"/>
  <c r="F249" i="162"/>
  <c r="C249" i="162"/>
  <c r="I250" i="162"/>
  <c r="D250" i="162"/>
  <c r="J250" i="162"/>
  <c r="E250" i="162"/>
  <c r="F250" i="162"/>
  <c r="C250" i="162"/>
  <c r="I251" i="162"/>
  <c r="D251" i="162"/>
  <c r="J251" i="162"/>
  <c r="E251" i="162"/>
  <c r="F251" i="162"/>
  <c r="C251" i="162"/>
  <c r="I252" i="162"/>
  <c r="D252" i="162"/>
  <c r="J252" i="162"/>
  <c r="E252" i="162"/>
  <c r="F252" i="162"/>
  <c r="C252" i="162"/>
  <c r="I253" i="162"/>
  <c r="D253" i="162"/>
  <c r="J253" i="162"/>
  <c r="E253" i="162"/>
  <c r="F253" i="162"/>
  <c r="C253" i="162"/>
  <c r="I254" i="162"/>
  <c r="D254" i="162"/>
  <c r="J254" i="162"/>
  <c r="E254" i="162"/>
  <c r="F254" i="162"/>
  <c r="C254" i="162"/>
  <c r="I255" i="162"/>
  <c r="D255" i="162"/>
  <c r="J255" i="162"/>
  <c r="E255" i="162"/>
  <c r="F255" i="162"/>
  <c r="C255" i="162"/>
  <c r="I256" i="162"/>
  <c r="D256" i="162"/>
  <c r="J256" i="162"/>
  <c r="E256" i="162"/>
  <c r="F256" i="162"/>
  <c r="C256" i="162"/>
  <c r="I257" i="162"/>
  <c r="D257" i="162"/>
  <c r="J257" i="162"/>
  <c r="E257" i="162"/>
  <c r="F257" i="162"/>
  <c r="C257" i="162"/>
  <c r="I258" i="162"/>
  <c r="D258" i="162"/>
  <c r="J258" i="162"/>
  <c r="E258" i="162"/>
  <c r="F258" i="162"/>
  <c r="C258" i="162"/>
  <c r="I259" i="162"/>
  <c r="D259" i="162"/>
  <c r="J259" i="162"/>
  <c r="E259" i="162"/>
  <c r="F259" i="162"/>
  <c r="C259" i="162"/>
  <c r="I260" i="162"/>
  <c r="D260" i="162"/>
  <c r="J260" i="162"/>
  <c r="E260" i="162"/>
  <c r="F260" i="162"/>
  <c r="C260" i="162"/>
  <c r="I261" i="162"/>
  <c r="D261" i="162"/>
  <c r="J261" i="162"/>
  <c r="E261" i="162"/>
  <c r="F261" i="162"/>
  <c r="C261" i="162"/>
  <c r="I262" i="162"/>
  <c r="D262" i="162"/>
  <c r="J262" i="162"/>
  <c r="E262" i="162"/>
  <c r="F262" i="162"/>
  <c r="C262" i="162"/>
  <c r="I263" i="162"/>
  <c r="D263" i="162"/>
  <c r="J263" i="162"/>
  <c r="E263" i="162"/>
  <c r="F263" i="162"/>
  <c r="C263" i="162"/>
  <c r="I264" i="162"/>
  <c r="D264" i="162"/>
  <c r="J264" i="162"/>
  <c r="E264" i="162"/>
  <c r="F264" i="162"/>
  <c r="C264" i="162"/>
  <c r="I265" i="162"/>
  <c r="D265" i="162"/>
  <c r="J265" i="162"/>
  <c r="E265" i="162"/>
  <c r="F265" i="162"/>
  <c r="C265" i="162"/>
  <c r="I266" i="162"/>
  <c r="D266" i="162"/>
  <c r="J266" i="162"/>
  <c r="E266" i="162"/>
  <c r="F266" i="162"/>
  <c r="C266" i="162"/>
  <c r="I267" i="162"/>
  <c r="D267" i="162"/>
  <c r="J267" i="162"/>
  <c r="E267" i="162"/>
  <c r="F267" i="162"/>
  <c r="C267" i="162"/>
  <c r="I268" i="162"/>
  <c r="D268" i="162"/>
  <c r="J268" i="162"/>
  <c r="E268" i="162"/>
  <c r="F268" i="162"/>
  <c r="C268" i="162"/>
  <c r="I269" i="162"/>
  <c r="D269" i="162"/>
  <c r="J269" i="162"/>
  <c r="E269" i="162"/>
  <c r="F269" i="162"/>
  <c r="C269" i="162"/>
  <c r="I270" i="162"/>
  <c r="D270" i="162"/>
  <c r="J270" i="162"/>
  <c r="E270" i="162"/>
  <c r="F270" i="162"/>
  <c r="C270" i="162"/>
  <c r="I271" i="162"/>
  <c r="D271" i="162"/>
  <c r="J271" i="162"/>
  <c r="E271" i="162"/>
  <c r="F271" i="162"/>
  <c r="C271" i="162"/>
  <c r="I272" i="162"/>
  <c r="D272" i="162"/>
  <c r="J272" i="162"/>
  <c r="E272" i="162"/>
  <c r="F272" i="162"/>
  <c r="C272" i="162"/>
  <c r="I273" i="162"/>
  <c r="D273" i="162"/>
  <c r="J273" i="162"/>
  <c r="E273" i="162"/>
  <c r="F273" i="162"/>
  <c r="C273" i="162"/>
  <c r="I274" i="162"/>
  <c r="D274" i="162"/>
  <c r="J274" i="162"/>
  <c r="E274" i="162"/>
  <c r="F274" i="162"/>
  <c r="C274" i="162"/>
  <c r="I275" i="162"/>
  <c r="D275" i="162"/>
  <c r="J275" i="162"/>
  <c r="E275" i="162"/>
  <c r="F275" i="162"/>
  <c r="C275" i="162"/>
  <c r="I276" i="162"/>
  <c r="D276" i="162"/>
  <c r="J276" i="162"/>
  <c r="E276" i="162"/>
  <c r="F276" i="162"/>
  <c r="C276" i="162"/>
  <c r="I277" i="162"/>
  <c r="D277" i="162"/>
  <c r="J277" i="162"/>
  <c r="E277" i="162"/>
  <c r="F277" i="162"/>
  <c r="C277" i="162"/>
  <c r="I278" i="162"/>
  <c r="D278" i="162"/>
  <c r="J278" i="162"/>
  <c r="E278" i="162"/>
  <c r="F278" i="162"/>
  <c r="C278" i="162"/>
  <c r="I279" i="162"/>
  <c r="D279" i="162"/>
  <c r="J279" i="162"/>
  <c r="E279" i="162"/>
  <c r="F279" i="162"/>
  <c r="C279" i="162"/>
  <c r="I280" i="162"/>
  <c r="D280" i="162"/>
  <c r="J280" i="162"/>
  <c r="E280" i="162"/>
  <c r="F280" i="162"/>
  <c r="C280" i="162"/>
  <c r="I281" i="162"/>
  <c r="D281" i="162"/>
  <c r="J281" i="162"/>
  <c r="E281" i="162"/>
  <c r="F281" i="162"/>
  <c r="C281" i="162"/>
  <c r="I282" i="162"/>
  <c r="D282" i="162"/>
  <c r="J282" i="162"/>
  <c r="E282" i="162"/>
  <c r="F282" i="162"/>
  <c r="C282" i="162"/>
  <c r="I283" i="162"/>
  <c r="D283" i="162"/>
  <c r="J283" i="162"/>
  <c r="E283" i="162"/>
  <c r="F283" i="162"/>
  <c r="C283" i="162"/>
  <c r="I284" i="162"/>
  <c r="D284" i="162"/>
  <c r="J284" i="162"/>
  <c r="E284" i="162"/>
  <c r="F284" i="162"/>
  <c r="C284" i="162"/>
  <c r="I285" i="162"/>
  <c r="D285" i="162"/>
  <c r="J285" i="162"/>
  <c r="E285" i="162"/>
  <c r="F285" i="162"/>
  <c r="C285" i="162"/>
  <c r="I286" i="162"/>
  <c r="D286" i="162"/>
  <c r="J286" i="162"/>
  <c r="E286" i="162"/>
  <c r="F286" i="162"/>
  <c r="C286" i="162"/>
  <c r="I287" i="162"/>
  <c r="D287" i="162"/>
  <c r="J287" i="162"/>
  <c r="E287" i="162"/>
  <c r="F287" i="162"/>
  <c r="C287" i="162"/>
  <c r="I288" i="162"/>
  <c r="D288" i="162"/>
  <c r="J288" i="162"/>
  <c r="E288" i="162"/>
  <c r="F288" i="162"/>
  <c r="C288" i="162"/>
  <c r="I289" i="162"/>
  <c r="D289" i="162"/>
  <c r="J289" i="162"/>
  <c r="E289" i="162"/>
  <c r="F289" i="162"/>
  <c r="C289" i="162"/>
  <c r="I290" i="162"/>
  <c r="D290" i="162"/>
  <c r="J290" i="162"/>
  <c r="E290" i="162"/>
  <c r="F290" i="162"/>
  <c r="C290" i="162"/>
  <c r="I291" i="162"/>
  <c r="D291" i="162"/>
  <c r="J291" i="162"/>
  <c r="E291" i="162"/>
  <c r="F291" i="162"/>
  <c r="C291" i="162"/>
  <c r="I292" i="162"/>
  <c r="D292" i="162"/>
  <c r="J292" i="162"/>
  <c r="E292" i="162"/>
  <c r="F292" i="162"/>
  <c r="C292" i="162"/>
  <c r="I293" i="162"/>
  <c r="D293" i="162"/>
  <c r="J293" i="162"/>
  <c r="E293" i="162"/>
  <c r="F293" i="162"/>
  <c r="C293" i="162"/>
  <c r="I294" i="162"/>
  <c r="D294" i="162"/>
  <c r="J294" i="162"/>
  <c r="E294" i="162"/>
  <c r="F294" i="162"/>
  <c r="C294" i="162"/>
  <c r="I295" i="162"/>
  <c r="D295" i="162"/>
  <c r="J295" i="162"/>
  <c r="E295" i="162"/>
  <c r="F295" i="162"/>
  <c r="C295" i="162"/>
  <c r="I296" i="162"/>
  <c r="D296" i="162"/>
  <c r="J296" i="162"/>
  <c r="E296" i="162"/>
  <c r="F296" i="162"/>
  <c r="C296" i="162"/>
  <c r="I297" i="162"/>
  <c r="D297" i="162"/>
  <c r="J297" i="162"/>
  <c r="E297" i="162"/>
  <c r="F297" i="162"/>
  <c r="C297" i="162"/>
  <c r="I298" i="162"/>
  <c r="D298" i="162"/>
  <c r="J298" i="162"/>
  <c r="E298" i="162"/>
  <c r="F298" i="162"/>
  <c r="C298" i="162"/>
  <c r="I299" i="162"/>
  <c r="D299" i="162"/>
  <c r="J299" i="162"/>
  <c r="E299" i="162"/>
  <c r="F299" i="162"/>
  <c r="C299" i="162"/>
  <c r="I300" i="162"/>
  <c r="D300" i="162"/>
  <c r="J300" i="162"/>
  <c r="E300" i="162"/>
  <c r="F300" i="162"/>
  <c r="C300" i="162"/>
  <c r="I301" i="162"/>
  <c r="D301" i="162"/>
  <c r="J301" i="162"/>
  <c r="E301" i="162"/>
  <c r="F301" i="162"/>
  <c r="C301" i="162"/>
  <c r="I302" i="162"/>
  <c r="D302" i="162"/>
  <c r="J302" i="162"/>
  <c r="E302" i="162"/>
  <c r="F302" i="162"/>
  <c r="C302" i="162"/>
  <c r="I303" i="162"/>
  <c r="D303" i="162"/>
  <c r="J303" i="162"/>
  <c r="E303" i="162"/>
  <c r="F303" i="162"/>
  <c r="C303" i="162"/>
  <c r="I304" i="162"/>
  <c r="D304" i="162"/>
  <c r="J304" i="162"/>
  <c r="E304" i="162"/>
  <c r="F304" i="162"/>
  <c r="C304" i="162"/>
  <c r="I305" i="162"/>
  <c r="D305" i="162"/>
  <c r="J305" i="162"/>
  <c r="E305" i="162"/>
  <c r="F305" i="162"/>
  <c r="C305" i="162"/>
  <c r="I306" i="162"/>
  <c r="D306" i="162"/>
  <c r="J306" i="162"/>
  <c r="E306" i="162"/>
  <c r="F306" i="162"/>
  <c r="C306" i="162"/>
  <c r="I307" i="162"/>
  <c r="D307" i="162"/>
  <c r="J307" i="162"/>
  <c r="E307" i="162"/>
  <c r="F307" i="162"/>
  <c r="C307" i="162"/>
  <c r="I308" i="162"/>
  <c r="D308" i="162"/>
  <c r="J308" i="162"/>
  <c r="E308" i="162"/>
  <c r="F308" i="162"/>
  <c r="C308" i="162"/>
  <c r="I309" i="162"/>
  <c r="D309" i="162"/>
  <c r="J309" i="162"/>
  <c r="E309" i="162"/>
  <c r="F309" i="162"/>
  <c r="C309" i="162"/>
  <c r="I310" i="162"/>
  <c r="D310" i="162"/>
  <c r="J310" i="162"/>
  <c r="E310" i="162"/>
  <c r="F310" i="162"/>
  <c r="C310" i="162"/>
  <c r="I311" i="162"/>
  <c r="D311" i="162"/>
  <c r="J311" i="162"/>
  <c r="E311" i="162"/>
  <c r="F311" i="162"/>
  <c r="C311" i="162"/>
  <c r="I312" i="162"/>
  <c r="D312" i="162"/>
  <c r="J312" i="162"/>
  <c r="E312" i="162"/>
  <c r="F312" i="162"/>
  <c r="C312" i="162"/>
  <c r="I313" i="162"/>
  <c r="D313" i="162"/>
  <c r="J313" i="162"/>
  <c r="E313" i="162"/>
  <c r="F313" i="162"/>
  <c r="C313" i="162"/>
  <c r="I314" i="162"/>
  <c r="D314" i="162"/>
  <c r="J314" i="162"/>
  <c r="E314" i="162"/>
  <c r="F314" i="162"/>
  <c r="C314" i="162"/>
  <c r="I315" i="162"/>
  <c r="D315" i="162"/>
  <c r="J315" i="162"/>
  <c r="E315" i="162"/>
  <c r="F315" i="162"/>
  <c r="C315" i="162"/>
  <c r="I316" i="162"/>
  <c r="D316" i="162"/>
  <c r="J316" i="162"/>
  <c r="E316" i="162"/>
  <c r="F316" i="162"/>
  <c r="C316" i="162"/>
  <c r="I317" i="162"/>
  <c r="D317" i="162"/>
  <c r="J317" i="162"/>
  <c r="E317" i="162"/>
  <c r="F317" i="162"/>
  <c r="C317" i="162"/>
  <c r="I318" i="162"/>
  <c r="D318" i="162"/>
  <c r="J318" i="162"/>
  <c r="E318" i="162"/>
  <c r="F318" i="162"/>
  <c r="C318" i="162"/>
  <c r="I319" i="162"/>
  <c r="D319" i="162"/>
  <c r="J319" i="162"/>
  <c r="E319" i="162"/>
  <c r="F319" i="162"/>
  <c r="C319" i="162"/>
  <c r="I320" i="162"/>
  <c r="D320" i="162"/>
  <c r="J320" i="162"/>
  <c r="E320" i="162"/>
  <c r="F320" i="162"/>
  <c r="C320" i="162"/>
  <c r="I321" i="162"/>
  <c r="D321" i="162"/>
  <c r="J321" i="162"/>
  <c r="E321" i="162"/>
  <c r="F321" i="162"/>
  <c r="C321" i="162"/>
  <c r="I322" i="162"/>
  <c r="D322" i="162"/>
  <c r="J322" i="162"/>
  <c r="E322" i="162"/>
  <c r="F322" i="162"/>
  <c r="C322" i="162"/>
  <c r="I323" i="162"/>
  <c r="D323" i="162"/>
  <c r="J323" i="162"/>
  <c r="E323" i="162"/>
  <c r="F323" i="162"/>
  <c r="C323" i="162"/>
  <c r="I324" i="162"/>
  <c r="D324" i="162"/>
  <c r="J324" i="162"/>
  <c r="E324" i="162"/>
  <c r="F324" i="162"/>
  <c r="C324" i="162"/>
  <c r="I325" i="162"/>
  <c r="D325" i="162"/>
  <c r="J325" i="162"/>
  <c r="E325" i="162"/>
  <c r="F325" i="162"/>
  <c r="C325" i="162"/>
  <c r="I326" i="162"/>
  <c r="D326" i="162"/>
  <c r="J326" i="162"/>
  <c r="E326" i="162"/>
  <c r="F326" i="162"/>
  <c r="C326" i="162"/>
  <c r="I327" i="162"/>
  <c r="D327" i="162"/>
  <c r="J327" i="162"/>
  <c r="E327" i="162"/>
  <c r="F327" i="162"/>
  <c r="C327" i="162"/>
  <c r="I328" i="162"/>
  <c r="D328" i="162"/>
  <c r="J328" i="162"/>
  <c r="E328" i="162"/>
  <c r="F328" i="162"/>
  <c r="C328" i="162"/>
  <c r="I329" i="162"/>
  <c r="D329" i="162"/>
  <c r="J329" i="162"/>
  <c r="E329" i="162"/>
  <c r="F329" i="162"/>
  <c r="C329" i="162"/>
  <c r="I330" i="162"/>
  <c r="D330" i="162"/>
  <c r="J330" i="162"/>
  <c r="E330" i="162"/>
  <c r="F330" i="162"/>
  <c r="C330" i="162"/>
  <c r="I331" i="162"/>
  <c r="D331" i="162"/>
  <c r="J331" i="162"/>
  <c r="E331" i="162"/>
  <c r="F331" i="162"/>
  <c r="C331" i="162"/>
  <c r="I332" i="162"/>
  <c r="D332" i="162"/>
  <c r="J332" i="162"/>
  <c r="E332" i="162"/>
  <c r="F332" i="162"/>
  <c r="C332" i="162"/>
  <c r="I333" i="162"/>
  <c r="D333" i="162"/>
  <c r="J333" i="162"/>
  <c r="E333" i="162"/>
  <c r="F333" i="162"/>
  <c r="C333" i="162"/>
  <c r="I334" i="162"/>
  <c r="D334" i="162"/>
  <c r="J334" i="162"/>
  <c r="E334" i="162"/>
  <c r="F334" i="162"/>
  <c r="C334" i="162"/>
  <c r="I335" i="162"/>
  <c r="D335" i="162"/>
  <c r="J335" i="162"/>
  <c r="E335" i="162"/>
  <c r="F335" i="162"/>
  <c r="C335" i="162"/>
  <c r="I336" i="162"/>
  <c r="D336" i="162"/>
  <c r="J336" i="162"/>
  <c r="E336" i="162"/>
  <c r="F336" i="162"/>
  <c r="C336" i="162"/>
  <c r="I337" i="162"/>
  <c r="D337" i="162"/>
  <c r="J337" i="162"/>
  <c r="E337" i="162"/>
  <c r="F337" i="162"/>
  <c r="C337" i="162"/>
  <c r="I338" i="162"/>
  <c r="D338" i="162"/>
  <c r="J338" i="162"/>
  <c r="E338" i="162"/>
  <c r="F338" i="162"/>
  <c r="C338" i="162"/>
  <c r="I339" i="162"/>
  <c r="D339" i="162"/>
  <c r="J339" i="162"/>
  <c r="E339" i="162"/>
  <c r="F339" i="162"/>
  <c r="C339" i="162"/>
  <c r="I340" i="162"/>
  <c r="D340" i="162"/>
  <c r="J340" i="162"/>
  <c r="E340" i="162"/>
  <c r="F340" i="162"/>
  <c r="C340" i="162"/>
  <c r="I341" i="162"/>
  <c r="D341" i="162"/>
  <c r="J341" i="162"/>
  <c r="E341" i="162"/>
  <c r="F341" i="162"/>
  <c r="C341" i="162"/>
  <c r="I342" i="162"/>
  <c r="D342" i="162"/>
  <c r="J342" i="162"/>
  <c r="E342" i="162"/>
  <c r="F342" i="162"/>
  <c r="C342" i="162"/>
  <c r="I343" i="162"/>
  <c r="D343" i="162"/>
  <c r="J343" i="162"/>
  <c r="E343" i="162"/>
  <c r="F343" i="162"/>
  <c r="C343" i="162"/>
  <c r="I344" i="162"/>
  <c r="D344" i="162"/>
  <c r="J344" i="162"/>
  <c r="E344" i="162"/>
  <c r="F344" i="162"/>
  <c r="C344" i="162"/>
  <c r="I345" i="162"/>
  <c r="D345" i="162"/>
  <c r="J345" i="162"/>
  <c r="E345" i="162"/>
  <c r="F345" i="162"/>
  <c r="C345" i="162"/>
  <c r="I346" i="162"/>
  <c r="D346" i="162"/>
  <c r="J346" i="162"/>
  <c r="E346" i="162"/>
  <c r="F346" i="162"/>
  <c r="C346" i="162"/>
  <c r="I347" i="162"/>
  <c r="D347" i="162"/>
  <c r="J347" i="162"/>
  <c r="E347" i="162"/>
  <c r="F347" i="162"/>
  <c r="C347" i="162"/>
  <c r="I348" i="162"/>
  <c r="D348" i="162"/>
  <c r="J348" i="162"/>
  <c r="E348" i="162"/>
  <c r="F348" i="162"/>
  <c r="C348" i="162"/>
  <c r="I349" i="162"/>
  <c r="D349" i="162"/>
  <c r="J349" i="162"/>
  <c r="E349" i="162"/>
  <c r="F349" i="162"/>
  <c r="C349" i="162"/>
  <c r="I350" i="162"/>
  <c r="D350" i="162"/>
  <c r="J350" i="162"/>
  <c r="E350" i="162"/>
  <c r="F350" i="162"/>
  <c r="C350" i="162"/>
  <c r="I351" i="162"/>
  <c r="D351" i="162"/>
  <c r="J351" i="162"/>
  <c r="E351" i="162"/>
  <c r="F351" i="162"/>
  <c r="C351" i="162"/>
  <c r="I352" i="162"/>
  <c r="D352" i="162"/>
  <c r="J352" i="162"/>
  <c r="E352" i="162"/>
  <c r="F352" i="162"/>
  <c r="C352" i="162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E23" i="163"/>
  <c r="F6" i="163"/>
  <c r="E6" i="163"/>
  <c r="B23" i="163"/>
  <c r="E26" i="163"/>
  <c r="B26" i="163"/>
  <c r="F5" i="163"/>
  <c r="E5" i="163"/>
  <c r="E28" i="163"/>
  <c r="B28" i="163"/>
  <c r="E29" i="163"/>
  <c r="B29" i="163"/>
  <c r="B21" i="163"/>
  <c r="A2" i="163"/>
  <c r="A36" i="163"/>
  <c r="G29" i="163"/>
  <c r="H29" i="163"/>
  <c r="O314" i="162"/>
  <c r="E19" i="163"/>
  <c r="B19" i="163"/>
  <c r="E24" i="163"/>
  <c r="B24" i="163"/>
  <c r="B17" i="163"/>
  <c r="G17" i="163"/>
  <c r="E17" i="163"/>
  <c r="H17" i="163"/>
  <c r="O2" i="162"/>
  <c r="E18" i="163"/>
  <c r="B18" i="163"/>
  <c r="G18" i="163"/>
  <c r="H18" i="163"/>
  <c r="O3" i="162"/>
  <c r="O4" i="162"/>
  <c r="O5" i="162"/>
  <c r="O6" i="162"/>
  <c r="O7" i="162"/>
  <c r="O8" i="162"/>
  <c r="O9" i="162"/>
  <c r="O10" i="162"/>
  <c r="O11" i="162"/>
  <c r="O12" i="162"/>
  <c r="O13" i="162"/>
  <c r="O14" i="162"/>
  <c r="O15" i="162"/>
  <c r="O16" i="162"/>
  <c r="O17" i="162"/>
  <c r="O18" i="162"/>
  <c r="O19" i="162"/>
  <c r="O20" i="162"/>
  <c r="O21" i="162"/>
  <c r="O22" i="162"/>
  <c r="O23" i="162"/>
  <c r="O24" i="162"/>
  <c r="O25" i="162"/>
  <c r="O26" i="162"/>
  <c r="O27" i="162"/>
  <c r="O28" i="162"/>
  <c r="O29" i="162"/>
  <c r="O30" i="162"/>
  <c r="O31" i="162"/>
  <c r="O32" i="162"/>
  <c r="O33" i="162"/>
  <c r="O34" i="162"/>
  <c r="O35" i="162"/>
  <c r="O36" i="162"/>
  <c r="O37" i="162"/>
  <c r="O38" i="162"/>
  <c r="O39" i="162"/>
  <c r="O40" i="162"/>
  <c r="O41" i="162"/>
  <c r="G24" i="163"/>
  <c r="H24" i="163"/>
  <c r="O42" i="162"/>
  <c r="E25" i="163"/>
  <c r="B25" i="163"/>
  <c r="G25" i="163"/>
  <c r="H25" i="163"/>
  <c r="O43" i="162"/>
  <c r="G26" i="163"/>
  <c r="H26" i="163"/>
  <c r="O44" i="162"/>
  <c r="O45" i="162"/>
  <c r="O46" i="162"/>
  <c r="O47" i="162"/>
  <c r="O48" i="162"/>
  <c r="O49" i="162"/>
  <c r="O50" i="162"/>
  <c r="G19" i="163"/>
  <c r="H19" i="163"/>
  <c r="O51" i="162"/>
  <c r="E20" i="163"/>
  <c r="B20" i="163"/>
  <c r="G20" i="163"/>
  <c r="H20" i="163"/>
  <c r="O52" i="162"/>
  <c r="G21" i="163"/>
  <c r="E21" i="163"/>
  <c r="H21" i="163"/>
  <c r="O53" i="162"/>
  <c r="O54" i="162"/>
  <c r="O55" i="162"/>
  <c r="O56" i="162"/>
  <c r="O57" i="162"/>
  <c r="O58" i="162"/>
  <c r="O59" i="162"/>
  <c r="O60" i="162"/>
  <c r="O61" i="162"/>
  <c r="O62" i="162"/>
  <c r="O63" i="162"/>
  <c r="O64" i="162"/>
  <c r="O65" i="162"/>
  <c r="O66" i="162"/>
  <c r="O67" i="162"/>
  <c r="O68" i="162"/>
  <c r="O69" i="162"/>
  <c r="O70" i="162"/>
  <c r="O71" i="162"/>
  <c r="O72" i="162"/>
  <c r="O73" i="162"/>
  <c r="O74" i="162"/>
  <c r="O75" i="162"/>
  <c r="O76" i="162"/>
  <c r="O77" i="162"/>
  <c r="O78" i="162"/>
  <c r="O79" i="162"/>
  <c r="O80" i="162"/>
  <c r="O81" i="162"/>
  <c r="O82" i="162"/>
  <c r="O83" i="162"/>
  <c r="O84" i="162"/>
  <c r="O85" i="162"/>
  <c r="O86" i="162"/>
  <c r="O87" i="162"/>
  <c r="O88" i="162"/>
  <c r="O89" i="162"/>
  <c r="O90" i="162"/>
  <c r="O91" i="162"/>
  <c r="O92" i="162"/>
  <c r="O93" i="162"/>
  <c r="O94" i="162"/>
  <c r="O95" i="162"/>
  <c r="O96" i="162"/>
  <c r="O97" i="162"/>
  <c r="O98" i="162"/>
  <c r="O99" i="162"/>
  <c r="O100" i="162"/>
  <c r="O101" i="162"/>
  <c r="O102" i="162"/>
  <c r="O103" i="162"/>
  <c r="O104" i="162"/>
  <c r="O105" i="162"/>
  <c r="O106" i="162"/>
  <c r="O107" i="162"/>
  <c r="O108" i="162"/>
  <c r="O109" i="162"/>
  <c r="O110" i="162"/>
  <c r="O111" i="162"/>
  <c r="O112" i="162"/>
  <c r="O113" i="162"/>
  <c r="O114" i="162"/>
  <c r="O115" i="162"/>
  <c r="O116" i="162"/>
  <c r="O117" i="162"/>
  <c r="O118" i="162"/>
  <c r="O119" i="162"/>
  <c r="O120" i="162"/>
  <c r="O121" i="162"/>
  <c r="O122" i="162"/>
  <c r="O123" i="162"/>
  <c r="O124" i="162"/>
  <c r="O125" i="162"/>
  <c r="O126" i="162"/>
  <c r="O127" i="162"/>
  <c r="O128" i="162"/>
  <c r="O129" i="162"/>
  <c r="O130" i="162"/>
  <c r="O131" i="162"/>
  <c r="O132" i="162"/>
  <c r="O133" i="162"/>
  <c r="O134" i="162"/>
  <c r="O135" i="162"/>
  <c r="O136" i="162"/>
  <c r="O137" i="162"/>
  <c r="E27" i="163"/>
  <c r="B27" i="163"/>
  <c r="G27" i="163"/>
  <c r="H27" i="163"/>
  <c r="O138" i="162"/>
  <c r="G28" i="163"/>
  <c r="H28" i="163"/>
  <c r="O139" i="162"/>
  <c r="O140" i="162"/>
  <c r="O141" i="162"/>
  <c r="O142" i="162"/>
  <c r="O143" i="162"/>
  <c r="O144" i="162"/>
  <c r="O145" i="162"/>
  <c r="O146" i="162"/>
  <c r="O147" i="162"/>
  <c r="O148" i="162"/>
  <c r="O149" i="162"/>
  <c r="O150" i="162"/>
  <c r="O151" i="162"/>
  <c r="O152" i="162"/>
  <c r="O153" i="162"/>
  <c r="O154" i="162"/>
  <c r="O155" i="162"/>
  <c r="O156" i="162"/>
  <c r="O157" i="162"/>
  <c r="O158" i="162"/>
  <c r="O159" i="162"/>
  <c r="O160" i="162"/>
  <c r="O161" i="162"/>
  <c r="O162" i="162"/>
  <c r="O163" i="162"/>
  <c r="O164" i="162"/>
  <c r="O165" i="162"/>
  <c r="O166" i="162"/>
  <c r="O167" i="162"/>
  <c r="O168" i="162"/>
  <c r="O169" i="162"/>
  <c r="O170" i="162"/>
  <c r="O171" i="162"/>
  <c r="O172" i="162"/>
  <c r="O173" i="162"/>
  <c r="O174" i="162"/>
  <c r="O175" i="162"/>
  <c r="O176" i="162"/>
  <c r="O177" i="162"/>
  <c r="O178" i="162"/>
  <c r="O179" i="162"/>
  <c r="O180" i="162"/>
  <c r="O181" i="162"/>
  <c r="O182" i="162"/>
  <c r="O183" i="162"/>
  <c r="O184" i="162"/>
  <c r="O185" i="162"/>
  <c r="O186" i="162"/>
  <c r="O187" i="162"/>
  <c r="O188" i="162"/>
  <c r="O189" i="162"/>
  <c r="O190" i="162"/>
  <c r="O191" i="162"/>
  <c r="O192" i="162"/>
  <c r="O193" i="162"/>
  <c r="O194" i="162"/>
  <c r="O195" i="162"/>
  <c r="O196" i="162"/>
  <c r="O197" i="162"/>
  <c r="O198" i="162"/>
  <c r="O199" i="162"/>
  <c r="O200" i="162"/>
  <c r="O201" i="162"/>
  <c r="O202" i="162"/>
  <c r="O203" i="162"/>
  <c r="O204" i="162"/>
  <c r="O205" i="162"/>
  <c r="O206" i="162"/>
  <c r="O207" i="162"/>
  <c r="O208" i="162"/>
  <c r="O209" i="162"/>
  <c r="O210" i="162"/>
  <c r="O211" i="162"/>
  <c r="O212" i="162"/>
  <c r="O213" i="162"/>
  <c r="O214" i="162"/>
  <c r="G23" i="163"/>
  <c r="H23" i="163"/>
  <c r="O215" i="162"/>
  <c r="O216" i="162"/>
  <c r="O217" i="162"/>
  <c r="O218" i="162"/>
  <c r="O219" i="162"/>
  <c r="O220" i="162"/>
  <c r="O221" i="162"/>
  <c r="O222" i="162"/>
  <c r="O223" i="162"/>
  <c r="O224" i="162"/>
  <c r="O225" i="162"/>
  <c r="O226" i="162"/>
  <c r="O227" i="162"/>
  <c r="O228" i="162"/>
  <c r="O229" i="162"/>
  <c r="O230" i="162"/>
  <c r="O231" i="162"/>
  <c r="O232" i="162"/>
  <c r="O233" i="162"/>
  <c r="O234" i="162"/>
  <c r="O235" i="162"/>
  <c r="O236" i="162"/>
  <c r="O237" i="162"/>
  <c r="O238" i="162"/>
  <c r="O239" i="162"/>
  <c r="O240" i="162"/>
  <c r="O241" i="162"/>
  <c r="O242" i="162"/>
  <c r="O243" i="162"/>
  <c r="O244" i="162"/>
  <c r="O245" i="162"/>
  <c r="O246" i="162"/>
  <c r="O247" i="162"/>
  <c r="O248" i="162"/>
  <c r="O249" i="162"/>
  <c r="O250" i="162"/>
  <c r="O251" i="162"/>
  <c r="O252" i="162"/>
  <c r="O253" i="162"/>
  <c r="O254" i="162"/>
  <c r="O255" i="162"/>
  <c r="O256" i="162"/>
  <c r="O257" i="162"/>
  <c r="O258" i="162"/>
  <c r="O259" i="162"/>
  <c r="O260" i="162"/>
  <c r="O261" i="162"/>
  <c r="E22" i="163"/>
  <c r="B22" i="163"/>
  <c r="G22" i="163"/>
  <c r="H22" i="163"/>
  <c r="O262" i="162"/>
  <c r="O263" i="162"/>
  <c r="O264" i="162"/>
  <c r="O265" i="162"/>
  <c r="O266" i="162"/>
  <c r="O267" i="162"/>
  <c r="O268" i="162"/>
  <c r="O269" i="162"/>
  <c r="O270" i="162"/>
  <c r="O271" i="162"/>
  <c r="O272" i="162"/>
  <c r="O273" i="162"/>
  <c r="O274" i="162"/>
  <c r="O275" i="162"/>
  <c r="O276" i="162"/>
  <c r="O277" i="162"/>
  <c r="O278" i="162"/>
  <c r="O279" i="162"/>
  <c r="O280" i="162"/>
  <c r="O281" i="162"/>
  <c r="O282" i="162"/>
  <c r="O283" i="162"/>
  <c r="O284" i="162"/>
  <c r="O285" i="162"/>
  <c r="O286" i="162"/>
  <c r="O287" i="162"/>
  <c r="O288" i="162"/>
  <c r="O289" i="162"/>
  <c r="O290" i="162"/>
  <c r="O291" i="162"/>
  <c r="O292" i="162"/>
  <c r="O293" i="162"/>
  <c r="O294" i="162"/>
  <c r="O295" i="162"/>
  <c r="O296" i="162"/>
  <c r="O297" i="162"/>
  <c r="O298" i="162"/>
  <c r="O299" i="162"/>
  <c r="O300" i="162"/>
  <c r="O301" i="162"/>
  <c r="O302" i="162"/>
  <c r="O303" i="162"/>
  <c r="O304" i="162"/>
  <c r="O305" i="162"/>
  <c r="O306" i="162"/>
  <c r="O307" i="162"/>
  <c r="O308" i="162"/>
  <c r="O309" i="162"/>
  <c r="O310" i="162"/>
  <c r="O311" i="162"/>
  <c r="O312" i="162"/>
  <c r="O313" i="162"/>
  <c r="O315" i="162"/>
  <c r="O316" i="162"/>
  <c r="O317" i="162"/>
  <c r="O318" i="162"/>
  <c r="O319" i="162"/>
  <c r="O320" i="162"/>
  <c r="O321" i="162"/>
  <c r="O322" i="162"/>
  <c r="O323" i="162"/>
  <c r="O324" i="162"/>
  <c r="O325" i="162"/>
  <c r="O326" i="162"/>
  <c r="O327" i="162"/>
  <c r="O328" i="162"/>
  <c r="O329" i="162"/>
  <c r="O330" i="162"/>
  <c r="O331" i="162"/>
  <c r="O332" i="162"/>
  <c r="O333" i="162"/>
  <c r="O334" i="162"/>
  <c r="O335" i="162"/>
  <c r="O336" i="162"/>
  <c r="O337" i="162"/>
  <c r="O338" i="162"/>
  <c r="O339" i="162"/>
  <c r="O340" i="162"/>
  <c r="O341" i="162"/>
  <c r="O342" i="162"/>
  <c r="O343" i="162"/>
  <c r="O344" i="162"/>
  <c r="O345" i="162"/>
  <c r="R3" i="163"/>
  <c r="O346" i="162"/>
  <c r="R4" i="163"/>
  <c r="O347" i="162"/>
  <c r="R5" i="163"/>
  <c r="O348" i="162"/>
  <c r="R6" i="163"/>
  <c r="O349" i="162"/>
  <c r="R7" i="163"/>
  <c r="O350" i="162"/>
  <c r="R8" i="163"/>
  <c r="O351" i="162"/>
  <c r="R9" i="163"/>
  <c r="O352" i="162"/>
  <c r="R10" i="163"/>
  <c r="R11" i="163"/>
  <c r="P314" i="162"/>
  <c r="P317" i="162"/>
  <c r="P321" i="162"/>
  <c r="P328" i="162"/>
  <c r="P2" i="162"/>
  <c r="P3" i="162"/>
  <c r="P4" i="162"/>
  <c r="P5" i="162"/>
  <c r="P6" i="162"/>
  <c r="P7" i="162"/>
  <c r="P8" i="162"/>
  <c r="P9" i="162"/>
  <c r="P10" i="162"/>
  <c r="P11" i="162"/>
  <c r="P12" i="162"/>
  <c r="P13" i="162"/>
  <c r="P14" i="162"/>
  <c r="P15" i="162"/>
  <c r="P16" i="162"/>
  <c r="P17" i="162"/>
  <c r="P18" i="162"/>
  <c r="P19" i="162"/>
  <c r="P20" i="162"/>
  <c r="P21" i="162"/>
  <c r="P22" i="162"/>
  <c r="P23" i="162"/>
  <c r="P24" i="162"/>
  <c r="P25" i="162"/>
  <c r="P26" i="162"/>
  <c r="P27" i="162"/>
  <c r="P28" i="162"/>
  <c r="P29" i="162"/>
  <c r="P30" i="162"/>
  <c r="P31" i="162"/>
  <c r="P32" i="162"/>
  <c r="P33" i="162"/>
  <c r="P34" i="162"/>
  <c r="P35" i="162"/>
  <c r="P36" i="162"/>
  <c r="P37" i="162"/>
  <c r="P38" i="162"/>
  <c r="P39" i="162"/>
  <c r="P40" i="162"/>
  <c r="P41" i="162"/>
  <c r="P42" i="162"/>
  <c r="P43" i="162"/>
  <c r="P44" i="162"/>
  <c r="P45" i="162"/>
  <c r="P46" i="162"/>
  <c r="P47" i="162"/>
  <c r="P48" i="162"/>
  <c r="P49" i="162"/>
  <c r="P50" i="162"/>
  <c r="P51" i="162"/>
  <c r="P52" i="162"/>
  <c r="P53" i="162"/>
  <c r="P54" i="162"/>
  <c r="P55" i="162"/>
  <c r="P56" i="162"/>
  <c r="P57" i="162"/>
  <c r="P58" i="162"/>
  <c r="P59" i="162"/>
  <c r="P60" i="162"/>
  <c r="P61" i="162"/>
  <c r="P62" i="162"/>
  <c r="P63" i="162"/>
  <c r="P64" i="162"/>
  <c r="P65" i="162"/>
  <c r="P66" i="162"/>
  <c r="P67" i="162"/>
  <c r="P68" i="162"/>
  <c r="P69" i="162"/>
  <c r="P70" i="162"/>
  <c r="P71" i="162"/>
  <c r="P72" i="162"/>
  <c r="P73" i="162"/>
  <c r="P74" i="162"/>
  <c r="P75" i="162"/>
  <c r="P76" i="162"/>
  <c r="P77" i="162"/>
  <c r="P78" i="162"/>
  <c r="P79" i="162"/>
  <c r="P80" i="162"/>
  <c r="P81" i="162"/>
  <c r="P82" i="162"/>
  <c r="P83" i="162"/>
  <c r="P84" i="162"/>
  <c r="P85" i="162"/>
  <c r="P86" i="162"/>
  <c r="P87" i="162"/>
  <c r="P88" i="162"/>
  <c r="P89" i="162"/>
  <c r="P90" i="162"/>
  <c r="P91" i="162"/>
  <c r="P92" i="162"/>
  <c r="P93" i="162"/>
  <c r="P94" i="162"/>
  <c r="P95" i="162"/>
  <c r="P96" i="162"/>
  <c r="P97" i="162"/>
  <c r="P98" i="162"/>
  <c r="P99" i="162"/>
  <c r="P100" i="162"/>
  <c r="P101" i="162"/>
  <c r="P102" i="162"/>
  <c r="P103" i="162"/>
  <c r="P104" i="162"/>
  <c r="P105" i="162"/>
  <c r="P106" i="162"/>
  <c r="P107" i="162"/>
  <c r="P108" i="162"/>
  <c r="P109" i="162"/>
  <c r="P110" i="162"/>
  <c r="P111" i="162"/>
  <c r="P112" i="162"/>
  <c r="P113" i="162"/>
  <c r="P114" i="162"/>
  <c r="P115" i="162"/>
  <c r="P116" i="162"/>
  <c r="P117" i="162"/>
  <c r="P118" i="162"/>
  <c r="P119" i="162"/>
  <c r="P120" i="162"/>
  <c r="P121" i="162"/>
  <c r="P122" i="162"/>
  <c r="P123" i="162"/>
  <c r="P124" i="162"/>
  <c r="P125" i="162"/>
  <c r="P126" i="162"/>
  <c r="P127" i="162"/>
  <c r="P128" i="162"/>
  <c r="P129" i="162"/>
  <c r="P130" i="162"/>
  <c r="P131" i="162"/>
  <c r="P132" i="162"/>
  <c r="P133" i="162"/>
  <c r="P134" i="162"/>
  <c r="P135" i="162"/>
  <c r="P136" i="162"/>
  <c r="P137" i="162"/>
  <c r="P138" i="162"/>
  <c r="P139" i="162"/>
  <c r="P140" i="162"/>
  <c r="P141" i="162"/>
  <c r="P142" i="162"/>
  <c r="P143" i="162"/>
  <c r="P144" i="162"/>
  <c r="P145" i="162"/>
  <c r="P146" i="162"/>
  <c r="P147" i="162"/>
  <c r="P148" i="162"/>
  <c r="P149" i="162"/>
  <c r="P150" i="162"/>
  <c r="P151" i="162"/>
  <c r="P152" i="162"/>
  <c r="P153" i="162"/>
  <c r="P154" i="162"/>
  <c r="P155" i="162"/>
  <c r="P156" i="162"/>
  <c r="P157" i="162"/>
  <c r="P158" i="162"/>
  <c r="P159" i="162"/>
  <c r="P160" i="162"/>
  <c r="P161" i="162"/>
  <c r="P162" i="162"/>
  <c r="P163" i="162"/>
  <c r="P164" i="162"/>
  <c r="P165" i="162"/>
  <c r="P166" i="162"/>
  <c r="P167" i="162"/>
  <c r="P168" i="162"/>
  <c r="P169" i="162"/>
  <c r="P170" i="162"/>
  <c r="P171" i="162"/>
  <c r="P172" i="162"/>
  <c r="P173" i="162"/>
  <c r="P174" i="162"/>
  <c r="P175" i="162"/>
  <c r="P176" i="162"/>
  <c r="P177" i="162"/>
  <c r="P178" i="162"/>
  <c r="P179" i="162"/>
  <c r="P180" i="162"/>
  <c r="P181" i="162"/>
  <c r="P182" i="162"/>
  <c r="P183" i="162"/>
  <c r="P184" i="162"/>
  <c r="P185" i="162"/>
  <c r="P186" i="162"/>
  <c r="P187" i="162"/>
  <c r="P188" i="162"/>
  <c r="P189" i="162"/>
  <c r="P190" i="162"/>
  <c r="P191" i="162"/>
  <c r="P192" i="162"/>
  <c r="P193" i="162"/>
  <c r="P194" i="162"/>
  <c r="P195" i="162"/>
  <c r="P196" i="162"/>
  <c r="P197" i="162"/>
  <c r="P198" i="162"/>
  <c r="P199" i="162"/>
  <c r="P200" i="162"/>
  <c r="P201" i="162"/>
  <c r="P202" i="162"/>
  <c r="P203" i="162"/>
  <c r="P204" i="162"/>
  <c r="P205" i="162"/>
  <c r="P206" i="162"/>
  <c r="P207" i="162"/>
  <c r="P208" i="162"/>
  <c r="P209" i="162"/>
  <c r="P210" i="162"/>
  <c r="P211" i="162"/>
  <c r="P212" i="162"/>
  <c r="P213" i="162"/>
  <c r="P214" i="162"/>
  <c r="P215" i="162"/>
  <c r="P216" i="162"/>
  <c r="P217" i="162"/>
  <c r="P218" i="162"/>
  <c r="P219" i="162"/>
  <c r="P220" i="162"/>
  <c r="P221" i="162"/>
  <c r="P222" i="162"/>
  <c r="P223" i="162"/>
  <c r="P224" i="162"/>
  <c r="P225" i="162"/>
  <c r="P226" i="162"/>
  <c r="P227" i="162"/>
  <c r="P228" i="162"/>
  <c r="P229" i="162"/>
  <c r="P230" i="162"/>
  <c r="P231" i="162"/>
  <c r="P232" i="162"/>
  <c r="P233" i="162"/>
  <c r="P234" i="162"/>
  <c r="P235" i="162"/>
  <c r="P236" i="162"/>
  <c r="P237" i="162"/>
  <c r="P238" i="162"/>
  <c r="P239" i="162"/>
  <c r="P240" i="162"/>
  <c r="P241" i="162"/>
  <c r="P242" i="162"/>
  <c r="P243" i="162"/>
  <c r="P244" i="162"/>
  <c r="P245" i="162"/>
  <c r="P246" i="162"/>
  <c r="P247" i="162"/>
  <c r="P248" i="162"/>
  <c r="P249" i="162"/>
  <c r="P250" i="162"/>
  <c r="P251" i="162"/>
  <c r="P252" i="162"/>
  <c r="P253" i="162"/>
  <c r="P254" i="162"/>
  <c r="P255" i="162"/>
  <c r="P256" i="162"/>
  <c r="P257" i="162"/>
  <c r="P258" i="162"/>
  <c r="P259" i="162"/>
  <c r="P260" i="162"/>
  <c r="P261" i="162"/>
  <c r="P262" i="162"/>
  <c r="P263" i="162"/>
  <c r="P264" i="162"/>
  <c r="P265" i="162"/>
  <c r="P266" i="162"/>
  <c r="P267" i="162"/>
  <c r="P268" i="162"/>
  <c r="P269" i="162"/>
  <c r="P270" i="162"/>
  <c r="P271" i="162"/>
  <c r="P272" i="162"/>
  <c r="P273" i="162"/>
  <c r="P274" i="162"/>
  <c r="P275" i="162"/>
  <c r="P276" i="162"/>
  <c r="P277" i="162"/>
  <c r="P278" i="162"/>
  <c r="P279" i="162"/>
  <c r="P280" i="162"/>
  <c r="P281" i="162"/>
  <c r="P282" i="162"/>
  <c r="P283" i="162"/>
  <c r="P284" i="162"/>
  <c r="P285" i="162"/>
  <c r="P286" i="162"/>
  <c r="P287" i="162"/>
  <c r="P288" i="162"/>
  <c r="P289" i="162"/>
  <c r="P290" i="162"/>
  <c r="P291" i="162"/>
  <c r="P292" i="162"/>
  <c r="P293" i="162"/>
  <c r="P294" i="162"/>
  <c r="P295" i="162"/>
  <c r="P296" i="162"/>
  <c r="P297" i="162"/>
  <c r="P298" i="162"/>
  <c r="P299" i="162"/>
  <c r="P300" i="162"/>
  <c r="P301" i="162"/>
  <c r="P302" i="162"/>
  <c r="P303" i="162"/>
  <c r="P304" i="162"/>
  <c r="P305" i="162"/>
  <c r="P306" i="162"/>
  <c r="P307" i="162"/>
  <c r="P308" i="162"/>
  <c r="P309" i="162"/>
  <c r="P310" i="162"/>
  <c r="P311" i="162"/>
  <c r="P312" i="162"/>
  <c r="P313" i="162"/>
  <c r="P315" i="162"/>
  <c r="P316" i="162"/>
  <c r="P318" i="162"/>
  <c r="P319" i="162"/>
  <c r="P320" i="162"/>
  <c r="P322" i="162"/>
  <c r="P323" i="162"/>
  <c r="P324" i="162"/>
  <c r="P325" i="162"/>
  <c r="P326" i="162"/>
  <c r="P327" i="162"/>
  <c r="P329" i="162"/>
  <c r="P330" i="162"/>
  <c r="P331" i="162"/>
  <c r="P332" i="162"/>
  <c r="P333" i="162"/>
  <c r="P334" i="162"/>
  <c r="P335" i="162"/>
  <c r="P336" i="162"/>
  <c r="P337" i="162"/>
  <c r="P338" i="162"/>
  <c r="P339" i="162"/>
  <c r="P340" i="162"/>
  <c r="P341" i="162"/>
  <c r="P342" i="162"/>
  <c r="P343" i="162"/>
  <c r="P344" i="162"/>
  <c r="P345" i="162"/>
  <c r="P346" i="162"/>
  <c r="P347" i="162"/>
  <c r="P348" i="162"/>
  <c r="P349" i="162"/>
  <c r="P350" i="162"/>
  <c r="P351" i="162"/>
  <c r="P352" i="162"/>
  <c r="F49" i="163"/>
  <c r="F48" i="163"/>
  <c r="F47" i="163"/>
  <c r="F46" i="163"/>
  <c r="B46" i="163"/>
  <c r="F45" i="163"/>
  <c r="B45" i="163"/>
  <c r="B44" i="163"/>
  <c r="B43" i="163"/>
  <c r="F42" i="163"/>
  <c r="B42" i="163"/>
  <c r="F41" i="163"/>
  <c r="B41" i="163"/>
  <c r="F40" i="163"/>
  <c r="B40" i="163"/>
  <c r="E31" i="163"/>
  <c r="E30" i="163"/>
  <c r="H346" i="162"/>
  <c r="K346" i="162"/>
  <c r="L346" i="162"/>
  <c r="M346" i="162"/>
  <c r="N346" i="162"/>
  <c r="H347" i="162"/>
  <c r="K347" i="162"/>
  <c r="L347" i="162"/>
  <c r="M347" i="162"/>
  <c r="N347" i="162"/>
  <c r="H348" i="162"/>
  <c r="K348" i="162"/>
  <c r="L348" i="162"/>
  <c r="M348" i="162"/>
  <c r="N348" i="162"/>
  <c r="H349" i="162"/>
  <c r="K349" i="162"/>
  <c r="L349" i="162"/>
  <c r="M349" i="162"/>
  <c r="N349" i="162"/>
  <c r="H350" i="162"/>
  <c r="K350" i="162"/>
  <c r="L350" i="162"/>
  <c r="M350" i="162"/>
  <c r="N350" i="162"/>
  <c r="H351" i="162"/>
  <c r="K351" i="162"/>
  <c r="L351" i="162"/>
  <c r="M351" i="162"/>
  <c r="N351" i="162"/>
  <c r="H352" i="162"/>
  <c r="K352" i="162"/>
  <c r="L352" i="162"/>
  <c r="M352" i="162"/>
  <c r="N352" i="162"/>
  <c r="A346" i="162"/>
  <c r="A347" i="162"/>
  <c r="A348" i="162"/>
  <c r="A349" i="162"/>
  <c r="A350" i="162"/>
  <c r="A351" i="162"/>
  <c r="A352" i="162"/>
  <c r="I3" i="160"/>
  <c r="J3" i="160"/>
  <c r="D3" i="160"/>
  <c r="E3" i="160"/>
  <c r="F3" i="160"/>
  <c r="C3" i="160"/>
  <c r="I2" i="160"/>
  <c r="J2" i="160"/>
  <c r="D2" i="160"/>
  <c r="E2" i="160"/>
  <c r="F2" i="160"/>
  <c r="C2" i="160"/>
  <c r="I4" i="160"/>
  <c r="J4" i="160"/>
  <c r="D4" i="160"/>
  <c r="E4" i="160"/>
  <c r="F4" i="160"/>
  <c r="C4" i="160"/>
  <c r="I5" i="160"/>
  <c r="J5" i="160"/>
  <c r="D5" i="160"/>
  <c r="E5" i="160"/>
  <c r="F5" i="160"/>
  <c r="C5" i="160"/>
  <c r="I6" i="160"/>
  <c r="J6" i="160"/>
  <c r="D6" i="160"/>
  <c r="E6" i="160"/>
  <c r="F6" i="160"/>
  <c r="C6" i="160"/>
  <c r="I7" i="160"/>
  <c r="J7" i="160"/>
  <c r="D7" i="160"/>
  <c r="E7" i="160"/>
  <c r="F7" i="160"/>
  <c r="C7" i="160"/>
  <c r="I8" i="160"/>
  <c r="J8" i="160"/>
  <c r="D8" i="160"/>
  <c r="E8" i="160"/>
  <c r="F8" i="160"/>
  <c r="C8" i="160"/>
  <c r="I9" i="160"/>
  <c r="J9" i="160"/>
  <c r="D9" i="160"/>
  <c r="E9" i="160"/>
  <c r="F9" i="160"/>
  <c r="C9" i="160"/>
  <c r="I10" i="160"/>
  <c r="J10" i="160"/>
  <c r="D10" i="160"/>
  <c r="E10" i="160"/>
  <c r="F10" i="160"/>
  <c r="C10" i="160"/>
  <c r="I11" i="160"/>
  <c r="J11" i="160"/>
  <c r="D11" i="160"/>
  <c r="E11" i="160"/>
  <c r="F11" i="160"/>
  <c r="C11" i="160"/>
  <c r="I12" i="160"/>
  <c r="J12" i="160"/>
  <c r="D12" i="160"/>
  <c r="E12" i="160"/>
  <c r="F12" i="160"/>
  <c r="C12" i="160"/>
  <c r="I13" i="160"/>
  <c r="J13" i="160"/>
  <c r="D13" i="160"/>
  <c r="E13" i="160"/>
  <c r="F13" i="160"/>
  <c r="C13" i="160"/>
  <c r="I14" i="160"/>
  <c r="J14" i="160"/>
  <c r="D14" i="160"/>
  <c r="E14" i="160"/>
  <c r="F14" i="160"/>
  <c r="C14" i="160"/>
  <c r="I15" i="160"/>
  <c r="J15" i="160"/>
  <c r="D15" i="160"/>
  <c r="E15" i="160"/>
  <c r="F15" i="160"/>
  <c r="C15" i="160"/>
  <c r="I16" i="160"/>
  <c r="J16" i="160"/>
  <c r="D16" i="160"/>
  <c r="E16" i="160"/>
  <c r="F16" i="160"/>
  <c r="C16" i="160"/>
  <c r="I17" i="160"/>
  <c r="J17" i="160"/>
  <c r="D17" i="160"/>
  <c r="E17" i="160"/>
  <c r="F17" i="160"/>
  <c r="C17" i="160"/>
  <c r="I18" i="160"/>
  <c r="J18" i="160"/>
  <c r="D18" i="160"/>
  <c r="E18" i="160"/>
  <c r="F18" i="160"/>
  <c r="C18" i="160"/>
  <c r="I19" i="160"/>
  <c r="J19" i="160"/>
  <c r="D19" i="160"/>
  <c r="E19" i="160"/>
  <c r="F19" i="160"/>
  <c r="C19" i="160"/>
  <c r="I20" i="160"/>
  <c r="J20" i="160"/>
  <c r="D20" i="160"/>
  <c r="E20" i="160"/>
  <c r="F20" i="160"/>
  <c r="C20" i="160"/>
  <c r="I21" i="160"/>
  <c r="J21" i="160"/>
  <c r="D21" i="160"/>
  <c r="E21" i="160"/>
  <c r="F21" i="160"/>
  <c r="C21" i="160"/>
  <c r="I22" i="160"/>
  <c r="J22" i="160"/>
  <c r="D22" i="160"/>
  <c r="E22" i="160"/>
  <c r="F22" i="160"/>
  <c r="C22" i="160"/>
  <c r="I23" i="160"/>
  <c r="J23" i="160"/>
  <c r="D23" i="160"/>
  <c r="E23" i="160"/>
  <c r="F23" i="160"/>
  <c r="C23" i="160"/>
  <c r="I24" i="160"/>
  <c r="J24" i="160"/>
  <c r="D24" i="160"/>
  <c r="E24" i="160"/>
  <c r="F24" i="160"/>
  <c r="C24" i="160"/>
  <c r="I25" i="160"/>
  <c r="J25" i="160"/>
  <c r="D25" i="160"/>
  <c r="E25" i="160"/>
  <c r="F25" i="160"/>
  <c r="C25" i="160"/>
  <c r="I26" i="160"/>
  <c r="J26" i="160"/>
  <c r="D26" i="160"/>
  <c r="E26" i="160"/>
  <c r="F26" i="160"/>
  <c r="C26" i="160"/>
  <c r="I27" i="160"/>
  <c r="J27" i="160"/>
  <c r="D27" i="160"/>
  <c r="E27" i="160"/>
  <c r="F27" i="160"/>
  <c r="C27" i="160"/>
  <c r="I28" i="160"/>
  <c r="J28" i="160"/>
  <c r="D28" i="160"/>
  <c r="E28" i="160"/>
  <c r="F28" i="160"/>
  <c r="C28" i="160"/>
  <c r="I29" i="160"/>
  <c r="J29" i="160"/>
  <c r="D29" i="160"/>
  <c r="E29" i="160"/>
  <c r="F29" i="160"/>
  <c r="C29" i="160"/>
  <c r="I30" i="160"/>
  <c r="J30" i="160"/>
  <c r="D30" i="160"/>
  <c r="E30" i="160"/>
  <c r="F30" i="160"/>
  <c r="C30" i="160"/>
  <c r="I31" i="160"/>
  <c r="J31" i="160"/>
  <c r="D31" i="160"/>
  <c r="E31" i="160"/>
  <c r="F31" i="160"/>
  <c r="C31" i="160"/>
  <c r="I32" i="160"/>
  <c r="J32" i="160"/>
  <c r="D32" i="160"/>
  <c r="E32" i="160"/>
  <c r="F32" i="160"/>
  <c r="C32" i="160"/>
  <c r="I33" i="160"/>
  <c r="J33" i="160"/>
  <c r="D33" i="160"/>
  <c r="E33" i="160"/>
  <c r="F33" i="160"/>
  <c r="C33" i="160"/>
  <c r="I34" i="160"/>
  <c r="J34" i="160"/>
  <c r="D34" i="160"/>
  <c r="E34" i="160"/>
  <c r="F34" i="160"/>
  <c r="C34" i="160"/>
  <c r="I35" i="160"/>
  <c r="J35" i="160"/>
  <c r="D35" i="160"/>
  <c r="E35" i="160"/>
  <c r="F35" i="160"/>
  <c r="C35" i="160"/>
  <c r="I36" i="160"/>
  <c r="J36" i="160"/>
  <c r="D36" i="160"/>
  <c r="E36" i="160"/>
  <c r="F36" i="160"/>
  <c r="C36" i="160"/>
  <c r="I37" i="160"/>
  <c r="J37" i="160"/>
  <c r="D37" i="160"/>
  <c r="E37" i="160"/>
  <c r="F37" i="160"/>
  <c r="C37" i="160"/>
  <c r="I38" i="160"/>
  <c r="J38" i="160"/>
  <c r="D38" i="160"/>
  <c r="E38" i="160"/>
  <c r="F38" i="160"/>
  <c r="C38" i="160"/>
  <c r="I39" i="160"/>
  <c r="J39" i="160"/>
  <c r="D39" i="160"/>
  <c r="E39" i="160"/>
  <c r="F39" i="160"/>
  <c r="C39" i="160"/>
  <c r="I40" i="160"/>
  <c r="J40" i="160"/>
  <c r="D40" i="160"/>
  <c r="E40" i="160"/>
  <c r="F40" i="160"/>
  <c r="C40" i="160"/>
  <c r="I41" i="160"/>
  <c r="J41" i="160"/>
  <c r="D41" i="160"/>
  <c r="E41" i="160"/>
  <c r="F41" i="160"/>
  <c r="C41" i="160"/>
  <c r="I42" i="160"/>
  <c r="D42" i="160"/>
  <c r="J42" i="160"/>
  <c r="E42" i="160"/>
  <c r="F42" i="160"/>
  <c r="C42" i="160"/>
  <c r="I43" i="160"/>
  <c r="D43" i="160"/>
  <c r="J43" i="160"/>
  <c r="E43" i="160"/>
  <c r="F43" i="160"/>
  <c r="C43" i="160"/>
  <c r="I44" i="160"/>
  <c r="D44" i="160"/>
  <c r="J44" i="160"/>
  <c r="E44" i="160"/>
  <c r="F44" i="160"/>
  <c r="C44" i="160"/>
  <c r="I45" i="160"/>
  <c r="D45" i="160"/>
  <c r="J45" i="160"/>
  <c r="E45" i="160"/>
  <c r="F45" i="160"/>
  <c r="C45" i="160"/>
  <c r="I46" i="160"/>
  <c r="D46" i="160"/>
  <c r="J46" i="160"/>
  <c r="E46" i="160"/>
  <c r="F46" i="160"/>
  <c r="C46" i="160"/>
  <c r="I47" i="160"/>
  <c r="D47" i="160"/>
  <c r="J47" i="160"/>
  <c r="E47" i="160"/>
  <c r="F47" i="160"/>
  <c r="C47" i="160"/>
  <c r="I48" i="160"/>
  <c r="D48" i="160"/>
  <c r="J48" i="160"/>
  <c r="E48" i="160"/>
  <c r="F48" i="160"/>
  <c r="C48" i="160"/>
  <c r="I49" i="160"/>
  <c r="D49" i="160"/>
  <c r="J49" i="160"/>
  <c r="E49" i="160"/>
  <c r="F49" i="160"/>
  <c r="C49" i="160"/>
  <c r="I50" i="160"/>
  <c r="D50" i="160"/>
  <c r="J50" i="160"/>
  <c r="E50" i="160"/>
  <c r="F50" i="160"/>
  <c r="C50" i="160"/>
  <c r="I51" i="160"/>
  <c r="D51" i="160"/>
  <c r="J51" i="160"/>
  <c r="E51" i="160"/>
  <c r="F51" i="160"/>
  <c r="C51" i="160"/>
  <c r="I52" i="160"/>
  <c r="D52" i="160"/>
  <c r="J52" i="160"/>
  <c r="E52" i="160"/>
  <c r="F52" i="160"/>
  <c r="C52" i="160"/>
  <c r="I53" i="160"/>
  <c r="D53" i="160"/>
  <c r="J53" i="160"/>
  <c r="E53" i="160"/>
  <c r="F53" i="160"/>
  <c r="C53" i="160"/>
  <c r="I54" i="160"/>
  <c r="D54" i="160"/>
  <c r="J54" i="160"/>
  <c r="E54" i="160"/>
  <c r="F54" i="160"/>
  <c r="C54" i="160"/>
  <c r="I55" i="160"/>
  <c r="D55" i="160"/>
  <c r="J55" i="160"/>
  <c r="E55" i="160"/>
  <c r="F55" i="160"/>
  <c r="C55" i="160"/>
  <c r="I56" i="160"/>
  <c r="D56" i="160"/>
  <c r="J56" i="160"/>
  <c r="E56" i="160"/>
  <c r="F56" i="160"/>
  <c r="C56" i="160"/>
  <c r="I57" i="160"/>
  <c r="D57" i="160"/>
  <c r="J57" i="160"/>
  <c r="E57" i="160"/>
  <c r="F57" i="160"/>
  <c r="C57" i="160"/>
  <c r="I58" i="160"/>
  <c r="D58" i="160"/>
  <c r="J58" i="160"/>
  <c r="E58" i="160"/>
  <c r="F58" i="160"/>
  <c r="C58" i="160"/>
  <c r="I59" i="160"/>
  <c r="D59" i="160"/>
  <c r="J59" i="160"/>
  <c r="E59" i="160"/>
  <c r="F59" i="160"/>
  <c r="C59" i="160"/>
  <c r="I60" i="160"/>
  <c r="D60" i="160"/>
  <c r="J60" i="160"/>
  <c r="E60" i="160"/>
  <c r="F60" i="160"/>
  <c r="C60" i="160"/>
  <c r="I61" i="160"/>
  <c r="D61" i="160"/>
  <c r="J61" i="160"/>
  <c r="E61" i="160"/>
  <c r="F61" i="160"/>
  <c r="C61" i="160"/>
  <c r="I62" i="160"/>
  <c r="D62" i="160"/>
  <c r="J62" i="160"/>
  <c r="E62" i="160"/>
  <c r="F62" i="160"/>
  <c r="C62" i="160"/>
  <c r="I63" i="160"/>
  <c r="D63" i="160"/>
  <c r="J63" i="160"/>
  <c r="E63" i="160"/>
  <c r="F63" i="160"/>
  <c r="C63" i="160"/>
  <c r="I64" i="160"/>
  <c r="D64" i="160"/>
  <c r="J64" i="160"/>
  <c r="E64" i="160"/>
  <c r="F64" i="160"/>
  <c r="C64" i="160"/>
  <c r="I65" i="160"/>
  <c r="D65" i="160"/>
  <c r="J65" i="160"/>
  <c r="E65" i="160"/>
  <c r="F65" i="160"/>
  <c r="C65" i="160"/>
  <c r="I66" i="160"/>
  <c r="D66" i="160"/>
  <c r="J66" i="160"/>
  <c r="E66" i="160"/>
  <c r="F66" i="160"/>
  <c r="C66" i="160"/>
  <c r="I67" i="160"/>
  <c r="D67" i="160"/>
  <c r="J67" i="160"/>
  <c r="E67" i="160"/>
  <c r="F67" i="160"/>
  <c r="C67" i="160"/>
  <c r="I68" i="160"/>
  <c r="D68" i="160"/>
  <c r="J68" i="160"/>
  <c r="E68" i="160"/>
  <c r="F68" i="160"/>
  <c r="C68" i="160"/>
  <c r="I69" i="160"/>
  <c r="D69" i="160"/>
  <c r="J69" i="160"/>
  <c r="E69" i="160"/>
  <c r="F69" i="160"/>
  <c r="C69" i="160"/>
  <c r="I70" i="160"/>
  <c r="D70" i="160"/>
  <c r="J70" i="160"/>
  <c r="E70" i="160"/>
  <c r="F70" i="160"/>
  <c r="C70" i="160"/>
  <c r="I71" i="160"/>
  <c r="D71" i="160"/>
  <c r="J71" i="160"/>
  <c r="E71" i="160"/>
  <c r="F71" i="160"/>
  <c r="C71" i="160"/>
  <c r="I72" i="160"/>
  <c r="D72" i="160"/>
  <c r="J72" i="160"/>
  <c r="E72" i="160"/>
  <c r="F72" i="160"/>
  <c r="C72" i="160"/>
  <c r="I73" i="160"/>
  <c r="D73" i="160"/>
  <c r="J73" i="160"/>
  <c r="E73" i="160"/>
  <c r="F73" i="160"/>
  <c r="C73" i="160"/>
  <c r="I74" i="160"/>
  <c r="D74" i="160"/>
  <c r="J74" i="160"/>
  <c r="E74" i="160"/>
  <c r="F74" i="160"/>
  <c r="C74" i="160"/>
  <c r="I75" i="160"/>
  <c r="D75" i="160"/>
  <c r="J75" i="160"/>
  <c r="E75" i="160"/>
  <c r="F75" i="160"/>
  <c r="C75" i="160"/>
  <c r="I76" i="160"/>
  <c r="D76" i="160"/>
  <c r="J76" i="160"/>
  <c r="E76" i="160"/>
  <c r="F76" i="160"/>
  <c r="C76" i="160"/>
  <c r="I77" i="160"/>
  <c r="D77" i="160"/>
  <c r="J77" i="160"/>
  <c r="E77" i="160"/>
  <c r="F77" i="160"/>
  <c r="C77" i="160"/>
  <c r="I78" i="160"/>
  <c r="D78" i="160"/>
  <c r="J78" i="160"/>
  <c r="E78" i="160"/>
  <c r="F78" i="160"/>
  <c r="C78" i="160"/>
  <c r="I79" i="160"/>
  <c r="D79" i="160"/>
  <c r="J79" i="160"/>
  <c r="E79" i="160"/>
  <c r="F79" i="160"/>
  <c r="C79" i="160"/>
  <c r="I80" i="160"/>
  <c r="D80" i="160"/>
  <c r="J80" i="160"/>
  <c r="E80" i="160"/>
  <c r="F80" i="160"/>
  <c r="C80" i="160"/>
  <c r="I81" i="160"/>
  <c r="D81" i="160"/>
  <c r="J81" i="160"/>
  <c r="E81" i="160"/>
  <c r="F81" i="160"/>
  <c r="C81" i="160"/>
  <c r="I82" i="160"/>
  <c r="D82" i="160"/>
  <c r="J82" i="160"/>
  <c r="E82" i="160"/>
  <c r="F82" i="160"/>
  <c r="C82" i="160"/>
  <c r="I83" i="160"/>
  <c r="D83" i="160"/>
  <c r="J83" i="160"/>
  <c r="E83" i="160"/>
  <c r="F83" i="160"/>
  <c r="C83" i="160"/>
  <c r="I84" i="160"/>
  <c r="D84" i="160"/>
  <c r="J84" i="160"/>
  <c r="E84" i="160"/>
  <c r="F84" i="160"/>
  <c r="C84" i="160"/>
  <c r="I85" i="160"/>
  <c r="D85" i="160"/>
  <c r="J85" i="160"/>
  <c r="E85" i="160"/>
  <c r="F85" i="160"/>
  <c r="C85" i="160"/>
  <c r="I86" i="160"/>
  <c r="D86" i="160"/>
  <c r="J86" i="160"/>
  <c r="E86" i="160"/>
  <c r="F86" i="160"/>
  <c r="C86" i="160"/>
  <c r="I87" i="160"/>
  <c r="D87" i="160"/>
  <c r="J87" i="160"/>
  <c r="E87" i="160"/>
  <c r="F87" i="160"/>
  <c r="C87" i="160"/>
  <c r="I88" i="160"/>
  <c r="D88" i="160"/>
  <c r="J88" i="160"/>
  <c r="E88" i="160"/>
  <c r="F88" i="160"/>
  <c r="C88" i="160"/>
  <c r="I89" i="160"/>
  <c r="D89" i="160"/>
  <c r="J89" i="160"/>
  <c r="E89" i="160"/>
  <c r="F89" i="160"/>
  <c r="C89" i="160"/>
  <c r="I90" i="160"/>
  <c r="D90" i="160"/>
  <c r="J90" i="160"/>
  <c r="E90" i="160"/>
  <c r="F90" i="160"/>
  <c r="C90" i="160"/>
  <c r="I91" i="160"/>
  <c r="D91" i="160"/>
  <c r="J91" i="160"/>
  <c r="E91" i="160"/>
  <c r="F91" i="160"/>
  <c r="C91" i="160"/>
  <c r="I92" i="160"/>
  <c r="D92" i="160"/>
  <c r="J92" i="160"/>
  <c r="E92" i="160"/>
  <c r="F92" i="160"/>
  <c r="C92" i="160"/>
  <c r="I93" i="160"/>
  <c r="D93" i="160"/>
  <c r="J93" i="160"/>
  <c r="E93" i="160"/>
  <c r="F93" i="160"/>
  <c r="C93" i="160"/>
  <c r="I94" i="160"/>
  <c r="D94" i="160"/>
  <c r="J94" i="160"/>
  <c r="E94" i="160"/>
  <c r="F94" i="160"/>
  <c r="C94" i="160"/>
  <c r="I95" i="160"/>
  <c r="D95" i="160"/>
  <c r="J95" i="160"/>
  <c r="E95" i="160"/>
  <c r="F95" i="160"/>
  <c r="C95" i="160"/>
  <c r="I96" i="160"/>
  <c r="D96" i="160"/>
  <c r="J96" i="160"/>
  <c r="E96" i="160"/>
  <c r="F96" i="160"/>
  <c r="C96" i="160"/>
  <c r="I97" i="160"/>
  <c r="D97" i="160"/>
  <c r="J97" i="160"/>
  <c r="E97" i="160"/>
  <c r="F97" i="160"/>
  <c r="C97" i="160"/>
  <c r="I98" i="160"/>
  <c r="D98" i="160"/>
  <c r="J98" i="160"/>
  <c r="E98" i="160"/>
  <c r="F98" i="160"/>
  <c r="C98" i="160"/>
  <c r="I99" i="160"/>
  <c r="D99" i="160"/>
  <c r="J99" i="160"/>
  <c r="E99" i="160"/>
  <c r="F99" i="160"/>
  <c r="C99" i="160"/>
  <c r="I100" i="160"/>
  <c r="D100" i="160"/>
  <c r="J100" i="160"/>
  <c r="E100" i="160"/>
  <c r="F100" i="160"/>
  <c r="C100" i="160"/>
  <c r="I101" i="160"/>
  <c r="D101" i="160"/>
  <c r="J101" i="160"/>
  <c r="E101" i="160"/>
  <c r="F101" i="160"/>
  <c r="C101" i="160"/>
  <c r="I102" i="160"/>
  <c r="D102" i="160"/>
  <c r="J102" i="160"/>
  <c r="E102" i="160"/>
  <c r="F102" i="160"/>
  <c r="C102" i="160"/>
  <c r="I103" i="160"/>
  <c r="D103" i="160"/>
  <c r="J103" i="160"/>
  <c r="E103" i="160"/>
  <c r="F103" i="160"/>
  <c r="C103" i="160"/>
  <c r="I104" i="160"/>
  <c r="D104" i="160"/>
  <c r="J104" i="160"/>
  <c r="E104" i="160"/>
  <c r="F104" i="160"/>
  <c r="C104" i="160"/>
  <c r="I105" i="160"/>
  <c r="D105" i="160"/>
  <c r="J105" i="160"/>
  <c r="E105" i="160"/>
  <c r="F105" i="160"/>
  <c r="C105" i="160"/>
  <c r="I106" i="160"/>
  <c r="D106" i="160"/>
  <c r="J106" i="160"/>
  <c r="E106" i="160"/>
  <c r="F106" i="160"/>
  <c r="C106" i="160"/>
  <c r="I107" i="160"/>
  <c r="D107" i="160"/>
  <c r="J107" i="160"/>
  <c r="E107" i="160"/>
  <c r="F107" i="160"/>
  <c r="C107" i="160"/>
  <c r="I108" i="160"/>
  <c r="D108" i="160"/>
  <c r="J108" i="160"/>
  <c r="E108" i="160"/>
  <c r="F108" i="160"/>
  <c r="C108" i="160"/>
  <c r="I109" i="160"/>
  <c r="D109" i="160"/>
  <c r="J109" i="160"/>
  <c r="E109" i="160"/>
  <c r="F109" i="160"/>
  <c r="C109" i="160"/>
  <c r="I110" i="160"/>
  <c r="D110" i="160"/>
  <c r="J110" i="160"/>
  <c r="E110" i="160"/>
  <c r="F110" i="160"/>
  <c r="C110" i="160"/>
  <c r="I111" i="160"/>
  <c r="D111" i="160"/>
  <c r="J111" i="160"/>
  <c r="E111" i="160"/>
  <c r="F111" i="160"/>
  <c r="C111" i="160"/>
  <c r="I112" i="160"/>
  <c r="D112" i="160"/>
  <c r="J112" i="160"/>
  <c r="E112" i="160"/>
  <c r="F112" i="160"/>
  <c r="C112" i="160"/>
  <c r="I113" i="160"/>
  <c r="D113" i="160"/>
  <c r="J113" i="160"/>
  <c r="E113" i="160"/>
  <c r="F113" i="160"/>
  <c r="C113" i="160"/>
  <c r="I114" i="160"/>
  <c r="D114" i="160"/>
  <c r="J114" i="160"/>
  <c r="E114" i="160"/>
  <c r="F114" i="160"/>
  <c r="C114" i="160"/>
  <c r="I115" i="160"/>
  <c r="D115" i="160"/>
  <c r="J115" i="160"/>
  <c r="E115" i="160"/>
  <c r="F115" i="160"/>
  <c r="C115" i="160"/>
  <c r="I116" i="160"/>
  <c r="D116" i="160"/>
  <c r="J116" i="160"/>
  <c r="E116" i="160"/>
  <c r="F116" i="160"/>
  <c r="C116" i="160"/>
  <c r="I117" i="160"/>
  <c r="D117" i="160"/>
  <c r="J117" i="160"/>
  <c r="E117" i="160"/>
  <c r="F117" i="160"/>
  <c r="C117" i="160"/>
  <c r="I118" i="160"/>
  <c r="D118" i="160"/>
  <c r="J118" i="160"/>
  <c r="E118" i="160"/>
  <c r="F118" i="160"/>
  <c r="C118" i="160"/>
  <c r="I119" i="160"/>
  <c r="D119" i="160"/>
  <c r="J119" i="160"/>
  <c r="E119" i="160"/>
  <c r="F119" i="160"/>
  <c r="C119" i="160"/>
  <c r="I120" i="160"/>
  <c r="D120" i="160"/>
  <c r="J120" i="160"/>
  <c r="E120" i="160"/>
  <c r="F120" i="160"/>
  <c r="C120" i="160"/>
  <c r="I121" i="160"/>
  <c r="D121" i="160"/>
  <c r="J121" i="160"/>
  <c r="E121" i="160"/>
  <c r="F121" i="160"/>
  <c r="C121" i="160"/>
  <c r="I122" i="160"/>
  <c r="D122" i="160"/>
  <c r="J122" i="160"/>
  <c r="E122" i="160"/>
  <c r="F122" i="160"/>
  <c r="C122" i="160"/>
  <c r="I123" i="160"/>
  <c r="D123" i="160"/>
  <c r="J123" i="160"/>
  <c r="E123" i="160"/>
  <c r="F123" i="160"/>
  <c r="C123" i="160"/>
  <c r="I124" i="160"/>
  <c r="D124" i="160"/>
  <c r="J124" i="160"/>
  <c r="E124" i="160"/>
  <c r="F124" i="160"/>
  <c r="C124" i="160"/>
  <c r="I125" i="160"/>
  <c r="D125" i="160"/>
  <c r="J125" i="160"/>
  <c r="E125" i="160"/>
  <c r="F125" i="160"/>
  <c r="C125" i="160"/>
  <c r="I126" i="160"/>
  <c r="D126" i="160"/>
  <c r="J126" i="160"/>
  <c r="E126" i="160"/>
  <c r="F126" i="160"/>
  <c r="C126" i="160"/>
  <c r="I127" i="160"/>
  <c r="D127" i="160"/>
  <c r="J127" i="160"/>
  <c r="E127" i="160"/>
  <c r="F127" i="160"/>
  <c r="C127" i="160"/>
  <c r="I128" i="160"/>
  <c r="D128" i="160"/>
  <c r="J128" i="160"/>
  <c r="E128" i="160"/>
  <c r="F128" i="160"/>
  <c r="C128" i="160"/>
  <c r="I129" i="160"/>
  <c r="D129" i="160"/>
  <c r="J129" i="160"/>
  <c r="E129" i="160"/>
  <c r="F129" i="160"/>
  <c r="C129" i="160"/>
  <c r="I130" i="160"/>
  <c r="D130" i="160"/>
  <c r="J130" i="160"/>
  <c r="E130" i="160"/>
  <c r="F130" i="160"/>
  <c r="C130" i="160"/>
  <c r="I131" i="160"/>
  <c r="D131" i="160"/>
  <c r="J131" i="160"/>
  <c r="E131" i="160"/>
  <c r="F131" i="160"/>
  <c r="C131" i="160"/>
  <c r="I132" i="160"/>
  <c r="D132" i="160"/>
  <c r="J132" i="160"/>
  <c r="E132" i="160"/>
  <c r="F132" i="160"/>
  <c r="C132" i="160"/>
  <c r="I133" i="160"/>
  <c r="D133" i="160"/>
  <c r="J133" i="160"/>
  <c r="E133" i="160"/>
  <c r="F133" i="160"/>
  <c r="C133" i="160"/>
  <c r="I134" i="160"/>
  <c r="D134" i="160"/>
  <c r="J134" i="160"/>
  <c r="E134" i="160"/>
  <c r="F134" i="160"/>
  <c r="C134" i="160"/>
  <c r="I135" i="160"/>
  <c r="D135" i="160"/>
  <c r="J135" i="160"/>
  <c r="E135" i="160"/>
  <c r="F135" i="160"/>
  <c r="C135" i="160"/>
  <c r="I136" i="160"/>
  <c r="D136" i="160"/>
  <c r="J136" i="160"/>
  <c r="E136" i="160"/>
  <c r="F136" i="160"/>
  <c r="C136" i="160"/>
  <c r="I137" i="160"/>
  <c r="D137" i="160"/>
  <c r="J137" i="160"/>
  <c r="E137" i="160"/>
  <c r="F137" i="160"/>
  <c r="C137" i="160"/>
  <c r="I138" i="160"/>
  <c r="D138" i="160"/>
  <c r="J138" i="160"/>
  <c r="E138" i="160"/>
  <c r="F138" i="160"/>
  <c r="C138" i="160"/>
  <c r="I139" i="160"/>
  <c r="D139" i="160"/>
  <c r="J139" i="160"/>
  <c r="E139" i="160"/>
  <c r="F139" i="160"/>
  <c r="C139" i="160"/>
  <c r="I140" i="160"/>
  <c r="D140" i="160"/>
  <c r="J140" i="160"/>
  <c r="E140" i="160"/>
  <c r="F140" i="160"/>
  <c r="C140" i="160"/>
  <c r="I141" i="160"/>
  <c r="D141" i="160"/>
  <c r="J141" i="160"/>
  <c r="E141" i="160"/>
  <c r="F141" i="160"/>
  <c r="C141" i="160"/>
  <c r="I142" i="160"/>
  <c r="D142" i="160"/>
  <c r="J142" i="160"/>
  <c r="E142" i="160"/>
  <c r="F142" i="160"/>
  <c r="C142" i="160"/>
  <c r="I143" i="160"/>
  <c r="D143" i="160"/>
  <c r="J143" i="160"/>
  <c r="E143" i="160"/>
  <c r="F143" i="160"/>
  <c r="C143" i="160"/>
  <c r="I144" i="160"/>
  <c r="D144" i="160"/>
  <c r="J144" i="160"/>
  <c r="E144" i="160"/>
  <c r="F144" i="160"/>
  <c r="C144" i="160"/>
  <c r="I145" i="160"/>
  <c r="D145" i="160"/>
  <c r="J145" i="160"/>
  <c r="E145" i="160"/>
  <c r="F145" i="160"/>
  <c r="C145" i="160"/>
  <c r="I146" i="160"/>
  <c r="D146" i="160"/>
  <c r="J146" i="160"/>
  <c r="E146" i="160"/>
  <c r="F146" i="160"/>
  <c r="C146" i="160"/>
  <c r="I147" i="160"/>
  <c r="D147" i="160"/>
  <c r="J147" i="160"/>
  <c r="E147" i="160"/>
  <c r="F147" i="160"/>
  <c r="C147" i="160"/>
  <c r="I148" i="160"/>
  <c r="D148" i="160"/>
  <c r="J148" i="160"/>
  <c r="E148" i="160"/>
  <c r="F148" i="160"/>
  <c r="C148" i="160"/>
  <c r="I149" i="160"/>
  <c r="D149" i="160"/>
  <c r="J149" i="160"/>
  <c r="E149" i="160"/>
  <c r="F149" i="160"/>
  <c r="C149" i="160"/>
  <c r="I150" i="160"/>
  <c r="D150" i="160"/>
  <c r="J150" i="160"/>
  <c r="E150" i="160"/>
  <c r="F150" i="160"/>
  <c r="C150" i="160"/>
  <c r="I151" i="160"/>
  <c r="D151" i="160"/>
  <c r="J151" i="160"/>
  <c r="E151" i="160"/>
  <c r="F151" i="160"/>
  <c r="C151" i="160"/>
  <c r="I152" i="160"/>
  <c r="D152" i="160"/>
  <c r="J152" i="160"/>
  <c r="E152" i="160"/>
  <c r="F152" i="160"/>
  <c r="C152" i="160"/>
  <c r="I153" i="160"/>
  <c r="D153" i="160"/>
  <c r="J153" i="160"/>
  <c r="E153" i="160"/>
  <c r="F153" i="160"/>
  <c r="C153" i="160"/>
  <c r="I154" i="160"/>
  <c r="D154" i="160"/>
  <c r="J154" i="160"/>
  <c r="E154" i="160"/>
  <c r="F154" i="160"/>
  <c r="C154" i="160"/>
  <c r="I155" i="160"/>
  <c r="D155" i="160"/>
  <c r="J155" i="160"/>
  <c r="E155" i="160"/>
  <c r="F155" i="160"/>
  <c r="C155" i="160"/>
  <c r="I156" i="160"/>
  <c r="D156" i="160"/>
  <c r="J156" i="160"/>
  <c r="E156" i="160"/>
  <c r="F156" i="160"/>
  <c r="C156" i="160"/>
  <c r="I157" i="160"/>
  <c r="D157" i="160"/>
  <c r="J157" i="160"/>
  <c r="E157" i="160"/>
  <c r="F157" i="160"/>
  <c r="C157" i="160"/>
  <c r="I158" i="160"/>
  <c r="D158" i="160"/>
  <c r="J158" i="160"/>
  <c r="E158" i="160"/>
  <c r="F158" i="160"/>
  <c r="C158" i="160"/>
  <c r="I159" i="160"/>
  <c r="D159" i="160"/>
  <c r="J159" i="160"/>
  <c r="E159" i="160"/>
  <c r="F159" i="160"/>
  <c r="C159" i="160"/>
  <c r="I160" i="160"/>
  <c r="D160" i="160"/>
  <c r="J160" i="160"/>
  <c r="E160" i="160"/>
  <c r="F160" i="160"/>
  <c r="C160" i="160"/>
  <c r="I161" i="160"/>
  <c r="D161" i="160"/>
  <c r="J161" i="160"/>
  <c r="E161" i="160"/>
  <c r="F161" i="160"/>
  <c r="C161" i="160"/>
  <c r="I162" i="160"/>
  <c r="D162" i="160"/>
  <c r="J162" i="160"/>
  <c r="E162" i="160"/>
  <c r="F162" i="160"/>
  <c r="C162" i="160"/>
  <c r="I163" i="160"/>
  <c r="D163" i="160"/>
  <c r="J163" i="160"/>
  <c r="E163" i="160"/>
  <c r="F163" i="160"/>
  <c r="C163" i="160"/>
  <c r="I164" i="160"/>
  <c r="D164" i="160"/>
  <c r="J164" i="160"/>
  <c r="E164" i="160"/>
  <c r="F164" i="160"/>
  <c r="C164" i="160"/>
  <c r="I165" i="160"/>
  <c r="D165" i="160"/>
  <c r="J165" i="160"/>
  <c r="E165" i="160"/>
  <c r="F165" i="160"/>
  <c r="C165" i="160"/>
  <c r="I166" i="160"/>
  <c r="D166" i="160"/>
  <c r="J166" i="160"/>
  <c r="E166" i="160"/>
  <c r="F166" i="160"/>
  <c r="C166" i="160"/>
  <c r="I167" i="160"/>
  <c r="D167" i="160"/>
  <c r="J167" i="160"/>
  <c r="E167" i="160"/>
  <c r="F167" i="160"/>
  <c r="C167" i="160"/>
  <c r="I168" i="160"/>
  <c r="D168" i="160"/>
  <c r="J168" i="160"/>
  <c r="E168" i="160"/>
  <c r="F168" i="160"/>
  <c r="C168" i="160"/>
  <c r="I169" i="160"/>
  <c r="D169" i="160"/>
  <c r="J169" i="160"/>
  <c r="E169" i="160"/>
  <c r="F169" i="160"/>
  <c r="C169" i="160"/>
  <c r="I170" i="160"/>
  <c r="D170" i="160"/>
  <c r="J170" i="160"/>
  <c r="E170" i="160"/>
  <c r="F170" i="160"/>
  <c r="C170" i="160"/>
  <c r="I171" i="160"/>
  <c r="D171" i="160"/>
  <c r="J171" i="160"/>
  <c r="E171" i="160"/>
  <c r="F171" i="160"/>
  <c r="C171" i="160"/>
  <c r="I172" i="160"/>
  <c r="D172" i="160"/>
  <c r="J172" i="160"/>
  <c r="E172" i="160"/>
  <c r="F172" i="160"/>
  <c r="C172" i="160"/>
  <c r="I173" i="160"/>
  <c r="D173" i="160"/>
  <c r="J173" i="160"/>
  <c r="E173" i="160"/>
  <c r="F173" i="160"/>
  <c r="C173" i="160"/>
  <c r="I174" i="160"/>
  <c r="D174" i="160"/>
  <c r="J174" i="160"/>
  <c r="E174" i="160"/>
  <c r="F174" i="160"/>
  <c r="C174" i="160"/>
  <c r="I175" i="160"/>
  <c r="D175" i="160"/>
  <c r="J175" i="160"/>
  <c r="E175" i="160"/>
  <c r="F175" i="160"/>
  <c r="C175" i="160"/>
  <c r="I176" i="160"/>
  <c r="D176" i="160"/>
  <c r="J176" i="160"/>
  <c r="E176" i="160"/>
  <c r="F176" i="160"/>
  <c r="C176" i="160"/>
  <c r="I177" i="160"/>
  <c r="D177" i="160"/>
  <c r="J177" i="160"/>
  <c r="E177" i="160"/>
  <c r="F177" i="160"/>
  <c r="C177" i="160"/>
  <c r="I178" i="160"/>
  <c r="D178" i="160"/>
  <c r="J178" i="160"/>
  <c r="E178" i="160"/>
  <c r="F178" i="160"/>
  <c r="C178" i="160"/>
  <c r="I179" i="160"/>
  <c r="D179" i="160"/>
  <c r="J179" i="160"/>
  <c r="E179" i="160"/>
  <c r="F179" i="160"/>
  <c r="C179" i="160"/>
  <c r="I180" i="160"/>
  <c r="D180" i="160"/>
  <c r="J180" i="160"/>
  <c r="E180" i="160"/>
  <c r="F180" i="160"/>
  <c r="C180" i="160"/>
  <c r="I181" i="160"/>
  <c r="D181" i="160"/>
  <c r="J181" i="160"/>
  <c r="E181" i="160"/>
  <c r="F181" i="160"/>
  <c r="C181" i="160"/>
  <c r="I182" i="160"/>
  <c r="D182" i="160"/>
  <c r="J182" i="160"/>
  <c r="E182" i="160"/>
  <c r="F182" i="160"/>
  <c r="C182" i="160"/>
  <c r="I183" i="160"/>
  <c r="D183" i="160"/>
  <c r="J183" i="160"/>
  <c r="E183" i="160"/>
  <c r="F183" i="160"/>
  <c r="C183" i="160"/>
  <c r="I184" i="160"/>
  <c r="D184" i="160"/>
  <c r="J184" i="160"/>
  <c r="E184" i="160"/>
  <c r="F184" i="160"/>
  <c r="C184" i="160"/>
  <c r="I185" i="160"/>
  <c r="D185" i="160"/>
  <c r="J185" i="160"/>
  <c r="E185" i="160"/>
  <c r="F185" i="160"/>
  <c r="C185" i="160"/>
  <c r="I186" i="160"/>
  <c r="D186" i="160"/>
  <c r="J186" i="160"/>
  <c r="E186" i="160"/>
  <c r="F186" i="160"/>
  <c r="C186" i="160"/>
  <c r="I187" i="160"/>
  <c r="D187" i="160"/>
  <c r="J187" i="160"/>
  <c r="E187" i="160"/>
  <c r="F187" i="160"/>
  <c r="C187" i="160"/>
  <c r="I188" i="160"/>
  <c r="D188" i="160"/>
  <c r="J188" i="160"/>
  <c r="E188" i="160"/>
  <c r="F188" i="160"/>
  <c r="C188" i="160"/>
  <c r="I189" i="160"/>
  <c r="D189" i="160"/>
  <c r="J189" i="160"/>
  <c r="E189" i="160"/>
  <c r="F189" i="160"/>
  <c r="C189" i="160"/>
  <c r="I190" i="160"/>
  <c r="D190" i="160"/>
  <c r="J190" i="160"/>
  <c r="E190" i="160"/>
  <c r="F190" i="160"/>
  <c r="C190" i="160"/>
  <c r="I191" i="160"/>
  <c r="D191" i="160"/>
  <c r="J191" i="160"/>
  <c r="E191" i="160"/>
  <c r="F191" i="160"/>
  <c r="C191" i="160"/>
  <c r="I192" i="160"/>
  <c r="D192" i="160"/>
  <c r="J192" i="160"/>
  <c r="E192" i="160"/>
  <c r="F192" i="160"/>
  <c r="C192" i="160"/>
  <c r="I193" i="160"/>
  <c r="D193" i="160"/>
  <c r="J193" i="160"/>
  <c r="E193" i="160"/>
  <c r="F193" i="160"/>
  <c r="C193" i="160"/>
  <c r="I194" i="160"/>
  <c r="D194" i="160"/>
  <c r="J194" i="160"/>
  <c r="E194" i="160"/>
  <c r="F194" i="160"/>
  <c r="C194" i="160"/>
  <c r="I195" i="160"/>
  <c r="D195" i="160"/>
  <c r="J195" i="160"/>
  <c r="E195" i="160"/>
  <c r="F195" i="160"/>
  <c r="C195" i="160"/>
  <c r="I196" i="160"/>
  <c r="D196" i="160"/>
  <c r="J196" i="160"/>
  <c r="E196" i="160"/>
  <c r="F196" i="160"/>
  <c r="C196" i="160"/>
  <c r="I197" i="160"/>
  <c r="D197" i="160"/>
  <c r="J197" i="160"/>
  <c r="E197" i="160"/>
  <c r="F197" i="160"/>
  <c r="C197" i="160"/>
  <c r="I198" i="160"/>
  <c r="D198" i="160"/>
  <c r="J198" i="160"/>
  <c r="E198" i="160"/>
  <c r="F198" i="160"/>
  <c r="C198" i="160"/>
  <c r="I199" i="160"/>
  <c r="D199" i="160"/>
  <c r="J199" i="160"/>
  <c r="E199" i="160"/>
  <c r="F199" i="160"/>
  <c r="C199" i="160"/>
  <c r="I200" i="160"/>
  <c r="D200" i="160"/>
  <c r="J200" i="160"/>
  <c r="E200" i="160"/>
  <c r="F200" i="160"/>
  <c r="C200" i="160"/>
  <c r="I201" i="160"/>
  <c r="D201" i="160"/>
  <c r="J201" i="160"/>
  <c r="E201" i="160"/>
  <c r="F201" i="160"/>
  <c r="C201" i="160"/>
  <c r="I202" i="160"/>
  <c r="D202" i="160"/>
  <c r="J202" i="160"/>
  <c r="E202" i="160"/>
  <c r="F202" i="160"/>
  <c r="C202" i="160"/>
  <c r="I203" i="160"/>
  <c r="D203" i="160"/>
  <c r="J203" i="160"/>
  <c r="E203" i="160"/>
  <c r="F203" i="160"/>
  <c r="C203" i="160"/>
  <c r="I204" i="160"/>
  <c r="D204" i="160"/>
  <c r="J204" i="160"/>
  <c r="E204" i="160"/>
  <c r="F204" i="160"/>
  <c r="C204" i="160"/>
  <c r="I205" i="160"/>
  <c r="D205" i="160"/>
  <c r="J205" i="160"/>
  <c r="E205" i="160"/>
  <c r="F205" i="160"/>
  <c r="C205" i="160"/>
  <c r="I206" i="160"/>
  <c r="D206" i="160"/>
  <c r="J206" i="160"/>
  <c r="E206" i="160"/>
  <c r="F206" i="160"/>
  <c r="C206" i="160"/>
  <c r="I207" i="160"/>
  <c r="D207" i="160"/>
  <c r="J207" i="160"/>
  <c r="E207" i="160"/>
  <c r="F207" i="160"/>
  <c r="C207" i="160"/>
  <c r="I208" i="160"/>
  <c r="D208" i="160"/>
  <c r="J208" i="160"/>
  <c r="E208" i="160"/>
  <c r="F208" i="160"/>
  <c r="C208" i="160"/>
  <c r="I209" i="160"/>
  <c r="D209" i="160"/>
  <c r="J209" i="160"/>
  <c r="E209" i="160"/>
  <c r="F209" i="160"/>
  <c r="C209" i="160"/>
  <c r="I210" i="160"/>
  <c r="D210" i="160"/>
  <c r="J210" i="160"/>
  <c r="E210" i="160"/>
  <c r="F210" i="160"/>
  <c r="C210" i="160"/>
  <c r="I211" i="160"/>
  <c r="D211" i="160"/>
  <c r="J211" i="160"/>
  <c r="E211" i="160"/>
  <c r="F211" i="160"/>
  <c r="C211" i="160"/>
  <c r="I212" i="160"/>
  <c r="D212" i="160"/>
  <c r="J212" i="160"/>
  <c r="E212" i="160"/>
  <c r="F212" i="160"/>
  <c r="C212" i="160"/>
  <c r="I213" i="160"/>
  <c r="D213" i="160"/>
  <c r="J213" i="160"/>
  <c r="E213" i="160"/>
  <c r="F213" i="160"/>
  <c r="C213" i="160"/>
  <c r="I214" i="160"/>
  <c r="D214" i="160"/>
  <c r="J214" i="160"/>
  <c r="E214" i="160"/>
  <c r="F214" i="160"/>
  <c r="C214" i="160"/>
  <c r="I215" i="160"/>
  <c r="J215" i="160"/>
  <c r="D215" i="160"/>
  <c r="E215" i="160"/>
  <c r="F215" i="160"/>
  <c r="C215" i="160"/>
  <c r="I216" i="160"/>
  <c r="J216" i="160"/>
  <c r="D216" i="160"/>
  <c r="E216" i="160"/>
  <c r="F216" i="160"/>
  <c r="C216" i="160"/>
  <c r="I217" i="160"/>
  <c r="J217" i="160"/>
  <c r="D217" i="160"/>
  <c r="E217" i="160"/>
  <c r="F217" i="160"/>
  <c r="C217" i="160"/>
  <c r="I218" i="160"/>
  <c r="J218" i="160"/>
  <c r="D218" i="160"/>
  <c r="E218" i="160"/>
  <c r="F218" i="160"/>
  <c r="C218" i="160"/>
  <c r="I219" i="160"/>
  <c r="J219" i="160"/>
  <c r="D219" i="160"/>
  <c r="E219" i="160"/>
  <c r="F219" i="160"/>
  <c r="C219" i="160"/>
  <c r="I220" i="160"/>
  <c r="J220" i="160"/>
  <c r="D220" i="160"/>
  <c r="E220" i="160"/>
  <c r="F220" i="160"/>
  <c r="C220" i="160"/>
  <c r="I221" i="160"/>
  <c r="D221" i="160"/>
  <c r="J221" i="160"/>
  <c r="E221" i="160"/>
  <c r="F221" i="160"/>
  <c r="C221" i="160"/>
  <c r="I222" i="160"/>
  <c r="D222" i="160"/>
  <c r="J222" i="160"/>
  <c r="E222" i="160"/>
  <c r="F222" i="160"/>
  <c r="C222" i="160"/>
  <c r="I223" i="160"/>
  <c r="D223" i="160"/>
  <c r="J223" i="160"/>
  <c r="E223" i="160"/>
  <c r="F223" i="160"/>
  <c r="C223" i="160"/>
  <c r="I224" i="160"/>
  <c r="D224" i="160"/>
  <c r="J224" i="160"/>
  <c r="E224" i="160"/>
  <c r="F224" i="160"/>
  <c r="C224" i="160"/>
  <c r="I225" i="160"/>
  <c r="D225" i="160"/>
  <c r="J225" i="160"/>
  <c r="E225" i="160"/>
  <c r="F225" i="160"/>
  <c r="C225" i="160"/>
  <c r="I226" i="160"/>
  <c r="D226" i="160"/>
  <c r="J226" i="160"/>
  <c r="E226" i="160"/>
  <c r="F226" i="160"/>
  <c r="C226" i="160"/>
  <c r="I227" i="160"/>
  <c r="D227" i="160"/>
  <c r="J227" i="160"/>
  <c r="E227" i="160"/>
  <c r="F227" i="160"/>
  <c r="C227" i="160"/>
  <c r="I228" i="160"/>
  <c r="D228" i="160"/>
  <c r="J228" i="160"/>
  <c r="E228" i="160"/>
  <c r="F228" i="160"/>
  <c r="C228" i="160"/>
  <c r="I229" i="160"/>
  <c r="D229" i="160"/>
  <c r="J229" i="160"/>
  <c r="E229" i="160"/>
  <c r="F229" i="160"/>
  <c r="C229" i="160"/>
  <c r="I230" i="160"/>
  <c r="D230" i="160"/>
  <c r="J230" i="160"/>
  <c r="E230" i="160"/>
  <c r="F230" i="160"/>
  <c r="C230" i="160"/>
  <c r="I231" i="160"/>
  <c r="D231" i="160"/>
  <c r="J231" i="160"/>
  <c r="E231" i="160"/>
  <c r="F231" i="160"/>
  <c r="C231" i="160"/>
  <c r="I232" i="160"/>
  <c r="D232" i="160"/>
  <c r="J232" i="160"/>
  <c r="E232" i="160"/>
  <c r="F232" i="160"/>
  <c r="C232" i="160"/>
  <c r="I233" i="160"/>
  <c r="D233" i="160"/>
  <c r="J233" i="160"/>
  <c r="E233" i="160"/>
  <c r="F233" i="160"/>
  <c r="C233" i="160"/>
  <c r="I234" i="160"/>
  <c r="D234" i="160"/>
  <c r="J234" i="160"/>
  <c r="E234" i="160"/>
  <c r="F234" i="160"/>
  <c r="C234" i="160"/>
  <c r="I235" i="160"/>
  <c r="D235" i="160"/>
  <c r="J235" i="160"/>
  <c r="E235" i="160"/>
  <c r="F235" i="160"/>
  <c r="C235" i="160"/>
  <c r="I236" i="160"/>
  <c r="D236" i="160"/>
  <c r="J236" i="160"/>
  <c r="E236" i="160"/>
  <c r="F236" i="160"/>
  <c r="C236" i="160"/>
  <c r="I237" i="160"/>
  <c r="D237" i="160"/>
  <c r="J237" i="160"/>
  <c r="E237" i="160"/>
  <c r="F237" i="160"/>
  <c r="C237" i="160"/>
  <c r="I238" i="160"/>
  <c r="D238" i="160"/>
  <c r="J238" i="160"/>
  <c r="E238" i="160"/>
  <c r="F238" i="160"/>
  <c r="C238" i="160"/>
  <c r="I239" i="160"/>
  <c r="D239" i="160"/>
  <c r="J239" i="160"/>
  <c r="E239" i="160"/>
  <c r="F239" i="160"/>
  <c r="C239" i="160"/>
  <c r="I240" i="160"/>
  <c r="D240" i="160"/>
  <c r="J240" i="160"/>
  <c r="E240" i="160"/>
  <c r="F240" i="160"/>
  <c r="C240" i="160"/>
  <c r="I241" i="160"/>
  <c r="D241" i="160"/>
  <c r="J241" i="160"/>
  <c r="E241" i="160"/>
  <c r="F241" i="160"/>
  <c r="C241" i="160"/>
  <c r="I242" i="160"/>
  <c r="D242" i="160"/>
  <c r="J242" i="160"/>
  <c r="E242" i="160"/>
  <c r="F242" i="160"/>
  <c r="C242" i="160"/>
  <c r="I243" i="160"/>
  <c r="D243" i="160"/>
  <c r="J243" i="160"/>
  <c r="E243" i="160"/>
  <c r="F243" i="160"/>
  <c r="C243" i="160"/>
  <c r="I244" i="160"/>
  <c r="D244" i="160"/>
  <c r="J244" i="160"/>
  <c r="E244" i="160"/>
  <c r="F244" i="160"/>
  <c r="C244" i="160"/>
  <c r="I245" i="160"/>
  <c r="D245" i="160"/>
  <c r="J245" i="160"/>
  <c r="E245" i="160"/>
  <c r="F245" i="160"/>
  <c r="C245" i="160"/>
  <c r="I246" i="160"/>
  <c r="D246" i="160"/>
  <c r="J246" i="160"/>
  <c r="E246" i="160"/>
  <c r="F246" i="160"/>
  <c r="C246" i="160"/>
  <c r="I247" i="160"/>
  <c r="D247" i="160"/>
  <c r="J247" i="160"/>
  <c r="E247" i="160"/>
  <c r="F247" i="160"/>
  <c r="C247" i="160"/>
  <c r="I248" i="160"/>
  <c r="D248" i="160"/>
  <c r="J248" i="160"/>
  <c r="E248" i="160"/>
  <c r="F248" i="160"/>
  <c r="C248" i="160"/>
  <c r="I249" i="160"/>
  <c r="D249" i="160"/>
  <c r="J249" i="160"/>
  <c r="E249" i="160"/>
  <c r="F249" i="160"/>
  <c r="C249" i="160"/>
  <c r="I250" i="160"/>
  <c r="D250" i="160"/>
  <c r="J250" i="160"/>
  <c r="E250" i="160"/>
  <c r="F250" i="160"/>
  <c r="C250" i="160"/>
  <c r="I251" i="160"/>
  <c r="D251" i="160"/>
  <c r="J251" i="160"/>
  <c r="E251" i="160"/>
  <c r="F251" i="160"/>
  <c r="C251" i="160"/>
  <c r="I252" i="160"/>
  <c r="D252" i="160"/>
  <c r="J252" i="160"/>
  <c r="E252" i="160"/>
  <c r="F252" i="160"/>
  <c r="C252" i="160"/>
  <c r="I253" i="160"/>
  <c r="D253" i="160"/>
  <c r="J253" i="160"/>
  <c r="E253" i="160"/>
  <c r="F253" i="160"/>
  <c r="C253" i="160"/>
  <c r="I254" i="160"/>
  <c r="D254" i="160"/>
  <c r="J254" i="160"/>
  <c r="E254" i="160"/>
  <c r="F254" i="160"/>
  <c r="C254" i="160"/>
  <c r="I255" i="160"/>
  <c r="D255" i="160"/>
  <c r="J255" i="160"/>
  <c r="E255" i="160"/>
  <c r="F255" i="160"/>
  <c r="C255" i="160"/>
  <c r="I256" i="160"/>
  <c r="D256" i="160"/>
  <c r="J256" i="160"/>
  <c r="E256" i="160"/>
  <c r="F256" i="160"/>
  <c r="C256" i="160"/>
  <c r="I257" i="160"/>
  <c r="D257" i="160"/>
  <c r="J257" i="160"/>
  <c r="E257" i="160"/>
  <c r="F257" i="160"/>
  <c r="C257" i="160"/>
  <c r="I258" i="160"/>
  <c r="D258" i="160"/>
  <c r="J258" i="160"/>
  <c r="E258" i="160"/>
  <c r="F258" i="160"/>
  <c r="C258" i="160"/>
  <c r="I259" i="160"/>
  <c r="D259" i="160"/>
  <c r="J259" i="160"/>
  <c r="E259" i="160"/>
  <c r="F259" i="160"/>
  <c r="C259" i="160"/>
  <c r="I260" i="160"/>
  <c r="D260" i="160"/>
  <c r="J260" i="160"/>
  <c r="E260" i="160"/>
  <c r="F260" i="160"/>
  <c r="C260" i="160"/>
  <c r="I261" i="160"/>
  <c r="D261" i="160"/>
  <c r="J261" i="160"/>
  <c r="E261" i="160"/>
  <c r="F261" i="160"/>
  <c r="C261" i="160"/>
  <c r="I262" i="160"/>
  <c r="D262" i="160"/>
  <c r="J262" i="160"/>
  <c r="E262" i="160"/>
  <c r="F262" i="160"/>
  <c r="C262" i="160"/>
  <c r="I263" i="160"/>
  <c r="D263" i="160"/>
  <c r="J263" i="160"/>
  <c r="E263" i="160"/>
  <c r="F263" i="160"/>
  <c r="C263" i="160"/>
  <c r="I264" i="160"/>
  <c r="D264" i="160"/>
  <c r="J264" i="160"/>
  <c r="E264" i="160"/>
  <c r="F264" i="160"/>
  <c r="C264" i="160"/>
  <c r="I265" i="160"/>
  <c r="D265" i="160"/>
  <c r="J265" i="160"/>
  <c r="E265" i="160"/>
  <c r="F265" i="160"/>
  <c r="C265" i="160"/>
  <c r="I266" i="160"/>
  <c r="D266" i="160"/>
  <c r="J266" i="160"/>
  <c r="E266" i="160"/>
  <c r="F266" i="160"/>
  <c r="C266" i="160"/>
  <c r="I267" i="160"/>
  <c r="D267" i="160"/>
  <c r="J267" i="160"/>
  <c r="E267" i="160"/>
  <c r="F267" i="160"/>
  <c r="C267" i="160"/>
  <c r="I268" i="160"/>
  <c r="D268" i="160"/>
  <c r="J268" i="160"/>
  <c r="E268" i="160"/>
  <c r="F268" i="160"/>
  <c r="C268" i="160"/>
  <c r="I269" i="160"/>
  <c r="D269" i="160"/>
  <c r="J269" i="160"/>
  <c r="E269" i="160"/>
  <c r="F269" i="160"/>
  <c r="C269" i="160"/>
  <c r="I270" i="160"/>
  <c r="D270" i="160"/>
  <c r="J270" i="160"/>
  <c r="E270" i="160"/>
  <c r="F270" i="160"/>
  <c r="C270" i="160"/>
  <c r="I271" i="160"/>
  <c r="D271" i="160"/>
  <c r="J271" i="160"/>
  <c r="E271" i="160"/>
  <c r="F271" i="160"/>
  <c r="C271" i="160"/>
  <c r="I272" i="160"/>
  <c r="D272" i="160"/>
  <c r="J272" i="160"/>
  <c r="E272" i="160"/>
  <c r="F272" i="160"/>
  <c r="C272" i="160"/>
  <c r="I273" i="160"/>
  <c r="D273" i="160"/>
  <c r="J273" i="160"/>
  <c r="E273" i="160"/>
  <c r="F273" i="160"/>
  <c r="C273" i="160"/>
  <c r="I274" i="160"/>
  <c r="D274" i="160"/>
  <c r="J274" i="160"/>
  <c r="E274" i="160"/>
  <c r="F274" i="160"/>
  <c r="C274" i="160"/>
  <c r="I275" i="160"/>
  <c r="D275" i="160"/>
  <c r="J275" i="160"/>
  <c r="E275" i="160"/>
  <c r="F275" i="160"/>
  <c r="C275" i="160"/>
  <c r="I276" i="160"/>
  <c r="D276" i="160"/>
  <c r="J276" i="160"/>
  <c r="E276" i="160"/>
  <c r="F276" i="160"/>
  <c r="C276" i="160"/>
  <c r="I277" i="160"/>
  <c r="D277" i="160"/>
  <c r="J277" i="160"/>
  <c r="E277" i="160"/>
  <c r="F277" i="160"/>
  <c r="C277" i="160"/>
  <c r="I278" i="160"/>
  <c r="D278" i="160"/>
  <c r="J278" i="160"/>
  <c r="E278" i="160"/>
  <c r="F278" i="160"/>
  <c r="C278" i="160"/>
  <c r="I279" i="160"/>
  <c r="D279" i="160"/>
  <c r="J279" i="160"/>
  <c r="E279" i="160"/>
  <c r="F279" i="160"/>
  <c r="C279" i="160"/>
  <c r="I280" i="160"/>
  <c r="D280" i="160"/>
  <c r="J280" i="160"/>
  <c r="E280" i="160"/>
  <c r="F280" i="160"/>
  <c r="C280" i="160"/>
  <c r="I281" i="160"/>
  <c r="D281" i="160"/>
  <c r="J281" i="160"/>
  <c r="E281" i="160"/>
  <c r="F281" i="160"/>
  <c r="C281" i="160"/>
  <c r="I282" i="160"/>
  <c r="D282" i="160"/>
  <c r="J282" i="160"/>
  <c r="E282" i="160"/>
  <c r="F282" i="160"/>
  <c r="C282" i="160"/>
  <c r="I283" i="160"/>
  <c r="D283" i="160"/>
  <c r="J283" i="160"/>
  <c r="E283" i="160"/>
  <c r="F283" i="160"/>
  <c r="C283" i="160"/>
  <c r="I284" i="160"/>
  <c r="D284" i="160"/>
  <c r="J284" i="160"/>
  <c r="E284" i="160"/>
  <c r="F284" i="160"/>
  <c r="C284" i="160"/>
  <c r="I285" i="160"/>
  <c r="D285" i="160"/>
  <c r="J285" i="160"/>
  <c r="E285" i="160"/>
  <c r="F285" i="160"/>
  <c r="C285" i="160"/>
  <c r="I286" i="160"/>
  <c r="D286" i="160"/>
  <c r="J286" i="160"/>
  <c r="E286" i="160"/>
  <c r="F286" i="160"/>
  <c r="C286" i="160"/>
  <c r="I287" i="160"/>
  <c r="D287" i="160"/>
  <c r="J287" i="160"/>
  <c r="E287" i="160"/>
  <c r="F287" i="160"/>
  <c r="C287" i="160"/>
  <c r="I288" i="160"/>
  <c r="D288" i="160"/>
  <c r="J288" i="160"/>
  <c r="E288" i="160"/>
  <c r="F288" i="160"/>
  <c r="C288" i="160"/>
  <c r="I289" i="160"/>
  <c r="D289" i="160"/>
  <c r="J289" i="160"/>
  <c r="E289" i="160"/>
  <c r="F289" i="160"/>
  <c r="C289" i="160"/>
  <c r="I290" i="160"/>
  <c r="D290" i="160"/>
  <c r="J290" i="160"/>
  <c r="E290" i="160"/>
  <c r="F290" i="160"/>
  <c r="C290" i="160"/>
  <c r="I291" i="160"/>
  <c r="D291" i="160"/>
  <c r="J291" i="160"/>
  <c r="E291" i="160"/>
  <c r="F291" i="160"/>
  <c r="C291" i="160"/>
  <c r="I292" i="160"/>
  <c r="D292" i="160"/>
  <c r="J292" i="160"/>
  <c r="E292" i="160"/>
  <c r="F292" i="160"/>
  <c r="C292" i="160"/>
  <c r="I293" i="160"/>
  <c r="D293" i="160"/>
  <c r="J293" i="160"/>
  <c r="E293" i="160"/>
  <c r="F293" i="160"/>
  <c r="C293" i="160"/>
  <c r="I294" i="160"/>
  <c r="D294" i="160"/>
  <c r="J294" i="160"/>
  <c r="E294" i="160"/>
  <c r="F294" i="160"/>
  <c r="C294" i="160"/>
  <c r="I295" i="160"/>
  <c r="D295" i="160"/>
  <c r="J295" i="160"/>
  <c r="E295" i="160"/>
  <c r="F295" i="160"/>
  <c r="C295" i="160"/>
  <c r="I296" i="160"/>
  <c r="D296" i="160"/>
  <c r="J296" i="160"/>
  <c r="E296" i="160"/>
  <c r="F296" i="160"/>
  <c r="C296" i="160"/>
  <c r="I297" i="160"/>
  <c r="D297" i="160"/>
  <c r="J297" i="160"/>
  <c r="E297" i="160"/>
  <c r="F297" i="160"/>
  <c r="C297" i="160"/>
  <c r="I298" i="160"/>
  <c r="D298" i="160"/>
  <c r="J298" i="160"/>
  <c r="E298" i="160"/>
  <c r="F298" i="160"/>
  <c r="C298" i="160"/>
  <c r="I299" i="160"/>
  <c r="D299" i="160"/>
  <c r="J299" i="160"/>
  <c r="E299" i="160"/>
  <c r="F299" i="160"/>
  <c r="C299" i="160"/>
  <c r="I300" i="160"/>
  <c r="D300" i="160"/>
  <c r="J300" i="160"/>
  <c r="E300" i="160"/>
  <c r="F300" i="160"/>
  <c r="C300" i="160"/>
  <c r="I301" i="160"/>
  <c r="D301" i="160"/>
  <c r="J301" i="160"/>
  <c r="E301" i="160"/>
  <c r="F301" i="160"/>
  <c r="C301" i="160"/>
  <c r="I302" i="160"/>
  <c r="D302" i="160"/>
  <c r="J302" i="160"/>
  <c r="E302" i="160"/>
  <c r="F302" i="160"/>
  <c r="C302" i="160"/>
  <c r="I303" i="160"/>
  <c r="D303" i="160"/>
  <c r="J303" i="160"/>
  <c r="E303" i="160"/>
  <c r="F303" i="160"/>
  <c r="C303" i="160"/>
  <c r="I304" i="160"/>
  <c r="D304" i="160"/>
  <c r="J304" i="160"/>
  <c r="E304" i="160"/>
  <c r="F304" i="160"/>
  <c r="C304" i="160"/>
  <c r="I305" i="160"/>
  <c r="D305" i="160"/>
  <c r="J305" i="160"/>
  <c r="E305" i="160"/>
  <c r="F305" i="160"/>
  <c r="C305" i="160"/>
  <c r="I306" i="160"/>
  <c r="D306" i="160"/>
  <c r="J306" i="160"/>
  <c r="E306" i="160"/>
  <c r="F306" i="160"/>
  <c r="C306" i="160"/>
  <c r="I307" i="160"/>
  <c r="D307" i="160"/>
  <c r="J307" i="160"/>
  <c r="E307" i="160"/>
  <c r="F307" i="160"/>
  <c r="C307" i="160"/>
  <c r="I308" i="160"/>
  <c r="D308" i="160"/>
  <c r="J308" i="160"/>
  <c r="E308" i="160"/>
  <c r="F308" i="160"/>
  <c r="C308" i="160"/>
  <c r="I309" i="160"/>
  <c r="D309" i="160"/>
  <c r="J309" i="160"/>
  <c r="E309" i="160"/>
  <c r="F309" i="160"/>
  <c r="C309" i="160"/>
  <c r="I310" i="160"/>
  <c r="D310" i="160"/>
  <c r="J310" i="160"/>
  <c r="E310" i="160"/>
  <c r="F310" i="160"/>
  <c r="C310" i="160"/>
  <c r="I311" i="160"/>
  <c r="D311" i="160"/>
  <c r="J311" i="160"/>
  <c r="E311" i="160"/>
  <c r="F311" i="160"/>
  <c r="C311" i="160"/>
  <c r="I312" i="160"/>
  <c r="D312" i="160"/>
  <c r="J312" i="160"/>
  <c r="E312" i="160"/>
  <c r="F312" i="160"/>
  <c r="C312" i="160"/>
  <c r="I313" i="160"/>
  <c r="D313" i="160"/>
  <c r="J313" i="160"/>
  <c r="E313" i="160"/>
  <c r="F313" i="160"/>
  <c r="C313" i="160"/>
  <c r="I314" i="160"/>
  <c r="D314" i="160"/>
  <c r="J314" i="160"/>
  <c r="E314" i="160"/>
  <c r="F314" i="160"/>
  <c r="C314" i="160"/>
  <c r="I315" i="160"/>
  <c r="D315" i="160"/>
  <c r="J315" i="160"/>
  <c r="E315" i="160"/>
  <c r="F315" i="160"/>
  <c r="C315" i="160"/>
  <c r="I316" i="160"/>
  <c r="D316" i="160"/>
  <c r="J316" i="160"/>
  <c r="E316" i="160"/>
  <c r="F316" i="160"/>
  <c r="C316" i="160"/>
  <c r="I317" i="160"/>
  <c r="D317" i="160"/>
  <c r="J317" i="160"/>
  <c r="E317" i="160"/>
  <c r="F317" i="160"/>
  <c r="C317" i="160"/>
  <c r="I318" i="160"/>
  <c r="D318" i="160"/>
  <c r="J318" i="160"/>
  <c r="E318" i="160"/>
  <c r="F318" i="160"/>
  <c r="C318" i="160"/>
  <c r="I319" i="160"/>
  <c r="D319" i="160"/>
  <c r="J319" i="160"/>
  <c r="E319" i="160"/>
  <c r="F319" i="160"/>
  <c r="C319" i="160"/>
  <c r="I320" i="160"/>
  <c r="D320" i="160"/>
  <c r="J320" i="160"/>
  <c r="E320" i="160"/>
  <c r="F320" i="160"/>
  <c r="C320" i="160"/>
  <c r="I321" i="160"/>
  <c r="D321" i="160"/>
  <c r="J321" i="160"/>
  <c r="E321" i="160"/>
  <c r="F321" i="160"/>
  <c r="C321" i="160"/>
  <c r="I322" i="160"/>
  <c r="D322" i="160"/>
  <c r="J322" i="160"/>
  <c r="E322" i="160"/>
  <c r="F322" i="160"/>
  <c r="C322" i="160"/>
  <c r="I323" i="160"/>
  <c r="D323" i="160"/>
  <c r="J323" i="160"/>
  <c r="E323" i="160"/>
  <c r="F323" i="160"/>
  <c r="C323" i="160"/>
  <c r="I324" i="160"/>
  <c r="D324" i="160"/>
  <c r="J324" i="160"/>
  <c r="E324" i="160"/>
  <c r="F324" i="160"/>
  <c r="C324" i="160"/>
  <c r="I325" i="160"/>
  <c r="D325" i="160"/>
  <c r="J325" i="160"/>
  <c r="E325" i="160"/>
  <c r="F325" i="160"/>
  <c r="C325" i="160"/>
  <c r="I326" i="160"/>
  <c r="D326" i="160"/>
  <c r="J326" i="160"/>
  <c r="E326" i="160"/>
  <c r="F326" i="160"/>
  <c r="C326" i="160"/>
  <c r="I327" i="160"/>
  <c r="D327" i="160"/>
  <c r="J327" i="160"/>
  <c r="E327" i="160"/>
  <c r="F327" i="160"/>
  <c r="C327" i="160"/>
  <c r="I328" i="160"/>
  <c r="D328" i="160"/>
  <c r="J328" i="160"/>
  <c r="E328" i="160"/>
  <c r="F328" i="160"/>
  <c r="C328" i="160"/>
  <c r="I329" i="160"/>
  <c r="D329" i="160"/>
  <c r="J329" i="160"/>
  <c r="E329" i="160"/>
  <c r="F329" i="160"/>
  <c r="C329" i="160"/>
  <c r="I330" i="160"/>
  <c r="D330" i="160"/>
  <c r="J330" i="160"/>
  <c r="E330" i="160"/>
  <c r="F330" i="160"/>
  <c r="C330" i="160"/>
  <c r="I331" i="160"/>
  <c r="D331" i="160"/>
  <c r="J331" i="160"/>
  <c r="E331" i="160"/>
  <c r="F331" i="160"/>
  <c r="C331" i="160"/>
  <c r="I332" i="160"/>
  <c r="D332" i="160"/>
  <c r="J332" i="160"/>
  <c r="E332" i="160"/>
  <c r="F332" i="160"/>
  <c r="C332" i="160"/>
  <c r="I333" i="160"/>
  <c r="D333" i="160"/>
  <c r="J333" i="160"/>
  <c r="E333" i="160"/>
  <c r="F333" i="160"/>
  <c r="C333" i="160"/>
  <c r="I334" i="160"/>
  <c r="D334" i="160"/>
  <c r="J334" i="160"/>
  <c r="E334" i="160"/>
  <c r="F334" i="160"/>
  <c r="C334" i="160"/>
  <c r="I335" i="160"/>
  <c r="D335" i="160"/>
  <c r="J335" i="160"/>
  <c r="E335" i="160"/>
  <c r="F335" i="160"/>
  <c r="C335" i="160"/>
  <c r="I336" i="160"/>
  <c r="D336" i="160"/>
  <c r="J336" i="160"/>
  <c r="E336" i="160"/>
  <c r="F336" i="160"/>
  <c r="C336" i="160"/>
  <c r="I337" i="160"/>
  <c r="D337" i="160"/>
  <c r="J337" i="160"/>
  <c r="E337" i="160"/>
  <c r="F337" i="160"/>
  <c r="C337" i="160"/>
  <c r="I338" i="160"/>
  <c r="D338" i="160"/>
  <c r="J338" i="160"/>
  <c r="E338" i="160"/>
  <c r="F338" i="160"/>
  <c r="C338" i="160"/>
  <c r="I339" i="160"/>
  <c r="D339" i="160"/>
  <c r="J339" i="160"/>
  <c r="E339" i="160"/>
  <c r="F339" i="160"/>
  <c r="C339" i="160"/>
  <c r="I340" i="160"/>
  <c r="D340" i="160"/>
  <c r="J340" i="160"/>
  <c r="E340" i="160"/>
  <c r="F340" i="160"/>
  <c r="C340" i="160"/>
  <c r="I341" i="160"/>
  <c r="D341" i="160"/>
  <c r="J341" i="160"/>
  <c r="E341" i="160"/>
  <c r="F341" i="160"/>
  <c r="C341" i="160"/>
  <c r="I342" i="160"/>
  <c r="D342" i="160"/>
  <c r="J342" i="160"/>
  <c r="E342" i="160"/>
  <c r="F342" i="160"/>
  <c r="C342" i="160"/>
  <c r="I343" i="160"/>
  <c r="D343" i="160"/>
  <c r="J343" i="160"/>
  <c r="E343" i="160"/>
  <c r="F343" i="160"/>
  <c r="C343" i="160"/>
  <c r="I344" i="160"/>
  <c r="D344" i="160"/>
  <c r="J344" i="160"/>
  <c r="E344" i="160"/>
  <c r="F344" i="160"/>
  <c r="C344" i="160"/>
  <c r="I345" i="160"/>
  <c r="D345" i="160"/>
  <c r="J345" i="160"/>
  <c r="E345" i="160"/>
  <c r="F345" i="160"/>
  <c r="C345" i="160"/>
  <c r="I346" i="160"/>
  <c r="D346" i="160"/>
  <c r="J346" i="160"/>
  <c r="E346" i="160"/>
  <c r="F346" i="160"/>
  <c r="C346" i="160"/>
  <c r="I347" i="160"/>
  <c r="D347" i="160"/>
  <c r="J347" i="160"/>
  <c r="E347" i="160"/>
  <c r="F347" i="160"/>
  <c r="C347" i="160"/>
  <c r="I348" i="160"/>
  <c r="D348" i="160"/>
  <c r="J348" i="160"/>
  <c r="E348" i="160"/>
  <c r="F348" i="160"/>
  <c r="C348" i="160"/>
  <c r="I349" i="160"/>
  <c r="D349" i="160"/>
  <c r="J349" i="160"/>
  <c r="E349" i="160"/>
  <c r="F349" i="160"/>
  <c r="C349" i="160"/>
  <c r="I350" i="160"/>
  <c r="D350" i="160"/>
  <c r="J350" i="160"/>
  <c r="E350" i="160"/>
  <c r="F350" i="160"/>
  <c r="C350" i="160"/>
  <c r="I351" i="160"/>
  <c r="D351" i="160"/>
  <c r="J351" i="160"/>
  <c r="E351" i="160"/>
  <c r="F351" i="160"/>
  <c r="C351" i="160"/>
  <c r="I352" i="160"/>
  <c r="D352" i="160"/>
  <c r="J352" i="160"/>
  <c r="E352" i="160"/>
  <c r="F352" i="160"/>
  <c r="C352" i="160"/>
  <c r="F5" i="161"/>
  <c r="F6" i="161"/>
  <c r="A36" i="161"/>
  <c r="E6" i="161"/>
  <c r="Q3" i="161"/>
  <c r="Q4" i="161"/>
  <c r="Q5" i="161"/>
  <c r="Q6" i="161"/>
  <c r="Q7" i="161"/>
  <c r="Q8" i="161"/>
  <c r="Q9" i="161"/>
  <c r="Q10" i="161"/>
  <c r="Q11" i="161"/>
  <c r="Q12" i="161"/>
  <c r="Q13" i="161"/>
  <c r="Q14" i="161"/>
  <c r="Q15" i="161"/>
  <c r="Q16" i="161"/>
  <c r="Q17" i="161"/>
  <c r="Q18" i="161"/>
  <c r="Q19" i="161"/>
  <c r="Q20" i="161"/>
  <c r="E18" i="161"/>
  <c r="E19" i="161"/>
  <c r="B19" i="161"/>
  <c r="E24" i="161"/>
  <c r="B24" i="161"/>
  <c r="B17" i="161"/>
  <c r="B18" i="161"/>
  <c r="G18" i="161"/>
  <c r="H18" i="161"/>
  <c r="O3" i="160"/>
  <c r="O5" i="160"/>
  <c r="O7" i="160"/>
  <c r="O9" i="160"/>
  <c r="G17" i="161"/>
  <c r="E17" i="161"/>
  <c r="H17" i="161"/>
  <c r="O2" i="160"/>
  <c r="O4" i="160"/>
  <c r="O6" i="160"/>
  <c r="O8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61"/>
  <c r="H24" i="161"/>
  <c r="O42" i="160"/>
  <c r="E25" i="161"/>
  <c r="B25" i="161"/>
  <c r="G25" i="161"/>
  <c r="H25" i="161"/>
  <c r="O43" i="160"/>
  <c r="E26" i="161"/>
  <c r="B26" i="161"/>
  <c r="G26" i="161"/>
  <c r="H26" i="161"/>
  <c r="O44" i="160"/>
  <c r="O45" i="160"/>
  <c r="O46" i="160"/>
  <c r="O47" i="160"/>
  <c r="O48" i="160"/>
  <c r="O49" i="160"/>
  <c r="O50" i="160"/>
  <c r="G19" i="161"/>
  <c r="H19" i="161"/>
  <c r="O51" i="160"/>
  <c r="E20" i="161"/>
  <c r="B20" i="161"/>
  <c r="G20" i="161"/>
  <c r="H20" i="161"/>
  <c r="O52" i="160"/>
  <c r="E23" i="161"/>
  <c r="B23" i="161"/>
  <c r="E5" i="161"/>
  <c r="E28" i="161"/>
  <c r="B28" i="161"/>
  <c r="E29" i="161"/>
  <c r="B29" i="161"/>
  <c r="B21" i="161"/>
  <c r="G21" i="161"/>
  <c r="E21" i="161"/>
  <c r="H21" i="161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61"/>
  <c r="B27" i="161"/>
  <c r="G27" i="161"/>
  <c r="H27" i="161"/>
  <c r="O138" i="160"/>
  <c r="G28" i="161"/>
  <c r="H28" i="161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G23" i="161"/>
  <c r="H23" i="161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O256" i="160"/>
  <c r="O257" i="160"/>
  <c r="O258" i="160"/>
  <c r="O259" i="160"/>
  <c r="O260" i="160"/>
  <c r="O261" i="160"/>
  <c r="E22" i="161"/>
  <c r="B22" i="161"/>
  <c r="G22" i="161"/>
  <c r="H22" i="161"/>
  <c r="O262" i="160"/>
  <c r="O263" i="160"/>
  <c r="O264" i="160"/>
  <c r="O265" i="160"/>
  <c r="G29" i="161"/>
  <c r="H29" i="161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O300" i="160"/>
  <c r="O301" i="160"/>
  <c r="O302" i="160"/>
  <c r="O303" i="160"/>
  <c r="O304" i="160"/>
  <c r="O305" i="160"/>
  <c r="O306" i="160"/>
  <c r="O307" i="160"/>
  <c r="O308" i="160"/>
  <c r="O309" i="160"/>
  <c r="O310" i="160"/>
  <c r="O311" i="160"/>
  <c r="O312" i="160"/>
  <c r="O313" i="160"/>
  <c r="O314" i="160"/>
  <c r="O315" i="160"/>
  <c r="O316" i="160"/>
  <c r="O317" i="160"/>
  <c r="O318" i="160"/>
  <c r="O319" i="160"/>
  <c r="O320" i="160"/>
  <c r="O321" i="160"/>
  <c r="O322" i="160"/>
  <c r="O323" i="160"/>
  <c r="O324" i="160"/>
  <c r="O325" i="160"/>
  <c r="O326" i="160"/>
  <c r="O327" i="160"/>
  <c r="O328" i="160"/>
  <c r="O329" i="160"/>
  <c r="O330" i="160"/>
  <c r="O331" i="160"/>
  <c r="O332" i="160"/>
  <c r="O333" i="160"/>
  <c r="O334" i="160"/>
  <c r="O335" i="160"/>
  <c r="O336" i="160"/>
  <c r="O337" i="160"/>
  <c r="O338" i="160"/>
  <c r="O339" i="160"/>
  <c r="O340" i="160"/>
  <c r="O341" i="160"/>
  <c r="O342" i="160"/>
  <c r="O343" i="160"/>
  <c r="O344" i="160"/>
  <c r="O345" i="160"/>
  <c r="G41" i="163"/>
  <c r="F34" i="163"/>
  <c r="B30" i="163"/>
  <c r="M3" i="163"/>
  <c r="R3" i="161"/>
  <c r="O346" i="160"/>
  <c r="R4" i="161"/>
  <c r="O347" i="160"/>
  <c r="R5" i="161"/>
  <c r="O348" i="160"/>
  <c r="R6" i="161"/>
  <c r="O349" i="160"/>
  <c r="R7" i="161"/>
  <c r="O350" i="160"/>
  <c r="R8" i="161"/>
  <c r="O351" i="160"/>
  <c r="R9" i="161"/>
  <c r="O352" i="160"/>
  <c r="R10" i="161"/>
  <c r="R11" i="161"/>
  <c r="P138" i="160"/>
  <c r="P139" i="160"/>
  <c r="P140" i="160"/>
  <c r="P141" i="160"/>
  <c r="P2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299" i="160"/>
  <c r="P300" i="160"/>
  <c r="P301" i="160"/>
  <c r="P302" i="160"/>
  <c r="P303" i="160"/>
  <c r="P304" i="160"/>
  <c r="P305" i="160"/>
  <c r="P306" i="160"/>
  <c r="P307" i="160"/>
  <c r="P308" i="160"/>
  <c r="P309" i="160"/>
  <c r="P310" i="160"/>
  <c r="P311" i="160"/>
  <c r="P312" i="160"/>
  <c r="P313" i="160"/>
  <c r="P314" i="160"/>
  <c r="P315" i="160"/>
  <c r="P316" i="160"/>
  <c r="P317" i="160"/>
  <c r="P318" i="160"/>
  <c r="P319" i="160"/>
  <c r="P320" i="160"/>
  <c r="P321" i="160"/>
  <c r="P322" i="160"/>
  <c r="P323" i="160"/>
  <c r="P324" i="160"/>
  <c r="P325" i="160"/>
  <c r="P326" i="160"/>
  <c r="P327" i="160"/>
  <c r="P328" i="160"/>
  <c r="P329" i="160"/>
  <c r="P330" i="160"/>
  <c r="P331" i="160"/>
  <c r="P332" i="160"/>
  <c r="P333" i="160"/>
  <c r="P334" i="160"/>
  <c r="P335" i="160"/>
  <c r="P336" i="160"/>
  <c r="P337" i="160"/>
  <c r="P338" i="160"/>
  <c r="P339" i="160"/>
  <c r="P340" i="160"/>
  <c r="P341" i="160"/>
  <c r="P342" i="160"/>
  <c r="P343" i="160"/>
  <c r="P344" i="160"/>
  <c r="P345" i="160"/>
  <c r="P346" i="160"/>
  <c r="P347" i="160"/>
  <c r="P348" i="160"/>
  <c r="P349" i="160"/>
  <c r="P350" i="160"/>
  <c r="P351" i="160"/>
  <c r="P352" i="160"/>
  <c r="F48" i="161"/>
  <c r="F49" i="161"/>
  <c r="G48" i="161"/>
  <c r="H346" i="160"/>
  <c r="K346" i="160"/>
  <c r="L346" i="160"/>
  <c r="M346" i="160"/>
  <c r="N346" i="160"/>
  <c r="H347" i="160"/>
  <c r="K347" i="160"/>
  <c r="L347" i="160"/>
  <c r="M347" i="160"/>
  <c r="N347" i="160"/>
  <c r="H348" i="160"/>
  <c r="K348" i="160"/>
  <c r="L348" i="160"/>
  <c r="M348" i="160"/>
  <c r="N348" i="160"/>
  <c r="H349" i="160"/>
  <c r="K349" i="160"/>
  <c r="L349" i="160"/>
  <c r="M349" i="160"/>
  <c r="N349" i="160"/>
  <c r="H350" i="160"/>
  <c r="K350" i="160"/>
  <c r="L350" i="160"/>
  <c r="M350" i="160"/>
  <c r="N350" i="160"/>
  <c r="H351" i="160"/>
  <c r="K351" i="160"/>
  <c r="L351" i="160"/>
  <c r="M351" i="160"/>
  <c r="N351" i="160"/>
  <c r="H352" i="160"/>
  <c r="K352" i="160"/>
  <c r="L352" i="160"/>
  <c r="M352" i="160"/>
  <c r="N352" i="160"/>
  <c r="A346" i="160"/>
  <c r="A347" i="160"/>
  <c r="A348" i="160"/>
  <c r="A349" i="160"/>
  <c r="A350" i="160"/>
  <c r="A351" i="160"/>
  <c r="A352" i="16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B19" i="153"/>
  <c r="E24" i="153"/>
  <c r="B24" i="153"/>
  <c r="B17" i="153"/>
  <c r="G17" i="153"/>
  <c r="E17" i="153"/>
  <c r="H17" i="153"/>
  <c r="O2" i="154"/>
  <c r="O4" i="154"/>
  <c r="O6" i="154"/>
  <c r="O8" i="154"/>
  <c r="E18" i="153"/>
  <c r="B18" i="153"/>
  <c r="G18" i="153"/>
  <c r="H18" i="153"/>
  <c r="O3" i="154"/>
  <c r="O5" i="154"/>
  <c r="O7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R10" i="153"/>
  <c r="F40" i="153"/>
  <c r="G40" i="153"/>
  <c r="M3" i="161"/>
  <c r="F41" i="161"/>
  <c r="G41" i="161"/>
  <c r="F34" i="161"/>
  <c r="B30" i="161"/>
  <c r="I3" i="159"/>
  <c r="D3" i="159"/>
  <c r="J3" i="159"/>
  <c r="E3" i="159"/>
  <c r="F3" i="159"/>
  <c r="C3" i="159"/>
  <c r="H3" i="159"/>
  <c r="K3" i="159"/>
  <c r="L3" i="159"/>
  <c r="M3" i="159"/>
  <c r="N3" i="159"/>
  <c r="P3" i="159"/>
  <c r="I4" i="159"/>
  <c r="D4" i="159"/>
  <c r="J4" i="159"/>
  <c r="E4" i="159"/>
  <c r="F4" i="159"/>
  <c r="C4" i="159"/>
  <c r="H4" i="159"/>
  <c r="K4" i="159"/>
  <c r="L4" i="159"/>
  <c r="M4" i="159"/>
  <c r="N4" i="159"/>
  <c r="P4" i="159"/>
  <c r="I5" i="159"/>
  <c r="D5" i="159"/>
  <c r="J5" i="159"/>
  <c r="E5" i="159"/>
  <c r="F5" i="159"/>
  <c r="C5" i="159"/>
  <c r="H5" i="159"/>
  <c r="K5" i="159"/>
  <c r="L5" i="159"/>
  <c r="M5" i="159"/>
  <c r="N5" i="159"/>
  <c r="P5" i="159"/>
  <c r="I6" i="159"/>
  <c r="D6" i="159"/>
  <c r="J6" i="159"/>
  <c r="E6" i="159"/>
  <c r="F6" i="159"/>
  <c r="C6" i="159"/>
  <c r="H6" i="159"/>
  <c r="K6" i="159"/>
  <c r="L6" i="159"/>
  <c r="M6" i="159"/>
  <c r="N6" i="159"/>
  <c r="P6" i="159"/>
  <c r="A3" i="159"/>
  <c r="A4" i="159"/>
  <c r="A5" i="159"/>
  <c r="A6" i="159"/>
  <c r="R3" i="153"/>
  <c r="O346" i="154"/>
  <c r="R4" i="153"/>
  <c r="O347" i="154"/>
  <c r="R5" i="153"/>
  <c r="O348" i="154"/>
  <c r="R7" i="153"/>
  <c r="O350" i="154"/>
  <c r="R9" i="153"/>
  <c r="O352" i="154"/>
  <c r="R11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F48" i="153"/>
  <c r="F49" i="153"/>
  <c r="G48" i="153"/>
  <c r="F41" i="153"/>
  <c r="G41" i="153"/>
  <c r="F34" i="153"/>
  <c r="B30" i="153"/>
  <c r="H346" i="154"/>
  <c r="K346" i="154"/>
  <c r="L346" i="154"/>
  <c r="M346" i="154"/>
  <c r="N346" i="154"/>
  <c r="H347" i="154"/>
  <c r="K347" i="154"/>
  <c r="L347" i="154"/>
  <c r="M347" i="154"/>
  <c r="N347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H351" i="154"/>
  <c r="K351" i="154"/>
  <c r="L351" i="154"/>
  <c r="M351" i="154"/>
  <c r="N351" i="154"/>
  <c r="H352" i="154"/>
  <c r="K352" i="154"/>
  <c r="L352" i="154"/>
  <c r="M352" i="154"/>
  <c r="N352" i="154"/>
  <c r="A346" i="154"/>
  <c r="A347" i="154"/>
  <c r="A348" i="154"/>
  <c r="A349" i="154"/>
  <c r="A350" i="154"/>
  <c r="A351" i="154"/>
  <c r="A352" i="154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7" i="157"/>
  <c r="B27" i="157"/>
  <c r="F6" i="157"/>
  <c r="E6" i="157"/>
  <c r="E20" i="157"/>
  <c r="B20" i="157"/>
  <c r="A2" i="157"/>
  <c r="A36" i="157"/>
  <c r="G27" i="157"/>
  <c r="H27" i="157"/>
  <c r="O138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3" i="157"/>
  <c r="B23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4" i="157"/>
  <c r="O347" i="158"/>
  <c r="R5" i="157"/>
  <c r="O348" i="158"/>
  <c r="R6" i="157"/>
  <c r="O349" i="158"/>
  <c r="R7" i="157"/>
  <c r="O350" i="158"/>
  <c r="R8" i="157"/>
  <c r="O351" i="158"/>
  <c r="R9" i="157"/>
  <c r="O352" i="158"/>
  <c r="R10" i="157"/>
  <c r="R11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F48" i="157"/>
  <c r="F49" i="157"/>
  <c r="G48" i="157"/>
  <c r="H346" i="158"/>
  <c r="K346" i="158"/>
  <c r="L346" i="158"/>
  <c r="M346" i="158"/>
  <c r="N346" i="158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A346" i="158"/>
  <c r="A347" i="158"/>
  <c r="A348" i="158"/>
  <c r="A349" i="158"/>
  <c r="A350" i="158"/>
  <c r="A351" i="158"/>
  <c r="A352" i="158"/>
  <c r="F47" i="166"/>
  <c r="F46" i="166"/>
  <c r="B46" i="166"/>
  <c r="F45" i="166"/>
  <c r="B45" i="166"/>
  <c r="B44" i="166"/>
  <c r="B43" i="166"/>
  <c r="F42" i="166"/>
  <c r="B42" i="166"/>
  <c r="B41" i="166"/>
  <c r="F40" i="166"/>
  <c r="B40" i="166"/>
  <c r="E31" i="166"/>
  <c r="E30" i="166"/>
  <c r="A345" i="165"/>
  <c r="A344" i="165"/>
  <c r="A343" i="165"/>
  <c r="A342" i="165"/>
  <c r="A341" i="165"/>
  <c r="A340" i="165"/>
  <c r="A339" i="165"/>
  <c r="A338" i="165"/>
  <c r="A337" i="165"/>
  <c r="A336" i="165"/>
  <c r="A335" i="165"/>
  <c r="A334" i="165"/>
  <c r="A333" i="165"/>
  <c r="A332" i="165"/>
  <c r="A331" i="165"/>
  <c r="A330" i="165"/>
  <c r="A329" i="165"/>
  <c r="A328" i="165"/>
  <c r="A327" i="165"/>
  <c r="A326" i="165"/>
  <c r="A325" i="165"/>
  <c r="A324" i="165"/>
  <c r="A323" i="165"/>
  <c r="A322" i="165"/>
  <c r="A321" i="165"/>
  <c r="A320" i="165"/>
  <c r="A319" i="165"/>
  <c r="A318" i="165"/>
  <c r="A317" i="165"/>
  <c r="A316" i="165"/>
  <c r="A315" i="165"/>
  <c r="A314" i="165"/>
  <c r="A313" i="165"/>
  <c r="A312" i="165"/>
  <c r="A311" i="165"/>
  <c r="A310" i="165"/>
  <c r="A309" i="165"/>
  <c r="A308" i="165"/>
  <c r="A307" i="165"/>
  <c r="A306" i="165"/>
  <c r="A305" i="165"/>
  <c r="A304" i="165"/>
  <c r="A303" i="165"/>
  <c r="A302" i="165"/>
  <c r="A301" i="165"/>
  <c r="A300" i="165"/>
  <c r="A299" i="165"/>
  <c r="A298" i="165"/>
  <c r="A297" i="165"/>
  <c r="A296" i="165"/>
  <c r="A295" i="165"/>
  <c r="A294" i="165"/>
  <c r="A293" i="165"/>
  <c r="A292" i="165"/>
  <c r="A291" i="165"/>
  <c r="A290" i="165"/>
  <c r="A289" i="165"/>
  <c r="A288" i="165"/>
  <c r="A287" i="165"/>
  <c r="A286" i="165"/>
  <c r="A285" i="165"/>
  <c r="A284" i="165"/>
  <c r="A283" i="165"/>
  <c r="A282" i="165"/>
  <c r="A281" i="165"/>
  <c r="A280" i="165"/>
  <c r="A279" i="165"/>
  <c r="A278" i="165"/>
  <c r="A277" i="165"/>
  <c r="A276" i="165"/>
  <c r="A275" i="165"/>
  <c r="A274" i="165"/>
  <c r="A273" i="165"/>
  <c r="A272" i="165"/>
  <c r="A271" i="165"/>
  <c r="A270" i="165"/>
  <c r="A269" i="165"/>
  <c r="A268" i="165"/>
  <c r="A267" i="165"/>
  <c r="A266" i="165"/>
  <c r="A265" i="165"/>
  <c r="A264" i="165"/>
  <c r="A263" i="165"/>
  <c r="A262" i="165"/>
  <c r="A261" i="165"/>
  <c r="A260" i="165"/>
  <c r="A259" i="165"/>
  <c r="A258" i="165"/>
  <c r="A257" i="165"/>
  <c r="A256" i="165"/>
  <c r="A255" i="165"/>
  <c r="A254" i="165"/>
  <c r="A253" i="165"/>
  <c r="A252" i="165"/>
  <c r="A251" i="165"/>
  <c r="A250" i="165"/>
  <c r="A249" i="165"/>
  <c r="A248" i="165"/>
  <c r="A247" i="165"/>
  <c r="A246" i="165"/>
  <c r="A245" i="165"/>
  <c r="A244" i="165"/>
  <c r="A243" i="165"/>
  <c r="A242" i="165"/>
  <c r="A241" i="165"/>
  <c r="A240" i="165"/>
  <c r="A239" i="165"/>
  <c r="A238" i="165"/>
  <c r="A237" i="165"/>
  <c r="A236" i="165"/>
  <c r="A235" i="165"/>
  <c r="A234" i="165"/>
  <c r="A233" i="165"/>
  <c r="A232" i="165"/>
  <c r="A231" i="165"/>
  <c r="A230" i="165"/>
  <c r="A229" i="165"/>
  <c r="A228" i="165"/>
  <c r="A227" i="165"/>
  <c r="A226" i="165"/>
  <c r="A225" i="165"/>
  <c r="A224" i="165"/>
  <c r="A223" i="165"/>
  <c r="A222" i="165"/>
  <c r="A221" i="165"/>
  <c r="A220" i="165"/>
  <c r="A219" i="165"/>
  <c r="A218" i="165"/>
  <c r="A217" i="165"/>
  <c r="A216" i="165"/>
  <c r="A215" i="165"/>
  <c r="A214" i="165"/>
  <c r="A213" i="165"/>
  <c r="A212" i="165"/>
  <c r="A211" i="165"/>
  <c r="A210" i="165"/>
  <c r="A209" i="165"/>
  <c r="A208" i="165"/>
  <c r="A207" i="165"/>
  <c r="A206" i="165"/>
  <c r="A205" i="165"/>
  <c r="A204" i="165"/>
  <c r="A203" i="165"/>
  <c r="A202" i="165"/>
  <c r="A201" i="165"/>
  <c r="A200" i="165"/>
  <c r="A199" i="165"/>
  <c r="A198" i="165"/>
  <c r="A197" i="165"/>
  <c r="A196" i="165"/>
  <c r="A195" i="165"/>
  <c r="A194" i="165"/>
  <c r="A193" i="165"/>
  <c r="A192" i="165"/>
  <c r="A191" i="165"/>
  <c r="A190" i="165"/>
  <c r="A189" i="165"/>
  <c r="A188" i="165"/>
  <c r="A187" i="165"/>
  <c r="A186" i="165"/>
  <c r="A185" i="165"/>
  <c r="A184" i="165"/>
  <c r="A183" i="165"/>
  <c r="A182" i="165"/>
  <c r="A181" i="165"/>
  <c r="A180" i="165"/>
  <c r="A179" i="165"/>
  <c r="A178" i="165"/>
  <c r="A177" i="165"/>
  <c r="A176" i="165"/>
  <c r="A175" i="165"/>
  <c r="A174" i="165"/>
  <c r="A173" i="165"/>
  <c r="A172" i="165"/>
  <c r="A171" i="165"/>
  <c r="A170" i="165"/>
  <c r="A169" i="165"/>
  <c r="A168" i="165"/>
  <c r="A167" i="165"/>
  <c r="A166" i="165"/>
  <c r="A165" i="165"/>
  <c r="A164" i="165"/>
  <c r="A163" i="165"/>
  <c r="A162" i="165"/>
  <c r="A161" i="165"/>
  <c r="A160" i="165"/>
  <c r="A159" i="165"/>
  <c r="A158" i="165"/>
  <c r="A157" i="165"/>
  <c r="A156" i="165"/>
  <c r="A155" i="165"/>
  <c r="A154" i="165"/>
  <c r="A153" i="165"/>
  <c r="A152" i="165"/>
  <c r="A151" i="165"/>
  <c r="A150" i="165"/>
  <c r="A149" i="165"/>
  <c r="A148" i="165"/>
  <c r="A147" i="165"/>
  <c r="A146" i="165"/>
  <c r="A145" i="165"/>
  <c r="A144" i="165"/>
  <c r="A143" i="165"/>
  <c r="A142" i="165"/>
  <c r="A141" i="165"/>
  <c r="A140" i="165"/>
  <c r="A139" i="165"/>
  <c r="A138" i="165"/>
  <c r="A137" i="165"/>
  <c r="A136" i="165"/>
  <c r="A135" i="165"/>
  <c r="A134" i="165"/>
  <c r="A133" i="165"/>
  <c r="A132" i="165"/>
  <c r="A131" i="165"/>
  <c r="A130" i="165"/>
  <c r="A129" i="165"/>
  <c r="A128" i="165"/>
  <c r="A127" i="165"/>
  <c r="A126" i="165"/>
  <c r="A125" i="165"/>
  <c r="A124" i="165"/>
  <c r="A123" i="165"/>
  <c r="A122" i="165"/>
  <c r="A121" i="165"/>
  <c r="A120" i="165"/>
  <c r="A119" i="165"/>
  <c r="A118" i="165"/>
  <c r="A117" i="165"/>
  <c r="A116" i="165"/>
  <c r="A115" i="165"/>
  <c r="A114" i="165"/>
  <c r="A113" i="165"/>
  <c r="A112" i="165"/>
  <c r="A111" i="165"/>
  <c r="A110" i="165"/>
  <c r="A109" i="165"/>
  <c r="A108" i="165"/>
  <c r="A107" i="165"/>
  <c r="A106" i="165"/>
  <c r="A105" i="165"/>
  <c r="A104" i="165"/>
  <c r="A103" i="165"/>
  <c r="A102" i="165"/>
  <c r="A101" i="165"/>
  <c r="A100" i="165"/>
  <c r="A99" i="165"/>
  <c r="A98" i="165"/>
  <c r="A97" i="165"/>
  <c r="A96" i="165"/>
  <c r="A95" i="165"/>
  <c r="A94" i="165"/>
  <c r="A93" i="165"/>
  <c r="A92" i="165"/>
  <c r="A91" i="165"/>
  <c r="A90" i="165"/>
  <c r="A89" i="165"/>
  <c r="A88" i="165"/>
  <c r="A87" i="165"/>
  <c r="A86" i="165"/>
  <c r="A85" i="165"/>
  <c r="A84" i="165"/>
  <c r="A83" i="165"/>
  <c r="A82" i="165"/>
  <c r="A81" i="165"/>
  <c r="A80" i="165"/>
  <c r="A79" i="165"/>
  <c r="A78" i="165"/>
  <c r="A77" i="165"/>
  <c r="A76" i="165"/>
  <c r="A75" i="165"/>
  <c r="A74" i="165"/>
  <c r="A73" i="165"/>
  <c r="A72" i="165"/>
  <c r="A71" i="165"/>
  <c r="A70" i="165"/>
  <c r="A69" i="165"/>
  <c r="A68" i="165"/>
  <c r="A67" i="165"/>
  <c r="A66" i="165"/>
  <c r="A65" i="165"/>
  <c r="A64" i="165"/>
  <c r="A63" i="165"/>
  <c r="A62" i="165"/>
  <c r="A61" i="165"/>
  <c r="A60" i="165"/>
  <c r="A59" i="165"/>
  <c r="A58" i="165"/>
  <c r="A57" i="165"/>
  <c r="A56" i="165"/>
  <c r="A55" i="165"/>
  <c r="A54" i="165"/>
  <c r="A53" i="165"/>
  <c r="A52" i="165"/>
  <c r="A51" i="165"/>
  <c r="A50" i="165"/>
  <c r="A49" i="165"/>
  <c r="A48" i="165"/>
  <c r="A47" i="165"/>
  <c r="A46" i="165"/>
  <c r="A45" i="165"/>
  <c r="A44" i="165"/>
  <c r="A43" i="165"/>
  <c r="A42" i="165"/>
  <c r="A41" i="165"/>
  <c r="A40" i="165"/>
  <c r="A39" i="165"/>
  <c r="A38" i="165"/>
  <c r="A37" i="165"/>
  <c r="A36" i="165"/>
  <c r="A35" i="165"/>
  <c r="A34" i="165"/>
  <c r="A33" i="165"/>
  <c r="A32" i="165"/>
  <c r="A31" i="165"/>
  <c r="A30" i="165"/>
  <c r="A29" i="165"/>
  <c r="A28" i="165"/>
  <c r="A27" i="165"/>
  <c r="A26" i="165"/>
  <c r="A25" i="165"/>
  <c r="A24" i="165"/>
  <c r="A23" i="165"/>
  <c r="A22" i="165"/>
  <c r="A21" i="165"/>
  <c r="A20" i="165"/>
  <c r="A19" i="165"/>
  <c r="A18" i="165"/>
  <c r="A17" i="165"/>
  <c r="A16" i="165"/>
  <c r="A15" i="165"/>
  <c r="A14" i="165"/>
  <c r="A13" i="165"/>
  <c r="A12" i="165"/>
  <c r="A11" i="165"/>
  <c r="A10" i="165"/>
  <c r="A9" i="165"/>
  <c r="A8" i="165"/>
  <c r="A7" i="165"/>
  <c r="A6" i="165"/>
  <c r="A5" i="165"/>
  <c r="A4" i="165"/>
  <c r="A3" i="165"/>
  <c r="A2" i="165"/>
  <c r="B47" i="166"/>
  <c r="C40" i="166"/>
  <c r="C41" i="166"/>
  <c r="C42" i="166"/>
  <c r="C43" i="166"/>
  <c r="C44" i="166"/>
  <c r="C45" i="166"/>
  <c r="C46" i="166"/>
  <c r="C47" i="166"/>
  <c r="G42" i="166"/>
  <c r="G40" i="166"/>
  <c r="B10" i="166"/>
  <c r="B30" i="166"/>
  <c r="B32" i="166"/>
  <c r="C19" i="166"/>
  <c r="C20" i="166"/>
  <c r="C21" i="166"/>
  <c r="C22" i="166"/>
  <c r="C23" i="166"/>
  <c r="C24" i="166"/>
  <c r="C25" i="166"/>
  <c r="C26" i="166"/>
  <c r="C27" i="166"/>
  <c r="C28" i="166"/>
  <c r="C29" i="166"/>
  <c r="C30" i="166"/>
  <c r="C31" i="166"/>
  <c r="C32" i="166"/>
  <c r="D32" i="166"/>
  <c r="G31" i="166"/>
  <c r="H31" i="166"/>
  <c r="I31" i="166"/>
  <c r="J31" i="166"/>
  <c r="F31" i="166"/>
  <c r="D31" i="166"/>
  <c r="G30" i="166"/>
  <c r="H30" i="166"/>
  <c r="I30" i="166"/>
  <c r="J30" i="166"/>
  <c r="F30" i="166"/>
  <c r="D30" i="166"/>
  <c r="I29" i="166"/>
  <c r="J29" i="166"/>
  <c r="F29" i="166"/>
  <c r="D29" i="166"/>
  <c r="I28" i="166"/>
  <c r="J28" i="166"/>
  <c r="F28" i="166"/>
  <c r="D28" i="166"/>
  <c r="I27" i="166"/>
  <c r="J27" i="166"/>
  <c r="F27" i="166"/>
  <c r="D27" i="166"/>
  <c r="I26" i="166"/>
  <c r="J26" i="166"/>
  <c r="F26" i="166"/>
  <c r="D26" i="166"/>
  <c r="I25" i="166"/>
  <c r="J25" i="166"/>
  <c r="F25" i="166"/>
  <c r="D25" i="166"/>
  <c r="I24" i="166"/>
  <c r="J24" i="166"/>
  <c r="F24" i="166"/>
  <c r="D24" i="166"/>
  <c r="I23" i="166"/>
  <c r="J23" i="166"/>
  <c r="F23" i="166"/>
  <c r="D23" i="166"/>
  <c r="I22" i="166"/>
  <c r="J22" i="166"/>
  <c r="F22" i="166"/>
  <c r="D22" i="166"/>
  <c r="I21" i="166"/>
  <c r="J21" i="166"/>
  <c r="F21" i="166"/>
  <c r="D21" i="166"/>
  <c r="R20" i="166"/>
  <c r="P20" i="166"/>
  <c r="O20" i="166"/>
  <c r="M20" i="166"/>
  <c r="I20" i="166"/>
  <c r="J20" i="166"/>
  <c r="F20" i="166"/>
  <c r="D20" i="166"/>
  <c r="R19" i="166"/>
  <c r="P19" i="166"/>
  <c r="O19" i="166"/>
  <c r="M19" i="166"/>
  <c r="I19" i="166"/>
  <c r="J19" i="166"/>
  <c r="F19" i="166"/>
  <c r="D19" i="166"/>
  <c r="R18" i="166"/>
  <c r="P18" i="166"/>
  <c r="O18" i="166"/>
  <c r="M18" i="166"/>
  <c r="I18" i="166"/>
  <c r="J18" i="166"/>
  <c r="F18" i="166"/>
  <c r="C18" i="166"/>
  <c r="D18" i="166"/>
  <c r="R17" i="166"/>
  <c r="P17" i="166"/>
  <c r="O17" i="166"/>
  <c r="M17" i="166"/>
  <c r="I17" i="166"/>
  <c r="J17" i="166"/>
  <c r="F17" i="166"/>
  <c r="C17" i="166"/>
  <c r="D17" i="166"/>
  <c r="V16" i="166"/>
  <c r="R16" i="166"/>
  <c r="P16" i="166"/>
  <c r="O16" i="166"/>
  <c r="M16" i="166"/>
  <c r="V15" i="166"/>
  <c r="R15" i="166"/>
  <c r="P15" i="166"/>
  <c r="O15" i="166"/>
  <c r="M15" i="166"/>
  <c r="V14" i="166"/>
  <c r="R14" i="166"/>
  <c r="P14" i="166"/>
  <c r="O14" i="166"/>
  <c r="M14" i="166"/>
  <c r="V13" i="166"/>
  <c r="R13" i="166"/>
  <c r="P13" i="166"/>
  <c r="O13" i="166"/>
  <c r="M13" i="166"/>
  <c r="V12" i="166"/>
  <c r="R12" i="166"/>
  <c r="P12" i="166"/>
  <c r="O12" i="166"/>
  <c r="M12" i="166"/>
  <c r="V11" i="166"/>
  <c r="P11" i="166"/>
  <c r="O11" i="166"/>
  <c r="V10" i="166"/>
  <c r="P10" i="166"/>
  <c r="O10" i="166"/>
  <c r="V9" i="166"/>
  <c r="P9" i="166"/>
  <c r="O9" i="166"/>
  <c r="V8" i="166"/>
  <c r="P8" i="166"/>
  <c r="O8" i="166"/>
  <c r="V7" i="166"/>
  <c r="P7" i="166"/>
  <c r="O7" i="166"/>
  <c r="V6" i="166"/>
  <c r="P6" i="166"/>
  <c r="O6" i="166"/>
  <c r="V5" i="166"/>
  <c r="P5" i="166"/>
  <c r="O5" i="166"/>
  <c r="V4" i="166"/>
  <c r="P4" i="166"/>
  <c r="O4" i="166"/>
  <c r="V3" i="166"/>
  <c r="P3" i="166"/>
  <c r="O3" i="166"/>
  <c r="V2" i="166"/>
  <c r="N345" i="165"/>
  <c r="M345" i="165"/>
  <c r="L345" i="165"/>
  <c r="K345" i="165"/>
  <c r="H345" i="165"/>
  <c r="N344" i="165"/>
  <c r="M344" i="165"/>
  <c r="L344" i="165"/>
  <c r="K344" i="165"/>
  <c r="H344" i="165"/>
  <c r="N343" i="165"/>
  <c r="M343" i="165"/>
  <c r="L343" i="165"/>
  <c r="K343" i="165"/>
  <c r="H343" i="165"/>
  <c r="N342" i="165"/>
  <c r="M342" i="165"/>
  <c r="L342" i="165"/>
  <c r="K342" i="165"/>
  <c r="H342" i="165"/>
  <c r="N341" i="165"/>
  <c r="M341" i="165"/>
  <c r="L341" i="165"/>
  <c r="K341" i="165"/>
  <c r="H341" i="165"/>
  <c r="N340" i="165"/>
  <c r="M340" i="165"/>
  <c r="L340" i="165"/>
  <c r="K340" i="165"/>
  <c r="H340" i="165"/>
  <c r="N339" i="165"/>
  <c r="M339" i="165"/>
  <c r="L339" i="165"/>
  <c r="K339" i="165"/>
  <c r="H339" i="165"/>
  <c r="N338" i="165"/>
  <c r="M338" i="165"/>
  <c r="L338" i="165"/>
  <c r="K338" i="165"/>
  <c r="H338" i="165"/>
  <c r="N337" i="165"/>
  <c r="M337" i="165"/>
  <c r="L337" i="165"/>
  <c r="K337" i="165"/>
  <c r="H337" i="165"/>
  <c r="N336" i="165"/>
  <c r="M336" i="165"/>
  <c r="L336" i="165"/>
  <c r="K336" i="165"/>
  <c r="H336" i="165"/>
  <c r="N335" i="165"/>
  <c r="M335" i="165"/>
  <c r="L335" i="165"/>
  <c r="K335" i="165"/>
  <c r="H335" i="165"/>
  <c r="N334" i="165"/>
  <c r="M334" i="165"/>
  <c r="L334" i="165"/>
  <c r="K334" i="165"/>
  <c r="H334" i="165"/>
  <c r="N333" i="165"/>
  <c r="M333" i="165"/>
  <c r="L333" i="165"/>
  <c r="K333" i="165"/>
  <c r="H333" i="165"/>
  <c r="N332" i="165"/>
  <c r="M332" i="165"/>
  <c r="L332" i="165"/>
  <c r="K332" i="165"/>
  <c r="H332" i="165"/>
  <c r="N331" i="165"/>
  <c r="M331" i="165"/>
  <c r="L331" i="165"/>
  <c r="K331" i="165"/>
  <c r="H331" i="165"/>
  <c r="N330" i="165"/>
  <c r="M330" i="165"/>
  <c r="L330" i="165"/>
  <c r="K330" i="165"/>
  <c r="H330" i="165"/>
  <c r="N329" i="165"/>
  <c r="M329" i="165"/>
  <c r="L329" i="165"/>
  <c r="K329" i="165"/>
  <c r="H329" i="165"/>
  <c r="N328" i="165"/>
  <c r="M328" i="165"/>
  <c r="L328" i="165"/>
  <c r="K328" i="165"/>
  <c r="H328" i="165"/>
  <c r="N327" i="165"/>
  <c r="M327" i="165"/>
  <c r="L327" i="165"/>
  <c r="K327" i="165"/>
  <c r="H327" i="165"/>
  <c r="N326" i="165"/>
  <c r="M326" i="165"/>
  <c r="L326" i="165"/>
  <c r="K326" i="165"/>
  <c r="H326" i="165"/>
  <c r="N325" i="165"/>
  <c r="M325" i="165"/>
  <c r="L325" i="165"/>
  <c r="K325" i="165"/>
  <c r="H325" i="165"/>
  <c r="N324" i="165"/>
  <c r="M324" i="165"/>
  <c r="L324" i="165"/>
  <c r="K324" i="165"/>
  <c r="H324" i="165"/>
  <c r="N323" i="165"/>
  <c r="M323" i="165"/>
  <c r="L323" i="165"/>
  <c r="K323" i="165"/>
  <c r="H323" i="165"/>
  <c r="N322" i="165"/>
  <c r="M322" i="165"/>
  <c r="L322" i="165"/>
  <c r="K322" i="165"/>
  <c r="H322" i="165"/>
  <c r="N321" i="165"/>
  <c r="M321" i="165"/>
  <c r="L321" i="165"/>
  <c r="K321" i="165"/>
  <c r="H321" i="165"/>
  <c r="N320" i="165"/>
  <c r="M320" i="165"/>
  <c r="L320" i="165"/>
  <c r="K320" i="165"/>
  <c r="H320" i="165"/>
  <c r="N319" i="165"/>
  <c r="M319" i="165"/>
  <c r="L319" i="165"/>
  <c r="K319" i="165"/>
  <c r="H319" i="165"/>
  <c r="N318" i="165"/>
  <c r="M318" i="165"/>
  <c r="L318" i="165"/>
  <c r="K318" i="165"/>
  <c r="H318" i="165"/>
  <c r="N317" i="165"/>
  <c r="M317" i="165"/>
  <c r="L317" i="165"/>
  <c r="K317" i="165"/>
  <c r="H317" i="165"/>
  <c r="N316" i="165"/>
  <c r="M316" i="165"/>
  <c r="L316" i="165"/>
  <c r="K316" i="165"/>
  <c r="H316" i="165"/>
  <c r="N315" i="165"/>
  <c r="M315" i="165"/>
  <c r="L315" i="165"/>
  <c r="K315" i="165"/>
  <c r="H315" i="165"/>
  <c r="N314" i="165"/>
  <c r="M314" i="165"/>
  <c r="L314" i="165"/>
  <c r="K314" i="165"/>
  <c r="H314" i="165"/>
  <c r="N313" i="165"/>
  <c r="M313" i="165"/>
  <c r="L313" i="165"/>
  <c r="K313" i="165"/>
  <c r="H313" i="165"/>
  <c r="N312" i="165"/>
  <c r="M312" i="165"/>
  <c r="L312" i="165"/>
  <c r="K312" i="165"/>
  <c r="H312" i="165"/>
  <c r="N311" i="165"/>
  <c r="M311" i="165"/>
  <c r="L311" i="165"/>
  <c r="K311" i="165"/>
  <c r="H311" i="165"/>
  <c r="N310" i="165"/>
  <c r="M310" i="165"/>
  <c r="L310" i="165"/>
  <c r="K310" i="165"/>
  <c r="H310" i="165"/>
  <c r="N309" i="165"/>
  <c r="M309" i="165"/>
  <c r="L309" i="165"/>
  <c r="K309" i="165"/>
  <c r="H309" i="165"/>
  <c r="N308" i="165"/>
  <c r="M308" i="165"/>
  <c r="L308" i="165"/>
  <c r="K308" i="165"/>
  <c r="H308" i="165"/>
  <c r="N307" i="165"/>
  <c r="M307" i="165"/>
  <c r="L307" i="165"/>
  <c r="K307" i="165"/>
  <c r="H307" i="165"/>
  <c r="N306" i="165"/>
  <c r="M306" i="165"/>
  <c r="L306" i="165"/>
  <c r="K306" i="165"/>
  <c r="H306" i="165"/>
  <c r="N305" i="165"/>
  <c r="M305" i="165"/>
  <c r="L305" i="165"/>
  <c r="K305" i="165"/>
  <c r="H305" i="165"/>
  <c r="N304" i="165"/>
  <c r="M304" i="165"/>
  <c r="L304" i="165"/>
  <c r="K304" i="165"/>
  <c r="H304" i="165"/>
  <c r="N303" i="165"/>
  <c r="M303" i="165"/>
  <c r="L303" i="165"/>
  <c r="K303" i="165"/>
  <c r="H303" i="165"/>
  <c r="N302" i="165"/>
  <c r="M302" i="165"/>
  <c r="L302" i="165"/>
  <c r="K302" i="165"/>
  <c r="H302" i="165"/>
  <c r="N301" i="165"/>
  <c r="M301" i="165"/>
  <c r="L301" i="165"/>
  <c r="K301" i="165"/>
  <c r="H301" i="165"/>
  <c r="N300" i="165"/>
  <c r="M300" i="165"/>
  <c r="L300" i="165"/>
  <c r="K300" i="165"/>
  <c r="H300" i="165"/>
  <c r="N299" i="165"/>
  <c r="M299" i="165"/>
  <c r="L299" i="165"/>
  <c r="K299" i="165"/>
  <c r="H299" i="165"/>
  <c r="N298" i="165"/>
  <c r="M298" i="165"/>
  <c r="L298" i="165"/>
  <c r="K298" i="165"/>
  <c r="H298" i="165"/>
  <c r="N297" i="165"/>
  <c r="M297" i="165"/>
  <c r="L297" i="165"/>
  <c r="K297" i="165"/>
  <c r="H297" i="165"/>
  <c r="N296" i="165"/>
  <c r="M296" i="165"/>
  <c r="L296" i="165"/>
  <c r="K296" i="165"/>
  <c r="H296" i="165"/>
  <c r="N295" i="165"/>
  <c r="M295" i="165"/>
  <c r="L295" i="165"/>
  <c r="K295" i="165"/>
  <c r="H295" i="165"/>
  <c r="N294" i="165"/>
  <c r="M294" i="165"/>
  <c r="L294" i="165"/>
  <c r="K294" i="165"/>
  <c r="H294" i="165"/>
  <c r="N293" i="165"/>
  <c r="M293" i="165"/>
  <c r="L293" i="165"/>
  <c r="K293" i="165"/>
  <c r="H293" i="165"/>
  <c r="N292" i="165"/>
  <c r="M292" i="165"/>
  <c r="L292" i="165"/>
  <c r="K292" i="165"/>
  <c r="H292" i="165"/>
  <c r="N291" i="165"/>
  <c r="M291" i="165"/>
  <c r="L291" i="165"/>
  <c r="K291" i="165"/>
  <c r="H291" i="165"/>
  <c r="N290" i="165"/>
  <c r="M290" i="165"/>
  <c r="L290" i="165"/>
  <c r="K290" i="165"/>
  <c r="H290" i="165"/>
  <c r="N289" i="165"/>
  <c r="M289" i="165"/>
  <c r="L289" i="165"/>
  <c r="K289" i="165"/>
  <c r="H289" i="165"/>
  <c r="N288" i="165"/>
  <c r="M288" i="165"/>
  <c r="L288" i="165"/>
  <c r="K288" i="165"/>
  <c r="H288" i="165"/>
  <c r="N287" i="165"/>
  <c r="M287" i="165"/>
  <c r="L287" i="165"/>
  <c r="K287" i="165"/>
  <c r="H287" i="165"/>
  <c r="N286" i="165"/>
  <c r="M286" i="165"/>
  <c r="L286" i="165"/>
  <c r="K286" i="165"/>
  <c r="H286" i="165"/>
  <c r="N285" i="165"/>
  <c r="M285" i="165"/>
  <c r="L285" i="165"/>
  <c r="K285" i="165"/>
  <c r="H285" i="165"/>
  <c r="N284" i="165"/>
  <c r="M284" i="165"/>
  <c r="L284" i="165"/>
  <c r="K284" i="165"/>
  <c r="H284" i="165"/>
  <c r="N283" i="165"/>
  <c r="M283" i="165"/>
  <c r="L283" i="165"/>
  <c r="K283" i="165"/>
  <c r="H283" i="165"/>
  <c r="N282" i="165"/>
  <c r="M282" i="165"/>
  <c r="L282" i="165"/>
  <c r="K282" i="165"/>
  <c r="H282" i="165"/>
  <c r="N281" i="165"/>
  <c r="M281" i="165"/>
  <c r="L281" i="165"/>
  <c r="K281" i="165"/>
  <c r="H281" i="165"/>
  <c r="N280" i="165"/>
  <c r="M280" i="165"/>
  <c r="L280" i="165"/>
  <c r="K280" i="165"/>
  <c r="H280" i="165"/>
  <c r="N279" i="165"/>
  <c r="M279" i="165"/>
  <c r="L279" i="165"/>
  <c r="K279" i="165"/>
  <c r="H279" i="165"/>
  <c r="N278" i="165"/>
  <c r="M278" i="165"/>
  <c r="L278" i="165"/>
  <c r="K278" i="165"/>
  <c r="H278" i="165"/>
  <c r="N277" i="165"/>
  <c r="M277" i="165"/>
  <c r="L277" i="165"/>
  <c r="K277" i="165"/>
  <c r="H277" i="165"/>
  <c r="N276" i="165"/>
  <c r="M276" i="165"/>
  <c r="L276" i="165"/>
  <c r="K276" i="165"/>
  <c r="H276" i="165"/>
  <c r="N275" i="165"/>
  <c r="M275" i="165"/>
  <c r="L275" i="165"/>
  <c r="K275" i="165"/>
  <c r="H275" i="165"/>
  <c r="N274" i="165"/>
  <c r="M274" i="165"/>
  <c r="L274" i="165"/>
  <c r="K274" i="165"/>
  <c r="H274" i="165"/>
  <c r="N273" i="165"/>
  <c r="M273" i="165"/>
  <c r="L273" i="165"/>
  <c r="K273" i="165"/>
  <c r="H273" i="165"/>
  <c r="N272" i="165"/>
  <c r="M272" i="165"/>
  <c r="L272" i="165"/>
  <c r="K272" i="165"/>
  <c r="H272" i="165"/>
  <c r="N271" i="165"/>
  <c r="M271" i="165"/>
  <c r="L271" i="165"/>
  <c r="K271" i="165"/>
  <c r="H271" i="165"/>
  <c r="N270" i="165"/>
  <c r="M270" i="165"/>
  <c r="L270" i="165"/>
  <c r="K270" i="165"/>
  <c r="H270" i="165"/>
  <c r="N269" i="165"/>
  <c r="M269" i="165"/>
  <c r="L269" i="165"/>
  <c r="K269" i="165"/>
  <c r="H269" i="165"/>
  <c r="N268" i="165"/>
  <c r="M268" i="165"/>
  <c r="L268" i="165"/>
  <c r="K268" i="165"/>
  <c r="H268" i="165"/>
  <c r="N267" i="165"/>
  <c r="M267" i="165"/>
  <c r="L267" i="165"/>
  <c r="K267" i="165"/>
  <c r="H267" i="165"/>
  <c r="N266" i="165"/>
  <c r="M266" i="165"/>
  <c r="L266" i="165"/>
  <c r="K266" i="165"/>
  <c r="H266" i="165"/>
  <c r="N265" i="165"/>
  <c r="M265" i="165"/>
  <c r="L265" i="165"/>
  <c r="K265" i="165"/>
  <c r="H265" i="165"/>
  <c r="N264" i="165"/>
  <c r="M264" i="165"/>
  <c r="L264" i="165"/>
  <c r="K264" i="165"/>
  <c r="H264" i="165"/>
  <c r="N263" i="165"/>
  <c r="M263" i="165"/>
  <c r="L263" i="165"/>
  <c r="K263" i="165"/>
  <c r="H263" i="165"/>
  <c r="N262" i="165"/>
  <c r="M262" i="165"/>
  <c r="L262" i="165"/>
  <c r="K262" i="165"/>
  <c r="H262" i="165"/>
  <c r="N261" i="165"/>
  <c r="M261" i="165"/>
  <c r="L261" i="165"/>
  <c r="K261" i="165"/>
  <c r="H261" i="165"/>
  <c r="N260" i="165"/>
  <c r="M260" i="165"/>
  <c r="L260" i="165"/>
  <c r="K260" i="165"/>
  <c r="H260" i="165"/>
  <c r="N259" i="165"/>
  <c r="M259" i="165"/>
  <c r="L259" i="165"/>
  <c r="K259" i="165"/>
  <c r="H259" i="165"/>
  <c r="N258" i="165"/>
  <c r="M258" i="165"/>
  <c r="L258" i="165"/>
  <c r="K258" i="165"/>
  <c r="H258" i="165"/>
  <c r="N257" i="165"/>
  <c r="M257" i="165"/>
  <c r="L257" i="165"/>
  <c r="K257" i="165"/>
  <c r="H257" i="165"/>
  <c r="N256" i="165"/>
  <c r="M256" i="165"/>
  <c r="L256" i="165"/>
  <c r="K256" i="165"/>
  <c r="H256" i="165"/>
  <c r="N255" i="165"/>
  <c r="M255" i="165"/>
  <c r="L255" i="165"/>
  <c r="K255" i="165"/>
  <c r="H255" i="165"/>
  <c r="N254" i="165"/>
  <c r="M254" i="165"/>
  <c r="L254" i="165"/>
  <c r="K254" i="165"/>
  <c r="H254" i="165"/>
  <c r="N253" i="165"/>
  <c r="M253" i="165"/>
  <c r="L253" i="165"/>
  <c r="K253" i="165"/>
  <c r="H253" i="165"/>
  <c r="N252" i="165"/>
  <c r="M252" i="165"/>
  <c r="L252" i="165"/>
  <c r="K252" i="165"/>
  <c r="H252" i="165"/>
  <c r="N251" i="165"/>
  <c r="M251" i="165"/>
  <c r="L251" i="165"/>
  <c r="K251" i="165"/>
  <c r="H251" i="165"/>
  <c r="N250" i="165"/>
  <c r="M250" i="165"/>
  <c r="L250" i="165"/>
  <c r="K250" i="165"/>
  <c r="H250" i="165"/>
  <c r="N249" i="165"/>
  <c r="M249" i="165"/>
  <c r="L249" i="165"/>
  <c r="K249" i="165"/>
  <c r="H249" i="165"/>
  <c r="N248" i="165"/>
  <c r="M248" i="165"/>
  <c r="L248" i="165"/>
  <c r="K248" i="165"/>
  <c r="H248" i="165"/>
  <c r="N247" i="165"/>
  <c r="M247" i="165"/>
  <c r="L247" i="165"/>
  <c r="K247" i="165"/>
  <c r="H247" i="165"/>
  <c r="N246" i="165"/>
  <c r="M246" i="165"/>
  <c r="L246" i="165"/>
  <c r="K246" i="165"/>
  <c r="H246" i="165"/>
  <c r="N245" i="165"/>
  <c r="M245" i="165"/>
  <c r="L245" i="165"/>
  <c r="K245" i="165"/>
  <c r="H245" i="165"/>
  <c r="N244" i="165"/>
  <c r="M244" i="165"/>
  <c r="L244" i="165"/>
  <c r="K244" i="165"/>
  <c r="H244" i="165"/>
  <c r="N243" i="165"/>
  <c r="M243" i="165"/>
  <c r="L243" i="165"/>
  <c r="K243" i="165"/>
  <c r="H243" i="165"/>
  <c r="N242" i="165"/>
  <c r="M242" i="165"/>
  <c r="L242" i="165"/>
  <c r="K242" i="165"/>
  <c r="H242" i="165"/>
  <c r="N241" i="165"/>
  <c r="M241" i="165"/>
  <c r="L241" i="165"/>
  <c r="K241" i="165"/>
  <c r="H241" i="165"/>
  <c r="N240" i="165"/>
  <c r="M240" i="165"/>
  <c r="L240" i="165"/>
  <c r="K240" i="165"/>
  <c r="H240" i="165"/>
  <c r="N239" i="165"/>
  <c r="M239" i="165"/>
  <c r="L239" i="165"/>
  <c r="K239" i="165"/>
  <c r="H239" i="165"/>
  <c r="N238" i="165"/>
  <c r="M238" i="165"/>
  <c r="L238" i="165"/>
  <c r="K238" i="165"/>
  <c r="H238" i="165"/>
  <c r="N237" i="165"/>
  <c r="M237" i="165"/>
  <c r="L237" i="165"/>
  <c r="K237" i="165"/>
  <c r="H237" i="165"/>
  <c r="N236" i="165"/>
  <c r="M236" i="165"/>
  <c r="L236" i="165"/>
  <c r="K236" i="165"/>
  <c r="H236" i="165"/>
  <c r="N235" i="165"/>
  <c r="M235" i="165"/>
  <c r="L235" i="165"/>
  <c r="K235" i="165"/>
  <c r="H235" i="165"/>
  <c r="N234" i="165"/>
  <c r="M234" i="165"/>
  <c r="L234" i="165"/>
  <c r="K234" i="165"/>
  <c r="H234" i="165"/>
  <c r="N233" i="165"/>
  <c r="M233" i="165"/>
  <c r="L233" i="165"/>
  <c r="K233" i="165"/>
  <c r="H233" i="165"/>
  <c r="N232" i="165"/>
  <c r="M232" i="165"/>
  <c r="L232" i="165"/>
  <c r="K232" i="165"/>
  <c r="H232" i="165"/>
  <c r="N231" i="165"/>
  <c r="M231" i="165"/>
  <c r="L231" i="165"/>
  <c r="K231" i="165"/>
  <c r="H231" i="165"/>
  <c r="N230" i="165"/>
  <c r="M230" i="165"/>
  <c r="L230" i="165"/>
  <c r="K230" i="165"/>
  <c r="H230" i="165"/>
  <c r="N229" i="165"/>
  <c r="M229" i="165"/>
  <c r="L229" i="165"/>
  <c r="K229" i="165"/>
  <c r="H229" i="165"/>
  <c r="N228" i="165"/>
  <c r="M228" i="165"/>
  <c r="L228" i="165"/>
  <c r="K228" i="165"/>
  <c r="H228" i="165"/>
  <c r="N227" i="165"/>
  <c r="M227" i="165"/>
  <c r="L227" i="165"/>
  <c r="K227" i="165"/>
  <c r="H227" i="165"/>
  <c r="N226" i="165"/>
  <c r="M226" i="165"/>
  <c r="L226" i="165"/>
  <c r="K226" i="165"/>
  <c r="H226" i="165"/>
  <c r="N225" i="165"/>
  <c r="M225" i="165"/>
  <c r="L225" i="165"/>
  <c r="K225" i="165"/>
  <c r="H225" i="165"/>
  <c r="N224" i="165"/>
  <c r="M224" i="165"/>
  <c r="L224" i="165"/>
  <c r="K224" i="165"/>
  <c r="H224" i="165"/>
  <c r="N223" i="165"/>
  <c r="M223" i="165"/>
  <c r="L223" i="165"/>
  <c r="K223" i="165"/>
  <c r="H223" i="165"/>
  <c r="N222" i="165"/>
  <c r="M222" i="165"/>
  <c r="L222" i="165"/>
  <c r="K222" i="165"/>
  <c r="H222" i="165"/>
  <c r="N221" i="165"/>
  <c r="M221" i="165"/>
  <c r="L221" i="165"/>
  <c r="K221" i="165"/>
  <c r="H221" i="165"/>
  <c r="N220" i="165"/>
  <c r="M220" i="165"/>
  <c r="L220" i="165"/>
  <c r="K220" i="165"/>
  <c r="H220" i="165"/>
  <c r="N219" i="165"/>
  <c r="M219" i="165"/>
  <c r="L219" i="165"/>
  <c r="K219" i="165"/>
  <c r="H219" i="165"/>
  <c r="N218" i="165"/>
  <c r="M218" i="165"/>
  <c r="L218" i="165"/>
  <c r="K218" i="165"/>
  <c r="H218" i="165"/>
  <c r="N217" i="165"/>
  <c r="M217" i="165"/>
  <c r="L217" i="165"/>
  <c r="K217" i="165"/>
  <c r="H217" i="165"/>
  <c r="N216" i="165"/>
  <c r="M216" i="165"/>
  <c r="L216" i="165"/>
  <c r="K216" i="165"/>
  <c r="H216" i="165"/>
  <c r="N215" i="165"/>
  <c r="M215" i="165"/>
  <c r="L215" i="165"/>
  <c r="K215" i="165"/>
  <c r="H215" i="165"/>
  <c r="N214" i="165"/>
  <c r="M214" i="165"/>
  <c r="L214" i="165"/>
  <c r="K214" i="165"/>
  <c r="H214" i="165"/>
  <c r="N213" i="165"/>
  <c r="M213" i="165"/>
  <c r="L213" i="165"/>
  <c r="K213" i="165"/>
  <c r="H213" i="165"/>
  <c r="N212" i="165"/>
  <c r="M212" i="165"/>
  <c r="L212" i="165"/>
  <c r="K212" i="165"/>
  <c r="H212" i="165"/>
  <c r="N211" i="165"/>
  <c r="M211" i="165"/>
  <c r="L211" i="165"/>
  <c r="K211" i="165"/>
  <c r="H211" i="165"/>
  <c r="N210" i="165"/>
  <c r="M210" i="165"/>
  <c r="L210" i="165"/>
  <c r="K210" i="165"/>
  <c r="H210" i="165"/>
  <c r="N209" i="165"/>
  <c r="M209" i="165"/>
  <c r="L209" i="165"/>
  <c r="K209" i="165"/>
  <c r="H209" i="165"/>
  <c r="N208" i="165"/>
  <c r="M208" i="165"/>
  <c r="L208" i="165"/>
  <c r="K208" i="165"/>
  <c r="H208" i="165"/>
  <c r="N207" i="165"/>
  <c r="M207" i="165"/>
  <c r="L207" i="165"/>
  <c r="K207" i="165"/>
  <c r="H207" i="165"/>
  <c r="N206" i="165"/>
  <c r="M206" i="165"/>
  <c r="L206" i="165"/>
  <c r="K206" i="165"/>
  <c r="H206" i="165"/>
  <c r="N205" i="165"/>
  <c r="M205" i="165"/>
  <c r="L205" i="165"/>
  <c r="K205" i="165"/>
  <c r="H205" i="165"/>
  <c r="N204" i="165"/>
  <c r="M204" i="165"/>
  <c r="L204" i="165"/>
  <c r="K204" i="165"/>
  <c r="H204" i="165"/>
  <c r="N203" i="165"/>
  <c r="M203" i="165"/>
  <c r="L203" i="165"/>
  <c r="K203" i="165"/>
  <c r="H203" i="165"/>
  <c r="N202" i="165"/>
  <c r="M202" i="165"/>
  <c r="L202" i="165"/>
  <c r="K202" i="165"/>
  <c r="H202" i="165"/>
  <c r="N201" i="165"/>
  <c r="M201" i="165"/>
  <c r="L201" i="165"/>
  <c r="K201" i="165"/>
  <c r="H201" i="165"/>
  <c r="N200" i="165"/>
  <c r="M200" i="165"/>
  <c r="L200" i="165"/>
  <c r="K200" i="165"/>
  <c r="H200" i="165"/>
  <c r="N199" i="165"/>
  <c r="M199" i="165"/>
  <c r="L199" i="165"/>
  <c r="K199" i="165"/>
  <c r="H199" i="165"/>
  <c r="N198" i="165"/>
  <c r="M198" i="165"/>
  <c r="L198" i="165"/>
  <c r="K198" i="165"/>
  <c r="H198" i="165"/>
  <c r="N197" i="165"/>
  <c r="M197" i="165"/>
  <c r="L197" i="165"/>
  <c r="K197" i="165"/>
  <c r="H197" i="165"/>
  <c r="N196" i="165"/>
  <c r="M196" i="165"/>
  <c r="L196" i="165"/>
  <c r="K196" i="165"/>
  <c r="H196" i="165"/>
  <c r="N195" i="165"/>
  <c r="M195" i="165"/>
  <c r="L195" i="165"/>
  <c r="K195" i="165"/>
  <c r="H195" i="165"/>
  <c r="N194" i="165"/>
  <c r="M194" i="165"/>
  <c r="L194" i="165"/>
  <c r="K194" i="165"/>
  <c r="H194" i="165"/>
  <c r="N193" i="165"/>
  <c r="M193" i="165"/>
  <c r="L193" i="165"/>
  <c r="K193" i="165"/>
  <c r="H193" i="165"/>
  <c r="N192" i="165"/>
  <c r="M192" i="165"/>
  <c r="L192" i="165"/>
  <c r="K192" i="165"/>
  <c r="H192" i="165"/>
  <c r="N191" i="165"/>
  <c r="M191" i="165"/>
  <c r="L191" i="165"/>
  <c r="K191" i="165"/>
  <c r="H191" i="165"/>
  <c r="N190" i="165"/>
  <c r="M190" i="165"/>
  <c r="L190" i="165"/>
  <c r="K190" i="165"/>
  <c r="H190" i="165"/>
  <c r="N189" i="165"/>
  <c r="M189" i="165"/>
  <c r="L189" i="165"/>
  <c r="K189" i="165"/>
  <c r="H189" i="165"/>
  <c r="N188" i="165"/>
  <c r="M188" i="165"/>
  <c r="L188" i="165"/>
  <c r="K188" i="165"/>
  <c r="H188" i="165"/>
  <c r="N187" i="165"/>
  <c r="M187" i="165"/>
  <c r="L187" i="165"/>
  <c r="K187" i="165"/>
  <c r="H187" i="165"/>
  <c r="N186" i="165"/>
  <c r="M186" i="165"/>
  <c r="L186" i="165"/>
  <c r="K186" i="165"/>
  <c r="H186" i="165"/>
  <c r="N185" i="165"/>
  <c r="M185" i="165"/>
  <c r="L185" i="165"/>
  <c r="K185" i="165"/>
  <c r="H185" i="165"/>
  <c r="N184" i="165"/>
  <c r="M184" i="165"/>
  <c r="L184" i="165"/>
  <c r="K184" i="165"/>
  <c r="H184" i="165"/>
  <c r="N183" i="165"/>
  <c r="M183" i="165"/>
  <c r="L183" i="165"/>
  <c r="K183" i="165"/>
  <c r="H183" i="165"/>
  <c r="N182" i="165"/>
  <c r="M182" i="165"/>
  <c r="L182" i="165"/>
  <c r="K182" i="165"/>
  <c r="H182" i="165"/>
  <c r="N181" i="165"/>
  <c r="M181" i="165"/>
  <c r="L181" i="165"/>
  <c r="K181" i="165"/>
  <c r="H181" i="165"/>
  <c r="N180" i="165"/>
  <c r="M180" i="165"/>
  <c r="L180" i="165"/>
  <c r="K180" i="165"/>
  <c r="H180" i="165"/>
  <c r="N179" i="165"/>
  <c r="M179" i="165"/>
  <c r="L179" i="165"/>
  <c r="K179" i="165"/>
  <c r="H179" i="165"/>
  <c r="N178" i="165"/>
  <c r="M178" i="165"/>
  <c r="L178" i="165"/>
  <c r="K178" i="165"/>
  <c r="H178" i="165"/>
  <c r="N177" i="165"/>
  <c r="M177" i="165"/>
  <c r="L177" i="165"/>
  <c r="K177" i="165"/>
  <c r="H177" i="165"/>
  <c r="N176" i="165"/>
  <c r="M176" i="165"/>
  <c r="L176" i="165"/>
  <c r="K176" i="165"/>
  <c r="H176" i="165"/>
  <c r="N175" i="165"/>
  <c r="M175" i="165"/>
  <c r="L175" i="165"/>
  <c r="K175" i="165"/>
  <c r="H175" i="165"/>
  <c r="N174" i="165"/>
  <c r="M174" i="165"/>
  <c r="L174" i="165"/>
  <c r="K174" i="165"/>
  <c r="H174" i="165"/>
  <c r="N173" i="165"/>
  <c r="M173" i="165"/>
  <c r="L173" i="165"/>
  <c r="K173" i="165"/>
  <c r="H173" i="165"/>
  <c r="N172" i="165"/>
  <c r="M172" i="165"/>
  <c r="L172" i="165"/>
  <c r="K172" i="165"/>
  <c r="H172" i="165"/>
  <c r="N171" i="165"/>
  <c r="M171" i="165"/>
  <c r="L171" i="165"/>
  <c r="K171" i="165"/>
  <c r="H171" i="165"/>
  <c r="N170" i="165"/>
  <c r="M170" i="165"/>
  <c r="L170" i="165"/>
  <c r="K170" i="165"/>
  <c r="H170" i="165"/>
  <c r="N169" i="165"/>
  <c r="M169" i="165"/>
  <c r="L169" i="165"/>
  <c r="K169" i="165"/>
  <c r="H169" i="165"/>
  <c r="N168" i="165"/>
  <c r="M168" i="165"/>
  <c r="L168" i="165"/>
  <c r="K168" i="165"/>
  <c r="H168" i="165"/>
  <c r="N167" i="165"/>
  <c r="M167" i="165"/>
  <c r="L167" i="165"/>
  <c r="K167" i="165"/>
  <c r="H167" i="165"/>
  <c r="N166" i="165"/>
  <c r="M166" i="165"/>
  <c r="L166" i="165"/>
  <c r="K166" i="165"/>
  <c r="H166" i="165"/>
  <c r="N165" i="165"/>
  <c r="M165" i="165"/>
  <c r="L165" i="165"/>
  <c r="K165" i="165"/>
  <c r="H165" i="165"/>
  <c r="N164" i="165"/>
  <c r="M164" i="165"/>
  <c r="L164" i="165"/>
  <c r="K164" i="165"/>
  <c r="H164" i="165"/>
  <c r="N163" i="165"/>
  <c r="M163" i="165"/>
  <c r="L163" i="165"/>
  <c r="K163" i="165"/>
  <c r="H163" i="165"/>
  <c r="N162" i="165"/>
  <c r="M162" i="165"/>
  <c r="L162" i="165"/>
  <c r="K162" i="165"/>
  <c r="H162" i="165"/>
  <c r="N161" i="165"/>
  <c r="M161" i="165"/>
  <c r="L161" i="165"/>
  <c r="K161" i="165"/>
  <c r="H161" i="165"/>
  <c r="N160" i="165"/>
  <c r="M160" i="165"/>
  <c r="L160" i="165"/>
  <c r="K160" i="165"/>
  <c r="H160" i="165"/>
  <c r="N159" i="165"/>
  <c r="M159" i="165"/>
  <c r="L159" i="165"/>
  <c r="K159" i="165"/>
  <c r="H159" i="165"/>
  <c r="N158" i="165"/>
  <c r="M158" i="165"/>
  <c r="L158" i="165"/>
  <c r="K158" i="165"/>
  <c r="H158" i="165"/>
  <c r="N157" i="165"/>
  <c r="M157" i="165"/>
  <c r="L157" i="165"/>
  <c r="K157" i="165"/>
  <c r="H157" i="165"/>
  <c r="N156" i="165"/>
  <c r="M156" i="165"/>
  <c r="L156" i="165"/>
  <c r="K156" i="165"/>
  <c r="H156" i="165"/>
  <c r="N155" i="165"/>
  <c r="M155" i="165"/>
  <c r="L155" i="165"/>
  <c r="K155" i="165"/>
  <c r="H155" i="165"/>
  <c r="N154" i="165"/>
  <c r="M154" i="165"/>
  <c r="L154" i="165"/>
  <c r="K154" i="165"/>
  <c r="H154" i="165"/>
  <c r="N153" i="165"/>
  <c r="M153" i="165"/>
  <c r="L153" i="165"/>
  <c r="K153" i="165"/>
  <c r="H153" i="165"/>
  <c r="N152" i="165"/>
  <c r="M152" i="165"/>
  <c r="L152" i="165"/>
  <c r="K152" i="165"/>
  <c r="H152" i="165"/>
  <c r="N151" i="165"/>
  <c r="M151" i="165"/>
  <c r="L151" i="165"/>
  <c r="K151" i="165"/>
  <c r="H151" i="165"/>
  <c r="N150" i="165"/>
  <c r="M150" i="165"/>
  <c r="L150" i="165"/>
  <c r="K150" i="165"/>
  <c r="H150" i="165"/>
  <c r="N149" i="165"/>
  <c r="M149" i="165"/>
  <c r="L149" i="165"/>
  <c r="K149" i="165"/>
  <c r="H149" i="165"/>
  <c r="N148" i="165"/>
  <c r="M148" i="165"/>
  <c r="L148" i="165"/>
  <c r="K148" i="165"/>
  <c r="H148" i="165"/>
  <c r="N147" i="165"/>
  <c r="M147" i="165"/>
  <c r="L147" i="165"/>
  <c r="K147" i="165"/>
  <c r="H147" i="165"/>
  <c r="N146" i="165"/>
  <c r="M146" i="165"/>
  <c r="L146" i="165"/>
  <c r="K146" i="165"/>
  <c r="H146" i="165"/>
  <c r="N145" i="165"/>
  <c r="M145" i="165"/>
  <c r="L145" i="165"/>
  <c r="K145" i="165"/>
  <c r="H145" i="165"/>
  <c r="N144" i="165"/>
  <c r="M144" i="165"/>
  <c r="L144" i="165"/>
  <c r="K144" i="165"/>
  <c r="H144" i="165"/>
  <c r="N143" i="165"/>
  <c r="M143" i="165"/>
  <c r="L143" i="165"/>
  <c r="K143" i="165"/>
  <c r="H143" i="165"/>
  <c r="N142" i="165"/>
  <c r="M142" i="165"/>
  <c r="L142" i="165"/>
  <c r="K142" i="165"/>
  <c r="H142" i="165"/>
  <c r="N141" i="165"/>
  <c r="M141" i="165"/>
  <c r="L141" i="165"/>
  <c r="K141" i="165"/>
  <c r="H141" i="165"/>
  <c r="N140" i="165"/>
  <c r="M140" i="165"/>
  <c r="L140" i="165"/>
  <c r="K140" i="165"/>
  <c r="H140" i="165"/>
  <c r="N139" i="165"/>
  <c r="M139" i="165"/>
  <c r="L139" i="165"/>
  <c r="K139" i="165"/>
  <c r="H139" i="165"/>
  <c r="N138" i="165"/>
  <c r="M138" i="165"/>
  <c r="L138" i="165"/>
  <c r="K138" i="165"/>
  <c r="H138" i="165"/>
  <c r="N137" i="165"/>
  <c r="M137" i="165"/>
  <c r="L137" i="165"/>
  <c r="K137" i="165"/>
  <c r="H137" i="165"/>
  <c r="N136" i="165"/>
  <c r="M136" i="165"/>
  <c r="L136" i="165"/>
  <c r="K136" i="165"/>
  <c r="H136" i="165"/>
  <c r="N135" i="165"/>
  <c r="M135" i="165"/>
  <c r="L135" i="165"/>
  <c r="K135" i="165"/>
  <c r="H135" i="165"/>
  <c r="N134" i="165"/>
  <c r="M134" i="165"/>
  <c r="L134" i="165"/>
  <c r="K134" i="165"/>
  <c r="H134" i="165"/>
  <c r="N133" i="165"/>
  <c r="M133" i="165"/>
  <c r="L133" i="165"/>
  <c r="K133" i="165"/>
  <c r="H133" i="165"/>
  <c r="N132" i="165"/>
  <c r="M132" i="165"/>
  <c r="L132" i="165"/>
  <c r="K132" i="165"/>
  <c r="H132" i="165"/>
  <c r="N131" i="165"/>
  <c r="M131" i="165"/>
  <c r="L131" i="165"/>
  <c r="K131" i="165"/>
  <c r="H131" i="165"/>
  <c r="N130" i="165"/>
  <c r="M130" i="165"/>
  <c r="L130" i="165"/>
  <c r="K130" i="165"/>
  <c r="H130" i="165"/>
  <c r="N129" i="165"/>
  <c r="M129" i="165"/>
  <c r="L129" i="165"/>
  <c r="K129" i="165"/>
  <c r="H129" i="165"/>
  <c r="N128" i="165"/>
  <c r="M128" i="165"/>
  <c r="L128" i="165"/>
  <c r="K128" i="165"/>
  <c r="H128" i="165"/>
  <c r="N127" i="165"/>
  <c r="M127" i="165"/>
  <c r="L127" i="165"/>
  <c r="K127" i="165"/>
  <c r="H127" i="165"/>
  <c r="N126" i="165"/>
  <c r="M126" i="165"/>
  <c r="L126" i="165"/>
  <c r="K126" i="165"/>
  <c r="H126" i="165"/>
  <c r="N125" i="165"/>
  <c r="M125" i="165"/>
  <c r="L125" i="165"/>
  <c r="K125" i="165"/>
  <c r="H125" i="165"/>
  <c r="N124" i="165"/>
  <c r="M124" i="165"/>
  <c r="L124" i="165"/>
  <c r="K124" i="165"/>
  <c r="H124" i="165"/>
  <c r="N123" i="165"/>
  <c r="M123" i="165"/>
  <c r="L123" i="165"/>
  <c r="K123" i="165"/>
  <c r="H123" i="165"/>
  <c r="N122" i="165"/>
  <c r="M122" i="165"/>
  <c r="L122" i="165"/>
  <c r="K122" i="165"/>
  <c r="H122" i="165"/>
  <c r="N121" i="165"/>
  <c r="M121" i="165"/>
  <c r="L121" i="165"/>
  <c r="K121" i="165"/>
  <c r="H121" i="165"/>
  <c r="N120" i="165"/>
  <c r="M120" i="165"/>
  <c r="L120" i="165"/>
  <c r="K120" i="165"/>
  <c r="H120" i="165"/>
  <c r="N119" i="165"/>
  <c r="M119" i="165"/>
  <c r="L119" i="165"/>
  <c r="K119" i="165"/>
  <c r="H119" i="165"/>
  <c r="N118" i="165"/>
  <c r="M118" i="165"/>
  <c r="L118" i="165"/>
  <c r="K118" i="165"/>
  <c r="H118" i="165"/>
  <c r="N117" i="165"/>
  <c r="M117" i="165"/>
  <c r="L117" i="165"/>
  <c r="K117" i="165"/>
  <c r="H117" i="165"/>
  <c r="N116" i="165"/>
  <c r="M116" i="165"/>
  <c r="L116" i="165"/>
  <c r="K116" i="165"/>
  <c r="H116" i="165"/>
  <c r="N115" i="165"/>
  <c r="M115" i="165"/>
  <c r="L115" i="165"/>
  <c r="K115" i="165"/>
  <c r="H115" i="165"/>
  <c r="N114" i="165"/>
  <c r="M114" i="165"/>
  <c r="L114" i="165"/>
  <c r="K114" i="165"/>
  <c r="H114" i="165"/>
  <c r="N113" i="165"/>
  <c r="M113" i="165"/>
  <c r="L113" i="165"/>
  <c r="K113" i="165"/>
  <c r="H113" i="165"/>
  <c r="N112" i="165"/>
  <c r="M112" i="165"/>
  <c r="L112" i="165"/>
  <c r="K112" i="165"/>
  <c r="H112" i="165"/>
  <c r="N111" i="165"/>
  <c r="M111" i="165"/>
  <c r="L111" i="165"/>
  <c r="K111" i="165"/>
  <c r="H111" i="165"/>
  <c r="N110" i="165"/>
  <c r="M110" i="165"/>
  <c r="L110" i="165"/>
  <c r="K110" i="165"/>
  <c r="H110" i="165"/>
  <c r="N109" i="165"/>
  <c r="M109" i="165"/>
  <c r="L109" i="165"/>
  <c r="K109" i="165"/>
  <c r="H109" i="165"/>
  <c r="N108" i="165"/>
  <c r="M108" i="165"/>
  <c r="L108" i="165"/>
  <c r="K108" i="165"/>
  <c r="H108" i="165"/>
  <c r="N107" i="165"/>
  <c r="M107" i="165"/>
  <c r="L107" i="165"/>
  <c r="K107" i="165"/>
  <c r="H107" i="165"/>
  <c r="N106" i="165"/>
  <c r="M106" i="165"/>
  <c r="L106" i="165"/>
  <c r="K106" i="165"/>
  <c r="H106" i="165"/>
  <c r="N105" i="165"/>
  <c r="M105" i="165"/>
  <c r="L105" i="165"/>
  <c r="K105" i="165"/>
  <c r="H105" i="165"/>
  <c r="N104" i="165"/>
  <c r="M104" i="165"/>
  <c r="L104" i="165"/>
  <c r="K104" i="165"/>
  <c r="H104" i="165"/>
  <c r="N103" i="165"/>
  <c r="M103" i="165"/>
  <c r="L103" i="165"/>
  <c r="K103" i="165"/>
  <c r="H103" i="165"/>
  <c r="N102" i="165"/>
  <c r="M102" i="165"/>
  <c r="L102" i="165"/>
  <c r="K102" i="165"/>
  <c r="H102" i="165"/>
  <c r="N101" i="165"/>
  <c r="M101" i="165"/>
  <c r="L101" i="165"/>
  <c r="K101" i="165"/>
  <c r="H101" i="165"/>
  <c r="N100" i="165"/>
  <c r="M100" i="165"/>
  <c r="L100" i="165"/>
  <c r="K100" i="165"/>
  <c r="H100" i="165"/>
  <c r="N99" i="165"/>
  <c r="M99" i="165"/>
  <c r="L99" i="165"/>
  <c r="K99" i="165"/>
  <c r="H99" i="165"/>
  <c r="N98" i="165"/>
  <c r="M98" i="165"/>
  <c r="L98" i="165"/>
  <c r="K98" i="165"/>
  <c r="H98" i="165"/>
  <c r="N97" i="165"/>
  <c r="M97" i="165"/>
  <c r="L97" i="165"/>
  <c r="K97" i="165"/>
  <c r="H97" i="165"/>
  <c r="N96" i="165"/>
  <c r="M96" i="165"/>
  <c r="L96" i="165"/>
  <c r="K96" i="165"/>
  <c r="H96" i="165"/>
  <c r="N95" i="165"/>
  <c r="M95" i="165"/>
  <c r="L95" i="165"/>
  <c r="K95" i="165"/>
  <c r="H95" i="165"/>
  <c r="N94" i="165"/>
  <c r="M94" i="165"/>
  <c r="L94" i="165"/>
  <c r="K94" i="165"/>
  <c r="H94" i="165"/>
  <c r="N93" i="165"/>
  <c r="M93" i="165"/>
  <c r="L93" i="165"/>
  <c r="K93" i="165"/>
  <c r="H93" i="165"/>
  <c r="N92" i="165"/>
  <c r="M92" i="165"/>
  <c r="L92" i="165"/>
  <c r="K92" i="165"/>
  <c r="H92" i="165"/>
  <c r="N91" i="165"/>
  <c r="M91" i="165"/>
  <c r="L91" i="165"/>
  <c r="K91" i="165"/>
  <c r="H91" i="165"/>
  <c r="N90" i="165"/>
  <c r="M90" i="165"/>
  <c r="L90" i="165"/>
  <c r="K90" i="165"/>
  <c r="H90" i="165"/>
  <c r="N89" i="165"/>
  <c r="M89" i="165"/>
  <c r="L89" i="165"/>
  <c r="K89" i="165"/>
  <c r="H89" i="165"/>
  <c r="N88" i="165"/>
  <c r="M88" i="165"/>
  <c r="L88" i="165"/>
  <c r="K88" i="165"/>
  <c r="H88" i="165"/>
  <c r="N87" i="165"/>
  <c r="M87" i="165"/>
  <c r="L87" i="165"/>
  <c r="K87" i="165"/>
  <c r="H87" i="165"/>
  <c r="N86" i="165"/>
  <c r="M86" i="165"/>
  <c r="L86" i="165"/>
  <c r="K86" i="165"/>
  <c r="H86" i="165"/>
  <c r="N85" i="165"/>
  <c r="M85" i="165"/>
  <c r="L85" i="165"/>
  <c r="K85" i="165"/>
  <c r="H85" i="165"/>
  <c r="N84" i="165"/>
  <c r="M84" i="165"/>
  <c r="L84" i="165"/>
  <c r="K84" i="165"/>
  <c r="H84" i="165"/>
  <c r="N83" i="165"/>
  <c r="M83" i="165"/>
  <c r="L83" i="165"/>
  <c r="K83" i="165"/>
  <c r="H83" i="165"/>
  <c r="N82" i="165"/>
  <c r="M82" i="165"/>
  <c r="L82" i="165"/>
  <c r="K82" i="165"/>
  <c r="H82" i="165"/>
  <c r="N81" i="165"/>
  <c r="M81" i="165"/>
  <c r="L81" i="165"/>
  <c r="K81" i="165"/>
  <c r="H81" i="165"/>
  <c r="N80" i="165"/>
  <c r="M80" i="165"/>
  <c r="L80" i="165"/>
  <c r="K80" i="165"/>
  <c r="H80" i="165"/>
  <c r="N79" i="165"/>
  <c r="M79" i="165"/>
  <c r="L79" i="165"/>
  <c r="K79" i="165"/>
  <c r="H79" i="165"/>
  <c r="N78" i="165"/>
  <c r="M78" i="165"/>
  <c r="L78" i="165"/>
  <c r="K78" i="165"/>
  <c r="H78" i="165"/>
  <c r="N77" i="165"/>
  <c r="M77" i="165"/>
  <c r="L77" i="165"/>
  <c r="K77" i="165"/>
  <c r="H77" i="165"/>
  <c r="N76" i="165"/>
  <c r="M76" i="165"/>
  <c r="L76" i="165"/>
  <c r="K76" i="165"/>
  <c r="H76" i="165"/>
  <c r="N75" i="165"/>
  <c r="M75" i="165"/>
  <c r="L75" i="165"/>
  <c r="K75" i="165"/>
  <c r="H75" i="165"/>
  <c r="N74" i="165"/>
  <c r="M74" i="165"/>
  <c r="L74" i="165"/>
  <c r="K74" i="165"/>
  <c r="H74" i="165"/>
  <c r="N73" i="165"/>
  <c r="M73" i="165"/>
  <c r="L73" i="165"/>
  <c r="K73" i="165"/>
  <c r="H73" i="165"/>
  <c r="N72" i="165"/>
  <c r="M72" i="165"/>
  <c r="L72" i="165"/>
  <c r="K72" i="165"/>
  <c r="H72" i="165"/>
  <c r="N71" i="165"/>
  <c r="M71" i="165"/>
  <c r="L71" i="165"/>
  <c r="K71" i="165"/>
  <c r="H71" i="165"/>
  <c r="N70" i="165"/>
  <c r="M70" i="165"/>
  <c r="L70" i="165"/>
  <c r="K70" i="165"/>
  <c r="H70" i="165"/>
  <c r="N69" i="165"/>
  <c r="M69" i="165"/>
  <c r="L69" i="165"/>
  <c r="K69" i="165"/>
  <c r="H69" i="165"/>
  <c r="N68" i="165"/>
  <c r="M68" i="165"/>
  <c r="L68" i="165"/>
  <c r="K68" i="165"/>
  <c r="H68" i="165"/>
  <c r="N67" i="165"/>
  <c r="M67" i="165"/>
  <c r="L67" i="165"/>
  <c r="K67" i="165"/>
  <c r="H67" i="165"/>
  <c r="N66" i="165"/>
  <c r="M66" i="165"/>
  <c r="L66" i="165"/>
  <c r="K66" i="165"/>
  <c r="H66" i="165"/>
  <c r="N65" i="165"/>
  <c r="M65" i="165"/>
  <c r="L65" i="165"/>
  <c r="K65" i="165"/>
  <c r="H65" i="165"/>
  <c r="N64" i="165"/>
  <c r="M64" i="165"/>
  <c r="L64" i="165"/>
  <c r="K64" i="165"/>
  <c r="H64" i="165"/>
  <c r="N63" i="165"/>
  <c r="M63" i="165"/>
  <c r="L63" i="165"/>
  <c r="K63" i="165"/>
  <c r="H63" i="165"/>
  <c r="N62" i="165"/>
  <c r="M62" i="165"/>
  <c r="L62" i="165"/>
  <c r="K62" i="165"/>
  <c r="H62" i="165"/>
  <c r="N61" i="165"/>
  <c r="M61" i="165"/>
  <c r="L61" i="165"/>
  <c r="K61" i="165"/>
  <c r="H61" i="165"/>
  <c r="N60" i="165"/>
  <c r="M60" i="165"/>
  <c r="L60" i="165"/>
  <c r="K60" i="165"/>
  <c r="H60" i="165"/>
  <c r="N59" i="165"/>
  <c r="M59" i="165"/>
  <c r="L59" i="165"/>
  <c r="K59" i="165"/>
  <c r="H59" i="165"/>
  <c r="N58" i="165"/>
  <c r="M58" i="165"/>
  <c r="L58" i="165"/>
  <c r="K58" i="165"/>
  <c r="H58" i="165"/>
  <c r="N57" i="165"/>
  <c r="M57" i="165"/>
  <c r="L57" i="165"/>
  <c r="K57" i="165"/>
  <c r="H57" i="165"/>
  <c r="N56" i="165"/>
  <c r="M56" i="165"/>
  <c r="L56" i="165"/>
  <c r="K56" i="165"/>
  <c r="H56" i="165"/>
  <c r="N55" i="165"/>
  <c r="M55" i="165"/>
  <c r="L55" i="165"/>
  <c r="K55" i="165"/>
  <c r="H55" i="165"/>
  <c r="N54" i="165"/>
  <c r="M54" i="165"/>
  <c r="L54" i="165"/>
  <c r="K54" i="165"/>
  <c r="H54" i="165"/>
  <c r="N53" i="165"/>
  <c r="M53" i="165"/>
  <c r="L53" i="165"/>
  <c r="K53" i="165"/>
  <c r="H53" i="165"/>
  <c r="N52" i="165"/>
  <c r="M52" i="165"/>
  <c r="L52" i="165"/>
  <c r="K52" i="165"/>
  <c r="H52" i="165"/>
  <c r="N51" i="165"/>
  <c r="M51" i="165"/>
  <c r="L51" i="165"/>
  <c r="K51" i="165"/>
  <c r="H51" i="165"/>
  <c r="N50" i="165"/>
  <c r="M50" i="165"/>
  <c r="L50" i="165"/>
  <c r="K50" i="165"/>
  <c r="H50" i="165"/>
  <c r="N49" i="165"/>
  <c r="M49" i="165"/>
  <c r="L49" i="165"/>
  <c r="K49" i="165"/>
  <c r="H49" i="165"/>
  <c r="N48" i="165"/>
  <c r="M48" i="165"/>
  <c r="L48" i="165"/>
  <c r="K48" i="165"/>
  <c r="H48" i="165"/>
  <c r="N47" i="165"/>
  <c r="M47" i="165"/>
  <c r="L47" i="165"/>
  <c r="K47" i="165"/>
  <c r="H47" i="165"/>
  <c r="N46" i="165"/>
  <c r="M46" i="165"/>
  <c r="L46" i="165"/>
  <c r="K46" i="165"/>
  <c r="H46" i="165"/>
  <c r="N45" i="165"/>
  <c r="M45" i="165"/>
  <c r="L45" i="165"/>
  <c r="K45" i="165"/>
  <c r="H45" i="165"/>
  <c r="N44" i="165"/>
  <c r="M44" i="165"/>
  <c r="L44" i="165"/>
  <c r="K44" i="165"/>
  <c r="H44" i="165"/>
  <c r="N43" i="165"/>
  <c r="M43" i="165"/>
  <c r="L43" i="165"/>
  <c r="K43" i="165"/>
  <c r="H43" i="165"/>
  <c r="N42" i="165"/>
  <c r="M42" i="165"/>
  <c r="L42" i="165"/>
  <c r="K42" i="165"/>
  <c r="H42" i="165"/>
  <c r="N41" i="165"/>
  <c r="M41" i="165"/>
  <c r="L41" i="165"/>
  <c r="K41" i="165"/>
  <c r="H41" i="165"/>
  <c r="N40" i="165"/>
  <c r="M40" i="165"/>
  <c r="L40" i="165"/>
  <c r="K40" i="165"/>
  <c r="H40" i="165"/>
  <c r="N39" i="165"/>
  <c r="M39" i="165"/>
  <c r="L39" i="165"/>
  <c r="K39" i="165"/>
  <c r="H39" i="165"/>
  <c r="N38" i="165"/>
  <c r="M38" i="165"/>
  <c r="L38" i="165"/>
  <c r="K38" i="165"/>
  <c r="H38" i="165"/>
  <c r="N37" i="165"/>
  <c r="M37" i="165"/>
  <c r="L37" i="165"/>
  <c r="K37" i="165"/>
  <c r="H37" i="165"/>
  <c r="N36" i="165"/>
  <c r="M36" i="165"/>
  <c r="L36" i="165"/>
  <c r="K36" i="165"/>
  <c r="H36" i="165"/>
  <c r="N35" i="165"/>
  <c r="M35" i="165"/>
  <c r="L35" i="165"/>
  <c r="K35" i="165"/>
  <c r="H35" i="165"/>
  <c r="N34" i="165"/>
  <c r="M34" i="165"/>
  <c r="L34" i="165"/>
  <c r="K34" i="165"/>
  <c r="H34" i="165"/>
  <c r="N33" i="165"/>
  <c r="M33" i="165"/>
  <c r="L33" i="165"/>
  <c r="K33" i="165"/>
  <c r="H33" i="165"/>
  <c r="N32" i="165"/>
  <c r="M32" i="165"/>
  <c r="L32" i="165"/>
  <c r="K32" i="165"/>
  <c r="H32" i="165"/>
  <c r="N31" i="165"/>
  <c r="M31" i="165"/>
  <c r="L31" i="165"/>
  <c r="K31" i="165"/>
  <c r="H31" i="165"/>
  <c r="N30" i="165"/>
  <c r="M30" i="165"/>
  <c r="L30" i="165"/>
  <c r="K30" i="165"/>
  <c r="H30" i="165"/>
  <c r="N29" i="165"/>
  <c r="M29" i="165"/>
  <c r="L29" i="165"/>
  <c r="K29" i="165"/>
  <c r="H29" i="165"/>
  <c r="N28" i="165"/>
  <c r="M28" i="165"/>
  <c r="L28" i="165"/>
  <c r="K28" i="165"/>
  <c r="H28" i="165"/>
  <c r="N27" i="165"/>
  <c r="M27" i="165"/>
  <c r="L27" i="165"/>
  <c r="K27" i="165"/>
  <c r="H27" i="165"/>
  <c r="N26" i="165"/>
  <c r="M26" i="165"/>
  <c r="L26" i="165"/>
  <c r="K26" i="165"/>
  <c r="H26" i="165"/>
  <c r="N25" i="165"/>
  <c r="M25" i="165"/>
  <c r="L25" i="165"/>
  <c r="K25" i="165"/>
  <c r="H25" i="165"/>
  <c r="N24" i="165"/>
  <c r="M24" i="165"/>
  <c r="L24" i="165"/>
  <c r="K24" i="165"/>
  <c r="H24" i="165"/>
  <c r="N23" i="165"/>
  <c r="M23" i="165"/>
  <c r="L23" i="165"/>
  <c r="K23" i="165"/>
  <c r="H23" i="165"/>
  <c r="N22" i="165"/>
  <c r="M22" i="165"/>
  <c r="L22" i="165"/>
  <c r="K22" i="165"/>
  <c r="H22" i="165"/>
  <c r="N21" i="165"/>
  <c r="M21" i="165"/>
  <c r="L21" i="165"/>
  <c r="K21" i="165"/>
  <c r="H21" i="165"/>
  <c r="N20" i="165"/>
  <c r="M20" i="165"/>
  <c r="L20" i="165"/>
  <c r="K20" i="165"/>
  <c r="H20" i="165"/>
  <c r="N19" i="165"/>
  <c r="M19" i="165"/>
  <c r="L19" i="165"/>
  <c r="K19" i="165"/>
  <c r="H19" i="165"/>
  <c r="N18" i="165"/>
  <c r="M18" i="165"/>
  <c r="L18" i="165"/>
  <c r="K18" i="165"/>
  <c r="H18" i="165"/>
  <c r="N17" i="165"/>
  <c r="M17" i="165"/>
  <c r="L17" i="165"/>
  <c r="K17" i="165"/>
  <c r="H17" i="165"/>
  <c r="N16" i="165"/>
  <c r="M16" i="165"/>
  <c r="L16" i="165"/>
  <c r="K16" i="165"/>
  <c r="H16" i="165"/>
  <c r="N15" i="165"/>
  <c r="M15" i="165"/>
  <c r="L15" i="165"/>
  <c r="K15" i="165"/>
  <c r="H15" i="165"/>
  <c r="N14" i="165"/>
  <c r="M14" i="165"/>
  <c r="L14" i="165"/>
  <c r="K14" i="165"/>
  <c r="H14" i="165"/>
  <c r="N13" i="165"/>
  <c r="M13" i="165"/>
  <c r="L13" i="165"/>
  <c r="K13" i="165"/>
  <c r="H13" i="165"/>
  <c r="N12" i="165"/>
  <c r="M12" i="165"/>
  <c r="L12" i="165"/>
  <c r="K12" i="165"/>
  <c r="H12" i="165"/>
  <c r="N11" i="165"/>
  <c r="M11" i="165"/>
  <c r="L11" i="165"/>
  <c r="K11" i="165"/>
  <c r="H11" i="165"/>
  <c r="N10" i="165"/>
  <c r="M10" i="165"/>
  <c r="L10" i="165"/>
  <c r="K10" i="165"/>
  <c r="H10" i="165"/>
  <c r="N9" i="165"/>
  <c r="M9" i="165"/>
  <c r="L9" i="165"/>
  <c r="K9" i="165"/>
  <c r="H9" i="165"/>
  <c r="N8" i="165"/>
  <c r="M8" i="165"/>
  <c r="L8" i="165"/>
  <c r="K8" i="165"/>
  <c r="H8" i="165"/>
  <c r="N7" i="165"/>
  <c r="M7" i="165"/>
  <c r="L7" i="165"/>
  <c r="K7" i="165"/>
  <c r="H7" i="165"/>
  <c r="N6" i="165"/>
  <c r="M6" i="165"/>
  <c r="L6" i="165"/>
  <c r="K6" i="165"/>
  <c r="H6" i="165"/>
  <c r="N5" i="165"/>
  <c r="M5" i="165"/>
  <c r="L5" i="165"/>
  <c r="K5" i="165"/>
  <c r="H5" i="165"/>
  <c r="N4" i="165"/>
  <c r="M4" i="165"/>
  <c r="L4" i="165"/>
  <c r="K4" i="165"/>
  <c r="H4" i="165"/>
  <c r="N3" i="165"/>
  <c r="M3" i="165"/>
  <c r="L3" i="165"/>
  <c r="K3" i="165"/>
  <c r="H3" i="165"/>
  <c r="N2" i="165"/>
  <c r="M2" i="165"/>
  <c r="L2" i="165"/>
  <c r="K2" i="165"/>
  <c r="H2" i="165"/>
  <c r="P1480" i="164"/>
  <c r="N1480" i="164"/>
  <c r="L1480" i="164"/>
  <c r="P1479" i="164"/>
  <c r="N1479" i="164"/>
  <c r="L1479" i="164"/>
  <c r="P1478" i="164"/>
  <c r="N1478" i="164"/>
  <c r="L1478" i="164"/>
  <c r="P1477" i="164"/>
  <c r="N1477" i="164"/>
  <c r="L1477" i="164"/>
  <c r="P1476" i="164"/>
  <c r="N1476" i="164"/>
  <c r="L1476" i="164"/>
  <c r="P1475" i="164"/>
  <c r="N1475" i="164"/>
  <c r="L1475" i="164"/>
  <c r="P1474" i="164"/>
  <c r="N1474" i="164"/>
  <c r="L1474" i="164"/>
  <c r="P1473" i="164"/>
  <c r="N1473" i="164"/>
  <c r="L1473" i="164"/>
  <c r="P1472" i="164"/>
  <c r="N1472" i="164"/>
  <c r="L1472" i="164"/>
  <c r="A1426" i="164"/>
  <c r="A1427" i="164"/>
  <c r="A1428" i="164"/>
  <c r="A1429" i="164"/>
  <c r="A1430" i="164"/>
  <c r="A1431" i="164"/>
  <c r="A1432" i="164"/>
  <c r="A1433" i="164"/>
  <c r="A1434" i="164"/>
  <c r="A1435" i="164"/>
  <c r="A1436" i="164"/>
  <c r="A1437" i="164"/>
  <c r="A1438" i="164"/>
  <c r="A1439" i="164"/>
  <c r="A1440" i="164"/>
  <c r="A1441" i="164"/>
  <c r="A1442" i="164"/>
  <c r="A1443" i="164"/>
  <c r="A1444" i="164"/>
  <c r="A1445" i="164"/>
  <c r="A1446" i="164"/>
  <c r="A1447" i="164"/>
  <c r="A1448" i="164"/>
  <c r="A1449" i="164"/>
  <c r="A1450" i="164"/>
  <c r="A1451" i="164"/>
  <c r="A1452" i="164"/>
  <c r="A1453" i="164"/>
  <c r="A1454" i="164"/>
  <c r="A1455" i="164"/>
  <c r="A1456" i="164"/>
  <c r="A1457" i="164"/>
  <c r="A1458" i="164"/>
  <c r="A1459" i="164"/>
  <c r="A1460" i="164"/>
  <c r="A1461" i="164"/>
  <c r="A1462" i="164"/>
  <c r="A1463" i="164"/>
  <c r="A1464" i="164"/>
  <c r="A1465" i="164"/>
  <c r="A1466" i="164"/>
  <c r="A1467" i="164"/>
  <c r="A1468" i="164"/>
  <c r="A1469" i="164"/>
  <c r="A1470" i="164"/>
  <c r="A1471" i="164"/>
  <c r="A1472" i="164"/>
  <c r="P1471" i="164"/>
  <c r="N1471" i="164"/>
  <c r="L1471" i="164"/>
  <c r="P1470" i="164"/>
  <c r="N1470" i="164"/>
  <c r="L1470" i="164"/>
  <c r="P1469" i="164"/>
  <c r="N1469" i="164"/>
  <c r="L1469" i="164"/>
  <c r="P1468" i="164"/>
  <c r="N1468" i="164"/>
  <c r="L1468" i="164"/>
  <c r="P1467" i="164"/>
  <c r="N1467" i="164"/>
  <c r="L1467" i="164"/>
  <c r="P1466" i="164"/>
  <c r="N1466" i="164"/>
  <c r="L1466" i="164"/>
  <c r="P1465" i="164"/>
  <c r="N1465" i="164"/>
  <c r="L1465" i="164"/>
  <c r="P1464" i="164"/>
  <c r="N1464" i="164"/>
  <c r="L1464" i="164"/>
  <c r="P1463" i="164"/>
  <c r="N1463" i="164"/>
  <c r="L1463" i="164"/>
  <c r="P1462" i="164"/>
  <c r="N1462" i="164"/>
  <c r="L1462" i="164"/>
  <c r="P1461" i="164"/>
  <c r="N1461" i="164"/>
  <c r="L1461" i="164"/>
  <c r="P1460" i="164"/>
  <c r="N1460" i="164"/>
  <c r="L1460" i="164"/>
  <c r="P1459" i="164"/>
  <c r="N1459" i="164"/>
  <c r="L1459" i="164"/>
  <c r="P1458" i="164"/>
  <c r="N1458" i="164"/>
  <c r="L1458" i="164"/>
  <c r="P1457" i="164"/>
  <c r="N1457" i="164"/>
  <c r="L1457" i="164"/>
  <c r="P1456" i="164"/>
  <c r="N1456" i="164"/>
  <c r="L1456" i="164"/>
  <c r="P1455" i="164"/>
  <c r="N1455" i="164"/>
  <c r="L1455" i="164"/>
  <c r="P1454" i="164"/>
  <c r="N1454" i="164"/>
  <c r="L1454" i="164"/>
  <c r="P1453" i="164"/>
  <c r="N1453" i="164"/>
  <c r="L1453" i="164"/>
  <c r="P1452" i="164"/>
  <c r="N1452" i="164"/>
  <c r="L1452" i="164"/>
  <c r="P1451" i="164"/>
  <c r="N1451" i="164"/>
  <c r="L1451" i="164"/>
  <c r="P1450" i="164"/>
  <c r="N1450" i="164"/>
  <c r="L1450" i="164"/>
  <c r="P1449" i="164"/>
  <c r="N1449" i="164"/>
  <c r="L1449" i="164"/>
  <c r="P1448" i="164"/>
  <c r="N1448" i="164"/>
  <c r="L1448" i="164"/>
  <c r="P1447" i="164"/>
  <c r="N1447" i="164"/>
  <c r="L1447" i="164"/>
  <c r="P1446" i="164"/>
  <c r="N1446" i="164"/>
  <c r="L1446" i="164"/>
  <c r="P1445" i="164"/>
  <c r="N1445" i="164"/>
  <c r="L1445" i="164"/>
  <c r="P1444" i="164"/>
  <c r="N1444" i="164"/>
  <c r="L1444" i="164"/>
  <c r="P1443" i="164"/>
  <c r="N1443" i="164"/>
  <c r="L1443" i="164"/>
  <c r="P1442" i="164"/>
  <c r="N1442" i="164"/>
  <c r="L1442" i="164"/>
  <c r="P1441" i="164"/>
  <c r="N1441" i="164"/>
  <c r="L1441" i="164"/>
  <c r="P1440" i="164"/>
  <c r="N1440" i="164"/>
  <c r="L1440" i="164"/>
  <c r="P1439" i="164"/>
  <c r="N1439" i="164"/>
  <c r="L1439" i="164"/>
  <c r="P1438" i="164"/>
  <c r="N1438" i="164"/>
  <c r="L1438" i="164"/>
  <c r="P1437" i="164"/>
  <c r="N1437" i="164"/>
  <c r="L1437" i="164"/>
  <c r="P1436" i="164"/>
  <c r="N1436" i="164"/>
  <c r="L1436" i="164"/>
  <c r="P1435" i="164"/>
  <c r="N1435" i="164"/>
  <c r="L1435" i="164"/>
  <c r="P1434" i="164"/>
  <c r="N1434" i="164"/>
  <c r="L1434" i="164"/>
  <c r="P1433" i="164"/>
  <c r="N1433" i="164"/>
  <c r="L1433" i="164"/>
  <c r="P1432" i="164"/>
  <c r="N1432" i="164"/>
  <c r="L1432" i="164"/>
  <c r="P1431" i="164"/>
  <c r="N1431" i="164"/>
  <c r="L1431" i="164"/>
  <c r="P1430" i="164"/>
  <c r="N1430" i="164"/>
  <c r="L1430" i="164"/>
  <c r="P1429" i="164"/>
  <c r="N1429" i="164"/>
  <c r="L1429" i="164"/>
  <c r="P1428" i="164"/>
  <c r="N1428" i="164"/>
  <c r="L1428" i="164"/>
  <c r="P1427" i="164"/>
  <c r="N1427" i="164"/>
  <c r="L1427" i="164"/>
  <c r="P1426" i="164"/>
  <c r="N1426" i="164"/>
  <c r="L1426" i="164"/>
  <c r="P1425" i="164"/>
  <c r="N1425" i="164"/>
  <c r="L1425" i="164"/>
  <c r="P1424" i="164"/>
  <c r="N1424" i="164"/>
  <c r="L1424" i="164"/>
  <c r="P1423" i="164"/>
  <c r="N1423" i="164"/>
  <c r="L1423" i="164"/>
  <c r="P1422" i="164"/>
  <c r="N1422" i="164"/>
  <c r="L1422" i="164"/>
  <c r="P1421" i="164"/>
  <c r="N1421" i="164"/>
  <c r="L1421" i="164"/>
  <c r="P1420" i="164"/>
  <c r="N1420" i="164"/>
  <c r="L1420" i="164"/>
  <c r="P1419" i="164"/>
  <c r="N1419" i="164"/>
  <c r="L1419" i="164"/>
  <c r="P1418" i="164"/>
  <c r="N1418" i="164"/>
  <c r="L1418" i="164"/>
  <c r="P1417" i="164"/>
  <c r="N1417" i="164"/>
  <c r="L1417" i="164"/>
  <c r="P1416" i="164"/>
  <c r="N1416" i="164"/>
  <c r="L1416" i="164"/>
  <c r="P1415" i="164"/>
  <c r="N1415" i="164"/>
  <c r="L1415" i="164"/>
  <c r="P1414" i="164"/>
  <c r="N1414" i="164"/>
  <c r="L1414" i="164"/>
  <c r="P1413" i="164"/>
  <c r="N1413" i="164"/>
  <c r="L1413" i="164"/>
  <c r="P1412" i="164"/>
  <c r="N1412" i="164"/>
  <c r="L1412" i="164"/>
  <c r="P1411" i="164"/>
  <c r="N1411" i="164"/>
  <c r="L1411" i="164"/>
  <c r="P1410" i="164"/>
  <c r="N1410" i="164"/>
  <c r="L1410" i="164"/>
  <c r="P1409" i="164"/>
  <c r="N1409" i="164"/>
  <c r="L1409" i="164"/>
  <c r="P1408" i="164"/>
  <c r="N1408" i="164"/>
  <c r="L1408" i="164"/>
  <c r="P1407" i="164"/>
  <c r="N1407" i="164"/>
  <c r="L1407" i="164"/>
  <c r="P1406" i="164"/>
  <c r="N1406" i="164"/>
  <c r="L1406" i="164"/>
  <c r="P1405" i="164"/>
  <c r="N1405" i="164"/>
  <c r="L1405" i="164"/>
  <c r="P1404" i="164"/>
  <c r="N1404" i="164"/>
  <c r="L1404" i="164"/>
  <c r="P1403" i="164"/>
  <c r="N1403" i="164"/>
  <c r="L1403" i="164"/>
  <c r="P1402" i="164"/>
  <c r="N1402" i="164"/>
  <c r="L1402" i="164"/>
  <c r="P1401" i="164"/>
  <c r="N1401" i="164"/>
  <c r="L1401" i="164"/>
  <c r="P1400" i="164"/>
  <c r="N1400" i="164"/>
  <c r="L1400" i="164"/>
  <c r="P1399" i="164"/>
  <c r="N1399" i="164"/>
  <c r="L1399" i="164"/>
  <c r="P1398" i="164"/>
  <c r="N1398" i="164"/>
  <c r="L1398" i="164"/>
  <c r="P1397" i="164"/>
  <c r="N1397" i="164"/>
  <c r="L1397" i="164"/>
  <c r="P1396" i="164"/>
  <c r="N1396" i="164"/>
  <c r="L1396" i="164"/>
  <c r="P1395" i="164"/>
  <c r="N1395" i="164"/>
  <c r="L1395" i="164"/>
  <c r="P1394" i="164"/>
  <c r="N1394" i="164"/>
  <c r="L1394" i="164"/>
  <c r="P1393" i="164"/>
  <c r="N1393" i="164"/>
  <c r="L1393" i="164"/>
  <c r="P1392" i="164"/>
  <c r="N1392" i="164"/>
  <c r="L1392" i="164"/>
  <c r="P1391" i="164"/>
  <c r="N1391" i="164"/>
  <c r="L1391" i="164"/>
  <c r="P1390" i="164"/>
  <c r="N1390" i="164"/>
  <c r="L1390" i="164"/>
  <c r="P1389" i="164"/>
  <c r="N1389" i="164"/>
  <c r="L1389" i="164"/>
  <c r="P1388" i="164"/>
  <c r="N1388" i="164"/>
  <c r="L1388" i="164"/>
  <c r="P1387" i="164"/>
  <c r="N1387" i="164"/>
  <c r="L1387" i="164"/>
  <c r="P1386" i="164"/>
  <c r="N1386" i="164"/>
  <c r="L1386" i="164"/>
  <c r="P1385" i="164"/>
  <c r="N1385" i="164"/>
  <c r="L1385" i="164"/>
  <c r="P1384" i="164"/>
  <c r="N1384" i="164"/>
  <c r="L1384" i="164"/>
  <c r="P1383" i="164"/>
  <c r="N1383" i="164"/>
  <c r="L1383" i="164"/>
  <c r="P1382" i="164"/>
  <c r="N1382" i="164"/>
  <c r="L1382" i="164"/>
  <c r="P1381" i="164"/>
  <c r="N1381" i="164"/>
  <c r="L1381" i="164"/>
  <c r="P1380" i="164"/>
  <c r="N1380" i="164"/>
  <c r="L1380" i="164"/>
  <c r="P1379" i="164"/>
  <c r="N1379" i="164"/>
  <c r="L1379" i="164"/>
  <c r="P1378" i="164"/>
  <c r="N1378" i="164"/>
  <c r="L1378" i="164"/>
  <c r="P1377" i="164"/>
  <c r="N1377" i="164"/>
  <c r="L1377" i="164"/>
  <c r="P1376" i="164"/>
  <c r="N1376" i="164"/>
  <c r="L1376" i="164"/>
  <c r="P1375" i="164"/>
  <c r="N1375" i="164"/>
  <c r="L1375" i="164"/>
  <c r="P1374" i="164"/>
  <c r="N1374" i="164"/>
  <c r="L1374" i="164"/>
  <c r="P1373" i="164"/>
  <c r="N1373" i="164"/>
  <c r="L1373" i="164"/>
  <c r="P1372" i="164"/>
  <c r="N1372" i="164"/>
  <c r="L1372" i="164"/>
  <c r="P1371" i="164"/>
  <c r="N1371" i="164"/>
  <c r="L1371" i="164"/>
  <c r="P1370" i="164"/>
  <c r="N1370" i="164"/>
  <c r="L1370" i="164"/>
  <c r="P1369" i="164"/>
  <c r="N1369" i="164"/>
  <c r="L1369" i="164"/>
  <c r="P1368" i="164"/>
  <c r="N1368" i="164"/>
  <c r="L1368" i="164"/>
  <c r="P1367" i="164"/>
  <c r="N1367" i="164"/>
  <c r="L1367" i="164"/>
  <c r="P1366" i="164"/>
  <c r="N1366" i="164"/>
  <c r="L1366" i="164"/>
  <c r="P1365" i="164"/>
  <c r="N1365" i="164"/>
  <c r="L1365" i="164"/>
  <c r="P1364" i="164"/>
  <c r="N1364" i="164"/>
  <c r="L1364" i="164"/>
  <c r="P1363" i="164"/>
  <c r="N1363" i="164"/>
  <c r="L1363" i="164"/>
  <c r="P1362" i="164"/>
  <c r="N1362" i="164"/>
  <c r="L1362" i="164"/>
  <c r="P1361" i="164"/>
  <c r="N1361" i="164"/>
  <c r="L1361" i="164"/>
  <c r="P1360" i="164"/>
  <c r="N1360" i="164"/>
  <c r="L1360" i="164"/>
  <c r="P1359" i="164"/>
  <c r="N1359" i="164"/>
  <c r="L1359" i="164"/>
  <c r="P1358" i="164"/>
  <c r="N1358" i="164"/>
  <c r="L1358" i="164"/>
  <c r="P1357" i="164"/>
  <c r="N1357" i="164"/>
  <c r="L1357" i="164"/>
  <c r="P1356" i="164"/>
  <c r="N1356" i="164"/>
  <c r="L1356" i="164"/>
  <c r="P1355" i="164"/>
  <c r="N1355" i="164"/>
  <c r="L1355" i="164"/>
  <c r="P1354" i="164"/>
  <c r="N1354" i="164"/>
  <c r="L1354" i="164"/>
  <c r="P1353" i="164"/>
  <c r="N1353" i="164"/>
  <c r="L1353" i="164"/>
  <c r="P1352" i="164"/>
  <c r="N1352" i="164"/>
  <c r="L1352" i="164"/>
  <c r="P1351" i="164"/>
  <c r="N1351" i="164"/>
  <c r="L1351" i="164"/>
  <c r="P1350" i="164"/>
  <c r="N1350" i="164"/>
  <c r="L1350" i="164"/>
  <c r="P1349" i="164"/>
  <c r="N1349" i="164"/>
  <c r="L1349" i="164"/>
  <c r="P1348" i="164"/>
  <c r="N1348" i="164"/>
  <c r="L1348" i="164"/>
  <c r="P1347" i="164"/>
  <c r="N1347" i="164"/>
  <c r="L1347" i="164"/>
  <c r="P1346" i="164"/>
  <c r="N1346" i="164"/>
  <c r="L1346" i="164"/>
  <c r="P1345" i="164"/>
  <c r="N1345" i="164"/>
  <c r="L1345" i="164"/>
  <c r="P1344" i="164"/>
  <c r="N1344" i="164"/>
  <c r="L1344" i="164"/>
  <c r="P1343" i="164"/>
  <c r="N1343" i="164"/>
  <c r="L1343" i="164"/>
  <c r="P1342" i="164"/>
  <c r="N1342" i="164"/>
  <c r="L1342" i="164"/>
  <c r="P1341" i="164"/>
  <c r="N1341" i="164"/>
  <c r="L1341" i="164"/>
  <c r="P1340" i="164"/>
  <c r="N1340" i="164"/>
  <c r="L1340" i="164"/>
  <c r="P1339" i="164"/>
  <c r="N1339" i="164"/>
  <c r="L1339" i="164"/>
  <c r="P1338" i="164"/>
  <c r="N1338" i="164"/>
  <c r="L1338" i="164"/>
  <c r="P1337" i="164"/>
  <c r="N1337" i="164"/>
  <c r="L1337" i="164"/>
  <c r="P1336" i="164"/>
  <c r="N1336" i="164"/>
  <c r="L1336" i="164"/>
  <c r="P1335" i="164"/>
  <c r="N1335" i="164"/>
  <c r="L1335" i="164"/>
  <c r="P1334" i="164"/>
  <c r="N1334" i="164"/>
  <c r="L1334" i="164"/>
  <c r="P1333" i="164"/>
  <c r="N1333" i="164"/>
  <c r="L1333" i="164"/>
  <c r="P1332" i="164"/>
  <c r="N1332" i="164"/>
  <c r="L1332" i="164"/>
  <c r="P1331" i="164"/>
  <c r="N1331" i="164"/>
  <c r="L1331" i="164"/>
  <c r="P1330" i="164"/>
  <c r="N1330" i="164"/>
  <c r="L1330" i="164"/>
  <c r="P1329" i="164"/>
  <c r="N1329" i="164"/>
  <c r="L1329" i="164"/>
  <c r="P1328" i="164"/>
  <c r="N1328" i="164"/>
  <c r="L1328" i="164"/>
  <c r="P1327" i="164"/>
  <c r="N1327" i="164"/>
  <c r="L1327" i="164"/>
  <c r="P1326" i="164"/>
  <c r="N1326" i="164"/>
  <c r="L1326" i="164"/>
  <c r="P1325" i="164"/>
  <c r="N1325" i="164"/>
  <c r="L1325" i="164"/>
  <c r="P1324" i="164"/>
  <c r="N1324" i="164"/>
  <c r="L1324" i="164"/>
  <c r="P1323" i="164"/>
  <c r="N1323" i="164"/>
  <c r="L1323" i="164"/>
  <c r="P1322" i="164"/>
  <c r="N1322" i="164"/>
  <c r="L1322" i="164"/>
  <c r="P1321" i="164"/>
  <c r="N1321" i="164"/>
  <c r="L1321" i="164"/>
  <c r="P1320" i="164"/>
  <c r="N1320" i="164"/>
  <c r="L1320" i="164"/>
  <c r="P1319" i="164"/>
  <c r="N1319" i="164"/>
  <c r="L1319" i="164"/>
  <c r="P1318" i="164"/>
  <c r="N1318" i="164"/>
  <c r="L1318" i="164"/>
  <c r="P1317" i="164"/>
  <c r="N1317" i="164"/>
  <c r="L1317" i="164"/>
  <c r="P1316" i="164"/>
  <c r="N1316" i="164"/>
  <c r="L1316" i="164"/>
  <c r="P1315" i="164"/>
  <c r="N1315" i="164"/>
  <c r="L1315" i="164"/>
  <c r="P1314" i="164"/>
  <c r="N1314" i="164"/>
  <c r="L1314" i="164"/>
  <c r="P1313" i="164"/>
  <c r="N1313" i="164"/>
  <c r="L1313" i="164"/>
  <c r="P1312" i="164"/>
  <c r="N1312" i="164"/>
  <c r="L1312" i="164"/>
  <c r="P1311" i="164"/>
  <c r="N1311" i="164"/>
  <c r="L1311" i="164"/>
  <c r="P1310" i="164"/>
  <c r="N1310" i="164"/>
  <c r="L1310" i="164"/>
  <c r="P1309" i="164"/>
  <c r="N1309" i="164"/>
  <c r="L1309" i="164"/>
  <c r="P1308" i="164"/>
  <c r="N1308" i="164"/>
  <c r="L1308" i="164"/>
  <c r="P1307" i="164"/>
  <c r="N1307" i="164"/>
  <c r="L1307" i="164"/>
  <c r="P1306" i="164"/>
  <c r="N1306" i="164"/>
  <c r="L1306" i="164"/>
  <c r="P1305" i="164"/>
  <c r="N1305" i="164"/>
  <c r="L1305" i="164"/>
  <c r="P1304" i="164"/>
  <c r="N1304" i="164"/>
  <c r="L1304" i="164"/>
  <c r="P1303" i="164"/>
  <c r="N1303" i="164"/>
  <c r="L1303" i="164"/>
  <c r="P1302" i="164"/>
  <c r="N1302" i="164"/>
  <c r="L1302" i="164"/>
  <c r="P1301" i="164"/>
  <c r="N1301" i="164"/>
  <c r="L1301" i="164"/>
  <c r="P1300" i="164"/>
  <c r="N1300" i="164"/>
  <c r="L1300" i="164"/>
  <c r="P1299" i="164"/>
  <c r="N1299" i="164"/>
  <c r="L1299" i="164"/>
  <c r="P1298" i="164"/>
  <c r="N1298" i="164"/>
  <c r="L1298" i="164"/>
  <c r="P1297" i="164"/>
  <c r="N1297" i="164"/>
  <c r="L1297" i="164"/>
  <c r="P1296" i="164"/>
  <c r="N1296" i="164"/>
  <c r="L1296" i="164"/>
  <c r="P1295" i="164"/>
  <c r="N1295" i="164"/>
  <c r="L1295" i="164"/>
  <c r="P1294" i="164"/>
  <c r="N1294" i="164"/>
  <c r="L1294" i="164"/>
  <c r="P1293" i="164"/>
  <c r="N1293" i="164"/>
  <c r="L1293" i="164"/>
  <c r="P1292" i="164"/>
  <c r="N1292" i="164"/>
  <c r="L1292" i="164"/>
  <c r="P1291" i="164"/>
  <c r="N1291" i="164"/>
  <c r="L1291" i="164"/>
  <c r="P1290" i="164"/>
  <c r="N1290" i="164"/>
  <c r="L1290" i="164"/>
  <c r="P1289" i="164"/>
  <c r="N1289" i="164"/>
  <c r="L1289" i="164"/>
  <c r="P1288" i="164"/>
  <c r="N1288" i="164"/>
  <c r="L1288" i="164"/>
  <c r="P1287" i="164"/>
  <c r="N1287" i="164"/>
  <c r="L1287" i="164"/>
  <c r="P1286" i="164"/>
  <c r="N1286" i="164"/>
  <c r="L1286" i="164"/>
  <c r="P1285" i="164"/>
  <c r="N1285" i="164"/>
  <c r="L1285" i="164"/>
  <c r="P1284" i="164"/>
  <c r="N1284" i="164"/>
  <c r="L1284" i="164"/>
  <c r="P1283" i="164"/>
  <c r="N1283" i="164"/>
  <c r="L1283" i="164"/>
  <c r="P1282" i="164"/>
  <c r="N1282" i="164"/>
  <c r="L1282" i="164"/>
  <c r="P1281" i="164"/>
  <c r="N1281" i="164"/>
  <c r="L1281" i="164"/>
  <c r="P1280" i="164"/>
  <c r="N1280" i="164"/>
  <c r="L1280" i="164"/>
  <c r="P1279" i="164"/>
  <c r="N1279" i="164"/>
  <c r="L1279" i="164"/>
  <c r="P1278" i="164"/>
  <c r="N1278" i="164"/>
  <c r="L1278" i="164"/>
  <c r="P1277" i="164"/>
  <c r="N1277" i="164"/>
  <c r="L1277" i="164"/>
  <c r="P1276" i="164"/>
  <c r="N1276" i="164"/>
  <c r="L1276" i="164"/>
  <c r="P1275" i="164"/>
  <c r="N1275" i="164"/>
  <c r="L1275" i="164"/>
  <c r="P1274" i="164"/>
  <c r="N1274" i="164"/>
  <c r="L1274" i="164"/>
  <c r="P1273" i="164"/>
  <c r="N1273" i="164"/>
  <c r="L1273" i="164"/>
  <c r="P1272" i="164"/>
  <c r="N1272" i="164"/>
  <c r="L1272" i="164"/>
  <c r="P1271" i="164"/>
  <c r="N1271" i="164"/>
  <c r="L1271" i="164"/>
  <c r="P1270" i="164"/>
  <c r="N1270" i="164"/>
  <c r="L1270" i="164"/>
  <c r="P1269" i="164"/>
  <c r="N1269" i="164"/>
  <c r="L1269" i="164"/>
  <c r="P1268" i="164"/>
  <c r="N1268" i="164"/>
  <c r="L1268" i="164"/>
  <c r="P1267" i="164"/>
  <c r="N1267" i="164"/>
  <c r="L1267" i="164"/>
  <c r="P1266" i="164"/>
  <c r="N1266" i="164"/>
  <c r="L1266" i="164"/>
  <c r="P1265" i="164"/>
  <c r="N1265" i="164"/>
  <c r="L1265" i="164"/>
  <c r="P1264" i="164"/>
  <c r="N1264" i="164"/>
  <c r="L1264" i="164"/>
  <c r="P1263" i="164"/>
  <c r="N1263" i="164"/>
  <c r="L1263" i="164"/>
  <c r="P1262" i="164"/>
  <c r="N1262" i="164"/>
  <c r="L1262" i="164"/>
  <c r="P1261" i="164"/>
  <c r="N1261" i="164"/>
  <c r="L1261" i="164"/>
  <c r="P1260" i="164"/>
  <c r="N1260" i="164"/>
  <c r="L1260" i="164"/>
  <c r="P1259" i="164"/>
  <c r="N1259" i="164"/>
  <c r="L1259" i="164"/>
  <c r="P1258" i="164"/>
  <c r="N1258" i="164"/>
  <c r="L1258" i="164"/>
  <c r="P1257" i="164"/>
  <c r="N1257" i="164"/>
  <c r="L1257" i="164"/>
  <c r="P1256" i="164"/>
  <c r="N1256" i="164"/>
  <c r="L1256" i="164"/>
  <c r="P1255" i="164"/>
  <c r="N1255" i="164"/>
  <c r="L1255" i="164"/>
  <c r="P1254" i="164"/>
  <c r="N1254" i="164"/>
  <c r="L1254" i="164"/>
  <c r="P1253" i="164"/>
  <c r="N1253" i="164"/>
  <c r="L1253" i="164"/>
  <c r="P1252" i="164"/>
  <c r="N1252" i="164"/>
  <c r="L1252" i="164"/>
  <c r="P1251" i="164"/>
  <c r="N1251" i="164"/>
  <c r="L1251" i="164"/>
  <c r="P1250" i="164"/>
  <c r="N1250" i="164"/>
  <c r="L1250" i="164"/>
  <c r="P1249" i="164"/>
  <c r="N1249" i="164"/>
  <c r="L1249" i="164"/>
  <c r="P1248" i="164"/>
  <c r="N1248" i="164"/>
  <c r="L1248" i="164"/>
  <c r="P1247" i="164"/>
  <c r="N1247" i="164"/>
  <c r="L1247" i="164"/>
  <c r="P1246" i="164"/>
  <c r="N1246" i="164"/>
  <c r="L1246" i="164"/>
  <c r="P1245" i="164"/>
  <c r="N1245" i="164"/>
  <c r="L1245" i="164"/>
  <c r="P1244" i="164"/>
  <c r="N1244" i="164"/>
  <c r="L1244" i="164"/>
  <c r="P1243" i="164"/>
  <c r="N1243" i="164"/>
  <c r="L1243" i="164"/>
  <c r="P1242" i="164"/>
  <c r="N1242" i="164"/>
  <c r="L1242" i="164"/>
  <c r="P1241" i="164"/>
  <c r="N1241" i="164"/>
  <c r="L1241" i="164"/>
  <c r="P1240" i="164"/>
  <c r="N1240" i="164"/>
  <c r="L1240" i="164"/>
  <c r="P1239" i="164"/>
  <c r="N1239" i="164"/>
  <c r="L1239" i="164"/>
  <c r="P1238" i="164"/>
  <c r="N1238" i="164"/>
  <c r="L1238" i="164"/>
  <c r="P1237" i="164"/>
  <c r="N1237" i="164"/>
  <c r="L1237" i="164"/>
  <c r="P1236" i="164"/>
  <c r="N1236" i="164"/>
  <c r="L1236" i="164"/>
  <c r="P1235" i="164"/>
  <c r="N1235" i="164"/>
  <c r="L1235" i="164"/>
  <c r="P1234" i="164"/>
  <c r="N1234" i="164"/>
  <c r="L1234" i="164"/>
  <c r="P1233" i="164"/>
  <c r="N1233" i="164"/>
  <c r="L1233" i="164"/>
  <c r="P1232" i="164"/>
  <c r="N1232" i="164"/>
  <c r="L1232" i="164"/>
  <c r="P1231" i="164"/>
  <c r="N1231" i="164"/>
  <c r="L1231" i="164"/>
  <c r="P1230" i="164"/>
  <c r="N1230" i="164"/>
  <c r="L1230" i="164"/>
  <c r="P1229" i="164"/>
  <c r="N1229" i="164"/>
  <c r="L1229" i="164"/>
  <c r="P1228" i="164"/>
  <c r="N1228" i="164"/>
  <c r="L1228" i="164"/>
  <c r="P1227" i="164"/>
  <c r="N1227" i="164"/>
  <c r="L1227" i="164"/>
  <c r="P1226" i="164"/>
  <c r="N1226" i="164"/>
  <c r="L1226" i="164"/>
  <c r="P1225" i="164"/>
  <c r="N1225" i="164"/>
  <c r="L1225" i="164"/>
  <c r="P1224" i="164"/>
  <c r="N1224" i="164"/>
  <c r="L1224" i="164"/>
  <c r="P1223" i="164"/>
  <c r="N1223" i="164"/>
  <c r="L1223" i="164"/>
  <c r="P1222" i="164"/>
  <c r="N1222" i="164"/>
  <c r="L1222" i="164"/>
  <c r="P1221" i="164"/>
  <c r="N1221" i="164"/>
  <c r="L1221" i="164"/>
  <c r="P1220" i="164"/>
  <c r="N1220" i="164"/>
  <c r="L1220" i="164"/>
  <c r="P1219" i="164"/>
  <c r="N1219" i="164"/>
  <c r="L1219" i="164"/>
  <c r="P1218" i="164"/>
  <c r="N1218" i="164"/>
  <c r="L1218" i="164"/>
  <c r="P1217" i="164"/>
  <c r="N1217" i="164"/>
  <c r="L1217" i="164"/>
  <c r="P1216" i="164"/>
  <c r="N1216" i="164"/>
  <c r="L1216" i="164"/>
  <c r="P1215" i="164"/>
  <c r="N1215" i="164"/>
  <c r="L1215" i="164"/>
  <c r="P1214" i="164"/>
  <c r="N1214" i="164"/>
  <c r="L1214" i="164"/>
  <c r="P1213" i="164"/>
  <c r="N1213" i="164"/>
  <c r="L1213" i="164"/>
  <c r="P1212" i="164"/>
  <c r="N1212" i="164"/>
  <c r="L1212" i="164"/>
  <c r="P1211" i="164"/>
  <c r="N1211" i="164"/>
  <c r="L1211" i="164"/>
  <c r="P1210" i="164"/>
  <c r="N1210" i="164"/>
  <c r="L1210" i="164"/>
  <c r="P1209" i="164"/>
  <c r="N1209" i="164"/>
  <c r="L1209" i="164"/>
  <c r="P1208" i="164"/>
  <c r="N1208" i="164"/>
  <c r="L1208" i="164"/>
  <c r="P1207" i="164"/>
  <c r="N1207" i="164"/>
  <c r="L1207" i="164"/>
  <c r="P1206" i="164"/>
  <c r="N1206" i="164"/>
  <c r="L1206" i="164"/>
  <c r="P1205" i="164"/>
  <c r="N1205" i="164"/>
  <c r="L1205" i="164"/>
  <c r="P1204" i="164"/>
  <c r="N1204" i="164"/>
  <c r="L1204" i="164"/>
  <c r="P1203" i="164"/>
  <c r="N1203" i="164"/>
  <c r="L1203" i="164"/>
  <c r="P1202" i="164"/>
  <c r="N1202" i="164"/>
  <c r="L1202" i="164"/>
  <c r="P1201" i="164"/>
  <c r="N1201" i="164"/>
  <c r="L1201" i="164"/>
  <c r="P1200" i="164"/>
  <c r="N1200" i="164"/>
  <c r="L1200" i="164"/>
  <c r="P1199" i="164"/>
  <c r="N1199" i="164"/>
  <c r="L1199" i="164"/>
  <c r="P1198" i="164"/>
  <c r="N1198" i="164"/>
  <c r="L1198" i="164"/>
  <c r="P1197" i="164"/>
  <c r="N1197" i="164"/>
  <c r="L1197" i="164"/>
  <c r="P1196" i="164"/>
  <c r="N1196" i="164"/>
  <c r="L1196" i="164"/>
  <c r="P1195" i="164"/>
  <c r="N1195" i="164"/>
  <c r="L1195" i="164"/>
  <c r="P1194" i="164"/>
  <c r="N1194" i="164"/>
  <c r="L1194" i="164"/>
  <c r="P1193" i="164"/>
  <c r="N1193" i="164"/>
  <c r="L1193" i="164"/>
  <c r="P1192" i="164"/>
  <c r="N1192" i="164"/>
  <c r="L1192" i="164"/>
  <c r="P1191" i="164"/>
  <c r="N1191" i="164"/>
  <c r="L1191" i="164"/>
  <c r="P1190" i="164"/>
  <c r="N1190" i="164"/>
  <c r="L1190" i="164"/>
  <c r="P1189" i="164"/>
  <c r="N1189" i="164"/>
  <c r="L1189" i="164"/>
  <c r="P1188" i="164"/>
  <c r="N1188" i="164"/>
  <c r="L1188" i="164"/>
  <c r="P1187" i="164"/>
  <c r="N1187" i="164"/>
  <c r="L1187" i="164"/>
  <c r="P1186" i="164"/>
  <c r="N1186" i="164"/>
  <c r="L1186" i="164"/>
  <c r="P1185" i="164"/>
  <c r="N1185" i="164"/>
  <c r="L1185" i="164"/>
  <c r="P1184" i="164"/>
  <c r="N1184" i="164"/>
  <c r="L1184" i="164"/>
  <c r="P1183" i="164"/>
  <c r="N1183" i="164"/>
  <c r="L1183" i="164"/>
  <c r="P1182" i="164"/>
  <c r="N1182" i="164"/>
  <c r="L1182" i="164"/>
  <c r="P1181" i="164"/>
  <c r="N1181" i="164"/>
  <c r="L1181" i="164"/>
  <c r="P1180" i="164"/>
  <c r="N1180" i="164"/>
  <c r="L1180" i="164"/>
  <c r="P1179" i="164"/>
  <c r="N1179" i="164"/>
  <c r="L1179" i="164"/>
  <c r="P1178" i="164"/>
  <c r="N1178" i="164"/>
  <c r="L1178" i="164"/>
  <c r="P1177" i="164"/>
  <c r="N1177" i="164"/>
  <c r="L1177" i="164"/>
  <c r="P1176" i="164"/>
  <c r="N1176" i="164"/>
  <c r="L1176" i="164"/>
  <c r="P1175" i="164"/>
  <c r="N1175" i="164"/>
  <c r="L1175" i="164"/>
  <c r="P1174" i="164"/>
  <c r="N1174" i="164"/>
  <c r="L1174" i="164"/>
  <c r="P1173" i="164"/>
  <c r="N1173" i="164"/>
  <c r="L1173" i="164"/>
  <c r="P1172" i="164"/>
  <c r="N1172" i="164"/>
  <c r="L1172" i="164"/>
  <c r="P1171" i="164"/>
  <c r="N1171" i="164"/>
  <c r="L1171" i="164"/>
  <c r="P1170" i="164"/>
  <c r="N1170" i="164"/>
  <c r="L1170" i="164"/>
  <c r="P1169" i="164"/>
  <c r="N1169" i="164"/>
  <c r="L1169" i="164"/>
  <c r="P1168" i="164"/>
  <c r="N1168" i="164"/>
  <c r="L1168" i="164"/>
  <c r="P1167" i="164"/>
  <c r="N1167" i="164"/>
  <c r="L1167" i="164"/>
  <c r="P1166" i="164"/>
  <c r="N1166" i="164"/>
  <c r="L1166" i="164"/>
  <c r="P1165" i="164"/>
  <c r="N1165" i="164"/>
  <c r="L1165" i="164"/>
  <c r="P1164" i="164"/>
  <c r="N1164" i="164"/>
  <c r="L1164" i="164"/>
  <c r="P1163" i="164"/>
  <c r="N1163" i="164"/>
  <c r="L1163" i="164"/>
  <c r="P1162" i="164"/>
  <c r="N1162" i="164"/>
  <c r="L1162" i="164"/>
  <c r="P1161" i="164"/>
  <c r="N1161" i="164"/>
  <c r="L1161" i="164"/>
  <c r="P1160" i="164"/>
  <c r="N1160" i="164"/>
  <c r="L1160" i="164"/>
  <c r="P1159" i="164"/>
  <c r="N1159" i="164"/>
  <c r="L1159" i="164"/>
  <c r="P1158" i="164"/>
  <c r="N1158" i="164"/>
  <c r="L1158" i="164"/>
  <c r="P1157" i="164"/>
  <c r="N1157" i="164"/>
  <c r="L1157" i="164"/>
  <c r="P1156" i="164"/>
  <c r="N1156" i="164"/>
  <c r="L1156" i="164"/>
  <c r="P1155" i="164"/>
  <c r="N1155" i="164"/>
  <c r="L1155" i="164"/>
  <c r="P1154" i="164"/>
  <c r="N1154" i="164"/>
  <c r="L1154" i="164"/>
  <c r="P1153" i="164"/>
  <c r="N1153" i="164"/>
  <c r="L1153" i="164"/>
  <c r="P1152" i="164"/>
  <c r="N1152" i="164"/>
  <c r="L1152" i="164"/>
  <c r="P1151" i="164"/>
  <c r="N1151" i="164"/>
  <c r="L1151" i="164"/>
  <c r="P1150" i="164"/>
  <c r="N1150" i="164"/>
  <c r="L1150" i="164"/>
  <c r="P1149" i="164"/>
  <c r="N1149" i="164"/>
  <c r="L1149" i="164"/>
  <c r="P1148" i="164"/>
  <c r="N1148" i="164"/>
  <c r="L1148" i="164"/>
  <c r="P1147" i="164"/>
  <c r="N1147" i="164"/>
  <c r="L1147" i="164"/>
  <c r="P1146" i="164"/>
  <c r="N1146" i="164"/>
  <c r="L1146" i="164"/>
  <c r="P1145" i="164"/>
  <c r="N1145" i="164"/>
  <c r="L1145" i="164"/>
  <c r="P1144" i="164"/>
  <c r="N1144" i="164"/>
  <c r="L1144" i="164"/>
  <c r="P1143" i="164"/>
  <c r="N1143" i="164"/>
  <c r="L1143" i="164"/>
  <c r="P1142" i="164"/>
  <c r="N1142" i="164"/>
  <c r="L1142" i="164"/>
  <c r="P1141" i="164"/>
  <c r="N1141" i="164"/>
  <c r="L1141" i="164"/>
  <c r="P1140" i="164"/>
  <c r="N1140" i="164"/>
  <c r="L1140" i="164"/>
  <c r="P1139" i="164"/>
  <c r="N1139" i="164"/>
  <c r="L1139" i="164"/>
  <c r="P1138" i="164"/>
  <c r="N1138" i="164"/>
  <c r="L1138" i="164"/>
  <c r="P1137" i="164"/>
  <c r="N1137" i="164"/>
  <c r="L1137" i="164"/>
  <c r="P1136" i="164"/>
  <c r="N1136" i="164"/>
  <c r="L1136" i="164"/>
  <c r="P1135" i="164"/>
  <c r="N1135" i="164"/>
  <c r="L1135" i="164"/>
  <c r="P1134" i="164"/>
  <c r="N1134" i="164"/>
  <c r="L1134" i="164"/>
  <c r="P1133" i="164"/>
  <c r="N1133" i="164"/>
  <c r="L1133" i="164"/>
  <c r="P1132" i="164"/>
  <c r="N1132" i="164"/>
  <c r="L1132" i="164"/>
  <c r="P1131" i="164"/>
  <c r="N1131" i="164"/>
  <c r="L1131" i="164"/>
  <c r="P1130" i="164"/>
  <c r="N1130" i="164"/>
  <c r="L1130" i="164"/>
  <c r="P1129" i="164"/>
  <c r="N1129" i="164"/>
  <c r="L1129" i="164"/>
  <c r="P1128" i="164"/>
  <c r="N1128" i="164"/>
  <c r="L1128" i="164"/>
  <c r="P1127" i="164"/>
  <c r="N1127" i="164"/>
  <c r="L1127" i="164"/>
  <c r="P1126" i="164"/>
  <c r="N1126" i="164"/>
  <c r="L1126" i="164"/>
  <c r="P1125" i="164"/>
  <c r="N1125" i="164"/>
  <c r="L1125" i="164"/>
  <c r="P1124" i="164"/>
  <c r="N1124" i="164"/>
  <c r="L1124" i="164"/>
  <c r="P1123" i="164"/>
  <c r="N1123" i="164"/>
  <c r="L1123" i="164"/>
  <c r="P1122" i="164"/>
  <c r="N1122" i="164"/>
  <c r="L1122" i="164"/>
  <c r="P1121" i="164"/>
  <c r="N1121" i="164"/>
  <c r="L1121" i="164"/>
  <c r="P1120" i="164"/>
  <c r="N1120" i="164"/>
  <c r="L1120" i="164"/>
  <c r="P1119" i="164"/>
  <c r="N1119" i="164"/>
  <c r="L1119" i="164"/>
  <c r="P1118" i="164"/>
  <c r="N1118" i="164"/>
  <c r="L1118" i="164"/>
  <c r="P1117" i="164"/>
  <c r="N1117" i="164"/>
  <c r="L1117" i="164"/>
  <c r="P1116" i="164"/>
  <c r="N1116" i="164"/>
  <c r="L1116" i="164"/>
  <c r="P1115" i="164"/>
  <c r="N1115" i="164"/>
  <c r="L1115" i="164"/>
  <c r="P1114" i="164"/>
  <c r="N1114" i="164"/>
  <c r="L1114" i="164"/>
  <c r="P1113" i="164"/>
  <c r="N1113" i="164"/>
  <c r="L1113" i="164"/>
  <c r="P1112" i="164"/>
  <c r="N1112" i="164"/>
  <c r="L1112" i="164"/>
  <c r="P1111" i="164"/>
  <c r="N1111" i="164"/>
  <c r="L1111" i="164"/>
  <c r="P1110" i="164"/>
  <c r="N1110" i="164"/>
  <c r="L1110" i="164"/>
  <c r="P1109" i="164"/>
  <c r="N1109" i="164"/>
  <c r="L1109" i="164"/>
  <c r="P1108" i="164"/>
  <c r="N1108" i="164"/>
  <c r="L1108" i="164"/>
  <c r="P1107" i="164"/>
  <c r="N1107" i="164"/>
  <c r="L1107" i="164"/>
  <c r="P1106" i="164"/>
  <c r="N1106" i="164"/>
  <c r="L1106" i="164"/>
  <c r="P1105" i="164"/>
  <c r="N1105" i="164"/>
  <c r="L1105" i="164"/>
  <c r="P1104" i="164"/>
  <c r="N1104" i="164"/>
  <c r="L1104" i="164"/>
  <c r="P1103" i="164"/>
  <c r="N1103" i="164"/>
  <c r="L1103" i="164"/>
  <c r="P1102" i="164"/>
  <c r="N1102" i="164"/>
  <c r="L1102" i="164"/>
  <c r="P1101" i="164"/>
  <c r="N1101" i="164"/>
  <c r="L1101" i="164"/>
  <c r="P1100" i="164"/>
  <c r="N1100" i="164"/>
  <c r="L1100" i="164"/>
  <c r="P1099" i="164"/>
  <c r="N1099" i="164"/>
  <c r="L1099" i="164"/>
  <c r="P1098" i="164"/>
  <c r="N1098" i="164"/>
  <c r="L1098" i="164"/>
  <c r="P1097" i="164"/>
  <c r="N1097" i="164"/>
  <c r="L1097" i="164"/>
  <c r="P1096" i="164"/>
  <c r="N1096" i="164"/>
  <c r="L1096" i="164"/>
  <c r="P1095" i="164"/>
  <c r="N1095" i="164"/>
  <c r="L1095" i="164"/>
  <c r="P1094" i="164"/>
  <c r="N1094" i="164"/>
  <c r="L1094" i="164"/>
  <c r="P1093" i="164"/>
  <c r="N1093" i="164"/>
  <c r="L1093" i="164"/>
  <c r="P1092" i="164"/>
  <c r="N1092" i="164"/>
  <c r="L1092" i="164"/>
  <c r="P1091" i="164"/>
  <c r="N1091" i="164"/>
  <c r="L1091" i="164"/>
  <c r="P1090" i="164"/>
  <c r="N1090" i="164"/>
  <c r="L1090" i="164"/>
  <c r="P1089" i="164"/>
  <c r="N1089" i="164"/>
  <c r="L1089" i="164"/>
  <c r="P1088" i="164"/>
  <c r="N1088" i="164"/>
  <c r="L1088" i="164"/>
  <c r="P1087" i="164"/>
  <c r="N1087" i="164"/>
  <c r="L1087" i="164"/>
  <c r="P1086" i="164"/>
  <c r="N1086" i="164"/>
  <c r="L1086" i="164"/>
  <c r="P1085" i="164"/>
  <c r="N1085" i="164"/>
  <c r="L1085" i="164"/>
  <c r="P1084" i="164"/>
  <c r="N1084" i="164"/>
  <c r="L1084" i="164"/>
  <c r="P1083" i="164"/>
  <c r="N1083" i="164"/>
  <c r="L1083" i="164"/>
  <c r="P1082" i="164"/>
  <c r="N1082" i="164"/>
  <c r="L1082" i="164"/>
  <c r="P1081" i="164"/>
  <c r="N1081" i="164"/>
  <c r="L1081" i="164"/>
  <c r="P1080" i="164"/>
  <c r="N1080" i="164"/>
  <c r="L1080" i="164"/>
  <c r="P1079" i="164"/>
  <c r="N1079" i="164"/>
  <c r="L1079" i="164"/>
  <c r="A1079" i="164"/>
  <c r="P1078" i="164"/>
  <c r="N1078" i="164"/>
  <c r="L1078" i="164"/>
  <c r="A1078" i="164"/>
  <c r="P1077" i="164"/>
  <c r="N1077" i="164"/>
  <c r="L1077" i="164"/>
  <c r="A1077" i="164"/>
  <c r="P1076" i="164"/>
  <c r="N1076" i="164"/>
  <c r="L1076" i="164"/>
  <c r="A1076" i="164"/>
  <c r="P1075" i="164"/>
  <c r="N1075" i="164"/>
  <c r="L1075" i="164"/>
  <c r="A1075" i="164"/>
  <c r="P1074" i="164"/>
  <c r="N1074" i="164"/>
  <c r="L1074" i="164"/>
  <c r="A1074" i="164"/>
  <c r="P1073" i="164"/>
  <c r="N1073" i="164"/>
  <c r="L1073" i="164"/>
  <c r="A1073" i="164"/>
  <c r="P1072" i="164"/>
  <c r="N1072" i="164"/>
  <c r="L1072" i="164"/>
  <c r="A1072" i="164"/>
  <c r="P1071" i="164"/>
  <c r="N1071" i="164"/>
  <c r="L1071" i="164"/>
  <c r="A1071" i="164"/>
  <c r="P1070" i="164"/>
  <c r="N1070" i="164"/>
  <c r="L1070" i="164"/>
  <c r="A1070" i="164"/>
  <c r="P1069" i="164"/>
  <c r="N1069" i="164"/>
  <c r="L1069" i="164"/>
  <c r="A1069" i="164"/>
  <c r="P1068" i="164"/>
  <c r="N1068" i="164"/>
  <c r="L1068" i="164"/>
  <c r="A1068" i="164"/>
  <c r="P1067" i="164"/>
  <c r="N1067" i="164"/>
  <c r="L1067" i="164"/>
  <c r="A1067" i="164"/>
  <c r="P1066" i="164"/>
  <c r="N1066" i="164"/>
  <c r="L1066" i="164"/>
  <c r="A1066" i="164"/>
  <c r="P1065" i="164"/>
  <c r="N1065" i="164"/>
  <c r="L1065" i="164"/>
  <c r="A1065" i="164"/>
  <c r="P1064" i="164"/>
  <c r="N1064" i="164"/>
  <c r="L1064" i="164"/>
  <c r="A1064" i="164"/>
  <c r="P1063" i="164"/>
  <c r="N1063" i="164"/>
  <c r="L1063" i="164"/>
  <c r="A1063" i="164"/>
  <c r="P1062" i="164"/>
  <c r="N1062" i="164"/>
  <c r="L1062" i="164"/>
  <c r="A1062" i="164"/>
  <c r="P1061" i="164"/>
  <c r="N1061" i="164"/>
  <c r="L1061" i="164"/>
  <c r="A1061" i="164"/>
  <c r="P1060" i="164"/>
  <c r="N1060" i="164"/>
  <c r="L1060" i="164"/>
  <c r="A1060" i="164"/>
  <c r="P1059" i="164"/>
  <c r="N1059" i="164"/>
  <c r="L1059" i="164"/>
  <c r="A1059" i="164"/>
  <c r="P1058" i="164"/>
  <c r="N1058" i="164"/>
  <c r="L1058" i="164"/>
  <c r="A1058" i="164"/>
  <c r="P1057" i="164"/>
  <c r="N1057" i="164"/>
  <c r="L1057" i="164"/>
  <c r="A1057" i="164"/>
  <c r="P1056" i="164"/>
  <c r="N1056" i="164"/>
  <c r="L1056" i="164"/>
  <c r="A1056" i="164"/>
  <c r="P1055" i="164"/>
  <c r="N1055" i="164"/>
  <c r="L1055" i="164"/>
  <c r="A1055" i="164"/>
  <c r="P1054" i="164"/>
  <c r="N1054" i="164"/>
  <c r="L1054" i="164"/>
  <c r="A1054" i="164"/>
  <c r="P1053" i="164"/>
  <c r="N1053" i="164"/>
  <c r="L1053" i="164"/>
  <c r="A1053" i="164"/>
  <c r="P1052" i="164"/>
  <c r="N1052" i="164"/>
  <c r="L1052" i="164"/>
  <c r="A1052" i="164"/>
  <c r="P1051" i="164"/>
  <c r="N1051" i="164"/>
  <c r="L1051" i="164"/>
  <c r="A1051" i="164"/>
  <c r="P1050" i="164"/>
  <c r="N1050" i="164"/>
  <c r="L1050" i="164"/>
  <c r="A1050" i="164"/>
  <c r="P1049" i="164"/>
  <c r="N1049" i="164"/>
  <c r="L1049" i="164"/>
  <c r="A1049" i="164"/>
  <c r="P1048" i="164"/>
  <c r="N1048" i="164"/>
  <c r="L1048" i="164"/>
  <c r="A1048" i="164"/>
  <c r="P1047" i="164"/>
  <c r="N1047" i="164"/>
  <c r="L1047" i="164"/>
  <c r="A1047" i="164"/>
  <c r="P1046" i="164"/>
  <c r="N1046" i="164"/>
  <c r="L1046" i="164"/>
  <c r="A1046" i="164"/>
  <c r="P1045" i="164"/>
  <c r="N1045" i="164"/>
  <c r="L1045" i="164"/>
  <c r="A1045" i="164"/>
  <c r="P1044" i="164"/>
  <c r="N1044" i="164"/>
  <c r="L1044" i="164"/>
  <c r="A1044" i="164"/>
  <c r="P1043" i="164"/>
  <c r="N1043" i="164"/>
  <c r="L1043" i="164"/>
  <c r="A1043" i="164"/>
  <c r="P1042" i="164"/>
  <c r="N1042" i="164"/>
  <c r="L1042" i="164"/>
  <c r="A1042" i="164"/>
  <c r="P1041" i="164"/>
  <c r="N1041" i="164"/>
  <c r="L1041" i="164"/>
  <c r="A1041" i="164"/>
  <c r="P1040" i="164"/>
  <c r="N1040" i="164"/>
  <c r="L1040" i="164"/>
  <c r="A1040" i="164"/>
  <c r="P1039" i="164"/>
  <c r="N1039" i="164"/>
  <c r="L1039" i="164"/>
  <c r="A1039" i="164"/>
  <c r="P1038" i="164"/>
  <c r="N1038" i="164"/>
  <c r="L1038" i="164"/>
  <c r="A1038" i="164"/>
  <c r="P1037" i="164"/>
  <c r="N1037" i="164"/>
  <c r="L1037" i="164"/>
  <c r="A1037" i="164"/>
  <c r="P1036" i="164"/>
  <c r="N1036" i="164"/>
  <c r="L1036" i="164"/>
  <c r="A1036" i="164"/>
  <c r="P1035" i="164"/>
  <c r="N1035" i="164"/>
  <c r="L1035" i="164"/>
  <c r="A1035" i="164"/>
  <c r="P1034" i="164"/>
  <c r="N1034" i="164"/>
  <c r="L1034" i="164"/>
  <c r="A1034" i="164"/>
  <c r="P1033" i="164"/>
  <c r="N1033" i="164"/>
  <c r="L1033" i="164"/>
  <c r="A1033" i="164"/>
  <c r="P1032" i="164"/>
  <c r="N1032" i="164"/>
  <c r="L1032" i="164"/>
  <c r="A1032" i="164"/>
  <c r="P1031" i="164"/>
  <c r="N1031" i="164"/>
  <c r="L1031" i="164"/>
  <c r="A1031" i="164"/>
  <c r="P1030" i="164"/>
  <c r="N1030" i="164"/>
  <c r="L1030" i="164"/>
  <c r="A1030" i="164"/>
  <c r="P1029" i="164"/>
  <c r="N1029" i="164"/>
  <c r="L1029" i="164"/>
  <c r="A1029" i="164"/>
  <c r="P1028" i="164"/>
  <c r="N1028" i="164"/>
  <c r="L1028" i="164"/>
  <c r="A1028" i="164"/>
  <c r="P1027" i="164"/>
  <c r="N1027" i="164"/>
  <c r="L1027" i="164"/>
  <c r="A1027" i="164"/>
  <c r="P1026" i="164"/>
  <c r="N1026" i="164"/>
  <c r="L1026" i="164"/>
  <c r="A1026" i="164"/>
  <c r="P1025" i="164"/>
  <c r="N1025" i="164"/>
  <c r="L1025" i="164"/>
  <c r="A1025" i="164"/>
  <c r="P1024" i="164"/>
  <c r="N1024" i="164"/>
  <c r="L1024" i="164"/>
  <c r="A1024" i="164"/>
  <c r="P1023" i="164"/>
  <c r="N1023" i="164"/>
  <c r="L1023" i="164"/>
  <c r="A1023" i="164"/>
  <c r="P1022" i="164"/>
  <c r="N1022" i="164"/>
  <c r="L1022" i="164"/>
  <c r="A1022" i="164"/>
  <c r="P1021" i="164"/>
  <c r="N1021" i="164"/>
  <c r="L1021" i="164"/>
  <c r="A1021" i="164"/>
  <c r="P1020" i="164"/>
  <c r="N1020" i="164"/>
  <c r="L1020" i="164"/>
  <c r="A1020" i="164"/>
  <c r="P1019" i="164"/>
  <c r="N1019" i="164"/>
  <c r="L1019" i="164"/>
  <c r="A1019" i="164"/>
  <c r="P1018" i="164"/>
  <c r="N1018" i="164"/>
  <c r="L1018" i="164"/>
  <c r="A1018" i="164"/>
  <c r="P1017" i="164"/>
  <c r="N1017" i="164"/>
  <c r="L1017" i="164"/>
  <c r="A1017" i="164"/>
  <c r="P1016" i="164"/>
  <c r="N1016" i="164"/>
  <c r="L1016" i="164"/>
  <c r="A1016" i="164"/>
  <c r="P1015" i="164"/>
  <c r="N1015" i="164"/>
  <c r="L1015" i="164"/>
  <c r="A1015" i="164"/>
  <c r="P1014" i="164"/>
  <c r="N1014" i="164"/>
  <c r="L1014" i="164"/>
  <c r="A1014" i="164"/>
  <c r="P1013" i="164"/>
  <c r="N1013" i="164"/>
  <c r="L1013" i="164"/>
  <c r="A1013" i="164"/>
  <c r="P1012" i="164"/>
  <c r="N1012" i="164"/>
  <c r="L1012" i="164"/>
  <c r="A1012" i="164"/>
  <c r="P1011" i="164"/>
  <c r="N1011" i="164"/>
  <c r="L1011" i="164"/>
  <c r="A1011" i="164"/>
  <c r="P1010" i="164"/>
  <c r="N1010" i="164"/>
  <c r="L1010" i="164"/>
  <c r="A1010" i="164"/>
  <c r="P1009" i="164"/>
  <c r="N1009" i="164"/>
  <c r="L1009" i="164"/>
  <c r="A1009" i="164"/>
  <c r="P1008" i="164"/>
  <c r="N1008" i="164"/>
  <c r="L1008" i="164"/>
  <c r="A1008" i="164"/>
  <c r="P1007" i="164"/>
  <c r="N1007" i="164"/>
  <c r="L1007" i="164"/>
  <c r="A1007" i="164"/>
  <c r="P1006" i="164"/>
  <c r="N1006" i="164"/>
  <c r="L1006" i="164"/>
  <c r="A1006" i="164"/>
  <c r="P1005" i="164"/>
  <c r="N1005" i="164"/>
  <c r="L1005" i="164"/>
  <c r="A1005" i="164"/>
  <c r="P1004" i="164"/>
  <c r="N1004" i="164"/>
  <c r="L1004" i="164"/>
  <c r="A1004" i="164"/>
  <c r="P1003" i="164"/>
  <c r="N1003" i="164"/>
  <c r="L1003" i="164"/>
  <c r="A1003" i="164"/>
  <c r="P1002" i="164"/>
  <c r="N1002" i="164"/>
  <c r="L1002" i="164"/>
  <c r="A1002" i="164"/>
  <c r="P1001" i="164"/>
  <c r="N1001" i="164"/>
  <c r="L1001" i="164"/>
  <c r="A1001" i="164"/>
  <c r="P1000" i="164"/>
  <c r="N1000" i="164"/>
  <c r="L1000" i="164"/>
  <c r="A1000" i="164"/>
  <c r="P999" i="164"/>
  <c r="N999" i="164"/>
  <c r="L999" i="164"/>
  <c r="A999" i="164"/>
  <c r="P998" i="164"/>
  <c r="N998" i="164"/>
  <c r="L998" i="164"/>
  <c r="A998" i="164"/>
  <c r="P997" i="164"/>
  <c r="N997" i="164"/>
  <c r="L997" i="164"/>
  <c r="A997" i="164"/>
  <c r="P996" i="164"/>
  <c r="N996" i="164"/>
  <c r="L996" i="164"/>
  <c r="A996" i="164"/>
  <c r="P995" i="164"/>
  <c r="N995" i="164"/>
  <c r="L995" i="164"/>
  <c r="A995" i="164"/>
  <c r="P994" i="164"/>
  <c r="N994" i="164"/>
  <c r="L994" i="164"/>
  <c r="A994" i="164"/>
  <c r="P993" i="164"/>
  <c r="N993" i="164"/>
  <c r="L993" i="164"/>
  <c r="A993" i="164"/>
  <c r="P992" i="164"/>
  <c r="N992" i="164"/>
  <c r="L992" i="164"/>
  <c r="A992" i="164"/>
  <c r="P991" i="164"/>
  <c r="N991" i="164"/>
  <c r="L991" i="164"/>
  <c r="A991" i="164"/>
  <c r="P990" i="164"/>
  <c r="N990" i="164"/>
  <c r="L990" i="164"/>
  <c r="A990" i="164"/>
  <c r="P989" i="164"/>
  <c r="N989" i="164"/>
  <c r="L989" i="164"/>
  <c r="A989" i="164"/>
  <c r="P988" i="164"/>
  <c r="N988" i="164"/>
  <c r="L988" i="164"/>
  <c r="A988" i="164"/>
  <c r="P987" i="164"/>
  <c r="N987" i="164"/>
  <c r="L987" i="164"/>
  <c r="A987" i="164"/>
  <c r="P986" i="164"/>
  <c r="N986" i="164"/>
  <c r="L986" i="164"/>
  <c r="A986" i="164"/>
  <c r="P985" i="164"/>
  <c r="N985" i="164"/>
  <c r="L985" i="164"/>
  <c r="A985" i="164"/>
  <c r="P984" i="164"/>
  <c r="N984" i="164"/>
  <c r="L984" i="164"/>
  <c r="A984" i="164"/>
  <c r="P983" i="164"/>
  <c r="N983" i="164"/>
  <c r="L983" i="164"/>
  <c r="A983" i="164"/>
  <c r="P982" i="164"/>
  <c r="N982" i="164"/>
  <c r="L982" i="164"/>
  <c r="A982" i="164"/>
  <c r="P981" i="164"/>
  <c r="N981" i="164"/>
  <c r="L981" i="164"/>
  <c r="A981" i="164"/>
  <c r="P980" i="164"/>
  <c r="N980" i="164"/>
  <c r="L980" i="164"/>
  <c r="A980" i="164"/>
  <c r="P979" i="164"/>
  <c r="N979" i="164"/>
  <c r="L979" i="164"/>
  <c r="A979" i="164"/>
  <c r="P978" i="164"/>
  <c r="N978" i="164"/>
  <c r="L978" i="164"/>
  <c r="A978" i="164"/>
  <c r="P977" i="164"/>
  <c r="N977" i="164"/>
  <c r="L977" i="164"/>
  <c r="A977" i="164"/>
  <c r="P976" i="164"/>
  <c r="N976" i="164"/>
  <c r="L976" i="164"/>
  <c r="A976" i="164"/>
  <c r="P975" i="164"/>
  <c r="N975" i="164"/>
  <c r="L975" i="164"/>
  <c r="A975" i="164"/>
  <c r="P974" i="164"/>
  <c r="N974" i="164"/>
  <c r="L974" i="164"/>
  <c r="A974" i="164"/>
  <c r="P973" i="164"/>
  <c r="N973" i="164"/>
  <c r="L973" i="164"/>
  <c r="A973" i="164"/>
  <c r="P972" i="164"/>
  <c r="N972" i="164"/>
  <c r="L972" i="164"/>
  <c r="A972" i="164"/>
  <c r="P971" i="164"/>
  <c r="N971" i="164"/>
  <c r="L971" i="164"/>
  <c r="A971" i="164"/>
  <c r="P970" i="164"/>
  <c r="N970" i="164"/>
  <c r="L970" i="164"/>
  <c r="A970" i="164"/>
  <c r="P969" i="164"/>
  <c r="N969" i="164"/>
  <c r="L969" i="164"/>
  <c r="A969" i="164"/>
  <c r="P968" i="164"/>
  <c r="N968" i="164"/>
  <c r="L968" i="164"/>
  <c r="A968" i="164"/>
  <c r="P967" i="164"/>
  <c r="N967" i="164"/>
  <c r="L967" i="164"/>
  <c r="A967" i="164"/>
  <c r="P966" i="164"/>
  <c r="N966" i="164"/>
  <c r="L966" i="164"/>
  <c r="A966" i="164"/>
  <c r="P965" i="164"/>
  <c r="N965" i="164"/>
  <c r="L965" i="164"/>
  <c r="A965" i="164"/>
  <c r="P964" i="164"/>
  <c r="N964" i="164"/>
  <c r="L964" i="164"/>
  <c r="A964" i="164"/>
  <c r="P963" i="164"/>
  <c r="N963" i="164"/>
  <c r="L963" i="164"/>
  <c r="A963" i="164"/>
  <c r="P962" i="164"/>
  <c r="N962" i="164"/>
  <c r="L962" i="164"/>
  <c r="A962" i="164"/>
  <c r="P961" i="164"/>
  <c r="N961" i="164"/>
  <c r="L961" i="164"/>
  <c r="A961" i="164"/>
  <c r="P960" i="164"/>
  <c r="N960" i="164"/>
  <c r="L960" i="164"/>
  <c r="A960" i="164"/>
  <c r="P959" i="164"/>
  <c r="N959" i="164"/>
  <c r="L959" i="164"/>
  <c r="A959" i="164"/>
  <c r="P958" i="164"/>
  <c r="N958" i="164"/>
  <c r="L958" i="164"/>
  <c r="A958" i="164"/>
  <c r="P957" i="164"/>
  <c r="N957" i="164"/>
  <c r="L957" i="164"/>
  <c r="A957" i="164"/>
  <c r="P956" i="164"/>
  <c r="N956" i="164"/>
  <c r="L956" i="164"/>
  <c r="A956" i="164"/>
  <c r="P955" i="164"/>
  <c r="N955" i="164"/>
  <c r="L955" i="164"/>
  <c r="A955" i="164"/>
  <c r="P954" i="164"/>
  <c r="N954" i="164"/>
  <c r="L954" i="164"/>
  <c r="A954" i="164"/>
  <c r="P953" i="164"/>
  <c r="N953" i="164"/>
  <c r="L953" i="164"/>
  <c r="A953" i="164"/>
  <c r="P952" i="164"/>
  <c r="N952" i="164"/>
  <c r="L952" i="164"/>
  <c r="A952" i="164"/>
  <c r="P951" i="164"/>
  <c r="N951" i="164"/>
  <c r="L951" i="164"/>
  <c r="A951" i="164"/>
  <c r="P950" i="164"/>
  <c r="N950" i="164"/>
  <c r="L950" i="164"/>
  <c r="A950" i="164"/>
  <c r="P949" i="164"/>
  <c r="N949" i="164"/>
  <c r="L949" i="164"/>
  <c r="A949" i="164"/>
  <c r="P948" i="164"/>
  <c r="N948" i="164"/>
  <c r="L948" i="164"/>
  <c r="A948" i="164"/>
  <c r="P947" i="164"/>
  <c r="N947" i="164"/>
  <c r="L947" i="164"/>
  <c r="A947" i="164"/>
  <c r="P946" i="164"/>
  <c r="N946" i="164"/>
  <c r="L946" i="164"/>
  <c r="A946" i="164"/>
  <c r="P945" i="164"/>
  <c r="N945" i="164"/>
  <c r="L945" i="164"/>
  <c r="A945" i="164"/>
  <c r="P944" i="164"/>
  <c r="N944" i="164"/>
  <c r="L944" i="164"/>
  <c r="A944" i="164"/>
  <c r="P943" i="164"/>
  <c r="N943" i="164"/>
  <c r="L943" i="164"/>
  <c r="A943" i="164"/>
  <c r="P942" i="164"/>
  <c r="N942" i="164"/>
  <c r="L942" i="164"/>
  <c r="A942" i="164"/>
  <c r="P941" i="164"/>
  <c r="N941" i="164"/>
  <c r="L941" i="164"/>
  <c r="A941" i="164"/>
  <c r="P940" i="164"/>
  <c r="N940" i="164"/>
  <c r="L940" i="164"/>
  <c r="A940" i="164"/>
  <c r="P939" i="164"/>
  <c r="N939" i="164"/>
  <c r="L939" i="164"/>
  <c r="A939" i="164"/>
  <c r="P938" i="164"/>
  <c r="N938" i="164"/>
  <c r="L938" i="164"/>
  <c r="A938" i="164"/>
  <c r="P937" i="164"/>
  <c r="N937" i="164"/>
  <c r="L937" i="164"/>
  <c r="A937" i="164"/>
  <c r="P936" i="164"/>
  <c r="N936" i="164"/>
  <c r="L936" i="164"/>
  <c r="A936" i="164"/>
  <c r="P935" i="164"/>
  <c r="N935" i="164"/>
  <c r="L935" i="164"/>
  <c r="A935" i="164"/>
  <c r="P934" i="164"/>
  <c r="N934" i="164"/>
  <c r="L934" i="164"/>
  <c r="A934" i="164"/>
  <c r="P933" i="164"/>
  <c r="N933" i="164"/>
  <c r="L933" i="164"/>
  <c r="A933" i="164"/>
  <c r="P932" i="164"/>
  <c r="N932" i="164"/>
  <c r="L932" i="164"/>
  <c r="A932" i="164"/>
  <c r="P931" i="164"/>
  <c r="N931" i="164"/>
  <c r="L931" i="164"/>
  <c r="A931" i="164"/>
  <c r="P930" i="164"/>
  <c r="N930" i="164"/>
  <c r="L930" i="164"/>
  <c r="A930" i="164"/>
  <c r="P929" i="164"/>
  <c r="N929" i="164"/>
  <c r="L929" i="164"/>
  <c r="A929" i="164"/>
  <c r="P928" i="164"/>
  <c r="N928" i="164"/>
  <c r="L928" i="164"/>
  <c r="A928" i="164"/>
  <c r="P927" i="164"/>
  <c r="N927" i="164"/>
  <c r="L927" i="164"/>
  <c r="A927" i="164"/>
  <c r="P926" i="164"/>
  <c r="N926" i="164"/>
  <c r="L926" i="164"/>
  <c r="A926" i="164"/>
  <c r="P925" i="164"/>
  <c r="N925" i="164"/>
  <c r="L925" i="164"/>
  <c r="A925" i="164"/>
  <c r="P924" i="164"/>
  <c r="N924" i="164"/>
  <c r="L924" i="164"/>
  <c r="A924" i="164"/>
  <c r="P923" i="164"/>
  <c r="N923" i="164"/>
  <c r="L923" i="164"/>
  <c r="A923" i="164"/>
  <c r="P922" i="164"/>
  <c r="N922" i="164"/>
  <c r="L922" i="164"/>
  <c r="A922" i="164"/>
  <c r="P921" i="164"/>
  <c r="N921" i="164"/>
  <c r="L921" i="164"/>
  <c r="A921" i="164"/>
  <c r="P920" i="164"/>
  <c r="N920" i="164"/>
  <c r="L920" i="164"/>
  <c r="A920" i="164"/>
  <c r="P919" i="164"/>
  <c r="N919" i="164"/>
  <c r="L919" i="164"/>
  <c r="A919" i="164"/>
  <c r="P918" i="164"/>
  <c r="N918" i="164"/>
  <c r="L918" i="164"/>
  <c r="A918" i="164"/>
  <c r="P917" i="164"/>
  <c r="N917" i="164"/>
  <c r="L917" i="164"/>
  <c r="A917" i="164"/>
  <c r="P916" i="164"/>
  <c r="N916" i="164"/>
  <c r="L916" i="164"/>
  <c r="A916" i="164"/>
  <c r="P915" i="164"/>
  <c r="N915" i="164"/>
  <c r="L915" i="164"/>
  <c r="A915" i="164"/>
  <c r="P914" i="164"/>
  <c r="N914" i="164"/>
  <c r="L914" i="164"/>
  <c r="A914" i="164"/>
  <c r="P913" i="164"/>
  <c r="N913" i="164"/>
  <c r="L913" i="164"/>
  <c r="A913" i="164"/>
  <c r="P912" i="164"/>
  <c r="N912" i="164"/>
  <c r="L912" i="164"/>
  <c r="A912" i="164"/>
  <c r="P911" i="164"/>
  <c r="N911" i="164"/>
  <c r="L911" i="164"/>
  <c r="A911" i="164"/>
  <c r="P910" i="164"/>
  <c r="N910" i="164"/>
  <c r="L910" i="164"/>
  <c r="A910" i="164"/>
  <c r="P909" i="164"/>
  <c r="N909" i="164"/>
  <c r="L909" i="164"/>
  <c r="A909" i="164"/>
  <c r="P908" i="164"/>
  <c r="N908" i="164"/>
  <c r="L908" i="164"/>
  <c r="A908" i="164"/>
  <c r="P907" i="164"/>
  <c r="N907" i="164"/>
  <c r="L907" i="164"/>
  <c r="A907" i="164"/>
  <c r="P906" i="164"/>
  <c r="N906" i="164"/>
  <c r="L906" i="164"/>
  <c r="A906" i="164"/>
  <c r="P905" i="164"/>
  <c r="N905" i="164"/>
  <c r="L905" i="164"/>
  <c r="A905" i="164"/>
  <c r="P904" i="164"/>
  <c r="N904" i="164"/>
  <c r="L904" i="164"/>
  <c r="A904" i="164"/>
  <c r="P903" i="164"/>
  <c r="N903" i="164"/>
  <c r="L903" i="164"/>
  <c r="A903" i="164"/>
  <c r="P902" i="164"/>
  <c r="N902" i="164"/>
  <c r="L902" i="164"/>
  <c r="A902" i="164"/>
  <c r="P901" i="164"/>
  <c r="N901" i="164"/>
  <c r="L901" i="164"/>
  <c r="A901" i="164"/>
  <c r="P900" i="164"/>
  <c r="N900" i="164"/>
  <c r="L900" i="164"/>
  <c r="A900" i="164"/>
  <c r="P899" i="164"/>
  <c r="N899" i="164"/>
  <c r="L899" i="164"/>
  <c r="A899" i="164"/>
  <c r="P898" i="164"/>
  <c r="N898" i="164"/>
  <c r="L898" i="164"/>
  <c r="A898" i="164"/>
  <c r="P897" i="164"/>
  <c r="N897" i="164"/>
  <c r="L897" i="164"/>
  <c r="A897" i="164"/>
  <c r="P896" i="164"/>
  <c r="N896" i="164"/>
  <c r="L896" i="164"/>
  <c r="A896" i="164"/>
  <c r="P895" i="164"/>
  <c r="N895" i="164"/>
  <c r="L895" i="164"/>
  <c r="A895" i="164"/>
  <c r="P894" i="164"/>
  <c r="N894" i="164"/>
  <c r="L894" i="164"/>
  <c r="A894" i="164"/>
  <c r="P893" i="164"/>
  <c r="N893" i="164"/>
  <c r="L893" i="164"/>
  <c r="A893" i="164"/>
  <c r="P892" i="164"/>
  <c r="N892" i="164"/>
  <c r="L892" i="164"/>
  <c r="A892" i="164"/>
  <c r="P891" i="164"/>
  <c r="N891" i="164"/>
  <c r="L891" i="164"/>
  <c r="A891" i="164"/>
  <c r="P890" i="164"/>
  <c r="N890" i="164"/>
  <c r="L890" i="164"/>
  <c r="A890" i="164"/>
  <c r="P889" i="164"/>
  <c r="N889" i="164"/>
  <c r="L889" i="164"/>
  <c r="A889" i="164"/>
  <c r="P888" i="164"/>
  <c r="N888" i="164"/>
  <c r="L888" i="164"/>
  <c r="A888" i="164"/>
  <c r="P887" i="164"/>
  <c r="N887" i="164"/>
  <c r="L887" i="164"/>
  <c r="A887" i="164"/>
  <c r="P886" i="164"/>
  <c r="N886" i="164"/>
  <c r="L886" i="164"/>
  <c r="A886" i="164"/>
  <c r="P885" i="164"/>
  <c r="N885" i="164"/>
  <c r="L885" i="164"/>
  <c r="A885" i="164"/>
  <c r="P884" i="164"/>
  <c r="N884" i="164"/>
  <c r="L884" i="164"/>
  <c r="A884" i="164"/>
  <c r="P883" i="164"/>
  <c r="N883" i="164"/>
  <c r="L883" i="164"/>
  <c r="A883" i="164"/>
  <c r="P882" i="164"/>
  <c r="N882" i="164"/>
  <c r="L882" i="164"/>
  <c r="A882" i="164"/>
  <c r="P881" i="164"/>
  <c r="N881" i="164"/>
  <c r="L881" i="164"/>
  <c r="A881" i="164"/>
  <c r="P880" i="164"/>
  <c r="N880" i="164"/>
  <c r="L880" i="164"/>
  <c r="A880" i="164"/>
  <c r="P879" i="164"/>
  <c r="N879" i="164"/>
  <c r="L879" i="164"/>
  <c r="A879" i="164"/>
  <c r="P878" i="164"/>
  <c r="N878" i="164"/>
  <c r="L878" i="164"/>
  <c r="A878" i="164"/>
  <c r="P877" i="164"/>
  <c r="N877" i="164"/>
  <c r="L877" i="164"/>
  <c r="A877" i="164"/>
  <c r="P876" i="164"/>
  <c r="N876" i="164"/>
  <c r="L876" i="164"/>
  <c r="A876" i="164"/>
  <c r="P875" i="164"/>
  <c r="N875" i="164"/>
  <c r="L875" i="164"/>
  <c r="A875" i="164"/>
  <c r="P874" i="164"/>
  <c r="N874" i="164"/>
  <c r="L874" i="164"/>
  <c r="A874" i="164"/>
  <c r="P873" i="164"/>
  <c r="N873" i="164"/>
  <c r="L873" i="164"/>
  <c r="A873" i="164"/>
  <c r="P872" i="164"/>
  <c r="N872" i="164"/>
  <c r="L872" i="164"/>
  <c r="A872" i="164"/>
  <c r="P871" i="164"/>
  <c r="N871" i="164"/>
  <c r="L871" i="164"/>
  <c r="A871" i="164"/>
  <c r="P870" i="164"/>
  <c r="N870" i="164"/>
  <c r="L870" i="164"/>
  <c r="A870" i="164"/>
  <c r="P869" i="164"/>
  <c r="N869" i="164"/>
  <c r="L869" i="164"/>
  <c r="A869" i="164"/>
  <c r="P868" i="164"/>
  <c r="N868" i="164"/>
  <c r="L868" i="164"/>
  <c r="A868" i="164"/>
  <c r="P867" i="164"/>
  <c r="N867" i="164"/>
  <c r="L867" i="164"/>
  <c r="A867" i="164"/>
  <c r="P866" i="164"/>
  <c r="N866" i="164"/>
  <c r="L866" i="164"/>
  <c r="A866" i="164"/>
  <c r="P865" i="164"/>
  <c r="N865" i="164"/>
  <c r="L865" i="164"/>
  <c r="A865" i="164"/>
  <c r="P864" i="164"/>
  <c r="N864" i="164"/>
  <c r="L864" i="164"/>
  <c r="A864" i="164"/>
  <c r="P863" i="164"/>
  <c r="N863" i="164"/>
  <c r="L863" i="164"/>
  <c r="A863" i="164"/>
  <c r="P862" i="164"/>
  <c r="N862" i="164"/>
  <c r="L862" i="164"/>
  <c r="A862" i="164"/>
  <c r="P861" i="164"/>
  <c r="N861" i="164"/>
  <c r="L861" i="164"/>
  <c r="A861" i="164"/>
  <c r="P860" i="164"/>
  <c r="N860" i="164"/>
  <c r="L860" i="164"/>
  <c r="A860" i="164"/>
  <c r="P859" i="164"/>
  <c r="N859" i="164"/>
  <c r="L859" i="164"/>
  <c r="A859" i="164"/>
  <c r="P858" i="164"/>
  <c r="N858" i="164"/>
  <c r="L858" i="164"/>
  <c r="A858" i="164"/>
  <c r="P857" i="164"/>
  <c r="N857" i="164"/>
  <c r="L857" i="164"/>
  <c r="A857" i="164"/>
  <c r="P856" i="164"/>
  <c r="N856" i="164"/>
  <c r="L856" i="164"/>
  <c r="A856" i="164"/>
  <c r="P855" i="164"/>
  <c r="N855" i="164"/>
  <c r="L855" i="164"/>
  <c r="A855" i="164"/>
  <c r="P854" i="164"/>
  <c r="N854" i="164"/>
  <c r="L854" i="164"/>
  <c r="A854" i="164"/>
  <c r="P853" i="164"/>
  <c r="N853" i="164"/>
  <c r="L853" i="164"/>
  <c r="A853" i="164"/>
  <c r="P852" i="164"/>
  <c r="N852" i="164"/>
  <c r="L852" i="164"/>
  <c r="A852" i="164"/>
  <c r="P851" i="164"/>
  <c r="N851" i="164"/>
  <c r="L851" i="164"/>
  <c r="A851" i="164"/>
  <c r="P850" i="164"/>
  <c r="N850" i="164"/>
  <c r="L850" i="164"/>
  <c r="A850" i="164"/>
  <c r="P849" i="164"/>
  <c r="N849" i="164"/>
  <c r="L849" i="164"/>
  <c r="A849" i="164"/>
  <c r="P848" i="164"/>
  <c r="N848" i="164"/>
  <c r="L848" i="164"/>
  <c r="A848" i="164"/>
  <c r="P847" i="164"/>
  <c r="N847" i="164"/>
  <c r="L847" i="164"/>
  <c r="A847" i="164"/>
  <c r="P846" i="164"/>
  <c r="N846" i="164"/>
  <c r="L846" i="164"/>
  <c r="A846" i="164"/>
  <c r="P845" i="164"/>
  <c r="N845" i="164"/>
  <c r="L845" i="164"/>
  <c r="A845" i="164"/>
  <c r="P844" i="164"/>
  <c r="N844" i="164"/>
  <c r="L844" i="164"/>
  <c r="A844" i="164"/>
  <c r="P843" i="164"/>
  <c r="N843" i="164"/>
  <c r="L843" i="164"/>
  <c r="A843" i="164"/>
  <c r="P842" i="164"/>
  <c r="N842" i="164"/>
  <c r="L842" i="164"/>
  <c r="A842" i="164"/>
  <c r="P841" i="164"/>
  <c r="N841" i="164"/>
  <c r="L841" i="164"/>
  <c r="A841" i="164"/>
  <c r="P840" i="164"/>
  <c r="N840" i="164"/>
  <c r="L840" i="164"/>
  <c r="A840" i="164"/>
  <c r="P839" i="164"/>
  <c r="N839" i="164"/>
  <c r="L839" i="164"/>
  <c r="A839" i="164"/>
  <c r="P838" i="164"/>
  <c r="N838" i="164"/>
  <c r="L838" i="164"/>
  <c r="A838" i="164"/>
  <c r="P837" i="164"/>
  <c r="N837" i="164"/>
  <c r="L837" i="164"/>
  <c r="A837" i="164"/>
  <c r="P836" i="164"/>
  <c r="N836" i="164"/>
  <c r="L836" i="164"/>
  <c r="A836" i="164"/>
  <c r="P835" i="164"/>
  <c r="N835" i="164"/>
  <c r="L835" i="164"/>
  <c r="A835" i="164"/>
  <c r="P834" i="164"/>
  <c r="N834" i="164"/>
  <c r="L834" i="164"/>
  <c r="A834" i="164"/>
  <c r="P833" i="164"/>
  <c r="N833" i="164"/>
  <c r="L833" i="164"/>
  <c r="A833" i="164"/>
  <c r="P832" i="164"/>
  <c r="N832" i="164"/>
  <c r="L832" i="164"/>
  <c r="A832" i="164"/>
  <c r="P831" i="164"/>
  <c r="N831" i="164"/>
  <c r="L831" i="164"/>
  <c r="A831" i="164"/>
  <c r="P830" i="164"/>
  <c r="N830" i="164"/>
  <c r="L830" i="164"/>
  <c r="A830" i="164"/>
  <c r="P829" i="164"/>
  <c r="N829" i="164"/>
  <c r="L829" i="164"/>
  <c r="A829" i="164"/>
  <c r="P828" i="164"/>
  <c r="N828" i="164"/>
  <c r="L828" i="164"/>
  <c r="A828" i="164"/>
  <c r="P827" i="164"/>
  <c r="N827" i="164"/>
  <c r="L827" i="164"/>
  <c r="A827" i="164"/>
  <c r="P826" i="164"/>
  <c r="N826" i="164"/>
  <c r="L826" i="164"/>
  <c r="A826" i="164"/>
  <c r="P825" i="164"/>
  <c r="N825" i="164"/>
  <c r="L825" i="164"/>
  <c r="A825" i="164"/>
  <c r="P824" i="164"/>
  <c r="N824" i="164"/>
  <c r="L824" i="164"/>
  <c r="A824" i="164"/>
  <c r="P823" i="164"/>
  <c r="N823" i="164"/>
  <c r="L823" i="164"/>
  <c r="A823" i="164"/>
  <c r="P822" i="164"/>
  <c r="N822" i="164"/>
  <c r="L822" i="164"/>
  <c r="A822" i="164"/>
  <c r="P821" i="164"/>
  <c r="N821" i="164"/>
  <c r="L821" i="164"/>
  <c r="A821" i="164"/>
  <c r="P820" i="164"/>
  <c r="N820" i="164"/>
  <c r="L820" i="164"/>
  <c r="A820" i="164"/>
  <c r="P819" i="164"/>
  <c r="N819" i="164"/>
  <c r="L819" i="164"/>
  <c r="A819" i="164"/>
  <c r="P818" i="164"/>
  <c r="N818" i="164"/>
  <c r="L818" i="164"/>
  <c r="A818" i="164"/>
  <c r="P817" i="164"/>
  <c r="N817" i="164"/>
  <c r="L817" i="164"/>
  <c r="A817" i="164"/>
  <c r="P816" i="164"/>
  <c r="N816" i="164"/>
  <c r="L816" i="164"/>
  <c r="A816" i="164"/>
  <c r="P815" i="164"/>
  <c r="N815" i="164"/>
  <c r="L815" i="164"/>
  <c r="A815" i="164"/>
  <c r="P814" i="164"/>
  <c r="N814" i="164"/>
  <c r="L814" i="164"/>
  <c r="A814" i="164"/>
  <c r="P813" i="164"/>
  <c r="N813" i="164"/>
  <c r="L813" i="164"/>
  <c r="A813" i="164"/>
  <c r="P812" i="164"/>
  <c r="N812" i="164"/>
  <c r="L812" i="164"/>
  <c r="A812" i="164"/>
  <c r="P811" i="164"/>
  <c r="N811" i="164"/>
  <c r="L811" i="164"/>
  <c r="A811" i="164"/>
  <c r="P810" i="164"/>
  <c r="N810" i="164"/>
  <c r="L810" i="164"/>
  <c r="A810" i="164"/>
  <c r="P809" i="164"/>
  <c r="N809" i="164"/>
  <c r="L809" i="164"/>
  <c r="A809" i="164"/>
  <c r="P808" i="164"/>
  <c r="N808" i="164"/>
  <c r="L808" i="164"/>
  <c r="A808" i="164"/>
  <c r="P807" i="164"/>
  <c r="N807" i="164"/>
  <c r="L807" i="164"/>
  <c r="A807" i="164"/>
  <c r="P806" i="164"/>
  <c r="N806" i="164"/>
  <c r="L806" i="164"/>
  <c r="A806" i="164"/>
  <c r="P805" i="164"/>
  <c r="N805" i="164"/>
  <c r="L805" i="164"/>
  <c r="A805" i="164"/>
  <c r="P804" i="164"/>
  <c r="N804" i="164"/>
  <c r="L804" i="164"/>
  <c r="A804" i="164"/>
  <c r="P803" i="164"/>
  <c r="N803" i="164"/>
  <c r="L803" i="164"/>
  <c r="A803" i="164"/>
  <c r="P802" i="164"/>
  <c r="N802" i="164"/>
  <c r="L802" i="164"/>
  <c r="A802" i="164"/>
  <c r="P801" i="164"/>
  <c r="N801" i="164"/>
  <c r="L801" i="164"/>
  <c r="A801" i="164"/>
  <c r="P800" i="164"/>
  <c r="N800" i="164"/>
  <c r="L800" i="164"/>
  <c r="A800" i="164"/>
  <c r="P799" i="164"/>
  <c r="N799" i="164"/>
  <c r="L799" i="164"/>
  <c r="A799" i="164"/>
  <c r="P798" i="164"/>
  <c r="N798" i="164"/>
  <c r="L798" i="164"/>
  <c r="A798" i="164"/>
  <c r="P797" i="164"/>
  <c r="N797" i="164"/>
  <c r="L797" i="164"/>
  <c r="A797" i="164"/>
  <c r="P796" i="164"/>
  <c r="N796" i="164"/>
  <c r="L796" i="164"/>
  <c r="A796" i="164"/>
  <c r="P795" i="164"/>
  <c r="N795" i="164"/>
  <c r="L795" i="164"/>
  <c r="A795" i="164"/>
  <c r="P794" i="164"/>
  <c r="N794" i="164"/>
  <c r="L794" i="164"/>
  <c r="A794" i="164"/>
  <c r="P793" i="164"/>
  <c r="N793" i="164"/>
  <c r="L793" i="164"/>
  <c r="A793" i="164"/>
  <c r="P792" i="164"/>
  <c r="N792" i="164"/>
  <c r="L792" i="164"/>
  <c r="A792" i="164"/>
  <c r="P791" i="164"/>
  <c r="N791" i="164"/>
  <c r="L791" i="164"/>
  <c r="A791" i="164"/>
  <c r="P790" i="164"/>
  <c r="N790" i="164"/>
  <c r="L790" i="164"/>
  <c r="A790" i="164"/>
  <c r="P789" i="164"/>
  <c r="N789" i="164"/>
  <c r="L789" i="164"/>
  <c r="A789" i="164"/>
  <c r="P788" i="164"/>
  <c r="N788" i="164"/>
  <c r="L788" i="164"/>
  <c r="A788" i="164"/>
  <c r="P787" i="164"/>
  <c r="N787" i="164"/>
  <c r="L787" i="164"/>
  <c r="A787" i="164"/>
  <c r="P786" i="164"/>
  <c r="N786" i="164"/>
  <c r="L786" i="164"/>
  <c r="A786" i="164"/>
  <c r="P785" i="164"/>
  <c r="N785" i="164"/>
  <c r="L785" i="164"/>
  <c r="A785" i="164"/>
  <c r="P784" i="164"/>
  <c r="N784" i="164"/>
  <c r="L784" i="164"/>
  <c r="A784" i="164"/>
  <c r="P783" i="164"/>
  <c r="N783" i="164"/>
  <c r="L783" i="164"/>
  <c r="A783" i="164"/>
  <c r="P782" i="164"/>
  <c r="N782" i="164"/>
  <c r="L782" i="164"/>
  <c r="A782" i="164"/>
  <c r="P781" i="164"/>
  <c r="N781" i="164"/>
  <c r="L781" i="164"/>
  <c r="A781" i="164"/>
  <c r="P780" i="164"/>
  <c r="N780" i="164"/>
  <c r="L780" i="164"/>
  <c r="A780" i="164"/>
  <c r="P779" i="164"/>
  <c r="N779" i="164"/>
  <c r="L779" i="164"/>
  <c r="A779" i="164"/>
  <c r="P778" i="164"/>
  <c r="N778" i="164"/>
  <c r="L778" i="164"/>
  <c r="A778" i="164"/>
  <c r="P777" i="164"/>
  <c r="N777" i="164"/>
  <c r="L777" i="164"/>
  <c r="A777" i="164"/>
  <c r="P776" i="164"/>
  <c r="N776" i="164"/>
  <c r="L776" i="164"/>
  <c r="A776" i="164"/>
  <c r="P775" i="164"/>
  <c r="N775" i="164"/>
  <c r="L775" i="164"/>
  <c r="A775" i="164"/>
  <c r="P774" i="164"/>
  <c r="N774" i="164"/>
  <c r="L774" i="164"/>
  <c r="A774" i="164"/>
  <c r="P773" i="164"/>
  <c r="N773" i="164"/>
  <c r="L773" i="164"/>
  <c r="A773" i="164"/>
  <c r="P772" i="164"/>
  <c r="N772" i="164"/>
  <c r="L772" i="164"/>
  <c r="A772" i="164"/>
  <c r="P771" i="164"/>
  <c r="N771" i="164"/>
  <c r="L771" i="164"/>
  <c r="A771" i="164"/>
  <c r="P770" i="164"/>
  <c r="N770" i="164"/>
  <c r="L770" i="164"/>
  <c r="A770" i="164"/>
  <c r="P769" i="164"/>
  <c r="N769" i="164"/>
  <c r="L769" i="164"/>
  <c r="A769" i="164"/>
  <c r="P768" i="164"/>
  <c r="N768" i="164"/>
  <c r="L768" i="164"/>
  <c r="A768" i="164"/>
  <c r="P767" i="164"/>
  <c r="N767" i="164"/>
  <c r="L767" i="164"/>
  <c r="A767" i="164"/>
  <c r="P766" i="164"/>
  <c r="N766" i="164"/>
  <c r="L766" i="164"/>
  <c r="A766" i="164"/>
  <c r="P765" i="164"/>
  <c r="N765" i="164"/>
  <c r="L765" i="164"/>
  <c r="A765" i="164"/>
  <c r="P764" i="164"/>
  <c r="N764" i="164"/>
  <c r="L764" i="164"/>
  <c r="A764" i="164"/>
  <c r="P763" i="164"/>
  <c r="N763" i="164"/>
  <c r="L763" i="164"/>
  <c r="A763" i="164"/>
  <c r="P762" i="164"/>
  <c r="N762" i="164"/>
  <c r="L762" i="164"/>
  <c r="A762" i="164"/>
  <c r="P761" i="164"/>
  <c r="N761" i="164"/>
  <c r="L761" i="164"/>
  <c r="A761" i="164"/>
  <c r="P760" i="164"/>
  <c r="N760" i="164"/>
  <c r="L760" i="164"/>
  <c r="A760" i="164"/>
  <c r="P759" i="164"/>
  <c r="N759" i="164"/>
  <c r="L759" i="164"/>
  <c r="A759" i="164"/>
  <c r="P758" i="164"/>
  <c r="N758" i="164"/>
  <c r="L758" i="164"/>
  <c r="A758" i="164"/>
  <c r="P757" i="164"/>
  <c r="N757" i="164"/>
  <c r="L757" i="164"/>
  <c r="A757" i="164"/>
  <c r="P756" i="164"/>
  <c r="N756" i="164"/>
  <c r="L756" i="164"/>
  <c r="A756" i="164"/>
  <c r="P755" i="164"/>
  <c r="N755" i="164"/>
  <c r="L755" i="164"/>
  <c r="A755" i="164"/>
  <c r="P754" i="164"/>
  <c r="N754" i="164"/>
  <c r="L754" i="164"/>
  <c r="A754" i="164"/>
  <c r="P753" i="164"/>
  <c r="N753" i="164"/>
  <c r="L753" i="164"/>
  <c r="A753" i="164"/>
  <c r="P752" i="164"/>
  <c r="N752" i="164"/>
  <c r="L752" i="164"/>
  <c r="A752" i="164"/>
  <c r="P751" i="164"/>
  <c r="N751" i="164"/>
  <c r="L751" i="164"/>
  <c r="A751" i="164"/>
  <c r="P750" i="164"/>
  <c r="N750" i="164"/>
  <c r="L750" i="164"/>
  <c r="A750" i="164"/>
  <c r="P749" i="164"/>
  <c r="N749" i="164"/>
  <c r="L749" i="164"/>
  <c r="A749" i="164"/>
  <c r="P748" i="164"/>
  <c r="N748" i="164"/>
  <c r="L748" i="164"/>
  <c r="A748" i="164"/>
  <c r="P747" i="164"/>
  <c r="N747" i="164"/>
  <c r="L747" i="164"/>
  <c r="A747" i="164"/>
  <c r="P746" i="164"/>
  <c r="N746" i="164"/>
  <c r="L746" i="164"/>
  <c r="A746" i="164"/>
  <c r="P745" i="164"/>
  <c r="N745" i="164"/>
  <c r="L745" i="164"/>
  <c r="A745" i="164"/>
  <c r="P744" i="164"/>
  <c r="N744" i="164"/>
  <c r="L744" i="164"/>
  <c r="A744" i="164"/>
  <c r="P743" i="164"/>
  <c r="N743" i="164"/>
  <c r="L743" i="164"/>
  <c r="A743" i="164"/>
  <c r="P742" i="164"/>
  <c r="N742" i="164"/>
  <c r="L742" i="164"/>
  <c r="A742" i="164"/>
  <c r="P741" i="164"/>
  <c r="N741" i="164"/>
  <c r="L741" i="164"/>
  <c r="A741" i="164"/>
  <c r="P740" i="164"/>
  <c r="N740" i="164"/>
  <c r="L740" i="164"/>
  <c r="A740" i="164"/>
  <c r="P739" i="164"/>
  <c r="N739" i="164"/>
  <c r="L739" i="164"/>
  <c r="A739" i="164"/>
  <c r="P738" i="164"/>
  <c r="N738" i="164"/>
  <c r="L738" i="164"/>
  <c r="A738" i="164"/>
  <c r="P737" i="164"/>
  <c r="N737" i="164"/>
  <c r="L737" i="164"/>
  <c r="A737" i="164"/>
  <c r="P736" i="164"/>
  <c r="N736" i="164"/>
  <c r="L736" i="164"/>
  <c r="A736" i="164"/>
  <c r="P735" i="164"/>
  <c r="N735" i="164"/>
  <c r="L735" i="164"/>
  <c r="A735" i="164"/>
  <c r="P734" i="164"/>
  <c r="N734" i="164"/>
  <c r="L734" i="164"/>
  <c r="A734" i="164"/>
  <c r="P733" i="164"/>
  <c r="N733" i="164"/>
  <c r="L733" i="164"/>
  <c r="A733" i="164"/>
  <c r="P732" i="164"/>
  <c r="N732" i="164"/>
  <c r="L732" i="164"/>
  <c r="A732" i="164"/>
  <c r="P731" i="164"/>
  <c r="N731" i="164"/>
  <c r="L731" i="164"/>
  <c r="A731" i="164"/>
  <c r="P730" i="164"/>
  <c r="N730" i="164"/>
  <c r="L730" i="164"/>
  <c r="A730" i="164"/>
  <c r="P729" i="164"/>
  <c r="N729" i="164"/>
  <c r="L729" i="164"/>
  <c r="A729" i="164"/>
  <c r="P728" i="164"/>
  <c r="N728" i="164"/>
  <c r="L728" i="164"/>
  <c r="A728" i="164"/>
  <c r="P727" i="164"/>
  <c r="N727" i="164"/>
  <c r="L727" i="164"/>
  <c r="A727" i="164"/>
  <c r="P726" i="164"/>
  <c r="N726" i="164"/>
  <c r="L726" i="164"/>
  <c r="A726" i="164"/>
  <c r="P725" i="164"/>
  <c r="N725" i="164"/>
  <c r="L725" i="164"/>
  <c r="A725" i="164"/>
  <c r="P724" i="164"/>
  <c r="N724" i="164"/>
  <c r="L724" i="164"/>
  <c r="A724" i="164"/>
  <c r="P723" i="164"/>
  <c r="N723" i="164"/>
  <c r="L723" i="164"/>
  <c r="A723" i="164"/>
  <c r="P722" i="164"/>
  <c r="N722" i="164"/>
  <c r="L722" i="164"/>
  <c r="A722" i="164"/>
  <c r="P721" i="164"/>
  <c r="N721" i="164"/>
  <c r="L721" i="164"/>
  <c r="A721" i="164"/>
  <c r="P720" i="164"/>
  <c r="N720" i="164"/>
  <c r="L720" i="164"/>
  <c r="A720" i="164"/>
  <c r="P719" i="164"/>
  <c r="N719" i="164"/>
  <c r="L719" i="164"/>
  <c r="A719" i="164"/>
  <c r="P718" i="164"/>
  <c r="N718" i="164"/>
  <c r="L718" i="164"/>
  <c r="A718" i="164"/>
  <c r="P717" i="164"/>
  <c r="N717" i="164"/>
  <c r="L717" i="164"/>
  <c r="A717" i="164"/>
  <c r="P716" i="164"/>
  <c r="N716" i="164"/>
  <c r="L716" i="164"/>
  <c r="A716" i="164"/>
  <c r="P715" i="164"/>
  <c r="N715" i="164"/>
  <c r="L715" i="164"/>
  <c r="A715" i="164"/>
  <c r="P714" i="164"/>
  <c r="N714" i="164"/>
  <c r="L714" i="164"/>
  <c r="A714" i="164"/>
  <c r="P713" i="164"/>
  <c r="N713" i="164"/>
  <c r="L713" i="164"/>
  <c r="A713" i="164"/>
  <c r="P712" i="164"/>
  <c r="N712" i="164"/>
  <c r="L712" i="164"/>
  <c r="A712" i="164"/>
  <c r="P711" i="164"/>
  <c r="N711" i="164"/>
  <c r="L711" i="164"/>
  <c r="A711" i="164"/>
  <c r="P710" i="164"/>
  <c r="N710" i="164"/>
  <c r="L710" i="164"/>
  <c r="A710" i="164"/>
  <c r="P709" i="164"/>
  <c r="N709" i="164"/>
  <c r="L709" i="164"/>
  <c r="A709" i="164"/>
  <c r="P708" i="164"/>
  <c r="N708" i="164"/>
  <c r="L708" i="164"/>
  <c r="A708" i="164"/>
  <c r="P707" i="164"/>
  <c r="N707" i="164"/>
  <c r="L707" i="164"/>
  <c r="A707" i="164"/>
  <c r="P706" i="164"/>
  <c r="N706" i="164"/>
  <c r="L706" i="164"/>
  <c r="A706" i="164"/>
  <c r="P705" i="164"/>
  <c r="N705" i="164"/>
  <c r="L705" i="164"/>
  <c r="A705" i="164"/>
  <c r="P704" i="164"/>
  <c r="N704" i="164"/>
  <c r="L704" i="164"/>
  <c r="A704" i="164"/>
  <c r="P703" i="164"/>
  <c r="N703" i="164"/>
  <c r="L703" i="164"/>
  <c r="A703" i="164"/>
  <c r="P702" i="164"/>
  <c r="N702" i="164"/>
  <c r="L702" i="164"/>
  <c r="A702" i="164"/>
  <c r="P701" i="164"/>
  <c r="N701" i="164"/>
  <c r="L701" i="164"/>
  <c r="A701" i="164"/>
  <c r="P700" i="164"/>
  <c r="N700" i="164"/>
  <c r="L700" i="164"/>
  <c r="A700" i="164"/>
  <c r="P699" i="164"/>
  <c r="N699" i="164"/>
  <c r="L699" i="164"/>
  <c r="A699" i="164"/>
  <c r="P698" i="164"/>
  <c r="N698" i="164"/>
  <c r="L698" i="164"/>
  <c r="A698" i="164"/>
  <c r="P697" i="164"/>
  <c r="N697" i="164"/>
  <c r="L697" i="164"/>
  <c r="A697" i="164"/>
  <c r="P696" i="164"/>
  <c r="N696" i="164"/>
  <c r="L696" i="164"/>
  <c r="A696" i="164"/>
  <c r="P695" i="164"/>
  <c r="N695" i="164"/>
  <c r="L695" i="164"/>
  <c r="A695" i="164"/>
  <c r="P694" i="164"/>
  <c r="N694" i="164"/>
  <c r="L694" i="164"/>
  <c r="A694" i="164"/>
  <c r="P693" i="164"/>
  <c r="N693" i="164"/>
  <c r="L693" i="164"/>
  <c r="A693" i="164"/>
  <c r="P692" i="164"/>
  <c r="N692" i="164"/>
  <c r="L692" i="164"/>
  <c r="A692" i="164"/>
  <c r="P691" i="164"/>
  <c r="N691" i="164"/>
  <c r="L691" i="164"/>
  <c r="A691" i="164"/>
  <c r="P690" i="164"/>
  <c r="N690" i="164"/>
  <c r="L690" i="164"/>
  <c r="A690" i="164"/>
  <c r="P689" i="164"/>
  <c r="N689" i="164"/>
  <c r="L689" i="164"/>
  <c r="A689" i="164"/>
  <c r="P688" i="164"/>
  <c r="N688" i="164"/>
  <c r="L688" i="164"/>
  <c r="A688" i="164"/>
  <c r="P687" i="164"/>
  <c r="N687" i="164"/>
  <c r="L687" i="164"/>
  <c r="A687" i="164"/>
  <c r="P686" i="164"/>
  <c r="N686" i="164"/>
  <c r="L686" i="164"/>
  <c r="A686" i="164"/>
  <c r="P685" i="164"/>
  <c r="N685" i="164"/>
  <c r="L685" i="164"/>
  <c r="A685" i="164"/>
  <c r="P684" i="164"/>
  <c r="N684" i="164"/>
  <c r="L684" i="164"/>
  <c r="A684" i="164"/>
  <c r="P683" i="164"/>
  <c r="N683" i="164"/>
  <c r="L683" i="164"/>
  <c r="A683" i="164"/>
  <c r="P682" i="164"/>
  <c r="N682" i="164"/>
  <c r="L682" i="164"/>
  <c r="A682" i="164"/>
  <c r="P681" i="164"/>
  <c r="N681" i="164"/>
  <c r="L681" i="164"/>
  <c r="A681" i="164"/>
  <c r="P680" i="164"/>
  <c r="N680" i="164"/>
  <c r="L680" i="164"/>
  <c r="A680" i="164"/>
  <c r="P679" i="164"/>
  <c r="N679" i="164"/>
  <c r="L679" i="164"/>
  <c r="A679" i="164"/>
  <c r="P678" i="164"/>
  <c r="N678" i="164"/>
  <c r="L678" i="164"/>
  <c r="A678" i="164"/>
  <c r="P677" i="164"/>
  <c r="N677" i="164"/>
  <c r="L677" i="164"/>
  <c r="A677" i="164"/>
  <c r="P676" i="164"/>
  <c r="N676" i="164"/>
  <c r="L676" i="164"/>
  <c r="A676" i="164"/>
  <c r="P675" i="164"/>
  <c r="N675" i="164"/>
  <c r="L675" i="164"/>
  <c r="A675" i="164"/>
  <c r="P674" i="164"/>
  <c r="N674" i="164"/>
  <c r="L674" i="164"/>
  <c r="A674" i="164"/>
  <c r="P673" i="164"/>
  <c r="N673" i="164"/>
  <c r="L673" i="164"/>
  <c r="A673" i="164"/>
  <c r="P672" i="164"/>
  <c r="N672" i="164"/>
  <c r="L672" i="164"/>
  <c r="A672" i="164"/>
  <c r="P671" i="164"/>
  <c r="N671" i="164"/>
  <c r="L671" i="164"/>
  <c r="A671" i="164"/>
  <c r="P670" i="164"/>
  <c r="N670" i="164"/>
  <c r="L670" i="164"/>
  <c r="A670" i="164"/>
  <c r="P669" i="164"/>
  <c r="N669" i="164"/>
  <c r="L669" i="164"/>
  <c r="A669" i="164"/>
  <c r="P668" i="164"/>
  <c r="N668" i="164"/>
  <c r="L668" i="164"/>
  <c r="A668" i="164"/>
  <c r="P667" i="164"/>
  <c r="N667" i="164"/>
  <c r="L667" i="164"/>
  <c r="A667" i="164"/>
  <c r="P666" i="164"/>
  <c r="N666" i="164"/>
  <c r="L666" i="164"/>
  <c r="A666" i="164"/>
  <c r="P665" i="164"/>
  <c r="N665" i="164"/>
  <c r="L665" i="164"/>
  <c r="A665" i="164"/>
  <c r="P664" i="164"/>
  <c r="N664" i="164"/>
  <c r="L664" i="164"/>
  <c r="A664" i="164"/>
  <c r="P663" i="164"/>
  <c r="N663" i="164"/>
  <c r="L663" i="164"/>
  <c r="A663" i="164"/>
  <c r="P662" i="164"/>
  <c r="N662" i="164"/>
  <c r="L662" i="164"/>
  <c r="A662" i="164"/>
  <c r="P661" i="164"/>
  <c r="N661" i="164"/>
  <c r="L661" i="164"/>
  <c r="A661" i="164"/>
  <c r="P660" i="164"/>
  <c r="N660" i="164"/>
  <c r="L660" i="164"/>
  <c r="A660" i="164"/>
  <c r="P659" i="164"/>
  <c r="N659" i="164"/>
  <c r="L659" i="164"/>
  <c r="A659" i="164"/>
  <c r="P658" i="164"/>
  <c r="N658" i="164"/>
  <c r="L658" i="164"/>
  <c r="A658" i="164"/>
  <c r="P657" i="164"/>
  <c r="N657" i="164"/>
  <c r="L657" i="164"/>
  <c r="A657" i="164"/>
  <c r="P656" i="164"/>
  <c r="N656" i="164"/>
  <c r="L656" i="164"/>
  <c r="A656" i="164"/>
  <c r="P655" i="164"/>
  <c r="N655" i="164"/>
  <c r="L655" i="164"/>
  <c r="A655" i="164"/>
  <c r="P654" i="164"/>
  <c r="N654" i="164"/>
  <c r="L654" i="164"/>
  <c r="A654" i="164"/>
  <c r="P653" i="164"/>
  <c r="N653" i="164"/>
  <c r="L653" i="164"/>
  <c r="A653" i="164"/>
  <c r="P652" i="164"/>
  <c r="N652" i="164"/>
  <c r="L652" i="164"/>
  <c r="A652" i="164"/>
  <c r="P651" i="164"/>
  <c r="N651" i="164"/>
  <c r="L651" i="164"/>
  <c r="A651" i="164"/>
  <c r="P650" i="164"/>
  <c r="N650" i="164"/>
  <c r="L650" i="164"/>
  <c r="A650" i="164"/>
  <c r="P649" i="164"/>
  <c r="N649" i="164"/>
  <c r="L649" i="164"/>
  <c r="A649" i="164"/>
  <c r="P648" i="164"/>
  <c r="N648" i="164"/>
  <c r="L648" i="164"/>
  <c r="A648" i="164"/>
  <c r="P647" i="164"/>
  <c r="N647" i="164"/>
  <c r="L647" i="164"/>
  <c r="A647" i="164"/>
  <c r="P646" i="164"/>
  <c r="N646" i="164"/>
  <c r="L646" i="164"/>
  <c r="A646" i="164"/>
  <c r="P645" i="164"/>
  <c r="N645" i="164"/>
  <c r="L645" i="164"/>
  <c r="A645" i="164"/>
  <c r="P644" i="164"/>
  <c r="N644" i="164"/>
  <c r="L644" i="164"/>
  <c r="A644" i="164"/>
  <c r="P643" i="164"/>
  <c r="N643" i="164"/>
  <c r="L643" i="164"/>
  <c r="A643" i="164"/>
  <c r="P642" i="164"/>
  <c r="N642" i="164"/>
  <c r="L642" i="164"/>
  <c r="A642" i="164"/>
  <c r="P641" i="164"/>
  <c r="N641" i="164"/>
  <c r="L641" i="164"/>
  <c r="A641" i="164"/>
  <c r="P640" i="164"/>
  <c r="N640" i="164"/>
  <c r="L640" i="164"/>
  <c r="A640" i="164"/>
  <c r="P639" i="164"/>
  <c r="N639" i="164"/>
  <c r="L639" i="164"/>
  <c r="A639" i="164"/>
  <c r="P638" i="164"/>
  <c r="N638" i="164"/>
  <c r="L638" i="164"/>
  <c r="A638" i="164"/>
  <c r="P637" i="164"/>
  <c r="N637" i="164"/>
  <c r="L637" i="164"/>
  <c r="A637" i="164"/>
  <c r="P636" i="164"/>
  <c r="N636" i="164"/>
  <c r="L636" i="164"/>
  <c r="A636" i="164"/>
  <c r="P635" i="164"/>
  <c r="N635" i="164"/>
  <c r="L635" i="164"/>
  <c r="A635" i="164"/>
  <c r="P634" i="164"/>
  <c r="N634" i="164"/>
  <c r="L634" i="164"/>
  <c r="A634" i="164"/>
  <c r="P633" i="164"/>
  <c r="N633" i="164"/>
  <c r="L633" i="164"/>
  <c r="A633" i="164"/>
  <c r="P632" i="164"/>
  <c r="N632" i="164"/>
  <c r="L632" i="164"/>
  <c r="A632" i="164"/>
  <c r="P631" i="164"/>
  <c r="N631" i="164"/>
  <c r="L631" i="164"/>
  <c r="A631" i="164"/>
  <c r="P630" i="164"/>
  <c r="N630" i="164"/>
  <c r="L630" i="164"/>
  <c r="A630" i="164"/>
  <c r="P629" i="164"/>
  <c r="N629" i="164"/>
  <c r="L629" i="164"/>
  <c r="A629" i="164"/>
  <c r="P628" i="164"/>
  <c r="N628" i="164"/>
  <c r="L628" i="164"/>
  <c r="A628" i="164"/>
  <c r="P627" i="164"/>
  <c r="N627" i="164"/>
  <c r="L627" i="164"/>
  <c r="A627" i="164"/>
  <c r="P626" i="164"/>
  <c r="N626" i="164"/>
  <c r="L626" i="164"/>
  <c r="A626" i="164"/>
  <c r="P625" i="164"/>
  <c r="N625" i="164"/>
  <c r="L625" i="164"/>
  <c r="A625" i="164"/>
  <c r="P624" i="164"/>
  <c r="N624" i="164"/>
  <c r="L624" i="164"/>
  <c r="A624" i="164"/>
  <c r="P623" i="164"/>
  <c r="N623" i="164"/>
  <c r="L623" i="164"/>
  <c r="A623" i="164"/>
  <c r="P622" i="164"/>
  <c r="N622" i="164"/>
  <c r="L622" i="164"/>
  <c r="A622" i="164"/>
  <c r="P621" i="164"/>
  <c r="N621" i="164"/>
  <c r="L621" i="164"/>
  <c r="A621" i="164"/>
  <c r="P620" i="164"/>
  <c r="N620" i="164"/>
  <c r="L620" i="164"/>
  <c r="A620" i="164"/>
  <c r="P619" i="164"/>
  <c r="N619" i="164"/>
  <c r="L619" i="164"/>
  <c r="A619" i="164"/>
  <c r="P618" i="164"/>
  <c r="N618" i="164"/>
  <c r="L618" i="164"/>
  <c r="A618" i="164"/>
  <c r="P617" i="164"/>
  <c r="N617" i="164"/>
  <c r="L617" i="164"/>
  <c r="A617" i="164"/>
  <c r="P616" i="164"/>
  <c r="N616" i="164"/>
  <c r="L616" i="164"/>
  <c r="A616" i="164"/>
  <c r="P615" i="164"/>
  <c r="N615" i="164"/>
  <c r="L615" i="164"/>
  <c r="A615" i="164"/>
  <c r="P614" i="164"/>
  <c r="N614" i="164"/>
  <c r="L614" i="164"/>
  <c r="A614" i="164"/>
  <c r="P613" i="164"/>
  <c r="N613" i="164"/>
  <c r="L613" i="164"/>
  <c r="A613" i="164"/>
  <c r="P612" i="164"/>
  <c r="N612" i="164"/>
  <c r="L612" i="164"/>
  <c r="A612" i="164"/>
  <c r="P611" i="164"/>
  <c r="N611" i="164"/>
  <c r="L611" i="164"/>
  <c r="A611" i="164"/>
  <c r="P610" i="164"/>
  <c r="N610" i="164"/>
  <c r="L610" i="164"/>
  <c r="A610" i="164"/>
  <c r="P609" i="164"/>
  <c r="N609" i="164"/>
  <c r="L609" i="164"/>
  <c r="A609" i="164"/>
  <c r="P608" i="164"/>
  <c r="N608" i="164"/>
  <c r="L608" i="164"/>
  <c r="A608" i="164"/>
  <c r="P607" i="164"/>
  <c r="N607" i="164"/>
  <c r="L607" i="164"/>
  <c r="A607" i="164"/>
  <c r="P606" i="164"/>
  <c r="N606" i="164"/>
  <c r="L606" i="164"/>
  <c r="A606" i="164"/>
  <c r="P605" i="164"/>
  <c r="N605" i="164"/>
  <c r="L605" i="164"/>
  <c r="A605" i="164"/>
  <c r="P604" i="164"/>
  <c r="N604" i="164"/>
  <c r="L604" i="164"/>
  <c r="A604" i="164"/>
  <c r="P603" i="164"/>
  <c r="N603" i="164"/>
  <c r="L603" i="164"/>
  <c r="A603" i="164"/>
  <c r="P602" i="164"/>
  <c r="N602" i="164"/>
  <c r="L602" i="164"/>
  <c r="A602" i="164"/>
  <c r="P601" i="164"/>
  <c r="N601" i="164"/>
  <c r="L601" i="164"/>
  <c r="A601" i="164"/>
  <c r="P600" i="164"/>
  <c r="N600" i="164"/>
  <c r="L600" i="164"/>
  <c r="A600" i="164"/>
  <c r="P599" i="164"/>
  <c r="N599" i="164"/>
  <c r="L599" i="164"/>
  <c r="A599" i="164"/>
  <c r="P598" i="164"/>
  <c r="N598" i="164"/>
  <c r="L598" i="164"/>
  <c r="A598" i="164"/>
  <c r="P597" i="164"/>
  <c r="N597" i="164"/>
  <c r="L597" i="164"/>
  <c r="A597" i="164"/>
  <c r="P596" i="164"/>
  <c r="N596" i="164"/>
  <c r="L596" i="164"/>
  <c r="A596" i="164"/>
  <c r="P595" i="164"/>
  <c r="N595" i="164"/>
  <c r="L595" i="164"/>
  <c r="A595" i="164"/>
  <c r="P594" i="164"/>
  <c r="N594" i="164"/>
  <c r="L594" i="164"/>
  <c r="A594" i="164"/>
  <c r="P593" i="164"/>
  <c r="N593" i="164"/>
  <c r="L593" i="164"/>
  <c r="A593" i="164"/>
  <c r="P592" i="164"/>
  <c r="N592" i="164"/>
  <c r="L592" i="164"/>
  <c r="A592" i="164"/>
  <c r="P591" i="164"/>
  <c r="N591" i="164"/>
  <c r="L591" i="164"/>
  <c r="A591" i="164"/>
  <c r="P590" i="164"/>
  <c r="N590" i="164"/>
  <c r="L590" i="164"/>
  <c r="A590" i="164"/>
  <c r="P589" i="164"/>
  <c r="N589" i="164"/>
  <c r="L589" i="164"/>
  <c r="A589" i="164"/>
  <c r="P588" i="164"/>
  <c r="N588" i="164"/>
  <c r="L588" i="164"/>
  <c r="A588" i="164"/>
  <c r="P587" i="164"/>
  <c r="N587" i="164"/>
  <c r="L587" i="164"/>
  <c r="A587" i="164"/>
  <c r="P586" i="164"/>
  <c r="N586" i="164"/>
  <c r="L586" i="164"/>
  <c r="A586" i="164"/>
  <c r="P585" i="164"/>
  <c r="N585" i="164"/>
  <c r="L585" i="164"/>
  <c r="A585" i="164"/>
  <c r="P584" i="164"/>
  <c r="N584" i="164"/>
  <c r="L584" i="164"/>
  <c r="A584" i="164"/>
  <c r="P583" i="164"/>
  <c r="N583" i="164"/>
  <c r="L583" i="164"/>
  <c r="A583" i="164"/>
  <c r="P582" i="164"/>
  <c r="N582" i="164"/>
  <c r="L582" i="164"/>
  <c r="A582" i="164"/>
  <c r="P581" i="164"/>
  <c r="N581" i="164"/>
  <c r="L581" i="164"/>
  <c r="A581" i="164"/>
  <c r="P580" i="164"/>
  <c r="N580" i="164"/>
  <c r="L580" i="164"/>
  <c r="A580" i="164"/>
  <c r="P579" i="164"/>
  <c r="N579" i="164"/>
  <c r="L579" i="164"/>
  <c r="A579" i="164"/>
  <c r="P578" i="164"/>
  <c r="N578" i="164"/>
  <c r="L578" i="164"/>
  <c r="A578" i="164"/>
  <c r="P577" i="164"/>
  <c r="N577" i="164"/>
  <c r="L577" i="164"/>
  <c r="A577" i="164"/>
  <c r="P576" i="164"/>
  <c r="N576" i="164"/>
  <c r="L576" i="164"/>
  <c r="A576" i="164"/>
  <c r="P575" i="164"/>
  <c r="N575" i="164"/>
  <c r="L575" i="164"/>
  <c r="A575" i="164"/>
  <c r="P574" i="164"/>
  <c r="N574" i="164"/>
  <c r="L574" i="164"/>
  <c r="A574" i="164"/>
  <c r="P573" i="164"/>
  <c r="N573" i="164"/>
  <c r="L573" i="164"/>
  <c r="A573" i="164"/>
  <c r="P572" i="164"/>
  <c r="N572" i="164"/>
  <c r="L572" i="164"/>
  <c r="A572" i="164"/>
  <c r="P571" i="164"/>
  <c r="N571" i="164"/>
  <c r="L571" i="164"/>
  <c r="A571" i="164"/>
  <c r="P570" i="164"/>
  <c r="N570" i="164"/>
  <c r="L570" i="164"/>
  <c r="A570" i="164"/>
  <c r="P569" i="164"/>
  <c r="N569" i="164"/>
  <c r="L569" i="164"/>
  <c r="A569" i="164"/>
  <c r="P568" i="164"/>
  <c r="N568" i="164"/>
  <c r="L568" i="164"/>
  <c r="A568" i="164"/>
  <c r="P567" i="164"/>
  <c r="N567" i="164"/>
  <c r="L567" i="164"/>
  <c r="A567" i="164"/>
  <c r="P566" i="164"/>
  <c r="N566" i="164"/>
  <c r="L566" i="164"/>
  <c r="A566" i="164"/>
  <c r="P565" i="164"/>
  <c r="N565" i="164"/>
  <c r="L565" i="164"/>
  <c r="A565" i="164"/>
  <c r="P564" i="164"/>
  <c r="N564" i="164"/>
  <c r="L564" i="164"/>
  <c r="A564" i="164"/>
  <c r="P563" i="164"/>
  <c r="N563" i="164"/>
  <c r="L563" i="164"/>
  <c r="A563" i="164"/>
  <c r="P562" i="164"/>
  <c r="N562" i="164"/>
  <c r="L562" i="164"/>
  <c r="A562" i="164"/>
  <c r="P561" i="164"/>
  <c r="N561" i="164"/>
  <c r="L561" i="164"/>
  <c r="A561" i="164"/>
  <c r="P560" i="164"/>
  <c r="N560" i="164"/>
  <c r="L560" i="164"/>
  <c r="A560" i="164"/>
  <c r="P559" i="164"/>
  <c r="N559" i="164"/>
  <c r="L559" i="164"/>
  <c r="A559" i="164"/>
  <c r="P558" i="164"/>
  <c r="N558" i="164"/>
  <c r="L558" i="164"/>
  <c r="A558" i="164"/>
  <c r="P557" i="164"/>
  <c r="N557" i="164"/>
  <c r="L557" i="164"/>
  <c r="A557" i="164"/>
  <c r="P556" i="164"/>
  <c r="N556" i="164"/>
  <c r="L556" i="164"/>
  <c r="A556" i="164"/>
  <c r="P555" i="164"/>
  <c r="N555" i="164"/>
  <c r="L555" i="164"/>
  <c r="A555" i="164"/>
  <c r="P554" i="164"/>
  <c r="N554" i="164"/>
  <c r="L554" i="164"/>
  <c r="A554" i="164"/>
  <c r="P553" i="164"/>
  <c r="N553" i="164"/>
  <c r="L553" i="164"/>
  <c r="A553" i="164"/>
  <c r="P552" i="164"/>
  <c r="N552" i="164"/>
  <c r="L552" i="164"/>
  <c r="A552" i="164"/>
  <c r="P551" i="164"/>
  <c r="N551" i="164"/>
  <c r="L551" i="164"/>
  <c r="A551" i="164"/>
  <c r="P550" i="164"/>
  <c r="N550" i="164"/>
  <c r="L550" i="164"/>
  <c r="A550" i="164"/>
  <c r="P549" i="164"/>
  <c r="N549" i="164"/>
  <c r="L549" i="164"/>
  <c r="A549" i="164"/>
  <c r="P548" i="164"/>
  <c r="N548" i="164"/>
  <c r="L548" i="164"/>
  <c r="A548" i="164"/>
  <c r="P547" i="164"/>
  <c r="N547" i="164"/>
  <c r="L547" i="164"/>
  <c r="A547" i="164"/>
  <c r="P546" i="164"/>
  <c r="N546" i="164"/>
  <c r="L546" i="164"/>
  <c r="A546" i="164"/>
  <c r="P545" i="164"/>
  <c r="N545" i="164"/>
  <c r="L545" i="164"/>
  <c r="A545" i="164"/>
  <c r="P544" i="164"/>
  <c r="N544" i="164"/>
  <c r="L544" i="164"/>
  <c r="A544" i="164"/>
  <c r="P543" i="164"/>
  <c r="N543" i="164"/>
  <c r="L543" i="164"/>
  <c r="A543" i="164"/>
  <c r="P542" i="164"/>
  <c r="N542" i="164"/>
  <c r="L542" i="164"/>
  <c r="A542" i="164"/>
  <c r="P541" i="164"/>
  <c r="N541" i="164"/>
  <c r="L541" i="164"/>
  <c r="A541" i="164"/>
  <c r="P540" i="164"/>
  <c r="N540" i="164"/>
  <c r="L540" i="164"/>
  <c r="A540" i="164"/>
  <c r="P539" i="164"/>
  <c r="N539" i="164"/>
  <c r="L539" i="164"/>
  <c r="A539" i="164"/>
  <c r="P538" i="164"/>
  <c r="N538" i="164"/>
  <c r="L538" i="164"/>
  <c r="A538" i="164"/>
  <c r="P537" i="164"/>
  <c r="N537" i="164"/>
  <c r="L537" i="164"/>
  <c r="A537" i="164"/>
  <c r="P536" i="164"/>
  <c r="N536" i="164"/>
  <c r="L536" i="164"/>
  <c r="A536" i="164"/>
  <c r="P535" i="164"/>
  <c r="N535" i="164"/>
  <c r="L535" i="164"/>
  <c r="A535" i="164"/>
  <c r="P534" i="164"/>
  <c r="N534" i="164"/>
  <c r="L534" i="164"/>
  <c r="A534" i="164"/>
  <c r="P533" i="164"/>
  <c r="N533" i="164"/>
  <c r="L533" i="164"/>
  <c r="A533" i="164"/>
  <c r="P532" i="164"/>
  <c r="N532" i="164"/>
  <c r="L532" i="164"/>
  <c r="A532" i="164"/>
  <c r="P531" i="164"/>
  <c r="N531" i="164"/>
  <c r="L531" i="164"/>
  <c r="A531" i="164"/>
  <c r="P530" i="164"/>
  <c r="N530" i="164"/>
  <c r="L530" i="164"/>
  <c r="A530" i="164"/>
  <c r="P529" i="164"/>
  <c r="N529" i="164"/>
  <c r="L529" i="164"/>
  <c r="A529" i="164"/>
  <c r="P528" i="164"/>
  <c r="N528" i="164"/>
  <c r="L528" i="164"/>
  <c r="A528" i="164"/>
  <c r="P527" i="164"/>
  <c r="N527" i="164"/>
  <c r="L527" i="164"/>
  <c r="A527" i="164"/>
  <c r="P526" i="164"/>
  <c r="N526" i="164"/>
  <c r="L526" i="164"/>
  <c r="A526" i="164"/>
  <c r="P525" i="164"/>
  <c r="N525" i="164"/>
  <c r="L525" i="164"/>
  <c r="A525" i="164"/>
  <c r="P524" i="164"/>
  <c r="N524" i="164"/>
  <c r="L524" i="164"/>
  <c r="A524" i="164"/>
  <c r="P523" i="164"/>
  <c r="N523" i="164"/>
  <c r="L523" i="164"/>
  <c r="A523" i="164"/>
  <c r="P522" i="164"/>
  <c r="N522" i="164"/>
  <c r="L522" i="164"/>
  <c r="A522" i="164"/>
  <c r="P521" i="164"/>
  <c r="N521" i="164"/>
  <c r="L521" i="164"/>
  <c r="A521" i="164"/>
  <c r="P520" i="164"/>
  <c r="N520" i="164"/>
  <c r="L520" i="164"/>
  <c r="A520" i="164"/>
  <c r="P519" i="164"/>
  <c r="N519" i="164"/>
  <c r="L519" i="164"/>
  <c r="A519" i="164"/>
  <c r="P518" i="164"/>
  <c r="N518" i="164"/>
  <c r="L518" i="164"/>
  <c r="A518" i="164"/>
  <c r="P517" i="164"/>
  <c r="N517" i="164"/>
  <c r="L517" i="164"/>
  <c r="A517" i="164"/>
  <c r="P516" i="164"/>
  <c r="N516" i="164"/>
  <c r="L516" i="164"/>
  <c r="A516" i="164"/>
  <c r="P515" i="164"/>
  <c r="N515" i="164"/>
  <c r="L515" i="164"/>
  <c r="A515" i="164"/>
  <c r="P514" i="164"/>
  <c r="N514" i="164"/>
  <c r="L514" i="164"/>
  <c r="A514" i="164"/>
  <c r="P513" i="164"/>
  <c r="N513" i="164"/>
  <c r="L513" i="164"/>
  <c r="A513" i="164"/>
  <c r="P512" i="164"/>
  <c r="N512" i="164"/>
  <c r="L512" i="164"/>
  <c r="A512" i="164"/>
  <c r="P511" i="164"/>
  <c r="N511" i="164"/>
  <c r="L511" i="164"/>
  <c r="A511" i="164"/>
  <c r="P510" i="164"/>
  <c r="N510" i="164"/>
  <c r="L510" i="164"/>
  <c r="A510" i="164"/>
  <c r="P509" i="164"/>
  <c r="N509" i="164"/>
  <c r="L509" i="164"/>
  <c r="A509" i="164"/>
  <c r="P508" i="164"/>
  <c r="N508" i="164"/>
  <c r="L508" i="164"/>
  <c r="A508" i="164"/>
  <c r="P507" i="164"/>
  <c r="N507" i="164"/>
  <c r="L507" i="164"/>
  <c r="A507" i="164"/>
  <c r="P506" i="164"/>
  <c r="N506" i="164"/>
  <c r="L506" i="164"/>
  <c r="A506" i="164"/>
  <c r="P505" i="164"/>
  <c r="N505" i="164"/>
  <c r="L505" i="164"/>
  <c r="A505" i="164"/>
  <c r="P504" i="164"/>
  <c r="N504" i="164"/>
  <c r="L504" i="164"/>
  <c r="A504" i="164"/>
  <c r="P503" i="164"/>
  <c r="N503" i="164"/>
  <c r="L503" i="164"/>
  <c r="A503" i="164"/>
  <c r="P502" i="164"/>
  <c r="N502" i="164"/>
  <c r="L502" i="164"/>
  <c r="A502" i="164"/>
  <c r="P501" i="164"/>
  <c r="N501" i="164"/>
  <c r="L501" i="164"/>
  <c r="A501" i="164"/>
  <c r="P500" i="164"/>
  <c r="N500" i="164"/>
  <c r="L500" i="164"/>
  <c r="A500" i="164"/>
  <c r="P499" i="164"/>
  <c r="N499" i="164"/>
  <c r="L499" i="164"/>
  <c r="A499" i="164"/>
  <c r="P498" i="164"/>
  <c r="N498" i="164"/>
  <c r="L498" i="164"/>
  <c r="A498" i="164"/>
  <c r="P497" i="164"/>
  <c r="N497" i="164"/>
  <c r="L497" i="164"/>
  <c r="A497" i="164"/>
  <c r="P496" i="164"/>
  <c r="N496" i="164"/>
  <c r="L496" i="164"/>
  <c r="A496" i="164"/>
  <c r="P495" i="164"/>
  <c r="N495" i="164"/>
  <c r="L495" i="164"/>
  <c r="A495" i="164"/>
  <c r="P494" i="164"/>
  <c r="N494" i="164"/>
  <c r="L494" i="164"/>
  <c r="A494" i="164"/>
  <c r="P493" i="164"/>
  <c r="N493" i="164"/>
  <c r="L493" i="164"/>
  <c r="A493" i="164"/>
  <c r="P492" i="164"/>
  <c r="N492" i="164"/>
  <c r="L492" i="164"/>
  <c r="A492" i="164"/>
  <c r="P491" i="164"/>
  <c r="N491" i="164"/>
  <c r="L491" i="164"/>
  <c r="A491" i="164"/>
  <c r="P490" i="164"/>
  <c r="N490" i="164"/>
  <c r="L490" i="164"/>
  <c r="P489" i="164"/>
  <c r="N489" i="164"/>
  <c r="L489" i="164"/>
  <c r="P488" i="164"/>
  <c r="N488" i="164"/>
  <c r="L488" i="164"/>
  <c r="P487" i="164"/>
  <c r="N487" i="164"/>
  <c r="L487" i="164"/>
  <c r="P486" i="164"/>
  <c r="N486" i="164"/>
  <c r="L486" i="164"/>
  <c r="P485" i="164"/>
  <c r="N485" i="164"/>
  <c r="L485" i="164"/>
  <c r="P484" i="164"/>
  <c r="N484" i="164"/>
  <c r="L484" i="164"/>
  <c r="P483" i="164"/>
  <c r="N483" i="164"/>
  <c r="L483" i="164"/>
  <c r="P482" i="164"/>
  <c r="N482" i="164"/>
  <c r="L482" i="164"/>
  <c r="P481" i="164"/>
  <c r="N481" i="164"/>
  <c r="L481" i="164"/>
  <c r="P480" i="164"/>
  <c r="N480" i="164"/>
  <c r="L480" i="164"/>
  <c r="P479" i="164"/>
  <c r="N479" i="164"/>
  <c r="L479" i="164"/>
  <c r="P478" i="164"/>
  <c r="N478" i="164"/>
  <c r="L478" i="164"/>
  <c r="P477" i="164"/>
  <c r="N477" i="164"/>
  <c r="L477" i="164"/>
  <c r="P476" i="164"/>
  <c r="N476" i="164"/>
  <c r="L476" i="164"/>
  <c r="P475" i="164"/>
  <c r="N475" i="164"/>
  <c r="L475" i="164"/>
  <c r="P474" i="164"/>
  <c r="N474" i="164"/>
  <c r="L474" i="164"/>
  <c r="A474" i="164"/>
  <c r="P473" i="164"/>
  <c r="N473" i="164"/>
  <c r="L473" i="164"/>
  <c r="A473" i="164"/>
  <c r="P472" i="164"/>
  <c r="N472" i="164"/>
  <c r="L472" i="164"/>
  <c r="A472" i="164"/>
  <c r="P471" i="164"/>
  <c r="N471" i="164"/>
  <c r="L471" i="164"/>
  <c r="A471" i="164"/>
  <c r="P470" i="164"/>
  <c r="N470" i="164"/>
  <c r="L470" i="164"/>
  <c r="A470" i="164"/>
  <c r="P469" i="164"/>
  <c r="N469" i="164"/>
  <c r="L469" i="164"/>
  <c r="A469" i="164"/>
  <c r="P468" i="164"/>
  <c r="N468" i="164"/>
  <c r="L468" i="164"/>
  <c r="A468" i="164"/>
  <c r="P467" i="164"/>
  <c r="N467" i="164"/>
  <c r="L467" i="164"/>
  <c r="A467" i="164"/>
  <c r="P466" i="164"/>
  <c r="N466" i="164"/>
  <c r="L466" i="164"/>
  <c r="A466" i="164"/>
  <c r="P465" i="164"/>
  <c r="N465" i="164"/>
  <c r="L465" i="164"/>
  <c r="A465" i="164"/>
  <c r="P464" i="164"/>
  <c r="N464" i="164"/>
  <c r="L464" i="164"/>
  <c r="A464" i="164"/>
  <c r="P463" i="164"/>
  <c r="N463" i="164"/>
  <c r="L463" i="164"/>
  <c r="A463" i="164"/>
  <c r="P462" i="164"/>
  <c r="N462" i="164"/>
  <c r="L462" i="164"/>
  <c r="A462" i="164"/>
  <c r="P461" i="164"/>
  <c r="N461" i="164"/>
  <c r="L461" i="164"/>
  <c r="A461" i="164"/>
  <c r="P460" i="164"/>
  <c r="N460" i="164"/>
  <c r="L460" i="164"/>
  <c r="A460" i="164"/>
  <c r="P459" i="164"/>
  <c r="N459" i="164"/>
  <c r="L459" i="164"/>
  <c r="A459" i="164"/>
  <c r="P458" i="164"/>
  <c r="N458" i="164"/>
  <c r="L458" i="164"/>
  <c r="A458" i="164"/>
  <c r="P457" i="164"/>
  <c r="N457" i="164"/>
  <c r="L457" i="164"/>
  <c r="A457" i="164"/>
  <c r="P456" i="164"/>
  <c r="N456" i="164"/>
  <c r="L456" i="164"/>
  <c r="A456" i="164"/>
  <c r="P455" i="164"/>
  <c r="N455" i="164"/>
  <c r="L455" i="164"/>
  <c r="A455" i="164"/>
  <c r="P454" i="164"/>
  <c r="N454" i="164"/>
  <c r="L454" i="164"/>
  <c r="A454" i="164"/>
  <c r="P453" i="164"/>
  <c r="N453" i="164"/>
  <c r="L453" i="164"/>
  <c r="A453" i="164"/>
  <c r="P452" i="164"/>
  <c r="N452" i="164"/>
  <c r="L452" i="164"/>
  <c r="A452" i="164"/>
  <c r="P451" i="164"/>
  <c r="N451" i="164"/>
  <c r="L451" i="164"/>
  <c r="A451" i="164"/>
  <c r="P450" i="164"/>
  <c r="N450" i="164"/>
  <c r="L450" i="164"/>
  <c r="A450" i="164"/>
  <c r="P449" i="164"/>
  <c r="N449" i="164"/>
  <c r="L449" i="164"/>
  <c r="A449" i="164"/>
  <c r="P448" i="164"/>
  <c r="N448" i="164"/>
  <c r="L448" i="164"/>
  <c r="A448" i="164"/>
  <c r="P447" i="164"/>
  <c r="N447" i="164"/>
  <c r="L447" i="164"/>
  <c r="A447" i="164"/>
  <c r="P446" i="164"/>
  <c r="N446" i="164"/>
  <c r="L446" i="164"/>
  <c r="A446" i="164"/>
  <c r="P445" i="164"/>
  <c r="N445" i="164"/>
  <c r="L445" i="164"/>
  <c r="A445" i="164"/>
  <c r="P444" i="164"/>
  <c r="N444" i="164"/>
  <c r="L444" i="164"/>
  <c r="A444" i="164"/>
  <c r="P443" i="164"/>
  <c r="N443" i="164"/>
  <c r="L443" i="164"/>
  <c r="A443" i="164"/>
  <c r="P442" i="164"/>
  <c r="N442" i="164"/>
  <c r="L442" i="164"/>
  <c r="A442" i="164"/>
  <c r="P441" i="164"/>
  <c r="N441" i="164"/>
  <c r="L441" i="164"/>
  <c r="A441" i="164"/>
  <c r="P440" i="164"/>
  <c r="N440" i="164"/>
  <c r="L440" i="164"/>
  <c r="A440" i="164"/>
  <c r="P439" i="164"/>
  <c r="N439" i="164"/>
  <c r="L439" i="164"/>
  <c r="A439" i="164"/>
  <c r="P438" i="164"/>
  <c r="N438" i="164"/>
  <c r="L438" i="164"/>
  <c r="A438" i="164"/>
  <c r="P437" i="164"/>
  <c r="N437" i="164"/>
  <c r="L437" i="164"/>
  <c r="A437" i="164"/>
  <c r="P436" i="164"/>
  <c r="N436" i="164"/>
  <c r="L436" i="164"/>
  <c r="A436" i="164"/>
  <c r="P435" i="164"/>
  <c r="N435" i="164"/>
  <c r="L435" i="164"/>
  <c r="A435" i="164"/>
  <c r="P434" i="164"/>
  <c r="N434" i="164"/>
  <c r="L434" i="164"/>
  <c r="A434" i="164"/>
  <c r="P433" i="164"/>
  <c r="N433" i="164"/>
  <c r="L433" i="164"/>
  <c r="A433" i="164"/>
  <c r="P432" i="164"/>
  <c r="N432" i="164"/>
  <c r="L432" i="164"/>
  <c r="A432" i="164"/>
  <c r="P431" i="164"/>
  <c r="N431" i="164"/>
  <c r="L431" i="164"/>
  <c r="A431" i="164"/>
  <c r="P430" i="164"/>
  <c r="N430" i="164"/>
  <c r="L430" i="164"/>
  <c r="A430" i="164"/>
  <c r="P429" i="164"/>
  <c r="N429" i="164"/>
  <c r="L429" i="164"/>
  <c r="A429" i="164"/>
  <c r="P428" i="164"/>
  <c r="N428" i="164"/>
  <c r="L428" i="164"/>
  <c r="A428" i="164"/>
  <c r="P427" i="164"/>
  <c r="N427" i="164"/>
  <c r="L427" i="164"/>
  <c r="A427" i="164"/>
  <c r="P426" i="164"/>
  <c r="N426" i="164"/>
  <c r="L426" i="164"/>
  <c r="A426" i="164"/>
  <c r="P425" i="164"/>
  <c r="N425" i="164"/>
  <c r="L425" i="164"/>
  <c r="A425" i="164"/>
  <c r="P424" i="164"/>
  <c r="N424" i="164"/>
  <c r="L424" i="164"/>
  <c r="A424" i="164"/>
  <c r="P423" i="164"/>
  <c r="N423" i="164"/>
  <c r="L423" i="164"/>
  <c r="A423" i="164"/>
  <c r="P422" i="164"/>
  <c r="N422" i="164"/>
  <c r="L422" i="164"/>
  <c r="A422" i="164"/>
  <c r="P421" i="164"/>
  <c r="N421" i="164"/>
  <c r="L421" i="164"/>
  <c r="A421" i="164"/>
  <c r="P420" i="164"/>
  <c r="N420" i="164"/>
  <c r="L420" i="164"/>
  <c r="A420" i="164"/>
  <c r="P419" i="164"/>
  <c r="N419" i="164"/>
  <c r="L419" i="164"/>
  <c r="A419" i="164"/>
  <c r="P418" i="164"/>
  <c r="N418" i="164"/>
  <c r="L418" i="164"/>
  <c r="A418" i="164"/>
  <c r="P417" i="164"/>
  <c r="N417" i="164"/>
  <c r="L417" i="164"/>
  <c r="A417" i="164"/>
  <c r="P416" i="164"/>
  <c r="N416" i="164"/>
  <c r="L416" i="164"/>
  <c r="A416" i="164"/>
  <c r="P415" i="164"/>
  <c r="N415" i="164"/>
  <c r="L415" i="164"/>
  <c r="A415" i="164"/>
  <c r="P414" i="164"/>
  <c r="N414" i="164"/>
  <c r="L414" i="164"/>
  <c r="A414" i="164"/>
  <c r="P413" i="164"/>
  <c r="N413" i="164"/>
  <c r="L413" i="164"/>
  <c r="A413" i="164"/>
  <c r="P412" i="164"/>
  <c r="N412" i="164"/>
  <c r="L412" i="164"/>
  <c r="A412" i="164"/>
  <c r="P411" i="164"/>
  <c r="N411" i="164"/>
  <c r="L411" i="164"/>
  <c r="A411" i="164"/>
  <c r="P410" i="164"/>
  <c r="N410" i="164"/>
  <c r="L410" i="164"/>
  <c r="A410" i="164"/>
  <c r="P409" i="164"/>
  <c r="N409" i="164"/>
  <c r="L409" i="164"/>
  <c r="A409" i="164"/>
  <c r="P408" i="164"/>
  <c r="N408" i="164"/>
  <c r="L408" i="164"/>
  <c r="A408" i="164"/>
  <c r="P407" i="164"/>
  <c r="N407" i="164"/>
  <c r="L407" i="164"/>
  <c r="A407" i="164"/>
  <c r="P406" i="164"/>
  <c r="N406" i="164"/>
  <c r="L406" i="164"/>
  <c r="A406" i="164"/>
  <c r="P405" i="164"/>
  <c r="N405" i="164"/>
  <c r="L405" i="164"/>
  <c r="A405" i="164"/>
  <c r="P404" i="164"/>
  <c r="N404" i="164"/>
  <c r="L404" i="164"/>
  <c r="A404" i="164"/>
  <c r="P403" i="164"/>
  <c r="N403" i="164"/>
  <c r="L403" i="164"/>
  <c r="A403" i="164"/>
  <c r="P402" i="164"/>
  <c r="N402" i="164"/>
  <c r="L402" i="164"/>
  <c r="A402" i="164"/>
  <c r="P401" i="164"/>
  <c r="N401" i="164"/>
  <c r="L401" i="164"/>
  <c r="A401" i="164"/>
  <c r="P400" i="164"/>
  <c r="N400" i="164"/>
  <c r="L400" i="164"/>
  <c r="A400" i="164"/>
  <c r="P399" i="164"/>
  <c r="N399" i="164"/>
  <c r="L399" i="164"/>
  <c r="A399" i="164"/>
  <c r="P398" i="164"/>
  <c r="N398" i="164"/>
  <c r="L398" i="164"/>
  <c r="A398" i="164"/>
  <c r="P397" i="164"/>
  <c r="N397" i="164"/>
  <c r="L397" i="164"/>
  <c r="A397" i="164"/>
  <c r="P396" i="164"/>
  <c r="N396" i="164"/>
  <c r="L396" i="164"/>
  <c r="A396" i="164"/>
  <c r="P395" i="164"/>
  <c r="N395" i="164"/>
  <c r="L395" i="164"/>
  <c r="A395" i="164"/>
  <c r="P394" i="164"/>
  <c r="N394" i="164"/>
  <c r="L394" i="164"/>
  <c r="A394" i="164"/>
  <c r="P393" i="164"/>
  <c r="N393" i="164"/>
  <c r="L393" i="164"/>
  <c r="A393" i="164"/>
  <c r="P392" i="164"/>
  <c r="N392" i="164"/>
  <c r="L392" i="164"/>
  <c r="A392" i="164"/>
  <c r="P391" i="164"/>
  <c r="N391" i="164"/>
  <c r="L391" i="164"/>
  <c r="A391" i="164"/>
  <c r="P390" i="164"/>
  <c r="N390" i="164"/>
  <c r="L390" i="164"/>
  <c r="A390" i="164"/>
  <c r="P389" i="164"/>
  <c r="N389" i="164"/>
  <c r="L389" i="164"/>
  <c r="A389" i="164"/>
  <c r="P388" i="164"/>
  <c r="N388" i="164"/>
  <c r="L388" i="164"/>
  <c r="A388" i="164"/>
  <c r="P387" i="164"/>
  <c r="N387" i="164"/>
  <c r="L387" i="164"/>
  <c r="A387" i="164"/>
  <c r="P386" i="164"/>
  <c r="N386" i="164"/>
  <c r="L386" i="164"/>
  <c r="A386" i="164"/>
  <c r="P385" i="164"/>
  <c r="N385" i="164"/>
  <c r="L385" i="164"/>
  <c r="A385" i="164"/>
  <c r="P384" i="164"/>
  <c r="N384" i="164"/>
  <c r="L384" i="164"/>
  <c r="A384" i="164"/>
  <c r="P383" i="164"/>
  <c r="N383" i="164"/>
  <c r="L383" i="164"/>
  <c r="A383" i="164"/>
  <c r="P382" i="164"/>
  <c r="N382" i="164"/>
  <c r="L382" i="164"/>
  <c r="A382" i="164"/>
  <c r="P381" i="164"/>
  <c r="N381" i="164"/>
  <c r="L381" i="164"/>
  <c r="A381" i="164"/>
  <c r="P380" i="164"/>
  <c r="N380" i="164"/>
  <c r="L380" i="164"/>
  <c r="A380" i="164"/>
  <c r="P379" i="164"/>
  <c r="N379" i="164"/>
  <c r="L379" i="164"/>
  <c r="A379" i="164"/>
  <c r="P378" i="164"/>
  <c r="N378" i="164"/>
  <c r="L378" i="164"/>
  <c r="A378" i="164"/>
  <c r="P377" i="164"/>
  <c r="N377" i="164"/>
  <c r="L377" i="164"/>
  <c r="A377" i="164"/>
  <c r="P376" i="164"/>
  <c r="N376" i="164"/>
  <c r="L376" i="164"/>
  <c r="A376" i="164"/>
  <c r="P375" i="164"/>
  <c r="N375" i="164"/>
  <c r="L375" i="164"/>
  <c r="A375" i="164"/>
  <c r="P374" i="164"/>
  <c r="N374" i="164"/>
  <c r="L374" i="164"/>
  <c r="A374" i="164"/>
  <c r="P373" i="164"/>
  <c r="N373" i="164"/>
  <c r="L373" i="164"/>
  <c r="A373" i="164"/>
  <c r="P372" i="164"/>
  <c r="N372" i="164"/>
  <c r="L372" i="164"/>
  <c r="A372" i="164"/>
  <c r="P371" i="164"/>
  <c r="N371" i="164"/>
  <c r="L371" i="164"/>
  <c r="A371" i="164"/>
  <c r="P370" i="164"/>
  <c r="N370" i="164"/>
  <c r="L370" i="164"/>
  <c r="A370" i="164"/>
  <c r="P369" i="164"/>
  <c r="N369" i="164"/>
  <c r="L369" i="164"/>
  <c r="A369" i="164"/>
  <c r="P368" i="164"/>
  <c r="N368" i="164"/>
  <c r="L368" i="164"/>
  <c r="A368" i="164"/>
  <c r="P367" i="164"/>
  <c r="N367" i="164"/>
  <c r="L367" i="164"/>
  <c r="A367" i="164"/>
  <c r="P366" i="164"/>
  <c r="N366" i="164"/>
  <c r="L366" i="164"/>
  <c r="A366" i="164"/>
  <c r="P365" i="164"/>
  <c r="N365" i="164"/>
  <c r="L365" i="164"/>
  <c r="A365" i="164"/>
  <c r="P364" i="164"/>
  <c r="N364" i="164"/>
  <c r="L364" i="164"/>
  <c r="A364" i="164"/>
  <c r="P363" i="164"/>
  <c r="N363" i="164"/>
  <c r="L363" i="164"/>
  <c r="A363" i="164"/>
  <c r="P362" i="164"/>
  <c r="N362" i="164"/>
  <c r="L362" i="164"/>
  <c r="A362" i="164"/>
  <c r="P361" i="164"/>
  <c r="N361" i="164"/>
  <c r="L361" i="164"/>
  <c r="A361" i="164"/>
  <c r="P360" i="164"/>
  <c r="N360" i="164"/>
  <c r="L360" i="164"/>
  <c r="A360" i="164"/>
  <c r="P359" i="164"/>
  <c r="N359" i="164"/>
  <c r="L359" i="164"/>
  <c r="A359" i="164"/>
  <c r="P358" i="164"/>
  <c r="N358" i="164"/>
  <c r="L358" i="164"/>
  <c r="A358" i="164"/>
  <c r="P357" i="164"/>
  <c r="N357" i="164"/>
  <c r="L357" i="164"/>
  <c r="A357" i="164"/>
  <c r="P356" i="164"/>
  <c r="N356" i="164"/>
  <c r="L356" i="164"/>
  <c r="A356" i="164"/>
  <c r="P355" i="164"/>
  <c r="N355" i="164"/>
  <c r="L355" i="164"/>
  <c r="A355" i="164"/>
  <c r="P354" i="164"/>
  <c r="N354" i="164"/>
  <c r="L354" i="164"/>
  <c r="A354" i="164"/>
  <c r="P353" i="164"/>
  <c r="N353" i="164"/>
  <c r="L353" i="164"/>
  <c r="A353" i="164"/>
  <c r="P352" i="164"/>
  <c r="N352" i="164"/>
  <c r="L352" i="164"/>
  <c r="A352" i="164"/>
  <c r="P351" i="164"/>
  <c r="N351" i="164"/>
  <c r="L351" i="164"/>
  <c r="A351" i="164"/>
  <c r="P350" i="164"/>
  <c r="N350" i="164"/>
  <c r="L350" i="164"/>
  <c r="A350" i="164"/>
  <c r="P349" i="164"/>
  <c r="N349" i="164"/>
  <c r="L349" i="164"/>
  <c r="A349" i="164"/>
  <c r="P348" i="164"/>
  <c r="N348" i="164"/>
  <c r="L348" i="164"/>
  <c r="A348" i="164"/>
  <c r="P347" i="164"/>
  <c r="N347" i="164"/>
  <c r="L347" i="164"/>
  <c r="A347" i="164"/>
  <c r="P346" i="164"/>
  <c r="N346" i="164"/>
  <c r="L346" i="164"/>
  <c r="A346" i="164"/>
  <c r="P345" i="164"/>
  <c r="N345" i="164"/>
  <c r="L345" i="164"/>
  <c r="A345" i="164"/>
  <c r="P344" i="164"/>
  <c r="N344" i="164"/>
  <c r="L344" i="164"/>
  <c r="A344" i="164"/>
  <c r="P343" i="164"/>
  <c r="N343" i="164"/>
  <c r="L343" i="164"/>
  <c r="A343" i="164"/>
  <c r="P342" i="164"/>
  <c r="N342" i="164"/>
  <c r="L342" i="164"/>
  <c r="A342" i="164"/>
  <c r="P341" i="164"/>
  <c r="N341" i="164"/>
  <c r="L341" i="164"/>
  <c r="A341" i="164"/>
  <c r="P340" i="164"/>
  <c r="N340" i="164"/>
  <c r="L340" i="164"/>
  <c r="A340" i="164"/>
  <c r="P339" i="164"/>
  <c r="N339" i="164"/>
  <c r="L339" i="164"/>
  <c r="A339" i="164"/>
  <c r="P338" i="164"/>
  <c r="N338" i="164"/>
  <c r="L338" i="164"/>
  <c r="A338" i="164"/>
  <c r="P337" i="164"/>
  <c r="N337" i="164"/>
  <c r="L337" i="164"/>
  <c r="A337" i="164"/>
  <c r="P336" i="164"/>
  <c r="N336" i="164"/>
  <c r="L336" i="164"/>
  <c r="A336" i="164"/>
  <c r="P335" i="164"/>
  <c r="N335" i="164"/>
  <c r="L335" i="164"/>
  <c r="A335" i="164"/>
  <c r="P334" i="164"/>
  <c r="N334" i="164"/>
  <c r="L334" i="164"/>
  <c r="A334" i="164"/>
  <c r="P333" i="164"/>
  <c r="N333" i="164"/>
  <c r="L333" i="164"/>
  <c r="A333" i="164"/>
  <c r="P332" i="164"/>
  <c r="N332" i="164"/>
  <c r="L332" i="164"/>
  <c r="A332" i="164"/>
  <c r="P331" i="164"/>
  <c r="N331" i="164"/>
  <c r="L331" i="164"/>
  <c r="A331" i="164"/>
  <c r="P330" i="164"/>
  <c r="N330" i="164"/>
  <c r="L330" i="164"/>
  <c r="A330" i="164"/>
  <c r="P329" i="164"/>
  <c r="N329" i="164"/>
  <c r="L329" i="164"/>
  <c r="A329" i="164"/>
  <c r="P328" i="164"/>
  <c r="N328" i="164"/>
  <c r="L328" i="164"/>
  <c r="A328" i="164"/>
  <c r="P327" i="164"/>
  <c r="N327" i="164"/>
  <c r="L327" i="164"/>
  <c r="A327" i="164"/>
  <c r="P326" i="164"/>
  <c r="N326" i="164"/>
  <c r="L326" i="164"/>
  <c r="A326" i="164"/>
  <c r="P325" i="164"/>
  <c r="N325" i="164"/>
  <c r="L325" i="164"/>
  <c r="A325" i="164"/>
  <c r="P324" i="164"/>
  <c r="N324" i="164"/>
  <c r="L324" i="164"/>
  <c r="A324" i="164"/>
  <c r="P323" i="164"/>
  <c r="N323" i="164"/>
  <c r="L323" i="164"/>
  <c r="A323" i="164"/>
  <c r="P322" i="164"/>
  <c r="N322" i="164"/>
  <c r="L322" i="164"/>
  <c r="A322" i="164"/>
  <c r="P321" i="164"/>
  <c r="N321" i="164"/>
  <c r="L321" i="164"/>
  <c r="A321" i="164"/>
  <c r="P320" i="164"/>
  <c r="N320" i="164"/>
  <c r="L320" i="164"/>
  <c r="A320" i="164"/>
  <c r="P319" i="164"/>
  <c r="N319" i="164"/>
  <c r="L319" i="164"/>
  <c r="A319" i="164"/>
  <c r="P318" i="164"/>
  <c r="N318" i="164"/>
  <c r="L318" i="164"/>
  <c r="A318" i="164"/>
  <c r="P317" i="164"/>
  <c r="N317" i="164"/>
  <c r="L317" i="164"/>
  <c r="A317" i="164"/>
  <c r="P316" i="164"/>
  <c r="N316" i="164"/>
  <c r="L316" i="164"/>
  <c r="A316" i="164"/>
  <c r="P315" i="164"/>
  <c r="N315" i="164"/>
  <c r="L315" i="164"/>
  <c r="A315" i="164"/>
  <c r="P314" i="164"/>
  <c r="N314" i="164"/>
  <c r="L314" i="164"/>
  <c r="A314" i="164"/>
  <c r="P313" i="164"/>
  <c r="N313" i="164"/>
  <c r="L313" i="164"/>
  <c r="A313" i="164"/>
  <c r="P312" i="164"/>
  <c r="N312" i="164"/>
  <c r="L312" i="164"/>
  <c r="A312" i="164"/>
  <c r="P311" i="164"/>
  <c r="N311" i="164"/>
  <c r="L311" i="164"/>
  <c r="A311" i="164"/>
  <c r="P310" i="164"/>
  <c r="N310" i="164"/>
  <c r="L310" i="164"/>
  <c r="A310" i="164"/>
  <c r="P309" i="164"/>
  <c r="N309" i="164"/>
  <c r="L309" i="164"/>
  <c r="A309" i="164"/>
  <c r="P308" i="164"/>
  <c r="N308" i="164"/>
  <c r="L308" i="164"/>
  <c r="A308" i="164"/>
  <c r="P307" i="164"/>
  <c r="N307" i="164"/>
  <c r="L307" i="164"/>
  <c r="A307" i="164"/>
  <c r="P306" i="164"/>
  <c r="N306" i="164"/>
  <c r="L306" i="164"/>
  <c r="A306" i="164"/>
  <c r="P305" i="164"/>
  <c r="N305" i="164"/>
  <c r="L305" i="164"/>
  <c r="A305" i="164"/>
  <c r="P304" i="164"/>
  <c r="N304" i="164"/>
  <c r="L304" i="164"/>
  <c r="A304" i="164"/>
  <c r="P303" i="164"/>
  <c r="N303" i="164"/>
  <c r="L303" i="164"/>
  <c r="A303" i="164"/>
  <c r="P302" i="164"/>
  <c r="N302" i="164"/>
  <c r="L302" i="164"/>
  <c r="A302" i="164"/>
  <c r="P301" i="164"/>
  <c r="N301" i="164"/>
  <c r="L301" i="164"/>
  <c r="A301" i="164"/>
  <c r="P300" i="164"/>
  <c r="N300" i="164"/>
  <c r="L300" i="164"/>
  <c r="A300" i="164"/>
  <c r="P299" i="164"/>
  <c r="N299" i="164"/>
  <c r="L299" i="164"/>
  <c r="A299" i="164"/>
  <c r="P298" i="164"/>
  <c r="N298" i="164"/>
  <c r="L298" i="164"/>
  <c r="A298" i="164"/>
  <c r="P297" i="164"/>
  <c r="N297" i="164"/>
  <c r="L297" i="164"/>
  <c r="A297" i="164"/>
  <c r="P296" i="164"/>
  <c r="N296" i="164"/>
  <c r="L296" i="164"/>
  <c r="A296" i="164"/>
  <c r="P295" i="164"/>
  <c r="N295" i="164"/>
  <c r="L295" i="164"/>
  <c r="A295" i="164"/>
  <c r="P294" i="164"/>
  <c r="N294" i="164"/>
  <c r="L294" i="164"/>
  <c r="A294" i="164"/>
  <c r="P293" i="164"/>
  <c r="N293" i="164"/>
  <c r="L293" i="164"/>
  <c r="A293" i="164"/>
  <c r="P292" i="164"/>
  <c r="N292" i="164"/>
  <c r="L292" i="164"/>
  <c r="A292" i="164"/>
  <c r="P291" i="164"/>
  <c r="N291" i="164"/>
  <c r="L291" i="164"/>
  <c r="A291" i="164"/>
  <c r="P290" i="164"/>
  <c r="N290" i="164"/>
  <c r="L290" i="164"/>
  <c r="A290" i="164"/>
  <c r="P289" i="164"/>
  <c r="N289" i="164"/>
  <c r="L289" i="164"/>
  <c r="A289" i="164"/>
  <c r="P288" i="164"/>
  <c r="N288" i="164"/>
  <c r="L288" i="164"/>
  <c r="A288" i="164"/>
  <c r="P287" i="164"/>
  <c r="N287" i="164"/>
  <c r="L287" i="164"/>
  <c r="A287" i="164"/>
  <c r="P286" i="164"/>
  <c r="N286" i="164"/>
  <c r="L286" i="164"/>
  <c r="A286" i="164"/>
  <c r="P285" i="164"/>
  <c r="N285" i="164"/>
  <c r="L285" i="164"/>
  <c r="A285" i="164"/>
  <c r="P284" i="164"/>
  <c r="N284" i="164"/>
  <c r="L284" i="164"/>
  <c r="A284" i="164"/>
  <c r="P283" i="164"/>
  <c r="N283" i="164"/>
  <c r="L283" i="164"/>
  <c r="A283" i="164"/>
  <c r="P282" i="164"/>
  <c r="N282" i="164"/>
  <c r="L282" i="164"/>
  <c r="A282" i="164"/>
  <c r="P281" i="164"/>
  <c r="N281" i="164"/>
  <c r="L281" i="164"/>
  <c r="A281" i="164"/>
  <c r="P280" i="164"/>
  <c r="N280" i="164"/>
  <c r="L280" i="164"/>
  <c r="A280" i="164"/>
  <c r="P279" i="164"/>
  <c r="N279" i="164"/>
  <c r="L279" i="164"/>
  <c r="A279" i="164"/>
  <c r="P278" i="164"/>
  <c r="N278" i="164"/>
  <c r="L278" i="164"/>
  <c r="A278" i="164"/>
  <c r="P277" i="164"/>
  <c r="N277" i="164"/>
  <c r="L277" i="164"/>
  <c r="A277" i="164"/>
  <c r="P276" i="164"/>
  <c r="N276" i="164"/>
  <c r="L276" i="164"/>
  <c r="A276" i="164"/>
  <c r="P275" i="164"/>
  <c r="N275" i="164"/>
  <c r="L275" i="164"/>
  <c r="A275" i="164"/>
  <c r="P274" i="164"/>
  <c r="N274" i="164"/>
  <c r="L274" i="164"/>
  <c r="A274" i="164"/>
  <c r="P273" i="164"/>
  <c r="N273" i="164"/>
  <c r="L273" i="164"/>
  <c r="A273" i="164"/>
  <c r="P272" i="164"/>
  <c r="N272" i="164"/>
  <c r="L272" i="164"/>
  <c r="A272" i="164"/>
  <c r="P271" i="164"/>
  <c r="N271" i="164"/>
  <c r="L271" i="164"/>
  <c r="A271" i="164"/>
  <c r="P270" i="164"/>
  <c r="N270" i="164"/>
  <c r="L270" i="164"/>
  <c r="A270" i="164"/>
  <c r="P269" i="164"/>
  <c r="N269" i="164"/>
  <c r="L269" i="164"/>
  <c r="A269" i="164"/>
  <c r="P268" i="164"/>
  <c r="N268" i="164"/>
  <c r="L268" i="164"/>
  <c r="A268" i="164"/>
  <c r="P267" i="164"/>
  <c r="N267" i="164"/>
  <c r="L267" i="164"/>
  <c r="A267" i="164"/>
  <c r="P266" i="164"/>
  <c r="N266" i="164"/>
  <c r="L266" i="164"/>
  <c r="A266" i="164"/>
  <c r="P265" i="164"/>
  <c r="N265" i="164"/>
  <c r="L265" i="164"/>
  <c r="A265" i="164"/>
  <c r="P264" i="164"/>
  <c r="N264" i="164"/>
  <c r="L264" i="164"/>
  <c r="A264" i="164"/>
  <c r="P263" i="164"/>
  <c r="N263" i="164"/>
  <c r="L263" i="164"/>
  <c r="A263" i="164"/>
  <c r="P262" i="164"/>
  <c r="N262" i="164"/>
  <c r="L262" i="164"/>
  <c r="A262" i="164"/>
  <c r="P261" i="164"/>
  <c r="N261" i="164"/>
  <c r="L261" i="164"/>
  <c r="A261" i="164"/>
  <c r="P260" i="164"/>
  <c r="N260" i="164"/>
  <c r="L260" i="164"/>
  <c r="A260" i="164"/>
  <c r="P259" i="164"/>
  <c r="N259" i="164"/>
  <c r="L259" i="164"/>
  <c r="A259" i="164"/>
  <c r="P258" i="164"/>
  <c r="N258" i="164"/>
  <c r="L258" i="164"/>
  <c r="A258" i="164"/>
  <c r="P257" i="164"/>
  <c r="N257" i="164"/>
  <c r="L257" i="164"/>
  <c r="A257" i="164"/>
  <c r="P256" i="164"/>
  <c r="N256" i="164"/>
  <c r="L256" i="164"/>
  <c r="A256" i="164"/>
  <c r="P255" i="164"/>
  <c r="N255" i="164"/>
  <c r="L255" i="164"/>
  <c r="A255" i="164"/>
  <c r="P254" i="164"/>
  <c r="N254" i="164"/>
  <c r="L254" i="164"/>
  <c r="A254" i="164"/>
  <c r="P253" i="164"/>
  <c r="N253" i="164"/>
  <c r="L253" i="164"/>
  <c r="A253" i="164"/>
  <c r="P252" i="164"/>
  <c r="N252" i="164"/>
  <c r="L252" i="164"/>
  <c r="A252" i="164"/>
  <c r="P251" i="164"/>
  <c r="N251" i="164"/>
  <c r="L251" i="164"/>
  <c r="A251" i="164"/>
  <c r="P250" i="164"/>
  <c r="N250" i="164"/>
  <c r="L250" i="164"/>
  <c r="A250" i="164"/>
  <c r="P249" i="164"/>
  <c r="N249" i="164"/>
  <c r="L249" i="164"/>
  <c r="A249" i="164"/>
  <c r="P248" i="164"/>
  <c r="N248" i="164"/>
  <c r="L248" i="164"/>
  <c r="A248" i="164"/>
  <c r="P247" i="164"/>
  <c r="N247" i="164"/>
  <c r="L247" i="164"/>
  <c r="A247" i="164"/>
  <c r="P246" i="164"/>
  <c r="N246" i="164"/>
  <c r="L246" i="164"/>
  <c r="A246" i="164"/>
  <c r="P245" i="164"/>
  <c r="N245" i="164"/>
  <c r="L245" i="164"/>
  <c r="A245" i="164"/>
  <c r="P244" i="164"/>
  <c r="N244" i="164"/>
  <c r="L244" i="164"/>
  <c r="A244" i="164"/>
  <c r="P243" i="164"/>
  <c r="N243" i="164"/>
  <c r="L243" i="164"/>
  <c r="A243" i="164"/>
  <c r="P242" i="164"/>
  <c r="N242" i="164"/>
  <c r="L242" i="164"/>
  <c r="A242" i="164"/>
  <c r="P241" i="164"/>
  <c r="N241" i="164"/>
  <c r="L241" i="164"/>
  <c r="A241" i="164"/>
  <c r="P240" i="164"/>
  <c r="N240" i="164"/>
  <c r="L240" i="164"/>
  <c r="A240" i="164"/>
  <c r="P239" i="164"/>
  <c r="N239" i="164"/>
  <c r="L239" i="164"/>
  <c r="A239" i="164"/>
  <c r="P238" i="164"/>
  <c r="N238" i="164"/>
  <c r="L238" i="164"/>
  <c r="A238" i="164"/>
  <c r="P237" i="164"/>
  <c r="N237" i="164"/>
  <c r="L237" i="164"/>
  <c r="A237" i="164"/>
  <c r="P236" i="164"/>
  <c r="N236" i="164"/>
  <c r="L236" i="164"/>
  <c r="A236" i="164"/>
  <c r="P235" i="164"/>
  <c r="N235" i="164"/>
  <c r="L235" i="164"/>
  <c r="A235" i="164"/>
  <c r="P234" i="164"/>
  <c r="N234" i="164"/>
  <c r="L234" i="164"/>
  <c r="A234" i="164"/>
  <c r="P233" i="164"/>
  <c r="N233" i="164"/>
  <c r="L233" i="164"/>
  <c r="A233" i="164"/>
  <c r="P232" i="164"/>
  <c r="N232" i="164"/>
  <c r="L232" i="164"/>
  <c r="A232" i="164"/>
  <c r="P231" i="164"/>
  <c r="N231" i="164"/>
  <c r="L231" i="164"/>
  <c r="A231" i="164"/>
  <c r="P230" i="164"/>
  <c r="N230" i="164"/>
  <c r="L230" i="164"/>
  <c r="A230" i="164"/>
  <c r="P229" i="164"/>
  <c r="N229" i="164"/>
  <c r="L229" i="164"/>
  <c r="A229" i="164"/>
  <c r="P228" i="164"/>
  <c r="N228" i="164"/>
  <c r="L228" i="164"/>
  <c r="A228" i="164"/>
  <c r="P227" i="164"/>
  <c r="N227" i="164"/>
  <c r="L227" i="164"/>
  <c r="A227" i="164"/>
  <c r="P226" i="164"/>
  <c r="N226" i="164"/>
  <c r="L226" i="164"/>
  <c r="A226" i="164"/>
  <c r="P225" i="164"/>
  <c r="N225" i="164"/>
  <c r="L225" i="164"/>
  <c r="A225" i="164"/>
  <c r="P224" i="164"/>
  <c r="N224" i="164"/>
  <c r="L224" i="164"/>
  <c r="A224" i="164"/>
  <c r="P223" i="164"/>
  <c r="N223" i="164"/>
  <c r="L223" i="164"/>
  <c r="A223" i="164"/>
  <c r="P222" i="164"/>
  <c r="N222" i="164"/>
  <c r="L222" i="164"/>
  <c r="A222" i="164"/>
  <c r="P221" i="164"/>
  <c r="N221" i="164"/>
  <c r="L221" i="164"/>
  <c r="A221" i="164"/>
  <c r="P220" i="164"/>
  <c r="N220" i="164"/>
  <c r="L220" i="164"/>
  <c r="A220" i="164"/>
  <c r="P219" i="164"/>
  <c r="N219" i="164"/>
  <c r="L219" i="164"/>
  <c r="A219" i="164"/>
  <c r="P218" i="164"/>
  <c r="N218" i="164"/>
  <c r="L218" i="164"/>
  <c r="A218" i="164"/>
  <c r="P217" i="164"/>
  <c r="N217" i="164"/>
  <c r="L217" i="164"/>
  <c r="A217" i="164"/>
  <c r="P216" i="164"/>
  <c r="N216" i="164"/>
  <c r="L216" i="164"/>
  <c r="A216" i="164"/>
  <c r="P215" i="164"/>
  <c r="N215" i="164"/>
  <c r="L215" i="164"/>
  <c r="A215" i="164"/>
  <c r="P214" i="164"/>
  <c r="N214" i="164"/>
  <c r="L214" i="164"/>
  <c r="A214" i="164"/>
  <c r="P213" i="164"/>
  <c r="N213" i="164"/>
  <c r="L213" i="164"/>
  <c r="A213" i="164"/>
  <c r="P212" i="164"/>
  <c r="N212" i="164"/>
  <c r="L212" i="164"/>
  <c r="A212" i="164"/>
  <c r="P211" i="164"/>
  <c r="N211" i="164"/>
  <c r="L211" i="164"/>
  <c r="A211" i="164"/>
  <c r="P210" i="164"/>
  <c r="N210" i="164"/>
  <c r="L210" i="164"/>
  <c r="A210" i="164"/>
  <c r="P209" i="164"/>
  <c r="N209" i="164"/>
  <c r="L209" i="164"/>
  <c r="A209" i="164"/>
  <c r="P208" i="164"/>
  <c r="N208" i="164"/>
  <c r="L208" i="164"/>
  <c r="A208" i="164"/>
  <c r="P207" i="164"/>
  <c r="N207" i="164"/>
  <c r="L207" i="164"/>
  <c r="A207" i="164"/>
  <c r="P206" i="164"/>
  <c r="N206" i="164"/>
  <c r="L206" i="164"/>
  <c r="A206" i="164"/>
  <c r="P205" i="164"/>
  <c r="N205" i="164"/>
  <c r="L205" i="164"/>
  <c r="A205" i="164"/>
  <c r="P204" i="164"/>
  <c r="N204" i="164"/>
  <c r="L204" i="164"/>
  <c r="A204" i="164"/>
  <c r="P203" i="164"/>
  <c r="N203" i="164"/>
  <c r="L203" i="164"/>
  <c r="A203" i="164"/>
  <c r="P202" i="164"/>
  <c r="N202" i="164"/>
  <c r="L202" i="164"/>
  <c r="A202" i="164"/>
  <c r="P201" i="164"/>
  <c r="N201" i="164"/>
  <c r="L201" i="164"/>
  <c r="A201" i="164"/>
  <c r="P200" i="164"/>
  <c r="N200" i="164"/>
  <c r="L200" i="164"/>
  <c r="A200" i="164"/>
  <c r="P199" i="164"/>
  <c r="N199" i="164"/>
  <c r="L199" i="164"/>
  <c r="A199" i="164"/>
  <c r="P198" i="164"/>
  <c r="N198" i="164"/>
  <c r="L198" i="164"/>
  <c r="A198" i="164"/>
  <c r="P197" i="164"/>
  <c r="N197" i="164"/>
  <c r="L197" i="164"/>
  <c r="A197" i="164"/>
  <c r="P196" i="164"/>
  <c r="N196" i="164"/>
  <c r="L196" i="164"/>
  <c r="A196" i="164"/>
  <c r="P195" i="164"/>
  <c r="N195" i="164"/>
  <c r="L195" i="164"/>
  <c r="A195" i="164"/>
  <c r="P194" i="164"/>
  <c r="N194" i="164"/>
  <c r="L194" i="164"/>
  <c r="A194" i="164"/>
  <c r="P193" i="164"/>
  <c r="N193" i="164"/>
  <c r="L193" i="164"/>
  <c r="A193" i="164"/>
  <c r="P192" i="164"/>
  <c r="N192" i="164"/>
  <c r="L192" i="164"/>
  <c r="A192" i="164"/>
  <c r="P191" i="164"/>
  <c r="N191" i="164"/>
  <c r="L191" i="164"/>
  <c r="A191" i="164"/>
  <c r="P190" i="164"/>
  <c r="N190" i="164"/>
  <c r="L190" i="164"/>
  <c r="A190" i="164"/>
  <c r="P189" i="164"/>
  <c r="N189" i="164"/>
  <c r="L189" i="164"/>
  <c r="A189" i="164"/>
  <c r="P188" i="164"/>
  <c r="N188" i="164"/>
  <c r="L188" i="164"/>
  <c r="A188" i="164"/>
  <c r="P187" i="164"/>
  <c r="N187" i="164"/>
  <c r="L187" i="164"/>
  <c r="A187" i="164"/>
  <c r="P186" i="164"/>
  <c r="N186" i="164"/>
  <c r="L186" i="164"/>
  <c r="A186" i="164"/>
  <c r="P185" i="164"/>
  <c r="N185" i="164"/>
  <c r="L185" i="164"/>
  <c r="A185" i="164"/>
  <c r="P184" i="164"/>
  <c r="N184" i="164"/>
  <c r="L184" i="164"/>
  <c r="A184" i="164"/>
  <c r="P183" i="164"/>
  <c r="N183" i="164"/>
  <c r="L183" i="164"/>
  <c r="A183" i="164"/>
  <c r="P182" i="164"/>
  <c r="N182" i="164"/>
  <c r="L182" i="164"/>
  <c r="A182" i="164"/>
  <c r="P181" i="164"/>
  <c r="N181" i="164"/>
  <c r="L181" i="164"/>
  <c r="A181" i="164"/>
  <c r="P180" i="164"/>
  <c r="N180" i="164"/>
  <c r="L180" i="164"/>
  <c r="A180" i="164"/>
  <c r="P179" i="164"/>
  <c r="N179" i="164"/>
  <c r="L179" i="164"/>
  <c r="A179" i="164"/>
  <c r="P178" i="164"/>
  <c r="N178" i="164"/>
  <c r="L178" i="164"/>
  <c r="A178" i="164"/>
  <c r="P177" i="164"/>
  <c r="N177" i="164"/>
  <c r="L177" i="164"/>
  <c r="A177" i="164"/>
  <c r="P176" i="164"/>
  <c r="N176" i="164"/>
  <c r="L176" i="164"/>
  <c r="A176" i="164"/>
  <c r="P175" i="164"/>
  <c r="N175" i="164"/>
  <c r="L175" i="164"/>
  <c r="A175" i="164"/>
  <c r="P174" i="164"/>
  <c r="N174" i="164"/>
  <c r="L174" i="164"/>
  <c r="A174" i="164"/>
  <c r="P173" i="164"/>
  <c r="N173" i="164"/>
  <c r="L173" i="164"/>
  <c r="A173" i="164"/>
  <c r="P172" i="164"/>
  <c r="N172" i="164"/>
  <c r="L172" i="164"/>
  <c r="A172" i="164"/>
  <c r="P171" i="164"/>
  <c r="N171" i="164"/>
  <c r="L171" i="164"/>
  <c r="A171" i="164"/>
  <c r="P170" i="164"/>
  <c r="N170" i="164"/>
  <c r="L170" i="164"/>
  <c r="A170" i="164"/>
  <c r="P169" i="164"/>
  <c r="N169" i="164"/>
  <c r="L169" i="164"/>
  <c r="A169" i="164"/>
  <c r="P168" i="164"/>
  <c r="N168" i="164"/>
  <c r="L168" i="164"/>
  <c r="A168" i="164"/>
  <c r="P167" i="164"/>
  <c r="N167" i="164"/>
  <c r="L167" i="164"/>
  <c r="A167" i="164"/>
  <c r="P166" i="164"/>
  <c r="N166" i="164"/>
  <c r="L166" i="164"/>
  <c r="A166" i="164"/>
  <c r="P165" i="164"/>
  <c r="N165" i="164"/>
  <c r="L165" i="164"/>
  <c r="A165" i="164"/>
  <c r="P164" i="164"/>
  <c r="N164" i="164"/>
  <c r="L164" i="164"/>
  <c r="A164" i="164"/>
  <c r="P163" i="164"/>
  <c r="N163" i="164"/>
  <c r="L163" i="164"/>
  <c r="A163" i="164"/>
  <c r="P162" i="164"/>
  <c r="N162" i="164"/>
  <c r="L162" i="164"/>
  <c r="A162" i="164"/>
  <c r="P161" i="164"/>
  <c r="N161" i="164"/>
  <c r="L161" i="164"/>
  <c r="A161" i="164"/>
  <c r="P160" i="164"/>
  <c r="N160" i="164"/>
  <c r="L160" i="164"/>
  <c r="A160" i="164"/>
  <c r="P159" i="164"/>
  <c r="N159" i="164"/>
  <c r="L159" i="164"/>
  <c r="A159" i="164"/>
  <c r="P158" i="164"/>
  <c r="N158" i="164"/>
  <c r="L158" i="164"/>
  <c r="A158" i="164"/>
  <c r="P157" i="164"/>
  <c r="N157" i="164"/>
  <c r="L157" i="164"/>
  <c r="A157" i="164"/>
  <c r="P156" i="164"/>
  <c r="N156" i="164"/>
  <c r="L156" i="164"/>
  <c r="A156" i="164"/>
  <c r="P155" i="164"/>
  <c r="N155" i="164"/>
  <c r="L155" i="164"/>
  <c r="A155" i="164"/>
  <c r="P154" i="164"/>
  <c r="N154" i="164"/>
  <c r="L154" i="164"/>
  <c r="A154" i="164"/>
  <c r="P153" i="164"/>
  <c r="N153" i="164"/>
  <c r="L153" i="164"/>
  <c r="A153" i="164"/>
  <c r="P152" i="164"/>
  <c r="N152" i="164"/>
  <c r="L152" i="164"/>
  <c r="A152" i="164"/>
  <c r="P151" i="164"/>
  <c r="N151" i="164"/>
  <c r="L151" i="164"/>
  <c r="A151" i="164"/>
  <c r="P150" i="164"/>
  <c r="N150" i="164"/>
  <c r="L150" i="164"/>
  <c r="A150" i="164"/>
  <c r="P149" i="164"/>
  <c r="N149" i="164"/>
  <c r="L149" i="164"/>
  <c r="A149" i="164"/>
  <c r="P148" i="164"/>
  <c r="N148" i="164"/>
  <c r="L148" i="164"/>
  <c r="A148" i="164"/>
  <c r="P147" i="164"/>
  <c r="N147" i="164"/>
  <c r="L147" i="164"/>
  <c r="A147" i="164"/>
  <c r="P146" i="164"/>
  <c r="N146" i="164"/>
  <c r="L146" i="164"/>
  <c r="A146" i="164"/>
  <c r="P145" i="164"/>
  <c r="N145" i="164"/>
  <c r="L145" i="164"/>
  <c r="A145" i="164"/>
  <c r="P144" i="164"/>
  <c r="N144" i="164"/>
  <c r="L144" i="164"/>
  <c r="A144" i="164"/>
  <c r="P143" i="164"/>
  <c r="N143" i="164"/>
  <c r="L143" i="164"/>
  <c r="A143" i="164"/>
  <c r="P142" i="164"/>
  <c r="N142" i="164"/>
  <c r="L142" i="164"/>
  <c r="A142" i="164"/>
  <c r="P141" i="164"/>
  <c r="N141" i="164"/>
  <c r="L141" i="164"/>
  <c r="A141" i="164"/>
  <c r="P140" i="164"/>
  <c r="N140" i="164"/>
  <c r="L140" i="164"/>
  <c r="A140" i="164"/>
  <c r="P139" i="164"/>
  <c r="N139" i="164"/>
  <c r="L139" i="164"/>
  <c r="A139" i="164"/>
  <c r="P138" i="164"/>
  <c r="N138" i="164"/>
  <c r="L138" i="164"/>
  <c r="A138" i="164"/>
  <c r="P137" i="164"/>
  <c r="N137" i="164"/>
  <c r="L137" i="164"/>
  <c r="A137" i="164"/>
  <c r="P136" i="164"/>
  <c r="N136" i="164"/>
  <c r="L136" i="164"/>
  <c r="A136" i="164"/>
  <c r="P135" i="164"/>
  <c r="N135" i="164"/>
  <c r="L135" i="164"/>
  <c r="A135" i="164"/>
  <c r="P134" i="164"/>
  <c r="N134" i="164"/>
  <c r="L134" i="164"/>
  <c r="A134" i="164"/>
  <c r="P133" i="164"/>
  <c r="N133" i="164"/>
  <c r="L133" i="164"/>
  <c r="A133" i="164"/>
  <c r="P132" i="164"/>
  <c r="N132" i="164"/>
  <c r="L132" i="164"/>
  <c r="A132" i="164"/>
  <c r="P131" i="164"/>
  <c r="N131" i="164"/>
  <c r="L131" i="164"/>
  <c r="A131" i="164"/>
  <c r="P130" i="164"/>
  <c r="N130" i="164"/>
  <c r="L130" i="164"/>
  <c r="A130" i="164"/>
  <c r="P129" i="164"/>
  <c r="N129" i="164"/>
  <c r="L129" i="164"/>
  <c r="A129" i="164"/>
  <c r="P128" i="164"/>
  <c r="N128" i="164"/>
  <c r="L128" i="164"/>
  <c r="A128" i="164"/>
  <c r="P127" i="164"/>
  <c r="N127" i="164"/>
  <c r="L127" i="164"/>
  <c r="A127" i="164"/>
  <c r="P126" i="164"/>
  <c r="N126" i="164"/>
  <c r="L126" i="164"/>
  <c r="A126" i="164"/>
  <c r="P125" i="164"/>
  <c r="N125" i="164"/>
  <c r="L125" i="164"/>
  <c r="A125" i="164"/>
  <c r="P124" i="164"/>
  <c r="N124" i="164"/>
  <c r="L124" i="164"/>
  <c r="A124" i="164"/>
  <c r="P123" i="164"/>
  <c r="N123" i="164"/>
  <c r="L123" i="164"/>
  <c r="A123" i="164"/>
  <c r="P122" i="164"/>
  <c r="N122" i="164"/>
  <c r="L122" i="164"/>
  <c r="A122" i="164"/>
  <c r="P121" i="164"/>
  <c r="N121" i="164"/>
  <c r="L121" i="164"/>
  <c r="A121" i="164"/>
  <c r="P120" i="164"/>
  <c r="N120" i="164"/>
  <c r="L120" i="164"/>
  <c r="A120" i="164"/>
  <c r="P119" i="164"/>
  <c r="N119" i="164"/>
  <c r="L119" i="164"/>
  <c r="A119" i="164"/>
  <c r="P118" i="164"/>
  <c r="N118" i="164"/>
  <c r="L118" i="164"/>
  <c r="A118" i="164"/>
  <c r="P117" i="164"/>
  <c r="N117" i="164"/>
  <c r="L117" i="164"/>
  <c r="A117" i="164"/>
  <c r="P116" i="164"/>
  <c r="N116" i="164"/>
  <c r="L116" i="164"/>
  <c r="A116" i="164"/>
  <c r="P115" i="164"/>
  <c r="N115" i="164"/>
  <c r="L115" i="164"/>
  <c r="A115" i="164"/>
  <c r="P114" i="164"/>
  <c r="N114" i="164"/>
  <c r="L114" i="164"/>
  <c r="A114" i="164"/>
  <c r="P113" i="164"/>
  <c r="N113" i="164"/>
  <c r="L113" i="164"/>
  <c r="A113" i="164"/>
  <c r="P112" i="164"/>
  <c r="N112" i="164"/>
  <c r="L112" i="164"/>
  <c r="A112" i="164"/>
  <c r="P111" i="164"/>
  <c r="N111" i="164"/>
  <c r="L111" i="164"/>
  <c r="A111" i="164"/>
  <c r="P110" i="164"/>
  <c r="N110" i="164"/>
  <c r="L110" i="164"/>
  <c r="A110" i="164"/>
  <c r="P109" i="164"/>
  <c r="N109" i="164"/>
  <c r="L109" i="164"/>
  <c r="A109" i="164"/>
  <c r="P108" i="164"/>
  <c r="N108" i="164"/>
  <c r="L108" i="164"/>
  <c r="A108" i="164"/>
  <c r="P107" i="164"/>
  <c r="N107" i="164"/>
  <c r="L107" i="164"/>
  <c r="A107" i="164"/>
  <c r="P106" i="164"/>
  <c r="N106" i="164"/>
  <c r="L106" i="164"/>
  <c r="A106" i="164"/>
  <c r="P105" i="164"/>
  <c r="N105" i="164"/>
  <c r="L105" i="164"/>
  <c r="A105" i="164"/>
  <c r="P104" i="164"/>
  <c r="N104" i="164"/>
  <c r="L104" i="164"/>
  <c r="A104" i="164"/>
  <c r="P103" i="164"/>
  <c r="N103" i="164"/>
  <c r="L103" i="164"/>
  <c r="A103" i="164"/>
  <c r="P102" i="164"/>
  <c r="N102" i="164"/>
  <c r="L102" i="164"/>
  <c r="A102" i="164"/>
  <c r="P101" i="164"/>
  <c r="N101" i="164"/>
  <c r="L101" i="164"/>
  <c r="A101" i="164"/>
  <c r="P100" i="164"/>
  <c r="N100" i="164"/>
  <c r="L100" i="164"/>
  <c r="A100" i="164"/>
  <c r="P99" i="164"/>
  <c r="N99" i="164"/>
  <c r="L99" i="164"/>
  <c r="A99" i="164"/>
  <c r="P98" i="164"/>
  <c r="N98" i="164"/>
  <c r="L98" i="164"/>
  <c r="A98" i="164"/>
  <c r="P97" i="164"/>
  <c r="N97" i="164"/>
  <c r="L97" i="164"/>
  <c r="A97" i="164"/>
  <c r="P96" i="164"/>
  <c r="N96" i="164"/>
  <c r="L96" i="164"/>
  <c r="A96" i="164"/>
  <c r="P95" i="164"/>
  <c r="N95" i="164"/>
  <c r="L95" i="164"/>
  <c r="A95" i="164"/>
  <c r="P94" i="164"/>
  <c r="N94" i="164"/>
  <c r="L94" i="164"/>
  <c r="A94" i="164"/>
  <c r="P93" i="164"/>
  <c r="N93" i="164"/>
  <c r="L93" i="164"/>
  <c r="A93" i="164"/>
  <c r="P92" i="164"/>
  <c r="N92" i="164"/>
  <c r="L92" i="164"/>
  <c r="A92" i="164"/>
  <c r="P91" i="164"/>
  <c r="N91" i="164"/>
  <c r="L91" i="164"/>
  <c r="A91" i="164"/>
  <c r="P90" i="164"/>
  <c r="N90" i="164"/>
  <c r="L90" i="164"/>
  <c r="A90" i="164"/>
  <c r="P89" i="164"/>
  <c r="N89" i="164"/>
  <c r="L89" i="164"/>
  <c r="A89" i="164"/>
  <c r="P88" i="164"/>
  <c r="N88" i="164"/>
  <c r="L88" i="164"/>
  <c r="A88" i="164"/>
  <c r="P87" i="164"/>
  <c r="N87" i="164"/>
  <c r="L87" i="164"/>
  <c r="A87" i="164"/>
  <c r="P86" i="164"/>
  <c r="N86" i="164"/>
  <c r="L86" i="164"/>
  <c r="A86" i="164"/>
  <c r="P85" i="164"/>
  <c r="N85" i="164"/>
  <c r="L85" i="164"/>
  <c r="A85" i="164"/>
  <c r="P84" i="164"/>
  <c r="N84" i="164"/>
  <c r="L84" i="164"/>
  <c r="A84" i="164"/>
  <c r="P83" i="164"/>
  <c r="N83" i="164"/>
  <c r="L83" i="164"/>
  <c r="A83" i="164"/>
  <c r="P82" i="164"/>
  <c r="N82" i="164"/>
  <c r="L82" i="164"/>
  <c r="A82" i="164"/>
  <c r="P81" i="164"/>
  <c r="N81" i="164"/>
  <c r="L81" i="164"/>
  <c r="A81" i="164"/>
  <c r="P80" i="164"/>
  <c r="N80" i="164"/>
  <c r="L80" i="164"/>
  <c r="A80" i="164"/>
  <c r="P79" i="164"/>
  <c r="N79" i="164"/>
  <c r="L79" i="164"/>
  <c r="A79" i="164"/>
  <c r="P78" i="164"/>
  <c r="N78" i="164"/>
  <c r="L78" i="164"/>
  <c r="A78" i="164"/>
  <c r="P77" i="164"/>
  <c r="N77" i="164"/>
  <c r="L77" i="164"/>
  <c r="A77" i="164"/>
  <c r="P76" i="164"/>
  <c r="N76" i="164"/>
  <c r="L76" i="164"/>
  <c r="A76" i="164"/>
  <c r="P75" i="164"/>
  <c r="N75" i="164"/>
  <c r="L75" i="164"/>
  <c r="A75" i="164"/>
  <c r="P74" i="164"/>
  <c r="N74" i="164"/>
  <c r="L74" i="164"/>
  <c r="A74" i="164"/>
  <c r="P73" i="164"/>
  <c r="N73" i="164"/>
  <c r="L73" i="164"/>
  <c r="A73" i="164"/>
  <c r="P72" i="164"/>
  <c r="N72" i="164"/>
  <c r="L72" i="164"/>
  <c r="A72" i="164"/>
  <c r="P71" i="164"/>
  <c r="N71" i="164"/>
  <c r="L71" i="164"/>
  <c r="A71" i="164"/>
  <c r="P70" i="164"/>
  <c r="N70" i="164"/>
  <c r="L70" i="164"/>
  <c r="A70" i="164"/>
  <c r="P69" i="164"/>
  <c r="N69" i="164"/>
  <c r="L69" i="164"/>
  <c r="A69" i="164"/>
  <c r="P68" i="164"/>
  <c r="N68" i="164"/>
  <c r="L68" i="164"/>
  <c r="A68" i="164"/>
  <c r="P67" i="164"/>
  <c r="N67" i="164"/>
  <c r="L67" i="164"/>
  <c r="A67" i="164"/>
  <c r="P66" i="164"/>
  <c r="N66" i="164"/>
  <c r="L66" i="164"/>
  <c r="A66" i="164"/>
  <c r="P65" i="164"/>
  <c r="N65" i="164"/>
  <c r="L65" i="164"/>
  <c r="A65" i="164"/>
  <c r="P64" i="164"/>
  <c r="N64" i="164"/>
  <c r="L64" i="164"/>
  <c r="A64" i="164"/>
  <c r="P63" i="164"/>
  <c r="N63" i="164"/>
  <c r="L63" i="164"/>
  <c r="A63" i="164"/>
  <c r="P62" i="164"/>
  <c r="N62" i="164"/>
  <c r="L62" i="164"/>
  <c r="A62" i="164"/>
  <c r="P61" i="164"/>
  <c r="N61" i="164"/>
  <c r="L61" i="164"/>
  <c r="A61" i="164"/>
  <c r="P60" i="164"/>
  <c r="N60" i="164"/>
  <c r="L60" i="164"/>
  <c r="A60" i="164"/>
  <c r="P59" i="164"/>
  <c r="N59" i="164"/>
  <c r="L59" i="164"/>
  <c r="A59" i="164"/>
  <c r="P58" i="164"/>
  <c r="N58" i="164"/>
  <c r="L58" i="164"/>
  <c r="A58" i="164"/>
  <c r="P57" i="164"/>
  <c r="N57" i="164"/>
  <c r="L57" i="164"/>
  <c r="A57" i="164"/>
  <c r="P56" i="164"/>
  <c r="N56" i="164"/>
  <c r="L56" i="164"/>
  <c r="A56" i="164"/>
  <c r="P55" i="164"/>
  <c r="N55" i="164"/>
  <c r="L55" i="164"/>
  <c r="A55" i="164"/>
  <c r="P54" i="164"/>
  <c r="N54" i="164"/>
  <c r="L54" i="164"/>
  <c r="A54" i="164"/>
  <c r="P53" i="164"/>
  <c r="N53" i="164"/>
  <c r="L53" i="164"/>
  <c r="A53" i="164"/>
  <c r="P52" i="164"/>
  <c r="N52" i="164"/>
  <c r="L52" i="164"/>
  <c r="A52" i="164"/>
  <c r="P51" i="164"/>
  <c r="N51" i="164"/>
  <c r="L51" i="164"/>
  <c r="A51" i="164"/>
  <c r="P50" i="164"/>
  <c r="N50" i="164"/>
  <c r="L50" i="164"/>
  <c r="P49" i="164"/>
  <c r="N49" i="164"/>
  <c r="L49" i="164"/>
  <c r="A49" i="164"/>
  <c r="P48" i="164"/>
  <c r="N48" i="164"/>
  <c r="L48" i="164"/>
  <c r="A48" i="164"/>
  <c r="P47" i="164"/>
  <c r="N47" i="164"/>
  <c r="L47" i="164"/>
  <c r="A47" i="164"/>
  <c r="P46" i="164"/>
  <c r="N46" i="164"/>
  <c r="L46" i="164"/>
  <c r="A46" i="164"/>
  <c r="P45" i="164"/>
  <c r="N45" i="164"/>
  <c r="L45" i="164"/>
  <c r="A45" i="164"/>
  <c r="P44" i="164"/>
  <c r="N44" i="164"/>
  <c r="L44" i="164"/>
  <c r="A44" i="164"/>
  <c r="P43" i="164"/>
  <c r="N43" i="164"/>
  <c r="L43" i="164"/>
  <c r="A43" i="164"/>
  <c r="P42" i="164"/>
  <c r="N42" i="164"/>
  <c r="L42" i="164"/>
  <c r="A42" i="164"/>
  <c r="P41" i="164"/>
  <c r="N41" i="164"/>
  <c r="L41" i="164"/>
  <c r="A41" i="164"/>
  <c r="P40" i="164"/>
  <c r="N40" i="164"/>
  <c r="L40" i="164"/>
  <c r="A40" i="164"/>
  <c r="P39" i="164"/>
  <c r="N39" i="164"/>
  <c r="L39" i="164"/>
  <c r="A39" i="164"/>
  <c r="P38" i="164"/>
  <c r="N38" i="164"/>
  <c r="L38" i="164"/>
  <c r="A38" i="164"/>
  <c r="P37" i="164"/>
  <c r="N37" i="164"/>
  <c r="L37" i="164"/>
  <c r="A37" i="164"/>
  <c r="P36" i="164"/>
  <c r="N36" i="164"/>
  <c r="L36" i="164"/>
  <c r="A36" i="164"/>
  <c r="P35" i="164"/>
  <c r="N35" i="164"/>
  <c r="L35" i="164"/>
  <c r="A35" i="164"/>
  <c r="P34" i="164"/>
  <c r="N34" i="164"/>
  <c r="L34" i="164"/>
  <c r="A34" i="164"/>
  <c r="P33" i="164"/>
  <c r="N33" i="164"/>
  <c r="L33" i="164"/>
  <c r="A33" i="164"/>
  <c r="P32" i="164"/>
  <c r="N32" i="164"/>
  <c r="L32" i="164"/>
  <c r="A32" i="164"/>
  <c r="P31" i="164"/>
  <c r="N31" i="164"/>
  <c r="L31" i="164"/>
  <c r="A31" i="164"/>
  <c r="P30" i="164"/>
  <c r="N30" i="164"/>
  <c r="L30" i="164"/>
  <c r="A30" i="164"/>
  <c r="P29" i="164"/>
  <c r="N29" i="164"/>
  <c r="L29" i="164"/>
  <c r="A29" i="164"/>
  <c r="P28" i="164"/>
  <c r="N28" i="164"/>
  <c r="L28" i="164"/>
  <c r="A28" i="164"/>
  <c r="P27" i="164"/>
  <c r="N27" i="164"/>
  <c r="L27" i="164"/>
  <c r="A27" i="164"/>
  <c r="P26" i="164"/>
  <c r="N26" i="164"/>
  <c r="L26" i="164"/>
  <c r="A26" i="164"/>
  <c r="P25" i="164"/>
  <c r="N25" i="164"/>
  <c r="L25" i="164"/>
  <c r="A25" i="164"/>
  <c r="P24" i="164"/>
  <c r="N24" i="164"/>
  <c r="L24" i="164"/>
  <c r="A24" i="164"/>
  <c r="P23" i="164"/>
  <c r="N23" i="164"/>
  <c r="L23" i="164"/>
  <c r="A23" i="164"/>
  <c r="P22" i="164"/>
  <c r="N22" i="164"/>
  <c r="L22" i="164"/>
  <c r="A22" i="164"/>
  <c r="P21" i="164"/>
  <c r="N21" i="164"/>
  <c r="L21" i="164"/>
  <c r="A21" i="164"/>
  <c r="P20" i="164"/>
  <c r="N20" i="164"/>
  <c r="L20" i="164"/>
  <c r="A20" i="164"/>
  <c r="P19" i="164"/>
  <c r="N19" i="164"/>
  <c r="L19" i="164"/>
  <c r="A19" i="164"/>
  <c r="P18" i="164"/>
  <c r="N18" i="164"/>
  <c r="L18" i="164"/>
  <c r="A18" i="164"/>
  <c r="P17" i="164"/>
  <c r="N17" i="164"/>
  <c r="L17" i="164"/>
  <c r="A17" i="164"/>
  <c r="P16" i="164"/>
  <c r="N16" i="164"/>
  <c r="L16" i="164"/>
  <c r="A16" i="164"/>
  <c r="P15" i="164"/>
  <c r="N15" i="164"/>
  <c r="L15" i="164"/>
  <c r="A15" i="164"/>
  <c r="P14" i="164"/>
  <c r="N14" i="164"/>
  <c r="L14" i="164"/>
  <c r="A14" i="164"/>
  <c r="P13" i="164"/>
  <c r="N13" i="164"/>
  <c r="L13" i="164"/>
  <c r="A13" i="164"/>
  <c r="P12" i="164"/>
  <c r="N12" i="164"/>
  <c r="L12" i="164"/>
  <c r="A12" i="164"/>
  <c r="P11" i="164"/>
  <c r="N11" i="164"/>
  <c r="L11" i="164"/>
  <c r="A11" i="164"/>
  <c r="P10" i="164"/>
  <c r="N10" i="164"/>
  <c r="L10" i="164"/>
  <c r="P9" i="164"/>
  <c r="N9" i="164"/>
  <c r="L9" i="164"/>
  <c r="A9" i="164"/>
  <c r="P8" i="164"/>
  <c r="N8" i="164"/>
  <c r="L8" i="164"/>
  <c r="A8" i="164"/>
  <c r="P7" i="164"/>
  <c r="N7" i="164"/>
  <c r="L7" i="164"/>
  <c r="A7" i="164"/>
  <c r="P6" i="164"/>
  <c r="N6" i="164"/>
  <c r="L6" i="164"/>
  <c r="A6" i="164"/>
  <c r="P5" i="164"/>
  <c r="N5" i="164"/>
  <c r="L5" i="164"/>
  <c r="A5" i="164"/>
  <c r="P4" i="164"/>
  <c r="N4" i="164"/>
  <c r="L4" i="164"/>
  <c r="A4" i="164"/>
  <c r="P3" i="164"/>
  <c r="N3" i="164"/>
  <c r="L3" i="164"/>
  <c r="A3" i="164"/>
  <c r="P2" i="164"/>
  <c r="N2" i="164"/>
  <c r="L2" i="164"/>
  <c r="A2" i="164"/>
  <c r="A345" i="162"/>
  <c r="A344" i="162"/>
  <c r="A343" i="162"/>
  <c r="A342" i="162"/>
  <c r="A341" i="162"/>
  <c r="A340" i="162"/>
  <c r="A339" i="162"/>
  <c r="A338" i="162"/>
  <c r="A337" i="162"/>
  <c r="A336" i="162"/>
  <c r="A335" i="162"/>
  <c r="A334" i="162"/>
  <c r="A333" i="162"/>
  <c r="A332" i="162"/>
  <c r="A331" i="162"/>
  <c r="A330" i="162"/>
  <c r="A329" i="162"/>
  <c r="A328" i="162"/>
  <c r="A327" i="162"/>
  <c r="A326" i="162"/>
  <c r="A325" i="162"/>
  <c r="A324" i="162"/>
  <c r="A323" i="162"/>
  <c r="A322" i="162"/>
  <c r="A321" i="162"/>
  <c r="A320" i="162"/>
  <c r="A319" i="162"/>
  <c r="A318" i="162"/>
  <c r="A317" i="162"/>
  <c r="A316" i="162"/>
  <c r="A315" i="162"/>
  <c r="A314" i="162"/>
  <c r="A313" i="162"/>
  <c r="A312" i="162"/>
  <c r="A311" i="162"/>
  <c r="A310" i="162"/>
  <c r="A309" i="162"/>
  <c r="A308" i="162"/>
  <c r="A307" i="162"/>
  <c r="A306" i="162"/>
  <c r="A305" i="162"/>
  <c r="A304" i="162"/>
  <c r="A303" i="162"/>
  <c r="A302" i="162"/>
  <c r="A301" i="162"/>
  <c r="A300" i="162"/>
  <c r="A299" i="162"/>
  <c r="A298" i="162"/>
  <c r="A297" i="162"/>
  <c r="A296" i="162"/>
  <c r="A295" i="162"/>
  <c r="A294" i="162"/>
  <c r="A293" i="162"/>
  <c r="A292" i="162"/>
  <c r="A291" i="162"/>
  <c r="A290" i="162"/>
  <c r="A289" i="162"/>
  <c r="A288" i="162"/>
  <c r="A287" i="162"/>
  <c r="A286" i="162"/>
  <c r="A285" i="162"/>
  <c r="A284" i="162"/>
  <c r="A283" i="162"/>
  <c r="A282" i="162"/>
  <c r="A281" i="162"/>
  <c r="A280" i="162"/>
  <c r="A279" i="162"/>
  <c r="A278" i="162"/>
  <c r="A277" i="162"/>
  <c r="A276" i="162"/>
  <c r="A275" i="162"/>
  <c r="A274" i="162"/>
  <c r="A273" i="162"/>
  <c r="A272" i="162"/>
  <c r="A271" i="162"/>
  <c r="A270" i="162"/>
  <c r="A269" i="162"/>
  <c r="A268" i="162"/>
  <c r="A267" i="162"/>
  <c r="A266" i="162"/>
  <c r="A265" i="162"/>
  <c r="A264" i="162"/>
  <c r="A263" i="162"/>
  <c r="A262" i="162"/>
  <c r="A261" i="162"/>
  <c r="A260" i="162"/>
  <c r="A259" i="162"/>
  <c r="A258" i="162"/>
  <c r="A257" i="162"/>
  <c r="A256" i="162"/>
  <c r="A255" i="162"/>
  <c r="A254" i="162"/>
  <c r="A253" i="162"/>
  <c r="A252" i="162"/>
  <c r="A251" i="162"/>
  <c r="A250" i="162"/>
  <c r="A249" i="162"/>
  <c r="A248" i="162"/>
  <c r="A247" i="162"/>
  <c r="A246" i="162"/>
  <c r="A245" i="162"/>
  <c r="A244" i="162"/>
  <c r="A243" i="162"/>
  <c r="A242" i="162"/>
  <c r="A241" i="162"/>
  <c r="A240" i="162"/>
  <c r="A239" i="162"/>
  <c r="A238" i="162"/>
  <c r="A237" i="162"/>
  <c r="A236" i="162"/>
  <c r="A235" i="162"/>
  <c r="A234" i="162"/>
  <c r="A233" i="162"/>
  <c r="A232" i="162"/>
  <c r="A231" i="162"/>
  <c r="A230" i="162"/>
  <c r="A229" i="162"/>
  <c r="A228" i="162"/>
  <c r="A227" i="162"/>
  <c r="A226" i="162"/>
  <c r="A225" i="162"/>
  <c r="A224" i="162"/>
  <c r="A223" i="162"/>
  <c r="A222" i="162"/>
  <c r="A221" i="162"/>
  <c r="A220" i="162"/>
  <c r="A219" i="162"/>
  <c r="A218" i="162"/>
  <c r="A217" i="162"/>
  <c r="A216" i="162"/>
  <c r="A215" i="162"/>
  <c r="A214" i="162"/>
  <c r="A213" i="162"/>
  <c r="A212" i="162"/>
  <c r="A211" i="162"/>
  <c r="A210" i="162"/>
  <c r="A209" i="162"/>
  <c r="A208" i="162"/>
  <c r="A207" i="162"/>
  <c r="A206" i="162"/>
  <c r="A205" i="162"/>
  <c r="A204" i="162"/>
  <c r="A203" i="162"/>
  <c r="A202" i="162"/>
  <c r="A201" i="162"/>
  <c r="A200" i="162"/>
  <c r="A199" i="162"/>
  <c r="A198" i="162"/>
  <c r="A197" i="162"/>
  <c r="A196" i="162"/>
  <c r="A195" i="162"/>
  <c r="A194" i="162"/>
  <c r="A193" i="162"/>
  <c r="A192" i="162"/>
  <c r="A191" i="162"/>
  <c r="A190" i="162"/>
  <c r="A189" i="162"/>
  <c r="A188" i="162"/>
  <c r="A187" i="162"/>
  <c r="A186" i="162"/>
  <c r="A185" i="162"/>
  <c r="A184" i="162"/>
  <c r="A183" i="162"/>
  <c r="A182" i="162"/>
  <c r="A181" i="162"/>
  <c r="A180" i="162"/>
  <c r="A179" i="162"/>
  <c r="A178" i="162"/>
  <c r="A177" i="162"/>
  <c r="A176" i="162"/>
  <c r="A175" i="162"/>
  <c r="A174" i="162"/>
  <c r="A173" i="162"/>
  <c r="A172" i="162"/>
  <c r="A171" i="162"/>
  <c r="A170" i="162"/>
  <c r="A169" i="162"/>
  <c r="A168" i="162"/>
  <c r="A167" i="162"/>
  <c r="A166" i="162"/>
  <c r="A165" i="162"/>
  <c r="A164" i="162"/>
  <c r="A163" i="162"/>
  <c r="A162" i="162"/>
  <c r="A161" i="162"/>
  <c r="A160" i="162"/>
  <c r="A159" i="162"/>
  <c r="A158" i="162"/>
  <c r="A157" i="162"/>
  <c r="A156" i="162"/>
  <c r="A155" i="162"/>
  <c r="A154" i="162"/>
  <c r="A153" i="162"/>
  <c r="A152" i="162"/>
  <c r="A151" i="162"/>
  <c r="A150" i="162"/>
  <c r="A149" i="162"/>
  <c r="A148" i="162"/>
  <c r="A147" i="162"/>
  <c r="A146" i="162"/>
  <c r="A145" i="162"/>
  <c r="A144" i="162"/>
  <c r="A143" i="162"/>
  <c r="A142" i="162"/>
  <c r="A141" i="162"/>
  <c r="A140" i="162"/>
  <c r="A139" i="162"/>
  <c r="A138" i="162"/>
  <c r="A137" i="162"/>
  <c r="A136" i="162"/>
  <c r="A135" i="162"/>
  <c r="A134" i="162"/>
  <c r="A133" i="162"/>
  <c r="A132" i="162"/>
  <c r="A131" i="162"/>
  <c r="A130" i="162"/>
  <c r="A129" i="162"/>
  <c r="A128" i="162"/>
  <c r="A127" i="162"/>
  <c r="A126" i="162"/>
  <c r="A125" i="162"/>
  <c r="A124" i="162"/>
  <c r="A123" i="162"/>
  <c r="A122" i="162"/>
  <c r="A121" i="162"/>
  <c r="A120" i="162"/>
  <c r="A119" i="162"/>
  <c r="A118" i="162"/>
  <c r="A117" i="162"/>
  <c r="A116" i="162"/>
  <c r="A115" i="162"/>
  <c r="A114" i="162"/>
  <c r="A113" i="162"/>
  <c r="A112" i="162"/>
  <c r="A111" i="162"/>
  <c r="A110" i="162"/>
  <c r="A109" i="162"/>
  <c r="A108" i="162"/>
  <c r="A107" i="162"/>
  <c r="A106" i="162"/>
  <c r="A105" i="162"/>
  <c r="A104" i="162"/>
  <c r="A103" i="162"/>
  <c r="A102" i="162"/>
  <c r="A101" i="162"/>
  <c r="A100" i="162"/>
  <c r="A99" i="162"/>
  <c r="A98" i="162"/>
  <c r="A97" i="162"/>
  <c r="A96" i="162"/>
  <c r="A95" i="162"/>
  <c r="A94" i="162"/>
  <c r="A93" i="162"/>
  <c r="A92" i="162"/>
  <c r="A91" i="162"/>
  <c r="A90" i="162"/>
  <c r="A89" i="162"/>
  <c r="A88" i="162"/>
  <c r="A87" i="162"/>
  <c r="A86" i="162"/>
  <c r="A85" i="162"/>
  <c r="A84" i="162"/>
  <c r="A83" i="162"/>
  <c r="A82" i="162"/>
  <c r="A81" i="162"/>
  <c r="A80" i="162"/>
  <c r="A79" i="162"/>
  <c r="A78" i="162"/>
  <c r="A77" i="162"/>
  <c r="A76" i="162"/>
  <c r="A75" i="162"/>
  <c r="A74" i="162"/>
  <c r="A73" i="162"/>
  <c r="A72" i="162"/>
  <c r="A71" i="162"/>
  <c r="A70" i="162"/>
  <c r="A69" i="162"/>
  <c r="A68" i="162"/>
  <c r="A67" i="162"/>
  <c r="A66" i="162"/>
  <c r="A65" i="162"/>
  <c r="A64" i="162"/>
  <c r="A63" i="162"/>
  <c r="A62" i="162"/>
  <c r="A61" i="162"/>
  <c r="A60" i="162"/>
  <c r="A59" i="162"/>
  <c r="A58" i="162"/>
  <c r="A57" i="162"/>
  <c r="A56" i="162"/>
  <c r="A55" i="162"/>
  <c r="A54" i="162"/>
  <c r="A53" i="162"/>
  <c r="A52" i="162"/>
  <c r="A51" i="162"/>
  <c r="A50" i="162"/>
  <c r="A49" i="162"/>
  <c r="A48" i="162"/>
  <c r="A47" i="162"/>
  <c r="A46" i="162"/>
  <c r="A45" i="162"/>
  <c r="A44" i="162"/>
  <c r="A43" i="162"/>
  <c r="A42" i="162"/>
  <c r="A41" i="162"/>
  <c r="A40" i="162"/>
  <c r="A39" i="162"/>
  <c r="A38" i="162"/>
  <c r="A37" i="162"/>
  <c r="A36" i="162"/>
  <c r="A35" i="162"/>
  <c r="A34" i="162"/>
  <c r="A33" i="162"/>
  <c r="A32" i="162"/>
  <c r="A31" i="162"/>
  <c r="A30" i="162"/>
  <c r="A29" i="162"/>
  <c r="A28" i="162"/>
  <c r="A27" i="162"/>
  <c r="A26" i="162"/>
  <c r="A25" i="162"/>
  <c r="A24" i="162"/>
  <c r="A23" i="162"/>
  <c r="A22" i="162"/>
  <c r="A21" i="162"/>
  <c r="A20" i="162"/>
  <c r="A19" i="162"/>
  <c r="A18" i="162"/>
  <c r="A17" i="162"/>
  <c r="A16" i="162"/>
  <c r="A15" i="162"/>
  <c r="A14" i="162"/>
  <c r="A13" i="162"/>
  <c r="A12" i="162"/>
  <c r="A11" i="162"/>
  <c r="A10" i="162"/>
  <c r="A9" i="162"/>
  <c r="A8" i="162"/>
  <c r="A7" i="162"/>
  <c r="A6" i="162"/>
  <c r="A5" i="162"/>
  <c r="A4" i="162"/>
  <c r="A3" i="162"/>
  <c r="A2" i="162"/>
  <c r="B47" i="163"/>
  <c r="C40" i="163"/>
  <c r="C41" i="163"/>
  <c r="C42" i="163"/>
  <c r="C43" i="163"/>
  <c r="C44" i="163"/>
  <c r="C45" i="163"/>
  <c r="C46" i="163"/>
  <c r="C47" i="163"/>
  <c r="G42" i="163"/>
  <c r="G40" i="163"/>
  <c r="B10" i="163"/>
  <c r="B32" i="163"/>
  <c r="C19" i="163"/>
  <c r="C20" i="163"/>
  <c r="C21" i="163"/>
  <c r="C22" i="163"/>
  <c r="C23" i="163"/>
  <c r="C24" i="163"/>
  <c r="C25" i="163"/>
  <c r="C26" i="163"/>
  <c r="C27" i="163"/>
  <c r="C28" i="163"/>
  <c r="C29" i="163"/>
  <c r="C30" i="163"/>
  <c r="C31" i="163"/>
  <c r="C32" i="163"/>
  <c r="D32" i="163"/>
  <c r="G31" i="163"/>
  <c r="H31" i="163"/>
  <c r="I31" i="163"/>
  <c r="J31" i="163"/>
  <c r="F31" i="163"/>
  <c r="D31" i="163"/>
  <c r="G30" i="163"/>
  <c r="H30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R20" i="163"/>
  <c r="P20" i="163"/>
  <c r="O20" i="163"/>
  <c r="M20" i="163"/>
  <c r="I20" i="163"/>
  <c r="J20" i="163"/>
  <c r="F20" i="163"/>
  <c r="D20" i="163"/>
  <c r="R19" i="163"/>
  <c r="P19" i="163"/>
  <c r="O19" i="163"/>
  <c r="M19" i="163"/>
  <c r="I19" i="163"/>
  <c r="J19" i="163"/>
  <c r="F19" i="163"/>
  <c r="D19" i="163"/>
  <c r="R18" i="163"/>
  <c r="P18" i="163"/>
  <c r="O18" i="163"/>
  <c r="M18" i="163"/>
  <c r="I18" i="163"/>
  <c r="J18" i="163"/>
  <c r="F18" i="163"/>
  <c r="C18" i="163"/>
  <c r="D18" i="163"/>
  <c r="R17" i="163"/>
  <c r="P17" i="163"/>
  <c r="O17" i="163"/>
  <c r="M17" i="163"/>
  <c r="I17" i="163"/>
  <c r="J17" i="163"/>
  <c r="F17" i="163"/>
  <c r="C17" i="163"/>
  <c r="D17" i="163"/>
  <c r="V16" i="163"/>
  <c r="R16" i="163"/>
  <c r="P16" i="163"/>
  <c r="O16" i="163"/>
  <c r="M16" i="163"/>
  <c r="V15" i="163"/>
  <c r="R15" i="163"/>
  <c r="P15" i="163"/>
  <c r="O15" i="163"/>
  <c r="M15" i="163"/>
  <c r="V14" i="163"/>
  <c r="R14" i="163"/>
  <c r="P14" i="163"/>
  <c r="O14" i="163"/>
  <c r="M14" i="163"/>
  <c r="V13" i="163"/>
  <c r="R13" i="163"/>
  <c r="P13" i="163"/>
  <c r="O13" i="163"/>
  <c r="M13" i="163"/>
  <c r="V12" i="163"/>
  <c r="R12" i="163"/>
  <c r="P12" i="163"/>
  <c r="O12" i="163"/>
  <c r="M12" i="163"/>
  <c r="V11" i="163"/>
  <c r="P11" i="163"/>
  <c r="O11" i="163"/>
  <c r="V10" i="163"/>
  <c r="P10" i="163"/>
  <c r="O10" i="163"/>
  <c r="V9" i="163"/>
  <c r="P9" i="163"/>
  <c r="O9" i="163"/>
  <c r="V8" i="163"/>
  <c r="P8" i="163"/>
  <c r="O8" i="163"/>
  <c r="V7" i="163"/>
  <c r="P7" i="163"/>
  <c r="O7" i="163"/>
  <c r="V6" i="163"/>
  <c r="P6" i="163"/>
  <c r="O6" i="163"/>
  <c r="V5" i="163"/>
  <c r="P5" i="163"/>
  <c r="O5" i="163"/>
  <c r="V4" i="163"/>
  <c r="P4" i="163"/>
  <c r="O4" i="163"/>
  <c r="V3" i="163"/>
  <c r="P3" i="163"/>
  <c r="O3" i="163"/>
  <c r="V2" i="163"/>
  <c r="N345" i="162"/>
  <c r="M345" i="162"/>
  <c r="L345" i="162"/>
  <c r="K345" i="162"/>
  <c r="H345" i="162"/>
  <c r="N344" i="162"/>
  <c r="M344" i="162"/>
  <c r="L344" i="162"/>
  <c r="K344" i="162"/>
  <c r="H344" i="162"/>
  <c r="N343" i="162"/>
  <c r="M343" i="162"/>
  <c r="L343" i="162"/>
  <c r="K343" i="162"/>
  <c r="H343" i="162"/>
  <c r="N342" i="162"/>
  <c r="M342" i="162"/>
  <c r="L342" i="162"/>
  <c r="K342" i="162"/>
  <c r="H342" i="162"/>
  <c r="N341" i="162"/>
  <c r="M341" i="162"/>
  <c r="L341" i="162"/>
  <c r="K341" i="162"/>
  <c r="H341" i="162"/>
  <c r="N340" i="162"/>
  <c r="M340" i="162"/>
  <c r="L340" i="162"/>
  <c r="K340" i="162"/>
  <c r="H340" i="162"/>
  <c r="N339" i="162"/>
  <c r="M339" i="162"/>
  <c r="L339" i="162"/>
  <c r="K339" i="162"/>
  <c r="H339" i="162"/>
  <c r="N338" i="162"/>
  <c r="M338" i="162"/>
  <c r="L338" i="162"/>
  <c r="K338" i="162"/>
  <c r="H338" i="162"/>
  <c r="N337" i="162"/>
  <c r="M337" i="162"/>
  <c r="L337" i="162"/>
  <c r="K337" i="162"/>
  <c r="H337" i="162"/>
  <c r="N336" i="162"/>
  <c r="M336" i="162"/>
  <c r="L336" i="162"/>
  <c r="K336" i="162"/>
  <c r="H336" i="162"/>
  <c r="N335" i="162"/>
  <c r="M335" i="162"/>
  <c r="L335" i="162"/>
  <c r="K335" i="162"/>
  <c r="H335" i="162"/>
  <c r="N334" i="162"/>
  <c r="M334" i="162"/>
  <c r="L334" i="162"/>
  <c r="K334" i="162"/>
  <c r="H334" i="162"/>
  <c r="N333" i="162"/>
  <c r="M333" i="162"/>
  <c r="L333" i="162"/>
  <c r="K333" i="162"/>
  <c r="H333" i="162"/>
  <c r="N332" i="162"/>
  <c r="M332" i="162"/>
  <c r="L332" i="162"/>
  <c r="K332" i="162"/>
  <c r="H332" i="162"/>
  <c r="N331" i="162"/>
  <c r="M331" i="162"/>
  <c r="L331" i="162"/>
  <c r="K331" i="162"/>
  <c r="H331" i="162"/>
  <c r="N330" i="162"/>
  <c r="M330" i="162"/>
  <c r="L330" i="162"/>
  <c r="K330" i="162"/>
  <c r="H330" i="162"/>
  <c r="N329" i="162"/>
  <c r="M329" i="162"/>
  <c r="L329" i="162"/>
  <c r="K329" i="162"/>
  <c r="H329" i="162"/>
  <c r="N328" i="162"/>
  <c r="M328" i="162"/>
  <c r="L328" i="162"/>
  <c r="K328" i="162"/>
  <c r="H328" i="162"/>
  <c r="N327" i="162"/>
  <c r="M327" i="162"/>
  <c r="L327" i="162"/>
  <c r="K327" i="162"/>
  <c r="H327" i="162"/>
  <c r="N326" i="162"/>
  <c r="M326" i="162"/>
  <c r="L326" i="162"/>
  <c r="K326" i="162"/>
  <c r="H326" i="162"/>
  <c r="N325" i="162"/>
  <c r="M325" i="162"/>
  <c r="L325" i="162"/>
  <c r="K325" i="162"/>
  <c r="H325" i="162"/>
  <c r="N324" i="162"/>
  <c r="M324" i="162"/>
  <c r="L324" i="162"/>
  <c r="K324" i="162"/>
  <c r="H324" i="162"/>
  <c r="N323" i="162"/>
  <c r="M323" i="162"/>
  <c r="L323" i="162"/>
  <c r="K323" i="162"/>
  <c r="H323" i="162"/>
  <c r="N322" i="162"/>
  <c r="M322" i="162"/>
  <c r="L322" i="162"/>
  <c r="K322" i="162"/>
  <c r="H322" i="162"/>
  <c r="N321" i="162"/>
  <c r="M321" i="162"/>
  <c r="L321" i="162"/>
  <c r="K321" i="162"/>
  <c r="H321" i="162"/>
  <c r="N320" i="162"/>
  <c r="M320" i="162"/>
  <c r="L320" i="162"/>
  <c r="K320" i="162"/>
  <c r="H320" i="162"/>
  <c r="N319" i="162"/>
  <c r="M319" i="162"/>
  <c r="L319" i="162"/>
  <c r="K319" i="162"/>
  <c r="H319" i="162"/>
  <c r="N318" i="162"/>
  <c r="M318" i="162"/>
  <c r="L318" i="162"/>
  <c r="K318" i="162"/>
  <c r="H318" i="162"/>
  <c r="N317" i="162"/>
  <c r="M317" i="162"/>
  <c r="L317" i="162"/>
  <c r="K317" i="162"/>
  <c r="H317" i="162"/>
  <c r="N316" i="162"/>
  <c r="M316" i="162"/>
  <c r="L316" i="162"/>
  <c r="K316" i="162"/>
  <c r="H316" i="162"/>
  <c r="N315" i="162"/>
  <c r="M315" i="162"/>
  <c r="L315" i="162"/>
  <c r="K315" i="162"/>
  <c r="H315" i="162"/>
  <c r="N314" i="162"/>
  <c r="M314" i="162"/>
  <c r="L314" i="162"/>
  <c r="K314" i="162"/>
  <c r="H314" i="162"/>
  <c r="N313" i="162"/>
  <c r="M313" i="162"/>
  <c r="L313" i="162"/>
  <c r="K313" i="162"/>
  <c r="H313" i="162"/>
  <c r="N312" i="162"/>
  <c r="M312" i="162"/>
  <c r="L312" i="162"/>
  <c r="K312" i="162"/>
  <c r="H312" i="162"/>
  <c r="N311" i="162"/>
  <c r="M311" i="162"/>
  <c r="L311" i="162"/>
  <c r="K311" i="162"/>
  <c r="H311" i="162"/>
  <c r="N310" i="162"/>
  <c r="M310" i="162"/>
  <c r="L310" i="162"/>
  <c r="K310" i="162"/>
  <c r="H310" i="162"/>
  <c r="N309" i="162"/>
  <c r="M309" i="162"/>
  <c r="L309" i="162"/>
  <c r="K309" i="162"/>
  <c r="H309" i="162"/>
  <c r="N308" i="162"/>
  <c r="M308" i="162"/>
  <c r="L308" i="162"/>
  <c r="K308" i="162"/>
  <c r="H308" i="162"/>
  <c r="N307" i="162"/>
  <c r="M307" i="162"/>
  <c r="L307" i="162"/>
  <c r="K307" i="162"/>
  <c r="H307" i="162"/>
  <c r="N306" i="162"/>
  <c r="M306" i="162"/>
  <c r="L306" i="162"/>
  <c r="K306" i="162"/>
  <c r="H306" i="162"/>
  <c r="N305" i="162"/>
  <c r="M305" i="162"/>
  <c r="L305" i="162"/>
  <c r="K305" i="162"/>
  <c r="H305" i="162"/>
  <c r="N304" i="162"/>
  <c r="M304" i="162"/>
  <c r="L304" i="162"/>
  <c r="K304" i="162"/>
  <c r="H304" i="162"/>
  <c r="N303" i="162"/>
  <c r="M303" i="162"/>
  <c r="L303" i="162"/>
  <c r="K303" i="162"/>
  <c r="H303" i="162"/>
  <c r="N302" i="162"/>
  <c r="M302" i="162"/>
  <c r="L302" i="162"/>
  <c r="K302" i="162"/>
  <c r="H302" i="162"/>
  <c r="N301" i="162"/>
  <c r="M301" i="162"/>
  <c r="L301" i="162"/>
  <c r="K301" i="162"/>
  <c r="H301" i="162"/>
  <c r="N300" i="162"/>
  <c r="M300" i="162"/>
  <c r="L300" i="162"/>
  <c r="K300" i="162"/>
  <c r="H300" i="162"/>
  <c r="N299" i="162"/>
  <c r="M299" i="162"/>
  <c r="L299" i="162"/>
  <c r="K299" i="162"/>
  <c r="H299" i="162"/>
  <c r="N298" i="162"/>
  <c r="M298" i="162"/>
  <c r="L298" i="162"/>
  <c r="K298" i="162"/>
  <c r="H298" i="162"/>
  <c r="N297" i="162"/>
  <c r="M297" i="162"/>
  <c r="L297" i="162"/>
  <c r="K297" i="162"/>
  <c r="H297" i="162"/>
  <c r="N296" i="162"/>
  <c r="M296" i="162"/>
  <c r="L296" i="162"/>
  <c r="K296" i="162"/>
  <c r="H296" i="162"/>
  <c r="N295" i="162"/>
  <c r="M295" i="162"/>
  <c r="L295" i="162"/>
  <c r="K295" i="162"/>
  <c r="H295" i="162"/>
  <c r="N294" i="162"/>
  <c r="M294" i="162"/>
  <c r="L294" i="162"/>
  <c r="K294" i="162"/>
  <c r="H294" i="162"/>
  <c r="N293" i="162"/>
  <c r="M293" i="162"/>
  <c r="L293" i="162"/>
  <c r="K293" i="162"/>
  <c r="H293" i="162"/>
  <c r="N292" i="162"/>
  <c r="M292" i="162"/>
  <c r="L292" i="162"/>
  <c r="K292" i="162"/>
  <c r="H292" i="162"/>
  <c r="N291" i="162"/>
  <c r="M291" i="162"/>
  <c r="L291" i="162"/>
  <c r="K291" i="162"/>
  <c r="H291" i="162"/>
  <c r="N290" i="162"/>
  <c r="M290" i="162"/>
  <c r="L290" i="162"/>
  <c r="K290" i="162"/>
  <c r="H290" i="162"/>
  <c r="N289" i="162"/>
  <c r="M289" i="162"/>
  <c r="L289" i="162"/>
  <c r="K289" i="162"/>
  <c r="H289" i="162"/>
  <c r="N288" i="162"/>
  <c r="M288" i="162"/>
  <c r="L288" i="162"/>
  <c r="K288" i="162"/>
  <c r="H288" i="162"/>
  <c r="N287" i="162"/>
  <c r="M287" i="162"/>
  <c r="L287" i="162"/>
  <c r="K287" i="162"/>
  <c r="H287" i="162"/>
  <c r="N286" i="162"/>
  <c r="M286" i="162"/>
  <c r="L286" i="162"/>
  <c r="K286" i="162"/>
  <c r="H286" i="162"/>
  <c r="N285" i="162"/>
  <c r="M285" i="162"/>
  <c r="L285" i="162"/>
  <c r="K285" i="162"/>
  <c r="H285" i="162"/>
  <c r="N284" i="162"/>
  <c r="M284" i="162"/>
  <c r="L284" i="162"/>
  <c r="K284" i="162"/>
  <c r="H284" i="162"/>
  <c r="N283" i="162"/>
  <c r="M283" i="162"/>
  <c r="L283" i="162"/>
  <c r="K283" i="162"/>
  <c r="H283" i="162"/>
  <c r="N282" i="162"/>
  <c r="M282" i="162"/>
  <c r="L282" i="162"/>
  <c r="K282" i="162"/>
  <c r="H282" i="162"/>
  <c r="N281" i="162"/>
  <c r="M281" i="162"/>
  <c r="L281" i="162"/>
  <c r="K281" i="162"/>
  <c r="H281" i="162"/>
  <c r="N280" i="162"/>
  <c r="M280" i="162"/>
  <c r="L280" i="162"/>
  <c r="K280" i="162"/>
  <c r="H280" i="162"/>
  <c r="N279" i="162"/>
  <c r="M279" i="162"/>
  <c r="L279" i="162"/>
  <c r="K279" i="162"/>
  <c r="H279" i="162"/>
  <c r="N278" i="162"/>
  <c r="M278" i="162"/>
  <c r="L278" i="162"/>
  <c r="K278" i="162"/>
  <c r="H278" i="162"/>
  <c r="N277" i="162"/>
  <c r="M277" i="162"/>
  <c r="L277" i="162"/>
  <c r="K277" i="162"/>
  <c r="H277" i="162"/>
  <c r="N276" i="162"/>
  <c r="M276" i="162"/>
  <c r="L276" i="162"/>
  <c r="K276" i="162"/>
  <c r="H276" i="162"/>
  <c r="N275" i="162"/>
  <c r="M275" i="162"/>
  <c r="L275" i="162"/>
  <c r="K275" i="162"/>
  <c r="H275" i="162"/>
  <c r="N274" i="162"/>
  <c r="M274" i="162"/>
  <c r="L274" i="162"/>
  <c r="K274" i="162"/>
  <c r="H274" i="162"/>
  <c r="N273" i="162"/>
  <c r="M273" i="162"/>
  <c r="L273" i="162"/>
  <c r="K273" i="162"/>
  <c r="H273" i="162"/>
  <c r="N272" i="162"/>
  <c r="M272" i="162"/>
  <c r="L272" i="162"/>
  <c r="K272" i="162"/>
  <c r="H272" i="162"/>
  <c r="N271" i="162"/>
  <c r="M271" i="162"/>
  <c r="L271" i="162"/>
  <c r="K271" i="162"/>
  <c r="H271" i="162"/>
  <c r="N270" i="162"/>
  <c r="M270" i="162"/>
  <c r="L270" i="162"/>
  <c r="K270" i="162"/>
  <c r="H270" i="162"/>
  <c r="N269" i="162"/>
  <c r="M269" i="162"/>
  <c r="L269" i="162"/>
  <c r="K269" i="162"/>
  <c r="H269" i="162"/>
  <c r="N268" i="162"/>
  <c r="M268" i="162"/>
  <c r="L268" i="162"/>
  <c r="K268" i="162"/>
  <c r="H268" i="162"/>
  <c r="N267" i="162"/>
  <c r="M267" i="162"/>
  <c r="L267" i="162"/>
  <c r="K267" i="162"/>
  <c r="H267" i="162"/>
  <c r="N266" i="162"/>
  <c r="M266" i="162"/>
  <c r="L266" i="162"/>
  <c r="K266" i="162"/>
  <c r="H266" i="162"/>
  <c r="N265" i="162"/>
  <c r="M265" i="162"/>
  <c r="L265" i="162"/>
  <c r="K265" i="162"/>
  <c r="H265" i="162"/>
  <c r="N264" i="162"/>
  <c r="M264" i="162"/>
  <c r="L264" i="162"/>
  <c r="K264" i="162"/>
  <c r="H264" i="162"/>
  <c r="N263" i="162"/>
  <c r="M263" i="162"/>
  <c r="L263" i="162"/>
  <c r="K263" i="162"/>
  <c r="H263" i="162"/>
  <c r="N262" i="162"/>
  <c r="M262" i="162"/>
  <c r="L262" i="162"/>
  <c r="K262" i="162"/>
  <c r="H262" i="162"/>
  <c r="N261" i="162"/>
  <c r="M261" i="162"/>
  <c r="L261" i="162"/>
  <c r="K261" i="162"/>
  <c r="H261" i="162"/>
  <c r="N260" i="162"/>
  <c r="M260" i="162"/>
  <c r="L260" i="162"/>
  <c r="K260" i="162"/>
  <c r="H260" i="162"/>
  <c r="N259" i="162"/>
  <c r="M259" i="162"/>
  <c r="L259" i="162"/>
  <c r="K259" i="162"/>
  <c r="H259" i="162"/>
  <c r="N258" i="162"/>
  <c r="M258" i="162"/>
  <c r="L258" i="162"/>
  <c r="K258" i="162"/>
  <c r="H258" i="162"/>
  <c r="N257" i="162"/>
  <c r="M257" i="162"/>
  <c r="L257" i="162"/>
  <c r="K257" i="162"/>
  <c r="H257" i="162"/>
  <c r="N256" i="162"/>
  <c r="M256" i="162"/>
  <c r="L256" i="162"/>
  <c r="K256" i="162"/>
  <c r="H256" i="162"/>
  <c r="N255" i="162"/>
  <c r="M255" i="162"/>
  <c r="L255" i="162"/>
  <c r="K255" i="162"/>
  <c r="H255" i="162"/>
  <c r="N254" i="162"/>
  <c r="M254" i="162"/>
  <c r="L254" i="162"/>
  <c r="K254" i="162"/>
  <c r="H254" i="162"/>
  <c r="N253" i="162"/>
  <c r="M253" i="162"/>
  <c r="L253" i="162"/>
  <c r="K253" i="162"/>
  <c r="H253" i="162"/>
  <c r="N252" i="162"/>
  <c r="M252" i="162"/>
  <c r="L252" i="162"/>
  <c r="K252" i="162"/>
  <c r="H252" i="162"/>
  <c r="N251" i="162"/>
  <c r="M251" i="162"/>
  <c r="L251" i="162"/>
  <c r="K251" i="162"/>
  <c r="H251" i="162"/>
  <c r="N250" i="162"/>
  <c r="M250" i="162"/>
  <c r="L250" i="162"/>
  <c r="K250" i="162"/>
  <c r="H250" i="162"/>
  <c r="N249" i="162"/>
  <c r="M249" i="162"/>
  <c r="L249" i="162"/>
  <c r="K249" i="162"/>
  <c r="H249" i="162"/>
  <c r="N248" i="162"/>
  <c r="M248" i="162"/>
  <c r="L248" i="162"/>
  <c r="K248" i="162"/>
  <c r="H248" i="162"/>
  <c r="N247" i="162"/>
  <c r="M247" i="162"/>
  <c r="L247" i="162"/>
  <c r="K247" i="162"/>
  <c r="H247" i="162"/>
  <c r="N246" i="162"/>
  <c r="M246" i="162"/>
  <c r="L246" i="162"/>
  <c r="K246" i="162"/>
  <c r="H246" i="162"/>
  <c r="N245" i="162"/>
  <c r="M245" i="162"/>
  <c r="L245" i="162"/>
  <c r="K245" i="162"/>
  <c r="H245" i="162"/>
  <c r="N244" i="162"/>
  <c r="M244" i="162"/>
  <c r="L244" i="162"/>
  <c r="K244" i="162"/>
  <c r="H244" i="162"/>
  <c r="N243" i="162"/>
  <c r="M243" i="162"/>
  <c r="L243" i="162"/>
  <c r="K243" i="162"/>
  <c r="H243" i="162"/>
  <c r="N242" i="162"/>
  <c r="M242" i="162"/>
  <c r="L242" i="162"/>
  <c r="K242" i="162"/>
  <c r="H242" i="162"/>
  <c r="N241" i="162"/>
  <c r="M241" i="162"/>
  <c r="L241" i="162"/>
  <c r="K241" i="162"/>
  <c r="H241" i="162"/>
  <c r="N240" i="162"/>
  <c r="M240" i="162"/>
  <c r="L240" i="162"/>
  <c r="K240" i="162"/>
  <c r="H240" i="162"/>
  <c r="N239" i="162"/>
  <c r="M239" i="162"/>
  <c r="L239" i="162"/>
  <c r="K239" i="162"/>
  <c r="H239" i="162"/>
  <c r="N238" i="162"/>
  <c r="M238" i="162"/>
  <c r="L238" i="162"/>
  <c r="K238" i="162"/>
  <c r="H238" i="162"/>
  <c r="N237" i="162"/>
  <c r="M237" i="162"/>
  <c r="L237" i="162"/>
  <c r="K237" i="162"/>
  <c r="H237" i="162"/>
  <c r="N236" i="162"/>
  <c r="M236" i="162"/>
  <c r="L236" i="162"/>
  <c r="K236" i="162"/>
  <c r="H236" i="162"/>
  <c r="N235" i="162"/>
  <c r="M235" i="162"/>
  <c r="L235" i="162"/>
  <c r="K235" i="162"/>
  <c r="H235" i="162"/>
  <c r="N234" i="162"/>
  <c r="M234" i="162"/>
  <c r="L234" i="162"/>
  <c r="K234" i="162"/>
  <c r="H234" i="162"/>
  <c r="N233" i="162"/>
  <c r="M233" i="162"/>
  <c r="L233" i="162"/>
  <c r="K233" i="162"/>
  <c r="H233" i="162"/>
  <c r="N232" i="162"/>
  <c r="M232" i="162"/>
  <c r="L232" i="162"/>
  <c r="K232" i="162"/>
  <c r="H232" i="162"/>
  <c r="N231" i="162"/>
  <c r="M231" i="162"/>
  <c r="L231" i="162"/>
  <c r="K231" i="162"/>
  <c r="H231" i="162"/>
  <c r="N230" i="162"/>
  <c r="M230" i="162"/>
  <c r="L230" i="162"/>
  <c r="K230" i="162"/>
  <c r="H230" i="162"/>
  <c r="N229" i="162"/>
  <c r="M229" i="162"/>
  <c r="L229" i="162"/>
  <c r="K229" i="162"/>
  <c r="H229" i="162"/>
  <c r="N228" i="162"/>
  <c r="M228" i="162"/>
  <c r="L228" i="162"/>
  <c r="K228" i="162"/>
  <c r="H228" i="162"/>
  <c r="N227" i="162"/>
  <c r="M227" i="162"/>
  <c r="L227" i="162"/>
  <c r="K227" i="162"/>
  <c r="H227" i="162"/>
  <c r="N226" i="162"/>
  <c r="M226" i="162"/>
  <c r="L226" i="162"/>
  <c r="K226" i="162"/>
  <c r="H226" i="162"/>
  <c r="N225" i="162"/>
  <c r="M225" i="162"/>
  <c r="L225" i="162"/>
  <c r="K225" i="162"/>
  <c r="H225" i="162"/>
  <c r="N224" i="162"/>
  <c r="M224" i="162"/>
  <c r="L224" i="162"/>
  <c r="K224" i="162"/>
  <c r="H224" i="162"/>
  <c r="N223" i="162"/>
  <c r="M223" i="162"/>
  <c r="L223" i="162"/>
  <c r="K223" i="162"/>
  <c r="H223" i="162"/>
  <c r="N222" i="162"/>
  <c r="M222" i="162"/>
  <c r="L222" i="162"/>
  <c r="K222" i="162"/>
  <c r="H222" i="162"/>
  <c r="N221" i="162"/>
  <c r="M221" i="162"/>
  <c r="L221" i="162"/>
  <c r="K221" i="162"/>
  <c r="H221" i="162"/>
  <c r="N220" i="162"/>
  <c r="M220" i="162"/>
  <c r="L220" i="162"/>
  <c r="K220" i="162"/>
  <c r="H220" i="162"/>
  <c r="N219" i="162"/>
  <c r="M219" i="162"/>
  <c r="L219" i="162"/>
  <c r="K219" i="162"/>
  <c r="H219" i="162"/>
  <c r="N218" i="162"/>
  <c r="M218" i="162"/>
  <c r="L218" i="162"/>
  <c r="K218" i="162"/>
  <c r="H218" i="162"/>
  <c r="N217" i="162"/>
  <c r="M217" i="162"/>
  <c r="L217" i="162"/>
  <c r="K217" i="162"/>
  <c r="H217" i="162"/>
  <c r="N216" i="162"/>
  <c r="M216" i="162"/>
  <c r="L216" i="162"/>
  <c r="K216" i="162"/>
  <c r="H216" i="162"/>
  <c r="N215" i="162"/>
  <c r="M215" i="162"/>
  <c r="L215" i="162"/>
  <c r="K215" i="162"/>
  <c r="H215" i="162"/>
  <c r="N214" i="162"/>
  <c r="M214" i="162"/>
  <c r="L214" i="162"/>
  <c r="K214" i="162"/>
  <c r="H214" i="162"/>
  <c r="N213" i="162"/>
  <c r="M213" i="162"/>
  <c r="L213" i="162"/>
  <c r="K213" i="162"/>
  <c r="H213" i="162"/>
  <c r="N212" i="162"/>
  <c r="M212" i="162"/>
  <c r="L212" i="162"/>
  <c r="K212" i="162"/>
  <c r="H212" i="162"/>
  <c r="N211" i="162"/>
  <c r="M211" i="162"/>
  <c r="L211" i="162"/>
  <c r="K211" i="162"/>
  <c r="H211" i="162"/>
  <c r="N210" i="162"/>
  <c r="M210" i="162"/>
  <c r="L210" i="162"/>
  <c r="K210" i="162"/>
  <c r="H210" i="162"/>
  <c r="N209" i="162"/>
  <c r="M209" i="162"/>
  <c r="L209" i="162"/>
  <c r="K209" i="162"/>
  <c r="H209" i="162"/>
  <c r="N208" i="162"/>
  <c r="M208" i="162"/>
  <c r="L208" i="162"/>
  <c r="K208" i="162"/>
  <c r="H208" i="162"/>
  <c r="N207" i="162"/>
  <c r="M207" i="162"/>
  <c r="L207" i="162"/>
  <c r="K207" i="162"/>
  <c r="H207" i="162"/>
  <c r="N206" i="162"/>
  <c r="M206" i="162"/>
  <c r="L206" i="162"/>
  <c r="K206" i="162"/>
  <c r="H206" i="162"/>
  <c r="N205" i="162"/>
  <c r="M205" i="162"/>
  <c r="L205" i="162"/>
  <c r="K205" i="162"/>
  <c r="H205" i="162"/>
  <c r="N204" i="162"/>
  <c r="M204" i="162"/>
  <c r="L204" i="162"/>
  <c r="K204" i="162"/>
  <c r="H204" i="162"/>
  <c r="N203" i="162"/>
  <c r="M203" i="162"/>
  <c r="L203" i="162"/>
  <c r="K203" i="162"/>
  <c r="H203" i="162"/>
  <c r="N202" i="162"/>
  <c r="M202" i="162"/>
  <c r="L202" i="162"/>
  <c r="K202" i="162"/>
  <c r="H202" i="162"/>
  <c r="N201" i="162"/>
  <c r="M201" i="162"/>
  <c r="L201" i="162"/>
  <c r="K201" i="162"/>
  <c r="H201" i="162"/>
  <c r="N200" i="162"/>
  <c r="M200" i="162"/>
  <c r="L200" i="162"/>
  <c r="K200" i="162"/>
  <c r="H200" i="162"/>
  <c r="N199" i="162"/>
  <c r="M199" i="162"/>
  <c r="L199" i="162"/>
  <c r="K199" i="162"/>
  <c r="H199" i="162"/>
  <c r="N198" i="162"/>
  <c r="M198" i="162"/>
  <c r="L198" i="162"/>
  <c r="K198" i="162"/>
  <c r="H198" i="162"/>
  <c r="N197" i="162"/>
  <c r="M197" i="162"/>
  <c r="L197" i="162"/>
  <c r="K197" i="162"/>
  <c r="H197" i="162"/>
  <c r="N196" i="162"/>
  <c r="M196" i="162"/>
  <c r="L196" i="162"/>
  <c r="K196" i="162"/>
  <c r="H196" i="162"/>
  <c r="N195" i="162"/>
  <c r="M195" i="162"/>
  <c r="L195" i="162"/>
  <c r="K195" i="162"/>
  <c r="H195" i="162"/>
  <c r="N194" i="162"/>
  <c r="M194" i="162"/>
  <c r="L194" i="162"/>
  <c r="K194" i="162"/>
  <c r="H194" i="162"/>
  <c r="N193" i="162"/>
  <c r="M193" i="162"/>
  <c r="L193" i="162"/>
  <c r="K193" i="162"/>
  <c r="H193" i="162"/>
  <c r="N192" i="162"/>
  <c r="M192" i="162"/>
  <c r="L192" i="162"/>
  <c r="K192" i="162"/>
  <c r="H192" i="162"/>
  <c r="N191" i="162"/>
  <c r="M191" i="162"/>
  <c r="L191" i="162"/>
  <c r="K191" i="162"/>
  <c r="H191" i="162"/>
  <c r="N190" i="162"/>
  <c r="M190" i="162"/>
  <c r="L190" i="162"/>
  <c r="K190" i="162"/>
  <c r="H190" i="162"/>
  <c r="N189" i="162"/>
  <c r="M189" i="162"/>
  <c r="L189" i="162"/>
  <c r="K189" i="162"/>
  <c r="H189" i="162"/>
  <c r="N188" i="162"/>
  <c r="M188" i="162"/>
  <c r="L188" i="162"/>
  <c r="K188" i="162"/>
  <c r="H188" i="162"/>
  <c r="N187" i="162"/>
  <c r="M187" i="162"/>
  <c r="L187" i="162"/>
  <c r="K187" i="162"/>
  <c r="H187" i="162"/>
  <c r="N186" i="162"/>
  <c r="M186" i="162"/>
  <c r="L186" i="162"/>
  <c r="K186" i="162"/>
  <c r="H186" i="162"/>
  <c r="N185" i="162"/>
  <c r="M185" i="162"/>
  <c r="L185" i="162"/>
  <c r="K185" i="162"/>
  <c r="H185" i="162"/>
  <c r="N184" i="162"/>
  <c r="M184" i="162"/>
  <c r="L184" i="162"/>
  <c r="K184" i="162"/>
  <c r="H184" i="162"/>
  <c r="N183" i="162"/>
  <c r="M183" i="162"/>
  <c r="L183" i="162"/>
  <c r="K183" i="162"/>
  <c r="H183" i="162"/>
  <c r="N182" i="162"/>
  <c r="M182" i="162"/>
  <c r="L182" i="162"/>
  <c r="K182" i="162"/>
  <c r="H182" i="162"/>
  <c r="N181" i="162"/>
  <c r="M181" i="162"/>
  <c r="L181" i="162"/>
  <c r="K181" i="162"/>
  <c r="H181" i="162"/>
  <c r="N180" i="162"/>
  <c r="M180" i="162"/>
  <c r="L180" i="162"/>
  <c r="K180" i="162"/>
  <c r="H180" i="162"/>
  <c r="N179" i="162"/>
  <c r="M179" i="162"/>
  <c r="L179" i="162"/>
  <c r="K179" i="162"/>
  <c r="H179" i="162"/>
  <c r="N178" i="162"/>
  <c r="M178" i="162"/>
  <c r="L178" i="162"/>
  <c r="K178" i="162"/>
  <c r="H178" i="162"/>
  <c r="N177" i="162"/>
  <c r="M177" i="162"/>
  <c r="L177" i="162"/>
  <c r="K177" i="162"/>
  <c r="H177" i="162"/>
  <c r="N176" i="162"/>
  <c r="M176" i="162"/>
  <c r="L176" i="162"/>
  <c r="K176" i="162"/>
  <c r="H176" i="162"/>
  <c r="N175" i="162"/>
  <c r="M175" i="162"/>
  <c r="L175" i="162"/>
  <c r="K175" i="162"/>
  <c r="H175" i="162"/>
  <c r="N174" i="162"/>
  <c r="M174" i="162"/>
  <c r="L174" i="162"/>
  <c r="K174" i="162"/>
  <c r="H174" i="162"/>
  <c r="N173" i="162"/>
  <c r="M173" i="162"/>
  <c r="L173" i="162"/>
  <c r="K173" i="162"/>
  <c r="H173" i="162"/>
  <c r="N172" i="162"/>
  <c r="M172" i="162"/>
  <c r="L172" i="162"/>
  <c r="K172" i="162"/>
  <c r="H172" i="162"/>
  <c r="N171" i="162"/>
  <c r="M171" i="162"/>
  <c r="L171" i="162"/>
  <c r="K171" i="162"/>
  <c r="H171" i="162"/>
  <c r="N170" i="162"/>
  <c r="M170" i="162"/>
  <c r="L170" i="162"/>
  <c r="K170" i="162"/>
  <c r="H170" i="162"/>
  <c r="N169" i="162"/>
  <c r="M169" i="162"/>
  <c r="L169" i="162"/>
  <c r="K169" i="162"/>
  <c r="H169" i="162"/>
  <c r="N168" i="162"/>
  <c r="M168" i="162"/>
  <c r="L168" i="162"/>
  <c r="K168" i="162"/>
  <c r="H168" i="162"/>
  <c r="N167" i="162"/>
  <c r="M167" i="162"/>
  <c r="L167" i="162"/>
  <c r="K167" i="162"/>
  <c r="H167" i="162"/>
  <c r="N166" i="162"/>
  <c r="M166" i="162"/>
  <c r="L166" i="162"/>
  <c r="K166" i="162"/>
  <c r="H166" i="162"/>
  <c r="N165" i="162"/>
  <c r="M165" i="162"/>
  <c r="L165" i="162"/>
  <c r="K165" i="162"/>
  <c r="H165" i="162"/>
  <c r="N164" i="162"/>
  <c r="M164" i="162"/>
  <c r="L164" i="162"/>
  <c r="K164" i="162"/>
  <c r="H164" i="162"/>
  <c r="N163" i="162"/>
  <c r="M163" i="162"/>
  <c r="L163" i="162"/>
  <c r="K163" i="162"/>
  <c r="H163" i="162"/>
  <c r="N162" i="162"/>
  <c r="M162" i="162"/>
  <c r="L162" i="162"/>
  <c r="K162" i="162"/>
  <c r="H162" i="162"/>
  <c r="N161" i="162"/>
  <c r="M161" i="162"/>
  <c r="L161" i="162"/>
  <c r="K161" i="162"/>
  <c r="H161" i="162"/>
  <c r="N160" i="162"/>
  <c r="M160" i="162"/>
  <c r="L160" i="162"/>
  <c r="K160" i="162"/>
  <c r="H160" i="162"/>
  <c r="N159" i="162"/>
  <c r="M159" i="162"/>
  <c r="L159" i="162"/>
  <c r="K159" i="162"/>
  <c r="H159" i="162"/>
  <c r="N158" i="162"/>
  <c r="M158" i="162"/>
  <c r="L158" i="162"/>
  <c r="K158" i="162"/>
  <c r="H158" i="162"/>
  <c r="N157" i="162"/>
  <c r="M157" i="162"/>
  <c r="L157" i="162"/>
  <c r="K157" i="162"/>
  <c r="H157" i="162"/>
  <c r="N156" i="162"/>
  <c r="M156" i="162"/>
  <c r="L156" i="162"/>
  <c r="K156" i="162"/>
  <c r="H156" i="162"/>
  <c r="N155" i="162"/>
  <c r="M155" i="162"/>
  <c r="L155" i="162"/>
  <c r="K155" i="162"/>
  <c r="H155" i="162"/>
  <c r="N154" i="162"/>
  <c r="M154" i="162"/>
  <c r="L154" i="162"/>
  <c r="K154" i="162"/>
  <c r="H154" i="162"/>
  <c r="N153" i="162"/>
  <c r="M153" i="162"/>
  <c r="L153" i="162"/>
  <c r="K153" i="162"/>
  <c r="H153" i="162"/>
  <c r="N152" i="162"/>
  <c r="M152" i="162"/>
  <c r="L152" i="162"/>
  <c r="K152" i="162"/>
  <c r="H152" i="162"/>
  <c r="N151" i="162"/>
  <c r="M151" i="162"/>
  <c r="L151" i="162"/>
  <c r="K151" i="162"/>
  <c r="H151" i="162"/>
  <c r="N150" i="162"/>
  <c r="M150" i="162"/>
  <c r="L150" i="162"/>
  <c r="K150" i="162"/>
  <c r="H150" i="162"/>
  <c r="N149" i="162"/>
  <c r="M149" i="162"/>
  <c r="L149" i="162"/>
  <c r="K149" i="162"/>
  <c r="H149" i="162"/>
  <c r="N148" i="162"/>
  <c r="M148" i="162"/>
  <c r="L148" i="162"/>
  <c r="K148" i="162"/>
  <c r="H148" i="162"/>
  <c r="N147" i="162"/>
  <c r="M147" i="162"/>
  <c r="L147" i="162"/>
  <c r="K147" i="162"/>
  <c r="H147" i="162"/>
  <c r="N146" i="162"/>
  <c r="M146" i="162"/>
  <c r="L146" i="162"/>
  <c r="K146" i="162"/>
  <c r="H146" i="162"/>
  <c r="N145" i="162"/>
  <c r="M145" i="162"/>
  <c r="L145" i="162"/>
  <c r="K145" i="162"/>
  <c r="H145" i="162"/>
  <c r="N144" i="162"/>
  <c r="M144" i="162"/>
  <c r="L144" i="162"/>
  <c r="K144" i="162"/>
  <c r="H144" i="162"/>
  <c r="N143" i="162"/>
  <c r="M143" i="162"/>
  <c r="L143" i="162"/>
  <c r="K143" i="162"/>
  <c r="H143" i="162"/>
  <c r="N142" i="162"/>
  <c r="M142" i="162"/>
  <c r="L142" i="162"/>
  <c r="K142" i="162"/>
  <c r="H142" i="162"/>
  <c r="N141" i="162"/>
  <c r="M141" i="162"/>
  <c r="L141" i="162"/>
  <c r="K141" i="162"/>
  <c r="H141" i="162"/>
  <c r="N140" i="162"/>
  <c r="M140" i="162"/>
  <c r="L140" i="162"/>
  <c r="K140" i="162"/>
  <c r="H140" i="162"/>
  <c r="N139" i="162"/>
  <c r="M139" i="162"/>
  <c r="L139" i="162"/>
  <c r="K139" i="162"/>
  <c r="H139" i="162"/>
  <c r="N138" i="162"/>
  <c r="M138" i="162"/>
  <c r="L138" i="162"/>
  <c r="K138" i="162"/>
  <c r="H138" i="162"/>
  <c r="N137" i="162"/>
  <c r="M137" i="162"/>
  <c r="L137" i="162"/>
  <c r="K137" i="162"/>
  <c r="H137" i="162"/>
  <c r="N136" i="162"/>
  <c r="M136" i="162"/>
  <c r="L136" i="162"/>
  <c r="K136" i="162"/>
  <c r="H136" i="162"/>
  <c r="N135" i="162"/>
  <c r="M135" i="162"/>
  <c r="L135" i="162"/>
  <c r="K135" i="162"/>
  <c r="H135" i="162"/>
  <c r="N134" i="162"/>
  <c r="M134" i="162"/>
  <c r="L134" i="162"/>
  <c r="K134" i="162"/>
  <c r="H134" i="162"/>
  <c r="N133" i="162"/>
  <c r="M133" i="162"/>
  <c r="L133" i="162"/>
  <c r="K133" i="162"/>
  <c r="H133" i="162"/>
  <c r="N132" i="162"/>
  <c r="M132" i="162"/>
  <c r="L132" i="162"/>
  <c r="K132" i="162"/>
  <c r="H132" i="162"/>
  <c r="N131" i="162"/>
  <c r="M131" i="162"/>
  <c r="L131" i="162"/>
  <c r="K131" i="162"/>
  <c r="H131" i="162"/>
  <c r="N130" i="162"/>
  <c r="M130" i="162"/>
  <c r="L130" i="162"/>
  <c r="K130" i="162"/>
  <c r="H130" i="162"/>
  <c r="N129" i="162"/>
  <c r="M129" i="162"/>
  <c r="L129" i="162"/>
  <c r="K129" i="162"/>
  <c r="H129" i="162"/>
  <c r="N128" i="162"/>
  <c r="M128" i="162"/>
  <c r="L128" i="162"/>
  <c r="K128" i="162"/>
  <c r="H128" i="162"/>
  <c r="N127" i="162"/>
  <c r="M127" i="162"/>
  <c r="L127" i="162"/>
  <c r="K127" i="162"/>
  <c r="H127" i="162"/>
  <c r="N126" i="162"/>
  <c r="M126" i="162"/>
  <c r="L126" i="162"/>
  <c r="K126" i="162"/>
  <c r="H126" i="162"/>
  <c r="N125" i="162"/>
  <c r="M125" i="162"/>
  <c r="L125" i="162"/>
  <c r="K125" i="162"/>
  <c r="H125" i="162"/>
  <c r="N124" i="162"/>
  <c r="M124" i="162"/>
  <c r="L124" i="162"/>
  <c r="K124" i="162"/>
  <c r="H124" i="162"/>
  <c r="N123" i="162"/>
  <c r="M123" i="162"/>
  <c r="L123" i="162"/>
  <c r="K123" i="162"/>
  <c r="H123" i="162"/>
  <c r="N122" i="162"/>
  <c r="M122" i="162"/>
  <c r="L122" i="162"/>
  <c r="K122" i="162"/>
  <c r="H122" i="162"/>
  <c r="N121" i="162"/>
  <c r="M121" i="162"/>
  <c r="L121" i="162"/>
  <c r="K121" i="162"/>
  <c r="H121" i="162"/>
  <c r="N120" i="162"/>
  <c r="M120" i="162"/>
  <c r="L120" i="162"/>
  <c r="K120" i="162"/>
  <c r="H120" i="162"/>
  <c r="N119" i="162"/>
  <c r="M119" i="162"/>
  <c r="L119" i="162"/>
  <c r="K119" i="162"/>
  <c r="H119" i="162"/>
  <c r="N118" i="162"/>
  <c r="M118" i="162"/>
  <c r="L118" i="162"/>
  <c r="K118" i="162"/>
  <c r="H118" i="162"/>
  <c r="N117" i="162"/>
  <c r="M117" i="162"/>
  <c r="L117" i="162"/>
  <c r="K117" i="162"/>
  <c r="H117" i="162"/>
  <c r="N116" i="162"/>
  <c r="M116" i="162"/>
  <c r="L116" i="162"/>
  <c r="K116" i="162"/>
  <c r="H116" i="162"/>
  <c r="N115" i="162"/>
  <c r="M115" i="162"/>
  <c r="L115" i="162"/>
  <c r="K115" i="162"/>
  <c r="H115" i="162"/>
  <c r="N114" i="162"/>
  <c r="M114" i="162"/>
  <c r="L114" i="162"/>
  <c r="K114" i="162"/>
  <c r="H114" i="162"/>
  <c r="N113" i="162"/>
  <c r="M113" i="162"/>
  <c r="L113" i="162"/>
  <c r="K113" i="162"/>
  <c r="H113" i="162"/>
  <c r="N112" i="162"/>
  <c r="M112" i="162"/>
  <c r="L112" i="162"/>
  <c r="K112" i="162"/>
  <c r="H112" i="162"/>
  <c r="N111" i="162"/>
  <c r="M111" i="162"/>
  <c r="L111" i="162"/>
  <c r="K111" i="162"/>
  <c r="H111" i="162"/>
  <c r="N110" i="162"/>
  <c r="M110" i="162"/>
  <c r="L110" i="162"/>
  <c r="K110" i="162"/>
  <c r="H110" i="162"/>
  <c r="N109" i="162"/>
  <c r="M109" i="162"/>
  <c r="L109" i="162"/>
  <c r="K109" i="162"/>
  <c r="H109" i="162"/>
  <c r="N108" i="162"/>
  <c r="M108" i="162"/>
  <c r="L108" i="162"/>
  <c r="K108" i="162"/>
  <c r="H108" i="162"/>
  <c r="N107" i="162"/>
  <c r="M107" i="162"/>
  <c r="L107" i="162"/>
  <c r="K107" i="162"/>
  <c r="H107" i="162"/>
  <c r="N106" i="162"/>
  <c r="M106" i="162"/>
  <c r="L106" i="162"/>
  <c r="K106" i="162"/>
  <c r="H106" i="162"/>
  <c r="N105" i="162"/>
  <c r="M105" i="162"/>
  <c r="L105" i="162"/>
  <c r="K105" i="162"/>
  <c r="H105" i="162"/>
  <c r="N104" i="162"/>
  <c r="M104" i="162"/>
  <c r="L104" i="162"/>
  <c r="K104" i="162"/>
  <c r="H104" i="162"/>
  <c r="N103" i="162"/>
  <c r="M103" i="162"/>
  <c r="L103" i="162"/>
  <c r="K103" i="162"/>
  <c r="H103" i="162"/>
  <c r="N102" i="162"/>
  <c r="M102" i="162"/>
  <c r="L102" i="162"/>
  <c r="K102" i="162"/>
  <c r="H102" i="162"/>
  <c r="N101" i="162"/>
  <c r="M101" i="162"/>
  <c r="L101" i="162"/>
  <c r="K101" i="162"/>
  <c r="H101" i="162"/>
  <c r="N100" i="162"/>
  <c r="M100" i="162"/>
  <c r="L100" i="162"/>
  <c r="K100" i="162"/>
  <c r="H100" i="162"/>
  <c r="N99" i="162"/>
  <c r="M99" i="162"/>
  <c r="L99" i="162"/>
  <c r="K99" i="162"/>
  <c r="H99" i="162"/>
  <c r="N98" i="162"/>
  <c r="M98" i="162"/>
  <c r="L98" i="162"/>
  <c r="K98" i="162"/>
  <c r="H98" i="162"/>
  <c r="N97" i="162"/>
  <c r="M97" i="162"/>
  <c r="L97" i="162"/>
  <c r="K97" i="162"/>
  <c r="H97" i="162"/>
  <c r="N96" i="162"/>
  <c r="M96" i="162"/>
  <c r="L96" i="162"/>
  <c r="K96" i="162"/>
  <c r="H96" i="162"/>
  <c r="N95" i="162"/>
  <c r="M95" i="162"/>
  <c r="L95" i="162"/>
  <c r="K95" i="162"/>
  <c r="H95" i="162"/>
  <c r="N94" i="162"/>
  <c r="M94" i="162"/>
  <c r="L94" i="162"/>
  <c r="K94" i="162"/>
  <c r="H94" i="162"/>
  <c r="N93" i="162"/>
  <c r="M93" i="162"/>
  <c r="L93" i="162"/>
  <c r="K93" i="162"/>
  <c r="H93" i="162"/>
  <c r="N92" i="162"/>
  <c r="M92" i="162"/>
  <c r="L92" i="162"/>
  <c r="K92" i="162"/>
  <c r="H92" i="162"/>
  <c r="N91" i="162"/>
  <c r="M91" i="162"/>
  <c r="L91" i="162"/>
  <c r="K91" i="162"/>
  <c r="H91" i="162"/>
  <c r="N90" i="162"/>
  <c r="M90" i="162"/>
  <c r="L90" i="162"/>
  <c r="K90" i="162"/>
  <c r="H90" i="162"/>
  <c r="N89" i="162"/>
  <c r="M89" i="162"/>
  <c r="L89" i="162"/>
  <c r="K89" i="162"/>
  <c r="H89" i="162"/>
  <c r="N88" i="162"/>
  <c r="M88" i="162"/>
  <c r="L88" i="162"/>
  <c r="K88" i="162"/>
  <c r="H88" i="162"/>
  <c r="N87" i="162"/>
  <c r="M87" i="162"/>
  <c r="L87" i="162"/>
  <c r="K87" i="162"/>
  <c r="H87" i="162"/>
  <c r="N86" i="162"/>
  <c r="M86" i="162"/>
  <c r="L86" i="162"/>
  <c r="K86" i="162"/>
  <c r="H86" i="162"/>
  <c r="N85" i="162"/>
  <c r="M85" i="162"/>
  <c r="L85" i="162"/>
  <c r="K85" i="162"/>
  <c r="H85" i="162"/>
  <c r="N84" i="162"/>
  <c r="M84" i="162"/>
  <c r="L84" i="162"/>
  <c r="K84" i="162"/>
  <c r="H84" i="162"/>
  <c r="N83" i="162"/>
  <c r="M83" i="162"/>
  <c r="L83" i="162"/>
  <c r="K83" i="162"/>
  <c r="H83" i="162"/>
  <c r="N82" i="162"/>
  <c r="M82" i="162"/>
  <c r="L82" i="162"/>
  <c r="K82" i="162"/>
  <c r="H82" i="162"/>
  <c r="N81" i="162"/>
  <c r="M81" i="162"/>
  <c r="L81" i="162"/>
  <c r="K81" i="162"/>
  <c r="H81" i="162"/>
  <c r="N80" i="162"/>
  <c r="M80" i="162"/>
  <c r="L80" i="162"/>
  <c r="K80" i="162"/>
  <c r="H80" i="162"/>
  <c r="N79" i="162"/>
  <c r="M79" i="162"/>
  <c r="L79" i="162"/>
  <c r="K79" i="162"/>
  <c r="H79" i="162"/>
  <c r="N78" i="162"/>
  <c r="M78" i="162"/>
  <c r="L78" i="162"/>
  <c r="K78" i="162"/>
  <c r="H78" i="162"/>
  <c r="N77" i="162"/>
  <c r="M77" i="162"/>
  <c r="L77" i="162"/>
  <c r="K77" i="162"/>
  <c r="H77" i="162"/>
  <c r="N76" i="162"/>
  <c r="M76" i="162"/>
  <c r="L76" i="162"/>
  <c r="K76" i="162"/>
  <c r="H76" i="162"/>
  <c r="N75" i="162"/>
  <c r="M75" i="162"/>
  <c r="L75" i="162"/>
  <c r="K75" i="162"/>
  <c r="H75" i="162"/>
  <c r="N74" i="162"/>
  <c r="M74" i="162"/>
  <c r="L74" i="162"/>
  <c r="K74" i="162"/>
  <c r="H74" i="162"/>
  <c r="N73" i="162"/>
  <c r="M73" i="162"/>
  <c r="L73" i="162"/>
  <c r="K73" i="162"/>
  <c r="H73" i="162"/>
  <c r="N72" i="162"/>
  <c r="M72" i="162"/>
  <c r="L72" i="162"/>
  <c r="K72" i="162"/>
  <c r="H72" i="162"/>
  <c r="N71" i="162"/>
  <c r="M71" i="162"/>
  <c r="L71" i="162"/>
  <c r="K71" i="162"/>
  <c r="H71" i="162"/>
  <c r="N70" i="162"/>
  <c r="M70" i="162"/>
  <c r="L70" i="162"/>
  <c r="K70" i="162"/>
  <c r="H70" i="162"/>
  <c r="N69" i="162"/>
  <c r="M69" i="162"/>
  <c r="L69" i="162"/>
  <c r="K69" i="162"/>
  <c r="H69" i="162"/>
  <c r="N68" i="162"/>
  <c r="M68" i="162"/>
  <c r="L68" i="162"/>
  <c r="K68" i="162"/>
  <c r="H68" i="162"/>
  <c r="N67" i="162"/>
  <c r="M67" i="162"/>
  <c r="L67" i="162"/>
  <c r="K67" i="162"/>
  <c r="H67" i="162"/>
  <c r="N66" i="162"/>
  <c r="M66" i="162"/>
  <c r="L66" i="162"/>
  <c r="K66" i="162"/>
  <c r="H66" i="162"/>
  <c r="N65" i="162"/>
  <c r="M65" i="162"/>
  <c r="L65" i="162"/>
  <c r="K65" i="162"/>
  <c r="H65" i="162"/>
  <c r="N64" i="162"/>
  <c r="M64" i="162"/>
  <c r="L64" i="162"/>
  <c r="K64" i="162"/>
  <c r="H64" i="162"/>
  <c r="N63" i="162"/>
  <c r="M63" i="162"/>
  <c r="L63" i="162"/>
  <c r="K63" i="162"/>
  <c r="H63" i="162"/>
  <c r="N62" i="162"/>
  <c r="M62" i="162"/>
  <c r="L62" i="162"/>
  <c r="K62" i="162"/>
  <c r="H62" i="162"/>
  <c r="N61" i="162"/>
  <c r="M61" i="162"/>
  <c r="L61" i="162"/>
  <c r="K61" i="162"/>
  <c r="H61" i="162"/>
  <c r="N60" i="162"/>
  <c r="M60" i="162"/>
  <c r="L60" i="162"/>
  <c r="K60" i="162"/>
  <c r="H60" i="162"/>
  <c r="N59" i="162"/>
  <c r="M59" i="162"/>
  <c r="L59" i="162"/>
  <c r="K59" i="162"/>
  <c r="H59" i="162"/>
  <c r="N58" i="162"/>
  <c r="M58" i="162"/>
  <c r="L58" i="162"/>
  <c r="K58" i="162"/>
  <c r="H58" i="162"/>
  <c r="N57" i="162"/>
  <c r="M57" i="162"/>
  <c r="L57" i="162"/>
  <c r="K57" i="162"/>
  <c r="H57" i="162"/>
  <c r="N56" i="162"/>
  <c r="M56" i="162"/>
  <c r="L56" i="162"/>
  <c r="K56" i="162"/>
  <c r="H56" i="162"/>
  <c r="N55" i="162"/>
  <c r="M55" i="162"/>
  <c r="L55" i="162"/>
  <c r="K55" i="162"/>
  <c r="H55" i="162"/>
  <c r="N54" i="162"/>
  <c r="M54" i="162"/>
  <c r="L54" i="162"/>
  <c r="K54" i="162"/>
  <c r="H54" i="162"/>
  <c r="N53" i="162"/>
  <c r="M53" i="162"/>
  <c r="L53" i="162"/>
  <c r="K53" i="162"/>
  <c r="H53" i="162"/>
  <c r="N52" i="162"/>
  <c r="M52" i="162"/>
  <c r="L52" i="162"/>
  <c r="K52" i="162"/>
  <c r="H52" i="162"/>
  <c r="N51" i="162"/>
  <c r="M51" i="162"/>
  <c r="L51" i="162"/>
  <c r="K51" i="162"/>
  <c r="H51" i="162"/>
  <c r="N50" i="162"/>
  <c r="M50" i="162"/>
  <c r="L50" i="162"/>
  <c r="K50" i="162"/>
  <c r="H50" i="162"/>
  <c r="N49" i="162"/>
  <c r="M49" i="162"/>
  <c r="L49" i="162"/>
  <c r="K49" i="162"/>
  <c r="H49" i="162"/>
  <c r="N48" i="162"/>
  <c r="M48" i="162"/>
  <c r="L48" i="162"/>
  <c r="K48" i="162"/>
  <c r="H48" i="162"/>
  <c r="N47" i="162"/>
  <c r="M47" i="162"/>
  <c r="L47" i="162"/>
  <c r="K47" i="162"/>
  <c r="H47" i="162"/>
  <c r="N46" i="162"/>
  <c r="M46" i="162"/>
  <c r="L46" i="162"/>
  <c r="K46" i="162"/>
  <c r="H46" i="162"/>
  <c r="N45" i="162"/>
  <c r="M45" i="162"/>
  <c r="L45" i="162"/>
  <c r="K45" i="162"/>
  <c r="H45" i="162"/>
  <c r="N44" i="162"/>
  <c r="M44" i="162"/>
  <c r="L44" i="162"/>
  <c r="K44" i="162"/>
  <c r="H44" i="162"/>
  <c r="N43" i="162"/>
  <c r="M43" i="162"/>
  <c r="L43" i="162"/>
  <c r="K43" i="162"/>
  <c r="H43" i="162"/>
  <c r="N42" i="162"/>
  <c r="M42" i="162"/>
  <c r="L42" i="162"/>
  <c r="K42" i="162"/>
  <c r="H42" i="162"/>
  <c r="N41" i="162"/>
  <c r="M41" i="162"/>
  <c r="L41" i="162"/>
  <c r="K41" i="162"/>
  <c r="H41" i="162"/>
  <c r="N40" i="162"/>
  <c r="M40" i="162"/>
  <c r="L40" i="162"/>
  <c r="K40" i="162"/>
  <c r="H40" i="162"/>
  <c r="N39" i="162"/>
  <c r="M39" i="162"/>
  <c r="L39" i="162"/>
  <c r="K39" i="162"/>
  <c r="H39" i="162"/>
  <c r="N38" i="162"/>
  <c r="M38" i="162"/>
  <c r="L38" i="162"/>
  <c r="K38" i="162"/>
  <c r="H38" i="162"/>
  <c r="N37" i="162"/>
  <c r="M37" i="162"/>
  <c r="L37" i="162"/>
  <c r="K37" i="162"/>
  <c r="H37" i="162"/>
  <c r="N36" i="162"/>
  <c r="M36" i="162"/>
  <c r="L36" i="162"/>
  <c r="K36" i="162"/>
  <c r="H36" i="162"/>
  <c r="N35" i="162"/>
  <c r="M35" i="162"/>
  <c r="L35" i="162"/>
  <c r="K35" i="162"/>
  <c r="H35" i="162"/>
  <c r="N34" i="162"/>
  <c r="M34" i="162"/>
  <c r="L34" i="162"/>
  <c r="K34" i="162"/>
  <c r="H34" i="162"/>
  <c r="N33" i="162"/>
  <c r="M33" i="162"/>
  <c r="L33" i="162"/>
  <c r="K33" i="162"/>
  <c r="H33" i="162"/>
  <c r="N32" i="162"/>
  <c r="M32" i="162"/>
  <c r="L32" i="162"/>
  <c r="K32" i="162"/>
  <c r="H32" i="162"/>
  <c r="N31" i="162"/>
  <c r="M31" i="162"/>
  <c r="L31" i="162"/>
  <c r="K31" i="162"/>
  <c r="H31" i="162"/>
  <c r="N30" i="162"/>
  <c r="M30" i="162"/>
  <c r="L30" i="162"/>
  <c r="K30" i="162"/>
  <c r="H30" i="162"/>
  <c r="N29" i="162"/>
  <c r="M29" i="162"/>
  <c r="L29" i="162"/>
  <c r="K29" i="162"/>
  <c r="H29" i="162"/>
  <c r="N28" i="162"/>
  <c r="M28" i="162"/>
  <c r="L28" i="162"/>
  <c r="K28" i="162"/>
  <c r="H28" i="162"/>
  <c r="N27" i="162"/>
  <c r="M27" i="162"/>
  <c r="L27" i="162"/>
  <c r="K27" i="162"/>
  <c r="H27" i="162"/>
  <c r="N26" i="162"/>
  <c r="M26" i="162"/>
  <c r="L26" i="162"/>
  <c r="K26" i="162"/>
  <c r="H26" i="162"/>
  <c r="N25" i="162"/>
  <c r="M25" i="162"/>
  <c r="L25" i="162"/>
  <c r="K25" i="162"/>
  <c r="H25" i="162"/>
  <c r="N24" i="162"/>
  <c r="M24" i="162"/>
  <c r="L24" i="162"/>
  <c r="K24" i="162"/>
  <c r="H24" i="162"/>
  <c r="N23" i="162"/>
  <c r="M23" i="162"/>
  <c r="L23" i="162"/>
  <c r="K23" i="162"/>
  <c r="H23" i="162"/>
  <c r="N22" i="162"/>
  <c r="M22" i="162"/>
  <c r="L22" i="162"/>
  <c r="K22" i="162"/>
  <c r="H22" i="162"/>
  <c r="N21" i="162"/>
  <c r="M21" i="162"/>
  <c r="L21" i="162"/>
  <c r="K21" i="162"/>
  <c r="H21" i="162"/>
  <c r="N20" i="162"/>
  <c r="M20" i="162"/>
  <c r="L20" i="162"/>
  <c r="K20" i="162"/>
  <c r="H20" i="162"/>
  <c r="N19" i="162"/>
  <c r="M19" i="162"/>
  <c r="L19" i="162"/>
  <c r="K19" i="162"/>
  <c r="H19" i="162"/>
  <c r="N18" i="162"/>
  <c r="M18" i="162"/>
  <c r="L18" i="162"/>
  <c r="K18" i="162"/>
  <c r="H18" i="162"/>
  <c r="N17" i="162"/>
  <c r="M17" i="162"/>
  <c r="L17" i="162"/>
  <c r="K17" i="162"/>
  <c r="H17" i="162"/>
  <c r="N16" i="162"/>
  <c r="M16" i="162"/>
  <c r="L16" i="162"/>
  <c r="K16" i="162"/>
  <c r="H16" i="162"/>
  <c r="N15" i="162"/>
  <c r="M15" i="162"/>
  <c r="L15" i="162"/>
  <c r="K15" i="162"/>
  <c r="H15" i="162"/>
  <c r="N14" i="162"/>
  <c r="M14" i="162"/>
  <c r="L14" i="162"/>
  <c r="K14" i="162"/>
  <c r="H14" i="162"/>
  <c r="N13" i="162"/>
  <c r="M13" i="162"/>
  <c r="L13" i="162"/>
  <c r="K13" i="162"/>
  <c r="H13" i="162"/>
  <c r="N12" i="162"/>
  <c r="M12" i="162"/>
  <c r="L12" i="162"/>
  <c r="K12" i="162"/>
  <c r="H12" i="162"/>
  <c r="N11" i="162"/>
  <c r="M11" i="162"/>
  <c r="L11" i="162"/>
  <c r="K11" i="162"/>
  <c r="H11" i="162"/>
  <c r="N10" i="162"/>
  <c r="M10" i="162"/>
  <c r="L10" i="162"/>
  <c r="K10" i="162"/>
  <c r="H10" i="162"/>
  <c r="N9" i="162"/>
  <c r="M9" i="162"/>
  <c r="L9" i="162"/>
  <c r="K9" i="162"/>
  <c r="H9" i="162"/>
  <c r="N8" i="162"/>
  <c r="M8" i="162"/>
  <c r="L8" i="162"/>
  <c r="K8" i="162"/>
  <c r="H8" i="162"/>
  <c r="N7" i="162"/>
  <c r="M7" i="162"/>
  <c r="L7" i="162"/>
  <c r="K7" i="162"/>
  <c r="H7" i="162"/>
  <c r="N6" i="162"/>
  <c r="M6" i="162"/>
  <c r="L6" i="162"/>
  <c r="K6" i="162"/>
  <c r="H6" i="162"/>
  <c r="N5" i="162"/>
  <c r="M5" i="162"/>
  <c r="L5" i="162"/>
  <c r="K5" i="162"/>
  <c r="H5" i="162"/>
  <c r="N4" i="162"/>
  <c r="M4" i="162"/>
  <c r="L4" i="162"/>
  <c r="K4" i="162"/>
  <c r="H4" i="162"/>
  <c r="N3" i="162"/>
  <c r="M3" i="162"/>
  <c r="L3" i="162"/>
  <c r="K3" i="162"/>
  <c r="H3" i="162"/>
  <c r="N2" i="162"/>
  <c r="M2" i="162"/>
  <c r="L2" i="162"/>
  <c r="K2" i="162"/>
  <c r="H2" i="162"/>
  <c r="F40" i="161"/>
  <c r="F47" i="161"/>
  <c r="F46" i="161"/>
  <c r="B46" i="161"/>
  <c r="F45" i="161"/>
  <c r="B45" i="161"/>
  <c r="B44" i="161"/>
  <c r="B43" i="161"/>
  <c r="F42" i="161"/>
  <c r="B42" i="161"/>
  <c r="B41" i="161"/>
  <c r="B40" i="161"/>
  <c r="E31" i="161"/>
  <c r="E30" i="161"/>
  <c r="A345" i="160"/>
  <c r="A344" i="160"/>
  <c r="A343" i="160"/>
  <c r="A342" i="160"/>
  <c r="A341" i="160"/>
  <c r="A340" i="160"/>
  <c r="A339" i="160"/>
  <c r="A338" i="160"/>
  <c r="A337" i="160"/>
  <c r="A336" i="160"/>
  <c r="A335" i="160"/>
  <c r="A334" i="160"/>
  <c r="A333" i="160"/>
  <c r="A332" i="160"/>
  <c r="A331" i="160"/>
  <c r="A330" i="160"/>
  <c r="A329" i="160"/>
  <c r="A328" i="160"/>
  <c r="A327" i="160"/>
  <c r="A326" i="160"/>
  <c r="A325" i="160"/>
  <c r="A324" i="160"/>
  <c r="A323" i="160"/>
  <c r="A322" i="160"/>
  <c r="A321" i="160"/>
  <c r="A320" i="160"/>
  <c r="A319" i="160"/>
  <c r="A318" i="160"/>
  <c r="A317" i="160"/>
  <c r="A316" i="160"/>
  <c r="A315" i="160"/>
  <c r="A314" i="160"/>
  <c r="A313" i="160"/>
  <c r="A312" i="160"/>
  <c r="A311" i="160"/>
  <c r="A310" i="160"/>
  <c r="A309" i="160"/>
  <c r="A308" i="160"/>
  <c r="A307" i="160"/>
  <c r="A306" i="160"/>
  <c r="A305" i="160"/>
  <c r="A304" i="160"/>
  <c r="A303" i="160"/>
  <c r="A302" i="160"/>
  <c r="A301" i="160"/>
  <c r="A300" i="160"/>
  <c r="A299" i="160"/>
  <c r="A298" i="160"/>
  <c r="A297" i="160"/>
  <c r="A296" i="160"/>
  <c r="A295" i="160"/>
  <c r="A294" i="160"/>
  <c r="A293" i="160"/>
  <c r="A292" i="160"/>
  <c r="A291" i="160"/>
  <c r="A290" i="160"/>
  <c r="A289" i="160"/>
  <c r="A288" i="160"/>
  <c r="A287" i="160"/>
  <c r="A286" i="160"/>
  <c r="A285" i="160"/>
  <c r="A284" i="160"/>
  <c r="A283" i="160"/>
  <c r="A282" i="160"/>
  <c r="A281" i="160"/>
  <c r="A280" i="160"/>
  <c r="A279" i="160"/>
  <c r="A278" i="160"/>
  <c r="A277" i="160"/>
  <c r="A276" i="160"/>
  <c r="A275" i="160"/>
  <c r="A274" i="160"/>
  <c r="A273" i="160"/>
  <c r="A272" i="160"/>
  <c r="A271" i="160"/>
  <c r="A270" i="160"/>
  <c r="A269" i="160"/>
  <c r="A268" i="160"/>
  <c r="A267" i="160"/>
  <c r="A266" i="160"/>
  <c r="A265" i="160"/>
  <c r="A264" i="160"/>
  <c r="A263" i="160"/>
  <c r="A262" i="160"/>
  <c r="A261" i="160"/>
  <c r="A260" i="160"/>
  <c r="A259" i="160"/>
  <c r="A258" i="160"/>
  <c r="A257" i="160"/>
  <c r="A256" i="160"/>
  <c r="A255" i="160"/>
  <c r="A254" i="160"/>
  <c r="A253" i="160"/>
  <c r="A252" i="160"/>
  <c r="A251" i="160"/>
  <c r="A250" i="160"/>
  <c r="A249" i="160"/>
  <c r="A248" i="160"/>
  <c r="A247" i="160"/>
  <c r="A246" i="160"/>
  <c r="A245" i="160"/>
  <c r="A244" i="160"/>
  <c r="A243" i="160"/>
  <c r="A242" i="160"/>
  <c r="A241" i="160"/>
  <c r="A240" i="160"/>
  <c r="A239" i="160"/>
  <c r="A238" i="160"/>
  <c r="A237" i="160"/>
  <c r="A236" i="160"/>
  <c r="A235" i="160"/>
  <c r="A234" i="160"/>
  <c r="A233" i="160"/>
  <c r="A232" i="160"/>
  <c r="A231" i="160"/>
  <c r="A230" i="160"/>
  <c r="A229" i="160"/>
  <c r="A228" i="160"/>
  <c r="A227" i="160"/>
  <c r="A226" i="160"/>
  <c r="A225" i="160"/>
  <c r="A224" i="160"/>
  <c r="A223" i="160"/>
  <c r="A222" i="160"/>
  <c r="A221" i="160"/>
  <c r="A220" i="160"/>
  <c r="A219" i="160"/>
  <c r="A218" i="160"/>
  <c r="A217" i="160"/>
  <c r="A216" i="160"/>
  <c r="A215" i="160"/>
  <c r="A214" i="160"/>
  <c r="A213" i="160"/>
  <c r="A212" i="160"/>
  <c r="A211" i="160"/>
  <c r="A210" i="160"/>
  <c r="A209" i="160"/>
  <c r="A208" i="160"/>
  <c r="A207" i="160"/>
  <c r="A206" i="160"/>
  <c r="A205" i="160"/>
  <c r="A204" i="160"/>
  <c r="A203" i="160"/>
  <c r="A202" i="160"/>
  <c r="A201" i="160"/>
  <c r="A200" i="160"/>
  <c r="A199" i="160"/>
  <c r="A198" i="160"/>
  <c r="A197" i="160"/>
  <c r="A196" i="160"/>
  <c r="A195" i="160"/>
  <c r="A194" i="160"/>
  <c r="A193" i="160"/>
  <c r="A192" i="160"/>
  <c r="A191" i="160"/>
  <c r="A190" i="160"/>
  <c r="A189" i="160"/>
  <c r="A188" i="160"/>
  <c r="A187" i="160"/>
  <c r="A186" i="160"/>
  <c r="A185" i="160"/>
  <c r="A184" i="160"/>
  <c r="A183" i="160"/>
  <c r="A182" i="160"/>
  <c r="A181" i="160"/>
  <c r="A180" i="160"/>
  <c r="A179" i="160"/>
  <c r="A178" i="160"/>
  <c r="A177" i="160"/>
  <c r="A176" i="160"/>
  <c r="A175" i="160"/>
  <c r="A174" i="160"/>
  <c r="A173" i="160"/>
  <c r="A172" i="160"/>
  <c r="A171" i="160"/>
  <c r="A170" i="160"/>
  <c r="A169" i="160"/>
  <c r="A168" i="160"/>
  <c r="A167" i="160"/>
  <c r="A166" i="160"/>
  <c r="A165" i="160"/>
  <c r="A164" i="160"/>
  <c r="A163" i="160"/>
  <c r="A162" i="160"/>
  <c r="A161" i="160"/>
  <c r="A160" i="160"/>
  <c r="A159" i="160"/>
  <c r="A158" i="160"/>
  <c r="A157" i="160"/>
  <c r="A156" i="160"/>
  <c r="A155" i="160"/>
  <c r="A154" i="160"/>
  <c r="A153" i="160"/>
  <c r="A152" i="160"/>
  <c r="A151" i="160"/>
  <c r="A150" i="160"/>
  <c r="A149" i="160"/>
  <c r="A148" i="160"/>
  <c r="A147" i="160"/>
  <c r="A146" i="160"/>
  <c r="A145" i="160"/>
  <c r="A144" i="160"/>
  <c r="A143" i="160"/>
  <c r="A142" i="160"/>
  <c r="A141" i="160"/>
  <c r="A140" i="160"/>
  <c r="A139" i="160"/>
  <c r="A138" i="160"/>
  <c r="A137" i="160"/>
  <c r="A136" i="160"/>
  <c r="A135" i="160"/>
  <c r="A134" i="160"/>
  <c r="A133" i="160"/>
  <c r="A132" i="160"/>
  <c r="A131" i="160"/>
  <c r="A130" i="160"/>
  <c r="A129" i="160"/>
  <c r="A128" i="160"/>
  <c r="A127" i="160"/>
  <c r="A126" i="160"/>
  <c r="A125" i="160"/>
  <c r="A124" i="160"/>
  <c r="A123" i="160"/>
  <c r="A122" i="160"/>
  <c r="A121" i="160"/>
  <c r="A120" i="160"/>
  <c r="A119" i="160"/>
  <c r="A118" i="160"/>
  <c r="A117" i="160"/>
  <c r="A116" i="160"/>
  <c r="A115" i="160"/>
  <c r="A114" i="160"/>
  <c r="A113" i="160"/>
  <c r="A112" i="160"/>
  <c r="A111" i="160"/>
  <c r="A110" i="160"/>
  <c r="A109" i="160"/>
  <c r="A108" i="160"/>
  <c r="A107" i="160"/>
  <c r="A106" i="160"/>
  <c r="A105" i="160"/>
  <c r="A104" i="160"/>
  <c r="A103" i="160"/>
  <c r="A102" i="160"/>
  <c r="A101" i="160"/>
  <c r="A100" i="160"/>
  <c r="A99" i="160"/>
  <c r="A98" i="160"/>
  <c r="A97" i="160"/>
  <c r="A96" i="160"/>
  <c r="A95" i="160"/>
  <c r="A94" i="160"/>
  <c r="A93" i="160"/>
  <c r="A92" i="160"/>
  <c r="A91" i="160"/>
  <c r="A90" i="160"/>
  <c r="A89" i="160"/>
  <c r="A88" i="160"/>
  <c r="A87" i="160"/>
  <c r="A86" i="160"/>
  <c r="A85" i="160"/>
  <c r="A84" i="160"/>
  <c r="A83" i="160"/>
  <c r="A82" i="160"/>
  <c r="A81" i="160"/>
  <c r="A80" i="160"/>
  <c r="A79" i="160"/>
  <c r="A78" i="160"/>
  <c r="A77" i="160"/>
  <c r="A76" i="160"/>
  <c r="A75" i="160"/>
  <c r="A74" i="160"/>
  <c r="A73" i="160"/>
  <c r="A72" i="160"/>
  <c r="A71" i="160"/>
  <c r="A70" i="160"/>
  <c r="A69" i="160"/>
  <c r="A68" i="160"/>
  <c r="A67" i="160"/>
  <c r="A66" i="160"/>
  <c r="A65" i="160"/>
  <c r="A64" i="160"/>
  <c r="A63" i="160"/>
  <c r="A62" i="160"/>
  <c r="A61" i="160"/>
  <c r="A60" i="160"/>
  <c r="A59" i="160"/>
  <c r="A58" i="160"/>
  <c r="A57" i="160"/>
  <c r="A56" i="160"/>
  <c r="A55" i="160"/>
  <c r="A54" i="160"/>
  <c r="A53" i="160"/>
  <c r="A52" i="160"/>
  <c r="A51" i="160"/>
  <c r="A50" i="160"/>
  <c r="A49" i="160"/>
  <c r="A48" i="160"/>
  <c r="A47" i="160"/>
  <c r="A46" i="160"/>
  <c r="A45" i="160"/>
  <c r="A44" i="160"/>
  <c r="A43" i="160"/>
  <c r="A42" i="160"/>
  <c r="A41" i="160"/>
  <c r="A40" i="160"/>
  <c r="A39" i="160"/>
  <c r="A38" i="160"/>
  <c r="A37" i="160"/>
  <c r="A36" i="160"/>
  <c r="A35" i="160"/>
  <c r="A34" i="160"/>
  <c r="A33" i="160"/>
  <c r="A32" i="160"/>
  <c r="A31" i="160"/>
  <c r="A30" i="160"/>
  <c r="A29" i="160"/>
  <c r="A28" i="160"/>
  <c r="A27" i="160"/>
  <c r="A26" i="160"/>
  <c r="A25" i="160"/>
  <c r="A24" i="160"/>
  <c r="A23" i="160"/>
  <c r="A22" i="160"/>
  <c r="A21" i="160"/>
  <c r="A20" i="160"/>
  <c r="A19" i="160"/>
  <c r="A18" i="160"/>
  <c r="A17" i="160"/>
  <c r="A16" i="160"/>
  <c r="A15" i="160"/>
  <c r="A14" i="160"/>
  <c r="A13" i="160"/>
  <c r="A12" i="160"/>
  <c r="A11" i="160"/>
  <c r="A10" i="160"/>
  <c r="A9" i="160"/>
  <c r="A8" i="160"/>
  <c r="A7" i="160"/>
  <c r="A6" i="160"/>
  <c r="A5" i="160"/>
  <c r="A4" i="160"/>
  <c r="A3" i="160"/>
  <c r="B47" i="161"/>
  <c r="C40" i="161"/>
  <c r="C41" i="161"/>
  <c r="C42" i="161"/>
  <c r="C43" i="161"/>
  <c r="C44" i="161"/>
  <c r="C45" i="161"/>
  <c r="C46" i="161"/>
  <c r="C47" i="161"/>
  <c r="G42" i="161"/>
  <c r="G40" i="161"/>
  <c r="B10" i="161"/>
  <c r="B32" i="161"/>
  <c r="C19" i="161"/>
  <c r="C20" i="161"/>
  <c r="C21" i="161"/>
  <c r="C22" i="161"/>
  <c r="C23" i="161"/>
  <c r="C24" i="161"/>
  <c r="C25" i="161"/>
  <c r="C26" i="161"/>
  <c r="C27" i="161"/>
  <c r="C28" i="161"/>
  <c r="C29" i="161"/>
  <c r="C30" i="161"/>
  <c r="C31" i="161"/>
  <c r="C32" i="161"/>
  <c r="D32" i="161"/>
  <c r="G31" i="161"/>
  <c r="H31" i="161"/>
  <c r="I31" i="161"/>
  <c r="J31" i="161"/>
  <c r="F31" i="161"/>
  <c r="D31" i="161"/>
  <c r="G30" i="161"/>
  <c r="H30" i="161"/>
  <c r="I30" i="161"/>
  <c r="J30" i="161"/>
  <c r="F30" i="161"/>
  <c r="D30" i="161"/>
  <c r="I29" i="161"/>
  <c r="J29" i="161"/>
  <c r="F29" i="161"/>
  <c r="D29" i="161"/>
  <c r="I28" i="161"/>
  <c r="J28" i="161"/>
  <c r="F28" i="161"/>
  <c r="D28" i="161"/>
  <c r="I27" i="161"/>
  <c r="J27" i="161"/>
  <c r="F27" i="161"/>
  <c r="D27" i="161"/>
  <c r="I26" i="161"/>
  <c r="J26" i="161"/>
  <c r="F26" i="161"/>
  <c r="D26" i="161"/>
  <c r="I25" i="161"/>
  <c r="J25" i="161"/>
  <c r="F25" i="161"/>
  <c r="D25" i="161"/>
  <c r="I24" i="161"/>
  <c r="J24" i="161"/>
  <c r="F24" i="161"/>
  <c r="D24" i="161"/>
  <c r="I23" i="161"/>
  <c r="J23" i="161"/>
  <c r="F23" i="161"/>
  <c r="D23" i="161"/>
  <c r="I22" i="161"/>
  <c r="J22" i="161"/>
  <c r="F22" i="161"/>
  <c r="D22" i="161"/>
  <c r="I21" i="161"/>
  <c r="J21" i="161"/>
  <c r="F21" i="161"/>
  <c r="D21" i="161"/>
  <c r="R20" i="161"/>
  <c r="P20" i="161"/>
  <c r="O20" i="161"/>
  <c r="M20" i="161"/>
  <c r="I20" i="161"/>
  <c r="J20" i="161"/>
  <c r="F20" i="161"/>
  <c r="D20" i="161"/>
  <c r="R19" i="161"/>
  <c r="P19" i="161"/>
  <c r="O19" i="161"/>
  <c r="M19" i="161"/>
  <c r="I19" i="161"/>
  <c r="J19" i="161"/>
  <c r="F19" i="161"/>
  <c r="D19" i="161"/>
  <c r="R18" i="161"/>
  <c r="P18" i="161"/>
  <c r="O18" i="161"/>
  <c r="M18" i="161"/>
  <c r="I18" i="161"/>
  <c r="J18" i="161"/>
  <c r="F18" i="161"/>
  <c r="C18" i="161"/>
  <c r="D18" i="161"/>
  <c r="R17" i="161"/>
  <c r="P17" i="161"/>
  <c r="O17" i="161"/>
  <c r="M17" i="161"/>
  <c r="I17" i="161"/>
  <c r="J17" i="161"/>
  <c r="F17" i="161"/>
  <c r="C17" i="161"/>
  <c r="D17" i="161"/>
  <c r="V16" i="161"/>
  <c r="R16" i="161"/>
  <c r="P16" i="161"/>
  <c r="O16" i="161"/>
  <c r="M16" i="161"/>
  <c r="V15" i="161"/>
  <c r="R15" i="161"/>
  <c r="P15" i="161"/>
  <c r="O15" i="161"/>
  <c r="M15" i="161"/>
  <c r="V14" i="161"/>
  <c r="R14" i="161"/>
  <c r="P14" i="161"/>
  <c r="O14" i="161"/>
  <c r="M14" i="161"/>
  <c r="V13" i="161"/>
  <c r="R13" i="161"/>
  <c r="P13" i="161"/>
  <c r="O13" i="161"/>
  <c r="M13" i="161"/>
  <c r="V12" i="161"/>
  <c r="R12" i="161"/>
  <c r="P12" i="161"/>
  <c r="O12" i="161"/>
  <c r="M12" i="161"/>
  <c r="V11" i="161"/>
  <c r="P11" i="161"/>
  <c r="O11" i="161"/>
  <c r="V10" i="161"/>
  <c r="P10" i="161"/>
  <c r="O10" i="161"/>
  <c r="V9" i="161"/>
  <c r="P9" i="161"/>
  <c r="O9" i="161"/>
  <c r="V8" i="161"/>
  <c r="P8" i="161"/>
  <c r="O8" i="161"/>
  <c r="V7" i="161"/>
  <c r="P7" i="161"/>
  <c r="O7" i="161"/>
  <c r="V6" i="161"/>
  <c r="P6" i="161"/>
  <c r="O6" i="161"/>
  <c r="V5" i="161"/>
  <c r="P5" i="161"/>
  <c r="O5" i="161"/>
  <c r="V4" i="161"/>
  <c r="P4" i="161"/>
  <c r="O4" i="161"/>
  <c r="V3" i="161"/>
  <c r="P3" i="161"/>
  <c r="O3" i="161"/>
  <c r="V2" i="161"/>
  <c r="N345" i="160"/>
  <c r="M345" i="160"/>
  <c r="L345" i="160"/>
  <c r="K345" i="160"/>
  <c r="H345" i="160"/>
  <c r="N344" i="160"/>
  <c r="M344" i="160"/>
  <c r="L344" i="160"/>
  <c r="K344" i="160"/>
  <c r="H344" i="160"/>
  <c r="N343" i="160"/>
  <c r="M343" i="160"/>
  <c r="L343" i="160"/>
  <c r="K343" i="160"/>
  <c r="H343" i="160"/>
  <c r="N342" i="160"/>
  <c r="M342" i="160"/>
  <c r="L342" i="160"/>
  <c r="K342" i="160"/>
  <c r="H342" i="160"/>
  <c r="N341" i="160"/>
  <c r="M341" i="160"/>
  <c r="L341" i="160"/>
  <c r="K341" i="160"/>
  <c r="H341" i="160"/>
  <c r="N340" i="160"/>
  <c r="M340" i="160"/>
  <c r="L340" i="160"/>
  <c r="K340" i="160"/>
  <c r="H340" i="160"/>
  <c r="N339" i="160"/>
  <c r="M339" i="160"/>
  <c r="L339" i="160"/>
  <c r="K339" i="160"/>
  <c r="H339" i="160"/>
  <c r="N338" i="160"/>
  <c r="M338" i="160"/>
  <c r="L338" i="160"/>
  <c r="K338" i="160"/>
  <c r="H338" i="160"/>
  <c r="N337" i="160"/>
  <c r="M337" i="160"/>
  <c r="L337" i="160"/>
  <c r="K337" i="160"/>
  <c r="H337" i="160"/>
  <c r="N336" i="160"/>
  <c r="M336" i="160"/>
  <c r="L336" i="160"/>
  <c r="K336" i="160"/>
  <c r="H336" i="160"/>
  <c r="N335" i="160"/>
  <c r="M335" i="160"/>
  <c r="L335" i="160"/>
  <c r="K335" i="160"/>
  <c r="H335" i="160"/>
  <c r="N334" i="160"/>
  <c r="M334" i="160"/>
  <c r="L334" i="160"/>
  <c r="K334" i="160"/>
  <c r="H334" i="160"/>
  <c r="N333" i="160"/>
  <c r="M333" i="160"/>
  <c r="L333" i="160"/>
  <c r="K333" i="160"/>
  <c r="H333" i="160"/>
  <c r="N332" i="160"/>
  <c r="M332" i="160"/>
  <c r="L332" i="160"/>
  <c r="K332" i="160"/>
  <c r="H332" i="160"/>
  <c r="N331" i="160"/>
  <c r="M331" i="160"/>
  <c r="L331" i="160"/>
  <c r="K331" i="160"/>
  <c r="H331" i="160"/>
  <c r="N330" i="160"/>
  <c r="M330" i="160"/>
  <c r="L330" i="160"/>
  <c r="K330" i="160"/>
  <c r="H330" i="160"/>
  <c r="N329" i="160"/>
  <c r="M329" i="160"/>
  <c r="L329" i="160"/>
  <c r="K329" i="160"/>
  <c r="H329" i="160"/>
  <c r="N328" i="160"/>
  <c r="M328" i="160"/>
  <c r="L328" i="160"/>
  <c r="K328" i="160"/>
  <c r="H328" i="160"/>
  <c r="N327" i="160"/>
  <c r="M327" i="160"/>
  <c r="L327" i="160"/>
  <c r="K327" i="160"/>
  <c r="H327" i="160"/>
  <c r="N326" i="160"/>
  <c r="M326" i="160"/>
  <c r="L326" i="160"/>
  <c r="K326" i="160"/>
  <c r="H326" i="160"/>
  <c r="N325" i="160"/>
  <c r="M325" i="160"/>
  <c r="L325" i="160"/>
  <c r="K325" i="160"/>
  <c r="H325" i="160"/>
  <c r="N324" i="160"/>
  <c r="M324" i="160"/>
  <c r="L324" i="160"/>
  <c r="K324" i="160"/>
  <c r="H324" i="160"/>
  <c r="N323" i="160"/>
  <c r="M323" i="160"/>
  <c r="L323" i="160"/>
  <c r="K323" i="160"/>
  <c r="H323" i="160"/>
  <c r="N322" i="160"/>
  <c r="M322" i="160"/>
  <c r="L322" i="160"/>
  <c r="K322" i="160"/>
  <c r="H322" i="160"/>
  <c r="N321" i="160"/>
  <c r="M321" i="160"/>
  <c r="L321" i="160"/>
  <c r="K321" i="160"/>
  <c r="H321" i="160"/>
  <c r="N320" i="160"/>
  <c r="M320" i="160"/>
  <c r="L320" i="160"/>
  <c r="K320" i="160"/>
  <c r="H320" i="160"/>
  <c r="N319" i="160"/>
  <c r="M319" i="160"/>
  <c r="L319" i="160"/>
  <c r="K319" i="160"/>
  <c r="H319" i="160"/>
  <c r="N318" i="160"/>
  <c r="M318" i="160"/>
  <c r="L318" i="160"/>
  <c r="K318" i="160"/>
  <c r="H318" i="160"/>
  <c r="N317" i="160"/>
  <c r="M317" i="160"/>
  <c r="L317" i="160"/>
  <c r="K317" i="160"/>
  <c r="H317" i="160"/>
  <c r="N316" i="160"/>
  <c r="M316" i="160"/>
  <c r="L316" i="160"/>
  <c r="K316" i="160"/>
  <c r="H316" i="160"/>
  <c r="N315" i="160"/>
  <c r="M315" i="160"/>
  <c r="L315" i="160"/>
  <c r="K315" i="160"/>
  <c r="H315" i="160"/>
  <c r="N314" i="160"/>
  <c r="M314" i="160"/>
  <c r="L314" i="160"/>
  <c r="K314" i="160"/>
  <c r="H314" i="160"/>
  <c r="N313" i="160"/>
  <c r="M313" i="160"/>
  <c r="L313" i="160"/>
  <c r="K313" i="160"/>
  <c r="H313" i="160"/>
  <c r="N312" i="160"/>
  <c r="M312" i="160"/>
  <c r="L312" i="160"/>
  <c r="K312" i="160"/>
  <c r="H312" i="160"/>
  <c r="N311" i="160"/>
  <c r="M311" i="160"/>
  <c r="L311" i="160"/>
  <c r="K311" i="160"/>
  <c r="H311" i="160"/>
  <c r="N310" i="160"/>
  <c r="M310" i="160"/>
  <c r="L310" i="160"/>
  <c r="K310" i="160"/>
  <c r="H310" i="160"/>
  <c r="N309" i="160"/>
  <c r="M309" i="160"/>
  <c r="L309" i="160"/>
  <c r="K309" i="160"/>
  <c r="H309" i="160"/>
  <c r="N308" i="160"/>
  <c r="M308" i="160"/>
  <c r="L308" i="160"/>
  <c r="K308" i="160"/>
  <c r="H308" i="160"/>
  <c r="N307" i="160"/>
  <c r="M307" i="160"/>
  <c r="L307" i="160"/>
  <c r="K307" i="160"/>
  <c r="H307" i="160"/>
  <c r="N306" i="160"/>
  <c r="M306" i="160"/>
  <c r="L306" i="160"/>
  <c r="K306" i="160"/>
  <c r="H306" i="160"/>
  <c r="N305" i="160"/>
  <c r="M305" i="160"/>
  <c r="L305" i="160"/>
  <c r="K305" i="160"/>
  <c r="H305" i="160"/>
  <c r="N304" i="160"/>
  <c r="M304" i="160"/>
  <c r="L304" i="160"/>
  <c r="K304" i="160"/>
  <c r="H304" i="160"/>
  <c r="N303" i="160"/>
  <c r="M303" i="160"/>
  <c r="L303" i="160"/>
  <c r="K303" i="160"/>
  <c r="H303" i="160"/>
  <c r="N302" i="160"/>
  <c r="M302" i="160"/>
  <c r="L302" i="160"/>
  <c r="K302" i="160"/>
  <c r="H302" i="160"/>
  <c r="N301" i="160"/>
  <c r="M301" i="160"/>
  <c r="L301" i="160"/>
  <c r="K301" i="160"/>
  <c r="H301" i="160"/>
  <c r="N300" i="160"/>
  <c r="M300" i="160"/>
  <c r="L300" i="160"/>
  <c r="K300" i="160"/>
  <c r="H300" i="160"/>
  <c r="N299" i="160"/>
  <c r="M299" i="160"/>
  <c r="L299" i="160"/>
  <c r="K299" i="160"/>
  <c r="H299" i="160"/>
  <c r="N298" i="160"/>
  <c r="M298" i="160"/>
  <c r="L298" i="160"/>
  <c r="K298" i="160"/>
  <c r="H298" i="160"/>
  <c r="N297" i="160"/>
  <c r="M297" i="160"/>
  <c r="L297" i="160"/>
  <c r="K297" i="160"/>
  <c r="H297" i="160"/>
  <c r="N296" i="160"/>
  <c r="M296" i="160"/>
  <c r="L296" i="160"/>
  <c r="K296" i="160"/>
  <c r="H296" i="160"/>
  <c r="N295" i="160"/>
  <c r="M295" i="160"/>
  <c r="L295" i="160"/>
  <c r="K295" i="160"/>
  <c r="H295" i="160"/>
  <c r="N294" i="160"/>
  <c r="M294" i="160"/>
  <c r="L294" i="160"/>
  <c r="K294" i="160"/>
  <c r="H294" i="160"/>
  <c r="N293" i="160"/>
  <c r="M293" i="160"/>
  <c r="L293" i="160"/>
  <c r="K293" i="160"/>
  <c r="H293" i="160"/>
  <c r="N292" i="160"/>
  <c r="M292" i="160"/>
  <c r="L292" i="160"/>
  <c r="K292" i="160"/>
  <c r="H292" i="160"/>
  <c r="N291" i="160"/>
  <c r="M291" i="160"/>
  <c r="L291" i="160"/>
  <c r="K291" i="160"/>
  <c r="H291" i="160"/>
  <c r="N290" i="160"/>
  <c r="M290" i="160"/>
  <c r="L290" i="160"/>
  <c r="K290" i="160"/>
  <c r="H290" i="160"/>
  <c r="N289" i="160"/>
  <c r="M289" i="160"/>
  <c r="L289" i="160"/>
  <c r="K289" i="160"/>
  <c r="H289" i="160"/>
  <c r="N288" i="160"/>
  <c r="M288" i="160"/>
  <c r="L288" i="160"/>
  <c r="K288" i="160"/>
  <c r="H288" i="160"/>
  <c r="N287" i="160"/>
  <c r="M287" i="160"/>
  <c r="L287" i="160"/>
  <c r="K287" i="160"/>
  <c r="H287" i="160"/>
  <c r="N286" i="160"/>
  <c r="M286" i="160"/>
  <c r="L286" i="160"/>
  <c r="K286" i="160"/>
  <c r="H286" i="160"/>
  <c r="N285" i="160"/>
  <c r="M285" i="160"/>
  <c r="L285" i="160"/>
  <c r="K285" i="160"/>
  <c r="H285" i="160"/>
  <c r="N284" i="160"/>
  <c r="M284" i="160"/>
  <c r="L284" i="160"/>
  <c r="K284" i="160"/>
  <c r="H284" i="160"/>
  <c r="N283" i="160"/>
  <c r="M283" i="160"/>
  <c r="L283" i="160"/>
  <c r="K283" i="160"/>
  <c r="H283" i="160"/>
  <c r="N282" i="160"/>
  <c r="M282" i="160"/>
  <c r="L282" i="160"/>
  <c r="K282" i="160"/>
  <c r="H282" i="160"/>
  <c r="N281" i="160"/>
  <c r="M281" i="160"/>
  <c r="L281" i="160"/>
  <c r="K281" i="160"/>
  <c r="H281" i="160"/>
  <c r="N280" i="160"/>
  <c r="M280" i="160"/>
  <c r="L280" i="160"/>
  <c r="K280" i="160"/>
  <c r="H280" i="160"/>
  <c r="N279" i="160"/>
  <c r="M279" i="160"/>
  <c r="L279" i="160"/>
  <c r="K279" i="160"/>
  <c r="H279" i="160"/>
  <c r="N278" i="160"/>
  <c r="M278" i="160"/>
  <c r="L278" i="160"/>
  <c r="K278" i="160"/>
  <c r="H278" i="160"/>
  <c r="N277" i="160"/>
  <c r="M277" i="160"/>
  <c r="L277" i="160"/>
  <c r="K277" i="160"/>
  <c r="H277" i="160"/>
  <c r="N276" i="160"/>
  <c r="M276" i="160"/>
  <c r="L276" i="160"/>
  <c r="K276" i="160"/>
  <c r="H276" i="160"/>
  <c r="N275" i="160"/>
  <c r="M275" i="160"/>
  <c r="L275" i="160"/>
  <c r="K275" i="160"/>
  <c r="H275" i="160"/>
  <c r="N274" i="160"/>
  <c r="M274" i="160"/>
  <c r="L274" i="160"/>
  <c r="K274" i="160"/>
  <c r="H274" i="160"/>
  <c r="N273" i="160"/>
  <c r="M273" i="160"/>
  <c r="L273" i="160"/>
  <c r="K273" i="160"/>
  <c r="H273" i="160"/>
  <c r="N272" i="160"/>
  <c r="M272" i="160"/>
  <c r="L272" i="160"/>
  <c r="K272" i="160"/>
  <c r="H272" i="160"/>
  <c r="N271" i="160"/>
  <c r="M271" i="160"/>
  <c r="L271" i="160"/>
  <c r="K271" i="160"/>
  <c r="H271" i="160"/>
  <c r="N270" i="160"/>
  <c r="M270" i="160"/>
  <c r="L270" i="160"/>
  <c r="K270" i="160"/>
  <c r="H270" i="160"/>
  <c r="N269" i="160"/>
  <c r="M269" i="160"/>
  <c r="L269" i="160"/>
  <c r="K269" i="160"/>
  <c r="H269" i="160"/>
  <c r="N268" i="160"/>
  <c r="M268" i="160"/>
  <c r="L268" i="160"/>
  <c r="K268" i="160"/>
  <c r="H268" i="160"/>
  <c r="N267" i="160"/>
  <c r="M267" i="160"/>
  <c r="L267" i="160"/>
  <c r="K267" i="160"/>
  <c r="H267" i="160"/>
  <c r="N266" i="160"/>
  <c r="M266" i="160"/>
  <c r="L266" i="160"/>
  <c r="K266" i="160"/>
  <c r="H266" i="160"/>
  <c r="N265" i="160"/>
  <c r="M265" i="160"/>
  <c r="L265" i="160"/>
  <c r="K265" i="160"/>
  <c r="H265" i="160"/>
  <c r="N264" i="160"/>
  <c r="M264" i="160"/>
  <c r="L264" i="160"/>
  <c r="K264" i="160"/>
  <c r="H264" i="160"/>
  <c r="N263" i="160"/>
  <c r="M263" i="160"/>
  <c r="L263" i="160"/>
  <c r="K263" i="160"/>
  <c r="H263" i="160"/>
  <c r="N262" i="160"/>
  <c r="M262" i="160"/>
  <c r="L262" i="160"/>
  <c r="K262" i="160"/>
  <c r="H262" i="160"/>
  <c r="N261" i="160"/>
  <c r="M261" i="160"/>
  <c r="L261" i="160"/>
  <c r="K261" i="160"/>
  <c r="H261" i="160"/>
  <c r="N260" i="160"/>
  <c r="M260" i="160"/>
  <c r="L260" i="160"/>
  <c r="K260" i="160"/>
  <c r="H260" i="160"/>
  <c r="N259" i="160"/>
  <c r="M259" i="160"/>
  <c r="L259" i="160"/>
  <c r="K259" i="160"/>
  <c r="H259" i="160"/>
  <c r="N258" i="160"/>
  <c r="M258" i="160"/>
  <c r="L258" i="160"/>
  <c r="K258" i="160"/>
  <c r="H258" i="160"/>
  <c r="N257" i="160"/>
  <c r="M257" i="160"/>
  <c r="L257" i="160"/>
  <c r="K257" i="160"/>
  <c r="H257" i="160"/>
  <c r="N256" i="160"/>
  <c r="M256" i="160"/>
  <c r="L256" i="160"/>
  <c r="K256" i="160"/>
  <c r="H256" i="160"/>
  <c r="N255" i="160"/>
  <c r="M255" i="160"/>
  <c r="L255" i="160"/>
  <c r="K255" i="160"/>
  <c r="H255" i="160"/>
  <c r="N254" i="160"/>
  <c r="M254" i="160"/>
  <c r="L254" i="160"/>
  <c r="K254" i="160"/>
  <c r="H254" i="160"/>
  <c r="N253" i="160"/>
  <c r="M253" i="160"/>
  <c r="L253" i="160"/>
  <c r="K253" i="160"/>
  <c r="H253" i="160"/>
  <c r="N252" i="160"/>
  <c r="M252" i="160"/>
  <c r="L252" i="160"/>
  <c r="K252" i="160"/>
  <c r="H252" i="160"/>
  <c r="N251" i="160"/>
  <c r="M251" i="160"/>
  <c r="L251" i="160"/>
  <c r="K251" i="160"/>
  <c r="H251" i="160"/>
  <c r="N250" i="160"/>
  <c r="M250" i="160"/>
  <c r="L250" i="160"/>
  <c r="K250" i="160"/>
  <c r="H250" i="160"/>
  <c r="N249" i="160"/>
  <c r="M249" i="160"/>
  <c r="L249" i="160"/>
  <c r="K249" i="160"/>
  <c r="H249" i="160"/>
  <c r="N248" i="160"/>
  <c r="M248" i="160"/>
  <c r="L248" i="160"/>
  <c r="K248" i="160"/>
  <c r="H248" i="160"/>
  <c r="N247" i="160"/>
  <c r="M247" i="160"/>
  <c r="L247" i="160"/>
  <c r="K247" i="160"/>
  <c r="H247" i="160"/>
  <c r="N246" i="160"/>
  <c r="M246" i="160"/>
  <c r="L246" i="160"/>
  <c r="K246" i="160"/>
  <c r="H246" i="160"/>
  <c r="N245" i="160"/>
  <c r="M245" i="160"/>
  <c r="L245" i="160"/>
  <c r="K245" i="160"/>
  <c r="H245" i="160"/>
  <c r="N244" i="160"/>
  <c r="M244" i="160"/>
  <c r="L244" i="160"/>
  <c r="K244" i="160"/>
  <c r="H244" i="160"/>
  <c r="N243" i="160"/>
  <c r="M243" i="160"/>
  <c r="L243" i="160"/>
  <c r="K243" i="160"/>
  <c r="H243" i="160"/>
  <c r="N242" i="160"/>
  <c r="M242" i="160"/>
  <c r="L242" i="160"/>
  <c r="K242" i="160"/>
  <c r="H242" i="160"/>
  <c r="N241" i="160"/>
  <c r="M241" i="160"/>
  <c r="L241" i="160"/>
  <c r="K241" i="160"/>
  <c r="H241" i="160"/>
  <c r="N240" i="160"/>
  <c r="M240" i="160"/>
  <c r="L240" i="160"/>
  <c r="K240" i="160"/>
  <c r="H240" i="160"/>
  <c r="N239" i="160"/>
  <c r="M239" i="160"/>
  <c r="L239" i="160"/>
  <c r="K239" i="160"/>
  <c r="H239" i="160"/>
  <c r="N238" i="160"/>
  <c r="M238" i="160"/>
  <c r="L238" i="160"/>
  <c r="K238" i="160"/>
  <c r="H238" i="160"/>
  <c r="N237" i="160"/>
  <c r="M237" i="160"/>
  <c r="L237" i="160"/>
  <c r="K237" i="160"/>
  <c r="H237" i="160"/>
  <c r="N236" i="160"/>
  <c r="M236" i="160"/>
  <c r="L236" i="160"/>
  <c r="K236" i="160"/>
  <c r="H236" i="160"/>
  <c r="N235" i="160"/>
  <c r="M235" i="160"/>
  <c r="L235" i="160"/>
  <c r="K235" i="160"/>
  <c r="H235" i="160"/>
  <c r="N234" i="160"/>
  <c r="M234" i="160"/>
  <c r="L234" i="160"/>
  <c r="K234" i="160"/>
  <c r="H234" i="160"/>
  <c r="N233" i="160"/>
  <c r="M233" i="160"/>
  <c r="L233" i="160"/>
  <c r="K233" i="160"/>
  <c r="H233" i="160"/>
  <c r="N232" i="160"/>
  <c r="M232" i="160"/>
  <c r="L232" i="160"/>
  <c r="K232" i="160"/>
  <c r="H232" i="160"/>
  <c r="N231" i="160"/>
  <c r="M231" i="160"/>
  <c r="L231" i="160"/>
  <c r="K231" i="160"/>
  <c r="H231" i="160"/>
  <c r="N230" i="160"/>
  <c r="M230" i="160"/>
  <c r="L230" i="160"/>
  <c r="K230" i="160"/>
  <c r="H230" i="160"/>
  <c r="N229" i="160"/>
  <c r="M229" i="160"/>
  <c r="L229" i="160"/>
  <c r="K229" i="160"/>
  <c r="H229" i="160"/>
  <c r="N228" i="160"/>
  <c r="M228" i="160"/>
  <c r="L228" i="160"/>
  <c r="K228" i="160"/>
  <c r="H228" i="160"/>
  <c r="N227" i="160"/>
  <c r="M227" i="160"/>
  <c r="L227" i="160"/>
  <c r="K227" i="160"/>
  <c r="H227" i="160"/>
  <c r="N226" i="160"/>
  <c r="M226" i="160"/>
  <c r="L226" i="160"/>
  <c r="K226" i="160"/>
  <c r="H226" i="160"/>
  <c r="N225" i="160"/>
  <c r="M225" i="160"/>
  <c r="L225" i="160"/>
  <c r="K225" i="160"/>
  <c r="H225" i="160"/>
  <c r="N224" i="160"/>
  <c r="M224" i="160"/>
  <c r="L224" i="160"/>
  <c r="K224" i="160"/>
  <c r="H224" i="160"/>
  <c r="N223" i="160"/>
  <c r="M223" i="160"/>
  <c r="L223" i="160"/>
  <c r="K223" i="160"/>
  <c r="H223" i="160"/>
  <c r="N222" i="160"/>
  <c r="M222" i="160"/>
  <c r="L222" i="160"/>
  <c r="K222" i="160"/>
  <c r="H222" i="160"/>
  <c r="N221" i="160"/>
  <c r="M221" i="160"/>
  <c r="L221" i="160"/>
  <c r="K221" i="160"/>
  <c r="H221" i="160"/>
  <c r="N220" i="160"/>
  <c r="M220" i="160"/>
  <c r="L220" i="160"/>
  <c r="K220" i="160"/>
  <c r="H220" i="160"/>
  <c r="N219" i="160"/>
  <c r="M219" i="160"/>
  <c r="L219" i="160"/>
  <c r="K219" i="160"/>
  <c r="H219" i="160"/>
  <c r="N218" i="160"/>
  <c r="M218" i="160"/>
  <c r="L218" i="160"/>
  <c r="K218" i="160"/>
  <c r="H218" i="160"/>
  <c r="N217" i="160"/>
  <c r="M217" i="160"/>
  <c r="L217" i="160"/>
  <c r="K217" i="160"/>
  <c r="H217" i="160"/>
  <c r="N216" i="160"/>
  <c r="M216" i="160"/>
  <c r="L216" i="160"/>
  <c r="K216" i="160"/>
  <c r="H216" i="160"/>
  <c r="N215" i="160"/>
  <c r="M215" i="160"/>
  <c r="L215" i="160"/>
  <c r="K215" i="160"/>
  <c r="H215" i="160"/>
  <c r="N214" i="160"/>
  <c r="M214" i="160"/>
  <c r="L214" i="160"/>
  <c r="K214" i="160"/>
  <c r="H214" i="160"/>
  <c r="N213" i="160"/>
  <c r="M213" i="160"/>
  <c r="L213" i="160"/>
  <c r="K213" i="160"/>
  <c r="H213" i="160"/>
  <c r="N212" i="160"/>
  <c r="M212" i="160"/>
  <c r="L212" i="160"/>
  <c r="K212" i="160"/>
  <c r="H212" i="160"/>
  <c r="N211" i="160"/>
  <c r="M211" i="160"/>
  <c r="L211" i="160"/>
  <c r="K211" i="160"/>
  <c r="H211" i="160"/>
  <c r="N210" i="160"/>
  <c r="M210" i="160"/>
  <c r="L210" i="160"/>
  <c r="K210" i="160"/>
  <c r="H210" i="160"/>
  <c r="N209" i="160"/>
  <c r="M209" i="160"/>
  <c r="L209" i="160"/>
  <c r="K209" i="160"/>
  <c r="H209" i="160"/>
  <c r="N208" i="160"/>
  <c r="M208" i="160"/>
  <c r="L208" i="160"/>
  <c r="K208" i="160"/>
  <c r="H208" i="160"/>
  <c r="N207" i="160"/>
  <c r="M207" i="160"/>
  <c r="L207" i="160"/>
  <c r="K207" i="160"/>
  <c r="H207" i="160"/>
  <c r="N206" i="160"/>
  <c r="M206" i="160"/>
  <c r="L206" i="160"/>
  <c r="K206" i="160"/>
  <c r="H206" i="160"/>
  <c r="N205" i="160"/>
  <c r="M205" i="160"/>
  <c r="L205" i="160"/>
  <c r="K205" i="160"/>
  <c r="H205" i="160"/>
  <c r="N204" i="160"/>
  <c r="M204" i="160"/>
  <c r="L204" i="160"/>
  <c r="K204" i="160"/>
  <c r="H204" i="160"/>
  <c r="N203" i="160"/>
  <c r="M203" i="160"/>
  <c r="L203" i="160"/>
  <c r="K203" i="160"/>
  <c r="H203" i="160"/>
  <c r="N202" i="160"/>
  <c r="M202" i="160"/>
  <c r="L202" i="160"/>
  <c r="K202" i="160"/>
  <c r="H202" i="160"/>
  <c r="N201" i="160"/>
  <c r="M201" i="160"/>
  <c r="L201" i="160"/>
  <c r="K201" i="160"/>
  <c r="H201" i="160"/>
  <c r="N200" i="160"/>
  <c r="M200" i="160"/>
  <c r="L200" i="160"/>
  <c r="K200" i="160"/>
  <c r="H200" i="160"/>
  <c r="N199" i="160"/>
  <c r="M199" i="160"/>
  <c r="L199" i="160"/>
  <c r="K199" i="160"/>
  <c r="H199" i="160"/>
  <c r="N198" i="160"/>
  <c r="M198" i="160"/>
  <c r="L198" i="160"/>
  <c r="K198" i="160"/>
  <c r="H198" i="160"/>
  <c r="N197" i="160"/>
  <c r="M197" i="160"/>
  <c r="L197" i="160"/>
  <c r="K197" i="160"/>
  <c r="H197" i="160"/>
  <c r="N196" i="160"/>
  <c r="M196" i="160"/>
  <c r="L196" i="160"/>
  <c r="K196" i="160"/>
  <c r="H196" i="160"/>
  <c r="N195" i="160"/>
  <c r="M195" i="160"/>
  <c r="L195" i="160"/>
  <c r="K195" i="160"/>
  <c r="H195" i="160"/>
  <c r="N194" i="160"/>
  <c r="M194" i="160"/>
  <c r="L194" i="160"/>
  <c r="K194" i="160"/>
  <c r="H194" i="160"/>
  <c r="N193" i="160"/>
  <c r="M193" i="160"/>
  <c r="L193" i="160"/>
  <c r="K193" i="160"/>
  <c r="H193" i="160"/>
  <c r="N192" i="160"/>
  <c r="M192" i="160"/>
  <c r="L192" i="160"/>
  <c r="K192" i="160"/>
  <c r="H192" i="160"/>
  <c r="N191" i="160"/>
  <c r="M191" i="160"/>
  <c r="L191" i="160"/>
  <c r="K191" i="160"/>
  <c r="H191" i="160"/>
  <c r="N190" i="160"/>
  <c r="M190" i="160"/>
  <c r="L190" i="160"/>
  <c r="K190" i="160"/>
  <c r="H190" i="160"/>
  <c r="N189" i="160"/>
  <c r="M189" i="160"/>
  <c r="L189" i="160"/>
  <c r="K189" i="160"/>
  <c r="H189" i="160"/>
  <c r="N188" i="160"/>
  <c r="M188" i="160"/>
  <c r="L188" i="160"/>
  <c r="K188" i="160"/>
  <c r="H188" i="160"/>
  <c r="N187" i="160"/>
  <c r="M187" i="160"/>
  <c r="L187" i="160"/>
  <c r="K187" i="160"/>
  <c r="H187" i="160"/>
  <c r="N186" i="160"/>
  <c r="M186" i="160"/>
  <c r="L186" i="160"/>
  <c r="K186" i="160"/>
  <c r="H186" i="160"/>
  <c r="N185" i="160"/>
  <c r="M185" i="160"/>
  <c r="L185" i="160"/>
  <c r="K185" i="160"/>
  <c r="H185" i="160"/>
  <c r="N184" i="160"/>
  <c r="M184" i="160"/>
  <c r="L184" i="160"/>
  <c r="K184" i="160"/>
  <c r="H184" i="160"/>
  <c r="N183" i="160"/>
  <c r="M183" i="160"/>
  <c r="L183" i="160"/>
  <c r="K183" i="160"/>
  <c r="H183" i="160"/>
  <c r="N182" i="160"/>
  <c r="M182" i="160"/>
  <c r="L182" i="160"/>
  <c r="K182" i="160"/>
  <c r="H182" i="160"/>
  <c r="N181" i="160"/>
  <c r="M181" i="160"/>
  <c r="L181" i="160"/>
  <c r="K181" i="160"/>
  <c r="H181" i="160"/>
  <c r="N180" i="160"/>
  <c r="M180" i="160"/>
  <c r="L180" i="160"/>
  <c r="K180" i="160"/>
  <c r="H180" i="160"/>
  <c r="N179" i="160"/>
  <c r="M179" i="160"/>
  <c r="L179" i="160"/>
  <c r="K179" i="160"/>
  <c r="H179" i="160"/>
  <c r="N178" i="160"/>
  <c r="M178" i="160"/>
  <c r="L178" i="160"/>
  <c r="K178" i="160"/>
  <c r="H178" i="160"/>
  <c r="N177" i="160"/>
  <c r="M177" i="160"/>
  <c r="L177" i="160"/>
  <c r="K177" i="160"/>
  <c r="H177" i="160"/>
  <c r="N176" i="160"/>
  <c r="M176" i="160"/>
  <c r="L176" i="160"/>
  <c r="K176" i="160"/>
  <c r="H176" i="160"/>
  <c r="N175" i="160"/>
  <c r="M175" i="160"/>
  <c r="L175" i="160"/>
  <c r="K175" i="160"/>
  <c r="H175" i="160"/>
  <c r="N174" i="160"/>
  <c r="M174" i="160"/>
  <c r="L174" i="160"/>
  <c r="K174" i="160"/>
  <c r="H174" i="160"/>
  <c r="N173" i="160"/>
  <c r="M173" i="160"/>
  <c r="L173" i="160"/>
  <c r="K173" i="160"/>
  <c r="H173" i="160"/>
  <c r="N172" i="160"/>
  <c r="M172" i="160"/>
  <c r="L172" i="160"/>
  <c r="K172" i="160"/>
  <c r="H172" i="160"/>
  <c r="N171" i="160"/>
  <c r="M171" i="160"/>
  <c r="L171" i="160"/>
  <c r="K171" i="160"/>
  <c r="H171" i="160"/>
  <c r="N170" i="160"/>
  <c r="M170" i="160"/>
  <c r="L170" i="160"/>
  <c r="K170" i="160"/>
  <c r="H170" i="160"/>
  <c r="N169" i="160"/>
  <c r="M169" i="160"/>
  <c r="L169" i="160"/>
  <c r="K169" i="160"/>
  <c r="H169" i="160"/>
  <c r="N168" i="160"/>
  <c r="M168" i="160"/>
  <c r="L168" i="160"/>
  <c r="K168" i="160"/>
  <c r="H168" i="160"/>
  <c r="N167" i="160"/>
  <c r="M167" i="160"/>
  <c r="L167" i="160"/>
  <c r="K167" i="160"/>
  <c r="H167" i="160"/>
  <c r="N166" i="160"/>
  <c r="M166" i="160"/>
  <c r="L166" i="160"/>
  <c r="K166" i="160"/>
  <c r="H166" i="160"/>
  <c r="N165" i="160"/>
  <c r="M165" i="160"/>
  <c r="L165" i="160"/>
  <c r="K165" i="160"/>
  <c r="H165" i="160"/>
  <c r="N164" i="160"/>
  <c r="M164" i="160"/>
  <c r="L164" i="160"/>
  <c r="K164" i="160"/>
  <c r="H164" i="160"/>
  <c r="N163" i="160"/>
  <c r="M163" i="160"/>
  <c r="L163" i="160"/>
  <c r="K163" i="160"/>
  <c r="H163" i="160"/>
  <c r="N162" i="160"/>
  <c r="M162" i="160"/>
  <c r="L162" i="160"/>
  <c r="K162" i="160"/>
  <c r="H162" i="160"/>
  <c r="N161" i="160"/>
  <c r="M161" i="160"/>
  <c r="L161" i="160"/>
  <c r="K161" i="160"/>
  <c r="H161" i="160"/>
  <c r="N160" i="160"/>
  <c r="M160" i="160"/>
  <c r="L160" i="160"/>
  <c r="K160" i="160"/>
  <c r="H160" i="160"/>
  <c r="N159" i="160"/>
  <c r="M159" i="160"/>
  <c r="L159" i="160"/>
  <c r="K159" i="160"/>
  <c r="H159" i="160"/>
  <c r="N158" i="160"/>
  <c r="M158" i="160"/>
  <c r="L158" i="160"/>
  <c r="K158" i="160"/>
  <c r="H158" i="160"/>
  <c r="N157" i="160"/>
  <c r="M157" i="160"/>
  <c r="L157" i="160"/>
  <c r="K157" i="160"/>
  <c r="H157" i="160"/>
  <c r="N156" i="160"/>
  <c r="M156" i="160"/>
  <c r="L156" i="160"/>
  <c r="K156" i="160"/>
  <c r="H156" i="160"/>
  <c r="N155" i="160"/>
  <c r="M155" i="160"/>
  <c r="L155" i="160"/>
  <c r="K155" i="160"/>
  <c r="H155" i="160"/>
  <c r="N154" i="160"/>
  <c r="M154" i="160"/>
  <c r="L154" i="160"/>
  <c r="K154" i="160"/>
  <c r="H154" i="160"/>
  <c r="N153" i="160"/>
  <c r="M153" i="160"/>
  <c r="L153" i="160"/>
  <c r="K153" i="160"/>
  <c r="H153" i="160"/>
  <c r="N152" i="160"/>
  <c r="M152" i="160"/>
  <c r="L152" i="160"/>
  <c r="K152" i="160"/>
  <c r="H152" i="160"/>
  <c r="N151" i="160"/>
  <c r="M151" i="160"/>
  <c r="L151" i="160"/>
  <c r="K151" i="160"/>
  <c r="H151" i="160"/>
  <c r="N150" i="160"/>
  <c r="M150" i="160"/>
  <c r="L150" i="160"/>
  <c r="K150" i="160"/>
  <c r="H150" i="160"/>
  <c r="N149" i="160"/>
  <c r="M149" i="160"/>
  <c r="L149" i="160"/>
  <c r="K149" i="160"/>
  <c r="H149" i="160"/>
  <c r="N148" i="160"/>
  <c r="M148" i="160"/>
  <c r="L148" i="160"/>
  <c r="K148" i="160"/>
  <c r="H148" i="160"/>
  <c r="N147" i="160"/>
  <c r="M147" i="160"/>
  <c r="L147" i="160"/>
  <c r="K147" i="160"/>
  <c r="H147" i="160"/>
  <c r="N146" i="160"/>
  <c r="M146" i="160"/>
  <c r="L146" i="160"/>
  <c r="K146" i="160"/>
  <c r="H146" i="160"/>
  <c r="N145" i="160"/>
  <c r="M145" i="160"/>
  <c r="L145" i="160"/>
  <c r="K145" i="160"/>
  <c r="H145" i="160"/>
  <c r="N144" i="160"/>
  <c r="M144" i="160"/>
  <c r="L144" i="160"/>
  <c r="K144" i="160"/>
  <c r="H144" i="160"/>
  <c r="N143" i="160"/>
  <c r="M143" i="160"/>
  <c r="L143" i="160"/>
  <c r="K143" i="160"/>
  <c r="H143" i="160"/>
  <c r="N142" i="160"/>
  <c r="M142" i="160"/>
  <c r="L142" i="160"/>
  <c r="K142" i="160"/>
  <c r="H142" i="160"/>
  <c r="N141" i="160"/>
  <c r="M141" i="160"/>
  <c r="L141" i="160"/>
  <c r="K141" i="160"/>
  <c r="H141" i="160"/>
  <c r="N140" i="160"/>
  <c r="M140" i="160"/>
  <c r="L140" i="160"/>
  <c r="K140" i="160"/>
  <c r="H140" i="160"/>
  <c r="N139" i="160"/>
  <c r="M139" i="160"/>
  <c r="L139" i="160"/>
  <c r="K139" i="160"/>
  <c r="H139" i="160"/>
  <c r="N138" i="160"/>
  <c r="M138" i="160"/>
  <c r="L138" i="160"/>
  <c r="K138" i="160"/>
  <c r="H138" i="160"/>
  <c r="N137" i="160"/>
  <c r="M137" i="160"/>
  <c r="L137" i="160"/>
  <c r="K137" i="160"/>
  <c r="H137" i="160"/>
  <c r="N136" i="160"/>
  <c r="M136" i="160"/>
  <c r="L136" i="160"/>
  <c r="K136" i="160"/>
  <c r="H136" i="160"/>
  <c r="N135" i="160"/>
  <c r="M135" i="160"/>
  <c r="L135" i="160"/>
  <c r="K135" i="160"/>
  <c r="H135" i="160"/>
  <c r="N134" i="160"/>
  <c r="M134" i="160"/>
  <c r="L134" i="160"/>
  <c r="K134" i="160"/>
  <c r="H134" i="160"/>
  <c r="N133" i="160"/>
  <c r="M133" i="160"/>
  <c r="L133" i="160"/>
  <c r="K133" i="160"/>
  <c r="H133" i="160"/>
  <c r="N132" i="160"/>
  <c r="M132" i="160"/>
  <c r="L132" i="160"/>
  <c r="K132" i="160"/>
  <c r="H132" i="160"/>
  <c r="N131" i="160"/>
  <c r="M131" i="160"/>
  <c r="L131" i="160"/>
  <c r="K131" i="160"/>
  <c r="H131" i="160"/>
  <c r="N130" i="160"/>
  <c r="M130" i="160"/>
  <c r="L130" i="160"/>
  <c r="K130" i="160"/>
  <c r="H130" i="160"/>
  <c r="N129" i="160"/>
  <c r="M129" i="160"/>
  <c r="L129" i="160"/>
  <c r="K129" i="160"/>
  <c r="H129" i="160"/>
  <c r="N128" i="160"/>
  <c r="M128" i="160"/>
  <c r="L128" i="160"/>
  <c r="K128" i="160"/>
  <c r="H128" i="160"/>
  <c r="N127" i="160"/>
  <c r="M127" i="160"/>
  <c r="L127" i="160"/>
  <c r="K127" i="160"/>
  <c r="H127" i="160"/>
  <c r="N126" i="160"/>
  <c r="M126" i="160"/>
  <c r="L126" i="160"/>
  <c r="K126" i="160"/>
  <c r="H126" i="160"/>
  <c r="N125" i="160"/>
  <c r="M125" i="160"/>
  <c r="L125" i="160"/>
  <c r="K125" i="160"/>
  <c r="H125" i="160"/>
  <c r="N124" i="160"/>
  <c r="M124" i="160"/>
  <c r="L124" i="160"/>
  <c r="K124" i="160"/>
  <c r="H124" i="160"/>
  <c r="N123" i="160"/>
  <c r="M123" i="160"/>
  <c r="L123" i="160"/>
  <c r="K123" i="160"/>
  <c r="H123" i="160"/>
  <c r="N122" i="160"/>
  <c r="M122" i="160"/>
  <c r="L122" i="160"/>
  <c r="K122" i="160"/>
  <c r="H122" i="160"/>
  <c r="N121" i="160"/>
  <c r="M121" i="160"/>
  <c r="L121" i="160"/>
  <c r="K121" i="160"/>
  <c r="H121" i="160"/>
  <c r="N120" i="160"/>
  <c r="M120" i="160"/>
  <c r="L120" i="160"/>
  <c r="K120" i="160"/>
  <c r="H120" i="160"/>
  <c r="N119" i="160"/>
  <c r="M119" i="160"/>
  <c r="L119" i="160"/>
  <c r="K119" i="160"/>
  <c r="H119" i="160"/>
  <c r="N118" i="160"/>
  <c r="M118" i="160"/>
  <c r="L118" i="160"/>
  <c r="K118" i="160"/>
  <c r="H118" i="160"/>
  <c r="N117" i="160"/>
  <c r="M117" i="160"/>
  <c r="L117" i="160"/>
  <c r="K117" i="160"/>
  <c r="H117" i="160"/>
  <c r="N116" i="160"/>
  <c r="M116" i="160"/>
  <c r="L116" i="160"/>
  <c r="K116" i="160"/>
  <c r="H116" i="160"/>
  <c r="N115" i="160"/>
  <c r="M115" i="160"/>
  <c r="L115" i="160"/>
  <c r="K115" i="160"/>
  <c r="H115" i="160"/>
  <c r="N114" i="160"/>
  <c r="M114" i="160"/>
  <c r="L114" i="160"/>
  <c r="K114" i="160"/>
  <c r="H114" i="160"/>
  <c r="N113" i="160"/>
  <c r="M113" i="160"/>
  <c r="L113" i="160"/>
  <c r="K113" i="160"/>
  <c r="H113" i="160"/>
  <c r="N112" i="160"/>
  <c r="M112" i="160"/>
  <c r="L112" i="160"/>
  <c r="K112" i="160"/>
  <c r="H112" i="160"/>
  <c r="N111" i="160"/>
  <c r="M111" i="160"/>
  <c r="L111" i="160"/>
  <c r="K111" i="160"/>
  <c r="H111" i="160"/>
  <c r="N110" i="160"/>
  <c r="M110" i="160"/>
  <c r="L110" i="160"/>
  <c r="K110" i="160"/>
  <c r="H110" i="160"/>
  <c r="N109" i="160"/>
  <c r="M109" i="160"/>
  <c r="L109" i="160"/>
  <c r="K109" i="160"/>
  <c r="H109" i="160"/>
  <c r="N108" i="160"/>
  <c r="M108" i="160"/>
  <c r="L108" i="160"/>
  <c r="K108" i="160"/>
  <c r="H108" i="160"/>
  <c r="N107" i="160"/>
  <c r="M107" i="160"/>
  <c r="L107" i="160"/>
  <c r="K107" i="160"/>
  <c r="H107" i="160"/>
  <c r="N106" i="160"/>
  <c r="M106" i="160"/>
  <c r="L106" i="160"/>
  <c r="K106" i="160"/>
  <c r="H106" i="160"/>
  <c r="N105" i="160"/>
  <c r="M105" i="160"/>
  <c r="L105" i="160"/>
  <c r="K105" i="160"/>
  <c r="H105" i="160"/>
  <c r="N104" i="160"/>
  <c r="M104" i="160"/>
  <c r="L104" i="160"/>
  <c r="K104" i="160"/>
  <c r="H104" i="160"/>
  <c r="N103" i="160"/>
  <c r="M103" i="160"/>
  <c r="L103" i="160"/>
  <c r="K103" i="160"/>
  <c r="H103" i="160"/>
  <c r="N102" i="160"/>
  <c r="M102" i="160"/>
  <c r="L102" i="160"/>
  <c r="K102" i="160"/>
  <c r="H102" i="160"/>
  <c r="N101" i="160"/>
  <c r="M101" i="160"/>
  <c r="L101" i="160"/>
  <c r="K101" i="160"/>
  <c r="H101" i="160"/>
  <c r="N100" i="160"/>
  <c r="M100" i="160"/>
  <c r="L100" i="160"/>
  <c r="K100" i="160"/>
  <c r="H100" i="160"/>
  <c r="N99" i="160"/>
  <c r="M99" i="160"/>
  <c r="L99" i="160"/>
  <c r="K99" i="160"/>
  <c r="H99" i="160"/>
  <c r="N98" i="160"/>
  <c r="M98" i="160"/>
  <c r="L98" i="160"/>
  <c r="K98" i="160"/>
  <c r="H98" i="160"/>
  <c r="N97" i="160"/>
  <c r="M97" i="160"/>
  <c r="L97" i="160"/>
  <c r="K97" i="160"/>
  <c r="H97" i="160"/>
  <c r="N96" i="160"/>
  <c r="M96" i="160"/>
  <c r="L96" i="160"/>
  <c r="K96" i="160"/>
  <c r="H96" i="160"/>
  <c r="N95" i="160"/>
  <c r="M95" i="160"/>
  <c r="L95" i="160"/>
  <c r="K95" i="160"/>
  <c r="H95" i="160"/>
  <c r="N94" i="160"/>
  <c r="M94" i="160"/>
  <c r="L94" i="160"/>
  <c r="K94" i="160"/>
  <c r="H94" i="160"/>
  <c r="N93" i="160"/>
  <c r="M93" i="160"/>
  <c r="L93" i="160"/>
  <c r="K93" i="160"/>
  <c r="H93" i="160"/>
  <c r="N92" i="160"/>
  <c r="M92" i="160"/>
  <c r="L92" i="160"/>
  <c r="K92" i="160"/>
  <c r="H92" i="160"/>
  <c r="N91" i="160"/>
  <c r="M91" i="160"/>
  <c r="L91" i="160"/>
  <c r="K91" i="160"/>
  <c r="H91" i="160"/>
  <c r="N90" i="160"/>
  <c r="M90" i="160"/>
  <c r="L90" i="160"/>
  <c r="K90" i="160"/>
  <c r="H90" i="160"/>
  <c r="N89" i="160"/>
  <c r="M89" i="160"/>
  <c r="L89" i="160"/>
  <c r="K89" i="160"/>
  <c r="H89" i="160"/>
  <c r="N88" i="160"/>
  <c r="M88" i="160"/>
  <c r="L88" i="160"/>
  <c r="K88" i="160"/>
  <c r="H88" i="160"/>
  <c r="N87" i="160"/>
  <c r="M87" i="160"/>
  <c r="L87" i="160"/>
  <c r="K87" i="160"/>
  <c r="H87" i="160"/>
  <c r="N86" i="160"/>
  <c r="M86" i="160"/>
  <c r="L86" i="160"/>
  <c r="K86" i="160"/>
  <c r="H86" i="160"/>
  <c r="N85" i="160"/>
  <c r="M85" i="160"/>
  <c r="L85" i="160"/>
  <c r="K85" i="160"/>
  <c r="H85" i="160"/>
  <c r="N84" i="160"/>
  <c r="M84" i="160"/>
  <c r="L84" i="160"/>
  <c r="K84" i="160"/>
  <c r="H84" i="160"/>
  <c r="N83" i="160"/>
  <c r="M83" i="160"/>
  <c r="L83" i="160"/>
  <c r="K83" i="160"/>
  <c r="H83" i="160"/>
  <c r="N82" i="160"/>
  <c r="M82" i="160"/>
  <c r="L82" i="160"/>
  <c r="K82" i="160"/>
  <c r="H82" i="160"/>
  <c r="N81" i="160"/>
  <c r="M81" i="160"/>
  <c r="L81" i="160"/>
  <c r="K81" i="160"/>
  <c r="H81" i="160"/>
  <c r="N80" i="160"/>
  <c r="M80" i="160"/>
  <c r="L80" i="160"/>
  <c r="K80" i="160"/>
  <c r="H80" i="160"/>
  <c r="N79" i="160"/>
  <c r="M79" i="160"/>
  <c r="L79" i="160"/>
  <c r="K79" i="160"/>
  <c r="H79" i="160"/>
  <c r="N78" i="160"/>
  <c r="M78" i="160"/>
  <c r="L78" i="160"/>
  <c r="K78" i="160"/>
  <c r="H78" i="160"/>
  <c r="N77" i="160"/>
  <c r="M77" i="160"/>
  <c r="L77" i="160"/>
  <c r="K77" i="160"/>
  <c r="H77" i="160"/>
  <c r="N76" i="160"/>
  <c r="M76" i="160"/>
  <c r="L76" i="160"/>
  <c r="K76" i="160"/>
  <c r="H76" i="160"/>
  <c r="N75" i="160"/>
  <c r="M75" i="160"/>
  <c r="L75" i="160"/>
  <c r="K75" i="160"/>
  <c r="H75" i="160"/>
  <c r="N74" i="160"/>
  <c r="M74" i="160"/>
  <c r="L74" i="160"/>
  <c r="K74" i="160"/>
  <c r="H74" i="160"/>
  <c r="N73" i="160"/>
  <c r="M73" i="160"/>
  <c r="L73" i="160"/>
  <c r="K73" i="160"/>
  <c r="H73" i="160"/>
  <c r="N72" i="160"/>
  <c r="M72" i="160"/>
  <c r="L72" i="160"/>
  <c r="K72" i="160"/>
  <c r="H72" i="160"/>
  <c r="N71" i="160"/>
  <c r="M71" i="160"/>
  <c r="L71" i="160"/>
  <c r="K71" i="160"/>
  <c r="H71" i="160"/>
  <c r="N70" i="160"/>
  <c r="M70" i="160"/>
  <c r="L70" i="160"/>
  <c r="K70" i="160"/>
  <c r="H70" i="160"/>
  <c r="N69" i="160"/>
  <c r="M69" i="160"/>
  <c r="L69" i="160"/>
  <c r="K69" i="160"/>
  <c r="H69" i="160"/>
  <c r="N68" i="160"/>
  <c r="M68" i="160"/>
  <c r="L68" i="160"/>
  <c r="K68" i="160"/>
  <c r="H68" i="160"/>
  <c r="N67" i="160"/>
  <c r="M67" i="160"/>
  <c r="L67" i="160"/>
  <c r="K67" i="160"/>
  <c r="H67" i="160"/>
  <c r="N66" i="160"/>
  <c r="M66" i="160"/>
  <c r="L66" i="160"/>
  <c r="K66" i="160"/>
  <c r="H66" i="160"/>
  <c r="N65" i="160"/>
  <c r="M65" i="160"/>
  <c r="L65" i="160"/>
  <c r="K65" i="160"/>
  <c r="H65" i="160"/>
  <c r="N64" i="160"/>
  <c r="M64" i="160"/>
  <c r="L64" i="160"/>
  <c r="K64" i="160"/>
  <c r="H64" i="160"/>
  <c r="N63" i="160"/>
  <c r="M63" i="160"/>
  <c r="L63" i="160"/>
  <c r="K63" i="160"/>
  <c r="H63" i="160"/>
  <c r="N62" i="160"/>
  <c r="M62" i="160"/>
  <c r="L62" i="160"/>
  <c r="K62" i="160"/>
  <c r="H62" i="160"/>
  <c r="N61" i="160"/>
  <c r="M61" i="160"/>
  <c r="L61" i="160"/>
  <c r="K61" i="160"/>
  <c r="H61" i="160"/>
  <c r="N60" i="160"/>
  <c r="M60" i="160"/>
  <c r="L60" i="160"/>
  <c r="K60" i="160"/>
  <c r="H60" i="160"/>
  <c r="N59" i="160"/>
  <c r="M59" i="160"/>
  <c r="L59" i="160"/>
  <c r="K59" i="160"/>
  <c r="H59" i="160"/>
  <c r="N58" i="160"/>
  <c r="M58" i="160"/>
  <c r="L58" i="160"/>
  <c r="K58" i="160"/>
  <c r="H58" i="160"/>
  <c r="N57" i="160"/>
  <c r="M57" i="160"/>
  <c r="L57" i="160"/>
  <c r="K57" i="160"/>
  <c r="H57" i="160"/>
  <c r="N56" i="160"/>
  <c r="M56" i="160"/>
  <c r="L56" i="160"/>
  <c r="K56" i="160"/>
  <c r="H56" i="160"/>
  <c r="N55" i="160"/>
  <c r="M55" i="160"/>
  <c r="L55" i="160"/>
  <c r="K55" i="160"/>
  <c r="H55" i="160"/>
  <c r="N54" i="160"/>
  <c r="M54" i="160"/>
  <c r="L54" i="160"/>
  <c r="K54" i="160"/>
  <c r="H54" i="160"/>
  <c r="N53" i="160"/>
  <c r="M53" i="160"/>
  <c r="L53" i="160"/>
  <c r="K53" i="160"/>
  <c r="H53" i="160"/>
  <c r="N52" i="160"/>
  <c r="M52" i="160"/>
  <c r="L52" i="160"/>
  <c r="K52" i="160"/>
  <c r="H52" i="160"/>
  <c r="N51" i="160"/>
  <c r="M51" i="160"/>
  <c r="L51" i="160"/>
  <c r="K51" i="160"/>
  <c r="H51" i="160"/>
  <c r="N50" i="160"/>
  <c r="M50" i="160"/>
  <c r="L50" i="160"/>
  <c r="K50" i="160"/>
  <c r="H50" i="160"/>
  <c r="N49" i="160"/>
  <c r="M49" i="160"/>
  <c r="L49" i="160"/>
  <c r="K49" i="160"/>
  <c r="H49" i="160"/>
  <c r="N48" i="160"/>
  <c r="M48" i="160"/>
  <c r="L48" i="160"/>
  <c r="K48" i="160"/>
  <c r="H48" i="160"/>
  <c r="N47" i="160"/>
  <c r="M47" i="160"/>
  <c r="L47" i="160"/>
  <c r="K47" i="160"/>
  <c r="H47" i="160"/>
  <c r="N46" i="160"/>
  <c r="M46" i="160"/>
  <c r="L46" i="160"/>
  <c r="K46" i="160"/>
  <c r="H46" i="160"/>
  <c r="N45" i="160"/>
  <c r="M45" i="160"/>
  <c r="L45" i="160"/>
  <c r="K45" i="160"/>
  <c r="H45" i="160"/>
  <c r="N44" i="160"/>
  <c r="M44" i="160"/>
  <c r="L44" i="160"/>
  <c r="K44" i="160"/>
  <c r="H44" i="160"/>
  <c r="N43" i="160"/>
  <c r="M43" i="160"/>
  <c r="L43" i="160"/>
  <c r="K43" i="160"/>
  <c r="H43" i="160"/>
  <c r="N42" i="160"/>
  <c r="M42" i="160"/>
  <c r="L42" i="160"/>
  <c r="K42" i="160"/>
  <c r="H42" i="160"/>
  <c r="N41" i="160"/>
  <c r="M41" i="160"/>
  <c r="L41" i="160"/>
  <c r="K41" i="160"/>
  <c r="H41" i="160"/>
  <c r="N40" i="160"/>
  <c r="M40" i="160"/>
  <c r="L40" i="160"/>
  <c r="K40" i="160"/>
  <c r="H40" i="160"/>
  <c r="N39" i="160"/>
  <c r="M39" i="160"/>
  <c r="L39" i="160"/>
  <c r="K39" i="160"/>
  <c r="H39" i="160"/>
  <c r="N38" i="160"/>
  <c r="M38" i="160"/>
  <c r="L38" i="160"/>
  <c r="K38" i="160"/>
  <c r="H38" i="160"/>
  <c r="N37" i="160"/>
  <c r="M37" i="160"/>
  <c r="L37" i="160"/>
  <c r="K37" i="160"/>
  <c r="H37" i="160"/>
  <c r="N36" i="160"/>
  <c r="M36" i="160"/>
  <c r="L36" i="160"/>
  <c r="K36" i="160"/>
  <c r="H36" i="160"/>
  <c r="N35" i="160"/>
  <c r="M35" i="160"/>
  <c r="L35" i="160"/>
  <c r="K35" i="160"/>
  <c r="H35" i="160"/>
  <c r="N34" i="160"/>
  <c r="M34" i="160"/>
  <c r="L34" i="160"/>
  <c r="K34" i="160"/>
  <c r="H34" i="160"/>
  <c r="N33" i="160"/>
  <c r="M33" i="160"/>
  <c r="L33" i="160"/>
  <c r="K33" i="160"/>
  <c r="H33" i="160"/>
  <c r="N32" i="160"/>
  <c r="M32" i="160"/>
  <c r="L32" i="160"/>
  <c r="K32" i="160"/>
  <c r="H32" i="160"/>
  <c r="N31" i="160"/>
  <c r="M31" i="160"/>
  <c r="L31" i="160"/>
  <c r="K31" i="160"/>
  <c r="H31" i="160"/>
  <c r="N30" i="160"/>
  <c r="M30" i="160"/>
  <c r="L30" i="160"/>
  <c r="K30" i="160"/>
  <c r="H30" i="160"/>
  <c r="N29" i="160"/>
  <c r="M29" i="160"/>
  <c r="L29" i="160"/>
  <c r="K29" i="160"/>
  <c r="H29" i="160"/>
  <c r="N28" i="160"/>
  <c r="M28" i="160"/>
  <c r="L28" i="160"/>
  <c r="K28" i="160"/>
  <c r="H28" i="160"/>
  <c r="N27" i="160"/>
  <c r="M27" i="160"/>
  <c r="L27" i="160"/>
  <c r="K27" i="160"/>
  <c r="H27" i="160"/>
  <c r="N26" i="160"/>
  <c r="M26" i="160"/>
  <c r="L26" i="160"/>
  <c r="K26" i="160"/>
  <c r="H26" i="160"/>
  <c r="N25" i="160"/>
  <c r="M25" i="160"/>
  <c r="L25" i="160"/>
  <c r="K25" i="160"/>
  <c r="H25" i="160"/>
  <c r="N24" i="160"/>
  <c r="M24" i="160"/>
  <c r="L24" i="160"/>
  <c r="K24" i="160"/>
  <c r="H24" i="160"/>
  <c r="N23" i="160"/>
  <c r="M23" i="160"/>
  <c r="L23" i="160"/>
  <c r="K23" i="160"/>
  <c r="H23" i="160"/>
  <c r="N22" i="160"/>
  <c r="M22" i="160"/>
  <c r="L22" i="160"/>
  <c r="K22" i="160"/>
  <c r="H22" i="160"/>
  <c r="N21" i="160"/>
  <c r="M21" i="160"/>
  <c r="L21" i="160"/>
  <c r="K21" i="160"/>
  <c r="H21" i="160"/>
  <c r="N20" i="160"/>
  <c r="M20" i="160"/>
  <c r="L20" i="160"/>
  <c r="K20" i="160"/>
  <c r="H20" i="160"/>
  <c r="N19" i="160"/>
  <c r="M19" i="160"/>
  <c r="L19" i="160"/>
  <c r="K19" i="160"/>
  <c r="H19" i="160"/>
  <c r="N18" i="160"/>
  <c r="M18" i="160"/>
  <c r="L18" i="160"/>
  <c r="K18" i="160"/>
  <c r="H18" i="160"/>
  <c r="N17" i="160"/>
  <c r="M17" i="160"/>
  <c r="L17" i="160"/>
  <c r="K17" i="160"/>
  <c r="H17" i="160"/>
  <c r="N16" i="160"/>
  <c r="M16" i="160"/>
  <c r="L16" i="160"/>
  <c r="K16" i="160"/>
  <c r="H16" i="160"/>
  <c r="N15" i="160"/>
  <c r="M15" i="160"/>
  <c r="L15" i="160"/>
  <c r="K15" i="160"/>
  <c r="H15" i="160"/>
  <c r="N14" i="160"/>
  <c r="M14" i="160"/>
  <c r="L14" i="160"/>
  <c r="K14" i="160"/>
  <c r="H14" i="160"/>
  <c r="N13" i="160"/>
  <c r="M13" i="160"/>
  <c r="L13" i="160"/>
  <c r="K13" i="160"/>
  <c r="H13" i="160"/>
  <c r="N12" i="160"/>
  <c r="M12" i="160"/>
  <c r="L12" i="160"/>
  <c r="K12" i="160"/>
  <c r="H12" i="160"/>
  <c r="N11" i="160"/>
  <c r="M11" i="160"/>
  <c r="L11" i="160"/>
  <c r="K11" i="160"/>
  <c r="H11" i="160"/>
  <c r="N10" i="160"/>
  <c r="M10" i="160"/>
  <c r="L10" i="160"/>
  <c r="K10" i="160"/>
  <c r="H10" i="160"/>
  <c r="N9" i="160"/>
  <c r="M9" i="160"/>
  <c r="L9" i="160"/>
  <c r="K9" i="160"/>
  <c r="H9" i="160"/>
  <c r="N8" i="160"/>
  <c r="M8" i="160"/>
  <c r="L8" i="160"/>
  <c r="K8" i="160"/>
  <c r="H8" i="160"/>
  <c r="N7" i="160"/>
  <c r="M7" i="160"/>
  <c r="L7" i="160"/>
  <c r="K7" i="160"/>
  <c r="H7" i="160"/>
  <c r="N6" i="160"/>
  <c r="M6" i="160"/>
  <c r="L6" i="160"/>
  <c r="K6" i="160"/>
  <c r="H6" i="160"/>
  <c r="N5" i="160"/>
  <c r="M5" i="160"/>
  <c r="L5" i="160"/>
  <c r="K5" i="160"/>
  <c r="H5" i="160"/>
  <c r="N4" i="160"/>
  <c r="M4" i="160"/>
  <c r="L4" i="160"/>
  <c r="K4" i="160"/>
  <c r="H4" i="160"/>
  <c r="N3" i="160"/>
  <c r="M3" i="160"/>
  <c r="L3" i="160"/>
  <c r="K3" i="160"/>
  <c r="H3" i="160"/>
  <c r="N2" i="160"/>
  <c r="M2" i="160"/>
  <c r="L2" i="160"/>
  <c r="K2" i="160"/>
  <c r="H2" i="160"/>
  <c r="I2" i="159"/>
  <c r="J2" i="159"/>
  <c r="D2" i="159"/>
  <c r="E2" i="159"/>
  <c r="F2" i="159"/>
  <c r="C2" i="159"/>
  <c r="P2" i="159"/>
  <c r="N2" i="159"/>
  <c r="M2" i="159"/>
  <c r="L2" i="159"/>
  <c r="K2" i="159"/>
  <c r="H2" i="159"/>
  <c r="A2" i="159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H341" i="158"/>
  <c r="K341" i="158"/>
  <c r="L341" i="158"/>
  <c r="M341" i="158"/>
  <c r="N341" i="158"/>
  <c r="A341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F34" i="157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3" i="153"/>
  <c r="F42" i="153"/>
  <c r="G42" i="153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V6" i="157"/>
  <c r="P6" i="157"/>
  <c r="O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P11" i="153"/>
  <c r="O11" i="153"/>
  <c r="V10" i="153"/>
  <c r="P10" i="153"/>
  <c r="O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福谷 優大</author>
    <author>白川 龍</author>
    <author>Microsoft Office ユーザー</author>
  </authors>
  <commentList>
    <comment ref="C329" authorId="0">
      <text>
        <r>
          <rPr>
            <b/>
            <sz val="10"/>
            <color indexed="81"/>
            <rFont val="ＭＳ Ｐゴシック"/>
            <family val="3"/>
            <charset val="128"/>
          </rPr>
          <t xml:space="preserve">麒麟で使ってます。
</t>
        </r>
      </text>
    </comment>
    <comment ref="C330" authorId="0">
      <text>
        <r>
          <rPr>
            <b/>
            <sz val="10"/>
            <color indexed="81"/>
            <rFont val="ＭＳ Ｐゴシック"/>
            <family val="3"/>
            <charset val="128"/>
          </rPr>
          <t>福谷 優大:</t>
        </r>
        <r>
          <rPr>
            <sz val="10"/>
            <color indexed="81"/>
            <rFont val="ＭＳ Ｐゴシック"/>
            <family val="3"/>
            <charset val="128"/>
          </rPr>
          <t xml:space="preserve">
麒麟で使ってます</t>
        </r>
      </text>
    </comment>
    <comment ref="C331" authorId="0">
      <text>
        <r>
          <rPr>
            <b/>
            <sz val="10"/>
            <color indexed="81"/>
            <rFont val="ＭＳ Ｐゴシック"/>
            <family val="3"/>
            <charset val="128"/>
          </rPr>
          <t>福谷 優大:</t>
        </r>
        <r>
          <rPr>
            <sz val="10"/>
            <color indexed="81"/>
            <rFont val="ＭＳ Ｐゴシック"/>
            <family val="3"/>
            <charset val="128"/>
          </rPr>
          <t xml:space="preserve">
仮置き
</t>
        </r>
      </text>
    </comment>
    <comment ref="C421" authorId="1">
      <text>
        <r>
          <rPr>
            <b/>
            <sz val="10"/>
            <color indexed="81"/>
            <rFont val="ＭＳ Ｐゴシック"/>
            <family val="3"/>
            <charset val="128"/>
          </rPr>
          <t>名前から「カエル」が分かるか否かが難しいです。ちなみに「楓」はカエルの手の形に似ているから「カエデ」らしいです。
もう少し「カエル」に寄せてイケメンぽい名前にするなら「エルカ」というのも有りかな、と思います。</t>
        </r>
      </text>
    </comment>
    <comment ref="C428" authorId="1">
      <text>
        <r>
          <rPr>
            <b/>
            <sz val="10"/>
            <color indexed="81"/>
            <rFont val="ＭＳ Ｐゴシック"/>
            <family val="3"/>
            <charset val="128"/>
          </rPr>
          <t>武蔵の場合、敢えてシンプルな方が良い意味で浮いて、インパクト出そうな気もします。
「剣豪 宮本武蔵」でもいいかもしれないです。</t>
        </r>
      </text>
    </comment>
    <comment ref="A1372" authorId="2">
      <text>
        <r>
          <rPr>
            <sz val="11"/>
            <color indexed="81"/>
            <rFont val="ＭＳ Ｐゴシック"/>
            <family val="3"/>
            <charset val="128"/>
          </rPr>
          <t>12unitを元に1414~1417で設定していますので、重複や抜け番に注意してください。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<sst xmlns="http://schemas.openxmlformats.org/spreadsheetml/2006/main" count="25086" uniqueCount="3972">
  <si>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</si>
  <si>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</si>
  <si>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</si>
  <si>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</si>
  <si>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</si>
  <si>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</si>
  <si>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</si>
  <si>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</si>
  <si>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</si>
  <si>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</si>
  <si>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</si>
  <si>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</si>
  <si>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</si>
  <si>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</si>
  <si>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</si>
  <si>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</si>
  <si>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</si>
  <si>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</si>
  <si>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</si>
  <si>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</si>
  <si>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</si>
  <si>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</si>
  <si>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</si>
  <si>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</si>
  <si>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</si>
  <si>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</si>
  <si>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</si>
  <si>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</si>
  <si>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</si>
  <si>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</si>
  <si>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</si>
  <si>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</si>
  <si>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</si>
  <si>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</si>
  <si>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</si>
  <si>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</si>
  <si>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</si>
  <si>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</si>
  <si>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</si>
  <si>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</si>
  <si>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</si>
  <si>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</si>
  <si>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</si>
  <si>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</si>
  <si>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</si>
  <si>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</si>
  <si>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</si>
  <si>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</si>
  <si>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</si>
  <si>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</si>
  <si>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</si>
  <si>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</si>
  <si>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</si>
  <si>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</si>
  <si>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</si>
  <si>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</si>
  <si>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</si>
  <si>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</si>
  <si>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</si>
  <si>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</si>
  <si>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</si>
  <si>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</si>
  <si>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</si>
  <si>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</si>
  <si>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</si>
  <si>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</si>
  <si>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</si>
  <si>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</si>
  <si>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</si>
  <si>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</si>
  <si>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</si>
  <si>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</si>
  <si>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</si>
  <si>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</si>
  <si>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</si>
  <si>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</si>
  <si>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</si>
  <si>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</si>
  <si>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</si>
  <si>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</si>
  <si>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</si>
  <si>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</si>
  <si>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</si>
  <si>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</si>
  <si>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</si>
  <si>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</si>
  <si>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</si>
  <si>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</si>
  <si>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</si>
  <si>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</si>
  <si>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</si>
  <si>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</si>
  <si>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</si>
  <si>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</si>
  <si>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</si>
  <si>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</si>
  <si>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</si>
  <si>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</si>
  <si>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</si>
  <si>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</si>
  <si>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</si>
  <si>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</si>
  <si>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</si>
  <si>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</si>
  <si>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</si>
  <si>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</si>
  <si>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</si>
  <si>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</si>
  <si>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</si>
  <si>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</si>
  <si>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</si>
  <si>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</si>
  <si>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</si>
  <si>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</si>
  <si>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</si>
  <si>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</si>
  <si>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</si>
  <si>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</si>
  <si>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</si>
  <si>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</si>
  <si>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</si>
  <si>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</si>
  <si>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</si>
  <si>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</si>
  <si>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</si>
  <si>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</si>
  <si>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</si>
  <si>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</si>
  <si>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</si>
  <si>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</si>
  <si>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</si>
  <si>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</si>
  <si>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</si>
  <si>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</si>
  <si>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</si>
  <si>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</si>
  <si>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</si>
  <si>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</si>
  <si>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</si>
  <si>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</si>
  <si>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</si>
  <si>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</si>
  <si>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</si>
  <si>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</si>
  <si>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</si>
  <si>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</si>
  <si>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</si>
  <si>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</si>
  <si>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</si>
  <si>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</si>
  <si>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</si>
  <si>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</si>
  <si>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</si>
  <si>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</si>
  <si>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</si>
  <si>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</si>
  <si>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</si>
  <si>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</si>
  <si>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</si>
  <si>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</si>
  <si>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</si>
  <si>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</si>
  <si>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</si>
  <si>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</si>
  <si>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</si>
  <si>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</si>
  <si>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</si>
  <si>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</si>
  <si>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</si>
  <si>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</si>
  <si>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</si>
  <si>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</si>
  <si>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</si>
  <si>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</si>
  <si>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</si>
  <si>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</si>
  <si>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</si>
  <si>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</si>
  <si>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</si>
  <si>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</si>
  <si>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</si>
  <si>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</si>
  <si>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</si>
  <si>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</si>
  <si>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</si>
  <si>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</si>
  <si>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</si>
  <si>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</si>
  <si>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</si>
  <si>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</si>
  <si>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</si>
  <si>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</si>
  <si>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</si>
  <si>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</si>
  <si>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</si>
  <si>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</si>
  <si>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</si>
  <si>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</si>
  <si>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</si>
  <si>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</si>
  <si>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</si>
  <si>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</si>
  <si>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</si>
  <si>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</si>
  <si>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</si>
  <si>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</si>
  <si>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</si>
  <si>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</si>
  <si>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</si>
  <si>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</si>
  <si>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</si>
  <si>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</si>
  <si>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</si>
  <si>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</si>
  <si>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</si>
  <si>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</si>
  <si>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</si>
  <si>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</si>
  <si>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</si>
  <si>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</si>
  <si>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</si>
  <si>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</si>
  <si>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</si>
  <si>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</si>
  <si>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</si>
  <si>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</si>
  <si>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</si>
  <si>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</si>
  <si>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</si>
  <si>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</si>
  <si>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</si>
  <si>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</si>
  <si>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</si>
  <si>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</si>
  <si>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</si>
  <si>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</si>
  <si>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</si>
  <si>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</si>
  <si>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</si>
  <si>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</si>
  <si>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</si>
  <si>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</si>
  <si>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</si>
  <si>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</si>
  <si>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</si>
  <si>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</si>
  <si>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</si>
  <si>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</si>
  <si>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language</t>
    <phoneticPr fontId="53"/>
  </si>
  <si>
    <t>name</t>
    <phoneticPr fontId="20"/>
  </si>
  <si>
    <t>特徴</t>
    <rPh sb="0" eb="2">
      <t>トクチョウ</t>
    </rPh>
    <phoneticPr fontId="20"/>
  </si>
  <si>
    <t>勢力</t>
    <rPh sb="0" eb="2">
      <t>セイリョク</t>
    </rPh>
    <phoneticPr fontId="20"/>
  </si>
  <si>
    <t>訴求軸</t>
    <phoneticPr fontId="20"/>
  </si>
  <si>
    <t>性別</t>
    <phoneticPr fontId="20"/>
  </si>
  <si>
    <t>color</t>
  </si>
  <si>
    <t>rare</t>
  </si>
  <si>
    <t>drop_label</t>
  </si>
  <si>
    <t>character_type_id</t>
  </si>
  <si>
    <t>name</t>
    <phoneticPr fontId="20"/>
  </si>
  <si>
    <t>character_main_tribe_id</t>
    <phoneticPr fontId="20"/>
  </si>
  <si>
    <t>character_sub_tribe_id</t>
    <phoneticPr fontId="20"/>
  </si>
  <si>
    <t>スキルタイプ</t>
    <phoneticPr fontId="20"/>
  </si>
  <si>
    <t>valid_flg</t>
  </si>
  <si>
    <t>category</t>
    <phoneticPr fontId="53"/>
  </si>
  <si>
    <t>awaketype</t>
    <phoneticPr fontId="53"/>
  </si>
  <si>
    <t>flavor_text</t>
    <phoneticPr fontId="53"/>
  </si>
  <si>
    <t>obtain_message</t>
    <phoneticPr fontId="53"/>
  </si>
  <si>
    <t>awaken_message</t>
    <phoneticPr fontId="53"/>
  </si>
  <si>
    <t>ja</t>
    <phoneticPr fontId="53"/>
  </si>
  <si>
    <t>ジェリー</t>
  </si>
  <si>
    <t>ノーマルクエスト</t>
    <phoneticPr fontId="20"/>
  </si>
  <si>
    <t>QoH</t>
    <phoneticPr fontId="20"/>
  </si>
  <si>
    <t>世界観</t>
    <rPh sb="0" eb="3">
      <t>セカイカン</t>
    </rPh>
    <phoneticPr fontId="20"/>
  </si>
  <si>
    <t>不明</t>
    <rPh sb="0" eb="2">
      <t>フメイ</t>
    </rPh>
    <phoneticPr fontId="20"/>
  </si>
  <si>
    <t>red</t>
  </si>
  <si>
    <t>Drop1T</t>
  </si>
  <si>
    <t>attack</t>
  </si>
  <si>
    <t>unknown</t>
  </si>
  <si>
    <t>none</t>
  </si>
  <si>
    <t>アタッカー</t>
    <phoneticPr fontId="20"/>
  </si>
  <si>
    <t>NULL</t>
    <phoneticPr fontId="53"/>
  </si>
  <si>
    <t>normal</t>
    <phoneticPr fontId="53"/>
  </si>
  <si>
    <t>イレギュラー・ジェリー</t>
    <phoneticPr fontId="53"/>
  </si>
  <si>
    <t>ノーマルクエスト</t>
    <phoneticPr fontId="20"/>
  </si>
  <si>
    <t>エージェント ジョー</t>
    <phoneticPr fontId="53"/>
  </si>
  <si>
    <t>green</t>
  </si>
  <si>
    <t>balance</t>
  </si>
  <si>
    <t>バッファー</t>
    <phoneticPr fontId="20"/>
  </si>
  <si>
    <t>normal</t>
    <phoneticPr fontId="53"/>
  </si>
  <si>
    <t>NULL</t>
    <phoneticPr fontId="53"/>
  </si>
  <si>
    <t>エースエージェント ジョー</t>
    <phoneticPr fontId="53"/>
  </si>
  <si>
    <t>バッファー</t>
    <phoneticPr fontId="20"/>
  </si>
  <si>
    <t>ja</t>
    <phoneticPr fontId="53"/>
  </si>
  <si>
    <t>パトドッグ ポチ</t>
    <phoneticPr fontId="53"/>
  </si>
  <si>
    <t>QoH</t>
    <phoneticPr fontId="20"/>
  </si>
  <si>
    <t>blue</t>
  </si>
  <si>
    <t>heal</t>
  </si>
  <si>
    <t>ヒーラー</t>
    <phoneticPr fontId="20"/>
  </si>
  <si>
    <t>パトドッグリーダー ポチ</t>
    <phoneticPr fontId="53"/>
  </si>
  <si>
    <t>エレキポット</t>
    <phoneticPr fontId="53"/>
  </si>
  <si>
    <t>yellow</t>
  </si>
  <si>
    <t>アタッカー</t>
    <phoneticPr fontId="20"/>
  </si>
  <si>
    <t>NULL</t>
    <phoneticPr fontId="53"/>
  </si>
  <si>
    <t>ja</t>
    <phoneticPr fontId="53"/>
  </si>
  <si>
    <t>ハイボルテージ エレキポット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</si>
  <si>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</si>
  <si>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</si>
  <si>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</si>
  <si>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</si>
  <si>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ブレット</t>
    <phoneticPr fontId="53"/>
  </si>
  <si>
    <t>ノーマルクエスト</t>
    <phoneticPr fontId="20"/>
  </si>
  <si>
    <t>アバター</t>
    <phoneticPr fontId="20"/>
  </si>
  <si>
    <t>Drop1W</t>
  </si>
  <si>
    <t>animal</t>
    <phoneticPr fontId="53"/>
  </si>
  <si>
    <t>ja</t>
    <phoneticPr fontId="53"/>
  </si>
  <si>
    <t>燃える悪戯魂 ブレット</t>
    <phoneticPr fontId="53"/>
  </si>
  <si>
    <t>ノーマルクエスト</t>
    <phoneticPr fontId="20"/>
  </si>
  <si>
    <t>アバター</t>
    <phoneticPr fontId="20"/>
  </si>
  <si>
    <t>animal</t>
  </si>
  <si>
    <t>アタッカー</t>
    <phoneticPr fontId="20"/>
  </si>
  <si>
    <t>NULL</t>
    <phoneticPr fontId="53"/>
  </si>
  <si>
    <t>normal</t>
    <phoneticPr fontId="53"/>
  </si>
  <si>
    <t>ja</t>
    <phoneticPr fontId="53"/>
  </si>
  <si>
    <t>マグリット</t>
    <phoneticPr fontId="53"/>
  </si>
  <si>
    <t>ノーマルクエスト</t>
    <phoneticPr fontId="20"/>
  </si>
  <si>
    <t>アバター</t>
    <phoneticPr fontId="20"/>
  </si>
  <si>
    <t>癒しのグラフィティ マグリット</t>
    <rPh sb="0" eb="1">
      <t>イヤ</t>
    </rPh>
    <phoneticPr fontId="53"/>
  </si>
  <si>
    <t>アバター</t>
    <phoneticPr fontId="20"/>
  </si>
  <si>
    <t>ミミ</t>
    <phoneticPr fontId="53"/>
  </si>
  <si>
    <t>ミミ・ザ・ガンマンキャット</t>
    <phoneticPr fontId="53"/>
  </si>
  <si>
    <t>アカネ</t>
  </si>
  <si>
    <t>女性</t>
    <rPh sb="0" eb="2">
      <t>ジョセイ</t>
    </rPh>
    <phoneticPr fontId="20"/>
  </si>
  <si>
    <t>human</t>
  </si>
  <si>
    <t>バッファー</t>
    <phoneticPr fontId="20"/>
  </si>
  <si>
    <t>ja</t>
    <phoneticPr fontId="53"/>
  </si>
  <si>
    <t>炎戦少女 アカネ</t>
    <rPh sb="2" eb="4">
      <t>ショウジョ</t>
    </rPh>
    <phoneticPr fontId="53"/>
  </si>
  <si>
    <t>ja</t>
    <phoneticPr fontId="53"/>
  </si>
  <si>
    <t>リム</t>
  </si>
  <si>
    <t>machine</t>
  </si>
  <si>
    <t>normal</t>
    <phoneticPr fontId="53"/>
  </si>
  <si>
    <t>戦闘案内人 リム</t>
    <rPh sb="0" eb="2">
      <t>セントウ</t>
    </rPh>
    <rPh sb="2" eb="4">
      <t>アンナイ</t>
    </rPh>
    <rPh sb="4" eb="5">
      <t>ニン</t>
    </rPh>
    <phoneticPr fontId="53"/>
  </si>
  <si>
    <t>バッファー</t>
    <phoneticPr fontId="20"/>
  </si>
  <si>
    <t>NULL</t>
    <phoneticPr fontId="53"/>
  </si>
  <si>
    <t>ティンク</t>
  </si>
  <si>
    <t>電子妖精 ティンク</t>
    <phoneticPr fontId="53"/>
  </si>
  <si>
    <t>ヴェロキー</t>
  </si>
  <si>
    <t>Drop1N</t>
  </si>
  <si>
    <t>hp</t>
  </si>
  <si>
    <t>dragon</t>
  </si>
  <si>
    <t>突然変異ヴェロキー</t>
    <rPh sb="0" eb="4">
      <t>トツゼンヘンイ</t>
    </rPh>
    <phoneticPr fontId="53"/>
  </si>
  <si>
    <t>ミール</t>
  </si>
  <si>
    <t>天翔のミール</t>
    <rPh sb="0" eb="1">
      <t>テン</t>
    </rPh>
    <rPh sb="1" eb="2">
      <t>カケ</t>
    </rPh>
    <phoneticPr fontId="53"/>
  </si>
  <si>
    <t>normal</t>
    <phoneticPr fontId="53"/>
  </si>
  <si>
    <t>NULL</t>
    <phoneticPr fontId="53"/>
  </si>
  <si>
    <t>ハチ</t>
  </si>
  <si>
    <t>ノーマルクエスト</t>
    <phoneticPr fontId="20"/>
  </si>
  <si>
    <t>アバター</t>
    <phoneticPr fontId="20"/>
  </si>
  <si>
    <t>勇犬 ハチ</t>
    <rPh sb="0" eb="1">
      <t>ユウケン</t>
    </rPh>
    <rPh sb="1" eb="2">
      <t>イヌ</t>
    </rPh>
    <phoneticPr fontId="53"/>
  </si>
  <si>
    <t>ノーマルクエスト</t>
    <phoneticPr fontId="20"/>
  </si>
  <si>
    <t>アバター</t>
    <phoneticPr fontId="20"/>
  </si>
  <si>
    <t>アタッカー</t>
    <phoneticPr fontId="20"/>
  </si>
  <si>
    <t>パトライン</t>
  </si>
  <si>
    <t>アタッカー</t>
    <phoneticPr fontId="20"/>
  </si>
  <si>
    <t>現場急行 パトラインカスタム</t>
    <rPh sb="0" eb="4">
      <t>ゲンバキュウコウ</t>
    </rPh>
    <phoneticPr fontId="53"/>
  </si>
  <si>
    <t>ノーマルクエスト</t>
    <phoneticPr fontId="20"/>
  </si>
  <si>
    <t>アバター</t>
    <phoneticPr fontId="20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</si>
  <si>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</si>
  <si>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</si>
  <si>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</si>
  <si>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</si>
  <si>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スケアクロウ</t>
    <phoneticPr fontId="53"/>
  </si>
  <si>
    <t>ノーマルクエスト</t>
    <phoneticPr fontId="20"/>
  </si>
  <si>
    <t>アバター</t>
    <phoneticPr fontId="20"/>
  </si>
  <si>
    <t>護衛機人 スケアクロウ</t>
    <rPh sb="0" eb="2">
      <t>ゴエイ</t>
    </rPh>
    <rPh sb="2" eb="3">
      <t>キ</t>
    </rPh>
    <rPh sb="3" eb="4">
      <t>ジン</t>
    </rPh>
    <phoneticPr fontId="53"/>
  </si>
  <si>
    <t>ヒーラー</t>
    <phoneticPr fontId="20"/>
  </si>
  <si>
    <t>normal</t>
    <phoneticPr fontId="53"/>
  </si>
  <si>
    <t>マービー</t>
  </si>
  <si>
    <t>technical</t>
  </si>
  <si>
    <t>ハングアッパー</t>
    <phoneticPr fontId="20"/>
  </si>
  <si>
    <t>沈黙のジャミング マービー</t>
    <rPh sb="0" eb="2">
      <t>チンモク</t>
    </rPh>
    <phoneticPr fontId="53"/>
  </si>
  <si>
    <t>ノーマルクエスト</t>
    <phoneticPr fontId="20"/>
  </si>
  <si>
    <t>アバター</t>
    <phoneticPr fontId="20"/>
  </si>
  <si>
    <t>ゴクウ</t>
  </si>
  <si>
    <t>男性</t>
    <rPh sb="0" eb="2">
      <t>ダンセイ</t>
    </rPh>
    <phoneticPr fontId="20"/>
  </si>
  <si>
    <t>Drop1S</t>
  </si>
  <si>
    <t>バッファー</t>
    <phoneticPr fontId="20"/>
  </si>
  <si>
    <t>NULL</t>
    <phoneticPr fontId="53"/>
  </si>
  <si>
    <t>ja</t>
    <phoneticPr fontId="53"/>
  </si>
  <si>
    <t>斉天大聖 ゴクウ</t>
    <rPh sb="0" eb="4">
      <t>セイテンタイセイ</t>
    </rPh>
    <phoneticPr fontId="53"/>
  </si>
  <si>
    <t>ノーマルクエスト</t>
    <phoneticPr fontId="20"/>
  </si>
  <si>
    <t>アバター</t>
    <phoneticPr fontId="20"/>
  </si>
  <si>
    <t>normal</t>
    <phoneticPr fontId="53"/>
  </si>
  <si>
    <t>F2</t>
  </si>
  <si>
    <t>オフィス追尾型移動地雷F3</t>
  </si>
  <si>
    <t>ノーマルクエスト</t>
    <phoneticPr fontId="20"/>
  </si>
  <si>
    <t>アバター</t>
    <phoneticPr fontId="20"/>
  </si>
  <si>
    <t>ガイル</t>
  </si>
  <si>
    <t>アタッカー</t>
    <phoneticPr fontId="20"/>
  </si>
  <si>
    <t>NULL</t>
    <phoneticPr fontId="53"/>
  </si>
  <si>
    <t>normal</t>
    <phoneticPr fontId="53"/>
  </si>
  <si>
    <t>ja</t>
    <phoneticPr fontId="53"/>
  </si>
  <si>
    <t>通話対応型 ガイル</t>
    <rPh sb="0" eb="2">
      <t>ツウワ</t>
    </rPh>
    <rPh sb="2" eb="4">
      <t>チョクセツタイオウ</t>
    </rPh>
    <rPh sb="4" eb="5">
      <t>ガタ</t>
    </rPh>
    <phoneticPr fontId="53"/>
  </si>
  <si>
    <t>アバター</t>
    <phoneticPr fontId="20"/>
  </si>
  <si>
    <t>マーロン</t>
  </si>
  <si>
    <t>ノーマルクエスト</t>
    <phoneticPr fontId="20"/>
  </si>
  <si>
    <t>スリーパー</t>
    <phoneticPr fontId="20"/>
  </si>
  <si>
    <t>デジタルマジシャン マーロン</t>
    <phoneticPr fontId="53"/>
  </si>
  <si>
    <t>ヒュウガ</t>
  </si>
  <si>
    <t>燃えゆる吐息 ヒュウガ</t>
    <rPh sb="0" eb="1">
      <t>モ</t>
    </rPh>
    <rPh sb="4" eb="6">
      <t>トイキ</t>
    </rPh>
    <phoneticPr fontId="53"/>
  </si>
  <si>
    <t>ムゥ</t>
  </si>
  <si>
    <t>遠い星からやってきたムゥ</t>
    <rPh sb="0" eb="1">
      <t>トオ</t>
    </rPh>
    <rPh sb="2" eb="3">
      <t>★</t>
    </rPh>
    <phoneticPr fontId="53"/>
  </si>
  <si>
    <t>ショウイン</t>
  </si>
  <si>
    <t>アタッカー</t>
    <phoneticPr fontId="20"/>
  </si>
  <si>
    <t>NULL</t>
    <phoneticPr fontId="53"/>
  </si>
  <si>
    <t>normal</t>
    <phoneticPr fontId="53"/>
  </si>
  <si>
    <t>微笑みの筆跡 ショウイン</t>
    <rPh sb="0" eb="2">
      <t>ホホエ</t>
    </rPh>
    <rPh sb="4" eb="6">
      <t>ヒッセキ</t>
    </rPh>
    <phoneticPr fontId="53"/>
  </si>
  <si>
    <t>ja</t>
    <phoneticPr fontId="53"/>
  </si>
  <si>
    <t>ヒロ</t>
  </si>
  <si>
    <t>ノーマルクエスト</t>
    <phoneticPr fontId="20"/>
  </si>
  <si>
    <t>アバター</t>
    <phoneticPr fontId="20"/>
  </si>
  <si>
    <t>サンダーステップのヒロ</t>
    <phoneticPr fontId="53"/>
  </si>
  <si>
    <t>ヨシタカ</t>
  </si>
  <si>
    <t>バッファー</t>
    <phoneticPr fontId="20"/>
  </si>
  <si>
    <t>炎銃のレジスタンス ヨシタカ</t>
    <rPh sb="0" eb="1">
      <t>ホノオ</t>
    </rPh>
    <rPh sb="1" eb="2">
      <t>ジュウ</t>
    </rPh>
    <phoneticPr fontId="53"/>
  </si>
  <si>
    <t>マイ</t>
  </si>
  <si>
    <t>バッファー</t>
    <phoneticPr fontId="20"/>
  </si>
  <si>
    <t>NULL</t>
    <phoneticPr fontId="53"/>
  </si>
  <si>
    <t>normal</t>
    <phoneticPr fontId="53"/>
  </si>
  <si>
    <t>翠槍のレジスタンス マイ</t>
    <rPh sb="0" eb="1">
      <t>ミドリ</t>
    </rPh>
    <rPh sb="1" eb="2">
      <t>ヤリ</t>
    </rPh>
    <phoneticPr fontId="53"/>
  </si>
  <si>
    <t>ケンジ</t>
  </si>
  <si>
    <t>蒼斬のレジスタンス ケンジ</t>
    <rPh sb="0" eb="1">
      <t>アオ</t>
    </rPh>
    <rPh sb="1" eb="2">
      <t>ザンゲキ</t>
    </rPh>
    <phoneticPr fontId="53"/>
  </si>
  <si>
    <t>ja</t>
    <phoneticPr fontId="53"/>
  </si>
  <si>
    <t>マミコ</t>
  </si>
  <si>
    <t>黄槌のレジスタンス マミコ</t>
    <rPh sb="0" eb="1">
      <t>オウド</t>
    </rPh>
    <rPh sb="1" eb="2">
      <t>ツチ</t>
    </rPh>
    <phoneticPr fontId="53"/>
  </si>
  <si>
    <t>ノーマルクエスト</t>
    <phoneticPr fontId="20"/>
  </si>
  <si>
    <t>アバター</t>
    <phoneticPr fontId="20"/>
  </si>
  <si>
    <t>チェン・リー</t>
  </si>
  <si>
    <t>アタッカーバッファー</t>
    <phoneticPr fontId="20"/>
  </si>
  <si>
    <t>ドランクマスター チェン・リー</t>
    <phoneticPr fontId="53"/>
  </si>
  <si>
    <t>アタッカーバッファー</t>
    <phoneticPr fontId="20"/>
  </si>
  <si>
    <t>normal</t>
    <phoneticPr fontId="53"/>
  </si>
  <si>
    <t>NULL</t>
    <phoneticPr fontId="53"/>
  </si>
  <si>
    <t>マーチ</t>
  </si>
  <si>
    <t>ノーマルクエスト</t>
    <phoneticPr fontId="20"/>
  </si>
  <si>
    <t>アバター</t>
    <phoneticPr fontId="20"/>
  </si>
  <si>
    <t>ヒーラー</t>
    <phoneticPr fontId="20"/>
  </si>
  <si>
    <t>おでかけマーチ</t>
    <phoneticPr fontId="53"/>
  </si>
  <si>
    <t>ヒーラー</t>
    <phoneticPr fontId="20"/>
  </si>
  <si>
    <t>NULL</t>
    <phoneticPr fontId="53"/>
  </si>
  <si>
    <t>normal</t>
    <phoneticPr fontId="53"/>
  </si>
  <si>
    <t>NULL</t>
    <phoneticPr fontId="53"/>
  </si>
  <si>
    <t>ja</t>
    <phoneticPr fontId="53"/>
  </si>
  <si>
    <t>クロウ</t>
  </si>
  <si>
    <t>ノーマルクエスト</t>
    <phoneticPr fontId="20"/>
  </si>
  <si>
    <t>アバター</t>
    <phoneticPr fontId="20"/>
  </si>
  <si>
    <t>normal</t>
    <phoneticPr fontId="53"/>
  </si>
  <si>
    <t>脈動旋律のクロウ</t>
    <rPh sb="0" eb="2">
      <t>ミャクドウ</t>
    </rPh>
    <rPh sb="2" eb="4">
      <t>センリツ</t>
    </rPh>
    <phoneticPr fontId="53"/>
  </si>
  <si>
    <t>ノーマルクエスト</t>
    <phoneticPr fontId="20"/>
  </si>
  <si>
    <t>アバター</t>
    <phoneticPr fontId="20"/>
  </si>
  <si>
    <t>トニー</t>
  </si>
  <si>
    <t>アタッカーバッファー</t>
    <phoneticPr fontId="20"/>
  </si>
  <si>
    <t>フレイムエッジ トニー</t>
    <phoneticPr fontId="53"/>
  </si>
  <si>
    <t>アタッカーバッファー</t>
    <phoneticPr fontId="20"/>
  </si>
  <si>
    <t>ファイアフォックス</t>
  </si>
  <si>
    <t>探索者 ファイアフォックス</t>
    <phoneticPr fontId="53"/>
  </si>
  <si>
    <t>アタッカー</t>
    <phoneticPr fontId="20"/>
  </si>
  <si>
    <t>双炎の探索者 ファイアフォックス</t>
    <rPh sb="0" eb="1">
      <t>フタゴ</t>
    </rPh>
    <rPh sb="1" eb="2">
      <t>エン</t>
    </rPh>
    <rPh sb="3" eb="6">
      <t>タンサクシャ</t>
    </rPh>
    <phoneticPr fontId="53"/>
  </si>
  <si>
    <t>ストール</t>
  </si>
  <si>
    <t>リダクター</t>
    <phoneticPr fontId="20"/>
  </si>
  <si>
    <t>NULL</t>
    <phoneticPr fontId="53"/>
  </si>
  <si>
    <t>normal</t>
    <phoneticPr fontId="53"/>
  </si>
  <si>
    <t>ja</t>
    <phoneticPr fontId="53"/>
  </si>
  <si>
    <t>思想家 ストール</t>
    <phoneticPr fontId="53"/>
  </si>
  <si>
    <t>リダクター</t>
    <phoneticPr fontId="20"/>
  </si>
  <si>
    <t>NULL</t>
    <phoneticPr fontId="53"/>
  </si>
  <si>
    <t>normal</t>
    <phoneticPr fontId="53"/>
  </si>
  <si>
    <t>自由の思想家 ストール</t>
    <phoneticPr fontId="53"/>
  </si>
  <si>
    <t>ノーマルクエスト</t>
    <phoneticPr fontId="20"/>
  </si>
  <si>
    <t>アバター</t>
    <phoneticPr fontId="20"/>
  </si>
  <si>
    <t>ダックス</t>
  </si>
  <si>
    <t>バッファー</t>
    <phoneticPr fontId="20"/>
  </si>
  <si>
    <t>探求者 ダックス</t>
    <phoneticPr fontId="53"/>
  </si>
  <si>
    <t>自由の探求者 ダックス</t>
    <phoneticPr fontId="53"/>
  </si>
  <si>
    <t>サンダーバード</t>
  </si>
  <si>
    <t>伝令者 サンダーバード</t>
    <phoneticPr fontId="53"/>
  </si>
  <si>
    <t>アタッカー</t>
    <phoneticPr fontId="20"/>
  </si>
  <si>
    <t>閃速の伝令者 サンダーバード</t>
    <rPh sb="0" eb="1">
      <t>ヒラメ</t>
    </rPh>
    <rPh sb="1" eb="2">
      <t>オンソク</t>
    </rPh>
    <rPh sb="3" eb="6">
      <t>デンレイシャ</t>
    </rPh>
    <phoneticPr fontId="53"/>
  </si>
  <si>
    <t>潜伏型メリッサ</t>
    <phoneticPr fontId="53"/>
  </si>
  <si>
    <t>イベント:ウィルス01</t>
    <phoneticPr fontId="20"/>
  </si>
  <si>
    <t>ウィルス</t>
    <phoneticPr fontId="20"/>
  </si>
  <si>
    <t>DropWizW</t>
    <phoneticPr fontId="53"/>
  </si>
  <si>
    <t>ハングアッパー</t>
    <phoneticPr fontId="20"/>
  </si>
  <si>
    <t>擬態潜伏型メリッサ2.0</t>
  </si>
  <si>
    <t>DropWizW</t>
    <phoneticPr fontId="53"/>
  </si>
  <si>
    <t>ハングアッパー</t>
    <phoneticPr fontId="20"/>
  </si>
  <si>
    <t>ハッピー100</t>
    <phoneticPr fontId="53"/>
  </si>
  <si>
    <t>イベント:ウィルス01</t>
  </si>
  <si>
    <t>タップブースター</t>
    <phoneticPr fontId="20"/>
  </si>
  <si>
    <t>ハッピー101</t>
    <phoneticPr fontId="53"/>
  </si>
  <si>
    <t>ウィルス</t>
    <phoneticPr fontId="20"/>
  </si>
  <si>
    <t>DropWizW</t>
    <phoneticPr fontId="53"/>
  </si>
  <si>
    <t>増幅型モリス</t>
  </si>
  <si>
    <t>ボマー</t>
    <phoneticPr fontId="20"/>
  </si>
  <si>
    <t>偽装増幅型G・モリス</t>
  </si>
  <si>
    <t>ボマー</t>
    <phoneticPr fontId="20"/>
  </si>
  <si>
    <t>拡散性ニムダ</t>
  </si>
  <si>
    <t>DropWizW</t>
    <phoneticPr fontId="53"/>
  </si>
  <si>
    <t>ウイルサー</t>
    <phoneticPr fontId="20"/>
  </si>
  <si>
    <t>ja</t>
    <phoneticPr fontId="53"/>
  </si>
  <si>
    <t>高速拡散性ニムダE</t>
  </si>
  <si>
    <t>ウィルス</t>
    <phoneticPr fontId="20"/>
  </si>
  <si>
    <t>ウイルサー</t>
    <phoneticPr fontId="20"/>
  </si>
  <si>
    <t>朱雀</t>
  </si>
  <si>
    <t>リンクガチャ:4神</t>
    <rPh sb="8" eb="9">
      <t>カm</t>
    </rPh>
    <phoneticPr fontId="20"/>
  </si>
  <si>
    <t>守護神</t>
    <rPh sb="0" eb="3">
      <t>シュゴシン</t>
    </rPh>
    <phoneticPr fontId="20"/>
  </si>
  <si>
    <t>格好いい</t>
    <phoneticPr fontId="20"/>
  </si>
  <si>
    <t>Drop2N</t>
  </si>
  <si>
    <t>god</t>
  </si>
  <si>
    <t>アタッカー</t>
    <phoneticPr fontId="20"/>
  </si>
  <si>
    <t>守護者 朱雀</t>
  </si>
  <si>
    <t>朱南の守護神 朱雀</t>
    <rPh sb="0" eb="1">
      <t>アカ</t>
    </rPh>
    <rPh sb="1" eb="2">
      <t>カナン</t>
    </rPh>
    <phoneticPr fontId="53"/>
  </si>
  <si>
    <t>格好いい</t>
    <phoneticPr fontId="20"/>
  </si>
  <si>
    <t>玄武</t>
  </si>
  <si>
    <t>バッファー</t>
    <phoneticPr fontId="20"/>
  </si>
  <si>
    <t>守護者 玄武</t>
  </si>
  <si>
    <t>翠北の守護神 玄武</t>
    <rPh sb="0" eb="1">
      <t>ミドリ</t>
    </rPh>
    <phoneticPr fontId="53"/>
  </si>
  <si>
    <t>青龍</t>
  </si>
  <si>
    <t>守護者 青龍</t>
  </si>
  <si>
    <t>碧東の守護神 青龍</t>
    <rPh sb="0" eb="1">
      <t>アオ</t>
    </rPh>
    <phoneticPr fontId="53"/>
  </si>
  <si>
    <t>白虎</t>
  </si>
  <si>
    <t>守護者 白虎</t>
  </si>
  <si>
    <t>金西の守護神 白虎</t>
    <rPh sb="0" eb="1">
      <t>キン</t>
    </rPh>
    <rPh sb="1" eb="2">
      <t>ニシ</t>
    </rPh>
    <phoneticPr fontId="53"/>
  </si>
  <si>
    <t>格好いい</t>
    <phoneticPr fontId="20"/>
  </si>
  <si>
    <t>炎のミリオンダック</t>
    <rPh sb="0" eb="9">
      <t>ホノオノミ</t>
    </rPh>
    <phoneticPr fontId="53"/>
  </si>
  <si>
    <t>強化素材R6</t>
    <rPh sb="0" eb="4">
      <t>キョウカソザイ</t>
    </rPh>
    <phoneticPr fontId="20"/>
  </si>
  <si>
    <t>アリス</t>
    <phoneticPr fontId="53"/>
  </si>
  <si>
    <t>red</t>
    <phoneticPr fontId="53"/>
  </si>
  <si>
    <t>Material</t>
  </si>
  <si>
    <t>exp</t>
  </si>
  <si>
    <t>強化素材</t>
    <rPh sb="0" eb="4">
      <t>キョウカソザイ</t>
    </rPh>
    <phoneticPr fontId="20"/>
  </si>
  <si>
    <t>NULL</t>
    <phoneticPr fontId="53"/>
  </si>
  <si>
    <t>normal</t>
    <phoneticPr fontId="53"/>
  </si>
  <si>
    <t>ja</t>
    <phoneticPr fontId="53"/>
  </si>
  <si>
    <t>森のミリオンダック</t>
    <rPh sb="0" eb="9">
      <t>モリノミリオン</t>
    </rPh>
    <phoneticPr fontId="53"/>
  </si>
  <si>
    <t>アリス</t>
    <phoneticPr fontId="53"/>
  </si>
  <si>
    <t>green</t>
    <phoneticPr fontId="53"/>
  </si>
  <si>
    <t>水のミリオンダック</t>
    <rPh sb="0" eb="9">
      <t>ミズノミ</t>
    </rPh>
    <phoneticPr fontId="53"/>
  </si>
  <si>
    <t>アリス</t>
    <phoneticPr fontId="53"/>
  </si>
  <si>
    <t>blue</t>
    <phoneticPr fontId="53"/>
  </si>
  <si>
    <t>雷のミリオンダック</t>
    <rPh sb="0" eb="9">
      <t>カミナリノ</t>
    </rPh>
    <phoneticPr fontId="53"/>
  </si>
  <si>
    <t>アリス</t>
    <phoneticPr fontId="53"/>
  </si>
  <si>
    <t>yellow</t>
    <phoneticPr fontId="53"/>
  </si>
  <si>
    <t>レッドチェシャ</t>
    <phoneticPr fontId="53"/>
  </si>
  <si>
    <t>進化素材・赤・R2</t>
    <rPh sb="0" eb="4">
      <t>シンカソザイ</t>
    </rPh>
    <rPh sb="5" eb="6">
      <t>アカ</t>
    </rPh>
    <phoneticPr fontId="20"/>
  </si>
  <si>
    <t>アリス</t>
    <phoneticPr fontId="53"/>
  </si>
  <si>
    <t>evolution</t>
    <phoneticPr fontId="53"/>
  </si>
  <si>
    <t>進化素材</t>
    <rPh sb="0" eb="2">
      <t>シンカ</t>
    </rPh>
    <rPh sb="2" eb="4">
      <t>ソザイ</t>
    </rPh>
    <phoneticPr fontId="20"/>
  </si>
  <si>
    <t>レッドラビット</t>
    <phoneticPr fontId="53"/>
  </si>
  <si>
    <t>進化素材・赤・R3</t>
    <rPh sb="0" eb="4">
      <t>シンカソザイ</t>
    </rPh>
    <rPh sb="5" eb="6">
      <t>アカ</t>
    </rPh>
    <phoneticPr fontId="20"/>
  </si>
  <si>
    <t>アリス</t>
    <phoneticPr fontId="53"/>
  </si>
  <si>
    <t>evolution</t>
  </si>
  <si>
    <t>レッドキャタップ</t>
    <phoneticPr fontId="53"/>
  </si>
  <si>
    <t>進化素材・赤・R4</t>
    <rPh sb="0" eb="4">
      <t>シンカソザイ</t>
    </rPh>
    <rPh sb="5" eb="6">
      <t>アカ</t>
    </rPh>
    <phoneticPr fontId="20"/>
  </si>
  <si>
    <t>アリス</t>
    <phoneticPr fontId="53"/>
  </si>
  <si>
    <t>炎のマッドハッター</t>
    <rPh sb="0" eb="1">
      <t>ホノオ</t>
    </rPh>
    <phoneticPr fontId="53"/>
  </si>
  <si>
    <t>進化素材・赤・R5</t>
    <rPh sb="0" eb="4">
      <t>シンカソザイ</t>
    </rPh>
    <rPh sb="5" eb="6">
      <t>アカ</t>
    </rPh>
    <phoneticPr fontId="20"/>
  </si>
  <si>
    <t>グリーンチェシャ</t>
    <phoneticPr fontId="53"/>
  </si>
  <si>
    <t>進化素材・緑・R2</t>
    <rPh sb="0" eb="4">
      <t>シンカソザイ</t>
    </rPh>
    <phoneticPr fontId="20"/>
  </si>
  <si>
    <t>グリーンラビット</t>
    <phoneticPr fontId="53"/>
  </si>
  <si>
    <t>進化素材・緑・R3</t>
    <rPh sb="0" eb="4">
      <t>シンカソザイ</t>
    </rPh>
    <phoneticPr fontId="20"/>
  </si>
  <si>
    <t>アリス</t>
    <phoneticPr fontId="53"/>
  </si>
  <si>
    <t>グリーンキャタップ</t>
    <phoneticPr fontId="53"/>
  </si>
  <si>
    <t>進化素材・緑・R4</t>
    <rPh sb="0" eb="4">
      <t>シンカソザイ</t>
    </rPh>
    <phoneticPr fontId="20"/>
  </si>
  <si>
    <t>normal</t>
    <phoneticPr fontId="53"/>
  </si>
  <si>
    <t>NULL</t>
    <phoneticPr fontId="53"/>
  </si>
  <si>
    <t>森のマッドハッター</t>
    <rPh sb="0" eb="1">
      <t>モリ</t>
    </rPh>
    <phoneticPr fontId="53"/>
  </si>
  <si>
    <t>進化素材・緑・R5</t>
    <rPh sb="0" eb="4">
      <t>シンカソザイ</t>
    </rPh>
    <phoneticPr fontId="20"/>
  </si>
  <si>
    <t>ブルーチェシャ</t>
    <phoneticPr fontId="53"/>
  </si>
  <si>
    <t>進化素材・青・R2</t>
    <rPh sb="0" eb="4">
      <t>シンカソザイ</t>
    </rPh>
    <phoneticPr fontId="20"/>
  </si>
  <si>
    <t>ブルーラビット</t>
    <phoneticPr fontId="53"/>
  </si>
  <si>
    <t>進化素材・青・R3</t>
    <rPh sb="0" eb="4">
      <t>シンカソザイ</t>
    </rPh>
    <phoneticPr fontId="20"/>
  </si>
  <si>
    <t>ブルーキャタップ</t>
    <phoneticPr fontId="53"/>
  </si>
  <si>
    <t>進化素材・青・R4</t>
    <rPh sb="0" eb="4">
      <t>シンカソザイ</t>
    </rPh>
    <phoneticPr fontId="20"/>
  </si>
  <si>
    <t>水のマッドハッター</t>
    <rPh sb="0" eb="1">
      <t>ミズ</t>
    </rPh>
    <phoneticPr fontId="53"/>
  </si>
  <si>
    <t>進化素材・青・R5</t>
    <rPh sb="0" eb="4">
      <t>シンカソザイ</t>
    </rPh>
    <phoneticPr fontId="20"/>
  </si>
  <si>
    <t>イエローチェシャ</t>
    <phoneticPr fontId="53"/>
  </si>
  <si>
    <t>進化素材・黄・R2</t>
    <rPh sb="0" eb="4">
      <t>シンカソザイ</t>
    </rPh>
    <phoneticPr fontId="20"/>
  </si>
  <si>
    <t>イエローラビット</t>
    <phoneticPr fontId="53"/>
  </si>
  <si>
    <t>進化素材・黄・R3</t>
    <rPh sb="0" eb="4">
      <t>シンカソザイ</t>
    </rPh>
    <phoneticPr fontId="20"/>
  </si>
  <si>
    <t>イエローキャタップ</t>
    <phoneticPr fontId="53"/>
  </si>
  <si>
    <t>進化素材・黄・R4</t>
    <rPh sb="0" eb="4">
      <t>シンカソザイ</t>
    </rPh>
    <phoneticPr fontId="20"/>
  </si>
  <si>
    <t>雷のマッドハッター</t>
    <rPh sb="0" eb="1">
      <t>カミナリ</t>
    </rPh>
    <phoneticPr fontId="53"/>
  </si>
  <si>
    <t>進化素材・黄・R5</t>
    <rPh sb="0" eb="4">
      <t>シンカソザイ</t>
    </rPh>
    <phoneticPr fontId="20"/>
  </si>
  <si>
    <t>ゴールドピヨピヨ</t>
  </si>
  <si>
    <t>売却素材R3</t>
    <rPh sb="0" eb="2">
      <t>バイキャク</t>
    </rPh>
    <rPh sb="2" eb="4">
      <t>ソザイ</t>
    </rPh>
    <phoneticPr fontId="20"/>
  </si>
  <si>
    <t>coin</t>
  </si>
  <si>
    <t>売却素材</t>
    <rPh sb="0" eb="4">
      <t>バイキャクソザイ</t>
    </rPh>
    <phoneticPr fontId="20"/>
  </si>
  <si>
    <t>NULL</t>
    <phoneticPr fontId="53"/>
  </si>
  <si>
    <t>ゴールドチック</t>
  </si>
  <si>
    <t>売却素材R4</t>
    <rPh sb="0" eb="2">
      <t>バイキャク</t>
    </rPh>
    <rPh sb="2" eb="4">
      <t>ソザイ</t>
    </rPh>
    <phoneticPr fontId="20"/>
  </si>
  <si>
    <t>ゴールドダック</t>
  </si>
  <si>
    <t>売却素材R5</t>
    <rPh sb="0" eb="2">
      <t>バイキャク</t>
    </rPh>
    <rPh sb="2" eb="4">
      <t>ソザイ</t>
    </rPh>
    <phoneticPr fontId="20"/>
  </si>
  <si>
    <t>ゴールドキング</t>
  </si>
  <si>
    <t>売却素材R6</t>
    <rPh sb="0" eb="2">
      <t>バイキャク</t>
    </rPh>
    <rPh sb="2" eb="4">
      <t>ソザイ</t>
    </rPh>
    <phoneticPr fontId="20"/>
  </si>
  <si>
    <t>攻めの果実</t>
  </si>
  <si>
    <t>限界突破素材・攻撃・赤</t>
    <rPh sb="0" eb="6">
      <t>ゲンカイトッパソザイ</t>
    </rPh>
    <rPh sb="7" eb="9">
      <t>コウゲキ</t>
    </rPh>
    <rPh sb="10" eb="11">
      <t>アカ</t>
    </rPh>
    <phoneticPr fontId="20"/>
  </si>
  <si>
    <t>アリス</t>
    <phoneticPr fontId="53"/>
  </si>
  <si>
    <t>red</t>
    <phoneticPr fontId="53"/>
  </si>
  <si>
    <t>limitbreak</t>
    <phoneticPr fontId="53"/>
  </si>
  <si>
    <t>限界突破素材</t>
    <rPh sb="0" eb="6">
      <t>ゲンカイトッパソザイ</t>
    </rPh>
    <phoneticPr fontId="20"/>
  </si>
  <si>
    <t>normal</t>
    <phoneticPr fontId="53"/>
  </si>
  <si>
    <t>NULL</t>
    <phoneticPr fontId="53"/>
  </si>
  <si>
    <t>生命の果実</t>
  </si>
  <si>
    <t>限界突破素材・体力・緑</t>
    <rPh sb="0" eb="6">
      <t>ゲンカイトッパソザイ</t>
    </rPh>
    <rPh sb="7" eb="9">
      <t>タイリョク</t>
    </rPh>
    <rPh sb="10" eb="11">
      <t>ミドリ</t>
    </rPh>
    <phoneticPr fontId="20"/>
  </si>
  <si>
    <t>green</t>
    <phoneticPr fontId="53"/>
  </si>
  <si>
    <t>limitbreak</t>
    <phoneticPr fontId="53"/>
  </si>
  <si>
    <t>癒しの果実</t>
  </si>
  <si>
    <t>限界突破素材・回復・青</t>
    <rPh sb="0" eb="6">
      <t>ゲンカイトッパソザイ</t>
    </rPh>
    <rPh sb="7" eb="9">
      <t>カイフク</t>
    </rPh>
    <rPh sb="10" eb="11">
      <t>アオ</t>
    </rPh>
    <phoneticPr fontId="20"/>
  </si>
  <si>
    <t>blue</t>
    <phoneticPr fontId="53"/>
  </si>
  <si>
    <t>limitbreak</t>
    <phoneticPr fontId="53"/>
  </si>
  <si>
    <t>黄金の果実</t>
    <rPh sb="0" eb="2">
      <t>オウゴン</t>
    </rPh>
    <phoneticPr fontId="53"/>
  </si>
  <si>
    <t>限界突破素材・防御・黄</t>
    <rPh sb="0" eb="6">
      <t>ゲンカイトッパソザイ</t>
    </rPh>
    <rPh sb="7" eb="9">
      <t>ボウギョ</t>
    </rPh>
    <rPh sb="10" eb="11">
      <t>キイロ</t>
    </rPh>
    <phoneticPr fontId="20"/>
  </si>
  <si>
    <t>coin</t>
    <phoneticPr fontId="53"/>
  </si>
  <si>
    <t>ドロップビットエネミー</t>
    <phoneticPr fontId="20"/>
  </si>
  <si>
    <t>秘術の果実</t>
  </si>
  <si>
    <t>スキル進化素材</t>
    <rPh sb="3" eb="7">
      <t>シンカソザイ</t>
    </rPh>
    <phoneticPr fontId="20"/>
  </si>
  <si>
    <t>skilllevel</t>
    <phoneticPr fontId="53"/>
  </si>
  <si>
    <t>骨器使い ユノ</t>
    <phoneticPr fontId="53"/>
  </si>
  <si>
    <t>初期ガチャ</t>
    <rPh sb="0" eb="5">
      <t>sy</t>
    </rPh>
    <phoneticPr fontId="20"/>
  </si>
  <si>
    <t>アバター</t>
    <phoneticPr fontId="53"/>
  </si>
  <si>
    <t>美しい</t>
    <rPh sb="0" eb="1">
      <t>ウツク</t>
    </rPh>
    <phoneticPr fontId="20"/>
  </si>
  <si>
    <t>PremiumW</t>
  </si>
  <si>
    <t>バッファー</t>
    <phoneticPr fontId="60"/>
  </si>
  <si>
    <t>NULL</t>
    <phoneticPr fontId="53"/>
  </si>
  <si>
    <t>normal</t>
    <phoneticPr fontId="53"/>
  </si>
  <si>
    <t>狂喜の賢者 ユノ</t>
    <rPh sb="3" eb="5">
      <t>ケンジャ</t>
    </rPh>
    <phoneticPr fontId="53"/>
  </si>
  <si>
    <t>アバター</t>
    <phoneticPr fontId="53"/>
  </si>
  <si>
    <t>バッファー</t>
    <phoneticPr fontId="60"/>
  </si>
  <si>
    <t>野生児 アマラ</t>
    <phoneticPr fontId="53"/>
  </si>
  <si>
    <t>格好いい</t>
    <rPh sb="0" eb="2">
      <t>カッコウ</t>
    </rPh>
    <phoneticPr fontId="20"/>
  </si>
  <si>
    <t>バッファー</t>
    <phoneticPr fontId="60"/>
  </si>
  <si>
    <t>孤高の狼憑き アマラ</t>
    <phoneticPr fontId="53"/>
  </si>
  <si>
    <t>狼男 ローレンス</t>
    <phoneticPr fontId="53"/>
  </si>
  <si>
    <t>アバター</t>
    <phoneticPr fontId="53"/>
  </si>
  <si>
    <t>バッファー</t>
    <phoneticPr fontId="60"/>
  </si>
  <si>
    <t>NULL</t>
    <phoneticPr fontId="53"/>
  </si>
  <si>
    <t>normal</t>
    <phoneticPr fontId="53"/>
  </si>
  <si>
    <t>ja</t>
    <phoneticPr fontId="53"/>
  </si>
  <si>
    <t>月下の人狼 ローレンス</t>
    <phoneticPr fontId="53"/>
  </si>
  <si>
    <t>鳥人ハヤト</t>
    <phoneticPr fontId="53"/>
  </si>
  <si>
    <t>バッファー</t>
    <phoneticPr fontId="60"/>
  </si>
  <si>
    <t>NULL</t>
    <phoneticPr fontId="53"/>
  </si>
  <si>
    <t>ja</t>
    <phoneticPr fontId="53"/>
  </si>
  <si>
    <t>迅雷の刀剣 ハヤト</t>
    <rPh sb="3" eb="5">
      <t>トウケン</t>
    </rPh>
    <phoneticPr fontId="53"/>
  </si>
  <si>
    <t>バッファー</t>
    <phoneticPr fontId="60"/>
  </si>
  <si>
    <t>妖炎の夕霧</t>
    <phoneticPr fontId="53"/>
  </si>
  <si>
    <t>女性</t>
  </si>
  <si>
    <t>パネルコンバーター</t>
    <phoneticPr fontId="60"/>
  </si>
  <si>
    <t>京の炎華夕霧</t>
  </si>
  <si>
    <t>お針子チハヤ</t>
  </si>
  <si>
    <t>可愛い</t>
    <phoneticPr fontId="20"/>
  </si>
  <si>
    <t>清福の仕立屋 チハヤ</t>
    <phoneticPr fontId="53"/>
  </si>
  <si>
    <t>可愛い</t>
    <phoneticPr fontId="20"/>
  </si>
  <si>
    <t>蒼薙のトモエ</t>
  </si>
  <si>
    <t>蒼昇刃姫 トモエ</t>
    <phoneticPr fontId="53"/>
  </si>
  <si>
    <t>秋祭のタマモ</t>
  </si>
  <si>
    <t>妖狐演舞 タマモ</t>
    <rPh sb="0" eb="2">
      <t>ヨウコ</t>
    </rPh>
    <rPh sb="2" eb="4">
      <t>エンブ</t>
    </rPh>
    <phoneticPr fontId="53"/>
  </si>
  <si>
    <t>赤ずきん</t>
  </si>
  <si>
    <t>深紅の死神 赤ずきん</t>
  </si>
  <si>
    <t>かぐや</t>
  </si>
  <si>
    <t>魔性妖艶 かぐや</t>
  </si>
  <si>
    <t>マーメイド</t>
  </si>
  <si>
    <t>デバッファー</t>
    <phoneticPr fontId="60"/>
  </si>
  <si>
    <t>蒼き閃光 元マーメイド</t>
  </si>
  <si>
    <t>シンデレラ</t>
  </si>
  <si>
    <t>雷撃蹴技を極めし者 シンデレラ</t>
    <phoneticPr fontId="53"/>
  </si>
  <si>
    <t>ポイズンマスターサキ</t>
  </si>
  <si>
    <t>デバッファー</t>
    <phoneticPr fontId="20"/>
  </si>
  <si>
    <t>毒煙の処刑人サキ</t>
  </si>
  <si>
    <t>功夫少女ランラン</t>
    <phoneticPr fontId="53"/>
  </si>
  <si>
    <t>アバター</t>
    <phoneticPr fontId="53"/>
  </si>
  <si>
    <t>拳聖ランラン</t>
    <phoneticPr fontId="53"/>
  </si>
  <si>
    <t>始末屋 ハンナ</t>
    <phoneticPr fontId="53"/>
  </si>
  <si>
    <t>隻眼の掃除屋 ハンナ</t>
    <phoneticPr fontId="53"/>
  </si>
  <si>
    <t>踊り子 エレナ</t>
    <phoneticPr fontId="53"/>
  </si>
  <si>
    <t>アバター</t>
    <phoneticPr fontId="53"/>
  </si>
  <si>
    <t>可愛い</t>
    <phoneticPr fontId="20"/>
  </si>
  <si>
    <t>ja</t>
    <phoneticPr fontId="53"/>
  </si>
  <si>
    <t>雷光舞姫 エレナ</t>
    <phoneticPr fontId="53"/>
  </si>
  <si>
    <t>可愛い</t>
    <phoneticPr fontId="20"/>
  </si>
  <si>
    <t>シスター シャルロッテ</t>
    <phoneticPr fontId="53"/>
  </si>
  <si>
    <t>ja</t>
    <phoneticPr fontId="53"/>
  </si>
  <si>
    <t>邪を狩りし者 シャルロッテ</t>
    <phoneticPr fontId="53"/>
  </si>
  <si>
    <t>反逆者 クリエ</t>
    <phoneticPr fontId="53"/>
  </si>
  <si>
    <t>咆哮の先導者 クリエ</t>
    <phoneticPr fontId="53"/>
  </si>
  <si>
    <t>狂女 クララ</t>
    <phoneticPr fontId="53"/>
  </si>
  <si>
    <t>冷酷な狂嬢 クララ</t>
    <phoneticPr fontId="53"/>
  </si>
  <si>
    <t>イブとトモダチ</t>
  </si>
  <si>
    <t>デバッファー</t>
    <phoneticPr fontId="60"/>
  </si>
  <si>
    <t>イブとたったひとりのトモダチ</t>
  </si>
  <si>
    <t>NULL</t>
    <phoneticPr fontId="53"/>
  </si>
  <si>
    <t>normal</t>
    <phoneticPr fontId="53"/>
  </si>
  <si>
    <t>ベリアル</t>
  </si>
  <si>
    <t>執行者</t>
    <phoneticPr fontId="20"/>
  </si>
  <si>
    <t>格好いい</t>
    <phoneticPr fontId="20"/>
  </si>
  <si>
    <t>男性</t>
    <phoneticPr fontId="20"/>
  </si>
  <si>
    <t>PremiumN</t>
    <phoneticPr fontId="53"/>
  </si>
  <si>
    <t>アタッカー</t>
    <phoneticPr fontId="60"/>
  </si>
  <si>
    <t>逆徒 ベリアル</t>
    <rPh sb="0" eb="2">
      <t>ギャクト</t>
    </rPh>
    <phoneticPr fontId="53"/>
  </si>
  <si>
    <t>執行者</t>
    <phoneticPr fontId="20"/>
  </si>
  <si>
    <t>男性</t>
    <phoneticPr fontId="20"/>
  </si>
  <si>
    <t>PremiumN</t>
  </si>
  <si>
    <t>猛進の大逆者 ベリアル</t>
    <rPh sb="0" eb="2">
      <t>チョトツモ</t>
    </rPh>
    <rPh sb="3" eb="6">
      <t>タイギャクシャ</t>
    </rPh>
    <phoneticPr fontId="53"/>
  </si>
  <si>
    <t>執行者</t>
    <phoneticPr fontId="20"/>
  </si>
  <si>
    <t>オセ</t>
  </si>
  <si>
    <t>美しい</t>
    <phoneticPr fontId="20"/>
  </si>
  <si>
    <t>女性</t>
    <phoneticPr fontId="20"/>
  </si>
  <si>
    <t>アタッカー</t>
    <phoneticPr fontId="60"/>
  </si>
  <si>
    <t>NULL</t>
    <phoneticPr fontId="53"/>
  </si>
  <si>
    <t>normal</t>
    <phoneticPr fontId="53"/>
  </si>
  <si>
    <t>識徒 オセ</t>
    <rPh sb="0" eb="1">
      <t>シキシャ</t>
    </rPh>
    <rPh sb="1" eb="2">
      <t>ト</t>
    </rPh>
    <phoneticPr fontId="53"/>
  </si>
  <si>
    <t>アタッカー</t>
    <phoneticPr fontId="60"/>
  </si>
  <si>
    <t>NULL</t>
    <phoneticPr fontId="53"/>
  </si>
  <si>
    <t>精解の預知者 オセ</t>
    <rPh sb="0" eb="1">
      <t>セイ</t>
    </rPh>
    <rPh sb="1" eb="2">
      <t>カイトウ</t>
    </rPh>
    <rPh sb="3" eb="4">
      <t>ヨゲン</t>
    </rPh>
    <rPh sb="4" eb="5">
      <t>チシキ</t>
    </rPh>
    <rPh sb="5" eb="6">
      <t>シャ</t>
    </rPh>
    <phoneticPr fontId="53"/>
  </si>
  <si>
    <t>美しい</t>
    <phoneticPr fontId="20"/>
  </si>
  <si>
    <t>女性</t>
    <phoneticPr fontId="20"/>
  </si>
  <si>
    <t>アタッカー</t>
    <phoneticPr fontId="60"/>
  </si>
  <si>
    <t>フォルネウス</t>
  </si>
  <si>
    <t>アタッカー</t>
    <phoneticPr fontId="60"/>
  </si>
  <si>
    <t>公爵 フォルネウス</t>
    <rPh sb="0" eb="2">
      <t>ダイコウシャク</t>
    </rPh>
    <phoneticPr fontId="53"/>
  </si>
  <si>
    <t>偽愛の大公爵 フォルネウス</t>
    <rPh sb="0" eb="2">
      <t>ギアイ</t>
    </rPh>
    <rPh sb="3" eb="6">
      <t>ダイコウ</t>
    </rPh>
    <phoneticPr fontId="53"/>
  </si>
  <si>
    <t>バフォメット</t>
  </si>
  <si>
    <t>異教徒 バフォメット</t>
    <rPh sb="0" eb="3">
      <t>イキョウト</t>
    </rPh>
    <phoneticPr fontId="53"/>
  </si>
  <si>
    <t>黒魔の異端師 バフォメット</t>
    <rPh sb="0" eb="2">
      <t>コクマ</t>
    </rPh>
    <rPh sb="3" eb="5">
      <t>イタンシャ</t>
    </rPh>
    <rPh sb="5" eb="6">
      <t>シ</t>
    </rPh>
    <phoneticPr fontId="53"/>
  </si>
  <si>
    <t>ケルベロス</t>
  </si>
  <si>
    <t>破界者</t>
    <phoneticPr fontId="20"/>
  </si>
  <si>
    <t>番犬 ケルベロス</t>
    <rPh sb="0" eb="2">
      <t>バンケン</t>
    </rPh>
    <phoneticPr fontId="53"/>
  </si>
  <si>
    <t>地獄の大門番 ケルベロス</t>
    <rPh sb="0" eb="2">
      <t>ジゴク</t>
    </rPh>
    <rPh sb="3" eb="4">
      <t>ダイ</t>
    </rPh>
    <rPh sb="4" eb="6">
      <t>モンバン</t>
    </rPh>
    <phoneticPr fontId="53"/>
  </si>
  <si>
    <t>ベヒモス</t>
  </si>
  <si>
    <t>バッファー</t>
    <phoneticPr fontId="60"/>
  </si>
  <si>
    <t>放蕩者 ベヒモス</t>
    <rPh sb="0" eb="2">
      <t>ホウトウ</t>
    </rPh>
    <rPh sb="2" eb="3">
      <t>ホウロウシャ</t>
    </rPh>
    <phoneticPr fontId="53"/>
  </si>
  <si>
    <t>鈍重な彷徨者 ベヒモス</t>
    <rPh sb="0" eb="2">
      <t>ドンジュウ</t>
    </rPh>
    <rPh sb="3" eb="6">
      <t>ホウコウシャ</t>
    </rPh>
    <phoneticPr fontId="53"/>
  </si>
  <si>
    <t>クラーケン</t>
  </si>
  <si>
    <t>破界者</t>
    <phoneticPr fontId="20"/>
  </si>
  <si>
    <t>海姫 クラーケン</t>
    <rPh sb="0" eb="1">
      <t>ウミ</t>
    </rPh>
    <rPh sb="1" eb="2">
      <t>ヒメ</t>
    </rPh>
    <phoneticPr fontId="53"/>
  </si>
  <si>
    <t>誇り高き多触姫・クラーケン</t>
    <rPh sb="0" eb="1">
      <t>ホコ</t>
    </rPh>
    <rPh sb="2" eb="3">
      <t>タカ</t>
    </rPh>
    <rPh sb="4" eb="5">
      <t>タ</t>
    </rPh>
    <rPh sb="5" eb="6">
      <t>タショクシュ</t>
    </rPh>
    <rPh sb="6" eb="7">
      <t>ヒメ</t>
    </rPh>
    <phoneticPr fontId="53"/>
  </si>
  <si>
    <t>ホルス</t>
  </si>
  <si>
    <t>猛禽 ホルス</t>
    <rPh sb="0" eb="2">
      <t>モウキン</t>
    </rPh>
    <phoneticPr fontId="53"/>
  </si>
  <si>
    <t>迅雷の王禽 ホルス</t>
    <rPh sb="0" eb="2">
      <t>ジンライ</t>
    </rPh>
    <rPh sb="3" eb="4">
      <t>オウ</t>
    </rPh>
    <rPh sb="4" eb="5">
      <t>モウキン</t>
    </rPh>
    <phoneticPr fontId="53"/>
  </si>
  <si>
    <t>卑弥呼</t>
  </si>
  <si>
    <t>守護者</t>
    <phoneticPr fontId="20"/>
  </si>
  <si>
    <t>始祖 卑弥呼</t>
    <rPh sb="0" eb="2">
      <t>シソ</t>
    </rPh>
    <phoneticPr fontId="53"/>
  </si>
  <si>
    <t>荘厳なる始祖帝 卑弥呼</t>
    <rPh sb="0" eb="2">
      <t>ソウゴン</t>
    </rPh>
    <rPh sb="4" eb="6">
      <t>シソ</t>
    </rPh>
    <rPh sb="6" eb="7">
      <t>テイ</t>
    </rPh>
    <phoneticPr fontId="53"/>
  </si>
  <si>
    <t>ロビンフッド</t>
  </si>
  <si>
    <t>スナイパー ロビンフッド</t>
    <phoneticPr fontId="53"/>
  </si>
  <si>
    <t>グランドハンター ロビンフッド</t>
    <phoneticPr fontId="53"/>
  </si>
  <si>
    <t>守護者</t>
    <phoneticPr fontId="20"/>
  </si>
  <si>
    <t>バッファー</t>
    <phoneticPr fontId="60"/>
  </si>
  <si>
    <t>アキレス</t>
  </si>
  <si>
    <t>ja</t>
    <phoneticPr fontId="53"/>
  </si>
  <si>
    <t>鉄腕 アキレス</t>
    <rPh sb="0" eb="1">
      <t>テツ</t>
    </rPh>
    <rPh sb="1" eb="2">
      <t>ゴウワン</t>
    </rPh>
    <phoneticPr fontId="53"/>
  </si>
  <si>
    <t>守護者</t>
    <phoneticPr fontId="20"/>
  </si>
  <si>
    <t>美しい</t>
    <phoneticPr fontId="20"/>
  </si>
  <si>
    <t>女性</t>
    <phoneticPr fontId="20"/>
  </si>
  <si>
    <t>砕骨の剛腕 アキレス</t>
    <rPh sb="0" eb="1">
      <t>クダ</t>
    </rPh>
    <rPh sb="1" eb="2">
      <t>フンコツ</t>
    </rPh>
    <rPh sb="3" eb="4">
      <t>コンゴウ</t>
    </rPh>
    <rPh sb="4" eb="5">
      <t>ウデ</t>
    </rPh>
    <phoneticPr fontId="53"/>
  </si>
  <si>
    <t>ジークフリート</t>
  </si>
  <si>
    <t>blue</t>
    <phoneticPr fontId="53"/>
  </si>
  <si>
    <t>大剣士 ジークフリート</t>
    <rPh sb="0" eb="1">
      <t>ダイケンセイ</t>
    </rPh>
    <rPh sb="1" eb="3">
      <t>ケンシ</t>
    </rPh>
    <phoneticPr fontId="53"/>
  </si>
  <si>
    <t>blue</t>
    <phoneticPr fontId="53"/>
  </si>
  <si>
    <t>斬空の大破剣 ジークフリート</t>
    <rPh sb="0" eb="2">
      <t>ザンクウ</t>
    </rPh>
    <rPh sb="3" eb="4">
      <t>ダイケン</t>
    </rPh>
    <rPh sb="4" eb="5">
      <t>ヤブ</t>
    </rPh>
    <rPh sb="5" eb="6">
      <t>ケンシ</t>
    </rPh>
    <phoneticPr fontId="53"/>
  </si>
  <si>
    <t>バッファー</t>
    <phoneticPr fontId="60"/>
  </si>
  <si>
    <t>NULL</t>
    <phoneticPr fontId="53"/>
  </si>
  <si>
    <t>プロメテウス</t>
  </si>
  <si>
    <t>管理者</t>
    <phoneticPr fontId="20"/>
  </si>
  <si>
    <t>焔神 プロメテウス</t>
    <rPh sb="0" eb="1">
      <t>ホノオ</t>
    </rPh>
    <rPh sb="1" eb="2">
      <t>カミ</t>
    </rPh>
    <phoneticPr fontId="53"/>
  </si>
  <si>
    <t>管理者</t>
    <phoneticPr fontId="20"/>
  </si>
  <si>
    <t>アタッカー</t>
    <phoneticPr fontId="60"/>
  </si>
  <si>
    <t>慟哭の巨焔 プロメテウス</t>
    <rPh sb="0" eb="2">
      <t>ドウコク</t>
    </rPh>
    <rPh sb="3" eb="4">
      <t>キョジン</t>
    </rPh>
    <rPh sb="4" eb="5">
      <t>ホノオ</t>
    </rPh>
    <phoneticPr fontId="53"/>
  </si>
  <si>
    <t>アフロディーテ</t>
  </si>
  <si>
    <t>美神 アフロディーテ</t>
    <rPh sb="0" eb="2">
      <t>ビシン</t>
    </rPh>
    <phoneticPr fontId="53"/>
  </si>
  <si>
    <t>管理者</t>
    <phoneticPr fontId="20"/>
  </si>
  <si>
    <t>豊穣の麗神・アフロディーテ</t>
    <rPh sb="0" eb="2">
      <t>ホウジョウ</t>
    </rPh>
    <rPh sb="3" eb="4">
      <t>レイジン</t>
    </rPh>
    <rPh sb="4" eb="5">
      <t>シン</t>
    </rPh>
    <phoneticPr fontId="53"/>
  </si>
  <si>
    <t>テティス</t>
  </si>
  <si>
    <t>孤神 テティス</t>
    <rPh sb="0" eb="1">
      <t>コドク</t>
    </rPh>
    <rPh sb="1" eb="2">
      <t>シン</t>
    </rPh>
    <phoneticPr fontId="53"/>
  </si>
  <si>
    <t>海底の孤高神 テティス</t>
    <rPh sb="0" eb="2">
      <t>カイテイ</t>
    </rPh>
    <rPh sb="3" eb="5">
      <t>ココウ</t>
    </rPh>
    <rPh sb="5" eb="6">
      <t>カミ</t>
    </rPh>
    <phoneticPr fontId="53"/>
  </si>
  <si>
    <t>アストライアー</t>
  </si>
  <si>
    <t>管理者</t>
    <phoneticPr fontId="20"/>
  </si>
  <si>
    <t>星神 アストライアー</t>
    <rPh sb="0" eb="2">
      <t>ホシガミ</t>
    </rPh>
    <phoneticPr fontId="53"/>
  </si>
  <si>
    <t>満天の星降神 アストライアー</t>
    <rPh sb="0" eb="2">
      <t>マンテン</t>
    </rPh>
    <rPh sb="3" eb="4">
      <t>ホシ</t>
    </rPh>
    <rPh sb="4" eb="5">
      <t>フ</t>
    </rPh>
    <rPh sb="5" eb="6">
      <t>ホシガミ</t>
    </rPh>
    <phoneticPr fontId="53"/>
  </si>
  <si>
    <t>アズラエル</t>
  </si>
  <si>
    <t>死導者 アズラエル</t>
    <rPh sb="0" eb="1">
      <t>シ</t>
    </rPh>
    <rPh sb="1" eb="2">
      <t>シドウ</t>
    </rPh>
    <rPh sb="2" eb="3">
      <t>モノ</t>
    </rPh>
    <phoneticPr fontId="53"/>
  </si>
  <si>
    <t>百読の死導司書 アズラエル</t>
    <rPh sb="0" eb="1">
      <t>ヒャク</t>
    </rPh>
    <rPh sb="1" eb="2">
      <t>ドク</t>
    </rPh>
    <rPh sb="3" eb="4">
      <t>シ</t>
    </rPh>
    <rPh sb="4" eb="5">
      <t>シドウシャ</t>
    </rPh>
    <rPh sb="5" eb="7">
      <t>シショ</t>
    </rPh>
    <phoneticPr fontId="53"/>
  </si>
  <si>
    <t>ケツァクアトル</t>
  </si>
  <si>
    <t>聖蛇 ケツァクアトル</t>
    <rPh sb="0" eb="1">
      <t>セイジャ</t>
    </rPh>
    <rPh sb="1" eb="2">
      <t>ヘビ</t>
    </rPh>
    <phoneticPr fontId="53"/>
  </si>
  <si>
    <t>覇翼の聖蛇竜 ケツァクアトル</t>
    <rPh sb="0" eb="1">
      <t>ハシャ</t>
    </rPh>
    <rPh sb="1" eb="2">
      <t>ツバサ</t>
    </rPh>
    <rPh sb="3" eb="4">
      <t>セイ</t>
    </rPh>
    <rPh sb="4" eb="5">
      <t>ヘビ</t>
    </rPh>
    <rPh sb="5" eb="6">
      <t>リュウ</t>
    </rPh>
    <phoneticPr fontId="53"/>
  </si>
  <si>
    <t>ルキフグス</t>
  </si>
  <si>
    <t>アタッカー</t>
    <phoneticPr fontId="20"/>
  </si>
  <si>
    <t>宰相 ルキフグス</t>
    <rPh sb="0" eb="2">
      <t>サイショウ</t>
    </rPh>
    <phoneticPr fontId="53"/>
  </si>
  <si>
    <t>避光の鉄鎖宰相 ルキフグス</t>
    <rPh sb="0" eb="1">
      <t>サ</t>
    </rPh>
    <rPh sb="1" eb="2">
      <t>ヒカリ</t>
    </rPh>
    <rPh sb="3" eb="5">
      <t>テッサ</t>
    </rPh>
    <rPh sb="5" eb="7">
      <t>サイショウ</t>
    </rPh>
    <phoneticPr fontId="53"/>
  </si>
  <si>
    <t>アタッカー</t>
    <phoneticPr fontId="20"/>
  </si>
  <si>
    <t>normal</t>
    <phoneticPr fontId="53"/>
  </si>
  <si>
    <t>ヘラクレス</t>
  </si>
  <si>
    <t>巨腕 ヘラクレス</t>
    <rPh sb="0" eb="1">
      <t>キョジン</t>
    </rPh>
    <rPh sb="1" eb="2">
      <t>ウデ</t>
    </rPh>
    <phoneticPr fontId="53"/>
  </si>
  <si>
    <t>咆哮の巨獅腕 ヘラクレス</t>
    <rPh sb="0" eb="2">
      <t>ホウコウ</t>
    </rPh>
    <rPh sb="3" eb="4">
      <t>キョジン</t>
    </rPh>
    <rPh sb="4" eb="5">
      <t>ジシ</t>
    </rPh>
    <rPh sb="5" eb="6">
      <t>テツワン</t>
    </rPh>
    <phoneticPr fontId="53"/>
  </si>
  <si>
    <t>アレス</t>
  </si>
  <si>
    <t>PremiumS</t>
  </si>
  <si>
    <t>アタッカー</t>
    <phoneticPr fontId="60"/>
  </si>
  <si>
    <t>NULL</t>
    <phoneticPr fontId="53"/>
  </si>
  <si>
    <t>normal</t>
    <phoneticPr fontId="53"/>
  </si>
  <si>
    <t>滅弾 アレス</t>
    <rPh sb="0" eb="1">
      <t>メッサツ</t>
    </rPh>
    <rPh sb="1" eb="2">
      <t>ダン</t>
    </rPh>
    <phoneticPr fontId="53"/>
  </si>
  <si>
    <t>殲滅の掃射砲 アレス</t>
    <rPh sb="0" eb="2">
      <t>センメツ</t>
    </rPh>
    <rPh sb="3" eb="5">
      <t>ソウシャ</t>
    </rPh>
    <rPh sb="5" eb="6">
      <t>ホウ</t>
    </rPh>
    <phoneticPr fontId="53"/>
  </si>
  <si>
    <t>ヨルムンガンド</t>
  </si>
  <si>
    <t>毒銃 ヨルムンガンド</t>
    <rPh sb="0" eb="1">
      <t>ドク</t>
    </rPh>
    <rPh sb="1" eb="2">
      <t>ジュウ</t>
    </rPh>
    <phoneticPr fontId="53"/>
  </si>
  <si>
    <t>必中の咬銃 ヨルムンガンド</t>
    <rPh sb="0" eb="2">
      <t>ヒッチュウ</t>
    </rPh>
    <rPh sb="3" eb="4">
      <t>カ</t>
    </rPh>
    <rPh sb="4" eb="5">
      <t>ジュウ</t>
    </rPh>
    <phoneticPr fontId="53"/>
  </si>
  <si>
    <t>パーシヴァル</t>
  </si>
  <si>
    <t>遂行 パーシヴァル</t>
    <rPh sb="0" eb="2">
      <t>スイコウ</t>
    </rPh>
    <phoneticPr fontId="53"/>
  </si>
  <si>
    <t>精密なる照準 パーシヴァル</t>
    <rPh sb="0" eb="2">
      <t>セイミツ</t>
    </rPh>
    <rPh sb="4" eb="6">
      <t>ショウジュン</t>
    </rPh>
    <phoneticPr fontId="53"/>
  </si>
  <si>
    <t>イザナミ</t>
  </si>
  <si>
    <t>神産 イザナミ</t>
    <rPh sb="0" eb="2">
      <t>カミウ</t>
    </rPh>
    <phoneticPr fontId="53"/>
  </si>
  <si>
    <t>森羅万象の神母 イザナミ</t>
    <rPh sb="0" eb="4">
      <t>シンラバンショウ</t>
    </rPh>
    <rPh sb="5" eb="6">
      <t>シン</t>
    </rPh>
    <rPh sb="6" eb="7">
      <t>ハハ</t>
    </rPh>
    <phoneticPr fontId="53"/>
  </si>
  <si>
    <t>ウリエル</t>
  </si>
  <si>
    <t>ガチャ:天使01</t>
    <rPh sb="4" eb="6">
      <t>テンs</t>
    </rPh>
    <phoneticPr fontId="20"/>
  </si>
  <si>
    <t>豪炎の天使 ウリエル</t>
    <rPh sb="0" eb="1">
      <t>ゴウ</t>
    </rPh>
    <rPh sb="1" eb="2">
      <t>ホノオ</t>
    </rPh>
    <rPh sb="3" eb="5">
      <t>テンシ</t>
    </rPh>
    <phoneticPr fontId="53"/>
  </si>
  <si>
    <t>美しい</t>
    <phoneticPr fontId="20"/>
  </si>
  <si>
    <t>女性</t>
    <phoneticPr fontId="20"/>
  </si>
  <si>
    <t>轟炎の天使 ウリエル・スレイヤー</t>
    <rPh sb="0" eb="1">
      <t>ゴウゴウ</t>
    </rPh>
    <rPh sb="1" eb="2">
      <t>ホノオ</t>
    </rPh>
    <rPh sb="3" eb="5">
      <t>テンシ</t>
    </rPh>
    <phoneticPr fontId="53"/>
  </si>
  <si>
    <t>ガブリエル</t>
  </si>
  <si>
    <t>百花の天使 ガブリエル</t>
    <rPh sb="0" eb="1">
      <t>ヒャッカ</t>
    </rPh>
    <rPh sb="1" eb="2">
      <t>ハナ</t>
    </rPh>
    <rPh sb="3" eb="5">
      <t>テンシ</t>
    </rPh>
    <phoneticPr fontId="53"/>
  </si>
  <si>
    <t>万花の天使 ガブリエル・ブルーム</t>
    <rPh sb="0" eb="1">
      <t>マン</t>
    </rPh>
    <rPh sb="1" eb="2">
      <t>ハナ</t>
    </rPh>
    <rPh sb="3" eb="5">
      <t>テンシ</t>
    </rPh>
    <phoneticPr fontId="53"/>
  </si>
  <si>
    <t>ラファエル</t>
  </si>
  <si>
    <t>管理者</t>
    <phoneticPr fontId="20"/>
  </si>
  <si>
    <t>鎮癒の天使 ラファエル</t>
    <rPh sb="0" eb="1">
      <t>シズ</t>
    </rPh>
    <rPh sb="1" eb="2">
      <t>チユ</t>
    </rPh>
    <rPh sb="3" eb="5">
      <t>テンシ</t>
    </rPh>
    <phoneticPr fontId="53"/>
  </si>
  <si>
    <t>真癒の天使 ラファエル・メディカ</t>
    <rPh sb="0" eb="1">
      <t>シンジツ</t>
    </rPh>
    <rPh sb="1" eb="2">
      <t>チユ</t>
    </rPh>
    <rPh sb="3" eb="5">
      <t>テンシ</t>
    </rPh>
    <phoneticPr fontId="53"/>
  </si>
  <si>
    <t>ミカエル</t>
  </si>
  <si>
    <t>アタッカー</t>
    <phoneticPr fontId="60"/>
  </si>
  <si>
    <t>彩電の天使 ミカエル</t>
    <rPh sb="0" eb="1">
      <t>サイ</t>
    </rPh>
    <rPh sb="1" eb="2">
      <t>ライデン</t>
    </rPh>
    <rPh sb="3" eb="5">
      <t>テンシ</t>
    </rPh>
    <phoneticPr fontId="53"/>
  </si>
  <si>
    <t>管理者</t>
    <phoneticPr fontId="20"/>
  </si>
  <si>
    <t>可愛い</t>
    <phoneticPr fontId="20"/>
  </si>
  <si>
    <t>女性</t>
    <phoneticPr fontId="20"/>
  </si>
  <si>
    <t>雷電の天使 ミカエル・ゲイナー</t>
    <rPh sb="0" eb="2">
      <t>ライデン</t>
    </rPh>
    <rPh sb="3" eb="5">
      <t>テンシ</t>
    </rPh>
    <phoneticPr fontId="53"/>
  </si>
  <si>
    <t>マンモン</t>
    <phoneticPr fontId="53"/>
  </si>
  <si>
    <t>ガチャ:7つの大罪01</t>
    <rPh sb="7" eb="9">
      <t>タイザ</t>
    </rPh>
    <phoneticPr fontId="20"/>
  </si>
  <si>
    <t>強欲 マンモン</t>
    <rPh sb="0" eb="2">
      <t>ゴウヨク</t>
    </rPh>
    <phoneticPr fontId="53"/>
  </si>
  <si>
    <t>強欲の沸騰 マンモン</t>
    <rPh sb="0" eb="2">
      <t>ゴウヨク</t>
    </rPh>
    <rPh sb="3" eb="5">
      <t>フットウ</t>
    </rPh>
    <phoneticPr fontId="53"/>
  </si>
  <si>
    <t>ベルフェゴール</t>
    <phoneticPr fontId="53"/>
  </si>
  <si>
    <t>怠惰 ベルフェゴール</t>
    <rPh sb="0" eb="2">
      <t>タイダ</t>
    </rPh>
    <phoneticPr fontId="53"/>
  </si>
  <si>
    <t>怠惰の頂点 ベルフェゴール</t>
    <rPh sb="0" eb="2">
      <t>タイダ</t>
    </rPh>
    <rPh sb="3" eb="5">
      <t>チョウテン</t>
    </rPh>
    <phoneticPr fontId="53"/>
  </si>
  <si>
    <t>アスモデウス</t>
    <phoneticPr fontId="53"/>
  </si>
  <si>
    <t>執行者</t>
    <phoneticPr fontId="20"/>
  </si>
  <si>
    <t>美しい</t>
    <phoneticPr fontId="20"/>
  </si>
  <si>
    <t>色欲 アスモデウス</t>
    <rPh sb="0" eb="2">
      <t>シキヨク</t>
    </rPh>
    <phoneticPr fontId="53"/>
  </si>
  <si>
    <t>色欲の源流 アスモデウス</t>
    <rPh sb="0" eb="2">
      <t>シキヨク</t>
    </rPh>
    <rPh sb="3" eb="5">
      <t>ゲンリュウ</t>
    </rPh>
    <phoneticPr fontId="53"/>
  </si>
  <si>
    <t>ウロボロス</t>
    <phoneticPr fontId="53"/>
  </si>
  <si>
    <t>女性</t>
    <rPh sb="0" eb="2">
      <t>j</t>
    </rPh>
    <phoneticPr fontId="20"/>
  </si>
  <si>
    <t>dragon</t>
    <phoneticPr fontId="53"/>
  </si>
  <si>
    <t>ja</t>
    <phoneticPr fontId="53"/>
  </si>
  <si>
    <t>輪廻 ウロボロス</t>
    <rPh sb="0" eb="2">
      <t>リンネ</t>
    </rPh>
    <phoneticPr fontId="53"/>
  </si>
  <si>
    <t>格好いい</t>
    <phoneticPr fontId="20"/>
  </si>
  <si>
    <t>輪廻の蛇龍 ウロボロス</t>
    <rPh sb="0" eb="2">
      <t>リンネ</t>
    </rPh>
    <rPh sb="3" eb="4">
      <t>ヘビ</t>
    </rPh>
    <rPh sb="4" eb="5">
      <t>ジャガンリュウ</t>
    </rPh>
    <phoneticPr fontId="53"/>
  </si>
  <si>
    <t>アシュリー</t>
    <phoneticPr fontId="53"/>
  </si>
  <si>
    <t>イベント:魔獣01</t>
    <rPh sb="5" eb="7">
      <t>マj</t>
    </rPh>
    <phoneticPr fontId="20"/>
  </si>
  <si>
    <t>女性</t>
    <rPh sb="0" eb="2">
      <t>ジョセイ</t>
    </rPh>
    <phoneticPr fontId="53"/>
  </si>
  <si>
    <t>Drop2W</t>
  </si>
  <si>
    <t>鉤爪姫 アシュリー</t>
    <rPh sb="0" eb="2">
      <t>カギヅメ</t>
    </rPh>
    <rPh sb="2" eb="3">
      <t>ヒメ</t>
    </rPh>
    <phoneticPr fontId="53"/>
  </si>
  <si>
    <t>ユニコーン</t>
  </si>
  <si>
    <t>不明</t>
    <rPh sb="0" eb="2">
      <t>フメイ</t>
    </rPh>
    <phoneticPr fontId="53"/>
  </si>
  <si>
    <t>ヒーラー</t>
    <phoneticPr fontId="60"/>
  </si>
  <si>
    <t>翠角馬 ユニコーン</t>
    <rPh sb="0" eb="1">
      <t>ミドリ</t>
    </rPh>
    <rPh sb="1" eb="2">
      <t>イッカク</t>
    </rPh>
    <rPh sb="2" eb="3">
      <t>バ</t>
    </rPh>
    <phoneticPr fontId="53"/>
  </si>
  <si>
    <t>ヒーラー</t>
    <phoneticPr fontId="60"/>
  </si>
  <si>
    <t>リリアンブルー</t>
    <phoneticPr fontId="53"/>
  </si>
  <si>
    <t>怪しい</t>
    <rPh sb="0" eb="1">
      <t>アヤ</t>
    </rPh>
    <phoneticPr fontId="53"/>
  </si>
  <si>
    <t>奇術猫 リリアンブルー</t>
    <rPh sb="0" eb="2">
      <t>キジュツ</t>
    </rPh>
    <rPh sb="2" eb="3">
      <t>ネコ</t>
    </rPh>
    <phoneticPr fontId="53"/>
  </si>
  <si>
    <t>鵺</t>
  </si>
  <si>
    <t>男性</t>
    <rPh sb="0" eb="2">
      <t>ダンセイ</t>
    </rPh>
    <phoneticPr fontId="53"/>
  </si>
  <si>
    <t>合雷獣 鵺</t>
    <rPh sb="0" eb="1">
      <t>ゴウセイ</t>
    </rPh>
    <rPh sb="1" eb="3">
      <t>ライジュウ</t>
    </rPh>
    <phoneticPr fontId="53"/>
  </si>
  <si>
    <t>NULL</t>
    <phoneticPr fontId="53"/>
  </si>
  <si>
    <t>風爪のミリー</t>
    <rPh sb="0" eb="1">
      <t>カゼツメ</t>
    </rPh>
    <rPh sb="1" eb="2">
      <t>ツメ</t>
    </rPh>
    <phoneticPr fontId="53"/>
  </si>
  <si>
    <t>イベント:暴走するアバター01</t>
    <rPh sb="5" eb="9">
      <t>ボウソ</t>
    </rPh>
    <phoneticPr fontId="53"/>
  </si>
  <si>
    <t>探索者</t>
    <rPh sb="0" eb="2">
      <t>タンサク</t>
    </rPh>
    <rPh sb="2" eb="3">
      <t>シャ</t>
    </rPh>
    <phoneticPr fontId="53"/>
  </si>
  <si>
    <t>バッファー</t>
    <phoneticPr fontId="60"/>
  </si>
  <si>
    <t>NULL</t>
    <phoneticPr fontId="53"/>
  </si>
  <si>
    <t>疾風五花 ミリー</t>
    <rPh sb="0" eb="2">
      <t>シップウ</t>
    </rPh>
    <rPh sb="2" eb="3">
      <t>ゴ</t>
    </rPh>
    <rPh sb="3" eb="4">
      <t>ハナ</t>
    </rPh>
    <phoneticPr fontId="53"/>
  </si>
  <si>
    <t>美しい</t>
    <phoneticPr fontId="20"/>
  </si>
  <si>
    <t>女性</t>
    <phoneticPr fontId="20"/>
  </si>
  <si>
    <t>バッファー</t>
    <phoneticPr fontId="60"/>
  </si>
  <si>
    <t>NULL</t>
    <phoneticPr fontId="53"/>
  </si>
  <si>
    <t>normal</t>
    <phoneticPr fontId="53"/>
  </si>
  <si>
    <t>NULL</t>
    <phoneticPr fontId="53"/>
  </si>
  <si>
    <t>ja</t>
    <phoneticPr fontId="53"/>
  </si>
  <si>
    <t>魔札のシルベール</t>
    <rPh sb="0" eb="1">
      <t>マフダ</t>
    </rPh>
    <rPh sb="1" eb="2">
      <t>フダ</t>
    </rPh>
    <phoneticPr fontId="53"/>
  </si>
  <si>
    <t>格好いい</t>
    <phoneticPr fontId="20"/>
  </si>
  <si>
    <t>バッファー</t>
    <phoneticPr fontId="60"/>
  </si>
  <si>
    <t>NULL</t>
    <phoneticPr fontId="53"/>
  </si>
  <si>
    <t>normal</t>
    <phoneticPr fontId="53"/>
  </si>
  <si>
    <t>NULL</t>
    <phoneticPr fontId="53"/>
  </si>
  <si>
    <t>円環魔道 シルベール</t>
    <rPh sb="2" eb="4">
      <t>ダイマドウ</t>
    </rPh>
    <phoneticPr fontId="53"/>
  </si>
  <si>
    <t>格好いい</t>
    <phoneticPr fontId="20"/>
  </si>
  <si>
    <t>バッファー</t>
    <phoneticPr fontId="60"/>
  </si>
  <si>
    <t>NULL</t>
    <phoneticPr fontId="53"/>
  </si>
  <si>
    <t>normal</t>
    <phoneticPr fontId="53"/>
  </si>
  <si>
    <t>NULL</t>
    <phoneticPr fontId="53"/>
  </si>
  <si>
    <t>ja</t>
    <phoneticPr fontId="53"/>
  </si>
  <si>
    <t>砕棒のガエル</t>
    <rPh sb="0" eb="1">
      <t>フンサイ</t>
    </rPh>
    <rPh sb="1" eb="2">
      <t>ボウ</t>
    </rPh>
    <phoneticPr fontId="53"/>
  </si>
  <si>
    <t>格好いい</t>
    <phoneticPr fontId="20"/>
  </si>
  <si>
    <t>ja</t>
    <phoneticPr fontId="53"/>
  </si>
  <si>
    <t>轟雷砕棒 ガエル</t>
    <rPh sb="2" eb="3">
      <t>フンサイ</t>
    </rPh>
    <rPh sb="3" eb="4">
      <t>ボウ</t>
    </rPh>
    <phoneticPr fontId="53"/>
  </si>
  <si>
    <t>機拳のイリア</t>
    <rPh sb="0" eb="1">
      <t>キカイ</t>
    </rPh>
    <rPh sb="1" eb="2">
      <t>ダイコブシ</t>
    </rPh>
    <phoneticPr fontId="53"/>
  </si>
  <si>
    <t>可愛い</t>
    <rPh sb="0" eb="2">
      <t>カワイ</t>
    </rPh>
    <phoneticPr fontId="53"/>
  </si>
  <si>
    <t>バッファー</t>
    <phoneticPr fontId="60"/>
  </si>
  <si>
    <t>NULL</t>
    <phoneticPr fontId="53"/>
  </si>
  <si>
    <t>normal</t>
    <phoneticPr fontId="53"/>
  </si>
  <si>
    <t>NULL</t>
    <phoneticPr fontId="53"/>
  </si>
  <si>
    <t>NULL</t>
    <phoneticPr fontId="53"/>
  </si>
  <si>
    <t>ja</t>
    <phoneticPr fontId="53"/>
  </si>
  <si>
    <t>機拳恐慌 イリア</t>
    <rPh sb="0" eb="1">
      <t>キカイ</t>
    </rPh>
    <rPh sb="1" eb="2">
      <t>コブシ</t>
    </rPh>
    <phoneticPr fontId="53"/>
  </si>
  <si>
    <t>normal</t>
    <phoneticPr fontId="53"/>
  </si>
  <si>
    <t>アマテラス</t>
  </si>
  <si>
    <t>イベント:ウィザード</t>
  </si>
  <si>
    <t>管理者</t>
    <rPh sb="0" eb="3">
      <t>カンリシャ</t>
    </rPh>
    <phoneticPr fontId="53"/>
  </si>
  <si>
    <t>美しい</t>
    <phoneticPr fontId="20"/>
  </si>
  <si>
    <t>女性</t>
    <phoneticPr fontId="20"/>
  </si>
  <si>
    <t>DropWizS</t>
  </si>
  <si>
    <t>統空大神 アマテラス</t>
    <rPh sb="0" eb="1">
      <t>トウイツ</t>
    </rPh>
    <rPh sb="1" eb="2">
      <t>ソウクウ</t>
    </rPh>
    <rPh sb="2" eb="3">
      <t>タイジン</t>
    </rPh>
    <rPh sb="3" eb="4">
      <t>カミ</t>
    </rPh>
    <phoneticPr fontId="53"/>
  </si>
  <si>
    <t>アタッカー</t>
    <phoneticPr fontId="60"/>
  </si>
  <si>
    <t>NULL</t>
    <phoneticPr fontId="53"/>
  </si>
  <si>
    <t>リンドブルム</t>
  </si>
  <si>
    <t>イベント:機械龍01</t>
    <rPh sb="5" eb="8">
      <t>キカ</t>
    </rPh>
    <phoneticPr fontId="53"/>
  </si>
  <si>
    <t>Drop2W</t>
    <phoneticPr fontId="53"/>
  </si>
  <si>
    <t>リンドブルム・コンデンス</t>
    <phoneticPr fontId="53"/>
  </si>
  <si>
    <t>DropWizW</t>
    <phoneticPr fontId="53"/>
  </si>
  <si>
    <t>ja</t>
    <phoneticPr fontId="53"/>
  </si>
  <si>
    <t>ラーフ</t>
  </si>
  <si>
    <t>QoH</t>
    <phoneticPr fontId="20"/>
  </si>
  <si>
    <t>格好いい</t>
    <phoneticPr fontId="20"/>
  </si>
  <si>
    <t>Drop2W</t>
    <phoneticPr fontId="53"/>
  </si>
  <si>
    <t>スキルサポーター</t>
    <phoneticPr fontId="60"/>
  </si>
  <si>
    <t>ラーフ・メテオ</t>
    <phoneticPr fontId="53"/>
  </si>
  <si>
    <t>スキルサポーター</t>
    <phoneticPr fontId="60"/>
  </si>
  <si>
    <t>フェルニゲシュ</t>
  </si>
  <si>
    <t>フェルニゲシュ・オーバードライヴ</t>
    <phoneticPr fontId="53"/>
  </si>
  <si>
    <t>ヒュドラ</t>
  </si>
  <si>
    <t>ヒュドラ・フルオープン</t>
    <phoneticPr fontId="53"/>
  </si>
  <si>
    <t>DropWizW</t>
    <phoneticPr fontId="53"/>
  </si>
  <si>
    <t>NULL</t>
    <phoneticPr fontId="53"/>
  </si>
  <si>
    <t>normal</t>
    <phoneticPr fontId="53"/>
  </si>
  <si>
    <t>ja</t>
    <phoneticPr fontId="53"/>
  </si>
  <si>
    <t>ミカド</t>
    <phoneticPr fontId="53"/>
  </si>
  <si>
    <t>イベント:アリスの絵本01</t>
    <rPh sb="9" eb="11">
      <t>エホン</t>
    </rPh>
    <phoneticPr fontId="53"/>
  </si>
  <si>
    <t>アバター</t>
    <phoneticPr fontId="53"/>
  </si>
  <si>
    <t>格好いい</t>
    <phoneticPr fontId="20"/>
  </si>
  <si>
    <t>アタッカー</t>
    <phoneticPr fontId="60"/>
  </si>
  <si>
    <t>高圧なるミカド</t>
    <rPh sb="0" eb="2">
      <t>コウアツ</t>
    </rPh>
    <phoneticPr fontId="53"/>
  </si>
  <si>
    <t>ウィッチ・オクトパス</t>
    <phoneticPr fontId="53"/>
  </si>
  <si>
    <t>魔改造のウィッチ・オクトパス</t>
    <rPh sb="0" eb="3">
      <t>マカイゾウ</t>
    </rPh>
    <phoneticPr fontId="53"/>
  </si>
  <si>
    <t>アバター</t>
    <phoneticPr fontId="53"/>
  </si>
  <si>
    <t>アタッカー</t>
    <phoneticPr fontId="60"/>
  </si>
  <si>
    <t>アナスタシア</t>
    <phoneticPr fontId="53"/>
  </si>
  <si>
    <t>激流拳技を極めし者 アナスタシア</t>
    <rPh sb="0" eb="2">
      <t>ゲキリュウ</t>
    </rPh>
    <rPh sb="2" eb="3">
      <t>コブシ</t>
    </rPh>
    <rPh sb="3" eb="4">
      <t>ワザ</t>
    </rPh>
    <rPh sb="5" eb="6">
      <t>キワ</t>
    </rPh>
    <phoneticPr fontId="53"/>
  </si>
  <si>
    <t>ウルフ・ザ・レッドイーター</t>
    <phoneticPr fontId="53"/>
  </si>
  <si>
    <t>ウルフ・ザ・レッドクラッシャー</t>
    <phoneticPr fontId="53"/>
  </si>
  <si>
    <t>アザゼル</t>
    <phoneticPr fontId="53"/>
  </si>
  <si>
    <t>執行者</t>
    <rPh sb="0" eb="3">
      <t>シッコウシャ</t>
    </rPh>
    <phoneticPr fontId="53"/>
  </si>
  <si>
    <t>狂靭なる双撃 アザゼル</t>
    <rPh sb="0" eb="1">
      <t>クル</t>
    </rPh>
    <rPh sb="1" eb="2">
      <t>キョウジン</t>
    </rPh>
    <rPh sb="4" eb="6">
      <t>ソウゲキ</t>
    </rPh>
    <phoneticPr fontId="53"/>
  </si>
  <si>
    <t>炎殺のミサコ</t>
    <rPh sb="0" eb="1">
      <t>ホノオ</t>
    </rPh>
    <rPh sb="1" eb="2">
      <t>サツ</t>
    </rPh>
    <phoneticPr fontId="53"/>
  </si>
  <si>
    <t>イベント:囚人01</t>
    <rPh sb="5" eb="7">
      <t>シュウジン</t>
    </rPh>
    <phoneticPr fontId="20"/>
  </si>
  <si>
    <t>QoH</t>
    <phoneticPr fontId="53"/>
  </si>
  <si>
    <t>美しい</t>
    <rPh sb="0" eb="1">
      <t>ウツク</t>
    </rPh>
    <phoneticPr fontId="53"/>
  </si>
  <si>
    <t>hp</t>
    <phoneticPr fontId="53"/>
  </si>
  <si>
    <t>狂気の炎風 ミサコ</t>
    <rPh sb="0" eb="2">
      <t>キョウキ</t>
    </rPh>
    <rPh sb="3" eb="4">
      <t>ホノオ</t>
    </rPh>
    <rPh sb="4" eb="5">
      <t>フウ</t>
    </rPh>
    <phoneticPr fontId="53"/>
  </si>
  <si>
    <t>毒殺のチカ</t>
    <phoneticPr fontId="53"/>
  </si>
  <si>
    <t>宿痾の葬送 チカ</t>
    <phoneticPr fontId="53"/>
  </si>
  <si>
    <t>QoH</t>
    <phoneticPr fontId="53"/>
  </si>
  <si>
    <t>絞殺のリサ</t>
    <phoneticPr fontId="53"/>
  </si>
  <si>
    <t>哄笑の禁縛 リサ</t>
    <phoneticPr fontId="53"/>
  </si>
  <si>
    <t>電殺のチエミ</t>
    <phoneticPr fontId="53"/>
  </si>
  <si>
    <t>螺旋の雷電 チエミ</t>
    <rPh sb="0" eb="2">
      <t>ラセン</t>
    </rPh>
    <rPh sb="3" eb="5">
      <t>ライデン</t>
    </rPh>
    <phoneticPr fontId="53"/>
  </si>
  <si>
    <t>QoH</t>
    <phoneticPr fontId="53"/>
  </si>
  <si>
    <t>メガロドン</t>
  </si>
  <si>
    <t>イベント:深海生物01</t>
    <rPh sb="5" eb="7">
      <t>シンカイ</t>
    </rPh>
    <rPh sb="7" eb="9">
      <t>セイブツ</t>
    </rPh>
    <phoneticPr fontId="20"/>
  </si>
  <si>
    <t>格好いい</t>
    <rPh sb="0" eb="2">
      <t>カッコウ</t>
    </rPh>
    <phoneticPr fontId="53"/>
  </si>
  <si>
    <t>古の鋼拳 メガロドン</t>
    <rPh sb="0" eb="1">
      <t>イニシエ</t>
    </rPh>
    <rPh sb="2" eb="4">
      <t>ゴウケン</t>
    </rPh>
    <phoneticPr fontId="53"/>
  </si>
  <si>
    <t>アーケロン</t>
  </si>
  <si>
    <t>古の博学 アーケロン</t>
    <rPh sb="0" eb="1">
      <t>イニシエ</t>
    </rPh>
    <rPh sb="2" eb="4">
      <t>ハクガク</t>
    </rPh>
    <phoneticPr fontId="53"/>
  </si>
  <si>
    <t>リードシクティス</t>
  </si>
  <si>
    <t>古の暴食 リードシクティス</t>
    <rPh sb="0" eb="1">
      <t>イニシエ</t>
    </rPh>
    <rPh sb="2" eb="4">
      <t>ボウショク</t>
    </rPh>
    <phoneticPr fontId="53"/>
  </si>
  <si>
    <t>アノマロカリス</t>
  </si>
  <si>
    <t>古の先鋭 アノマロカリス</t>
    <rPh sb="0" eb="1">
      <t>イニシエ</t>
    </rPh>
    <rPh sb="2" eb="4">
      <t>センエイ</t>
    </rPh>
    <phoneticPr fontId="53"/>
  </si>
  <si>
    <t>ジャンヌ</t>
  </si>
  <si>
    <t>守護者</t>
    <rPh sb="0" eb="3">
      <t>シュゴシャ</t>
    </rPh>
    <phoneticPr fontId="53"/>
  </si>
  <si>
    <t>heal</t>
    <phoneticPr fontId="53"/>
  </si>
  <si>
    <t>鉄馬駆る聖女 ジャンヌ</t>
    <rPh sb="0" eb="2">
      <t>テツバ</t>
    </rPh>
    <rPh sb="2" eb="3">
      <t>カ</t>
    </rPh>
    <rPh sb="4" eb="6">
      <t>セイジョ</t>
    </rPh>
    <phoneticPr fontId="53"/>
  </si>
  <si>
    <t>テスラ</t>
  </si>
  <si>
    <t>チャレンジタワー</t>
    <phoneticPr fontId="20"/>
  </si>
  <si>
    <t>DropWizN</t>
    <phoneticPr fontId="53"/>
  </si>
  <si>
    <t>異能の電気師 テスラ</t>
    <rPh sb="0" eb="2">
      <t>イノウ</t>
    </rPh>
    <rPh sb="3" eb="5">
      <t>デンキ</t>
    </rPh>
    <rPh sb="5" eb="6">
      <t>シ</t>
    </rPh>
    <phoneticPr fontId="53"/>
  </si>
  <si>
    <t>チャレンジタワー</t>
    <phoneticPr fontId="20"/>
  </si>
  <si>
    <t>シャルル</t>
  </si>
  <si>
    <t>夢想の学士 シャルル</t>
    <rPh sb="0" eb="2">
      <t>ムソウ</t>
    </rPh>
    <rPh sb="3" eb="5">
      <t>ガクシ</t>
    </rPh>
    <phoneticPr fontId="53"/>
  </si>
  <si>
    <t>烈志士 近藤勇</t>
    <rPh sb="0" eb="1">
      <t>レツ</t>
    </rPh>
    <rPh sb="1" eb="3">
      <t>シシ</t>
    </rPh>
    <phoneticPr fontId="53"/>
  </si>
  <si>
    <t>ガチャ:幕末01</t>
    <rPh sb="4" eb="6">
      <t>バクマt</t>
    </rPh>
    <phoneticPr fontId="53"/>
  </si>
  <si>
    <t>破界者</t>
    <rPh sb="0" eb="1">
      <t>ハカイ</t>
    </rPh>
    <rPh sb="1" eb="2">
      <t>セカイ</t>
    </rPh>
    <rPh sb="2" eb="3">
      <t>シャ</t>
    </rPh>
    <phoneticPr fontId="53"/>
  </si>
  <si>
    <t>PremiumSS</t>
    <phoneticPr fontId="53"/>
  </si>
  <si>
    <t>巌鉄の烈志士 近藤勇</t>
    <rPh sb="0" eb="2">
      <t>ガンテツ</t>
    </rPh>
    <rPh sb="3" eb="4">
      <t>レツ</t>
    </rPh>
    <rPh sb="4" eb="6">
      <t>シシ</t>
    </rPh>
    <phoneticPr fontId="53"/>
  </si>
  <si>
    <t>hp</t>
    <phoneticPr fontId="53"/>
  </si>
  <si>
    <t>愛志士 土方歳三</t>
    <rPh sb="0" eb="1">
      <t>アイ</t>
    </rPh>
    <rPh sb="1" eb="3">
      <t>シシ</t>
    </rPh>
    <phoneticPr fontId="53"/>
  </si>
  <si>
    <t>attack</t>
    <phoneticPr fontId="53"/>
  </si>
  <si>
    <t>流麗の愛志士 土方歳三</t>
    <rPh sb="0" eb="2">
      <t>リュウレイ</t>
    </rPh>
    <rPh sb="3" eb="4">
      <t>アイ</t>
    </rPh>
    <rPh sb="4" eb="6">
      <t>シシ</t>
    </rPh>
    <phoneticPr fontId="53"/>
  </si>
  <si>
    <t>凛志士 沖田総司</t>
    <rPh sb="0" eb="1">
      <t>リン</t>
    </rPh>
    <rPh sb="1" eb="3">
      <t>シシ</t>
    </rPh>
    <phoneticPr fontId="53"/>
  </si>
  <si>
    <t>balance</t>
    <phoneticPr fontId="53"/>
  </si>
  <si>
    <t>天賦の凛志士 沖田総司</t>
    <rPh sb="0" eb="2">
      <t>テンプ</t>
    </rPh>
    <rPh sb="3" eb="4">
      <t>リン</t>
    </rPh>
    <rPh sb="4" eb="6">
      <t>シシ</t>
    </rPh>
    <phoneticPr fontId="53"/>
  </si>
  <si>
    <t>妖志士 斎藤一</t>
    <rPh sb="0" eb="1">
      <t>ヨウカイ</t>
    </rPh>
    <rPh sb="1" eb="3">
      <t>シシ</t>
    </rPh>
    <phoneticPr fontId="53"/>
  </si>
  <si>
    <t>human</t>
    <phoneticPr fontId="53"/>
  </si>
  <si>
    <t>千殺の妖志士 斎藤一</t>
    <rPh sb="0" eb="2">
      <t>センサツ</t>
    </rPh>
    <rPh sb="3" eb="4">
      <t>ヨウカイ</t>
    </rPh>
    <rPh sb="4" eb="6">
      <t>シシ</t>
    </rPh>
    <phoneticPr fontId="53"/>
  </si>
  <si>
    <t>麒麟クエストアイコンシルエット</t>
    <rPh sb="0" eb="2">
      <t>キリン</t>
    </rPh>
    <phoneticPr fontId="53"/>
  </si>
  <si>
    <t>未定</t>
    <rPh sb="0" eb="2">
      <t>ミt</t>
    </rPh>
    <phoneticPr fontId="53"/>
  </si>
  <si>
    <t>UsagiChan</t>
    <phoneticPr fontId="53"/>
  </si>
  <si>
    <t>DropWizSSS</t>
    <phoneticPr fontId="53"/>
  </si>
  <si>
    <t>machine</t>
    <phoneticPr fontId="53"/>
  </si>
  <si>
    <t>god</t>
    <phoneticPr fontId="53"/>
  </si>
  <si>
    <t>オーディンクエストアイコンシルエット</t>
    <phoneticPr fontId="53"/>
  </si>
  <si>
    <t>blue</t>
    <phoneticPr fontId="53"/>
  </si>
  <si>
    <t>DropWizSSS</t>
    <phoneticPr fontId="53"/>
  </si>
  <si>
    <t>炎のメタルピヨピヨ</t>
    <rPh sb="0" eb="1">
      <t>ホノオ</t>
    </rPh>
    <phoneticPr fontId="53"/>
  </si>
  <si>
    <t>強化素材R3　赤</t>
    <rPh sb="0" eb="2">
      <t>キョウカ</t>
    </rPh>
    <rPh sb="2" eb="4">
      <t>ソザイ</t>
    </rPh>
    <rPh sb="7" eb="8">
      <t>アカ</t>
    </rPh>
    <phoneticPr fontId="20"/>
  </si>
  <si>
    <t>強化素材</t>
    <rPh sb="0" eb="4">
      <t>キョウカソザイ</t>
    </rPh>
    <phoneticPr fontId="53"/>
  </si>
  <si>
    <t>炎のメタルチック</t>
    <rPh sb="0" eb="1">
      <t>ホノオ</t>
    </rPh>
    <phoneticPr fontId="53"/>
  </si>
  <si>
    <t>強化素材R4　赤</t>
    <rPh sb="0" eb="2">
      <t>キョウカ</t>
    </rPh>
    <rPh sb="2" eb="4">
      <t>ソザイ</t>
    </rPh>
    <rPh sb="7" eb="8">
      <t>アカ</t>
    </rPh>
    <phoneticPr fontId="20"/>
  </si>
  <si>
    <t>炎のメタルダック</t>
    <rPh sb="0" eb="1">
      <t>ホノオ</t>
    </rPh>
    <phoneticPr fontId="53"/>
  </si>
  <si>
    <t>強化素材R5　赤</t>
    <rPh sb="0" eb="2">
      <t>キョウカ</t>
    </rPh>
    <rPh sb="2" eb="4">
      <t>ソザイ</t>
    </rPh>
    <rPh sb="7" eb="8">
      <t>アカ</t>
    </rPh>
    <phoneticPr fontId="20"/>
  </si>
  <si>
    <t>アリス</t>
    <phoneticPr fontId="53"/>
  </si>
  <si>
    <t>炎のメタルジェントル</t>
    <rPh sb="0" eb="1">
      <t>ホノオ</t>
    </rPh>
    <phoneticPr fontId="53"/>
  </si>
  <si>
    <t>強化素材R6　赤</t>
    <rPh sb="0" eb="2">
      <t>キョウカ</t>
    </rPh>
    <rPh sb="2" eb="4">
      <t>ソザイ</t>
    </rPh>
    <rPh sb="7" eb="8">
      <t>アカ</t>
    </rPh>
    <phoneticPr fontId="20"/>
  </si>
  <si>
    <t>森のメタルピヨピヨ</t>
    <phoneticPr fontId="53"/>
  </si>
  <si>
    <t>強化素材R3　緑</t>
    <rPh sb="0" eb="2">
      <t>キョウカ</t>
    </rPh>
    <rPh sb="2" eb="4">
      <t>ソザイ</t>
    </rPh>
    <phoneticPr fontId="20"/>
  </si>
  <si>
    <t>森のメタルチック</t>
    <phoneticPr fontId="53"/>
  </si>
  <si>
    <t>強化素材R4　緑</t>
    <rPh sb="0" eb="2">
      <t>キョウカ</t>
    </rPh>
    <rPh sb="2" eb="4">
      <t>ソザイ</t>
    </rPh>
    <phoneticPr fontId="20"/>
  </si>
  <si>
    <t>森のメタルダック</t>
  </si>
  <si>
    <t>強化素材R5　緑</t>
    <rPh sb="0" eb="2">
      <t>キョウカ</t>
    </rPh>
    <rPh sb="2" eb="4">
      <t>ソザイ</t>
    </rPh>
    <phoneticPr fontId="20"/>
  </si>
  <si>
    <t>森のメタルジェントル</t>
    <phoneticPr fontId="53"/>
  </si>
  <si>
    <t>強化素材R6　緑</t>
    <rPh sb="0" eb="2">
      <t>キョウカ</t>
    </rPh>
    <rPh sb="2" eb="4">
      <t>ソザイ</t>
    </rPh>
    <phoneticPr fontId="20"/>
  </si>
  <si>
    <t>水のメタルピヨピヨ</t>
    <phoneticPr fontId="53"/>
  </si>
  <si>
    <t>強化素材R3　青</t>
    <rPh sb="0" eb="2">
      <t>キョウカ</t>
    </rPh>
    <rPh sb="2" eb="4">
      <t>ソザイ</t>
    </rPh>
    <phoneticPr fontId="20"/>
  </si>
  <si>
    <t>水のメタルチック</t>
    <phoneticPr fontId="53"/>
  </si>
  <si>
    <t>強化素材R4　青</t>
    <rPh sb="0" eb="2">
      <t>キョウカ</t>
    </rPh>
    <rPh sb="2" eb="4">
      <t>ソザイ</t>
    </rPh>
    <phoneticPr fontId="20"/>
  </si>
  <si>
    <t>水のメタルダック</t>
  </si>
  <si>
    <t>強化素材R5　青</t>
    <rPh sb="0" eb="2">
      <t>キョウカ</t>
    </rPh>
    <rPh sb="2" eb="4">
      <t>ソザイ</t>
    </rPh>
    <phoneticPr fontId="20"/>
  </si>
  <si>
    <t>NULL</t>
    <phoneticPr fontId="53"/>
  </si>
  <si>
    <t>normal</t>
    <phoneticPr fontId="53"/>
  </si>
  <si>
    <t>ja</t>
    <phoneticPr fontId="53"/>
  </si>
  <si>
    <t>水のメタルジェントル</t>
    <phoneticPr fontId="53"/>
  </si>
  <si>
    <t>強化素材R6　青</t>
    <rPh sb="0" eb="2">
      <t>キョウカ</t>
    </rPh>
    <rPh sb="2" eb="4">
      <t>ソザイ</t>
    </rPh>
    <phoneticPr fontId="20"/>
  </si>
  <si>
    <t>アリス</t>
    <phoneticPr fontId="53"/>
  </si>
  <si>
    <t>normal</t>
    <phoneticPr fontId="53"/>
  </si>
  <si>
    <t>雷のメタルピヨピヨ</t>
    <phoneticPr fontId="53"/>
  </si>
  <si>
    <t>強化素材R3　黄</t>
    <rPh sb="0" eb="2">
      <t>キョウカ</t>
    </rPh>
    <rPh sb="2" eb="4">
      <t>ソザイ</t>
    </rPh>
    <phoneticPr fontId="20"/>
  </si>
  <si>
    <t>アリス</t>
    <phoneticPr fontId="53"/>
  </si>
  <si>
    <t>NULL</t>
    <phoneticPr fontId="53"/>
  </si>
  <si>
    <t>NULL</t>
    <phoneticPr fontId="53"/>
  </si>
  <si>
    <t>ja</t>
    <phoneticPr fontId="53"/>
  </si>
  <si>
    <t>雷のメタルチック</t>
    <phoneticPr fontId="53"/>
  </si>
  <si>
    <t>強化素材R4　黄</t>
    <rPh sb="0" eb="2">
      <t>キョウカ</t>
    </rPh>
    <rPh sb="2" eb="4">
      <t>ソザイ</t>
    </rPh>
    <phoneticPr fontId="20"/>
  </si>
  <si>
    <t>雷のメタルダック</t>
  </si>
  <si>
    <t>強化素材R5　黄</t>
    <rPh sb="0" eb="2">
      <t>キョウカ</t>
    </rPh>
    <rPh sb="2" eb="4">
      <t>ソザイ</t>
    </rPh>
    <phoneticPr fontId="20"/>
  </si>
  <si>
    <t>アリス</t>
    <phoneticPr fontId="53"/>
  </si>
  <si>
    <t>NULL</t>
    <phoneticPr fontId="53"/>
  </si>
  <si>
    <t>NULL</t>
    <phoneticPr fontId="53"/>
  </si>
  <si>
    <t>雷のメタルジェントル</t>
    <phoneticPr fontId="53"/>
  </si>
  <si>
    <t>強化素材R6　黄</t>
    <rPh sb="0" eb="2">
      <t>キョウカ</t>
    </rPh>
    <rPh sb="2" eb="4">
      <t>ソザイ</t>
    </rPh>
    <phoneticPr fontId="20"/>
  </si>
  <si>
    <t>アリス</t>
    <phoneticPr fontId="53"/>
  </si>
  <si>
    <t>NULL</t>
    <phoneticPr fontId="53"/>
  </si>
  <si>
    <t>normal</t>
    <phoneticPr fontId="53"/>
  </si>
  <si>
    <t>ja</t>
    <phoneticPr fontId="53"/>
  </si>
  <si>
    <t>炎のケロケロ</t>
    <rPh sb="0" eb="1">
      <t>ホノオ</t>
    </rPh>
    <phoneticPr fontId="53"/>
  </si>
  <si>
    <t>強化素材R2　赤</t>
    <rPh sb="0" eb="2">
      <t>キョウカ</t>
    </rPh>
    <rPh sb="2" eb="4">
      <t>ソザイ</t>
    </rPh>
    <rPh sb="7" eb="8">
      <t>アカ</t>
    </rPh>
    <phoneticPr fontId="20"/>
  </si>
  <si>
    <t>アリス</t>
    <phoneticPr fontId="53"/>
  </si>
  <si>
    <t>炎のメタルフロッグ</t>
    <rPh sb="0" eb="1">
      <t>ホノオ</t>
    </rPh>
    <phoneticPr fontId="53"/>
  </si>
  <si>
    <t>森のケロケロ</t>
    <rPh sb="0" eb="1">
      <t>モリ</t>
    </rPh>
    <phoneticPr fontId="53"/>
  </si>
  <si>
    <t>強化素材R2　緑</t>
    <rPh sb="0" eb="2">
      <t>キョウカ</t>
    </rPh>
    <rPh sb="2" eb="4">
      <t>ソザイ</t>
    </rPh>
    <rPh sb="7" eb="8">
      <t>ミドリ</t>
    </rPh>
    <phoneticPr fontId="20"/>
  </si>
  <si>
    <t>アリス</t>
    <phoneticPr fontId="53"/>
  </si>
  <si>
    <t>ja</t>
    <phoneticPr fontId="53"/>
  </si>
  <si>
    <t>森のメタルフロッグ</t>
    <rPh sb="0" eb="1">
      <t>モリ</t>
    </rPh>
    <phoneticPr fontId="53"/>
  </si>
  <si>
    <t>強化素材R4　緑</t>
    <rPh sb="0" eb="2">
      <t>キョウカ</t>
    </rPh>
    <rPh sb="2" eb="4">
      <t>ソザイ</t>
    </rPh>
    <rPh sb="7" eb="8">
      <t>ミドリ</t>
    </rPh>
    <phoneticPr fontId="20"/>
  </si>
  <si>
    <t>アリス</t>
    <phoneticPr fontId="53"/>
  </si>
  <si>
    <t>水のケロケロ</t>
    <rPh sb="0" eb="1">
      <t>ミズ</t>
    </rPh>
    <phoneticPr fontId="53"/>
  </si>
  <si>
    <t>強化素材R2　青</t>
    <rPh sb="0" eb="2">
      <t>キョウカ</t>
    </rPh>
    <rPh sb="2" eb="4">
      <t>ソザイ</t>
    </rPh>
    <rPh sb="7" eb="8">
      <t>アオ</t>
    </rPh>
    <phoneticPr fontId="20"/>
  </si>
  <si>
    <t>NULL</t>
    <phoneticPr fontId="53"/>
  </si>
  <si>
    <t>normal</t>
    <phoneticPr fontId="53"/>
  </si>
  <si>
    <t>ja</t>
    <phoneticPr fontId="53"/>
  </si>
  <si>
    <t>水のメタルフロッグ</t>
    <rPh sb="0" eb="1">
      <t>ミズノ</t>
    </rPh>
    <phoneticPr fontId="53"/>
  </si>
  <si>
    <t>強化素材R4　青</t>
    <rPh sb="0" eb="2">
      <t>キョウカ</t>
    </rPh>
    <rPh sb="2" eb="4">
      <t>ソザイ</t>
    </rPh>
    <rPh sb="7" eb="8">
      <t>アオ</t>
    </rPh>
    <phoneticPr fontId="20"/>
  </si>
  <si>
    <t>雷のケロケロ</t>
    <rPh sb="0" eb="1">
      <t>カミナリ</t>
    </rPh>
    <phoneticPr fontId="53"/>
  </si>
  <si>
    <t>強化素材R2　黄</t>
    <rPh sb="0" eb="2">
      <t>キョウカ</t>
    </rPh>
    <rPh sb="2" eb="4">
      <t>ソザイ</t>
    </rPh>
    <rPh sb="7" eb="8">
      <t>キイロ</t>
    </rPh>
    <phoneticPr fontId="20"/>
  </si>
  <si>
    <t>アリス</t>
    <phoneticPr fontId="53"/>
  </si>
  <si>
    <t>雷のメタルフロッグ</t>
    <rPh sb="0" eb="1">
      <t>カミナリ</t>
    </rPh>
    <phoneticPr fontId="53"/>
  </si>
  <si>
    <t>強化素材R4　黄</t>
    <rPh sb="0" eb="2">
      <t>キョウカ</t>
    </rPh>
    <rPh sb="2" eb="4">
      <t>ソザイ</t>
    </rPh>
    <rPh sb="7" eb="8">
      <t>キイロ</t>
    </rPh>
    <phoneticPr fontId="20"/>
  </si>
  <si>
    <t>normal</t>
    <phoneticPr fontId="53"/>
  </si>
  <si>
    <t>炎上のドードー</t>
    <rPh sb="0" eb="2">
      <t>エンジョウ</t>
    </rPh>
    <phoneticPr fontId="53"/>
  </si>
  <si>
    <t>強化素材R5 赤</t>
    <rPh sb="0" eb="2">
      <t>キョウカ</t>
    </rPh>
    <rPh sb="2" eb="4">
      <t>ソザイ</t>
    </rPh>
    <rPh sb="7" eb="8">
      <t>アカ</t>
    </rPh>
    <phoneticPr fontId="53"/>
  </si>
  <si>
    <t>千風のグリフォン</t>
    <rPh sb="0" eb="1">
      <t>セン</t>
    </rPh>
    <rPh sb="1" eb="2">
      <t>センプウ</t>
    </rPh>
    <phoneticPr fontId="53"/>
  </si>
  <si>
    <t>強化素材R5 緑</t>
    <rPh sb="0" eb="2">
      <t>キョウカ</t>
    </rPh>
    <rPh sb="2" eb="4">
      <t>ソザイ</t>
    </rPh>
    <rPh sb="7" eb="8">
      <t>ミドリ</t>
    </rPh>
    <phoneticPr fontId="53"/>
  </si>
  <si>
    <t>深淵の代用ウミガメ</t>
    <rPh sb="0" eb="2">
      <t>シンエン</t>
    </rPh>
    <rPh sb="3" eb="5">
      <t>ダイヨウ</t>
    </rPh>
    <phoneticPr fontId="53"/>
  </si>
  <si>
    <t>強化素材R5 青</t>
    <rPh sb="0" eb="2">
      <t>キョウカ</t>
    </rPh>
    <rPh sb="2" eb="4">
      <t>ソザイ</t>
    </rPh>
    <rPh sb="7" eb="8">
      <t>アオ</t>
    </rPh>
    <phoneticPr fontId="53"/>
  </si>
  <si>
    <t>NULL</t>
    <phoneticPr fontId="53"/>
  </si>
  <si>
    <t>normal</t>
    <phoneticPr fontId="53"/>
  </si>
  <si>
    <t>醒電の眠りネズミ</t>
    <rPh sb="0" eb="1">
      <t>カクセイ</t>
    </rPh>
    <rPh sb="1" eb="2">
      <t>デン</t>
    </rPh>
    <rPh sb="3" eb="4">
      <t>ネム</t>
    </rPh>
    <phoneticPr fontId="53"/>
  </si>
  <si>
    <t>強化素材R5 黄</t>
    <rPh sb="0" eb="2">
      <t>キョウカ</t>
    </rPh>
    <rPh sb="2" eb="4">
      <t>ソザイ</t>
    </rPh>
    <rPh sb="7" eb="8">
      <t>キイロ</t>
    </rPh>
    <phoneticPr fontId="53"/>
  </si>
  <si>
    <t>yellow</t>
    <phoneticPr fontId="53"/>
  </si>
  <si>
    <t>NULL</t>
    <phoneticPr fontId="53"/>
  </si>
  <si>
    <t>normal</t>
    <phoneticPr fontId="53"/>
  </si>
  <si>
    <t>ja</t>
    <phoneticPr fontId="53"/>
  </si>
  <si>
    <t>ガンテツ</t>
    <phoneticPr fontId="53"/>
  </si>
  <si>
    <t>ノーマルクエスト</t>
    <phoneticPr fontId="53"/>
  </si>
  <si>
    <t>アバター</t>
  </si>
  <si>
    <t>世界観</t>
  </si>
  <si>
    <t>不明</t>
  </si>
  <si>
    <t>hp</t>
    <phoneticPr fontId="53"/>
  </si>
  <si>
    <t>NULL</t>
    <phoneticPr fontId="53"/>
  </si>
  <si>
    <t>normal</t>
    <phoneticPr fontId="53"/>
  </si>
  <si>
    <t>ja</t>
    <phoneticPr fontId="53"/>
  </si>
  <si>
    <t>灼熱の鉄板 ガンテツ</t>
    <rPh sb="0" eb="2">
      <t>シャクネツ</t>
    </rPh>
    <rPh sb="3" eb="5">
      <t>テッパン</t>
    </rPh>
    <phoneticPr fontId="53"/>
  </si>
  <si>
    <t>ノーマルクエスト</t>
  </si>
  <si>
    <t>ゆらら</t>
    <phoneticPr fontId="53"/>
  </si>
  <si>
    <t>ノーマルクエスト</t>
    <phoneticPr fontId="53"/>
  </si>
  <si>
    <t>NULL</t>
    <phoneticPr fontId="53"/>
  </si>
  <si>
    <t>normal</t>
    <phoneticPr fontId="53"/>
  </si>
  <si>
    <t>ja</t>
    <phoneticPr fontId="53"/>
  </si>
  <si>
    <t>花咲く幼精 ゆらら</t>
    <rPh sb="0" eb="2">
      <t>ハナサキ</t>
    </rPh>
    <rPh sb="3" eb="4">
      <t>オサナ</t>
    </rPh>
    <rPh sb="4" eb="5">
      <t>ヨウセイ</t>
    </rPh>
    <phoneticPr fontId="53"/>
  </si>
  <si>
    <t>ノエル</t>
    <phoneticPr fontId="53"/>
  </si>
  <si>
    <t>NULL</t>
    <phoneticPr fontId="53"/>
  </si>
  <si>
    <t>normal</t>
    <phoneticPr fontId="53"/>
  </si>
  <si>
    <t>ja</t>
    <phoneticPr fontId="53"/>
  </si>
  <si>
    <t>惨劇の人形 ノエル</t>
    <rPh sb="0" eb="2">
      <t>サンゲキ</t>
    </rPh>
    <rPh sb="3" eb="5">
      <t>ニンギョウ</t>
    </rPh>
    <phoneticPr fontId="53"/>
  </si>
  <si>
    <t>NULL</t>
    <phoneticPr fontId="53"/>
  </si>
  <si>
    <t>ja</t>
    <phoneticPr fontId="53"/>
  </si>
  <si>
    <t>トト</t>
    <phoneticPr fontId="53"/>
  </si>
  <si>
    <t>ノーマルクエスト</t>
    <phoneticPr fontId="53"/>
  </si>
  <si>
    <t>ja</t>
    <phoneticPr fontId="53"/>
  </si>
  <si>
    <t>爆進の小兵 トト</t>
    <rPh sb="0" eb="2">
      <t>バクシン</t>
    </rPh>
    <rPh sb="3" eb="4">
      <t>チイ</t>
    </rPh>
    <rPh sb="4" eb="5">
      <t>ヘイタイ</t>
    </rPh>
    <phoneticPr fontId="53"/>
  </si>
  <si>
    <t>ノーマルクエスト</t>
    <phoneticPr fontId="53"/>
  </si>
  <si>
    <t>ボイル</t>
    <phoneticPr fontId="53"/>
  </si>
  <si>
    <t>チャレンジタワー</t>
    <phoneticPr fontId="53"/>
  </si>
  <si>
    <t>red</t>
    <phoneticPr fontId="53"/>
  </si>
  <si>
    <t>ja</t>
    <phoneticPr fontId="53"/>
  </si>
  <si>
    <t>赫熱の重腕 ボイル</t>
    <rPh sb="1" eb="2">
      <t>ネツ</t>
    </rPh>
    <rPh sb="3" eb="4">
      <t>ジュウ</t>
    </rPh>
    <rPh sb="4" eb="5">
      <t>ウワン</t>
    </rPh>
    <phoneticPr fontId="53"/>
  </si>
  <si>
    <t>チャレンジタワー</t>
    <phoneticPr fontId="53"/>
  </si>
  <si>
    <t>red</t>
    <phoneticPr fontId="53"/>
  </si>
  <si>
    <t>DropWizN</t>
    <phoneticPr fontId="53"/>
  </si>
  <si>
    <t>machine</t>
    <phoneticPr fontId="53"/>
  </si>
  <si>
    <t>normal</t>
    <phoneticPr fontId="53"/>
  </si>
  <si>
    <t>タイチ</t>
    <phoneticPr fontId="53"/>
  </si>
  <si>
    <t>不明</t>
    <rPh sb="0" eb="2">
      <t>フメ</t>
    </rPh>
    <phoneticPr fontId="53"/>
  </si>
  <si>
    <t>Drop1S</t>
    <phoneticPr fontId="53"/>
  </si>
  <si>
    <t>unknown</t>
    <phoneticPr fontId="53"/>
  </si>
  <si>
    <t>NULL</t>
    <phoneticPr fontId="53"/>
  </si>
  <si>
    <t>normal</t>
    <phoneticPr fontId="53"/>
  </si>
  <si>
    <t>ja</t>
    <phoneticPr fontId="53"/>
  </si>
  <si>
    <t>行灯達磨 タイチ</t>
    <rPh sb="0" eb="2">
      <t>アンドン</t>
    </rPh>
    <rPh sb="2" eb="4">
      <t>ダルマ</t>
    </rPh>
    <phoneticPr fontId="53"/>
  </si>
  <si>
    <t>ノーマルクエスト</t>
    <phoneticPr fontId="53"/>
  </si>
  <si>
    <t>red</t>
    <phoneticPr fontId="53"/>
  </si>
  <si>
    <t>Drop1S</t>
    <phoneticPr fontId="53"/>
  </si>
  <si>
    <t>attack</t>
    <phoneticPr fontId="53"/>
  </si>
  <si>
    <t>unknown</t>
    <phoneticPr fontId="53"/>
  </si>
  <si>
    <t>バショー</t>
    <phoneticPr fontId="53"/>
  </si>
  <si>
    <t>夢幻俳聖 バショー</t>
    <rPh sb="0" eb="2">
      <t>ムゲン</t>
    </rPh>
    <rPh sb="2" eb="4">
      <t>ハイセイ</t>
    </rPh>
    <phoneticPr fontId="53"/>
  </si>
  <si>
    <t>unknown</t>
    <phoneticPr fontId="53"/>
  </si>
  <si>
    <t>影丸</t>
    <rPh sb="0" eb="2">
      <t>カゲマル</t>
    </rPh>
    <phoneticPr fontId="53"/>
  </si>
  <si>
    <t>technical</t>
    <phoneticPr fontId="53"/>
  </si>
  <si>
    <t>animal</t>
    <phoneticPr fontId="53"/>
  </si>
  <si>
    <t>蒼術兎忍 影丸</t>
    <rPh sb="0" eb="1">
      <t>アオ</t>
    </rPh>
    <rPh sb="1" eb="2">
      <t>ジュツ</t>
    </rPh>
    <rPh sb="2" eb="3">
      <t>ウサギ</t>
    </rPh>
    <rPh sb="3" eb="4">
      <t>シノビ</t>
    </rPh>
    <rPh sb="5" eb="7">
      <t>カゲマル</t>
    </rPh>
    <phoneticPr fontId="53"/>
  </si>
  <si>
    <t>ノーマルクエスト</t>
    <phoneticPr fontId="53"/>
  </si>
  <si>
    <t>blue</t>
    <phoneticPr fontId="53"/>
  </si>
  <si>
    <t>technical</t>
    <phoneticPr fontId="53"/>
  </si>
  <si>
    <t>animal</t>
    <phoneticPr fontId="53"/>
  </si>
  <si>
    <t>NULL</t>
    <phoneticPr fontId="53"/>
  </si>
  <si>
    <t>normal</t>
    <phoneticPr fontId="53"/>
  </si>
  <si>
    <t>勘兵衛</t>
    <rPh sb="0" eb="3">
      <t>カンベエ</t>
    </rPh>
    <phoneticPr fontId="53"/>
  </si>
  <si>
    <t>イベント:お正月2016</t>
    <rPh sb="6" eb="8">
      <t>ショウガt</t>
    </rPh>
    <phoneticPr fontId="53"/>
  </si>
  <si>
    <t>光明鹿剣 勘兵衛</t>
    <rPh sb="0" eb="2">
      <t>コウミョウ</t>
    </rPh>
    <rPh sb="2" eb="3">
      <t>シカ</t>
    </rPh>
    <rPh sb="3" eb="4">
      <t>ケン</t>
    </rPh>
    <rPh sb="5" eb="8">
      <t>カンベエ</t>
    </rPh>
    <phoneticPr fontId="53"/>
  </si>
  <si>
    <t>オイラー</t>
  </si>
  <si>
    <t>ガチャ:フィーバーフェス01</t>
    <phoneticPr fontId="53"/>
  </si>
  <si>
    <t>PremiumSSS</t>
    <phoneticPr fontId="53"/>
  </si>
  <si>
    <t>幾何の機刃 オイラー</t>
    <rPh sb="0" eb="2">
      <t>キカ</t>
    </rPh>
    <rPh sb="3" eb="4">
      <t>キカイ</t>
    </rPh>
    <rPh sb="4" eb="5">
      <t>ハ</t>
    </rPh>
    <phoneticPr fontId="53"/>
  </si>
  <si>
    <t>バハムート</t>
    <phoneticPr fontId="53"/>
  </si>
  <si>
    <t>ガチャ:魔獣シリーズ01</t>
    <rPh sb="4" eb="6">
      <t>マj</t>
    </rPh>
    <phoneticPr fontId="53"/>
  </si>
  <si>
    <t>女性</t>
    <rPh sb="0" eb="2">
      <t>j</t>
    </rPh>
    <phoneticPr fontId="53"/>
  </si>
  <si>
    <t>red</t>
    <phoneticPr fontId="53"/>
  </si>
  <si>
    <t>dragon</t>
    <phoneticPr fontId="53"/>
  </si>
  <si>
    <t>肉食の恋火 バハムート</t>
    <rPh sb="0" eb="2">
      <t>ニクショク</t>
    </rPh>
    <rPh sb="3" eb="4">
      <t>コイビ</t>
    </rPh>
    <rPh sb="4" eb="5">
      <t>ヒ</t>
    </rPh>
    <phoneticPr fontId="53"/>
  </si>
  <si>
    <t>dragon</t>
    <phoneticPr fontId="53"/>
  </si>
  <si>
    <t>激情の愛炎 バハムート</t>
    <rPh sb="0" eb="2">
      <t>ゲキジョウ</t>
    </rPh>
    <rPh sb="3" eb="4">
      <t>アイ</t>
    </rPh>
    <rPh sb="4" eb="5">
      <t>ホノオ</t>
    </rPh>
    <phoneticPr fontId="53"/>
  </si>
  <si>
    <t>red</t>
    <phoneticPr fontId="53"/>
  </si>
  <si>
    <t>dragon</t>
    <phoneticPr fontId="53"/>
  </si>
  <si>
    <t>酒宴の蟒蛇 ヤマタノオロチ</t>
    <rPh sb="0" eb="2">
      <t>シュエン</t>
    </rPh>
    <rPh sb="3" eb="5">
      <t>ウワバミ</t>
    </rPh>
    <phoneticPr fontId="53"/>
  </si>
  <si>
    <t>green</t>
    <phoneticPr fontId="53"/>
  </si>
  <si>
    <t>PremiumSS</t>
    <phoneticPr fontId="53"/>
  </si>
  <si>
    <t>hp</t>
    <phoneticPr fontId="53"/>
  </si>
  <si>
    <t>dragon</t>
    <phoneticPr fontId="53"/>
  </si>
  <si>
    <t>破国の呑龍 ヤマタノオロチ</t>
    <rPh sb="0" eb="1">
      <t>ヤブ</t>
    </rPh>
    <rPh sb="1" eb="2">
      <t>コク</t>
    </rPh>
    <rPh sb="3" eb="4">
      <t>ノ</t>
    </rPh>
    <rPh sb="4" eb="5">
      <t>リュウ</t>
    </rPh>
    <phoneticPr fontId="53"/>
  </si>
  <si>
    <t>ja</t>
    <phoneticPr fontId="53"/>
  </si>
  <si>
    <t>波烈の出奔 リヴァイアサン</t>
    <rPh sb="0" eb="1">
      <t>ナミ</t>
    </rPh>
    <rPh sb="1" eb="2">
      <t>レツ</t>
    </rPh>
    <rPh sb="3" eb="5">
      <t>シュッポン</t>
    </rPh>
    <phoneticPr fontId="53"/>
  </si>
  <si>
    <t>blue</t>
    <phoneticPr fontId="53"/>
  </si>
  <si>
    <t>PremiumSS</t>
    <phoneticPr fontId="53"/>
  </si>
  <si>
    <t>氾乱の海龍 リヴァイアサン</t>
    <rPh sb="0" eb="1">
      <t>ハンラン</t>
    </rPh>
    <rPh sb="1" eb="2">
      <t>ラン</t>
    </rPh>
    <rPh sb="3" eb="4">
      <t>ウミ</t>
    </rPh>
    <rPh sb="4" eb="5">
      <t>リュウ</t>
    </rPh>
    <phoneticPr fontId="53"/>
  </si>
  <si>
    <t>blue</t>
    <phoneticPr fontId="53"/>
  </si>
  <si>
    <t>PremiumSS</t>
    <phoneticPr fontId="53"/>
  </si>
  <si>
    <t>NULL</t>
    <phoneticPr fontId="53"/>
  </si>
  <si>
    <t>normal</t>
    <phoneticPr fontId="53"/>
  </si>
  <si>
    <t>スフィンクス</t>
    <phoneticPr fontId="53"/>
  </si>
  <si>
    <t>animal</t>
    <phoneticPr fontId="53"/>
  </si>
  <si>
    <t>神円の恋姫 スフィンクス</t>
    <rPh sb="0" eb="1">
      <t>カミ</t>
    </rPh>
    <rPh sb="1" eb="2">
      <t>エン</t>
    </rPh>
    <rPh sb="3" eb="4">
      <t>コイ</t>
    </rPh>
    <rPh sb="4" eb="5">
      <t>ヒメ</t>
    </rPh>
    <phoneticPr fontId="53"/>
  </si>
  <si>
    <t>執行者</t>
    <phoneticPr fontId="20"/>
  </si>
  <si>
    <t>格好いい</t>
    <phoneticPr fontId="20"/>
  </si>
  <si>
    <t>animal</t>
    <phoneticPr fontId="53"/>
  </si>
  <si>
    <t>アタッカー</t>
    <phoneticPr fontId="20"/>
  </si>
  <si>
    <t>操神の愛姫 スフィンクス</t>
    <rPh sb="0" eb="1">
      <t>アヤツ</t>
    </rPh>
    <rPh sb="1" eb="2">
      <t>カミ</t>
    </rPh>
    <rPh sb="3" eb="4">
      <t>アイ</t>
    </rPh>
    <rPh sb="4" eb="5">
      <t>ヒメ</t>
    </rPh>
    <phoneticPr fontId="53"/>
  </si>
  <si>
    <t>執行者</t>
    <phoneticPr fontId="20"/>
  </si>
  <si>
    <t>格好いい</t>
    <phoneticPr fontId="20"/>
  </si>
  <si>
    <t>animal</t>
    <phoneticPr fontId="53"/>
  </si>
  <si>
    <t>華環の旅客 親指姫</t>
    <rPh sb="0" eb="1">
      <t>ハナ</t>
    </rPh>
    <rPh sb="1" eb="2">
      <t>ワ</t>
    </rPh>
    <rPh sb="3" eb="5">
      <t>リョキャク</t>
    </rPh>
    <rPh sb="6" eb="9">
      <t>オヤユビヒメ</t>
    </rPh>
    <phoneticPr fontId="53"/>
  </si>
  <si>
    <t>ガチャ:アリスの絵本01</t>
    <rPh sb="8" eb="10">
      <t>エホン</t>
    </rPh>
    <phoneticPr fontId="20"/>
  </si>
  <si>
    <t>PremiumSS</t>
    <phoneticPr fontId="53"/>
  </si>
  <si>
    <t>heal</t>
    <phoneticPr fontId="53"/>
  </si>
  <si>
    <t>human</t>
    <phoneticPr fontId="53"/>
  </si>
  <si>
    <t>machine</t>
    <phoneticPr fontId="53"/>
  </si>
  <si>
    <t>アタッカー</t>
    <phoneticPr fontId="20"/>
  </si>
  <si>
    <t>燕翼の旅人 親指姫</t>
    <rPh sb="0" eb="1">
      <t>ツバメ</t>
    </rPh>
    <rPh sb="1" eb="2">
      <t>ヨク</t>
    </rPh>
    <rPh sb="3" eb="4">
      <t>リョダン</t>
    </rPh>
    <rPh sb="4" eb="5">
      <t>ビト</t>
    </rPh>
    <rPh sb="6" eb="8">
      <t>オヤユビ</t>
    </rPh>
    <rPh sb="8" eb="9">
      <t>ヒメ</t>
    </rPh>
    <phoneticPr fontId="53"/>
  </si>
  <si>
    <t>human</t>
    <phoneticPr fontId="53"/>
  </si>
  <si>
    <t>machine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</si>
  <si>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</si>
  <si>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</si>
  <si>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</si>
  <si>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</si>
  <si>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ピーターパン</t>
  </si>
  <si>
    <t>執行者</t>
    <phoneticPr fontId="20"/>
  </si>
  <si>
    <t>格好いい</t>
    <phoneticPr fontId="20"/>
  </si>
  <si>
    <t>男性</t>
    <phoneticPr fontId="20"/>
  </si>
  <si>
    <t>human</t>
    <phoneticPr fontId="53"/>
  </si>
  <si>
    <t>machine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</si>
  <si>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</si>
  <si>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</si>
  <si>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</si>
  <si>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</si>
  <si>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影縫い ピーターパン</t>
    <rPh sb="0" eb="2">
      <t>カゲヌ</t>
    </rPh>
    <phoneticPr fontId="53"/>
  </si>
  <si>
    <t>執行者</t>
    <phoneticPr fontId="20"/>
  </si>
  <si>
    <t>格好いい</t>
    <phoneticPr fontId="20"/>
  </si>
  <si>
    <t>男性</t>
    <phoneticPr fontId="20"/>
  </si>
  <si>
    <t>machine</t>
    <phoneticPr fontId="53"/>
  </si>
  <si>
    <t>影求の悪童 ピーターパン</t>
    <rPh sb="0" eb="1">
      <t>カゲ</t>
    </rPh>
    <rPh sb="1" eb="2">
      <t>モト</t>
    </rPh>
    <rPh sb="3" eb="5">
      <t>アクドウ</t>
    </rPh>
    <phoneticPr fontId="53"/>
  </si>
  <si>
    <t>男性</t>
    <phoneticPr fontId="20"/>
  </si>
  <si>
    <t>human</t>
    <phoneticPr fontId="53"/>
  </si>
  <si>
    <t>machine</t>
    <phoneticPr fontId="53"/>
  </si>
  <si>
    <t>乙姫</t>
    <phoneticPr fontId="53"/>
  </si>
  <si>
    <t>hp</t>
    <phoneticPr fontId="53"/>
  </si>
  <si>
    <t>human</t>
    <phoneticPr fontId="53"/>
  </si>
  <si>
    <t>竜宮の水雷 乙姫</t>
    <rPh sb="0" eb="2">
      <t>リュグウ</t>
    </rPh>
    <rPh sb="3" eb="5">
      <t>スイライ</t>
    </rPh>
    <rPh sb="6" eb="8">
      <t>オトヒメ</t>
    </rPh>
    <phoneticPr fontId="53"/>
  </si>
  <si>
    <t>禁断の追箱 乙姫</t>
    <rPh sb="0" eb="2">
      <t>キンダン</t>
    </rPh>
    <rPh sb="3" eb="4">
      <t>ツイセキ</t>
    </rPh>
    <rPh sb="4" eb="5">
      <t>ハコ</t>
    </rPh>
    <rPh sb="6" eb="8">
      <t>オトヒメ</t>
    </rPh>
    <phoneticPr fontId="53"/>
  </si>
  <si>
    <t>ヘンゼル＆グレーテル</t>
  </si>
  <si>
    <t>human</t>
    <phoneticPr fontId="53"/>
  </si>
  <si>
    <t>machine</t>
    <phoneticPr fontId="53"/>
  </si>
  <si>
    <t>アタッカー</t>
    <phoneticPr fontId="20"/>
  </si>
  <si>
    <t>NULL</t>
    <phoneticPr fontId="53"/>
  </si>
  <si>
    <t>ja</t>
    <phoneticPr fontId="53"/>
  </si>
  <si>
    <t>信愛の兄妹 ヘンゼル＆グレーテル</t>
    <rPh sb="0" eb="2">
      <t>シンアイ</t>
    </rPh>
    <rPh sb="3" eb="4">
      <t>アニ</t>
    </rPh>
    <rPh sb="4" eb="5">
      <t>イモウト</t>
    </rPh>
    <phoneticPr fontId="53"/>
  </si>
  <si>
    <t>PremiumSS</t>
    <phoneticPr fontId="53"/>
  </si>
  <si>
    <t>human</t>
    <phoneticPr fontId="53"/>
  </si>
  <si>
    <t>machine</t>
    <phoneticPr fontId="53"/>
  </si>
  <si>
    <t>アタッカー</t>
    <phoneticPr fontId="20"/>
  </si>
  <si>
    <t>normal</t>
    <phoneticPr fontId="53"/>
  </si>
  <si>
    <t>NULL</t>
    <phoneticPr fontId="53"/>
  </si>
  <si>
    <t>フェンリル</t>
  </si>
  <si>
    <t>ガチャ:魔獣シリーズ02</t>
    <rPh sb="4" eb="6">
      <t>マj</t>
    </rPh>
    <phoneticPr fontId="53"/>
  </si>
  <si>
    <t>執行者</t>
    <phoneticPr fontId="20"/>
  </si>
  <si>
    <t>格好いい</t>
    <phoneticPr fontId="20"/>
  </si>
  <si>
    <t>attack</t>
    <phoneticPr fontId="53"/>
  </si>
  <si>
    <t>normal</t>
    <phoneticPr fontId="53"/>
  </si>
  <si>
    <t>NULL</t>
    <phoneticPr fontId="53"/>
  </si>
  <si>
    <t>紅銀の孤狼 フェンリル</t>
    <rPh sb="0" eb="1">
      <t>ベニ</t>
    </rPh>
    <rPh sb="1" eb="2">
      <t>ギン</t>
    </rPh>
    <rPh sb="3" eb="4">
      <t>コドク</t>
    </rPh>
    <rPh sb="4" eb="5">
      <t>シンロウ</t>
    </rPh>
    <phoneticPr fontId="53"/>
  </si>
  <si>
    <t>執行者</t>
    <phoneticPr fontId="20"/>
  </si>
  <si>
    <t>格好いい</t>
    <phoneticPr fontId="20"/>
  </si>
  <si>
    <t>attack</t>
    <phoneticPr fontId="53"/>
  </si>
  <si>
    <t>animal</t>
    <phoneticPr fontId="53"/>
  </si>
  <si>
    <t>アタッカー</t>
    <phoneticPr fontId="20"/>
  </si>
  <si>
    <t>天災の神狼 フェンリル</t>
    <rPh sb="0" eb="1">
      <t>テンペン</t>
    </rPh>
    <rPh sb="1" eb="2">
      <t>ワザワ</t>
    </rPh>
    <rPh sb="3" eb="5">
      <t>シンロウ</t>
    </rPh>
    <phoneticPr fontId="53"/>
  </si>
  <si>
    <t>attack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</si>
  <si>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</si>
  <si>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</si>
  <si>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</si>
  <si>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</si>
  <si>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</si>
  <si>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静撃の翠眼 八咫烏</t>
    <rPh sb="0" eb="1">
      <t>シズカ</t>
    </rPh>
    <rPh sb="1" eb="2">
      <t>ソゲキ</t>
    </rPh>
    <rPh sb="6" eb="9">
      <t>ヤタガラス</t>
    </rPh>
    <phoneticPr fontId="53"/>
  </si>
  <si>
    <t>執行者</t>
    <phoneticPr fontId="20"/>
  </si>
  <si>
    <t>格好いい</t>
    <phoneticPr fontId="20"/>
  </si>
  <si>
    <t>balance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</si>
  <si>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</si>
  <si>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</si>
  <si>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</si>
  <si>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</si>
  <si>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</si>
  <si>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空襲の神眼 八咫烏</t>
    <rPh sb="0" eb="2">
      <t>クウシュウ</t>
    </rPh>
    <rPh sb="6" eb="9">
      <t>ヤタガラス</t>
    </rPh>
    <phoneticPr fontId="53"/>
  </si>
  <si>
    <t>格好いい</t>
    <phoneticPr fontId="20"/>
  </si>
  <si>
    <t>balance</t>
    <phoneticPr fontId="53"/>
  </si>
  <si>
    <t>アタッカー</t>
    <phoneticPr fontId="20"/>
  </si>
  <si>
    <t>エキドナ</t>
  </si>
  <si>
    <t>technical</t>
    <phoneticPr fontId="53"/>
  </si>
  <si>
    <t>美笑の蒼蛇 エキドナ</t>
    <rPh sb="0" eb="1">
      <t>ビショウ</t>
    </rPh>
    <rPh sb="1" eb="2">
      <t>ワラ</t>
    </rPh>
    <rPh sb="3" eb="4">
      <t>アオ</t>
    </rPh>
    <rPh sb="4" eb="5">
      <t>ヘビ</t>
    </rPh>
    <phoneticPr fontId="53"/>
  </si>
  <si>
    <t>執行者</t>
    <phoneticPr fontId="20"/>
  </si>
  <si>
    <t>technical</t>
    <phoneticPr fontId="53"/>
  </si>
  <si>
    <t>normal</t>
    <phoneticPr fontId="53"/>
  </si>
  <si>
    <t>NULL</t>
    <phoneticPr fontId="53"/>
  </si>
  <si>
    <t>蠱惑の飛刀 エキドナ</t>
    <rPh sb="0" eb="2">
      <t>コワク</t>
    </rPh>
    <rPh sb="3" eb="4">
      <t>ヒショウ</t>
    </rPh>
    <rPh sb="4" eb="5">
      <t>カタナ</t>
    </rPh>
    <phoneticPr fontId="53"/>
  </si>
  <si>
    <t>格好いい</t>
    <phoneticPr fontId="20"/>
  </si>
  <si>
    <t>technical</t>
    <phoneticPr fontId="53"/>
  </si>
  <si>
    <t>アタッカー</t>
    <phoneticPr fontId="20"/>
  </si>
  <si>
    <t>NULL</t>
    <phoneticPr fontId="53"/>
  </si>
  <si>
    <t>normal</t>
    <phoneticPr fontId="53"/>
  </si>
  <si>
    <t>皇魔 アスタロト</t>
    <rPh sb="0" eb="2">
      <t>コウマ</t>
    </rPh>
    <phoneticPr fontId="53"/>
  </si>
  <si>
    <t>アタッカー</t>
    <phoneticPr fontId="20"/>
  </si>
  <si>
    <t>normal</t>
    <phoneticPr fontId="53"/>
  </si>
  <si>
    <t>NULL</t>
    <phoneticPr fontId="53"/>
  </si>
  <si>
    <t>ja</t>
    <phoneticPr fontId="53"/>
  </si>
  <si>
    <t>天眼の皇貴魔 アスタロト</t>
    <rPh sb="0" eb="2">
      <t>テンガン</t>
    </rPh>
    <rPh sb="3" eb="6">
      <t>コウマ</t>
    </rPh>
    <phoneticPr fontId="53"/>
  </si>
  <si>
    <t>執行者</t>
    <phoneticPr fontId="20"/>
  </si>
  <si>
    <t>格好いい</t>
    <phoneticPr fontId="20"/>
  </si>
  <si>
    <t>男性</t>
    <phoneticPr fontId="20"/>
  </si>
  <si>
    <t>PremiumSS</t>
    <phoneticPr fontId="53"/>
  </si>
  <si>
    <t>attack</t>
    <phoneticPr fontId="53"/>
  </si>
  <si>
    <t>ファラデー</t>
    <phoneticPr fontId="53"/>
  </si>
  <si>
    <t>ガチャ:フィーバーフェス03</t>
    <phoneticPr fontId="20"/>
  </si>
  <si>
    <t>PremiumSSS</t>
    <phoneticPr fontId="53"/>
  </si>
  <si>
    <t>balance</t>
    <phoneticPr fontId="53"/>
  </si>
  <si>
    <t>human</t>
    <phoneticPr fontId="53"/>
  </si>
  <si>
    <t>none</t>
    <phoneticPr fontId="53"/>
  </si>
  <si>
    <t>アタッカー</t>
    <phoneticPr fontId="20"/>
  </si>
  <si>
    <t>NULL</t>
    <phoneticPr fontId="53"/>
  </si>
  <si>
    <t>ja</t>
    <phoneticPr fontId="53"/>
  </si>
  <si>
    <t>電隷の始祖 ファラデー</t>
    <rPh sb="0" eb="1">
      <t>デン</t>
    </rPh>
    <rPh sb="1" eb="2">
      <t>0ゾk</t>
    </rPh>
    <rPh sb="3" eb="5">
      <t>シソ</t>
    </rPh>
    <phoneticPr fontId="53"/>
  </si>
  <si>
    <t>ガチャ:フィーバーフェス03</t>
    <phoneticPr fontId="20"/>
  </si>
  <si>
    <t>執行者</t>
    <phoneticPr fontId="20"/>
  </si>
  <si>
    <t>格好いい</t>
    <phoneticPr fontId="20"/>
  </si>
  <si>
    <t>human</t>
    <phoneticPr fontId="53"/>
  </si>
  <si>
    <t>アタッカー</t>
    <phoneticPr fontId="20"/>
  </si>
  <si>
    <t>NULL</t>
    <phoneticPr fontId="53"/>
  </si>
  <si>
    <t>ja</t>
    <phoneticPr fontId="53"/>
  </si>
  <si>
    <t>コウネン</t>
    <phoneticPr fontId="53"/>
  </si>
  <si>
    <t>ノーマルクエスト</t>
    <phoneticPr fontId="20"/>
  </si>
  <si>
    <t>執行者</t>
    <phoneticPr fontId="20"/>
  </si>
  <si>
    <t>格好いい</t>
    <phoneticPr fontId="20"/>
  </si>
  <si>
    <t>不明</t>
    <rPh sb="0" eb="2">
      <t>フメ</t>
    </rPh>
    <phoneticPr fontId="20"/>
  </si>
  <si>
    <t>heal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</si>
  <si>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</si>
  <si>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</si>
  <si>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</si>
  <si>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</si>
  <si>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狂騒地蔵 コウネン</t>
    <phoneticPr fontId="53"/>
  </si>
  <si>
    <t>ノーマルクエスト</t>
    <phoneticPr fontId="20"/>
  </si>
  <si>
    <t>執行者</t>
    <phoneticPr fontId="20"/>
  </si>
  <si>
    <t>格好いい</t>
    <phoneticPr fontId="20"/>
  </si>
  <si>
    <t>unknown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</si>
  <si>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</si>
  <si>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</si>
  <si>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</si>
  <si>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</si>
  <si>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炎のミリオンダック 2</t>
    <rPh sb="0" eb="1">
      <t>ホノ</t>
    </rPh>
    <phoneticPr fontId="53"/>
  </si>
  <si>
    <t>アリス</t>
    <phoneticPr fontId="53"/>
  </si>
  <si>
    <t>red</t>
    <phoneticPr fontId="53"/>
  </si>
  <si>
    <t>森のミリオンダック 2</t>
    <rPh sb="0" eb="2">
      <t>モr</t>
    </rPh>
    <phoneticPr fontId="53"/>
  </si>
  <si>
    <t>NULL</t>
    <phoneticPr fontId="53"/>
  </si>
  <si>
    <t>水のミリオンダック 2</t>
    <rPh sb="0" eb="2">
      <t>ミz</t>
    </rPh>
    <phoneticPr fontId="53"/>
  </si>
  <si>
    <t>アリス</t>
    <phoneticPr fontId="53"/>
  </si>
  <si>
    <t>雷のミリオンダック 2</t>
    <rPh sb="0" eb="1">
      <t>カm</t>
    </rPh>
    <phoneticPr fontId="53"/>
  </si>
  <si>
    <t>ウラシマ</t>
    <phoneticPr fontId="53"/>
  </si>
  <si>
    <t>イベント:アリスの絵本02</t>
    <rPh sb="9" eb="11">
      <t>エホン</t>
    </rPh>
    <phoneticPr fontId="53"/>
  </si>
  <si>
    <t>Drop2N</t>
    <phoneticPr fontId="53"/>
  </si>
  <si>
    <t>human</t>
    <phoneticPr fontId="53"/>
  </si>
  <si>
    <t>宣戦の解城 ウラシマ</t>
    <rPh sb="0" eb="2">
      <t>センセン</t>
    </rPh>
    <rPh sb="3" eb="4">
      <t>カイジョウ</t>
    </rPh>
    <rPh sb="4" eb="5">
      <t>シロ</t>
    </rPh>
    <phoneticPr fontId="53"/>
  </si>
  <si>
    <t>アタッカー</t>
    <phoneticPr fontId="20"/>
  </si>
  <si>
    <t>normal</t>
    <phoneticPr fontId="53"/>
  </si>
  <si>
    <t>ja</t>
    <phoneticPr fontId="53"/>
  </si>
  <si>
    <t>カエデ</t>
    <phoneticPr fontId="53"/>
  </si>
  <si>
    <t>執行者</t>
    <phoneticPr fontId="20"/>
  </si>
  <si>
    <t>格好いい</t>
    <phoneticPr fontId="20"/>
  </si>
  <si>
    <t>男性</t>
    <phoneticPr fontId="20"/>
  </si>
  <si>
    <t>heal</t>
    <phoneticPr fontId="53"/>
  </si>
  <si>
    <t>反親の彩壁 カエデ</t>
    <phoneticPr fontId="53"/>
  </si>
  <si>
    <t>アタッカー</t>
    <phoneticPr fontId="20"/>
  </si>
  <si>
    <t>シュガフル</t>
    <phoneticPr fontId="53"/>
  </si>
  <si>
    <t>執行者</t>
    <phoneticPr fontId="20"/>
  </si>
  <si>
    <t>格好いい</t>
    <phoneticPr fontId="20"/>
  </si>
  <si>
    <t>balance</t>
    <phoneticPr fontId="53"/>
  </si>
  <si>
    <t>human</t>
    <phoneticPr fontId="53"/>
  </si>
  <si>
    <t>甘罠の魔女 シュガフル</t>
    <rPh sb="0" eb="1">
      <t>アマ</t>
    </rPh>
    <rPh sb="1" eb="2">
      <t>ワナ</t>
    </rPh>
    <rPh sb="3" eb="5">
      <t>マジョ</t>
    </rPh>
    <phoneticPr fontId="53"/>
  </si>
  <si>
    <t>フック</t>
    <phoneticPr fontId="53"/>
  </si>
  <si>
    <t>attack</t>
    <phoneticPr fontId="53"/>
  </si>
  <si>
    <t>怒髪の海賊 フック</t>
    <rPh sb="0" eb="2">
      <t>ドハツ</t>
    </rPh>
    <rPh sb="3" eb="5">
      <t>カイゾク</t>
    </rPh>
    <phoneticPr fontId="53"/>
  </si>
  <si>
    <t>human</t>
    <phoneticPr fontId="53"/>
  </si>
  <si>
    <t>宮本武蔵</t>
    <rPh sb="0" eb="2">
      <t>ミヤモト</t>
    </rPh>
    <rPh sb="2" eb="4">
      <t>ムサシ</t>
    </rPh>
    <phoneticPr fontId="53"/>
  </si>
  <si>
    <t>執行者</t>
    <phoneticPr fontId="20"/>
  </si>
  <si>
    <t>格好いい</t>
    <phoneticPr fontId="20"/>
  </si>
  <si>
    <t>男性</t>
    <phoneticPr fontId="20"/>
  </si>
  <si>
    <t>DropWizS</t>
    <phoneticPr fontId="53"/>
  </si>
  <si>
    <t>attack</t>
    <phoneticPr fontId="53"/>
  </si>
  <si>
    <t>human</t>
    <phoneticPr fontId="53"/>
  </si>
  <si>
    <t>極・剣豪 宮本武蔵</t>
    <rPh sb="0" eb="1">
      <t>キワ</t>
    </rPh>
    <rPh sb="2" eb="4">
      <t>ケンゴウ</t>
    </rPh>
    <rPh sb="5" eb="7">
      <t>ミヤモト</t>
    </rPh>
    <rPh sb="7" eb="9">
      <t>ムサシ</t>
    </rPh>
    <phoneticPr fontId="53"/>
  </si>
  <si>
    <t>レッドダムディ</t>
  </si>
  <si>
    <t>未定</t>
    <rPh sb="0" eb="2">
      <t>ミt</t>
    </rPh>
    <phoneticPr fontId="20"/>
  </si>
  <si>
    <t>執行者</t>
    <phoneticPr fontId="20"/>
  </si>
  <si>
    <t>格好いい</t>
    <phoneticPr fontId="20"/>
  </si>
  <si>
    <t>Material</t>
    <phoneticPr fontId="53"/>
  </si>
  <si>
    <t>unknown</t>
    <phoneticPr fontId="53"/>
  </si>
  <si>
    <t>ブルーダムディ</t>
  </si>
  <si>
    <t>未定</t>
    <rPh sb="0" eb="2">
      <t>ミテ</t>
    </rPh>
    <phoneticPr fontId="20"/>
  </si>
  <si>
    <t>unknown</t>
    <phoneticPr fontId="53"/>
  </si>
  <si>
    <t>グリーンダムディ</t>
  </si>
  <si>
    <t>unknown</t>
    <phoneticPr fontId="53"/>
  </si>
  <si>
    <t>イエローダムディ</t>
  </si>
  <si>
    <t>麒麟</t>
    <rPh sb="0" eb="2">
      <t>キリン</t>
    </rPh>
    <phoneticPr fontId="58"/>
  </si>
  <si>
    <t>イベント:超ウィザード</t>
    <rPh sb="5" eb="6">
      <t>チョ</t>
    </rPh>
    <phoneticPr fontId="20"/>
  </si>
  <si>
    <t>執行者</t>
    <phoneticPr fontId="20"/>
  </si>
  <si>
    <t>格好いい</t>
    <phoneticPr fontId="20"/>
  </si>
  <si>
    <t>DropWizSS</t>
    <phoneticPr fontId="53"/>
  </si>
  <si>
    <t>none</t>
    <phoneticPr fontId="53"/>
  </si>
  <si>
    <t>世稀の現獣 麒麟</t>
    <rPh sb="0" eb="1">
      <t>セイキ</t>
    </rPh>
    <rPh sb="1" eb="2">
      <t>キショウ</t>
    </rPh>
    <rPh sb="3" eb="4">
      <t>ゲン</t>
    </rPh>
    <rPh sb="4" eb="5">
      <t>ゲンジュウ</t>
    </rPh>
    <rPh sb="6" eb="8">
      <t>キリン</t>
    </rPh>
    <phoneticPr fontId="58"/>
  </si>
  <si>
    <t>格好いい</t>
    <phoneticPr fontId="20"/>
  </si>
  <si>
    <t>none</t>
    <phoneticPr fontId="53"/>
  </si>
  <si>
    <t>D.R.T.H.</t>
    <phoneticPr fontId="53"/>
  </si>
  <si>
    <t>ガチャ:オズ01</t>
    <phoneticPr fontId="20"/>
  </si>
  <si>
    <t>執行者</t>
    <phoneticPr fontId="20"/>
  </si>
  <si>
    <t>human</t>
    <phoneticPr fontId="53"/>
  </si>
  <si>
    <t>曝弾の密偵 D.R.T.H.</t>
    <rPh sb="0" eb="1">
      <t>バクロ</t>
    </rPh>
    <rPh sb="1" eb="2">
      <t>ダン</t>
    </rPh>
    <rPh sb="3" eb="5">
      <t>ミッテイ</t>
    </rPh>
    <phoneticPr fontId="53"/>
  </si>
  <si>
    <t>カカシ</t>
    <phoneticPr fontId="53"/>
  </si>
  <si>
    <t>ガチャ:オズ01</t>
  </si>
  <si>
    <t>男性</t>
    <phoneticPr fontId="20"/>
  </si>
  <si>
    <t>technical</t>
    <phoneticPr fontId="53"/>
  </si>
  <si>
    <t>machine</t>
    <phoneticPr fontId="53"/>
  </si>
  <si>
    <t>忘却者 カカシ</t>
    <rPh sb="0" eb="3">
      <t>ボウキャクシャ</t>
    </rPh>
    <phoneticPr fontId="53"/>
  </si>
  <si>
    <t>記憶の奪還 カカシ</t>
    <rPh sb="0" eb="2">
      <t>キオク</t>
    </rPh>
    <rPh sb="3" eb="5">
      <t>ダッカン</t>
    </rPh>
    <phoneticPr fontId="53"/>
  </si>
  <si>
    <t>machine</t>
    <phoneticPr fontId="53"/>
  </si>
  <si>
    <t>アタッカー</t>
    <phoneticPr fontId="20"/>
  </si>
  <si>
    <t>ブリキロガー</t>
    <phoneticPr fontId="53"/>
  </si>
  <si>
    <t>執行者</t>
    <phoneticPr fontId="20"/>
  </si>
  <si>
    <t>格好いい</t>
    <phoneticPr fontId="20"/>
  </si>
  <si>
    <t>attack</t>
    <phoneticPr fontId="53"/>
  </si>
  <si>
    <t>改良型 ブリキロガー</t>
    <rPh sb="0" eb="3">
      <t>カイリョウガタ</t>
    </rPh>
    <phoneticPr fontId="53"/>
  </si>
  <si>
    <t>求心の錻装 ブリキロガー</t>
    <rPh sb="0" eb="2">
      <t>キュウシン</t>
    </rPh>
    <rPh sb="3" eb="4">
      <t>ブリキ</t>
    </rPh>
    <rPh sb="4" eb="5">
      <t>ソウビ</t>
    </rPh>
    <phoneticPr fontId="53"/>
  </si>
  <si>
    <t>ブレイブリー・ライオン</t>
    <phoneticPr fontId="53"/>
  </si>
  <si>
    <t>執行者</t>
    <phoneticPr fontId="20"/>
  </si>
  <si>
    <t>PremiumSS</t>
    <phoneticPr fontId="53"/>
  </si>
  <si>
    <t>hp</t>
    <phoneticPr fontId="53"/>
  </si>
  <si>
    <t>animal</t>
    <phoneticPr fontId="53"/>
  </si>
  <si>
    <t>アタッカー</t>
    <phoneticPr fontId="20"/>
  </si>
  <si>
    <t>NULL</t>
    <phoneticPr fontId="53"/>
  </si>
  <si>
    <t>勇機結集 ブレイブリー・ライオン</t>
    <rPh sb="0" eb="1">
      <t>ユウキ</t>
    </rPh>
    <rPh sb="1" eb="2">
      <t>キ</t>
    </rPh>
    <rPh sb="2" eb="4">
      <t>ケッシュウ</t>
    </rPh>
    <phoneticPr fontId="53"/>
  </si>
  <si>
    <t>PremiumSS</t>
    <phoneticPr fontId="53"/>
  </si>
  <si>
    <t>hp</t>
    <phoneticPr fontId="53"/>
  </si>
  <si>
    <t>normal</t>
    <phoneticPr fontId="53"/>
  </si>
  <si>
    <t>炎のミリオンダック 4</t>
    <phoneticPr fontId="53"/>
  </si>
  <si>
    <t>森のミリオンダック 4</t>
    <phoneticPr fontId="53"/>
  </si>
  <si>
    <t>水のミリオンダック 4</t>
    <phoneticPr fontId="53"/>
  </si>
  <si>
    <t>雷のミリオンダック 4</t>
    <phoneticPr fontId="53"/>
  </si>
  <si>
    <t>NULL</t>
    <phoneticPr fontId="53"/>
  </si>
  <si>
    <t>normal</t>
    <phoneticPr fontId="53"/>
  </si>
  <si>
    <t>ja</t>
    <phoneticPr fontId="53"/>
  </si>
  <si>
    <t>未定</t>
    <phoneticPr fontId="53"/>
  </si>
  <si>
    <t>執行者</t>
    <phoneticPr fontId="20"/>
  </si>
  <si>
    <t>格好いい</t>
    <phoneticPr fontId="20"/>
  </si>
  <si>
    <t>PremiumN</t>
    <phoneticPr fontId="53"/>
  </si>
  <si>
    <t>human</t>
    <phoneticPr fontId="53"/>
  </si>
  <si>
    <t>未定</t>
    <phoneticPr fontId="53"/>
  </si>
  <si>
    <t>執行者</t>
    <phoneticPr fontId="20"/>
  </si>
  <si>
    <t>格好いい</t>
    <phoneticPr fontId="20"/>
  </si>
  <si>
    <t>PremiumN</t>
    <phoneticPr fontId="53"/>
  </si>
  <si>
    <t>アタッカー</t>
    <phoneticPr fontId="20"/>
  </si>
  <si>
    <t>イゾルデ</t>
  </si>
  <si>
    <t>シルエットオーディン2</t>
    <phoneticPr fontId="53"/>
  </si>
  <si>
    <t>格好いい</t>
    <phoneticPr fontId="20"/>
  </si>
  <si>
    <t>DropWizN</t>
    <phoneticPr fontId="53"/>
  </si>
  <si>
    <t>human</t>
    <phoneticPr fontId="53"/>
  </si>
  <si>
    <t>アタッカー</t>
    <phoneticPr fontId="20"/>
  </si>
  <si>
    <t>猛狐 エゾ</t>
    <rPh sb="0" eb="1">
      <t>ドウモウ</t>
    </rPh>
    <rPh sb="1" eb="2">
      <t>キツネ</t>
    </rPh>
    <phoneticPr fontId="53"/>
  </si>
  <si>
    <t>イベント:オリジナル01</t>
    <phoneticPr fontId="20"/>
  </si>
  <si>
    <t>執行者</t>
    <phoneticPr fontId="20"/>
  </si>
  <si>
    <t>格好いい</t>
    <phoneticPr fontId="20"/>
  </si>
  <si>
    <t>男性</t>
    <phoneticPr fontId="20"/>
  </si>
  <si>
    <t>balance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</si>
  <si>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</si>
  <si>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</si>
  <si>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</si>
  <si>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</si>
  <si>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</si>
  <si>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急尾の猛狐 エゾ</t>
    <rPh sb="0" eb="1">
      <t>イソ</t>
    </rPh>
    <rPh sb="1" eb="2">
      <t>キュウビ</t>
    </rPh>
    <rPh sb="3" eb="4">
      <t>ドウモウ</t>
    </rPh>
    <rPh sb="4" eb="5">
      <t>キツネ</t>
    </rPh>
    <phoneticPr fontId="53"/>
  </si>
  <si>
    <t>イベント:オリジナル01</t>
    <phoneticPr fontId="20"/>
  </si>
  <si>
    <t>執行者</t>
    <phoneticPr fontId="20"/>
  </si>
  <si>
    <t>格好いい</t>
    <phoneticPr fontId="20"/>
  </si>
  <si>
    <t>男性</t>
    <phoneticPr fontId="20"/>
  </si>
  <si>
    <t>animal</t>
    <phoneticPr fontId="53"/>
  </si>
  <si>
    <t>二闘 レッサとギガン</t>
    <rPh sb="0" eb="1">
      <t>ニトウ</t>
    </rPh>
    <rPh sb="1" eb="2">
      <t>タタカ</t>
    </rPh>
    <phoneticPr fontId="53"/>
  </si>
  <si>
    <t>イベント:オリジナル01</t>
  </si>
  <si>
    <t>廃街の二闘 レッサとギガン</t>
    <rPh sb="0" eb="1">
      <t>ハイキョ</t>
    </rPh>
    <rPh sb="1" eb="2">
      <t>マチ</t>
    </rPh>
    <rPh sb="3" eb="4">
      <t>ニトウ</t>
    </rPh>
    <rPh sb="4" eb="5">
      <t>タタカ</t>
    </rPh>
    <phoneticPr fontId="53"/>
  </si>
  <si>
    <t>射絶 ユヅル</t>
    <rPh sb="0" eb="1">
      <t>イ</t>
    </rPh>
    <rPh sb="1" eb="2">
      <t>シャゼツ</t>
    </rPh>
    <phoneticPr fontId="60"/>
  </si>
  <si>
    <t>京速射絶 ユヅル</t>
    <rPh sb="0" eb="2">
      <t>ケイソク</t>
    </rPh>
    <rPh sb="2" eb="3">
      <t>イ</t>
    </rPh>
    <rPh sb="3" eb="4">
      <t>シャゼツ</t>
    </rPh>
    <phoneticPr fontId="60"/>
  </si>
  <si>
    <t>technical</t>
    <phoneticPr fontId="53"/>
  </si>
  <si>
    <t>嵐龍 スガル</t>
    <rPh sb="0" eb="1">
      <t>アラシ</t>
    </rPh>
    <rPh sb="1" eb="2">
      <t>リュウ</t>
    </rPh>
    <phoneticPr fontId="53"/>
  </si>
  <si>
    <t>威喝の嵐龍 スガル</t>
    <rPh sb="0" eb="2">
      <t>イカツ</t>
    </rPh>
    <rPh sb="3" eb="4">
      <t>アラシ</t>
    </rPh>
    <rPh sb="4" eb="5">
      <t>リュウ</t>
    </rPh>
    <phoneticPr fontId="53"/>
  </si>
  <si>
    <t>オズ</t>
  </si>
  <si>
    <t>DropWizS</t>
    <phoneticPr fontId="53"/>
  </si>
  <si>
    <t>technical</t>
    <phoneticPr fontId="53"/>
  </si>
  <si>
    <t>NULL</t>
    <phoneticPr fontId="53"/>
  </si>
  <si>
    <t>ja</t>
    <phoneticPr fontId="53"/>
  </si>
  <si>
    <t>大いなる虚像 オズ</t>
    <rPh sb="0" eb="1">
      <t>オオ</t>
    </rPh>
    <rPh sb="4" eb="6">
      <t>キョゾウ</t>
    </rPh>
    <phoneticPr fontId="53"/>
  </si>
  <si>
    <t>green</t>
    <phoneticPr fontId="53"/>
  </si>
  <si>
    <t>DropWizS</t>
    <phoneticPr fontId="53"/>
  </si>
  <si>
    <t>technical</t>
    <phoneticPr fontId="53"/>
  </si>
  <si>
    <t>none</t>
    <phoneticPr fontId="53"/>
  </si>
  <si>
    <t>アタッカー</t>
    <phoneticPr fontId="20"/>
  </si>
  <si>
    <t>NULL</t>
    <phoneticPr fontId="53"/>
  </si>
  <si>
    <t>normal</t>
    <phoneticPr fontId="53"/>
  </si>
  <si>
    <t>ガウェイン</t>
    <phoneticPr fontId="53"/>
  </si>
  <si>
    <t>ガチャ:円卓01</t>
    <rPh sb="4" eb="6">
      <t>エン</t>
    </rPh>
    <phoneticPr fontId="20"/>
  </si>
  <si>
    <t>執行者</t>
    <phoneticPr fontId="20"/>
  </si>
  <si>
    <t>格好いい</t>
    <phoneticPr fontId="20"/>
  </si>
  <si>
    <t>男性</t>
    <phoneticPr fontId="20"/>
  </si>
  <si>
    <t>hp</t>
    <phoneticPr fontId="53"/>
  </si>
  <si>
    <t>燻銀 ガウェイン</t>
    <rPh sb="0" eb="2">
      <t>イブシギン</t>
    </rPh>
    <phoneticPr fontId="53"/>
  </si>
  <si>
    <t>円熟の弾導 ガウェイン</t>
    <rPh sb="0" eb="2">
      <t>エンジュク</t>
    </rPh>
    <rPh sb="3" eb="4">
      <t>ダンドウ</t>
    </rPh>
    <rPh sb="4" eb="5">
      <t>ミチビ</t>
    </rPh>
    <phoneticPr fontId="53"/>
  </si>
  <si>
    <t>真撃 ランスロット</t>
    <rPh sb="0" eb="1">
      <t>シンケン</t>
    </rPh>
    <rPh sb="1" eb="2">
      <t>シンゲキ</t>
    </rPh>
    <phoneticPr fontId="53"/>
  </si>
  <si>
    <t>アタッカー</t>
    <phoneticPr fontId="20"/>
  </si>
  <si>
    <t>NULL</t>
    <phoneticPr fontId="53"/>
  </si>
  <si>
    <t>normal</t>
    <phoneticPr fontId="53"/>
  </si>
  <si>
    <t>真断の勇覇 ランスロット</t>
    <rPh sb="0" eb="1">
      <t>シン</t>
    </rPh>
    <rPh sb="1" eb="2">
      <t>リョウダン</t>
    </rPh>
    <rPh sb="3" eb="4">
      <t>ユウシャ</t>
    </rPh>
    <rPh sb="4" eb="5">
      <t>ハ</t>
    </rPh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</si>
  <si>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</si>
  <si>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</si>
  <si>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</si>
  <si>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</si>
  <si>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報復 モルドレッド</t>
    <rPh sb="0" eb="2">
      <t>ホウフク</t>
    </rPh>
    <phoneticPr fontId="53"/>
  </si>
  <si>
    <t>憎愛の尖鋒 モルドレッド</t>
    <rPh sb="0" eb="2">
      <t>ゾウアイ</t>
    </rPh>
    <rPh sb="3" eb="4">
      <t>センカク</t>
    </rPh>
    <rPh sb="4" eb="5">
      <t>キッサキ</t>
    </rPh>
    <phoneticPr fontId="53"/>
  </si>
  <si>
    <t>執行者</t>
    <phoneticPr fontId="20"/>
  </si>
  <si>
    <t>格好いい</t>
    <phoneticPr fontId="20"/>
  </si>
  <si>
    <t>PremiumSS</t>
    <phoneticPr fontId="53"/>
  </si>
  <si>
    <t>technical</t>
    <phoneticPr fontId="53"/>
  </si>
  <si>
    <t>アタッカー</t>
    <phoneticPr fontId="20"/>
  </si>
  <si>
    <t>NULL</t>
    <phoneticPr fontId="53"/>
  </si>
  <si>
    <t>normal</t>
    <phoneticPr fontId="53"/>
  </si>
  <si>
    <t>NULL</t>
    <phoneticPr fontId="53"/>
  </si>
  <si>
    <t>トリスタン</t>
  </si>
  <si>
    <t>男性</t>
    <phoneticPr fontId="20"/>
  </si>
  <si>
    <t>純心 トリスタン</t>
    <rPh sb="0" eb="2">
      <t>ジュンシン</t>
    </rPh>
    <phoneticPr fontId="53"/>
  </si>
  <si>
    <t>男性</t>
    <phoneticPr fontId="20"/>
  </si>
  <si>
    <t>attack</t>
    <phoneticPr fontId="53"/>
  </si>
  <si>
    <t>アタッカー</t>
    <phoneticPr fontId="20"/>
  </si>
  <si>
    <t>normal</t>
    <phoneticPr fontId="53"/>
  </si>
  <si>
    <t>NULL</t>
    <phoneticPr fontId="53"/>
  </si>
  <si>
    <t>不可避の爆激 トリスタン</t>
    <rPh sb="0" eb="3">
      <t>フカヒ</t>
    </rPh>
    <rPh sb="4" eb="5">
      <t>バクゲキ</t>
    </rPh>
    <rPh sb="5" eb="6">
      <t>ゲキ</t>
    </rPh>
    <phoneticPr fontId="53"/>
  </si>
  <si>
    <t>執行者</t>
    <phoneticPr fontId="20"/>
  </si>
  <si>
    <t>yellow</t>
    <phoneticPr fontId="53"/>
  </si>
  <si>
    <t>attack</t>
    <phoneticPr fontId="53"/>
  </si>
  <si>
    <t>アーサー</t>
  </si>
  <si>
    <t>凶堅なる正義 アーサー</t>
    <rPh sb="0" eb="1">
      <t>キョウ</t>
    </rPh>
    <rPh sb="1" eb="2">
      <t>キョウケン</t>
    </rPh>
    <rPh sb="4" eb="6">
      <t>セイギ</t>
    </rPh>
    <phoneticPr fontId="53"/>
  </si>
  <si>
    <t>アタッカー</t>
    <phoneticPr fontId="20"/>
  </si>
  <si>
    <t>NULL</t>
    <phoneticPr fontId="53"/>
  </si>
  <si>
    <t>normal</t>
    <phoneticPr fontId="53"/>
  </si>
  <si>
    <t>NULL</t>
    <phoneticPr fontId="53"/>
  </si>
  <si>
    <t>ja</t>
    <phoneticPr fontId="53"/>
  </si>
  <si>
    <t>キング・ドライグ</t>
    <phoneticPr fontId="60"/>
  </si>
  <si>
    <t>ガチャ:デッドマンズ</t>
    <phoneticPr fontId="20"/>
  </si>
  <si>
    <t>執行者</t>
    <phoneticPr fontId="20"/>
  </si>
  <si>
    <t>格好いい</t>
    <phoneticPr fontId="20"/>
  </si>
  <si>
    <t>緋王 キング・ドライグ</t>
    <rPh sb="1" eb="2">
      <t>オウ</t>
    </rPh>
    <phoneticPr fontId="60"/>
  </si>
  <si>
    <t>ガチャ:デッドマンズ</t>
    <phoneticPr fontId="20"/>
  </si>
  <si>
    <t>dragon</t>
    <phoneticPr fontId="53"/>
  </si>
  <si>
    <t>ファータ</t>
    <phoneticPr fontId="60"/>
  </si>
  <si>
    <t>愛羽妖精 ファータ</t>
    <rPh sb="0" eb="1">
      <t>アイ</t>
    </rPh>
    <rPh sb="1" eb="2">
      <t>ハネ</t>
    </rPh>
    <rPh sb="2" eb="4">
      <t>ヨウセイ</t>
    </rPh>
    <phoneticPr fontId="60"/>
  </si>
  <si>
    <t>時計仕掛けの愛羽妖精 ファータ</t>
    <rPh sb="0" eb="4">
      <t>トケイジカ</t>
    </rPh>
    <rPh sb="6" eb="7">
      <t>アイ</t>
    </rPh>
    <rPh sb="7" eb="8">
      <t>ハネ</t>
    </rPh>
    <rPh sb="8" eb="10">
      <t>ヨウセイ</t>
    </rPh>
    <phoneticPr fontId="60"/>
  </si>
  <si>
    <t>ガチャ:デッドマンズ</t>
    <phoneticPr fontId="20"/>
  </si>
  <si>
    <t>PremiumS</t>
    <phoneticPr fontId="53"/>
  </si>
  <si>
    <t>フール</t>
    <phoneticPr fontId="64"/>
  </si>
  <si>
    <t>ガチャ:デッドマンズ</t>
    <phoneticPr fontId="20"/>
  </si>
  <si>
    <t>執行者</t>
    <phoneticPr fontId="20"/>
  </si>
  <si>
    <t>格好いい</t>
    <phoneticPr fontId="20"/>
  </si>
  <si>
    <t>男性</t>
    <phoneticPr fontId="20"/>
  </si>
  <si>
    <t>PremiumSS</t>
    <phoneticPr fontId="53"/>
  </si>
  <si>
    <t>technical</t>
    <phoneticPr fontId="53"/>
  </si>
  <si>
    <t>夢幻の愚者フール</t>
    <rPh sb="0" eb="1">
      <t>ユm</t>
    </rPh>
    <rPh sb="1" eb="2">
      <t>マボロs</t>
    </rPh>
    <rPh sb="2" eb="3">
      <t>ムソ</t>
    </rPh>
    <rPh sb="3" eb="8">
      <t>グsy</t>
    </rPh>
    <phoneticPr fontId="64"/>
  </si>
  <si>
    <t>PremiumSS</t>
    <phoneticPr fontId="53"/>
  </si>
  <si>
    <t>沢庵宗彭</t>
    <phoneticPr fontId="60"/>
  </si>
  <si>
    <t>hp</t>
    <phoneticPr fontId="53"/>
  </si>
  <si>
    <t>魁僧 沢庵宗彭</t>
    <rPh sb="0" eb="1">
      <t>カイ</t>
    </rPh>
    <rPh sb="1" eb="2">
      <t>ソウリョ</t>
    </rPh>
    <phoneticPr fontId="60"/>
  </si>
  <si>
    <t>ガチャ:デッドマンズ</t>
    <phoneticPr fontId="20"/>
  </si>
  <si>
    <t>男性</t>
    <phoneticPr fontId="20"/>
  </si>
  <si>
    <t>hp</t>
    <phoneticPr fontId="53"/>
  </si>
  <si>
    <t xml:space="preserve">命経死遂 沢庵宗彭 </t>
    <rPh sb="1" eb="2">
      <t>ヘ</t>
    </rPh>
    <phoneticPr fontId="60"/>
  </si>
  <si>
    <t>ラグランジュ</t>
  </si>
  <si>
    <t>ガチャ:フィーバーフェス02</t>
    <phoneticPr fontId="20"/>
  </si>
  <si>
    <t>PremiumSSS</t>
    <phoneticPr fontId="53"/>
  </si>
  <si>
    <t>超越自我 ラグランジュ</t>
    <rPh sb="0" eb="2">
      <t>チョウエツ</t>
    </rPh>
    <rPh sb="2" eb="4">
      <t>ジガ</t>
    </rPh>
    <phoneticPr fontId="53"/>
  </si>
  <si>
    <t>重なる世解 シュレディンガー</t>
    <rPh sb="0" eb="1">
      <t>カサ</t>
    </rPh>
    <rPh sb="3" eb="4">
      <t>セカイ</t>
    </rPh>
    <rPh sb="4" eb="5">
      <t>🐚</t>
    </rPh>
    <phoneticPr fontId="53"/>
  </si>
  <si>
    <t>ガチャ:赤フェス01</t>
    <rPh sb="4" eb="5">
      <t>アk</t>
    </rPh>
    <phoneticPr fontId="20"/>
  </si>
  <si>
    <t>none</t>
    <phoneticPr fontId="53"/>
  </si>
  <si>
    <t>暴創の造物 チューリング</t>
    <rPh sb="0" eb="1">
      <t>ボウソウ</t>
    </rPh>
    <rPh sb="1" eb="2">
      <t>ソウ</t>
    </rPh>
    <rPh sb="3" eb="4">
      <t>ツク</t>
    </rPh>
    <rPh sb="4" eb="5">
      <t>ブツ</t>
    </rPh>
    <phoneticPr fontId="53"/>
  </si>
  <si>
    <t>ガチャ:緑フェス01</t>
    <rPh sb="4" eb="5">
      <t>ミドr</t>
    </rPh>
    <phoneticPr fontId="20"/>
  </si>
  <si>
    <t>machine</t>
    <phoneticPr fontId="53"/>
  </si>
  <si>
    <t>直観の異論 ヘンペル</t>
    <rPh sb="0" eb="2">
      <t>チョッカン</t>
    </rPh>
    <rPh sb="3" eb="5">
      <t>イロン</t>
    </rPh>
    <phoneticPr fontId="53"/>
  </si>
  <si>
    <t>ガチャ:青フェス01</t>
    <rPh sb="4" eb="8">
      <t>ア</t>
    </rPh>
    <phoneticPr fontId="20"/>
  </si>
  <si>
    <t>PremiumSSS</t>
    <phoneticPr fontId="53"/>
  </si>
  <si>
    <t>宇宙の拡超 ハップル</t>
    <phoneticPr fontId="53"/>
  </si>
  <si>
    <t>ガチャ:黄フェス01</t>
    <rPh sb="4" eb="5">
      <t>キ</t>
    </rPh>
    <phoneticPr fontId="20"/>
  </si>
  <si>
    <t>yellow</t>
    <phoneticPr fontId="53"/>
  </si>
  <si>
    <t>PremiumSSS</t>
    <phoneticPr fontId="53"/>
  </si>
  <si>
    <t>technical</t>
    <phoneticPr fontId="53"/>
  </si>
  <si>
    <t>human</t>
    <phoneticPr fontId="53"/>
  </si>
  <si>
    <t>none</t>
    <phoneticPr fontId="53"/>
  </si>
  <si>
    <t>グリム</t>
    <phoneticPr fontId="60"/>
  </si>
  <si>
    <t>イベント:ウィザード</t>
    <phoneticPr fontId="53"/>
  </si>
  <si>
    <t>unknown</t>
    <phoneticPr fontId="53"/>
  </si>
  <si>
    <t>収魂の群影 グリム</t>
    <phoneticPr fontId="6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</si>
  <si>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</si>
  <si>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</si>
  <si>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</si>
  <si>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</si>
  <si>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DropWizS</t>
    <phoneticPr fontId="53"/>
  </si>
  <si>
    <t>balance</t>
    <phoneticPr fontId="53"/>
  </si>
  <si>
    <t>normal</t>
    <phoneticPr fontId="53"/>
  </si>
  <si>
    <t>NULL</t>
    <phoneticPr fontId="53"/>
  </si>
  <si>
    <t>ブートレグ・ペロー</t>
    <phoneticPr fontId="60"/>
  </si>
  <si>
    <t>ガチャ:アリスの絵本02</t>
    <rPh sb="8" eb="10">
      <t>エホン</t>
    </rPh>
    <phoneticPr fontId="20"/>
  </si>
  <si>
    <t>執行者</t>
    <phoneticPr fontId="20"/>
  </si>
  <si>
    <t>格好いい</t>
    <phoneticPr fontId="20"/>
  </si>
  <si>
    <t>machine</t>
    <phoneticPr fontId="53"/>
  </si>
  <si>
    <t>跋扈の機脚 ブートレグ・ペロー</t>
    <rPh sb="0" eb="2">
      <t>バッコ</t>
    </rPh>
    <rPh sb="3" eb="4">
      <t>キカイ</t>
    </rPh>
    <rPh sb="4" eb="5">
      <t>キャク</t>
    </rPh>
    <phoneticPr fontId="53"/>
  </si>
  <si>
    <t>執行者</t>
    <phoneticPr fontId="20"/>
  </si>
  <si>
    <t>格好いい</t>
    <phoneticPr fontId="20"/>
  </si>
  <si>
    <t>アタッカー</t>
    <phoneticPr fontId="20"/>
  </si>
  <si>
    <t>NULL</t>
    <phoneticPr fontId="53"/>
  </si>
  <si>
    <t>normal</t>
    <phoneticPr fontId="53"/>
  </si>
  <si>
    <t>ハーメルン</t>
    <phoneticPr fontId="60"/>
  </si>
  <si>
    <t>アタッカー</t>
    <phoneticPr fontId="20"/>
  </si>
  <si>
    <t>NULL</t>
    <phoneticPr fontId="53"/>
  </si>
  <si>
    <t>鼠災呼ぶ笛音 ハーメルン</t>
    <phoneticPr fontId="60"/>
  </si>
  <si>
    <t>PremiumSS</t>
    <phoneticPr fontId="53"/>
  </si>
  <si>
    <t>technical</t>
    <phoneticPr fontId="53"/>
  </si>
  <si>
    <t>human</t>
    <phoneticPr fontId="53"/>
  </si>
  <si>
    <t>normal</t>
    <phoneticPr fontId="53"/>
  </si>
  <si>
    <t>NULL</t>
    <phoneticPr fontId="53"/>
  </si>
  <si>
    <t>エスタブ</t>
    <phoneticPr fontId="60"/>
  </si>
  <si>
    <t>blue</t>
    <phoneticPr fontId="53"/>
  </si>
  <si>
    <t>attack</t>
    <phoneticPr fontId="53"/>
  </si>
  <si>
    <t>アタッカー</t>
    <phoneticPr fontId="20"/>
  </si>
  <si>
    <t>NULL</t>
    <phoneticPr fontId="53"/>
  </si>
  <si>
    <t>偏愛の野獣 エスタブ</t>
    <rPh sb="0" eb="2">
      <t>ヘンアイ</t>
    </rPh>
    <rPh sb="3" eb="5">
      <t>ヤジュウ</t>
    </rPh>
    <phoneticPr fontId="60"/>
  </si>
  <si>
    <t>男性</t>
    <phoneticPr fontId="20"/>
  </si>
  <si>
    <t>blue</t>
    <phoneticPr fontId="53"/>
  </si>
  <si>
    <t>自愛の高魔 エスタブ</t>
    <rPh sb="0" eb="2">
      <t>ジアイ</t>
    </rPh>
    <rPh sb="3" eb="4">
      <t>コウマ</t>
    </rPh>
    <rPh sb="4" eb="5">
      <t>マジョ</t>
    </rPh>
    <phoneticPr fontId="60"/>
  </si>
  <si>
    <t>human</t>
    <phoneticPr fontId="53"/>
  </si>
  <si>
    <t>ラプンツェル</t>
    <phoneticPr fontId="60"/>
  </si>
  <si>
    <t>脈動の禁髪 ラプンツェル</t>
    <rPh sb="0" eb="2">
      <t>ミャクドウ</t>
    </rPh>
    <rPh sb="3" eb="4">
      <t>キン</t>
    </rPh>
    <rPh sb="4" eb="5">
      <t>🔰</t>
    </rPh>
    <phoneticPr fontId="60"/>
  </si>
  <si>
    <t>PremiumSS</t>
    <phoneticPr fontId="53"/>
  </si>
  <si>
    <t>human</t>
    <phoneticPr fontId="53"/>
  </si>
  <si>
    <t>アタッカー</t>
    <phoneticPr fontId="20"/>
  </si>
  <si>
    <t>ラプンツェルじゃなくなった</t>
    <phoneticPr fontId="60"/>
  </si>
  <si>
    <t>アタッカー</t>
    <phoneticPr fontId="20"/>
  </si>
  <si>
    <t>NULL</t>
    <phoneticPr fontId="53"/>
  </si>
  <si>
    <t>テラベル</t>
    <phoneticPr fontId="60"/>
  </si>
  <si>
    <t>イベント:アリスの絵本03</t>
    <rPh sb="9" eb="11">
      <t>エホン</t>
    </rPh>
    <phoneticPr fontId="20"/>
  </si>
  <si>
    <t>執行者</t>
    <phoneticPr fontId="20"/>
  </si>
  <si>
    <t>red</t>
    <phoneticPr fontId="53"/>
  </si>
  <si>
    <t>human</t>
    <phoneticPr fontId="53"/>
  </si>
  <si>
    <t>machine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</si>
  <si>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</si>
  <si>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</si>
  <si>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</si>
  <si>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</si>
  <si>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破獣の爆姫 テラベル</t>
    <rPh sb="0" eb="1">
      <t>ヤブ</t>
    </rPh>
    <rPh sb="1" eb="2">
      <t>ケモノ</t>
    </rPh>
    <rPh sb="3" eb="4">
      <t>バク</t>
    </rPh>
    <rPh sb="4" eb="5">
      <t>ビキ</t>
    </rPh>
    <phoneticPr fontId="60"/>
  </si>
  <si>
    <t>イベント:アリスの絵本03</t>
  </si>
  <si>
    <t>執行者</t>
    <phoneticPr fontId="20"/>
  </si>
  <si>
    <t>格好いい</t>
    <phoneticPr fontId="20"/>
  </si>
  <si>
    <t>machine</t>
    <phoneticPr fontId="53"/>
  </si>
  <si>
    <t>ハイディン・オーガ</t>
    <phoneticPr fontId="60"/>
  </si>
  <si>
    <t>執行者</t>
    <phoneticPr fontId="20"/>
  </si>
  <si>
    <t>格好いい</t>
    <phoneticPr fontId="20"/>
  </si>
  <si>
    <t>green</t>
    <phoneticPr fontId="53"/>
  </si>
  <si>
    <t>attack</t>
    <phoneticPr fontId="53"/>
  </si>
  <si>
    <t>animal</t>
    <phoneticPr fontId="53"/>
  </si>
  <si>
    <t>unknown</t>
    <phoneticPr fontId="53"/>
  </si>
  <si>
    <t>アタッカー</t>
    <phoneticPr fontId="20"/>
  </si>
  <si>
    <t>暴虐の漏洩 ハイディン・オーガ</t>
    <rPh sb="0" eb="2">
      <t>ボウギャク</t>
    </rPh>
    <rPh sb="3" eb="5">
      <t>ロウエイ</t>
    </rPh>
    <phoneticPr fontId="60"/>
  </si>
  <si>
    <t>執行者</t>
    <phoneticPr fontId="20"/>
  </si>
  <si>
    <t>格好いい</t>
    <phoneticPr fontId="20"/>
  </si>
  <si>
    <t>green</t>
    <phoneticPr fontId="53"/>
  </si>
  <si>
    <t>attack</t>
    <phoneticPr fontId="53"/>
  </si>
  <si>
    <t>animal</t>
    <phoneticPr fontId="53"/>
  </si>
  <si>
    <t>ja</t>
    <phoneticPr fontId="53"/>
  </si>
  <si>
    <t>ゴーテル</t>
    <phoneticPr fontId="60"/>
  </si>
  <si>
    <t>machine</t>
    <phoneticPr fontId="53"/>
  </si>
  <si>
    <t>過保護な幽閉者 ゴーテル</t>
    <rPh sb="0" eb="3">
      <t>カホゴ</t>
    </rPh>
    <rPh sb="4" eb="6">
      <t>ユウヘイ</t>
    </rPh>
    <rPh sb="6" eb="7">
      <t>シャ</t>
    </rPh>
    <phoneticPr fontId="60"/>
  </si>
  <si>
    <t>執行者</t>
    <phoneticPr fontId="20"/>
  </si>
  <si>
    <t>格好いい</t>
    <phoneticPr fontId="20"/>
  </si>
  <si>
    <t>blue</t>
    <phoneticPr fontId="53"/>
  </si>
  <si>
    <t>technical</t>
    <phoneticPr fontId="53"/>
  </si>
  <si>
    <t>human</t>
    <phoneticPr fontId="53"/>
  </si>
  <si>
    <t>Gスター・チルドレン</t>
    <phoneticPr fontId="60"/>
  </si>
  <si>
    <t>hp</t>
    <phoneticPr fontId="53"/>
  </si>
  <si>
    <t>none</t>
    <phoneticPr fontId="53"/>
  </si>
  <si>
    <t>normal</t>
    <phoneticPr fontId="53"/>
  </si>
  <si>
    <t>純粋悪意 Gスター・チルドレン</t>
    <rPh sb="0" eb="2">
      <t>ジュンスイ</t>
    </rPh>
    <rPh sb="2" eb="4">
      <t>アクイ</t>
    </rPh>
    <phoneticPr fontId="60"/>
  </si>
  <si>
    <t>unknown</t>
    <phoneticPr fontId="53"/>
  </si>
  <si>
    <t>none</t>
    <phoneticPr fontId="53"/>
  </si>
  <si>
    <t>燃えさかる豪息 ヒュウガ</t>
    <rPh sb="0" eb="1">
      <t>モ</t>
    </rPh>
    <rPh sb="5" eb="6">
      <t>ゴウ</t>
    </rPh>
    <rPh sb="6" eb="7">
      <t>トイキ</t>
    </rPh>
    <phoneticPr fontId="60"/>
  </si>
  <si>
    <t>ノーマルクエスト</t>
    <phoneticPr fontId="20"/>
  </si>
  <si>
    <t>執行者</t>
    <phoneticPr fontId="20"/>
  </si>
  <si>
    <t>格好いい</t>
    <phoneticPr fontId="20"/>
  </si>
  <si>
    <t>dragon</t>
    <phoneticPr fontId="53"/>
  </si>
  <si>
    <t>灼き尽くす紅息 ヒュウガ・レアル</t>
    <phoneticPr fontId="60"/>
  </si>
  <si>
    <t>ノーマルクエスト</t>
    <phoneticPr fontId="20"/>
  </si>
  <si>
    <t>執行者</t>
    <phoneticPr fontId="20"/>
  </si>
  <si>
    <t>格好いい</t>
    <phoneticPr fontId="20"/>
  </si>
  <si>
    <t>男性</t>
    <phoneticPr fontId="20"/>
  </si>
  <si>
    <t>red</t>
    <phoneticPr fontId="53"/>
  </si>
  <si>
    <t>attack</t>
    <phoneticPr fontId="53"/>
  </si>
  <si>
    <t>dragon</t>
    <phoneticPr fontId="53"/>
  </si>
  <si>
    <t>聖火の逆徒 クリスマス・ベリアル</t>
    <rPh sb="0" eb="2">
      <t>セイカ</t>
    </rPh>
    <rPh sb="3" eb="5">
      <t>ギャクト</t>
    </rPh>
    <phoneticPr fontId="60"/>
  </si>
  <si>
    <t>ガチャ:クリスマス2015</t>
    <phoneticPr fontId="20"/>
  </si>
  <si>
    <t>god</t>
    <phoneticPr fontId="53"/>
  </si>
  <si>
    <t>爆進の荷炎 クリスマス・ベリアル</t>
    <rPh sb="0" eb="2">
      <t>バクシン</t>
    </rPh>
    <rPh sb="3" eb="4">
      <t>ニモツ</t>
    </rPh>
    <rPh sb="4" eb="5">
      <t>カエン</t>
    </rPh>
    <phoneticPr fontId="60"/>
  </si>
  <si>
    <t>ガチャ:クリスマス2015</t>
    <phoneticPr fontId="20"/>
  </si>
  <si>
    <t>執行者</t>
    <phoneticPr fontId="20"/>
  </si>
  <si>
    <t>attack</t>
    <phoneticPr fontId="53"/>
  </si>
  <si>
    <t>god</t>
    <phoneticPr fontId="53"/>
  </si>
  <si>
    <t>ja</t>
    <phoneticPr fontId="53"/>
  </si>
  <si>
    <t>祝宴の識徒 サンタクロース・オセ</t>
    <rPh sb="0" eb="1">
      <t>シュクフク</t>
    </rPh>
    <rPh sb="1" eb="2">
      <t>ウタゲ</t>
    </rPh>
    <rPh sb="3" eb="4">
      <t>シキシャ</t>
    </rPh>
    <rPh sb="4" eb="5">
      <t>ト</t>
    </rPh>
    <phoneticPr fontId="60"/>
  </si>
  <si>
    <t>ガチャ:クリスマス2015</t>
  </si>
  <si>
    <t>執行者</t>
    <phoneticPr fontId="20"/>
  </si>
  <si>
    <t>格好いい</t>
    <phoneticPr fontId="20"/>
  </si>
  <si>
    <t>attack</t>
    <phoneticPr fontId="53"/>
  </si>
  <si>
    <t>god</t>
    <phoneticPr fontId="53"/>
  </si>
  <si>
    <t>アタッカー</t>
    <phoneticPr fontId="20"/>
  </si>
  <si>
    <t>NULL</t>
    <phoneticPr fontId="53"/>
  </si>
  <si>
    <t>聖夜の贈主 サンタクロース・オセ</t>
    <rPh sb="0" eb="1">
      <t>セイカ</t>
    </rPh>
    <rPh sb="1" eb="2">
      <t>ヤ</t>
    </rPh>
    <rPh sb="3" eb="4">
      <t>オク</t>
    </rPh>
    <rPh sb="4" eb="5">
      <t>ヌシ</t>
    </rPh>
    <phoneticPr fontId="53"/>
  </si>
  <si>
    <t>god</t>
    <phoneticPr fontId="53"/>
  </si>
  <si>
    <t>聖母 マリア</t>
    <rPh sb="0" eb="1">
      <t>セイボ</t>
    </rPh>
    <rPh sb="1" eb="2">
      <t>ハh</t>
    </rPh>
    <phoneticPr fontId="60"/>
  </si>
  <si>
    <t>執行者</t>
    <phoneticPr fontId="20"/>
  </si>
  <si>
    <t>格好いい</t>
    <phoneticPr fontId="20"/>
  </si>
  <si>
    <t>真冬の誕生祭 マリア</t>
    <rPh sb="0" eb="2">
      <t>マフユ</t>
    </rPh>
    <rPh sb="3" eb="5">
      <t>タンジョウ</t>
    </rPh>
    <rPh sb="5" eb="6">
      <t>マツ</t>
    </rPh>
    <phoneticPr fontId="53"/>
  </si>
  <si>
    <t>執行者</t>
    <phoneticPr fontId="20"/>
  </si>
  <si>
    <t>heal</t>
    <phoneticPr fontId="53"/>
  </si>
  <si>
    <t>normal</t>
    <phoneticPr fontId="53"/>
  </si>
  <si>
    <t>NULL</t>
    <phoneticPr fontId="53"/>
  </si>
  <si>
    <t>秘来の聖天使 ミカエル</t>
    <rPh sb="0" eb="1">
      <t>ヒミツ</t>
    </rPh>
    <rPh sb="1" eb="2">
      <t>ク</t>
    </rPh>
    <rPh sb="3" eb="4">
      <t>セイ</t>
    </rPh>
    <rPh sb="4" eb="6">
      <t>テンシ</t>
    </rPh>
    <phoneticPr fontId="60"/>
  </si>
  <si>
    <t>夜天の聖天使 ミカエル・ハレルヤ</t>
    <rPh sb="0" eb="2">
      <t>ヤテン</t>
    </rPh>
    <rPh sb="3" eb="4">
      <t>セイ</t>
    </rPh>
    <rPh sb="4" eb="6">
      <t>テンシ</t>
    </rPh>
    <phoneticPr fontId="60"/>
  </si>
  <si>
    <t>炎のサンタダック</t>
    <rPh sb="0" eb="1">
      <t>ホノオ</t>
    </rPh>
    <phoneticPr fontId="60"/>
  </si>
  <si>
    <t>イベント:クリスマス2015</t>
    <phoneticPr fontId="20"/>
  </si>
  <si>
    <t>執行者</t>
    <phoneticPr fontId="20"/>
  </si>
  <si>
    <t>exp</t>
    <phoneticPr fontId="53"/>
  </si>
  <si>
    <t>森のサンタダック</t>
    <rPh sb="0" eb="1">
      <t>モリ</t>
    </rPh>
    <phoneticPr fontId="60"/>
  </si>
  <si>
    <t>イベント:クリスマス2015</t>
    <phoneticPr fontId="20"/>
  </si>
  <si>
    <t>水のサンタダック</t>
    <rPh sb="0" eb="1">
      <t>ミズ</t>
    </rPh>
    <phoneticPr fontId="60"/>
  </si>
  <si>
    <t>イベント:クリスマス2015</t>
  </si>
  <si>
    <t>雷のサンタダック</t>
    <rPh sb="0" eb="1">
      <t>カミナリ</t>
    </rPh>
    <phoneticPr fontId="60"/>
  </si>
  <si>
    <t>あけおめダック</t>
    <phoneticPr fontId="60"/>
  </si>
  <si>
    <t>イベント:お正月2016</t>
    <rPh sb="6" eb="8">
      <t>ショ</t>
    </rPh>
    <phoneticPr fontId="20"/>
  </si>
  <si>
    <t>coin</t>
    <phoneticPr fontId="53"/>
  </si>
  <si>
    <t>ウィンタースポーツ 雪ミク</t>
    <rPh sb="10" eb="13">
      <t>ユk</t>
    </rPh>
    <phoneticPr fontId="20"/>
  </si>
  <si>
    <t>イベント:ミクコラボ01</t>
    <phoneticPr fontId="20"/>
  </si>
  <si>
    <t>blue</t>
    <phoneticPr fontId="53"/>
  </si>
  <si>
    <t>Drop2N</t>
    <phoneticPr fontId="53"/>
  </si>
  <si>
    <t>アタッカー</t>
    <phoneticPr fontId="20"/>
  </si>
  <si>
    <t>NULL</t>
    <phoneticPr fontId="53"/>
  </si>
  <si>
    <t>ja</t>
    <phoneticPr fontId="53"/>
  </si>
  <si>
    <t>大滑走 雪ミク&amp;ラビットユキネ</t>
    <rPh sb="0" eb="1">
      <t>オオk</t>
    </rPh>
    <rPh sb="1" eb="3">
      <t>カッソ</t>
    </rPh>
    <rPh sb="4" eb="5">
      <t>ユk</t>
    </rPh>
    <phoneticPr fontId="53"/>
  </si>
  <si>
    <t>イベント:ミクコラボ01</t>
    <phoneticPr fontId="20"/>
  </si>
  <si>
    <t>格好いい</t>
    <phoneticPr fontId="20"/>
  </si>
  <si>
    <t>Drop2N</t>
    <phoneticPr fontId="53"/>
  </si>
  <si>
    <t>heal</t>
    <phoneticPr fontId="53"/>
  </si>
  <si>
    <t>unknown</t>
    <phoneticPr fontId="53"/>
  </si>
  <si>
    <t>初音ミクV3</t>
    <rPh sb="0" eb="2">
      <t>ハツネ</t>
    </rPh>
    <phoneticPr fontId="53"/>
  </si>
  <si>
    <t>イベント:ミクコラボ01</t>
  </si>
  <si>
    <t>DropWizS</t>
    <phoneticPr fontId="53"/>
  </si>
  <si>
    <t>新世の歌姫 初音ミクV3</t>
    <rPh sb="0" eb="2">
      <t>シン</t>
    </rPh>
    <rPh sb="3" eb="5">
      <t>ウt</t>
    </rPh>
    <rPh sb="6" eb="8">
      <t>ハツネ</t>
    </rPh>
    <phoneticPr fontId="53"/>
  </si>
  <si>
    <t>DropWizS</t>
    <phoneticPr fontId="53"/>
  </si>
  <si>
    <t>balance</t>
    <phoneticPr fontId="53"/>
  </si>
  <si>
    <t>冬服ジェリー</t>
    <rPh sb="0" eb="2">
      <t>フユフク</t>
    </rPh>
    <phoneticPr fontId="65"/>
  </si>
  <si>
    <t>冬服ジョー</t>
    <rPh sb="0" eb="2">
      <t>フユフク</t>
    </rPh>
    <phoneticPr fontId="65"/>
  </si>
  <si>
    <t>balance</t>
    <phoneticPr fontId="53"/>
  </si>
  <si>
    <t>冬服ポチ</t>
    <rPh sb="0" eb="2">
      <t>フユフク</t>
    </rPh>
    <phoneticPr fontId="65"/>
  </si>
  <si>
    <t>冬服エレキポット</t>
    <rPh sb="0" eb="2">
      <t>フユフク</t>
    </rPh>
    <phoneticPr fontId="65"/>
  </si>
  <si>
    <t>冬服アカネ</t>
    <rPh sb="0" eb="2">
      <t>フユフク</t>
    </rPh>
    <phoneticPr fontId="65"/>
  </si>
  <si>
    <t>human</t>
    <phoneticPr fontId="53"/>
  </si>
  <si>
    <t>冬服パトライン</t>
    <rPh sb="0" eb="2">
      <t>フユフク</t>
    </rPh>
    <phoneticPr fontId="65"/>
  </si>
  <si>
    <t>machine</t>
    <phoneticPr fontId="53"/>
  </si>
  <si>
    <t>冬服リム</t>
    <rPh sb="0" eb="2">
      <t>フユフク</t>
    </rPh>
    <phoneticPr fontId="65"/>
  </si>
  <si>
    <t>執行者</t>
    <phoneticPr fontId="20"/>
  </si>
  <si>
    <t>machine</t>
    <phoneticPr fontId="53"/>
  </si>
  <si>
    <t>冬服ミミ</t>
    <rPh sb="0" eb="2">
      <t>フユフク</t>
    </rPh>
    <phoneticPr fontId="65"/>
  </si>
  <si>
    <t>執行者</t>
    <phoneticPr fontId="20"/>
  </si>
  <si>
    <t>冬服ハッピー100</t>
    <rPh sb="0" eb="2">
      <t>フユフク</t>
    </rPh>
    <phoneticPr fontId="65"/>
  </si>
  <si>
    <t>DropWizW</t>
    <phoneticPr fontId="53"/>
  </si>
  <si>
    <t>冬服ニムダ</t>
    <rPh sb="0" eb="2">
      <t>フユフク</t>
    </rPh>
    <phoneticPr fontId="65"/>
  </si>
  <si>
    <t>yellow</t>
    <phoneticPr fontId="53"/>
  </si>
  <si>
    <t>unknown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</si>
  <si>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</si>
  <si>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</si>
  <si>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</si>
  <si>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</si>
  <si>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初音ミク・アペンド</t>
    <rPh sb="0" eb="2">
      <t>ハツネ</t>
    </rPh>
    <phoneticPr fontId="53"/>
  </si>
  <si>
    <t>ガチャ:ミクコラボ01</t>
    <phoneticPr fontId="20"/>
  </si>
  <si>
    <t>執行者</t>
    <phoneticPr fontId="20"/>
  </si>
  <si>
    <t>格好いい</t>
    <phoneticPr fontId="20"/>
  </si>
  <si>
    <t>来訪の歌姫 初音ミク・アペンド</t>
    <rPh sb="0" eb="2">
      <t>ライホウ</t>
    </rPh>
    <rPh sb="3" eb="5">
      <t>ウタヒメ</t>
    </rPh>
    <rPh sb="6" eb="8">
      <t>ハツネ</t>
    </rPh>
    <phoneticPr fontId="53"/>
  </si>
  <si>
    <t>ガチャ:ミクコラボ01</t>
    <phoneticPr fontId="20"/>
  </si>
  <si>
    <t>執行者</t>
    <phoneticPr fontId="20"/>
  </si>
  <si>
    <t>格好いい</t>
    <phoneticPr fontId="20"/>
  </si>
  <si>
    <t>初音ミク</t>
  </si>
  <si>
    <t>ガチャ:ミクコラボ01</t>
  </si>
  <si>
    <t>unknown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</si>
  <si>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</si>
  <si>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</si>
  <si>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</si>
  <si>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</si>
  <si>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革命の音撃 初音ミク</t>
    <rPh sb="0" eb="2">
      <t>カクメイ</t>
    </rPh>
    <rPh sb="3" eb="5">
      <t>オンゲキ</t>
    </rPh>
    <phoneticPr fontId="53"/>
  </si>
  <si>
    <t>執行者</t>
    <phoneticPr fontId="20"/>
  </si>
  <si>
    <t>格好いい</t>
    <phoneticPr fontId="20"/>
  </si>
  <si>
    <t>鏡音リン</t>
  </si>
  <si>
    <t>反響の凛音 鏡音リン</t>
    <rPh sb="0" eb="2">
      <t>ハンキョウ</t>
    </rPh>
    <rPh sb="3" eb="4">
      <t>リン</t>
    </rPh>
    <rPh sb="4" eb="5">
      <t>オト</t>
    </rPh>
    <phoneticPr fontId="53"/>
  </si>
  <si>
    <t>鏡音レン</t>
    <phoneticPr fontId="53"/>
  </si>
  <si>
    <t>男性</t>
    <rPh sb="0" eb="2">
      <t>ダンセ</t>
    </rPh>
    <phoneticPr fontId="20"/>
  </si>
  <si>
    <t>PremiumSS</t>
    <phoneticPr fontId="53"/>
  </si>
  <si>
    <t>heal</t>
    <phoneticPr fontId="53"/>
  </si>
  <si>
    <t>unknown</t>
    <phoneticPr fontId="53"/>
  </si>
  <si>
    <t>残響の連符 鏡音レン</t>
    <rPh sb="0" eb="2">
      <t>ザンキョウ</t>
    </rPh>
    <rPh sb="3" eb="5">
      <t>レンプ</t>
    </rPh>
    <rPh sb="6" eb="8">
      <t>カガミネ</t>
    </rPh>
    <phoneticPr fontId="53"/>
  </si>
  <si>
    <t>巡音ルカ</t>
  </si>
  <si>
    <t>乱舞の音環 巡音ルカ</t>
    <rPh sb="0" eb="2">
      <t>ランブ</t>
    </rPh>
    <rPh sb="3" eb="4">
      <t>オンカン</t>
    </rPh>
    <rPh sb="4" eb="5">
      <t>ワ</t>
    </rPh>
    <phoneticPr fontId="53"/>
  </si>
  <si>
    <t>MEIKO</t>
  </si>
  <si>
    <t>解放の絶唱 MEIKO</t>
    <rPh sb="0" eb="2">
      <t>カイホウ</t>
    </rPh>
    <rPh sb="3" eb="5">
      <t>ゼッショウ</t>
    </rPh>
    <phoneticPr fontId="53"/>
  </si>
  <si>
    <t>KAITO</t>
  </si>
  <si>
    <t>blue</t>
    <phoneticPr fontId="53"/>
  </si>
  <si>
    <t>technical</t>
    <phoneticPr fontId="53"/>
  </si>
  <si>
    <t>unknown</t>
    <phoneticPr fontId="53"/>
  </si>
  <si>
    <t>愉悦の愛唱 KAITO</t>
    <rPh sb="0" eb="2">
      <t>ユエツ</t>
    </rPh>
    <rPh sb="3" eb="5">
      <t>アイショウ</t>
    </rPh>
    <phoneticPr fontId="53"/>
  </si>
  <si>
    <t>雪ミク2016</t>
    <rPh sb="0" eb="1">
      <t>ユキ</t>
    </rPh>
    <phoneticPr fontId="53"/>
  </si>
  <si>
    <t>Drop2N</t>
    <phoneticPr fontId="53"/>
  </si>
  <si>
    <t>雪ミク&amp;ラビット・ユキネ2016</t>
    <rPh sb="0" eb="1">
      <t>ユキ</t>
    </rPh>
    <phoneticPr fontId="53"/>
  </si>
  <si>
    <t>Drop2N</t>
    <phoneticPr fontId="53"/>
  </si>
  <si>
    <t>雪ミク2014</t>
  </si>
  <si>
    <t>雪ミク&amp;ラビットユキネ2014</t>
  </si>
  <si>
    <t>ラビット・ユキネ</t>
    <phoneticPr fontId="53"/>
  </si>
  <si>
    <t>イベント:ミクコラボ01</t>
    <phoneticPr fontId="53"/>
  </si>
  <si>
    <t>雪原の超躍 ラビット・ユキネ</t>
    <rPh sb="0" eb="2">
      <t>セツゲン</t>
    </rPh>
    <rPh sb="3" eb="4">
      <t>チョウ</t>
    </rPh>
    <rPh sb="4" eb="5">
      <t>チョウヤク</t>
    </rPh>
    <phoneticPr fontId="53"/>
  </si>
  <si>
    <t>白銀の滑光 ラビット・ユキネ</t>
    <rPh sb="0" eb="2">
      <t>ハクギン</t>
    </rPh>
    <rPh sb="3" eb="4">
      <t>カッコウ</t>
    </rPh>
    <rPh sb="4" eb="5">
      <t>コウ</t>
    </rPh>
    <phoneticPr fontId="53"/>
  </si>
  <si>
    <t>暴骨炎舞の狂賢者 ユノ</t>
    <phoneticPr fontId="53"/>
  </si>
  <si>
    <t>R５覚醒</t>
    <phoneticPr fontId="20"/>
  </si>
  <si>
    <t>PremiumW</t>
    <phoneticPr fontId="53"/>
  </si>
  <si>
    <t>森翠統べる獣姫 アマラ</t>
    <phoneticPr fontId="53"/>
  </si>
  <si>
    <t>月夜砕く蒼狂狼 ローレンス</t>
    <phoneticPr fontId="53"/>
  </si>
  <si>
    <t>PremiumW</t>
    <phoneticPr fontId="53"/>
  </si>
  <si>
    <t>電翔紫閃の雷刃 ハヤト</t>
    <phoneticPr fontId="53"/>
  </si>
  <si>
    <t>遊歩遊泳プリンセス マーメイド</t>
  </si>
  <si>
    <t>紅揚の祭狐宴舞 タマモ</t>
  </si>
  <si>
    <t>空駆ける電能師 テスラ</t>
    <phoneticPr fontId="60"/>
  </si>
  <si>
    <t>DropWizS</t>
    <phoneticPr fontId="53"/>
  </si>
  <si>
    <t>ハッピー102</t>
    <phoneticPr fontId="53"/>
  </si>
  <si>
    <t>ウィルス</t>
    <phoneticPr fontId="20"/>
  </si>
  <si>
    <t>DropWizS</t>
    <phoneticPr fontId="53"/>
  </si>
  <si>
    <t>アタッカー</t>
    <phoneticPr fontId="53"/>
  </si>
  <si>
    <t>幸響の電心 ハッピー</t>
    <phoneticPr fontId="53"/>
  </si>
  <si>
    <t>ウィルス</t>
    <phoneticPr fontId="20"/>
  </si>
  <si>
    <t>ハッピー バレンタイン</t>
    <phoneticPr fontId="66"/>
  </si>
  <si>
    <t>イベント:バレンタイン</t>
    <phoneticPr fontId="20"/>
  </si>
  <si>
    <t>かわいい</t>
    <phoneticPr fontId="20"/>
  </si>
  <si>
    <t>タップブースター</t>
    <phoneticPr fontId="20"/>
  </si>
  <si>
    <t>恋する果実</t>
    <rPh sb="0" eb="1">
      <t>コイ</t>
    </rPh>
    <rPh sb="3" eb="5">
      <t>カジツ</t>
    </rPh>
    <phoneticPr fontId="66"/>
  </si>
  <si>
    <t>skilllevel</t>
    <phoneticPr fontId="53"/>
  </si>
  <si>
    <t>オーディン</t>
  </si>
  <si>
    <t>blue</t>
    <phoneticPr fontId="53"/>
  </si>
  <si>
    <t>DropWizSS</t>
    <phoneticPr fontId="53"/>
  </si>
  <si>
    <t>god</t>
    <phoneticPr fontId="53"/>
  </si>
  <si>
    <t>世慧の守神 オーディン</t>
    <phoneticPr fontId="53"/>
  </si>
  <si>
    <t>執行者</t>
    <phoneticPr fontId="20"/>
  </si>
  <si>
    <t>格好いい</t>
    <phoneticPr fontId="20"/>
  </si>
  <si>
    <t>男性</t>
    <phoneticPr fontId="20"/>
  </si>
  <si>
    <t>blue</t>
    <phoneticPr fontId="53"/>
  </si>
  <si>
    <t>DropWizSS</t>
    <phoneticPr fontId="53"/>
  </si>
  <si>
    <t>hp</t>
    <phoneticPr fontId="53"/>
  </si>
  <si>
    <t>machine</t>
    <phoneticPr fontId="53"/>
  </si>
  <si>
    <t>god</t>
    <phoneticPr fontId="53"/>
  </si>
  <si>
    <t>フレイ</t>
  </si>
  <si>
    <t>red</t>
    <phoneticPr fontId="53"/>
  </si>
  <si>
    <t>統勝の豊穣王神 フレイ</t>
    <phoneticPr fontId="53"/>
  </si>
  <si>
    <t>ビュグヴィルとベイラ</t>
    <phoneticPr fontId="53"/>
  </si>
  <si>
    <t>イベント:北欧01</t>
    <rPh sb="5" eb="7">
      <t>ホk</t>
    </rPh>
    <phoneticPr fontId="20"/>
  </si>
  <si>
    <t>heal</t>
    <phoneticPr fontId="53"/>
  </si>
  <si>
    <t>穣神従事 ビュグヴィルとベイラ</t>
    <phoneticPr fontId="53"/>
  </si>
  <si>
    <t>オーズ</t>
    <phoneticPr fontId="53"/>
  </si>
  <si>
    <t>green</t>
    <phoneticPr fontId="53"/>
  </si>
  <si>
    <t>愛憐の旅神 オーズ</t>
    <rPh sb="0" eb="2">
      <t>ア</t>
    </rPh>
    <rPh sb="3" eb="4">
      <t>タb</t>
    </rPh>
    <rPh sb="4" eb="5">
      <t>カm</t>
    </rPh>
    <phoneticPr fontId="53"/>
  </si>
  <si>
    <t>フギンとムニン</t>
    <phoneticPr fontId="53"/>
  </si>
  <si>
    <t>空を駆る双鴉 フギンとムニン</t>
    <rPh sb="0" eb="1">
      <t>ソr</t>
    </rPh>
    <rPh sb="2" eb="4">
      <t>カケr</t>
    </rPh>
    <rPh sb="4" eb="5">
      <t>ソウ</t>
    </rPh>
    <phoneticPr fontId="53"/>
  </si>
  <si>
    <t>DropWizS</t>
    <phoneticPr fontId="53"/>
  </si>
  <si>
    <t>ミョルニル</t>
    <phoneticPr fontId="53"/>
  </si>
  <si>
    <t>自律する召雷鎚 ミョルニル</t>
    <rPh sb="0" eb="2">
      <t>ジリt</t>
    </rPh>
    <rPh sb="4" eb="5">
      <t>メ</t>
    </rPh>
    <rPh sb="5" eb="6">
      <t>カm</t>
    </rPh>
    <rPh sb="6" eb="7">
      <t>ツイ</t>
    </rPh>
    <phoneticPr fontId="53"/>
  </si>
  <si>
    <t>未定</t>
    <rPh sb="0" eb="2">
      <t>ミテ</t>
    </rPh>
    <phoneticPr fontId="53"/>
  </si>
  <si>
    <t>男性</t>
    <phoneticPr fontId="20"/>
  </si>
  <si>
    <t>PremiumS</t>
    <phoneticPr fontId="53"/>
  </si>
  <si>
    <t>hp</t>
    <phoneticPr fontId="53"/>
  </si>
  <si>
    <t>ユミル</t>
    <phoneticPr fontId="53"/>
  </si>
  <si>
    <t>ガチャ:北欧01</t>
    <rPh sb="4" eb="6">
      <t>ホk</t>
    </rPh>
    <phoneticPr fontId="20"/>
  </si>
  <si>
    <t>PremiumSS</t>
    <phoneticPr fontId="53"/>
  </si>
  <si>
    <t>hp</t>
    <phoneticPr fontId="53"/>
  </si>
  <si>
    <t>machine</t>
    <phoneticPr fontId="53"/>
  </si>
  <si>
    <t>原初の煉鋼巨刃 ユミル</t>
    <rPh sb="0" eb="3">
      <t>ゲンショ</t>
    </rPh>
    <rPh sb="3" eb="4">
      <t>レンゴk</t>
    </rPh>
    <rPh sb="4" eb="5">
      <t>ハガン</t>
    </rPh>
    <rPh sb="5" eb="6">
      <t>キョ</t>
    </rPh>
    <rPh sb="6" eb="7">
      <t>ヤ</t>
    </rPh>
    <phoneticPr fontId="53"/>
  </si>
  <si>
    <t>PremiumSS</t>
    <phoneticPr fontId="53"/>
  </si>
  <si>
    <t>hp</t>
    <phoneticPr fontId="53"/>
  </si>
  <si>
    <t>ニーベルゲン</t>
    <phoneticPr fontId="53"/>
  </si>
  <si>
    <t>不幸の円環 ニーベルゲン</t>
    <rPh sb="0" eb="2">
      <t>フk</t>
    </rPh>
    <rPh sb="3" eb="5">
      <t>エンカン</t>
    </rPh>
    <phoneticPr fontId="53"/>
  </si>
  <si>
    <t>永遠を廻る呪い ニーベルゲン</t>
    <rPh sb="0" eb="2">
      <t>エイエン</t>
    </rPh>
    <rPh sb="3" eb="4">
      <t>マワ</t>
    </rPh>
    <rPh sb="5" eb="7">
      <t>ノロ</t>
    </rPh>
    <phoneticPr fontId="53"/>
  </si>
  <si>
    <t>ファフニール</t>
    <phoneticPr fontId="53"/>
  </si>
  <si>
    <t>dragon</t>
    <phoneticPr fontId="53"/>
  </si>
  <si>
    <t>財宝への執着 ファフニール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</si>
  <si>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</si>
  <si>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</si>
  <si>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</si>
  <si>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</si>
  <si>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妄執する邪毒龍 ファフニール</t>
    <rPh sb="0" eb="1">
      <t>モウソウ</t>
    </rPh>
    <rPh sb="1" eb="2">
      <t>シッピt</t>
    </rPh>
    <rPh sb="4" eb="5">
      <t>ヨコシm</t>
    </rPh>
    <rPh sb="5" eb="6">
      <t>ドk</t>
    </rPh>
    <rPh sb="6" eb="7">
      <t>リュ</t>
    </rPh>
    <phoneticPr fontId="53"/>
  </si>
  <si>
    <t>格好いい</t>
    <phoneticPr fontId="20"/>
  </si>
  <si>
    <t>アルフヘイム</t>
    <phoneticPr fontId="53"/>
  </si>
  <si>
    <t>執行者</t>
    <phoneticPr fontId="20"/>
  </si>
  <si>
    <t>格好いい</t>
    <phoneticPr fontId="20"/>
  </si>
  <si>
    <t>dragon</t>
    <phoneticPr fontId="53"/>
  </si>
  <si>
    <t>光華なる神域 アルフヘイム</t>
    <rPh sb="0" eb="1">
      <t>ヒカr</t>
    </rPh>
    <rPh sb="1" eb="2">
      <t>ハン</t>
    </rPh>
    <rPh sb="4" eb="5">
      <t>カm</t>
    </rPh>
    <rPh sb="5" eb="6">
      <t>iki</t>
    </rPh>
    <phoneticPr fontId="53"/>
  </si>
  <si>
    <t>ムスペルヘイム</t>
    <phoneticPr fontId="53"/>
  </si>
  <si>
    <t>ガチャ:北欧02</t>
    <rPh sb="4" eb="6">
      <t>ホk</t>
    </rPh>
    <phoneticPr fontId="20"/>
  </si>
  <si>
    <t>red</t>
    <phoneticPr fontId="53"/>
  </si>
  <si>
    <t>human</t>
    <phoneticPr fontId="53"/>
  </si>
  <si>
    <t>machine</t>
    <phoneticPr fontId="53"/>
  </si>
  <si>
    <t>灼熱の魂 ムスペルヘイム</t>
    <rPh sb="0" eb="2">
      <t>シャクネt</t>
    </rPh>
    <rPh sb="3" eb="4">
      <t>タm</t>
    </rPh>
    <phoneticPr fontId="53"/>
  </si>
  <si>
    <t>red</t>
    <phoneticPr fontId="53"/>
  </si>
  <si>
    <t>balance</t>
    <phoneticPr fontId="53"/>
  </si>
  <si>
    <t>human</t>
    <phoneticPr fontId="53"/>
  </si>
  <si>
    <t>焼燃の情熱 ムスペルヘイム</t>
    <rPh sb="0" eb="1">
      <t>ヤケr</t>
    </rPh>
    <rPh sb="1" eb="2">
      <t>モ</t>
    </rPh>
    <rPh sb="3" eb="5">
      <t>j</t>
    </rPh>
    <phoneticPr fontId="53"/>
  </si>
  <si>
    <t>ニーズヘッグ</t>
    <phoneticPr fontId="53"/>
  </si>
  <si>
    <t>界下に潜む蛇 ニーズヘッグ</t>
    <rPh sb="0" eb="1">
      <t>カ</t>
    </rPh>
    <rPh sb="1" eb="3">
      <t>シタ</t>
    </rPh>
    <rPh sb="3" eb="5">
      <t>ヒs</t>
    </rPh>
    <rPh sb="5" eb="6">
      <t>ヘビ</t>
    </rPh>
    <phoneticPr fontId="53"/>
  </si>
  <si>
    <t>界根蝕む悪食 ニーズヘッグ</t>
    <rPh sb="0" eb="1">
      <t>カ</t>
    </rPh>
    <rPh sb="1" eb="2">
      <t>コン</t>
    </rPh>
    <rPh sb="2" eb="4">
      <t>ムs</t>
    </rPh>
    <rPh sb="4" eb="6">
      <t>アk</t>
    </rPh>
    <phoneticPr fontId="53"/>
  </si>
  <si>
    <t>フレイヤ</t>
    <phoneticPr fontId="53"/>
  </si>
  <si>
    <t>PremiumSS</t>
    <phoneticPr fontId="53"/>
  </si>
  <si>
    <t>掌愛の豊穣女神 フレイヤ</t>
    <rPh sb="0" eb="1">
      <t>テン</t>
    </rPh>
    <rPh sb="1" eb="2">
      <t>ア</t>
    </rPh>
    <rPh sb="3" eb="5">
      <t>ホ</t>
    </rPh>
    <rPh sb="5" eb="7">
      <t>メg</t>
    </rPh>
    <phoneticPr fontId="53"/>
  </si>
  <si>
    <t>animal</t>
    <phoneticPr fontId="53"/>
  </si>
  <si>
    <t>バルドル</t>
    <phoneticPr fontId="53"/>
  </si>
  <si>
    <t>yellow</t>
    <phoneticPr fontId="53"/>
  </si>
  <si>
    <t>god</t>
    <phoneticPr fontId="53"/>
  </si>
  <si>
    <t>祝福される光耀 バルドル</t>
    <rPh sb="0" eb="2">
      <t>sy</t>
    </rPh>
    <rPh sb="5" eb="7">
      <t>Koyo</t>
    </rPh>
    <phoneticPr fontId="53"/>
  </si>
  <si>
    <t>yellow</t>
    <phoneticPr fontId="53"/>
  </si>
  <si>
    <t>heal</t>
    <phoneticPr fontId="53"/>
  </si>
  <si>
    <t>冀望の光芒 バルドル</t>
    <rPh sb="0" eb="2">
      <t>キb</t>
    </rPh>
    <rPh sb="3" eb="5">
      <t>コウボ</t>
    </rPh>
    <phoneticPr fontId="53"/>
  </si>
  <si>
    <t>メガ攻めの果実</t>
    <phoneticPr fontId="53"/>
  </si>
  <si>
    <t>limitbreak</t>
    <phoneticPr fontId="53"/>
  </si>
  <si>
    <t>メガ生命の果実</t>
    <phoneticPr fontId="60"/>
  </si>
  <si>
    <t>アリス</t>
    <phoneticPr fontId="53"/>
  </si>
  <si>
    <t>limitbreak</t>
    <phoneticPr fontId="53"/>
  </si>
  <si>
    <t>メガ癒しの果実</t>
    <phoneticPr fontId="60"/>
  </si>
  <si>
    <t>blue</t>
    <phoneticPr fontId="53"/>
  </si>
  <si>
    <t>limitbreak</t>
    <phoneticPr fontId="53"/>
  </si>
  <si>
    <t>メガ秘術の果実</t>
    <phoneticPr fontId="60"/>
  </si>
  <si>
    <t>ギガ攻めの果実</t>
    <phoneticPr fontId="60"/>
  </si>
  <si>
    <t>red</t>
    <phoneticPr fontId="53"/>
  </si>
  <si>
    <t>ギガ生命の果実</t>
    <phoneticPr fontId="53"/>
  </si>
  <si>
    <t>ギガ癒しの果実</t>
    <phoneticPr fontId="60"/>
  </si>
  <si>
    <t>ギガ秘術の果実</t>
    <phoneticPr fontId="60"/>
  </si>
  <si>
    <t>アリス</t>
    <phoneticPr fontId="53"/>
  </si>
  <si>
    <t>skilllevel</t>
    <phoneticPr fontId="53"/>
  </si>
  <si>
    <t>ヒュドラ・コスモブラスト</t>
    <phoneticPr fontId="60"/>
  </si>
  <si>
    <t>イベント:150DL</t>
    <phoneticPr fontId="20"/>
  </si>
  <si>
    <t>DropWizN</t>
    <phoneticPr fontId="53"/>
  </si>
  <si>
    <t>リンドブルム・デルタクラスター</t>
    <phoneticPr fontId="60"/>
  </si>
  <si>
    <t>イベント:150DL</t>
    <phoneticPr fontId="20"/>
  </si>
  <si>
    <t>ラーフ・アルマゲドン</t>
    <phoneticPr fontId="60"/>
  </si>
  <si>
    <t>イベント:150DL</t>
  </si>
  <si>
    <t>フェルニゲシュ・オメガドライブ</t>
    <phoneticPr fontId="53"/>
  </si>
  <si>
    <t>メビウス</t>
    <phoneticPr fontId="60"/>
  </si>
  <si>
    <t>ガチャ:DL記念01</t>
    <rPh sb="6" eb="8">
      <t>キネン</t>
    </rPh>
    <phoneticPr fontId="20"/>
  </si>
  <si>
    <t>PremiumSSS</t>
    <phoneticPr fontId="53"/>
  </si>
  <si>
    <t>奇跡の調和 メビウス</t>
    <rPh sb="0" eb="3">
      <t>キセk</t>
    </rPh>
    <rPh sb="3" eb="5">
      <t>チョ</t>
    </rPh>
    <phoneticPr fontId="60"/>
  </si>
  <si>
    <t>格好いい</t>
    <phoneticPr fontId="20"/>
  </si>
  <si>
    <t>blue</t>
    <phoneticPr fontId="53"/>
  </si>
  <si>
    <t>PremiumSSS</t>
    <phoneticPr fontId="53"/>
  </si>
  <si>
    <t>balance</t>
    <phoneticPr fontId="53"/>
  </si>
  <si>
    <t>machine</t>
    <phoneticPr fontId="53"/>
  </si>
  <si>
    <t>終わりなき奇跡 メビウス</t>
    <phoneticPr fontId="60"/>
  </si>
  <si>
    <t>ガチャ:DL記念02</t>
    <rPh sb="6" eb="8">
      <t>キネン</t>
    </rPh>
    <phoneticPr fontId="20"/>
  </si>
  <si>
    <t>格好いい</t>
    <phoneticPr fontId="20"/>
  </si>
  <si>
    <t>フェルマー</t>
    <phoneticPr fontId="53"/>
  </si>
  <si>
    <t>academia</t>
    <phoneticPr fontId="53"/>
  </si>
  <si>
    <t>挑発の尖駆者 フェルマー</t>
    <phoneticPr fontId="53"/>
  </si>
  <si>
    <t>academia</t>
    <phoneticPr fontId="53"/>
  </si>
  <si>
    <t>デカルト</t>
    <phoneticPr fontId="60"/>
  </si>
  <si>
    <t>green</t>
    <phoneticPr fontId="60"/>
  </si>
  <si>
    <t>DropWizN</t>
    <phoneticPr fontId="53"/>
  </si>
  <si>
    <t>NULL</t>
    <phoneticPr fontId="53"/>
  </si>
  <si>
    <t>チャレンジタワー</t>
    <phoneticPr fontId="20"/>
  </si>
  <si>
    <t>執行者</t>
    <phoneticPr fontId="20"/>
  </si>
  <si>
    <t>DropWizN</t>
    <phoneticPr fontId="53"/>
  </si>
  <si>
    <t>attack</t>
    <phoneticPr fontId="53"/>
  </si>
  <si>
    <t>メガラニカ</t>
    <phoneticPr fontId="53"/>
  </si>
  <si>
    <t>green</t>
    <phoneticPr fontId="60"/>
  </si>
  <si>
    <t>PremiumSSw</t>
    <phoneticPr fontId="53"/>
  </si>
  <si>
    <t>unknown</t>
    <phoneticPr fontId="53"/>
  </si>
  <si>
    <t>玄装の指南隊 メガラニカ</t>
    <phoneticPr fontId="53"/>
  </si>
  <si>
    <t>チャレンジタワー</t>
    <phoneticPr fontId="20"/>
  </si>
  <si>
    <t>PremiumSSw</t>
    <phoneticPr fontId="53"/>
  </si>
  <si>
    <t>チャリオット</t>
    <phoneticPr fontId="53"/>
  </si>
  <si>
    <t>明快の突戦車 チャリオット</t>
    <phoneticPr fontId="53"/>
  </si>
  <si>
    <t>normal</t>
    <phoneticPr fontId="53"/>
  </si>
  <si>
    <t>赤アニマル</t>
    <rPh sb="0" eb="1">
      <t>アカ</t>
    </rPh>
    <phoneticPr fontId="60"/>
  </si>
  <si>
    <t>red</t>
    <phoneticPr fontId="60"/>
  </si>
  <si>
    <t>attack</t>
    <phoneticPr fontId="53"/>
  </si>
  <si>
    <t>未定</t>
  </si>
  <si>
    <t>red</t>
    <phoneticPr fontId="60"/>
  </si>
  <si>
    <t>PremiumSS</t>
    <phoneticPr fontId="53"/>
  </si>
  <si>
    <t>赤ドラゴン</t>
    <rPh sb="0" eb="1">
      <t>アカ</t>
    </rPh>
    <phoneticPr fontId="60"/>
  </si>
  <si>
    <t>red</t>
    <phoneticPr fontId="60"/>
  </si>
  <si>
    <t>red</t>
    <phoneticPr fontId="60"/>
  </si>
  <si>
    <t>コードレッド</t>
    <phoneticPr fontId="53"/>
  </si>
  <si>
    <t>増殖感染型コードレッド</t>
    <rPh sb="0" eb="2">
      <t>ゾウショク</t>
    </rPh>
    <rPh sb="2" eb="4">
      <t>カンセン</t>
    </rPh>
    <rPh sb="4" eb="5">
      <t>ガタ</t>
    </rPh>
    <phoneticPr fontId="53"/>
  </si>
  <si>
    <t>コードレッド</t>
    <phoneticPr fontId="60"/>
  </si>
  <si>
    <t>normal</t>
    <phoneticPr fontId="53"/>
  </si>
  <si>
    <t>NULL</t>
    <phoneticPr fontId="53"/>
  </si>
  <si>
    <t>ライオネル</t>
    <phoneticPr fontId="60"/>
  </si>
  <si>
    <t>attack</t>
    <phoneticPr fontId="53"/>
  </si>
  <si>
    <t>attack</t>
    <phoneticPr fontId="53"/>
  </si>
  <si>
    <t>カーマ</t>
    <phoneticPr fontId="60"/>
  </si>
  <si>
    <t>イベント:ウィザード</t>
    <phoneticPr fontId="20"/>
  </si>
  <si>
    <t>愛花天神 カーマ</t>
    <phoneticPr fontId="60"/>
  </si>
  <si>
    <t>滑瓢 ショウキ</t>
    <rPh sb="0" eb="1">
      <t>スベr</t>
    </rPh>
    <rPh sb="1" eb="2">
      <t>ヒョウタン</t>
    </rPh>
    <phoneticPr fontId="60"/>
  </si>
  <si>
    <t>technical</t>
    <phoneticPr fontId="53"/>
  </si>
  <si>
    <t>human</t>
    <phoneticPr fontId="53"/>
  </si>
  <si>
    <t>百鬼夜行の創大将 ショウキ</t>
    <rPh sb="0" eb="2">
      <t>ヒャッk</t>
    </rPh>
    <rPh sb="2" eb="4">
      <t>ヤコ</t>
    </rPh>
    <rPh sb="5" eb="6">
      <t>ツクr</t>
    </rPh>
    <rPh sb="6" eb="8">
      <t>タイsy</t>
    </rPh>
    <phoneticPr fontId="60"/>
  </si>
  <si>
    <t>イベント:ウィザード</t>
    <phoneticPr fontId="20"/>
  </si>
  <si>
    <t>雪女 ユキ</t>
    <rPh sb="0" eb="2">
      <t>ユk</t>
    </rPh>
    <phoneticPr fontId="60"/>
  </si>
  <si>
    <t>イベント:妖怪01</t>
    <rPh sb="5" eb="7">
      <t>ヨウカ</t>
    </rPh>
    <phoneticPr fontId="20"/>
  </si>
  <si>
    <t>blue</t>
    <phoneticPr fontId="60"/>
  </si>
  <si>
    <t>氷麗の雪化生 ユキ</t>
    <rPh sb="0" eb="1">
      <t>ヒョ</t>
    </rPh>
    <rPh sb="1" eb="2">
      <t>ウr</t>
    </rPh>
    <rPh sb="3" eb="4">
      <t>ユキ</t>
    </rPh>
    <rPh sb="4" eb="5">
      <t>ケショウ</t>
    </rPh>
    <rPh sb="5" eb="6">
      <t>イk</t>
    </rPh>
    <phoneticPr fontId="60"/>
  </si>
  <si>
    <t>執行者</t>
    <phoneticPr fontId="20"/>
  </si>
  <si>
    <t>格好いい</t>
    <phoneticPr fontId="20"/>
  </si>
  <si>
    <t>パールヴァティ</t>
    <phoneticPr fontId="60"/>
  </si>
  <si>
    <t>イベント:ヒンドゥー01</t>
    <phoneticPr fontId="20"/>
  </si>
  <si>
    <t>blue</t>
    <phoneticPr fontId="60"/>
  </si>
  <si>
    <t>寄咲く一輪華 パールヴァティ</t>
    <phoneticPr fontId="60"/>
  </si>
  <si>
    <t>イベント:ヒンドゥー01</t>
    <phoneticPr fontId="53"/>
  </si>
  <si>
    <t>DropWizS</t>
    <phoneticPr fontId="53"/>
  </si>
  <si>
    <t>土蜘蛛 ユウヤ</t>
    <rPh sb="0" eb="3">
      <t>ツチグモ</t>
    </rPh>
    <phoneticPr fontId="60"/>
  </si>
  <si>
    <t>yellow</t>
    <phoneticPr fontId="60"/>
  </si>
  <si>
    <t>八重祟障 ユウヤ</t>
    <rPh sb="0" eb="2">
      <t>ヤ</t>
    </rPh>
    <rPh sb="2" eb="3">
      <t>タt</t>
    </rPh>
    <rPh sb="3" eb="4">
      <t>サワr</t>
    </rPh>
    <phoneticPr fontId="60"/>
  </si>
  <si>
    <t>アナンタ</t>
    <phoneticPr fontId="60"/>
  </si>
  <si>
    <t>yellow</t>
    <phoneticPr fontId="60"/>
  </si>
  <si>
    <t>Drop2N</t>
    <phoneticPr fontId="53"/>
  </si>
  <si>
    <t>悠久の狡蛇 アナンタ</t>
    <phoneticPr fontId="60"/>
  </si>
  <si>
    <t>酒呑童子 ヨミ</t>
    <rPh sb="0" eb="4">
      <t>sy</t>
    </rPh>
    <phoneticPr fontId="53"/>
  </si>
  <si>
    <t>yellow</t>
    <phoneticPr fontId="60"/>
  </si>
  <si>
    <t>桜花舞う嵐鬼神 ヨミ</t>
    <rPh sb="0" eb="2">
      <t>オウk</t>
    </rPh>
    <rPh sb="2" eb="3">
      <t>マ</t>
    </rPh>
    <rPh sb="4" eb="5">
      <t>アラs</t>
    </rPh>
    <rPh sb="5" eb="6">
      <t>オン</t>
    </rPh>
    <rPh sb="6" eb="7">
      <t>カm</t>
    </rPh>
    <phoneticPr fontId="53"/>
  </si>
  <si>
    <t>シヴァ</t>
    <phoneticPr fontId="60"/>
  </si>
  <si>
    <t>blue</t>
    <phoneticPr fontId="60"/>
  </si>
  <si>
    <t>DropWizS</t>
    <phoneticPr fontId="53"/>
  </si>
  <si>
    <t>balance</t>
    <phoneticPr fontId="53"/>
  </si>
  <si>
    <t>god</t>
    <phoneticPr fontId="53"/>
  </si>
  <si>
    <t>アタッカー</t>
    <phoneticPr fontId="20"/>
  </si>
  <si>
    <t>NULL</t>
    <phoneticPr fontId="53"/>
  </si>
  <si>
    <t>normal</t>
    <phoneticPr fontId="53"/>
  </si>
  <si>
    <t>NULL</t>
    <phoneticPr fontId="53"/>
  </si>
  <si>
    <t>ja</t>
    <phoneticPr fontId="53"/>
  </si>
  <si>
    <t>解滅の裁神 シヴァ</t>
    <phoneticPr fontId="60"/>
  </si>
  <si>
    <t>イベント:ウィザード</t>
    <phoneticPr fontId="20"/>
  </si>
  <si>
    <t>執行者</t>
    <phoneticPr fontId="20"/>
  </si>
  <si>
    <t>blue</t>
    <phoneticPr fontId="60"/>
  </si>
  <si>
    <t>DropWizS</t>
    <phoneticPr fontId="53"/>
  </si>
  <si>
    <t>god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</si>
  <si>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</si>
  <si>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</si>
  <si>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</si>
  <si>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</si>
  <si>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猫又 クルミ</t>
    <rPh sb="0" eb="2">
      <t>ネk</t>
    </rPh>
    <phoneticPr fontId="60"/>
  </si>
  <si>
    <t>ガチャ:妖怪01</t>
    <rPh sb="4" eb="6">
      <t>ヨウカ</t>
    </rPh>
    <phoneticPr fontId="20"/>
  </si>
  <si>
    <t>red</t>
    <phoneticPr fontId="60"/>
  </si>
  <si>
    <t>attack</t>
    <phoneticPr fontId="53"/>
  </si>
  <si>
    <t>跳梁する化猫 クルミ</t>
    <rPh sb="0" eb="2">
      <t>チョ</t>
    </rPh>
    <rPh sb="4" eb="5">
      <t>バ</t>
    </rPh>
    <rPh sb="5" eb="6">
      <t>ネコ</t>
    </rPh>
    <phoneticPr fontId="60"/>
  </si>
  <si>
    <t>red</t>
    <phoneticPr fontId="60"/>
  </si>
  <si>
    <t>烏天狗 フウガ</t>
    <rPh sb="0" eb="3">
      <t>カラステンg</t>
    </rPh>
    <phoneticPr fontId="60"/>
  </si>
  <si>
    <t>green</t>
    <phoneticPr fontId="60"/>
  </si>
  <si>
    <t>PremiumSS</t>
    <phoneticPr fontId="53"/>
  </si>
  <si>
    <t>balance</t>
    <phoneticPr fontId="53"/>
  </si>
  <si>
    <t>疾風の天狗礫 フウガ</t>
    <rPh sb="0" eb="2">
      <t>シッp</t>
    </rPh>
    <rPh sb="3" eb="6">
      <t>テンg</t>
    </rPh>
    <phoneticPr fontId="60"/>
  </si>
  <si>
    <t>ダイダラ</t>
    <phoneticPr fontId="60"/>
  </si>
  <si>
    <t>blue</t>
    <phoneticPr fontId="60"/>
  </si>
  <si>
    <t>PremiumS</t>
    <phoneticPr fontId="53"/>
  </si>
  <si>
    <t>都揺らす地響き ダイダラ</t>
    <rPh sb="0" eb="1">
      <t>ミヤk</t>
    </rPh>
    <rPh sb="1" eb="4">
      <t>ユラs</t>
    </rPh>
    <rPh sb="4" eb="5">
      <t>ジヒビk</t>
    </rPh>
    <rPh sb="5" eb="6">
      <t>ヒb</t>
    </rPh>
    <phoneticPr fontId="60"/>
  </si>
  <si>
    <t>山掴み国造り ダイダラ</t>
    <rPh sb="0" eb="1">
      <t>ヤm</t>
    </rPh>
    <rPh sb="1" eb="2">
      <t>ツカ</t>
    </rPh>
    <rPh sb="3" eb="4">
      <t>クン</t>
    </rPh>
    <rPh sb="4" eb="5">
      <t>ヅク</t>
    </rPh>
    <phoneticPr fontId="60"/>
  </si>
  <si>
    <t>座敷童子 テマリ</t>
    <rPh sb="0" eb="3">
      <t>ザシキワラシ</t>
    </rPh>
    <rPh sb="3" eb="4">
      <t>コ</t>
    </rPh>
    <phoneticPr fontId="60"/>
  </si>
  <si>
    <t>拡散する幸福 テマリ</t>
    <rPh sb="0" eb="2">
      <t>カクサン</t>
    </rPh>
    <rPh sb="4" eb="6">
      <t>コウフk</t>
    </rPh>
    <phoneticPr fontId="60"/>
  </si>
  <si>
    <t>最幸運の妖童 テマリ</t>
    <rPh sb="0" eb="1">
      <t>モットm</t>
    </rPh>
    <rPh sb="1" eb="3">
      <t>コ</t>
    </rPh>
    <rPh sb="4" eb="5">
      <t>アy</t>
    </rPh>
    <rPh sb="5" eb="6">
      <t>ワラb</t>
    </rPh>
    <phoneticPr fontId="60"/>
  </si>
  <si>
    <t>アグニ</t>
    <phoneticPr fontId="60"/>
  </si>
  <si>
    <t>ガチャ:ヒンドゥ-01</t>
    <phoneticPr fontId="53"/>
  </si>
  <si>
    <t>red</t>
    <phoneticPr fontId="60"/>
  </si>
  <si>
    <t>天地の仲界 アグニ</t>
    <rPh sb="0" eb="2">
      <t>テンt</t>
    </rPh>
    <rPh sb="3" eb="4">
      <t>チュ</t>
    </rPh>
    <rPh sb="4" eb="5">
      <t>カイ</t>
    </rPh>
    <phoneticPr fontId="60"/>
  </si>
  <si>
    <t>ガチャ:ヒンドゥ-01</t>
    <phoneticPr fontId="53"/>
  </si>
  <si>
    <t>hp</t>
    <phoneticPr fontId="53"/>
  </si>
  <si>
    <t>陽天の噴煙 アグニ</t>
    <rPh sb="0" eb="1">
      <t>ヨウコ</t>
    </rPh>
    <rPh sb="1" eb="2">
      <t>テン</t>
    </rPh>
    <rPh sb="3" eb="5">
      <t>フン</t>
    </rPh>
    <phoneticPr fontId="60"/>
  </si>
  <si>
    <t>ガチャ:ヒンドゥ-01</t>
  </si>
  <si>
    <t>ハヌマーン</t>
    <phoneticPr fontId="60"/>
  </si>
  <si>
    <t>西遊韋駄天 ハヌマーン</t>
    <rPh sb="0" eb="2">
      <t>サイユ</t>
    </rPh>
    <rPh sb="2" eb="5">
      <t>イダテン</t>
    </rPh>
    <phoneticPr fontId="60"/>
  </si>
  <si>
    <t>変幻自在の猿王 ハヌマーン</t>
    <rPh sb="0" eb="4">
      <t>ヘンg</t>
    </rPh>
    <rPh sb="5" eb="6">
      <t>サr</t>
    </rPh>
    <rPh sb="6" eb="7">
      <t>オ</t>
    </rPh>
    <phoneticPr fontId="60"/>
  </si>
  <si>
    <t>サラスヴァティ</t>
    <phoneticPr fontId="60"/>
  </si>
  <si>
    <t>芸楽の奔流 サラスヴァティ</t>
    <rPh sb="0" eb="1">
      <t>ゲ</t>
    </rPh>
    <rPh sb="1" eb="2">
      <t>タン</t>
    </rPh>
    <rPh sb="3" eb="5">
      <t>ホンリュ</t>
    </rPh>
    <phoneticPr fontId="60"/>
  </si>
  <si>
    <t>ヴィシュヌ</t>
    <phoneticPr fontId="60"/>
  </si>
  <si>
    <t>武遊闊歩 ヴィシュヌ</t>
    <rPh sb="0" eb="1">
      <t>ブユ</t>
    </rPh>
    <rPh sb="1" eb="2">
      <t>アソb</t>
    </rPh>
    <rPh sb="2" eb="4">
      <t>カッp</t>
    </rPh>
    <phoneticPr fontId="60"/>
  </si>
  <si>
    <t>レイヴン</t>
    <phoneticPr fontId="60"/>
  </si>
  <si>
    <t>ガチャ:ホワイトデー2016</t>
    <phoneticPr fontId="20"/>
  </si>
  <si>
    <t>PremiumSS</t>
    <phoneticPr fontId="53"/>
  </si>
  <si>
    <t>孤高の王子　レイヴン</t>
    <rPh sb="0" eb="2">
      <t>ココウ</t>
    </rPh>
    <rPh sb="3" eb="5">
      <t>オ</t>
    </rPh>
    <phoneticPr fontId="60"/>
  </si>
  <si>
    <t>PremiumSS</t>
    <phoneticPr fontId="53"/>
  </si>
  <si>
    <t>attack</t>
    <phoneticPr fontId="53"/>
  </si>
  <si>
    <t>炎のプレゼントケロケロ</t>
    <rPh sb="0" eb="1">
      <t>ホノオ</t>
    </rPh>
    <phoneticPr fontId="60"/>
  </si>
  <si>
    <t>イベント;ホワイトデー2016</t>
    <phoneticPr fontId="20"/>
  </si>
  <si>
    <t>Material</t>
    <phoneticPr fontId="53"/>
  </si>
  <si>
    <t>経験値素材</t>
    <rPh sb="0" eb="5">
      <t>ケイケンチソザイ</t>
    </rPh>
    <phoneticPr fontId="20"/>
  </si>
  <si>
    <t>NULL</t>
    <phoneticPr fontId="53"/>
  </si>
  <si>
    <t>ja</t>
    <phoneticPr fontId="53"/>
  </si>
  <si>
    <t>炎のプレゼントフロッグ</t>
    <rPh sb="0" eb="1">
      <t>ホノオ</t>
    </rPh>
    <phoneticPr fontId="60"/>
  </si>
  <si>
    <t>exp</t>
    <phoneticPr fontId="53"/>
  </si>
  <si>
    <t>森のプレゼントケロケロ</t>
    <rPh sb="0" eb="1">
      <t>モリ</t>
    </rPh>
    <phoneticPr fontId="60"/>
  </si>
  <si>
    <t>イベント;ホワイトデー2016</t>
  </si>
  <si>
    <t>森のプレゼントフロッグ</t>
    <rPh sb="0" eb="1">
      <t>モリ</t>
    </rPh>
    <phoneticPr fontId="60"/>
  </si>
  <si>
    <t>水のプレゼントケロケロ</t>
    <rPh sb="0" eb="1">
      <t>ミズ</t>
    </rPh>
    <phoneticPr fontId="60"/>
  </si>
  <si>
    <t>水のプレゼントフロッグ</t>
    <rPh sb="0" eb="1">
      <t>ミズ</t>
    </rPh>
    <phoneticPr fontId="60"/>
  </si>
  <si>
    <t>雷のプレゼントケロケロ</t>
    <rPh sb="0" eb="1">
      <t>カミナリ</t>
    </rPh>
    <phoneticPr fontId="60"/>
  </si>
  <si>
    <t>雷のプレゼントフロッグ</t>
    <rPh sb="0" eb="1">
      <t>カミナリ</t>
    </rPh>
    <phoneticPr fontId="60"/>
  </si>
  <si>
    <t>ユークリッド</t>
    <phoneticPr fontId="60"/>
  </si>
  <si>
    <t>ガチャ:フィーバーフェス04</t>
    <phoneticPr fontId="20"/>
  </si>
  <si>
    <t>執行者</t>
    <phoneticPr fontId="20"/>
  </si>
  <si>
    <t>根原論理 ユークリッド</t>
    <phoneticPr fontId="53"/>
  </si>
  <si>
    <t>ガチャ:フィーバーフェス04</t>
    <phoneticPr fontId="20"/>
  </si>
  <si>
    <t>執行者</t>
    <phoneticPr fontId="20"/>
  </si>
  <si>
    <t>格好いい</t>
    <phoneticPr fontId="20"/>
  </si>
  <si>
    <t>blue</t>
    <phoneticPr fontId="53"/>
  </si>
  <si>
    <t>アタッカー</t>
    <phoneticPr fontId="20"/>
  </si>
  <si>
    <t>NULL</t>
    <phoneticPr fontId="53"/>
  </si>
  <si>
    <t>normal</t>
    <phoneticPr fontId="53"/>
  </si>
  <si>
    <t>NULL</t>
    <phoneticPr fontId="53"/>
  </si>
  <si>
    <t>ja</t>
    <phoneticPr fontId="53"/>
  </si>
  <si>
    <t>不朽の極論 ユークリッド</t>
    <phoneticPr fontId="53"/>
  </si>
  <si>
    <t>human</t>
    <phoneticPr fontId="53"/>
  </si>
  <si>
    <t>黒沼青葉</t>
    <rPh sb="0" eb="2">
      <t>クロヌマ</t>
    </rPh>
    <rPh sb="2" eb="4">
      <t>アオバ</t>
    </rPh>
    <phoneticPr fontId="20"/>
  </si>
  <si>
    <t>イベント:デュラララ01 青葉</t>
    <rPh sb="13" eb="15">
      <t>ア</t>
    </rPh>
    <phoneticPr fontId="53"/>
  </si>
  <si>
    <t>男性</t>
    <phoneticPr fontId="20"/>
  </si>
  <si>
    <t>blue</t>
    <phoneticPr fontId="53"/>
  </si>
  <si>
    <t>Drop2N</t>
    <phoneticPr fontId="53"/>
  </si>
  <si>
    <t>dr</t>
    <phoneticPr fontId="53"/>
  </si>
  <si>
    <t>ja</t>
    <phoneticPr fontId="53"/>
  </si>
  <si>
    <t>暗躍する偽帝　黒沼青葉</t>
    <rPh sb="0" eb="2">
      <t>アンヤク</t>
    </rPh>
    <rPh sb="4" eb="5">
      <t>ギ</t>
    </rPh>
    <rPh sb="5" eb="6">
      <t>ギテイ</t>
    </rPh>
    <rPh sb="7" eb="9">
      <t>クロヌマ</t>
    </rPh>
    <rPh sb="9" eb="11">
      <t>アオバ</t>
    </rPh>
    <phoneticPr fontId="20"/>
  </si>
  <si>
    <t>blue</t>
    <phoneticPr fontId="53"/>
  </si>
  <si>
    <t>Drop2N</t>
    <phoneticPr fontId="53"/>
  </si>
  <si>
    <t>dr</t>
    <phoneticPr fontId="53"/>
  </si>
  <si>
    <t>アタッカー</t>
    <phoneticPr fontId="20"/>
  </si>
  <si>
    <t>紀田正臣</t>
    <rPh sb="0" eb="2">
      <t>キダ</t>
    </rPh>
    <rPh sb="2" eb="4">
      <t>マサ</t>
    </rPh>
    <phoneticPr fontId="53"/>
  </si>
  <si>
    <t>イベント:デュラララ01 正臣</t>
    <rPh sb="13" eb="15">
      <t>マサオm</t>
    </rPh>
    <phoneticPr fontId="53"/>
  </si>
  <si>
    <t>格好いい</t>
    <phoneticPr fontId="20"/>
  </si>
  <si>
    <t>男性</t>
    <phoneticPr fontId="20"/>
  </si>
  <si>
    <t>yellow</t>
    <phoneticPr fontId="53"/>
  </si>
  <si>
    <t>dr</t>
    <phoneticPr fontId="53"/>
  </si>
  <si>
    <t>アタッカー</t>
    <phoneticPr fontId="20"/>
  </si>
  <si>
    <t>NULL</t>
    <phoneticPr fontId="53"/>
  </si>
  <si>
    <t>黄巾賊の将軍　紀田正臣</t>
    <rPh sb="0" eb="2">
      <t>コウキンゾク</t>
    </rPh>
    <rPh sb="2" eb="3">
      <t>ゾク</t>
    </rPh>
    <rPh sb="4" eb="6">
      <t>ショウグン</t>
    </rPh>
    <rPh sb="7" eb="9">
      <t>キダ</t>
    </rPh>
    <rPh sb="9" eb="11">
      <t>マサ</t>
    </rPh>
    <phoneticPr fontId="53"/>
  </si>
  <si>
    <t>dr</t>
    <phoneticPr fontId="53"/>
  </si>
  <si>
    <t>human</t>
    <phoneticPr fontId="53"/>
  </si>
  <si>
    <t>セルティ</t>
    <phoneticPr fontId="53"/>
  </si>
  <si>
    <t>イベント:デュラララ01 セルティ</t>
    <phoneticPr fontId="53"/>
  </si>
  <si>
    <t>ja</t>
    <phoneticPr fontId="53"/>
  </si>
  <si>
    <t>生きる都市伝説　セルティ</t>
    <rPh sb="0" eb="1">
      <t>イ</t>
    </rPh>
    <rPh sb="3" eb="7">
      <t>トシデンセツ</t>
    </rPh>
    <phoneticPr fontId="53"/>
  </si>
  <si>
    <t>イベント:デュラララ01 セルティ</t>
    <phoneticPr fontId="53"/>
  </si>
  <si>
    <t>yellow</t>
    <phoneticPr fontId="53"/>
  </si>
  <si>
    <t>アタッカー</t>
    <phoneticPr fontId="20"/>
  </si>
  <si>
    <t>normal</t>
    <phoneticPr fontId="53"/>
  </si>
  <si>
    <t>黒影の首なしライダー　セルティ</t>
    <rPh sb="0" eb="2">
      <t>コクエイ</t>
    </rPh>
    <rPh sb="3" eb="4">
      <t>クビ</t>
    </rPh>
    <phoneticPr fontId="53"/>
  </si>
  <si>
    <t>dr</t>
    <phoneticPr fontId="53"/>
  </si>
  <si>
    <t>ja</t>
    <phoneticPr fontId="53"/>
  </si>
  <si>
    <t>園原杏里</t>
    <rPh sb="0" eb="4">
      <t>ソノハラアン</t>
    </rPh>
    <phoneticPr fontId="53"/>
  </si>
  <si>
    <t>イベント:デュラララ01　杏里</t>
    <rPh sb="13" eb="15">
      <t>アンr</t>
    </rPh>
    <phoneticPr fontId="53"/>
  </si>
  <si>
    <t>依存の母愛　園原杏里</t>
    <rPh sb="0" eb="2">
      <t>イゾンノボアイ</t>
    </rPh>
    <rPh sb="3" eb="5">
      <t>ボアイ</t>
    </rPh>
    <rPh sb="6" eb="10">
      <t>ソノハラアン</t>
    </rPh>
    <phoneticPr fontId="53"/>
  </si>
  <si>
    <t>DropWizS</t>
    <phoneticPr fontId="53"/>
  </si>
  <si>
    <t>human</t>
    <phoneticPr fontId="53"/>
  </si>
  <si>
    <t>unknown</t>
    <phoneticPr fontId="53"/>
  </si>
  <si>
    <t>折原臨也</t>
    <rPh sb="0" eb="2">
      <t>オリハラ</t>
    </rPh>
    <rPh sb="2" eb="3">
      <t>リン</t>
    </rPh>
    <rPh sb="3" eb="4">
      <t>ヤ</t>
    </rPh>
    <phoneticPr fontId="53"/>
  </si>
  <si>
    <t>イベント:デュラララ01　折原</t>
    <rPh sb="13" eb="15">
      <t>オリハr</t>
    </rPh>
    <phoneticPr fontId="53"/>
  </si>
  <si>
    <t>dr</t>
    <phoneticPr fontId="53"/>
  </si>
  <si>
    <t>謀略の情報屋 折原臨也</t>
    <rPh sb="0" eb="2">
      <t>ボウリャク</t>
    </rPh>
    <rPh sb="3" eb="5">
      <t>ジョウホウ</t>
    </rPh>
    <rPh sb="5" eb="6">
      <t>ヤ</t>
    </rPh>
    <rPh sb="7" eb="9">
      <t>オリハラ</t>
    </rPh>
    <rPh sb="9" eb="10">
      <t>リン</t>
    </rPh>
    <rPh sb="10" eb="11">
      <t>ヤ</t>
    </rPh>
    <phoneticPr fontId="53"/>
  </si>
  <si>
    <t>DropWizS</t>
    <phoneticPr fontId="53"/>
  </si>
  <si>
    <t>dr</t>
    <phoneticPr fontId="53"/>
  </si>
  <si>
    <t>アタッカー</t>
    <phoneticPr fontId="20"/>
  </si>
  <si>
    <t>NULL</t>
    <phoneticPr fontId="53"/>
  </si>
  <si>
    <t>サイモン</t>
    <phoneticPr fontId="53"/>
  </si>
  <si>
    <t>ガチャ:デュラララ01　サイモン</t>
    <phoneticPr fontId="53"/>
  </si>
  <si>
    <t>執行者</t>
    <phoneticPr fontId="20"/>
  </si>
  <si>
    <t>dr</t>
    <phoneticPr fontId="53"/>
  </si>
  <si>
    <t>human</t>
    <phoneticPr fontId="53"/>
  </si>
  <si>
    <t>アタッカー</t>
    <phoneticPr fontId="20"/>
  </si>
  <si>
    <t>豪腕静穏な寿司屋　サイモン</t>
    <rPh sb="0" eb="2">
      <t>ゴウワン</t>
    </rPh>
    <rPh sb="2" eb="4">
      <t>セイオン</t>
    </rPh>
    <rPh sb="5" eb="8">
      <t>スシヤ</t>
    </rPh>
    <phoneticPr fontId="53"/>
  </si>
  <si>
    <t>ガチャ:デュラララ01　サイモン</t>
    <phoneticPr fontId="53"/>
  </si>
  <si>
    <t>男性</t>
    <phoneticPr fontId="20"/>
  </si>
  <si>
    <t>red</t>
    <phoneticPr fontId="53"/>
  </si>
  <si>
    <t>dr</t>
    <phoneticPr fontId="53"/>
  </si>
  <si>
    <t>贄川春奈</t>
    <rPh sb="0" eb="2">
      <t>ニエカ</t>
    </rPh>
    <rPh sb="2" eb="4">
      <t>ハルナ</t>
    </rPh>
    <phoneticPr fontId="53"/>
  </si>
  <si>
    <t>ガチャ:デュラララ01　贄川</t>
    <rPh sb="12" eb="14">
      <t>ニ</t>
    </rPh>
    <phoneticPr fontId="53"/>
  </si>
  <si>
    <t>PremiumN</t>
    <phoneticPr fontId="53"/>
  </si>
  <si>
    <t>human</t>
    <phoneticPr fontId="53"/>
  </si>
  <si>
    <t>狂愛なる罪歌の子　贄川春奈</t>
    <rPh sb="0" eb="2">
      <t>キョウアイ</t>
    </rPh>
    <rPh sb="4" eb="5">
      <t>ザイ</t>
    </rPh>
    <rPh sb="5" eb="6">
      <t>ウタ</t>
    </rPh>
    <rPh sb="7" eb="8">
      <t>コ</t>
    </rPh>
    <rPh sb="9" eb="11">
      <t>ニエカ</t>
    </rPh>
    <rPh sb="11" eb="13">
      <t>ハルナ</t>
    </rPh>
    <phoneticPr fontId="53"/>
  </si>
  <si>
    <t>ガチャ:デュラララ01　贄川</t>
    <rPh sb="12" eb="14">
      <t>ニエカw</t>
    </rPh>
    <phoneticPr fontId="53"/>
  </si>
  <si>
    <t>PremiumN</t>
    <phoneticPr fontId="53"/>
  </si>
  <si>
    <t>岸谷新羅</t>
    <rPh sb="0" eb="4">
      <t>キシタニシンラ</t>
    </rPh>
    <phoneticPr fontId="53"/>
  </si>
  <si>
    <t>ガチャ:デュラララ01　岸谷</t>
    <rPh sb="12" eb="14">
      <t>キs</t>
    </rPh>
    <phoneticPr fontId="53"/>
  </si>
  <si>
    <t>愛月撤灯の闇医者　岸谷新羅</t>
    <rPh sb="0" eb="2">
      <t>アイゲツ</t>
    </rPh>
    <rPh sb="2" eb="3">
      <t>テツ</t>
    </rPh>
    <rPh sb="3" eb="4">
      <t>トウ</t>
    </rPh>
    <rPh sb="5" eb="8">
      <t>シュッチョウヤミイシャ</t>
    </rPh>
    <rPh sb="9" eb="13">
      <t>キシタニシンラ</t>
    </rPh>
    <phoneticPr fontId="53"/>
  </si>
  <si>
    <t>ガチャ:デュラララ01　岸谷</t>
    <rPh sb="12" eb="14">
      <t>キシタン</t>
    </rPh>
    <phoneticPr fontId="53"/>
  </si>
  <si>
    <t>門田京平</t>
    <rPh sb="0" eb="2">
      <t>カドタ</t>
    </rPh>
    <rPh sb="2" eb="4">
      <t>キョウヘイ</t>
    </rPh>
    <phoneticPr fontId="53"/>
  </si>
  <si>
    <t>ガチャ:デュラララ01　門田</t>
    <rPh sb="12" eb="13">
      <t>カd</t>
    </rPh>
    <rPh sb="13" eb="14">
      <t>タ</t>
    </rPh>
    <phoneticPr fontId="53"/>
  </si>
  <si>
    <t>PremiumN</t>
    <phoneticPr fontId="53"/>
  </si>
  <si>
    <t>不穢の抑止力　門田京平</t>
    <rPh sb="0" eb="1">
      <t>フ</t>
    </rPh>
    <rPh sb="1" eb="2">
      <t>Y</t>
    </rPh>
    <rPh sb="3" eb="6">
      <t>ヨクシリョク</t>
    </rPh>
    <rPh sb="7" eb="9">
      <t>カドタ</t>
    </rPh>
    <rPh sb="9" eb="11">
      <t>キョウヘイ</t>
    </rPh>
    <phoneticPr fontId="53"/>
  </si>
  <si>
    <t>ガチャ:デュラララ01　門田</t>
    <rPh sb="12" eb="13">
      <t>カd</t>
    </rPh>
    <rPh sb="13" eb="14">
      <t>ダ</t>
    </rPh>
    <phoneticPr fontId="53"/>
  </si>
  <si>
    <t>PremiumN</t>
    <phoneticPr fontId="53"/>
  </si>
  <si>
    <t>dr</t>
    <phoneticPr fontId="53"/>
  </si>
  <si>
    <t>田中トム</t>
    <rPh sb="0" eb="2">
      <t>タナカ</t>
    </rPh>
    <phoneticPr fontId="53"/>
  </si>
  <si>
    <t>ガチャ:デュラララ01　田中</t>
    <rPh sb="12" eb="14">
      <t>タン</t>
    </rPh>
    <phoneticPr fontId="53"/>
  </si>
  <si>
    <t>平衡調和の取り立て屋　田中トム</t>
    <rPh sb="0" eb="2">
      <t>ヘイコウ</t>
    </rPh>
    <rPh sb="2" eb="4">
      <t>チョウワ</t>
    </rPh>
    <rPh sb="5" eb="6">
      <t>ト</t>
    </rPh>
    <rPh sb="7" eb="8">
      <t>タ</t>
    </rPh>
    <rPh sb="9" eb="10">
      <t>ヤ</t>
    </rPh>
    <rPh sb="10" eb="13">
      <t>タナカ</t>
    </rPh>
    <phoneticPr fontId="53"/>
  </si>
  <si>
    <t>竜ヶ峰帝人</t>
    <rPh sb="0" eb="1">
      <t>リュウ</t>
    </rPh>
    <rPh sb="1" eb="3">
      <t>キリ</t>
    </rPh>
    <rPh sb="3" eb="4">
      <t>ミカド</t>
    </rPh>
    <rPh sb="4" eb="5">
      <t>ヒト</t>
    </rPh>
    <phoneticPr fontId="53"/>
  </si>
  <si>
    <t>ガチャ:デュラララ01　帝人</t>
    <rPh sb="12" eb="14">
      <t>ミカd</t>
    </rPh>
    <phoneticPr fontId="53"/>
  </si>
  <si>
    <t>始まりの創始者　竜ヶ峰帝人</t>
    <rPh sb="0" eb="1">
      <t>ハジ</t>
    </rPh>
    <rPh sb="4" eb="7">
      <t>ソウシシャ</t>
    </rPh>
    <rPh sb="8" eb="9">
      <t>リュウ</t>
    </rPh>
    <rPh sb="9" eb="11">
      <t>キリ</t>
    </rPh>
    <rPh sb="11" eb="12">
      <t>ミカド</t>
    </rPh>
    <rPh sb="12" eb="13">
      <t>ヒト</t>
    </rPh>
    <phoneticPr fontId="53"/>
  </si>
  <si>
    <t>粟楠茜</t>
    <rPh sb="0" eb="1">
      <t>アワ</t>
    </rPh>
    <rPh sb="1" eb="2">
      <t>クスノキ</t>
    </rPh>
    <rPh sb="2" eb="3">
      <t>アカネ</t>
    </rPh>
    <phoneticPr fontId="53"/>
  </si>
  <si>
    <t>ガチャ:デュラララ01　茜</t>
    <rPh sb="12" eb="13">
      <t>アカネ</t>
    </rPh>
    <phoneticPr fontId="53"/>
  </si>
  <si>
    <t>小さな殺し屋　粟楠茜</t>
    <rPh sb="0" eb="1">
      <t>チイ</t>
    </rPh>
    <rPh sb="3" eb="4">
      <t>コロ</t>
    </rPh>
    <rPh sb="5" eb="6">
      <t>ヤ</t>
    </rPh>
    <rPh sb="7" eb="8">
      <t>アワ</t>
    </rPh>
    <rPh sb="8" eb="9">
      <t>クスノキ</t>
    </rPh>
    <rPh sb="9" eb="10">
      <t>アカネ</t>
    </rPh>
    <phoneticPr fontId="53"/>
  </si>
  <si>
    <t>ガチャ:デュラララ01　茜</t>
    <rPh sb="12" eb="13">
      <t>アk</t>
    </rPh>
    <phoneticPr fontId="53"/>
  </si>
  <si>
    <t>平和島静雄</t>
    <rPh sb="0" eb="3">
      <t>ヘイワジマ</t>
    </rPh>
    <rPh sb="3" eb="5">
      <t>シズ</t>
    </rPh>
    <phoneticPr fontId="53"/>
  </si>
  <si>
    <t>ガチャ:デュラララ01　静雄</t>
    <rPh sb="12" eb="14">
      <t>シズオ</t>
    </rPh>
    <phoneticPr fontId="53"/>
  </si>
  <si>
    <t>池袋最強の暴走　平和島静雄</t>
    <rPh sb="0" eb="4">
      <t>イケブクロサイキ</t>
    </rPh>
    <rPh sb="5" eb="7">
      <t>ボウソウ</t>
    </rPh>
    <rPh sb="8" eb="11">
      <t>ヘイワジマ</t>
    </rPh>
    <rPh sb="11" eb="13">
      <t>シズ</t>
    </rPh>
    <phoneticPr fontId="53"/>
  </si>
  <si>
    <t>ガチャ:デュラララ01　静雄</t>
    <rPh sb="12" eb="14">
      <t>シズ</t>
    </rPh>
    <phoneticPr fontId="53"/>
  </si>
  <si>
    <t>yellow</t>
    <phoneticPr fontId="53"/>
  </si>
  <si>
    <t>ヴァローナ</t>
    <phoneticPr fontId="53"/>
  </si>
  <si>
    <t>ガチャ:デュラララ01　ヴァローナ</t>
    <phoneticPr fontId="53"/>
  </si>
  <si>
    <t>聡明な戦狂女　ヴァローナ</t>
    <rPh sb="0" eb="2">
      <t>ソウメイ</t>
    </rPh>
    <rPh sb="3" eb="4">
      <t>セントウキュオ</t>
    </rPh>
    <rPh sb="4" eb="5">
      <t>キョウ</t>
    </rPh>
    <rPh sb="5" eb="6">
      <t>ジョ</t>
    </rPh>
    <phoneticPr fontId="53"/>
  </si>
  <si>
    <t>yellow</t>
    <phoneticPr fontId="53"/>
  </si>
  <si>
    <t>dr</t>
    <phoneticPr fontId="53"/>
  </si>
  <si>
    <t>直江兼続</t>
    <rPh sb="0" eb="2">
      <t>ナオ</t>
    </rPh>
    <rPh sb="2" eb="4">
      <t>カネツg</t>
    </rPh>
    <phoneticPr fontId="3"/>
  </si>
  <si>
    <t>イベント:戦国01</t>
    <rPh sb="5" eb="7">
      <t>センg</t>
    </rPh>
    <phoneticPr fontId="20"/>
  </si>
  <si>
    <t>Drop2N</t>
    <phoneticPr fontId="53"/>
  </si>
  <si>
    <t>samurai</t>
    <phoneticPr fontId="53"/>
  </si>
  <si>
    <t>迎激の愛銃 直江兼続</t>
    <phoneticPr fontId="53"/>
  </si>
  <si>
    <t>samurai</t>
    <phoneticPr fontId="53"/>
  </si>
  <si>
    <t>森蘭丸</t>
    <rPh sb="0" eb="1">
      <t>モリ</t>
    </rPh>
    <phoneticPr fontId="53"/>
  </si>
  <si>
    <t>萌芽の密心  森蘭丸</t>
    <phoneticPr fontId="53"/>
  </si>
  <si>
    <t>格好いい</t>
    <phoneticPr fontId="20"/>
  </si>
  <si>
    <t>男性</t>
    <phoneticPr fontId="20"/>
  </si>
  <si>
    <t>yellow</t>
    <phoneticPr fontId="53"/>
  </si>
  <si>
    <t>human</t>
    <phoneticPr fontId="53"/>
  </si>
  <si>
    <t>武田信玄</t>
    <rPh sb="0" eb="4">
      <t>タケd</t>
    </rPh>
    <phoneticPr fontId="60"/>
  </si>
  <si>
    <t>イベント:ウィザード</t>
    <phoneticPr fontId="20"/>
  </si>
  <si>
    <t>格好いい</t>
    <phoneticPr fontId="20"/>
  </si>
  <si>
    <t>男性</t>
    <phoneticPr fontId="20"/>
  </si>
  <si>
    <t>red</t>
    <phoneticPr fontId="53"/>
  </si>
  <si>
    <t>samurai</t>
    <phoneticPr fontId="53"/>
  </si>
  <si>
    <t>泰然の暴虎 武田信玄</t>
    <phoneticPr fontId="60"/>
  </si>
  <si>
    <t>織田信長</t>
    <rPh sb="0" eb="4">
      <t>オダノブナガ</t>
    </rPh>
    <phoneticPr fontId="60"/>
  </si>
  <si>
    <t>イベント:超ウィザード03</t>
    <rPh sb="5" eb="6">
      <t>チョ</t>
    </rPh>
    <phoneticPr fontId="53"/>
  </si>
  <si>
    <t>DropWizSS</t>
    <phoneticPr fontId="53"/>
  </si>
  <si>
    <t>真鋭の征服者 織田信長</t>
    <phoneticPr fontId="60"/>
  </si>
  <si>
    <t>DropWizSS</t>
    <phoneticPr fontId="53"/>
  </si>
  <si>
    <t>井伊直虎</t>
    <phoneticPr fontId="60"/>
  </si>
  <si>
    <t>ガチャ:戦国01</t>
    <rPh sb="4" eb="6">
      <t>セン</t>
    </rPh>
    <phoneticPr fontId="20"/>
  </si>
  <si>
    <t>暗厄の双刀 井伊直虎</t>
    <phoneticPr fontId="60"/>
  </si>
  <si>
    <t>ガラシャ</t>
    <phoneticPr fontId="60"/>
  </si>
  <si>
    <t>敬虔なる追銃 ガラシャ</t>
    <phoneticPr fontId="60"/>
  </si>
  <si>
    <t>上杉謙信</t>
    <rPh sb="0" eb="4">
      <t>ウ</t>
    </rPh>
    <phoneticPr fontId="60"/>
  </si>
  <si>
    <t>執行者</t>
    <phoneticPr fontId="20"/>
  </si>
  <si>
    <t>格好いい</t>
    <phoneticPr fontId="20"/>
  </si>
  <si>
    <t>夢幻の千刃 上杉謙信</t>
    <phoneticPr fontId="60"/>
  </si>
  <si>
    <t>伊達政宗</t>
    <phoneticPr fontId="60"/>
  </si>
  <si>
    <t>破天の隻眼 伊達政宗</t>
    <phoneticPr fontId="60"/>
  </si>
  <si>
    <t>オルトロス</t>
    <phoneticPr fontId="60"/>
  </si>
  <si>
    <t>各属性相性良3・黄・R354</t>
    <rPh sb="0" eb="3">
      <t>カクゾクセイ</t>
    </rPh>
    <rPh sb="8" eb="9">
      <t>キイロ</t>
    </rPh>
    <phoneticPr fontId="20"/>
  </si>
  <si>
    <t>狂鳴の慟哭 オルトロス</t>
    <phoneticPr fontId="60"/>
  </si>
  <si>
    <t>各属性相性良3・黄・R355</t>
    <rPh sb="0" eb="3">
      <t>カクゾクセイ</t>
    </rPh>
    <rPh sb="8" eb="9">
      <t>キイロ</t>
    </rPh>
    <phoneticPr fontId="20"/>
  </si>
  <si>
    <t>ラドン</t>
    <phoneticPr fontId="60"/>
  </si>
  <si>
    <t>各属性相性良3・黄・R356</t>
    <rPh sb="0" eb="3">
      <t>カクゾクセイ</t>
    </rPh>
    <rPh sb="8" eb="9">
      <t>キイロ</t>
    </rPh>
    <phoneticPr fontId="20"/>
  </si>
  <si>
    <t>machine</t>
    <phoneticPr fontId="53"/>
  </si>
  <si>
    <t>寡言の密使 ラドン</t>
    <phoneticPr fontId="60"/>
  </si>
  <si>
    <t>各属性相性良3・黄・R357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</si>
  <si>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</si>
  <si>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</si>
  <si>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</si>
  <si>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blue</t>
    <phoneticPr fontId="53"/>
  </si>
  <si>
    <t>Drop2N</t>
    <phoneticPr fontId="53"/>
  </si>
  <si>
    <t>テュポーン</t>
    <phoneticPr fontId="60"/>
  </si>
  <si>
    <t>各属性相性良3・黄・R358</t>
    <rPh sb="0" eb="3">
      <t>カクゾクセイ</t>
    </rPh>
    <rPh sb="8" eb="9">
      <t>キイロ</t>
    </rPh>
    <phoneticPr fontId="20"/>
  </si>
  <si>
    <t>皆滅の戦鬼 テュポーン</t>
    <phoneticPr fontId="60"/>
  </si>
  <si>
    <t>各属性相性良3・黄・R359</t>
    <rPh sb="0" eb="3">
      <t>カクゾクセイ</t>
    </rPh>
    <rPh sb="8" eb="9">
      <t>キイロ</t>
    </rPh>
    <phoneticPr fontId="20"/>
  </si>
  <si>
    <t>アポロン</t>
    <phoneticPr fontId="60"/>
  </si>
  <si>
    <t>各属性相性良3・黄・R360</t>
    <rPh sb="0" eb="3">
      <t>カクゾクセイ</t>
    </rPh>
    <rPh sb="8" eb="9">
      <t>キイロ</t>
    </rPh>
    <phoneticPr fontId="20"/>
  </si>
  <si>
    <t>弩級の洸源 アポロン</t>
    <phoneticPr fontId="60"/>
  </si>
  <si>
    <t>各属性相性良3・黄・R361</t>
    <rPh sb="0" eb="3">
      <t>カクゾクセイ</t>
    </rPh>
    <rPh sb="8" eb="9">
      <t>キイロ</t>
    </rPh>
    <phoneticPr fontId="20"/>
  </si>
  <si>
    <t>god</t>
    <phoneticPr fontId="53"/>
  </si>
  <si>
    <t>ヘルメス</t>
    <phoneticPr fontId="60"/>
  </si>
  <si>
    <t>各属性相性良3・黄・R362</t>
    <rPh sb="0" eb="3">
      <t>カクゾクセイ</t>
    </rPh>
    <rPh sb="8" eb="9">
      <t>キイロ</t>
    </rPh>
    <phoneticPr fontId="20"/>
  </si>
  <si>
    <t>望羅の発神 ヘルメス</t>
  </si>
  <si>
    <t>各属性相性良3・黄・R363</t>
    <rPh sb="0" eb="3">
      <t>カクゾクセイ</t>
    </rPh>
    <rPh sb="8" eb="9">
      <t>キイロ</t>
    </rPh>
    <phoneticPr fontId="20"/>
  </si>
  <si>
    <t>ノルン</t>
    <phoneticPr fontId="60"/>
  </si>
  <si>
    <t>各属性相性良3・黄・R364</t>
    <rPh sb="0" eb="3">
      <t>カクゾクセイ</t>
    </rPh>
    <rPh sb="8" eb="9">
      <t>キイロ</t>
    </rPh>
    <phoneticPr fontId="20"/>
  </si>
  <si>
    <t>潔碧の巡励神 ノルン</t>
  </si>
  <si>
    <t>各属性相性良3・黄・R365</t>
    <rPh sb="0" eb="3">
      <t>カクゾクセイ</t>
    </rPh>
    <rPh sb="8" eb="9">
      <t>キイロ</t>
    </rPh>
    <phoneticPr fontId="20"/>
  </si>
  <si>
    <t>パーン</t>
    <phoneticPr fontId="60"/>
  </si>
  <si>
    <t>各属性相性良3・黄・R366</t>
    <rPh sb="0" eb="3">
      <t>カクゾクセイ</t>
    </rPh>
    <rPh sb="8" eb="9">
      <t>キイロ</t>
    </rPh>
    <phoneticPr fontId="20"/>
  </si>
  <si>
    <t>光喜の牧童 パーン</t>
  </si>
  <si>
    <t>各属性相性良3・黄・R367</t>
    <rPh sb="0" eb="3">
      <t>カクゾクセイ</t>
    </rPh>
    <rPh sb="8" eb="9">
      <t>キイロ</t>
    </rPh>
    <phoneticPr fontId="20"/>
  </si>
  <si>
    <t>ポアソン</t>
    <phoneticPr fontId="60"/>
  </si>
  <si>
    <t>各属性相性良3・黄・R493</t>
    <rPh sb="0" eb="3">
      <t>カクゾクセイ</t>
    </rPh>
    <rPh sb="8" eb="9">
      <t>キイロ</t>
    </rPh>
    <phoneticPr fontId="20"/>
  </si>
  <si>
    <t>交錯の旋匣 ポアソン</t>
  </si>
  <si>
    <t>各属性相性良3・黄・R494</t>
    <rPh sb="0" eb="3">
      <t>カクゾクセイ</t>
    </rPh>
    <rPh sb="8" eb="9">
      <t>キイロ</t>
    </rPh>
    <phoneticPr fontId="20"/>
  </si>
  <si>
    <t>academia</t>
    <phoneticPr fontId="53"/>
  </si>
  <si>
    <t>ムラマサ</t>
    <phoneticPr fontId="60"/>
  </si>
  <si>
    <t>イベント:ランキング01</t>
    <phoneticPr fontId="20"/>
  </si>
  <si>
    <t>weapon</t>
    <phoneticPr fontId="53"/>
  </si>
  <si>
    <t>皆斬の虐器 ムラマサ</t>
    <phoneticPr fontId="60"/>
  </si>
  <si>
    <t>weapon</t>
    <phoneticPr fontId="53"/>
  </si>
  <si>
    <t>マサムネ</t>
    <phoneticPr fontId="60"/>
  </si>
  <si>
    <t>イベント:ランキング01</t>
  </si>
  <si>
    <t>DropWizSSS</t>
    <phoneticPr fontId="53"/>
  </si>
  <si>
    <t>究覇の一剣 マサムネ</t>
    <phoneticPr fontId="60"/>
  </si>
  <si>
    <t>アメノムラクモ</t>
    <phoneticPr fontId="60"/>
  </si>
  <si>
    <t>荒龍の復魂 アメノムラクモ</t>
    <phoneticPr fontId="60"/>
  </si>
  <si>
    <t>雷切</t>
    <rPh sb="0" eb="1">
      <t>カミナリ</t>
    </rPh>
    <rPh sb="1" eb="2">
      <t>キ</t>
    </rPh>
    <phoneticPr fontId="60"/>
  </si>
  <si>
    <t>超光の鳴鋒 雷切</t>
    <phoneticPr fontId="60"/>
  </si>
  <si>
    <t>限論顕現 クロネッカー</t>
    <phoneticPr fontId="60"/>
  </si>
  <si>
    <t>ガチャ:フィーバーフェス05</t>
    <phoneticPr fontId="53"/>
  </si>
  <si>
    <t>唯限の崇嬢 クロネッカー</t>
    <phoneticPr fontId="53"/>
  </si>
  <si>
    <t>フィボナッチ</t>
    <phoneticPr fontId="60"/>
  </si>
  <si>
    <t>ガチャ:フィーバーフェス06</t>
    <phoneticPr fontId="20"/>
  </si>
  <si>
    <t>螺旋の皇魂比 フィボナッチ</t>
    <phoneticPr fontId="60"/>
  </si>
  <si>
    <t>ガチャ:フィーバーフェス06</t>
    <phoneticPr fontId="20"/>
  </si>
  <si>
    <t>ライオネル</t>
  </si>
  <si>
    <t>イベント:円卓02</t>
    <rPh sb="5" eb="7">
      <t>エン</t>
    </rPh>
    <phoneticPr fontId="20"/>
  </si>
  <si>
    <t>yellow</t>
    <phoneticPr fontId="53"/>
  </si>
  <si>
    <t>逆襲獣皇 ライオネル</t>
    <phoneticPr fontId="53"/>
  </si>
  <si>
    <t>ランドラグ</t>
    <phoneticPr fontId="60"/>
  </si>
  <si>
    <t>Drop2N</t>
    <phoneticPr fontId="53"/>
  </si>
  <si>
    <t>灼炎業竜 ランドラグ</t>
    <phoneticPr fontId="60"/>
  </si>
  <si>
    <t>ガレス</t>
  </si>
  <si>
    <t>白域・純双剣 ガレス</t>
    <phoneticPr fontId="53"/>
  </si>
  <si>
    <t>ハヅル</t>
    <phoneticPr fontId="60"/>
  </si>
  <si>
    <t>ガチャ:日本昔話01</t>
    <rPh sb="4" eb="8">
      <t>ニホン</t>
    </rPh>
    <phoneticPr fontId="20"/>
  </si>
  <si>
    <t>PremiumSS</t>
    <phoneticPr fontId="53"/>
  </si>
  <si>
    <t>天織羽鶴 ハヅル</t>
    <phoneticPr fontId="60"/>
  </si>
  <si>
    <t>イナバ</t>
    <phoneticPr fontId="53"/>
  </si>
  <si>
    <t>PremiumSS</t>
    <phoneticPr fontId="53"/>
  </si>
  <si>
    <t>balance</t>
    <phoneticPr fontId="53"/>
  </si>
  <si>
    <t>animal</t>
    <phoneticPr fontId="53"/>
  </si>
  <si>
    <t>浮跳天兎 イナバ</t>
    <phoneticPr fontId="53"/>
  </si>
  <si>
    <t>ミズチ</t>
  </si>
  <si>
    <t>水底霊竜 ミズチ</t>
    <phoneticPr fontId="53"/>
  </si>
  <si>
    <t>水竜底主 ミズチ</t>
    <phoneticPr fontId="53"/>
  </si>
  <si>
    <t>ガメック</t>
    <phoneticPr fontId="66"/>
  </si>
  <si>
    <t>一亀懸明 ガメック</t>
    <phoneticPr fontId="66"/>
  </si>
  <si>
    <t>頑堅咬亀 ガメック</t>
    <phoneticPr fontId="66"/>
  </si>
  <si>
    <t>カスケード</t>
    <phoneticPr fontId="53"/>
  </si>
  <si>
    <t>各属性相性良3・黄・R398</t>
    <rPh sb="0" eb="3">
      <t>カクゾクセイ</t>
    </rPh>
    <rPh sb="8" eb="9">
      <t>キイロ</t>
    </rPh>
    <phoneticPr fontId="20"/>
  </si>
  <si>
    <t>崩落の大瀑布 カスケード</t>
  </si>
  <si>
    <t>各属性相性良3・黄・R399</t>
    <rPh sb="0" eb="3">
      <t>カクゾクセイ</t>
    </rPh>
    <rPh sb="8" eb="9">
      <t>キイロ</t>
    </rPh>
    <phoneticPr fontId="20"/>
  </si>
  <si>
    <t>機甲雷天使 ミカエル・グロリアス</t>
    <phoneticPr fontId="53"/>
  </si>
  <si>
    <t>各属性相性良3・黄・R400</t>
    <rPh sb="0" eb="3">
      <t>カクゾクセイ</t>
    </rPh>
    <rPh sb="8" eb="9">
      <t>キイロ</t>
    </rPh>
    <phoneticPr fontId="20"/>
  </si>
  <si>
    <t>PremiumS</t>
    <phoneticPr fontId="53"/>
  </si>
  <si>
    <t>モールス</t>
    <phoneticPr fontId="53"/>
  </si>
  <si>
    <t>各属性相性良3・黄・R401</t>
    <rPh sb="0" eb="3">
      <t>カクゾクセイ</t>
    </rPh>
    <rPh sb="8" eb="9">
      <t>キイロ</t>
    </rPh>
    <phoneticPr fontId="20"/>
  </si>
  <si>
    <t>想心の恋鎖 モールス</t>
    <phoneticPr fontId="53"/>
  </si>
  <si>
    <t>各属性相性良3・黄・R402</t>
    <rPh sb="0" eb="3">
      <t>カクゾクセイ</t>
    </rPh>
    <rPh sb="8" eb="9">
      <t>キイロ</t>
    </rPh>
    <phoneticPr fontId="20"/>
  </si>
  <si>
    <t>各属性相性良3・黄・R403</t>
    <rPh sb="0" eb="3">
      <t>カクゾクセイ</t>
    </rPh>
    <rPh sb="8" eb="9">
      <t>キイロ</t>
    </rPh>
    <phoneticPr fontId="20"/>
  </si>
  <si>
    <t>yellow</t>
    <phoneticPr fontId="53"/>
  </si>
  <si>
    <t>PremiumN</t>
    <phoneticPr fontId="53"/>
  </si>
  <si>
    <t>attack</t>
    <phoneticPr fontId="53"/>
  </si>
  <si>
    <t>ヘイウェイ</t>
    <phoneticPr fontId="60"/>
  </si>
  <si>
    <t>ガチャ:赤フェス02</t>
    <rPh sb="4" eb="5">
      <t>アk</t>
    </rPh>
    <phoneticPr fontId="53"/>
  </si>
  <si>
    <t>極閃描牙 ヘイウェイ</t>
    <phoneticPr fontId="60"/>
  </si>
  <si>
    <t>アトラス</t>
    <phoneticPr fontId="60"/>
  </si>
  <si>
    <t>各属性相性良3・黄・R406</t>
    <rPh sb="0" eb="3">
      <t>カクゾクセイ</t>
    </rPh>
    <rPh sb="8" eb="9">
      <t>キイロ</t>
    </rPh>
    <phoneticPr fontId="20"/>
  </si>
  <si>
    <t>極闘の大鋼腕 アトラス</t>
  </si>
  <si>
    <t>各属性相性良3・黄・R407</t>
    <rPh sb="0" eb="3">
      <t>カクゾクセイ</t>
    </rPh>
    <rPh sb="8" eb="9">
      <t>キイロ</t>
    </rPh>
    <phoneticPr fontId="20"/>
  </si>
  <si>
    <t>戦略級の才脳 ノイマン</t>
    <rPh sb="4" eb="5">
      <t>サ</t>
    </rPh>
    <rPh sb="5" eb="6">
      <t>ノウ</t>
    </rPh>
    <phoneticPr fontId="60"/>
  </si>
  <si>
    <t>ガチャ:青フェス02</t>
    <rPh sb="4" eb="5">
      <t>ア</t>
    </rPh>
    <phoneticPr fontId="20"/>
  </si>
  <si>
    <t>無差別求の破者 ノイマン</t>
  </si>
  <si>
    <t>片還の収波 フーリエ</t>
    <phoneticPr fontId="60"/>
  </si>
  <si>
    <t>各属性相性良3・黄・R410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</si>
  <si>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</si>
  <si>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</si>
  <si>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</si>
  <si>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yellow</t>
    <phoneticPr fontId="53"/>
  </si>
  <si>
    <t>熱解する求波導 フーリエ</t>
    <phoneticPr fontId="60"/>
  </si>
  <si>
    <t>各属性相性良3・黄・R411</t>
    <rPh sb="0" eb="3">
      <t>カクゾクセイ</t>
    </rPh>
    <rPh sb="8" eb="9">
      <t>キイロ</t>
    </rPh>
    <phoneticPr fontId="20"/>
  </si>
  <si>
    <t>卒業のウィルス ハッピー</t>
    <rPh sb="0" eb="2">
      <t>ソツギョウ</t>
    </rPh>
    <phoneticPr fontId="60"/>
  </si>
  <si>
    <t>イベント:卒業</t>
    <rPh sb="5" eb="7">
      <t>ソツギョウ</t>
    </rPh>
    <phoneticPr fontId="20"/>
  </si>
  <si>
    <t>桜花の果実</t>
    <rPh sb="0" eb="2">
      <t>オウカ</t>
    </rPh>
    <rPh sb="3" eb="5">
      <t>カジツ</t>
    </rPh>
    <phoneticPr fontId="60"/>
  </si>
  <si>
    <t>超越凌駕 ラグランジュ</t>
    <phoneticPr fontId="60"/>
  </si>
  <si>
    <t>ガチャ:フィーバーフェス02</t>
    <phoneticPr fontId="53"/>
  </si>
  <si>
    <t>崩烙の世解 シュレディンガー</t>
  </si>
  <si>
    <t>各属性相性良3・黄・R415</t>
    <rPh sb="0" eb="3">
      <t>カクゾクセイ</t>
    </rPh>
    <rPh sb="8" eb="9">
      <t>キイロ</t>
    </rPh>
    <phoneticPr fontId="20"/>
  </si>
  <si>
    <t>ja</t>
    <phoneticPr fontId="53"/>
  </si>
  <si>
    <t>煌式の大機刃 オイラー</t>
    <phoneticPr fontId="60"/>
  </si>
  <si>
    <t>各属性相性良3・黄・R416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</si>
  <si>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</si>
  <si>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</si>
  <si>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</si>
  <si>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</si>
  <si>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human</t>
    <phoneticPr fontId="53"/>
  </si>
  <si>
    <t>電讃の魔機 チューリング</t>
  </si>
  <si>
    <t>各属性相性良3・黄・R417</t>
    <rPh sb="0" eb="3">
      <t>カクゾクセイ</t>
    </rPh>
    <rPh sb="8" eb="9">
      <t>キイロ</t>
    </rPh>
    <phoneticPr fontId="20"/>
  </si>
  <si>
    <t>NULL</t>
    <phoneticPr fontId="53"/>
  </si>
  <si>
    <t>normal</t>
    <phoneticPr fontId="53"/>
  </si>
  <si>
    <t>NULL</t>
    <phoneticPr fontId="53"/>
  </si>
  <si>
    <t>ja</t>
    <phoneticPr fontId="53"/>
  </si>
  <si>
    <t>蒼穹包む命題 ヘンペル</t>
    <phoneticPr fontId="60"/>
  </si>
  <si>
    <t>各属性相性良3・黄・R418</t>
    <rPh sb="0" eb="3">
      <t>カクゾクセイ</t>
    </rPh>
    <rPh sb="8" eb="9">
      <t>キイロ</t>
    </rPh>
    <phoneticPr fontId="20"/>
  </si>
  <si>
    <t>男性</t>
    <phoneticPr fontId="20"/>
  </si>
  <si>
    <t>PremiumSSS</t>
    <phoneticPr fontId="53"/>
  </si>
  <si>
    <t>human</t>
    <phoneticPr fontId="53"/>
  </si>
  <si>
    <t>覚世の大機神 オーディン</t>
  </si>
  <si>
    <t>各属性相性良3・黄・R419</t>
    <rPh sb="0" eb="3">
      <t>カクゾクセイ</t>
    </rPh>
    <rPh sb="8" eb="9">
      <t>キイロ</t>
    </rPh>
    <phoneticPr fontId="20"/>
  </si>
  <si>
    <t>DropWizSS</t>
    <phoneticPr fontId="53"/>
  </si>
  <si>
    <t>machine</t>
    <phoneticPr fontId="53"/>
  </si>
  <si>
    <t>god</t>
    <phoneticPr fontId="53"/>
  </si>
  <si>
    <t>四聖結終の超獣 麒麟</t>
  </si>
  <si>
    <t>各属性相性良3・黄・R420</t>
    <rPh sb="0" eb="3">
      <t>カクゾクセイ</t>
    </rPh>
    <rPh sb="8" eb="9">
      <t>キイロ</t>
    </rPh>
    <phoneticPr fontId="20"/>
  </si>
  <si>
    <t>god</t>
    <phoneticPr fontId="53"/>
  </si>
  <si>
    <t>アタッカー</t>
    <phoneticPr fontId="20"/>
  </si>
  <si>
    <t>大宇宙の膨超 ハップル</t>
  </si>
  <si>
    <t>各属性相性良3・黄・R421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</si>
  <si>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</si>
  <si>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</si>
  <si>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</si>
  <si>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yellow</t>
    <phoneticPr fontId="53"/>
  </si>
  <si>
    <t>PremiumSSS</t>
    <phoneticPr fontId="53"/>
  </si>
  <si>
    <t>technical</t>
    <phoneticPr fontId="53"/>
  </si>
  <si>
    <t>human</t>
    <phoneticPr fontId="53"/>
  </si>
  <si>
    <t>アタッカー</t>
    <phoneticPr fontId="20"/>
  </si>
  <si>
    <t>NULL</t>
    <phoneticPr fontId="53"/>
  </si>
  <si>
    <t>normal</t>
    <phoneticPr fontId="53"/>
  </si>
  <si>
    <t>豪電の守護芯 ファラデー</t>
  </si>
  <si>
    <t>各属性相性良3・黄・R422</t>
    <rPh sb="0" eb="3">
      <t>カクゾクセイ</t>
    </rPh>
    <rPh sb="8" eb="9">
      <t>キイロ</t>
    </rPh>
    <phoneticPr fontId="20"/>
  </si>
  <si>
    <t>balance</t>
    <phoneticPr fontId="53"/>
  </si>
  <si>
    <t>熱環の大逆聖 ベリアル</t>
    <phoneticPr fontId="60"/>
  </si>
  <si>
    <t>各属性相性良3・黄・R423</t>
    <rPh sb="0" eb="3">
      <t>カクゾクセイ</t>
    </rPh>
    <rPh sb="8" eb="9">
      <t>キイロ</t>
    </rPh>
    <phoneticPr fontId="20"/>
  </si>
  <si>
    <t>god</t>
    <phoneticPr fontId="53"/>
  </si>
  <si>
    <t>アタッカー</t>
    <phoneticPr fontId="20"/>
  </si>
  <si>
    <t>全解の預智聖 オセ</t>
    <phoneticPr fontId="60"/>
  </si>
  <si>
    <t>各属性相性良3・黄・R424</t>
    <rPh sb="0" eb="3">
      <t>カクゾクセイ</t>
    </rPh>
    <rPh sb="8" eb="9">
      <t>キイロ</t>
    </rPh>
    <phoneticPr fontId="20"/>
  </si>
  <si>
    <t>男性</t>
    <phoneticPr fontId="20"/>
  </si>
  <si>
    <t>green</t>
    <phoneticPr fontId="53"/>
  </si>
  <si>
    <t>PremiumS</t>
    <phoneticPr fontId="53"/>
  </si>
  <si>
    <t>attack</t>
    <phoneticPr fontId="53"/>
  </si>
  <si>
    <t>god</t>
    <phoneticPr fontId="53"/>
  </si>
  <si>
    <t>襲愛の真公爵 フォルネウス</t>
    <phoneticPr fontId="60"/>
  </si>
  <si>
    <t>各属性相性良3・黄・R425</t>
    <rPh sb="0" eb="3">
      <t>カクゾクセイ</t>
    </rPh>
    <rPh sb="8" eb="9">
      <t>キイロ</t>
    </rPh>
    <phoneticPr fontId="20"/>
  </si>
  <si>
    <t>god</t>
    <phoneticPr fontId="53"/>
  </si>
  <si>
    <t>アタッカー</t>
    <phoneticPr fontId="20"/>
  </si>
  <si>
    <t>天地万物の烈神母 イザナミ</t>
    <phoneticPr fontId="60"/>
  </si>
  <si>
    <t>各属性相性良3・黄・R426</t>
    <rPh sb="0" eb="3">
      <t>カクゾクセイ</t>
    </rPh>
    <rPh sb="8" eb="9">
      <t>キイロ</t>
    </rPh>
    <phoneticPr fontId="20"/>
  </si>
  <si>
    <t>PremiumS</t>
    <phoneticPr fontId="53"/>
  </si>
  <si>
    <t>天然理心の激凛 沖田総司</t>
    <phoneticPr fontId="60"/>
  </si>
  <si>
    <t>各属性相性良3・黄・R427</t>
    <rPh sb="0" eb="3">
      <t>カクゾクセイ</t>
    </rPh>
    <rPh sb="8" eb="9">
      <t>キイロ</t>
    </rPh>
    <phoneticPr fontId="20"/>
  </si>
  <si>
    <t>blue</t>
    <phoneticPr fontId="53"/>
  </si>
  <si>
    <t>PremiumSS</t>
    <phoneticPr fontId="53"/>
  </si>
  <si>
    <t>balance</t>
    <phoneticPr fontId="53"/>
  </si>
  <si>
    <t>human</t>
    <phoneticPr fontId="53"/>
  </si>
  <si>
    <t>normal</t>
    <phoneticPr fontId="53"/>
  </si>
  <si>
    <t>君臨大御神 アマテラス</t>
    <phoneticPr fontId="60"/>
  </si>
  <si>
    <t>各属性相性良3・黄・R428</t>
    <rPh sb="0" eb="3">
      <t>カクゾクセイ</t>
    </rPh>
    <rPh sb="8" eb="9">
      <t>キイロ</t>
    </rPh>
    <phoneticPr fontId="20"/>
  </si>
  <si>
    <t>red</t>
    <phoneticPr fontId="53"/>
  </si>
  <si>
    <t>DropWizS</t>
    <phoneticPr fontId="53"/>
  </si>
  <si>
    <t>attack</t>
    <phoneticPr fontId="53"/>
  </si>
  <si>
    <t>god</t>
    <phoneticPr fontId="53"/>
  </si>
  <si>
    <t>咲き誇る旅航者 親指姫</t>
    <phoneticPr fontId="53"/>
  </si>
  <si>
    <t>各属性相性良3・黄・R429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</si>
  <si>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</si>
  <si>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</si>
  <si>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</si>
  <si>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red</t>
    <phoneticPr fontId="53"/>
  </si>
  <si>
    <t>PremiumSS</t>
    <phoneticPr fontId="53"/>
  </si>
  <si>
    <t>heal</t>
    <phoneticPr fontId="53"/>
  </si>
  <si>
    <t>human</t>
    <phoneticPr fontId="53"/>
  </si>
  <si>
    <t>normal</t>
    <phoneticPr fontId="53"/>
  </si>
  <si>
    <t>NULL</t>
    <phoneticPr fontId="53"/>
  </si>
  <si>
    <t>凶膨なる殲滅 アザゼル</t>
    <phoneticPr fontId="60"/>
  </si>
  <si>
    <t>各属性相性良3・黄・R430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</si>
  <si>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</si>
  <si>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</si>
  <si>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</si>
  <si>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</si>
  <si>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DropWizS</t>
    <phoneticPr fontId="53"/>
  </si>
  <si>
    <t>technical</t>
    <phoneticPr fontId="53"/>
  </si>
  <si>
    <t>god</t>
    <phoneticPr fontId="53"/>
  </si>
  <si>
    <t>絆の大冒険 ヘンゼル＆グレーテル</t>
    <phoneticPr fontId="53"/>
  </si>
  <si>
    <t>各属性相性良3・黄・R431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</si>
  <si>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</si>
  <si>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</si>
  <si>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</si>
  <si>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human</t>
    <phoneticPr fontId="53"/>
  </si>
  <si>
    <t>machine</t>
    <phoneticPr fontId="53"/>
  </si>
  <si>
    <t>戦場疾駆の鋼蹄 ジャンヌ</t>
    <phoneticPr fontId="60"/>
  </si>
  <si>
    <t>各属性相性良3・黄・R432</t>
    <rPh sb="0" eb="3">
      <t>カクゾクセイ</t>
    </rPh>
    <rPh sb="8" eb="9">
      <t>キイロ</t>
    </rPh>
    <phoneticPr fontId="20"/>
  </si>
  <si>
    <t>男性</t>
    <phoneticPr fontId="20"/>
  </si>
  <si>
    <t>DropWizS</t>
    <phoneticPr fontId="53"/>
  </si>
  <si>
    <t>heal</t>
    <phoneticPr fontId="53"/>
  </si>
  <si>
    <t>human</t>
    <phoneticPr fontId="53"/>
  </si>
  <si>
    <t>none</t>
    <phoneticPr fontId="53"/>
  </si>
  <si>
    <t>解砲の鴉眼 八咫烏</t>
    <phoneticPr fontId="53"/>
  </si>
  <si>
    <t>各属性相性良3・黄・R433</t>
    <rPh sb="0" eb="3">
      <t>カクゾクセイ</t>
    </rPh>
    <rPh sb="8" eb="9">
      <t>キイロ</t>
    </rPh>
    <phoneticPr fontId="20"/>
  </si>
  <si>
    <t>green</t>
    <phoneticPr fontId="53"/>
  </si>
  <si>
    <t>PremiumSS</t>
    <phoneticPr fontId="53"/>
  </si>
  <si>
    <t>balance</t>
    <phoneticPr fontId="53"/>
  </si>
  <si>
    <t>normal</t>
    <phoneticPr fontId="53"/>
  </si>
  <si>
    <t>極・二天一流 宮本武蔵</t>
    <phoneticPr fontId="53"/>
  </si>
  <si>
    <t>各属性相性良3・黄・R434</t>
    <rPh sb="0" eb="3">
      <t>カクゾクセイ</t>
    </rPh>
    <rPh sb="8" eb="9">
      <t>キイロ</t>
    </rPh>
    <phoneticPr fontId="20"/>
  </si>
  <si>
    <t>yellow</t>
    <phoneticPr fontId="53"/>
  </si>
  <si>
    <t>決戦の抗弾 D.R.T.H.</t>
  </si>
  <si>
    <t>各属性相性良3・黄・R435</t>
    <rPh sb="0" eb="3">
      <t>カクゾクセイ</t>
    </rPh>
    <rPh sb="8" eb="9">
      <t>キイロ</t>
    </rPh>
    <phoneticPr fontId="20"/>
  </si>
  <si>
    <t>執行者</t>
    <phoneticPr fontId="20"/>
  </si>
  <si>
    <t>red</t>
    <phoneticPr fontId="53"/>
  </si>
  <si>
    <t>PremiumSS</t>
    <phoneticPr fontId="53"/>
  </si>
  <si>
    <t>balance</t>
    <phoneticPr fontId="53"/>
  </si>
  <si>
    <t>アタッカー</t>
    <phoneticPr fontId="20"/>
  </si>
  <si>
    <t>虚空を飾る大輪 オズ</t>
    <phoneticPr fontId="53"/>
  </si>
  <si>
    <t>各属性相性良3・黄・R436</t>
    <rPh sb="0" eb="3">
      <t>カクゾクセイ</t>
    </rPh>
    <rPh sb="8" eb="9">
      <t>キイロ</t>
    </rPh>
    <phoneticPr fontId="20"/>
  </si>
  <si>
    <t>讐命の我突 モルドレッド</t>
  </si>
  <si>
    <t>各属性相性良3・黄・R437</t>
    <rPh sb="0" eb="3">
      <t>カクゾクセイ</t>
    </rPh>
    <rPh sb="8" eb="9">
      <t>キイロ</t>
    </rPh>
    <phoneticPr fontId="20"/>
  </si>
  <si>
    <t>PremiumSS</t>
    <phoneticPr fontId="53"/>
  </si>
  <si>
    <t>technical</t>
    <phoneticPr fontId="53"/>
  </si>
  <si>
    <t>凶心者の聖儀 アーサー</t>
  </si>
  <si>
    <t>各属性相性良3・黄・R438</t>
    <rPh sb="0" eb="3">
      <t>カクゾクセイ</t>
    </rPh>
    <rPh sb="8" eb="9">
      <t>キイロ</t>
    </rPh>
    <phoneticPr fontId="20"/>
  </si>
  <si>
    <t>急蹴の硬機脚 ブートレグ・ペロー</t>
  </si>
  <si>
    <t>各属性相性良3・黄・R439</t>
    <rPh sb="0" eb="3">
      <t>カクゾクセイ</t>
    </rPh>
    <rPh sb="8" eb="9">
      <t>キイロ</t>
    </rPh>
    <phoneticPr fontId="20"/>
  </si>
  <si>
    <t>操魂の蒐集家 グリム</t>
  </si>
  <si>
    <t>各属性相性良3・黄・R440</t>
    <rPh sb="0" eb="3">
      <t>カクゾクセイ</t>
    </rPh>
    <rPh sb="8" eb="9">
      <t>キイロ</t>
    </rPh>
    <phoneticPr fontId="20"/>
  </si>
  <si>
    <t>跳鼠の睡奏楽 ハーメルン</t>
  </si>
  <si>
    <t>各属性相性良3・黄・R441</t>
    <rPh sb="0" eb="3">
      <t>カクゾクセイ</t>
    </rPh>
    <rPh sb="8" eb="9">
      <t>キイロ</t>
    </rPh>
    <phoneticPr fontId="20"/>
  </si>
  <si>
    <t>悪意の団塊  Gスター・チルドレン</t>
  </si>
  <si>
    <t>各属性相性良3・黄・R442</t>
    <rPh sb="0" eb="3">
      <t>カクゾクセイ</t>
    </rPh>
    <rPh sb="8" eb="9">
      <t>キイロ</t>
    </rPh>
    <phoneticPr fontId="20"/>
  </si>
  <si>
    <t>彩愛なる豊穣妃神 フレイヤ</t>
  </si>
  <si>
    <t>各属性相性良3・黄・R443</t>
    <rPh sb="0" eb="3">
      <t>カクゾクセイ</t>
    </rPh>
    <rPh sb="8" eb="9">
      <t>キイロ</t>
    </rPh>
    <phoneticPr fontId="20"/>
  </si>
  <si>
    <t>崇紅なる豊穣皇神 フレイ</t>
  </si>
  <si>
    <t>各属性相性良3・黄・R444</t>
    <rPh sb="0" eb="3">
      <t>カクゾクセイ</t>
    </rPh>
    <rPh sb="8" eb="9">
      <t>キイロ</t>
    </rPh>
    <phoneticPr fontId="20"/>
  </si>
  <si>
    <t>光神しき彩雲龍 アルフヘイム</t>
  </si>
  <si>
    <t>各属性相性良3・黄・R445</t>
    <rPh sb="0" eb="3">
      <t>カクゾクセイ</t>
    </rPh>
    <rPh sb="8" eb="9">
      <t>キイロ</t>
    </rPh>
    <phoneticPr fontId="20"/>
  </si>
  <si>
    <t>双究の覇翼 フギンとムニン</t>
  </si>
  <si>
    <t>各属性相性良3・黄・R446</t>
    <rPh sb="0" eb="3">
      <t>カクゾクセイ</t>
    </rPh>
    <rPh sb="8" eb="9">
      <t>キイロ</t>
    </rPh>
    <phoneticPr fontId="20"/>
  </si>
  <si>
    <t>銃刃乱舞の怪猫 クルミ</t>
  </si>
  <si>
    <t>各属性相性良3・黄・R447</t>
    <rPh sb="0" eb="3">
      <t>カクゾクセイ</t>
    </rPh>
    <rPh sb="8" eb="9">
      <t>キイロ</t>
    </rPh>
    <phoneticPr fontId="20"/>
  </si>
  <si>
    <t>清兆の天狗礫 フウガ</t>
  </si>
  <si>
    <t>各属性相性良3・黄・R448</t>
    <rPh sb="0" eb="3">
      <t>カクゾクセイ</t>
    </rPh>
    <rPh sb="8" eb="9">
      <t>キイロ</t>
    </rPh>
    <phoneticPr fontId="20"/>
  </si>
  <si>
    <t>万鬼乱襲の大創帥 ショウキ</t>
  </si>
  <si>
    <t>各属性相性良3・黄・R449</t>
    <rPh sb="0" eb="3">
      <t>カクゾクセイ</t>
    </rPh>
    <rPh sb="8" eb="9">
      <t>キイロ</t>
    </rPh>
    <phoneticPr fontId="20"/>
  </si>
  <si>
    <t>狂花吹雪く旋獄鬼神 ヨミ</t>
  </si>
  <si>
    <t>各属性相性良3・黄・R450</t>
    <rPh sb="0" eb="3">
      <t>カクゾクセイ</t>
    </rPh>
    <rPh sb="8" eb="9">
      <t>キイロ</t>
    </rPh>
    <phoneticPr fontId="20"/>
  </si>
  <si>
    <t>維界の復世神 ヴィシュヌ</t>
  </si>
  <si>
    <t>各属性相性良3・黄・R451</t>
    <rPh sb="0" eb="3">
      <t>カクゾクセイ</t>
    </rPh>
    <rPh sb="8" eb="9">
      <t>キイロ</t>
    </rPh>
    <phoneticPr fontId="20"/>
  </si>
  <si>
    <t>破界する裁滅神 シヴァ</t>
    <phoneticPr fontId="53"/>
  </si>
  <si>
    <t>各属性相性良3・黄・R452</t>
    <rPh sb="0" eb="3">
      <t>カクゾクセイ</t>
    </rPh>
    <rPh sb="8" eb="9">
      <t>キイロ</t>
    </rPh>
    <phoneticPr fontId="20"/>
  </si>
  <si>
    <t>流奏の鳳楽神 サラスヴァティ</t>
    <phoneticPr fontId="53"/>
  </si>
  <si>
    <t>各属性相性良3・黄・R453</t>
    <rPh sb="0" eb="3">
      <t>カクゾクセイ</t>
    </rPh>
    <rPh sb="8" eb="9">
      <t>キイロ</t>
    </rPh>
    <phoneticPr fontId="20"/>
  </si>
  <si>
    <t>射愛の恋華天神 カーマ</t>
  </si>
  <si>
    <t>各属性相性良3・黄・R454</t>
    <rPh sb="0" eb="3">
      <t>カクゾクセイ</t>
    </rPh>
    <rPh sb="8" eb="9">
      <t>キイロ</t>
    </rPh>
    <phoneticPr fontId="20"/>
  </si>
  <si>
    <t>リトルハンプティ</t>
    <phoneticPr fontId="60"/>
  </si>
  <si>
    <t>各属性相性良3・黄・R455</t>
    <rPh sb="0" eb="3">
      <t>カクゾクセイ</t>
    </rPh>
    <rPh sb="8" eb="9">
      <t>キイロ</t>
    </rPh>
    <phoneticPr fontId="20"/>
  </si>
  <si>
    <t>Material</t>
    <phoneticPr fontId="53"/>
  </si>
  <si>
    <t>evolution</t>
    <phoneticPr fontId="53"/>
  </si>
  <si>
    <t>巌鋼の爆烈志士 近藤勇</t>
    <phoneticPr fontId="53"/>
  </si>
  <si>
    <t>各属性相性良3・黄・R456</t>
    <rPh sb="0" eb="3">
      <t>カクゾクセイ</t>
    </rPh>
    <rPh sb="8" eb="9">
      <t>キイロ</t>
    </rPh>
    <phoneticPr fontId="20"/>
  </si>
  <si>
    <t>男性</t>
    <phoneticPr fontId="20"/>
  </si>
  <si>
    <t>red</t>
    <phoneticPr fontId="53"/>
  </si>
  <si>
    <t>PremiumSS</t>
    <phoneticPr fontId="53"/>
  </si>
  <si>
    <t>hp</t>
    <phoneticPr fontId="53"/>
  </si>
  <si>
    <t>samurai</t>
    <phoneticPr fontId="53"/>
  </si>
  <si>
    <t>真覇の勇魔剣 ランスロット</t>
    <phoneticPr fontId="53"/>
  </si>
  <si>
    <t>各属性相性良3・黄・R457</t>
    <rPh sb="0" eb="3">
      <t>カクゾクセイ</t>
    </rPh>
    <rPh sb="8" eb="9">
      <t>キイロ</t>
    </rPh>
    <phoneticPr fontId="20"/>
  </si>
  <si>
    <t>hero</t>
    <phoneticPr fontId="53"/>
  </si>
  <si>
    <t>フェニックス</t>
    <phoneticPr fontId="60"/>
  </si>
  <si>
    <t>各属性相性良3・黄・R458</t>
    <rPh sb="0" eb="3">
      <t>カクゾクセイ</t>
    </rPh>
    <rPh sb="8" eb="9">
      <t>キイロ</t>
    </rPh>
    <phoneticPr fontId="20"/>
  </si>
  <si>
    <t>排斥の不死鳥 フェニックス</t>
    <phoneticPr fontId="60"/>
  </si>
  <si>
    <t>各属性相性良3・黄・R459</t>
    <rPh sb="0" eb="3">
      <t>カクゾクセイ</t>
    </rPh>
    <rPh sb="8" eb="9">
      <t>キイロ</t>
    </rPh>
    <phoneticPr fontId="20"/>
  </si>
  <si>
    <t>セイレーン</t>
    <phoneticPr fontId="60"/>
  </si>
  <si>
    <t>各属性相性良3・黄・R460</t>
    <rPh sb="0" eb="3">
      <t>カクゾクセイ</t>
    </rPh>
    <rPh sb="8" eb="9">
      <t>キイロ</t>
    </rPh>
    <phoneticPr fontId="20"/>
  </si>
  <si>
    <t>荒れ狂う乱歌 セイレーン</t>
  </si>
  <si>
    <t>各属性相性良3・黄・R461</t>
    <rPh sb="0" eb="3">
      <t>カクゾクセイ</t>
    </rPh>
    <rPh sb="8" eb="9">
      <t>キイロ</t>
    </rPh>
    <phoneticPr fontId="20"/>
  </si>
  <si>
    <t>ベルゼブブ</t>
    <phoneticPr fontId="60"/>
  </si>
  <si>
    <t>各属性相性良3・黄・R462</t>
    <rPh sb="0" eb="3">
      <t>カクゾクセイ</t>
    </rPh>
    <rPh sb="8" eb="9">
      <t>キイロ</t>
    </rPh>
    <phoneticPr fontId="20"/>
  </si>
  <si>
    <t>妖艶なる蝿王 ベルゼブブ</t>
    <phoneticPr fontId="60"/>
  </si>
  <si>
    <t>各属性相性良3・黄・R463</t>
    <rPh sb="0" eb="3">
      <t>カクゾクセイ</t>
    </rPh>
    <rPh sb="8" eb="9">
      <t>キイロ</t>
    </rPh>
    <phoneticPr fontId="20"/>
  </si>
  <si>
    <t>normal</t>
    <phoneticPr fontId="53"/>
  </si>
  <si>
    <t>ルシファー</t>
    <phoneticPr fontId="60"/>
  </si>
  <si>
    <t>各属性相性良3・黄・R464</t>
    <rPh sb="0" eb="3">
      <t>カクゾクセイ</t>
    </rPh>
    <rPh sb="8" eb="9">
      <t>キイロ</t>
    </rPh>
    <phoneticPr fontId="20"/>
  </si>
  <si>
    <t>green</t>
    <phoneticPr fontId="53"/>
  </si>
  <si>
    <t>DropWizSS</t>
    <phoneticPr fontId="53"/>
  </si>
  <si>
    <t>attack</t>
    <phoneticPr fontId="53"/>
  </si>
  <si>
    <t>傲慢なる堕天史 ルシファー</t>
    <phoneticPr fontId="60"/>
  </si>
  <si>
    <t>各属性相性良3・黄・R465</t>
    <rPh sb="0" eb="3">
      <t>カクゾクセイ</t>
    </rPh>
    <rPh sb="8" eb="9">
      <t>キイロ</t>
    </rPh>
    <phoneticPr fontId="20"/>
  </si>
  <si>
    <t>メタトロン</t>
    <phoneticPr fontId="60"/>
  </si>
  <si>
    <t>各属性相性良3・黄・R466</t>
    <rPh sb="0" eb="3">
      <t>カクゾクセイ</t>
    </rPh>
    <rPh sb="8" eb="9">
      <t>キイロ</t>
    </rPh>
    <phoneticPr fontId="20"/>
  </si>
  <si>
    <t>red</t>
    <phoneticPr fontId="53"/>
  </si>
  <si>
    <t>balance</t>
    <phoneticPr fontId="53"/>
  </si>
  <si>
    <t>god</t>
    <phoneticPr fontId="53"/>
  </si>
  <si>
    <t>normal</t>
    <phoneticPr fontId="53"/>
  </si>
  <si>
    <t>燦然たる天使 メタトロン・ラヴァ</t>
    <phoneticPr fontId="60"/>
  </si>
  <si>
    <t>各属性相性良3・黄・R467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</si>
  <si>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</si>
  <si>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</si>
  <si>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</si>
  <si>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god</t>
    <phoneticPr fontId="53"/>
  </si>
  <si>
    <t>machine</t>
    <phoneticPr fontId="53"/>
  </si>
  <si>
    <t>バアル</t>
    <phoneticPr fontId="60"/>
  </si>
  <si>
    <t>各属性相性良3・黄・R468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</si>
  <si>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</si>
  <si>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</si>
  <si>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</si>
  <si>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</si>
  <si>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PremiumSS</t>
    <phoneticPr fontId="53"/>
  </si>
  <si>
    <t>ja</t>
    <phoneticPr fontId="53"/>
  </si>
  <si>
    <t>寡黙なる凶王 バアル</t>
    <phoneticPr fontId="60"/>
  </si>
  <si>
    <t>各属性相性良3・黄・R469</t>
    <rPh sb="0" eb="3">
      <t>カクゾクセイ</t>
    </rPh>
    <rPh sb="8" eb="9">
      <t>キイロ</t>
    </rPh>
    <phoneticPr fontId="20"/>
  </si>
  <si>
    <t>アタッカー</t>
    <phoneticPr fontId="20"/>
  </si>
  <si>
    <t>サキエル</t>
    <phoneticPr fontId="60"/>
  </si>
  <si>
    <t>各属性相性良3・黄・R470</t>
    <rPh sb="0" eb="3">
      <t>カクゾクセイ</t>
    </rPh>
    <rPh sb="8" eb="9">
      <t>キイロ</t>
    </rPh>
    <phoneticPr fontId="20"/>
  </si>
  <si>
    <t>blue</t>
    <phoneticPr fontId="53"/>
  </si>
  <si>
    <t>PremiumS</t>
    <phoneticPr fontId="53"/>
  </si>
  <si>
    <t>hp</t>
    <phoneticPr fontId="53"/>
  </si>
  <si>
    <t>god</t>
    <phoneticPr fontId="53"/>
  </si>
  <si>
    <t>machine</t>
    <phoneticPr fontId="53"/>
  </si>
  <si>
    <t>normal</t>
    <phoneticPr fontId="53"/>
  </si>
  <si>
    <t>NULL</t>
    <phoneticPr fontId="53"/>
  </si>
  <si>
    <t>裂爪の天使 サキエル・ティア</t>
    <phoneticPr fontId="60"/>
  </si>
  <si>
    <t>各属性相性良3・黄・R471</t>
    <rPh sb="0" eb="3">
      <t>カクゾクセイ</t>
    </rPh>
    <rPh sb="8" eb="9">
      <t>キイロ</t>
    </rPh>
    <phoneticPr fontId="20"/>
  </si>
  <si>
    <t>格好いい</t>
    <phoneticPr fontId="20"/>
  </si>
  <si>
    <t>男性</t>
    <phoneticPr fontId="20"/>
  </si>
  <si>
    <t>blue</t>
    <phoneticPr fontId="53"/>
  </si>
  <si>
    <t>PremiumS</t>
    <phoneticPr fontId="53"/>
  </si>
  <si>
    <t>hp</t>
    <phoneticPr fontId="53"/>
  </si>
  <si>
    <t>god</t>
    <phoneticPr fontId="53"/>
  </si>
  <si>
    <t>machine</t>
    <phoneticPr fontId="53"/>
  </si>
  <si>
    <t>normal</t>
    <phoneticPr fontId="53"/>
  </si>
  <si>
    <t>NULL</t>
    <phoneticPr fontId="53"/>
  </si>
  <si>
    <t>フラウロス</t>
    <phoneticPr fontId="60"/>
  </si>
  <si>
    <t>各属性相性良3・黄・R472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</si>
  <si>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</si>
  <si>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</si>
  <si>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</si>
  <si>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yellow</t>
    <phoneticPr fontId="53"/>
  </si>
  <si>
    <t>PremiumS</t>
    <phoneticPr fontId="53"/>
  </si>
  <si>
    <t>attack</t>
    <phoneticPr fontId="53"/>
  </si>
  <si>
    <t>animal</t>
    <phoneticPr fontId="53"/>
  </si>
  <si>
    <t>アタッカー</t>
    <phoneticPr fontId="20"/>
  </si>
  <si>
    <t>豹魔の侠客 フラウロス</t>
    <phoneticPr fontId="60"/>
  </si>
  <si>
    <t>各属性相性良3・黄・R473</t>
    <rPh sb="0" eb="3">
      <t>カクゾクセイ</t>
    </rPh>
    <rPh sb="8" eb="9">
      <t>キイロ</t>
    </rPh>
    <phoneticPr fontId="20"/>
  </si>
  <si>
    <t>男性</t>
    <phoneticPr fontId="20"/>
  </si>
  <si>
    <t>アタッカー</t>
    <phoneticPr fontId="20"/>
  </si>
  <si>
    <t>ja</t>
    <phoneticPr fontId="53"/>
  </si>
  <si>
    <t>リフレクト＆M.I.R.R.O.R.</t>
  </si>
  <si>
    <t>各属性相性良3・黄・R474</t>
    <rPh sb="0" eb="3">
      <t>カクゾクセイ</t>
    </rPh>
    <rPh sb="8" eb="9">
      <t>キイロ</t>
    </rPh>
    <phoneticPr fontId="20"/>
  </si>
  <si>
    <t>格好いい</t>
    <phoneticPr fontId="20"/>
  </si>
  <si>
    <t>男性</t>
    <phoneticPr fontId="20"/>
  </si>
  <si>
    <t>red</t>
    <phoneticPr fontId="53"/>
  </si>
  <si>
    <t>Drop2N</t>
    <phoneticPr fontId="53"/>
  </si>
  <si>
    <t>technical</t>
    <phoneticPr fontId="53"/>
  </si>
  <si>
    <t>human</t>
    <phoneticPr fontId="53"/>
  </si>
  <si>
    <t>NULL</t>
    <phoneticPr fontId="53"/>
  </si>
  <si>
    <t>normal</t>
    <phoneticPr fontId="53"/>
  </si>
  <si>
    <t>嫉心のリフレクト＆M.I.R.R.O.R.</t>
  </si>
  <si>
    <t>各属性相性良3・黄・R475</t>
    <rPh sb="0" eb="3">
      <t>カクゾクセイ</t>
    </rPh>
    <rPh sb="8" eb="9">
      <t>キイロ</t>
    </rPh>
    <phoneticPr fontId="20"/>
  </si>
  <si>
    <t>normal</t>
    <phoneticPr fontId="53"/>
  </si>
  <si>
    <t>Mr.ホエール</t>
  </si>
  <si>
    <t>各属性相性良3・黄・R476</t>
    <rPh sb="0" eb="3">
      <t>カクゾクセイ</t>
    </rPh>
    <rPh sb="8" eb="9">
      <t>キイロ</t>
    </rPh>
    <phoneticPr fontId="20"/>
  </si>
  <si>
    <t>machine</t>
    <phoneticPr fontId="53"/>
  </si>
  <si>
    <t>夢鯨大食 Mr.ホエール</t>
  </si>
  <si>
    <t>各属性相性良3・黄・R477</t>
    <rPh sb="0" eb="3">
      <t>カクゾクセイ</t>
    </rPh>
    <rPh sb="8" eb="9">
      <t>キイロ</t>
    </rPh>
    <phoneticPr fontId="20"/>
  </si>
  <si>
    <t>hp</t>
    <phoneticPr fontId="53"/>
  </si>
  <si>
    <t>叶望の幻燈 ジーナ</t>
  </si>
  <si>
    <t>各属性相性良3・黄・R478</t>
    <rPh sb="0" eb="3">
      <t>カクゾクセイ</t>
    </rPh>
    <rPh sb="8" eb="9">
      <t>キイロ</t>
    </rPh>
    <phoneticPr fontId="20"/>
  </si>
  <si>
    <t>unknown</t>
    <phoneticPr fontId="53"/>
  </si>
  <si>
    <t>NULL</t>
    <phoneticPr fontId="53"/>
  </si>
  <si>
    <t>青燈の巨躯 ジーナ</t>
  </si>
  <si>
    <t>各属性相性良3・黄・R479</t>
    <rPh sb="0" eb="3">
      <t>カクゾクセイ</t>
    </rPh>
    <rPh sb="8" eb="9">
      <t>キイロ</t>
    </rPh>
    <phoneticPr fontId="20"/>
  </si>
  <si>
    <t>hp</t>
    <phoneticPr fontId="53"/>
  </si>
  <si>
    <t>unknown</t>
    <phoneticPr fontId="53"/>
  </si>
  <si>
    <t>ブレーメン</t>
    <phoneticPr fontId="60"/>
  </si>
  <si>
    <t>各属性相性良3・黄・R480</t>
    <rPh sb="0" eb="3">
      <t>カクゾクセイ</t>
    </rPh>
    <rPh sb="8" eb="9">
      <t>キイロ</t>
    </rPh>
    <phoneticPr fontId="20"/>
  </si>
  <si>
    <t>PremiumS</t>
    <phoneticPr fontId="53"/>
  </si>
  <si>
    <t>balance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</si>
  <si>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</si>
  <si>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</si>
  <si>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</si>
  <si>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</si>
  <si>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</si>
  <si>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歓揮の楽団長 ブレーメン</t>
  </si>
  <si>
    <t>各属性相性良3・黄・R481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</si>
  <si>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</si>
  <si>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</si>
  <si>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</si>
  <si>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red</t>
    <phoneticPr fontId="53"/>
  </si>
  <si>
    <t>PremiumS</t>
    <phoneticPr fontId="53"/>
  </si>
  <si>
    <t>animal</t>
    <phoneticPr fontId="53"/>
  </si>
  <si>
    <t>ピノキオ</t>
    <phoneticPr fontId="60"/>
  </si>
  <si>
    <t>各属性相性良3・黄・R482</t>
    <rPh sb="0" eb="3">
      <t>カクゾクセイ</t>
    </rPh>
    <rPh sb="8" eb="9">
      <t>キイロ</t>
    </rPh>
    <phoneticPr fontId="20"/>
  </si>
  <si>
    <t>PremiumS</t>
    <phoneticPr fontId="53"/>
  </si>
  <si>
    <t>attack</t>
    <phoneticPr fontId="53"/>
  </si>
  <si>
    <t>無情の感線 ピノキオ</t>
  </si>
  <si>
    <t>各属性相性良3・黄・R483</t>
    <rPh sb="0" eb="3">
      <t>カクゾクセイ</t>
    </rPh>
    <rPh sb="8" eb="9">
      <t>キイロ</t>
    </rPh>
    <phoneticPr fontId="20"/>
  </si>
  <si>
    <t>無敗の司令姫 白雪姫</t>
  </si>
  <si>
    <t>華麗なる作戦 白雪姫</t>
  </si>
  <si>
    <t>アラジンと殲滅機兵LAMP</t>
  </si>
  <si>
    <t xml:space="preserve">マスター･アラジンと殲滅機兵LAMP </t>
    <phoneticPr fontId="53"/>
  </si>
  <si>
    <t>フロイト</t>
    <phoneticPr fontId="60"/>
  </si>
  <si>
    <t>無我夢中の羊狩り フロイト</t>
    <phoneticPr fontId="60"/>
  </si>
  <si>
    <t>シュヴァルツシルト</t>
    <phoneticPr fontId="60"/>
  </si>
  <si>
    <t>時歪の特異天 シュヴァルツシルト</t>
  </si>
  <si>
    <t>attack</t>
    <phoneticPr fontId="53"/>
  </si>
  <si>
    <t>フレネル</t>
    <phoneticPr fontId="60"/>
  </si>
  <si>
    <t>覇導の光跡 フレネル</t>
  </si>
  <si>
    <t>イフリート</t>
    <phoneticPr fontId="60"/>
  </si>
  <si>
    <t>自律の協炎 イフリート</t>
    <phoneticPr fontId="60"/>
  </si>
  <si>
    <t>イグニス</t>
    <phoneticPr fontId="60"/>
  </si>
  <si>
    <t>イグニス・フューリー</t>
    <phoneticPr fontId="60"/>
  </si>
  <si>
    <t>animal</t>
    <phoneticPr fontId="53"/>
  </si>
  <si>
    <t>ハーシェル</t>
    <phoneticPr fontId="53"/>
  </si>
  <si>
    <t>各属性相性良3・黄・R484</t>
    <rPh sb="0" eb="3">
      <t>カクゾクセイ</t>
    </rPh>
    <rPh sb="8" eb="9">
      <t>キイロ</t>
    </rPh>
    <phoneticPr fontId="20"/>
  </si>
  <si>
    <t>銀河究星の望観者 ハーシェル</t>
    <phoneticPr fontId="53"/>
  </si>
  <si>
    <t>各属性相性良3・黄・R485</t>
    <rPh sb="0" eb="3">
      <t>カクゾクセイ</t>
    </rPh>
    <rPh sb="8" eb="9">
      <t>キイロ</t>
    </rPh>
    <phoneticPr fontId="20"/>
  </si>
  <si>
    <t>yellow</t>
    <phoneticPr fontId="53"/>
  </si>
  <si>
    <t>PremiumSSS</t>
    <phoneticPr fontId="53"/>
  </si>
  <si>
    <t>heal</t>
    <phoneticPr fontId="53"/>
  </si>
  <si>
    <t>academia</t>
    <phoneticPr fontId="53"/>
  </si>
  <si>
    <t>超大型巨人</t>
    <phoneticPr fontId="53"/>
  </si>
  <si>
    <t>各属性相性良3・黄・R486</t>
    <rPh sb="0" eb="3">
      <t>カクゾクセイ</t>
    </rPh>
    <rPh sb="8" eb="9">
      <t>キイロ</t>
    </rPh>
    <phoneticPr fontId="20"/>
  </si>
  <si>
    <t>enemy_only</t>
    <phoneticPr fontId="53"/>
  </si>
  <si>
    <t>灼動する猛巨炎 プロメテウス</t>
    <phoneticPr fontId="53"/>
  </si>
  <si>
    <t>各属性相性良3・黄・R487</t>
    <rPh sb="0" eb="3">
      <t>カクゾクセイ</t>
    </rPh>
    <rPh sb="8" eb="9">
      <t>キイロ</t>
    </rPh>
    <phoneticPr fontId="20"/>
  </si>
  <si>
    <t>咲園の爛漫神 アフロディーテ</t>
  </si>
  <si>
    <t>各属性相性良3・黄・R488</t>
    <rPh sb="0" eb="3">
      <t>カクゾクセイ</t>
    </rPh>
    <rPh sb="8" eb="9">
      <t>キイロ</t>
    </rPh>
    <phoneticPr fontId="20"/>
  </si>
  <si>
    <t>御群の絶海女神 テティス</t>
  </si>
  <si>
    <t>各属性相性良3・黄・R489</t>
    <rPh sb="0" eb="3">
      <t>カクゾクセイ</t>
    </rPh>
    <rPh sb="8" eb="9">
      <t>キイロ</t>
    </rPh>
    <phoneticPr fontId="20"/>
  </si>
  <si>
    <t>星義司る天聖神 アストライアー</t>
    <phoneticPr fontId="53"/>
  </si>
  <si>
    <t>各属性相性良3・黄・R490</t>
    <rPh sb="0" eb="3">
      <t>カクゾクセイ</t>
    </rPh>
    <rPh sb="8" eb="9">
      <t>キイロ</t>
    </rPh>
    <phoneticPr fontId="20"/>
  </si>
  <si>
    <t>PremiumS</t>
    <phoneticPr fontId="53"/>
  </si>
  <si>
    <t>balance</t>
    <phoneticPr fontId="53"/>
  </si>
  <si>
    <t>エリス</t>
    <phoneticPr fontId="60"/>
  </si>
  <si>
    <t>各属性相性良3・黄・R491</t>
    <rPh sb="0" eb="3">
      <t>カクゾクセイ</t>
    </rPh>
    <rPh sb="8" eb="9">
      <t>キイロ</t>
    </rPh>
    <phoneticPr fontId="20"/>
  </si>
  <si>
    <t>禍根の暴送者 エリス</t>
    <phoneticPr fontId="60"/>
  </si>
  <si>
    <t>各属性相性良3・黄・R492</t>
    <rPh sb="0" eb="3">
      <t>カクゾクセイ</t>
    </rPh>
    <rPh sb="8" eb="9">
      <t>キイロ</t>
    </rPh>
    <phoneticPr fontId="20"/>
  </si>
  <si>
    <t>未定</t>
    <phoneticPr fontId="6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</si>
  <si>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</si>
  <si>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</si>
  <si>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</si>
  <si>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</si>
  <si>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PremiumSSS</t>
    <phoneticPr fontId="53"/>
  </si>
  <si>
    <t>balance</t>
    <phoneticPr fontId="53"/>
  </si>
  <si>
    <t>academia</t>
    <phoneticPr fontId="53"/>
  </si>
  <si>
    <t>未定</t>
    <phoneticPr fontId="60"/>
  </si>
  <si>
    <t>コルキス</t>
    <phoneticPr fontId="60"/>
  </si>
  <si>
    <t>各属性相性良3・黄・R495</t>
    <rPh sb="0" eb="3">
      <t>カクゾクセイ</t>
    </rPh>
    <rPh sb="8" eb="9">
      <t>キイロ</t>
    </rPh>
    <phoneticPr fontId="20"/>
  </si>
  <si>
    <t>金碧の羊星 コルキス</t>
  </si>
  <si>
    <t>各属性相性良3・黄・R496</t>
    <rPh sb="0" eb="3">
      <t>カクゾクセイ</t>
    </rPh>
    <rPh sb="8" eb="9">
      <t>キイロ</t>
    </rPh>
    <phoneticPr fontId="20"/>
  </si>
  <si>
    <t>アテナ</t>
    <phoneticPr fontId="60"/>
  </si>
  <si>
    <t>各属性相性良3・黄・R497</t>
    <rPh sb="0" eb="3">
      <t>カクゾクセイ</t>
    </rPh>
    <rPh sb="8" eb="9">
      <t>キイロ</t>
    </rPh>
    <phoneticPr fontId="20"/>
  </si>
  <si>
    <t>聖澄の戦慧神 アテナ</t>
    <phoneticPr fontId="53"/>
  </si>
  <si>
    <t>各属性相性良3・黄・R498</t>
    <rPh sb="0" eb="3">
      <t>カクゾクセイ</t>
    </rPh>
    <rPh sb="8" eb="9">
      <t>キイロ</t>
    </rPh>
    <phoneticPr fontId="20"/>
  </si>
  <si>
    <t>machine</t>
    <phoneticPr fontId="53"/>
  </si>
  <si>
    <t>未定</t>
    <phoneticPr fontId="60"/>
  </si>
  <si>
    <t>各属性相性良3・黄・R499</t>
    <rPh sb="0" eb="3">
      <t>カクゾクセイ</t>
    </rPh>
    <rPh sb="8" eb="9">
      <t>キイロ</t>
    </rPh>
    <phoneticPr fontId="20"/>
  </si>
  <si>
    <t>天衣紡ぐ麗鶴 ハヅル</t>
    <phoneticPr fontId="53"/>
  </si>
  <si>
    <t>各属性相性良3・黄・R500</t>
    <rPh sb="0" eb="3">
      <t>カクゾクセイ</t>
    </rPh>
    <rPh sb="8" eb="9">
      <t>キイロ</t>
    </rPh>
    <phoneticPr fontId="20"/>
  </si>
  <si>
    <t>balance</t>
    <phoneticPr fontId="53"/>
  </si>
  <si>
    <t>天跳兎破 イナバ</t>
  </si>
  <si>
    <t>各属性相性良3・黄・R501</t>
    <rPh sb="0" eb="3">
      <t>カクゾクセイ</t>
    </rPh>
    <rPh sb="8" eb="9">
      <t>キイロ</t>
    </rPh>
    <phoneticPr fontId="20"/>
  </si>
  <si>
    <t>未定</t>
    <phoneticPr fontId="60"/>
  </si>
  <si>
    <t>各属性相性良3・黄・R502</t>
    <rPh sb="0" eb="3">
      <t>カクゾクセイ</t>
    </rPh>
    <rPh sb="8" eb="9">
      <t>キイロ</t>
    </rPh>
    <phoneticPr fontId="20"/>
  </si>
  <si>
    <t>楽園からの帰還 アザゼル</t>
    <phoneticPr fontId="53"/>
  </si>
  <si>
    <t>サンリオキャラ大集合+アザゼル</t>
    <rPh sb="7" eb="10">
      <t>ダイシュウゴウ</t>
    </rPh>
    <phoneticPr fontId="60"/>
  </si>
  <si>
    <t>格好いい</t>
    <phoneticPr fontId="20"/>
  </si>
  <si>
    <t>男性</t>
    <phoneticPr fontId="20"/>
  </si>
  <si>
    <t>green</t>
    <phoneticPr fontId="53"/>
  </si>
  <si>
    <t>DropWizS</t>
    <phoneticPr fontId="53"/>
  </si>
  <si>
    <t>technical</t>
    <phoneticPr fontId="53"/>
  </si>
  <si>
    <t>ss</t>
    <phoneticPr fontId="53"/>
  </si>
  <si>
    <t>(C)'76, '93, '96, '01, '16 SANRIO(E)</t>
    <phoneticPr fontId="53"/>
  </si>
  <si>
    <t>桃源郷での大宴会 アザゼル</t>
    <phoneticPr fontId="53"/>
  </si>
  <si>
    <t>(C)'76, '88, '93, '96, '01, '05, '16 SANRIO(E)</t>
    <phoneticPr fontId="53"/>
  </si>
  <si>
    <t>恩愛性ニムダ</t>
    <phoneticPr fontId="53"/>
  </si>
  <si>
    <t>ニムダ_サンリオキャラ混じり</t>
    <rPh sb="11" eb="12">
      <t>マ</t>
    </rPh>
    <phoneticPr fontId="60"/>
  </si>
  <si>
    <t>(C)'76, '96, '01, '16 SANRIO(E)</t>
    <phoneticPr fontId="53"/>
  </si>
  <si>
    <t>集団恩愛性ニムダL</t>
    <phoneticPr fontId="53"/>
  </si>
  <si>
    <t>ハローキティ</t>
  </si>
  <si>
    <t>ハローキティ</t>
    <phoneticPr fontId="60"/>
  </si>
  <si>
    <t>(C)'76, '16 SANRIO(E)</t>
    <phoneticPr fontId="53"/>
  </si>
  <si>
    <t>りんごの馬車　ハローキティ</t>
    <phoneticPr fontId="53"/>
  </si>
  <si>
    <t>KIRIMIちゃん.</t>
  </si>
  <si>
    <t>KIRIMIちゃん</t>
    <phoneticPr fontId="60"/>
  </si>
  <si>
    <t>(C)'13, '16 SANRIO(E)</t>
    <phoneticPr fontId="53"/>
  </si>
  <si>
    <t>おいしくたべてね KIRIMIちゃん.</t>
    <phoneticPr fontId="53"/>
  </si>
  <si>
    <t>ハローキティのリボン</t>
  </si>
  <si>
    <t>ハローキティのリボン</t>
    <phoneticPr fontId="60"/>
  </si>
  <si>
    <t>evolution</t>
    <phoneticPr fontId="53"/>
  </si>
  <si>
    <t>(C)'04, '16 SANRIO(E)</t>
    <phoneticPr fontId="53"/>
  </si>
  <si>
    <t>ママの作ったアップルパイ</t>
    <phoneticPr fontId="53"/>
  </si>
  <si>
    <t>ママの作ったアップルパイ</t>
    <rPh sb="3" eb="4">
      <t>ツク</t>
    </rPh>
    <phoneticPr fontId="60"/>
  </si>
  <si>
    <t>光愛の弾幕 D.R.T.H.</t>
    <phoneticPr fontId="53"/>
  </si>
  <si>
    <t>D.R.T.H__キティコスプレ</t>
    <phoneticPr fontId="60"/>
  </si>
  <si>
    <t>輝愛の大弾幕 D.R.T.H.</t>
    <phoneticPr fontId="53"/>
  </si>
  <si>
    <t>マイメロディ</t>
    <phoneticPr fontId="53"/>
  </si>
  <si>
    <t>マイメロディ</t>
    <phoneticPr fontId="60"/>
  </si>
  <si>
    <t>フラットくんと一緒 マイメロディ</t>
    <rPh sb="7" eb="9">
      <t>イッショ</t>
    </rPh>
    <phoneticPr fontId="53"/>
  </si>
  <si>
    <t>幸福の縁廻　ニーベルゲン</t>
    <phoneticPr fontId="53"/>
  </si>
  <si>
    <t>ニーベルゲン_シナモロールコスプレ</t>
    <phoneticPr fontId="60"/>
  </si>
  <si>
    <t>balance</t>
    <phoneticPr fontId="20"/>
  </si>
  <si>
    <t>(C)'01, '16 SANRIO(E)</t>
    <phoneticPr fontId="53"/>
  </si>
  <si>
    <t>淡色を廻る倖せ　ニーベルゲン</t>
    <phoneticPr fontId="53"/>
  </si>
  <si>
    <t>PremiumS</t>
    <phoneticPr fontId="53"/>
  </si>
  <si>
    <t>balance</t>
    <phoneticPr fontId="20"/>
  </si>
  <si>
    <t>休息者　カカシ</t>
    <phoneticPr fontId="53"/>
  </si>
  <si>
    <t>カカシ_マイメロディコスプレ</t>
    <phoneticPr fontId="6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</si>
  <si>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</si>
  <si>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</si>
  <si>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</si>
  <si>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</si>
  <si>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PremiumS</t>
    <phoneticPr fontId="53"/>
  </si>
  <si>
    <t>technical</t>
    <phoneticPr fontId="20"/>
  </si>
  <si>
    <t>翠線譜の音色　カカシ</t>
    <phoneticPr fontId="53"/>
  </si>
  <si>
    <t>PremiumS</t>
    <phoneticPr fontId="53"/>
  </si>
  <si>
    <t>けろけろけろっぴ</t>
  </si>
  <si>
    <t>ケロケロけろっぴ</t>
    <phoneticPr fontId="60"/>
  </si>
  <si>
    <t>(C)'88, '16 SANRIO(E)</t>
    <phoneticPr fontId="53"/>
  </si>
  <si>
    <t>てるてる天気 けろけろけろっぴ</t>
    <phoneticPr fontId="53"/>
  </si>
  <si>
    <t>甘美の誘惑 モルドレッド</t>
    <phoneticPr fontId="53"/>
  </si>
  <si>
    <t>モルドレッド_ポムポムプリンコスプレ</t>
    <phoneticPr fontId="60"/>
  </si>
  <si>
    <t>heal</t>
    <phoneticPr fontId="20"/>
  </si>
  <si>
    <t>(C)'96, '16 SANRIO(E)</t>
    <phoneticPr fontId="53"/>
  </si>
  <si>
    <t>甘美の誘迷 モルドレッド</t>
    <phoneticPr fontId="53"/>
  </si>
  <si>
    <t>モルドレッド_ポムポムプリンコスプレ</t>
    <phoneticPr fontId="60"/>
  </si>
  <si>
    <t>heal</t>
    <phoneticPr fontId="20"/>
  </si>
  <si>
    <t>(C)'96, '16 SANRIO(E)</t>
    <phoneticPr fontId="53"/>
  </si>
  <si>
    <t>クロミ</t>
  </si>
  <si>
    <t>クロミ</t>
    <phoneticPr fontId="60"/>
  </si>
  <si>
    <t>technical</t>
    <phoneticPr fontId="20"/>
  </si>
  <si>
    <t>(C)'05, '16 SANRIO(E)</t>
    <phoneticPr fontId="53"/>
  </si>
  <si>
    <t>アタイとバク クロミ</t>
    <phoneticPr fontId="53"/>
  </si>
  <si>
    <t>クロミ</t>
    <phoneticPr fontId="60"/>
  </si>
  <si>
    <t>PremiumS</t>
    <phoneticPr fontId="53"/>
  </si>
  <si>
    <t>ss</t>
    <phoneticPr fontId="53"/>
  </si>
  <si>
    <t>(C)'05, '16 SANRIO(E)</t>
    <phoneticPr fontId="53"/>
  </si>
  <si>
    <t>バッドばつ丸</t>
  </si>
  <si>
    <t>バッドばつ丸</t>
    <rPh sb="5" eb="6">
      <t>マル</t>
    </rPh>
    <phoneticPr fontId="60"/>
  </si>
  <si>
    <t>attack</t>
    <phoneticPr fontId="20"/>
  </si>
  <si>
    <t>(C)'93, '16 SANRIO(E)</t>
    <phoneticPr fontId="53"/>
  </si>
  <si>
    <t>いたずら大好き　バッドばつ丸</t>
    <phoneticPr fontId="53"/>
  </si>
  <si>
    <t>attack</t>
    <phoneticPr fontId="20"/>
  </si>
  <si>
    <t>(C)'93, '16 SANRIO(E)</t>
    <phoneticPr fontId="53"/>
  </si>
  <si>
    <t>シナモロール</t>
    <phoneticPr fontId="60"/>
  </si>
  <si>
    <t>(C)'01, '16 SANRIO(E)</t>
    <phoneticPr fontId="53"/>
  </si>
  <si>
    <t>ふわふわおさんぽ♪ シナモロール</t>
    <phoneticPr fontId="53"/>
  </si>
  <si>
    <t>シナモロール</t>
    <phoneticPr fontId="60"/>
  </si>
  <si>
    <t>執行者</t>
    <phoneticPr fontId="20"/>
  </si>
  <si>
    <t>ポムポムプリン</t>
  </si>
  <si>
    <t>ポムポムプリン</t>
    <phoneticPr fontId="60"/>
  </si>
  <si>
    <t>hp</t>
    <phoneticPr fontId="20"/>
  </si>
  <si>
    <t>一緒におでかけ ポムポムプリン</t>
    <phoneticPr fontId="53"/>
  </si>
  <si>
    <t>ゼウス</t>
    <phoneticPr fontId="60"/>
  </si>
  <si>
    <t>各属性相性良3・黄・R533</t>
    <rPh sb="0" eb="3">
      <t>カクゾクセイ</t>
    </rPh>
    <rPh sb="8" eb="9">
      <t>キイロ</t>
    </rPh>
    <phoneticPr fontId="20"/>
  </si>
  <si>
    <t>烙雷の全能神 ゼウス</t>
    <phoneticPr fontId="60"/>
  </si>
  <si>
    <t>各属性相性良3・黄・R534</t>
    <rPh sb="0" eb="3">
      <t>カクゾクセイ</t>
    </rPh>
    <rPh sb="8" eb="9">
      <t>キイロ</t>
    </rPh>
    <phoneticPr fontId="20"/>
  </si>
  <si>
    <t>ネルソン</t>
    <phoneticPr fontId="60"/>
  </si>
  <si>
    <t>各属性相性良3・黄・R535</t>
    <rPh sb="0" eb="3">
      <t>カクゾクセイ</t>
    </rPh>
    <rPh sb="8" eb="9">
      <t>キイロ</t>
    </rPh>
    <phoneticPr fontId="20"/>
  </si>
  <si>
    <t>隻眼の英堤 ネルソン</t>
    <phoneticPr fontId="60"/>
  </si>
  <si>
    <t>各属性相性良3・黄・R536</t>
    <rPh sb="0" eb="3">
      <t>カクゾクセイ</t>
    </rPh>
    <rPh sb="8" eb="9">
      <t>キイロ</t>
    </rPh>
    <phoneticPr fontId="20"/>
  </si>
  <si>
    <t>ヴェルサイユ</t>
    <phoneticPr fontId="60"/>
  </si>
  <si>
    <t>各属性相性良3・黄・R537</t>
    <rPh sb="0" eb="3">
      <t>カクゾクセイ</t>
    </rPh>
    <rPh sb="8" eb="9">
      <t>キイロ</t>
    </rPh>
    <phoneticPr fontId="20"/>
  </si>
  <si>
    <t>絢爛たる燈城 ヴェルサイユ</t>
    <phoneticPr fontId="60"/>
  </si>
  <si>
    <t>各属性相性良3・黄・R538</t>
    <rPh sb="0" eb="3">
      <t>カクゾクセイ</t>
    </rPh>
    <rPh sb="8" eb="9">
      <t>キイロ</t>
    </rPh>
    <phoneticPr fontId="20"/>
  </si>
  <si>
    <t>ルイ16世</t>
    <rPh sb="4" eb="5">
      <t>セイ</t>
    </rPh>
    <phoneticPr fontId="60"/>
  </si>
  <si>
    <t>各属性相性良3・黄・R539</t>
    <rPh sb="0" eb="3">
      <t>カクゾクセイ</t>
    </rPh>
    <rPh sb="8" eb="9">
      <t>キイロ</t>
    </rPh>
    <phoneticPr fontId="20"/>
  </si>
  <si>
    <t>憲誓の煉王 ルイ16世</t>
    <phoneticPr fontId="60"/>
  </si>
  <si>
    <t>各属性相性良3・黄・R540</t>
    <rPh sb="0" eb="3">
      <t>カクゾクセイ</t>
    </rPh>
    <rPh sb="8" eb="9">
      <t>キイロ</t>
    </rPh>
    <phoneticPr fontId="20"/>
  </si>
  <si>
    <t>ナポレオン</t>
    <phoneticPr fontId="60"/>
  </si>
  <si>
    <t>各属性相性良3・黄・R541</t>
    <rPh sb="0" eb="3">
      <t>カクゾクセイ</t>
    </rPh>
    <rPh sb="8" eb="9">
      <t>キイロ</t>
    </rPh>
    <phoneticPr fontId="20"/>
  </si>
  <si>
    <t>炎焔宿す革命皇 ナポレオン</t>
    <phoneticPr fontId="60"/>
  </si>
  <si>
    <t>各属性相性良3・黄・R542</t>
    <rPh sb="0" eb="3">
      <t>カクゾクセイ</t>
    </rPh>
    <rPh sb="8" eb="9">
      <t>キイロ</t>
    </rPh>
    <phoneticPr fontId="20"/>
  </si>
  <si>
    <t>バスティーユ</t>
    <phoneticPr fontId="60"/>
  </si>
  <si>
    <t>各属性相性良3・黄・R543</t>
    <rPh sb="0" eb="3">
      <t>カクゾクセイ</t>
    </rPh>
    <rPh sb="8" eb="9">
      <t>キイロ</t>
    </rPh>
    <phoneticPr fontId="20"/>
  </si>
  <si>
    <t>不壊の大要塞 バスティーユ</t>
    <phoneticPr fontId="60"/>
  </si>
  <si>
    <t>各属性相性良3・黄・R544</t>
    <rPh sb="0" eb="3">
      <t>カクゾクセイ</t>
    </rPh>
    <rPh sb="8" eb="9">
      <t>キイロ</t>
    </rPh>
    <phoneticPr fontId="20"/>
  </si>
  <si>
    <t>アントワネット</t>
    <phoneticPr fontId="60"/>
  </si>
  <si>
    <t>各属性相性良3・黄・R545</t>
    <rPh sb="0" eb="3">
      <t>カクゾクセイ</t>
    </rPh>
    <rPh sb="8" eb="9">
      <t>キイロ</t>
    </rPh>
    <phoneticPr fontId="20"/>
  </si>
  <si>
    <t>華戯たる傲妃 アントワネット</t>
    <phoneticPr fontId="60"/>
  </si>
  <si>
    <t>各属性相性良3・黄・R546</t>
    <rPh sb="0" eb="3">
      <t>カクゾクセイ</t>
    </rPh>
    <rPh sb="8" eb="9">
      <t>キイロ</t>
    </rPh>
    <phoneticPr fontId="20"/>
  </si>
  <si>
    <t>サンソン</t>
    <phoneticPr fontId="60"/>
  </si>
  <si>
    <t>各属性相性良3・黄・R547</t>
    <rPh sb="0" eb="3">
      <t>カクゾクセイ</t>
    </rPh>
    <rPh sb="8" eb="9">
      <t>キイロ</t>
    </rPh>
    <phoneticPr fontId="20"/>
  </si>
  <si>
    <t>王敬の執行者 サンソン</t>
    <phoneticPr fontId="60"/>
  </si>
  <si>
    <t>各属性相性良3・黄・R548</t>
    <rPh sb="0" eb="3">
      <t>カクゾクセイ</t>
    </rPh>
    <rPh sb="8" eb="9">
      <t>キイロ</t>
    </rPh>
    <phoneticPr fontId="20"/>
  </si>
  <si>
    <t>ブリューナク</t>
    <phoneticPr fontId="60"/>
  </si>
  <si>
    <t>各属性相性良3・黄・R549</t>
    <rPh sb="0" eb="3">
      <t>カクゾクセイ</t>
    </rPh>
    <rPh sb="8" eb="9">
      <t>キイロ</t>
    </rPh>
    <phoneticPr fontId="20"/>
  </si>
  <si>
    <t>各属性相性良3・黄・R550</t>
    <rPh sb="0" eb="3">
      <t>カクゾクセイ</t>
    </rPh>
    <rPh sb="8" eb="9">
      <t>キイロ</t>
    </rPh>
    <phoneticPr fontId="20"/>
  </si>
  <si>
    <t>ゲイボルグ</t>
    <phoneticPr fontId="60"/>
  </si>
  <si>
    <t>各属性相性良3・黄・R551</t>
    <rPh sb="0" eb="3">
      <t>カクゾクセイ</t>
    </rPh>
    <rPh sb="8" eb="9">
      <t>キイロ</t>
    </rPh>
    <phoneticPr fontId="20"/>
  </si>
  <si>
    <t>裂雷の必撃鏃 ゲイボルグ</t>
    <phoneticPr fontId="60"/>
  </si>
  <si>
    <t>各属性相性良3・黄・R552</t>
    <rPh sb="0" eb="3">
      <t>カクゾクセイ</t>
    </rPh>
    <rPh sb="8" eb="9">
      <t>キイロ</t>
    </rPh>
    <phoneticPr fontId="20"/>
  </si>
  <si>
    <t>トライデント</t>
    <phoneticPr fontId="60"/>
  </si>
  <si>
    <t>各属性相性良3・黄・R553</t>
    <rPh sb="0" eb="3">
      <t>カクゾクセイ</t>
    </rPh>
    <rPh sb="8" eb="9">
      <t>キイロ</t>
    </rPh>
    <phoneticPr fontId="20"/>
  </si>
  <si>
    <t>海洪操る三叉戟 トライデント</t>
    <phoneticPr fontId="60"/>
  </si>
  <si>
    <t>各属性相性良3・黄・R554</t>
    <rPh sb="0" eb="3">
      <t>カクゾクセイ</t>
    </rPh>
    <rPh sb="8" eb="9">
      <t>キイロ</t>
    </rPh>
    <phoneticPr fontId="20"/>
  </si>
  <si>
    <t>グングニル</t>
    <phoneticPr fontId="60"/>
  </si>
  <si>
    <t>各属性相性良3・黄・R555</t>
    <rPh sb="0" eb="3">
      <t>カクゾクセイ</t>
    </rPh>
    <rPh sb="8" eb="9">
      <t>キイロ</t>
    </rPh>
    <phoneticPr fontId="20"/>
  </si>
  <si>
    <t>勝臨の機鋭槍 グングニル</t>
    <phoneticPr fontId="60"/>
  </si>
  <si>
    <t>各属性相性良3・黄・R556</t>
    <rPh sb="0" eb="3">
      <t>カクゾクセイ</t>
    </rPh>
    <rPh sb="8" eb="9">
      <t>キイロ</t>
    </rPh>
    <phoneticPr fontId="20"/>
  </si>
  <si>
    <t>ハイゼンベルク</t>
    <phoneticPr fontId="60"/>
  </si>
  <si>
    <t>各属性相性良3・黄・R557</t>
    <rPh sb="0" eb="3">
      <t>カクゾクセイ</t>
    </rPh>
    <rPh sb="8" eb="9">
      <t>キイロ</t>
    </rPh>
    <phoneticPr fontId="20"/>
  </si>
  <si>
    <t>PremiumSSS</t>
    <phoneticPr fontId="53"/>
  </si>
  <si>
    <t>ja</t>
    <phoneticPr fontId="53"/>
  </si>
  <si>
    <t>不確の量熔者 ハイゼンベルク</t>
  </si>
  <si>
    <t>各属性相性良3・黄・R558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</si>
  <si>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</si>
  <si>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</si>
  <si>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</si>
  <si>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</si>
  <si>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PremiumSSS</t>
    <phoneticPr fontId="53"/>
  </si>
  <si>
    <t>attack</t>
    <phoneticPr fontId="53"/>
  </si>
  <si>
    <t>academia</t>
    <phoneticPr fontId="53"/>
  </si>
  <si>
    <t>machine</t>
    <phoneticPr fontId="53"/>
  </si>
  <si>
    <t>マクローリン</t>
    <phoneticPr fontId="60"/>
  </si>
  <si>
    <t>各属性相性良3・黄・R559</t>
    <rPh sb="0" eb="3">
      <t>カクゾクセイ</t>
    </rPh>
    <rPh sb="8" eb="9">
      <t>キイロ</t>
    </rPh>
    <phoneticPr fontId="20"/>
  </si>
  <si>
    <t>男性</t>
    <phoneticPr fontId="20"/>
  </si>
  <si>
    <t>PremiumSSS</t>
    <phoneticPr fontId="53"/>
  </si>
  <si>
    <t>technical</t>
    <phoneticPr fontId="53"/>
  </si>
  <si>
    <t>academia</t>
    <phoneticPr fontId="53"/>
  </si>
  <si>
    <t>導環の崇論 マクローリン</t>
  </si>
  <si>
    <t>各属性相性良3・黄・R560</t>
    <rPh sb="0" eb="3">
      <t>カクゾクセイ</t>
    </rPh>
    <rPh sb="8" eb="9">
      <t>キイロ</t>
    </rPh>
    <phoneticPr fontId="20"/>
  </si>
  <si>
    <t>浮環の流律論 マクローリン</t>
    <phoneticPr fontId="60"/>
  </si>
  <si>
    <t>各属性相性良3・黄・R561</t>
    <rPh sb="0" eb="3">
      <t>カクゾクセイ</t>
    </rPh>
    <rPh sb="8" eb="9">
      <t>キイロ</t>
    </rPh>
    <phoneticPr fontId="20"/>
  </si>
  <si>
    <t>PremiumSSS</t>
    <phoneticPr fontId="53"/>
  </si>
  <si>
    <t>academia</t>
    <phoneticPr fontId="53"/>
  </si>
  <si>
    <t>super</t>
    <phoneticPr fontId="53"/>
  </si>
  <si>
    <t>ド・モルガン</t>
  </si>
  <si>
    <t>各属性相性良3・黄・R562</t>
    <rPh sb="0" eb="3">
      <t>カクゾクセイ</t>
    </rPh>
    <rPh sb="8" eb="9">
      <t>キイロ</t>
    </rPh>
    <phoneticPr fontId="20"/>
  </si>
  <si>
    <t>PremiumSSS</t>
    <phoneticPr fontId="53"/>
  </si>
  <si>
    <t>双世の論和 ド・モルガン</t>
    <phoneticPr fontId="53"/>
  </si>
  <si>
    <t>各属性相性良3・黄・R563</t>
    <rPh sb="0" eb="3">
      <t>カクゾクセイ</t>
    </rPh>
    <rPh sb="8" eb="9">
      <t>キイロ</t>
    </rPh>
    <phoneticPr fontId="20"/>
  </si>
  <si>
    <t>animal</t>
    <phoneticPr fontId="53"/>
  </si>
  <si>
    <t>双対する真偽者 ド・モルガン</t>
    <phoneticPr fontId="53"/>
  </si>
  <si>
    <t>各属性相性良3・黄・R564</t>
    <rPh sb="0" eb="3">
      <t>カクゾクセイ</t>
    </rPh>
    <rPh sb="8" eb="9">
      <t>キイロ</t>
    </rPh>
    <phoneticPr fontId="20"/>
  </si>
  <si>
    <t>heal</t>
    <phoneticPr fontId="53"/>
  </si>
  <si>
    <t>academia</t>
    <phoneticPr fontId="53"/>
  </si>
  <si>
    <t>animal</t>
    <phoneticPr fontId="53"/>
  </si>
  <si>
    <t>super</t>
    <phoneticPr fontId="53"/>
  </si>
  <si>
    <t>狂奏・混業剣 ガレス</t>
    <phoneticPr fontId="53"/>
  </si>
  <si>
    <t>各属性相性良3・黄・R565</t>
    <rPh sb="0" eb="3">
      <t>カクゾクセイ</t>
    </rPh>
    <rPh sb="8" eb="9">
      <t>キイロ</t>
    </rPh>
    <phoneticPr fontId="20"/>
  </si>
  <si>
    <t>technical</t>
    <phoneticPr fontId="53"/>
  </si>
  <si>
    <t>アタッカー</t>
    <phoneticPr fontId="20"/>
  </si>
  <si>
    <t>NULL</t>
    <phoneticPr fontId="53"/>
  </si>
  <si>
    <t>酩酊する大宴龍 ヤマタノオロチ</t>
  </si>
  <si>
    <t>各属性相性良3・黄・R566</t>
    <rPh sb="0" eb="3">
      <t>カクゾクセイ</t>
    </rPh>
    <rPh sb="8" eb="9">
      <t>キイロ</t>
    </rPh>
    <phoneticPr fontId="20"/>
  </si>
  <si>
    <t>green</t>
    <phoneticPr fontId="53"/>
  </si>
  <si>
    <t>dragon</t>
    <phoneticPr fontId="53"/>
  </si>
  <si>
    <t>アタッカー</t>
    <phoneticPr fontId="20"/>
  </si>
  <si>
    <t>天蛇の閃皇貴魔 アスタロト</t>
    <phoneticPr fontId="60"/>
  </si>
  <si>
    <t>各属性相性良3・黄・R567</t>
    <rPh sb="0" eb="3">
      <t>カクゾクセイ</t>
    </rPh>
    <rPh sb="8" eb="9">
      <t>キイロ</t>
    </rPh>
    <phoneticPr fontId="20"/>
  </si>
  <si>
    <t>海破雨散の海龍 リヴァイアサン</t>
  </si>
  <si>
    <t>各属性相性良3・黄・R568</t>
    <rPh sb="0" eb="3">
      <t>カクゾクセイ</t>
    </rPh>
    <rPh sb="8" eb="9">
      <t>キイロ</t>
    </rPh>
    <phoneticPr fontId="20"/>
  </si>
  <si>
    <t>穿熱の緋龍王 キング・ドライグ</t>
  </si>
  <si>
    <t>各属性相性良3・黄・R569</t>
    <rPh sb="0" eb="3">
      <t>カクゾクセイ</t>
    </rPh>
    <rPh sb="8" eb="9">
      <t>キイロ</t>
    </rPh>
    <phoneticPr fontId="20"/>
  </si>
  <si>
    <t>麗嵐の颯愛志士 土方歳三</t>
    <phoneticPr fontId="60"/>
  </si>
  <si>
    <t>各属性相性良3・黄・R570</t>
    <rPh sb="0" eb="3">
      <t>カクゾクセイ</t>
    </rPh>
    <rPh sb="8" eb="9">
      <t>キイロ</t>
    </rPh>
    <phoneticPr fontId="20"/>
  </si>
  <si>
    <t>human</t>
    <phoneticPr fontId="53"/>
  </si>
  <si>
    <t>samurai</t>
    <phoneticPr fontId="53"/>
  </si>
  <si>
    <t>討滅の凶妖志士 斎藤一</t>
    <phoneticPr fontId="60"/>
  </si>
  <si>
    <t>各属性相性良3・黄・R571</t>
    <rPh sb="0" eb="3">
      <t>カクゾクセイ</t>
    </rPh>
    <rPh sb="8" eb="9">
      <t>キイロ</t>
    </rPh>
    <phoneticPr fontId="20"/>
  </si>
  <si>
    <t>夢謀の愚幻者 フール</t>
    <phoneticPr fontId="60"/>
  </si>
  <si>
    <t>各属性相性良3・黄・R572</t>
    <rPh sb="0" eb="3">
      <t>カクゾクセイ</t>
    </rPh>
    <rPh sb="8" eb="9">
      <t>キイロ</t>
    </rPh>
    <phoneticPr fontId="20"/>
  </si>
  <si>
    <t>超排撃の焔砲巨神 ユミル</t>
    <phoneticPr fontId="53"/>
  </si>
  <si>
    <t>各属性相性良3・黄・R573</t>
    <rPh sb="0" eb="3">
      <t>カクゾクセイ</t>
    </rPh>
    <rPh sb="8" eb="9">
      <t>キイロ</t>
    </rPh>
    <phoneticPr fontId="20"/>
  </si>
  <si>
    <t>machine</t>
    <phoneticPr fontId="53"/>
  </si>
  <si>
    <t>目醒の鋏牙 ラプンツェル</t>
    <phoneticPr fontId="53"/>
  </si>
  <si>
    <t>各属性相性良3・黄・R574</t>
    <rPh sb="0" eb="3">
      <t>カクゾクセイ</t>
    </rPh>
    <rPh sb="8" eb="9">
      <t>キイロ</t>
    </rPh>
    <phoneticPr fontId="20"/>
  </si>
  <si>
    <t>normal</t>
    <phoneticPr fontId="53"/>
  </si>
  <si>
    <t>機獅蛮勇 ブレイブリー・ライオン</t>
    <phoneticPr fontId="60"/>
  </si>
  <si>
    <t>各属性相性良3・黄・R575</t>
    <rPh sb="0" eb="3">
      <t>カクゾクセイ</t>
    </rPh>
    <rPh sb="8" eb="9">
      <t>キイロ</t>
    </rPh>
    <phoneticPr fontId="20"/>
  </si>
  <si>
    <t>hp</t>
    <phoneticPr fontId="53"/>
  </si>
  <si>
    <t>animal</t>
    <phoneticPr fontId="53"/>
  </si>
  <si>
    <t>コーシー</t>
    <phoneticPr fontId="60"/>
  </si>
  <si>
    <t>各属性相性良3・黄・R576</t>
    <rPh sb="0" eb="3">
      <t>カクゾクセイ</t>
    </rPh>
    <rPh sb="8" eb="9">
      <t>キイロ</t>
    </rPh>
    <phoneticPr fontId="20"/>
  </si>
  <si>
    <t>幻蜜なる怪跡 コーシー</t>
  </si>
  <si>
    <t>各属性相性良3・黄・R577</t>
    <rPh sb="0" eb="3">
      <t>カクゾクセイ</t>
    </rPh>
    <rPh sb="8" eb="9">
      <t>キイロ</t>
    </rPh>
    <phoneticPr fontId="20"/>
  </si>
  <si>
    <t>ブール</t>
    <phoneticPr fontId="60"/>
  </si>
  <si>
    <t>各属性相性良3・黄・R578</t>
    <rPh sb="0" eb="3">
      <t>カクゾクセイ</t>
    </rPh>
    <rPh sb="8" eb="9">
      <t>キイロ</t>
    </rPh>
    <phoneticPr fontId="20"/>
  </si>
  <si>
    <t>academia</t>
    <phoneticPr fontId="53"/>
  </si>
  <si>
    <t>綺号を巡る輝翼 ブール</t>
    <phoneticPr fontId="60"/>
  </si>
  <si>
    <t>各属性相性良3・黄・R579</t>
    <rPh sb="0" eb="3">
      <t>カクゾクセイ</t>
    </rPh>
    <rPh sb="8" eb="9">
      <t>キイロ</t>
    </rPh>
    <phoneticPr fontId="20"/>
  </si>
  <si>
    <t>balance</t>
    <phoneticPr fontId="53"/>
  </si>
  <si>
    <t>ウザリーマン</t>
    <phoneticPr fontId="60"/>
  </si>
  <si>
    <t>リヴァイ お掃除ver</t>
  </si>
  <si>
    <t>リヴァイ お掃除ver.</t>
  </si>
  <si>
    <t>潔癖の掃討 リヴァイ お掃除ver</t>
  </si>
  <si>
    <t>超大型巨人</t>
  </si>
  <si>
    <t>猛熱の災厄 超大型巨人</t>
  </si>
  <si>
    <t>女型の巨人</t>
    <rPh sb="0" eb="1">
      <t>オンナ</t>
    </rPh>
    <rPh sb="1" eb="2">
      <t>カタ</t>
    </rPh>
    <rPh sb="3" eb="5">
      <t>キョジン</t>
    </rPh>
    <phoneticPr fontId="60"/>
  </si>
  <si>
    <t>柔靭なる剛脚 女型の巨人</t>
  </si>
  <si>
    <t>鎧の巨人</t>
    <rPh sb="0" eb="1">
      <t>ヨロイ</t>
    </rPh>
    <phoneticPr fontId="60"/>
  </si>
  <si>
    <t>破壁の剛弾 鎧の巨人</t>
  </si>
  <si>
    <t>エレン</t>
    <phoneticPr fontId="53"/>
  </si>
  <si>
    <t>エレン・イェーガー</t>
  </si>
  <si>
    <t>復讐の誓約 エレン</t>
  </si>
  <si>
    <t>エレン・イェーガー（人間）</t>
  </si>
  <si>
    <t>machine</t>
    <phoneticPr fontId="53"/>
  </si>
  <si>
    <t>撃壊の眼煌 エレン巨人</t>
    <phoneticPr fontId="53"/>
  </si>
  <si>
    <t>エレン・イェーガー（巨人）</t>
  </si>
  <si>
    <t>unknown</t>
    <phoneticPr fontId="53"/>
  </si>
  <si>
    <t>ミカサ</t>
    <phoneticPr fontId="53"/>
  </si>
  <si>
    <t>ミカサ・アッカーマン</t>
  </si>
  <si>
    <t>執行者</t>
    <phoneticPr fontId="20"/>
  </si>
  <si>
    <t>格好いい</t>
    <phoneticPr fontId="20"/>
  </si>
  <si>
    <t>男性</t>
    <phoneticPr fontId="20"/>
  </si>
  <si>
    <t>machine</t>
    <phoneticPr fontId="53"/>
  </si>
  <si>
    <t>稀代の逸材 ミカサ</t>
  </si>
  <si>
    <t>human</t>
    <phoneticPr fontId="53"/>
  </si>
  <si>
    <t>エルヴィン</t>
    <phoneticPr fontId="53"/>
  </si>
  <si>
    <t>エルヴィン・スミス</t>
  </si>
  <si>
    <t>normal</t>
    <phoneticPr fontId="53"/>
  </si>
  <si>
    <t>NULL</t>
    <phoneticPr fontId="53"/>
  </si>
  <si>
    <t>反撃の核心 エルヴィン</t>
  </si>
  <si>
    <t>執行者</t>
    <phoneticPr fontId="20"/>
  </si>
  <si>
    <t>格好いい</t>
    <phoneticPr fontId="20"/>
  </si>
  <si>
    <t>男性</t>
    <phoneticPr fontId="20"/>
  </si>
  <si>
    <t>ハンジ</t>
    <phoneticPr fontId="53"/>
  </si>
  <si>
    <t>ハンジ・ゾエ</t>
  </si>
  <si>
    <t>machine</t>
    <phoneticPr fontId="53"/>
  </si>
  <si>
    <t>巨躯への執着 ハンジ</t>
  </si>
  <si>
    <t>男性</t>
    <phoneticPr fontId="20"/>
  </si>
  <si>
    <t>PremiumS</t>
    <phoneticPr fontId="53"/>
  </si>
  <si>
    <t>human</t>
    <phoneticPr fontId="53"/>
  </si>
  <si>
    <t>アルミン</t>
    <phoneticPr fontId="53"/>
  </si>
  <si>
    <t>アルミン・アルレルト</t>
  </si>
  <si>
    <t>疾駆する閃略 アルミン</t>
  </si>
  <si>
    <t>男性</t>
    <phoneticPr fontId="20"/>
  </si>
  <si>
    <t>PremiumS</t>
    <phoneticPr fontId="53"/>
  </si>
  <si>
    <t>balance</t>
    <phoneticPr fontId="53"/>
  </si>
  <si>
    <t>リヴァイ</t>
  </si>
  <si>
    <t>人類最強 リヴァイ</t>
  </si>
  <si>
    <t>machine</t>
    <phoneticPr fontId="53"/>
  </si>
  <si>
    <t>サシャ</t>
    <phoneticPr fontId="53"/>
  </si>
  <si>
    <t>サシャ・ブラウス</t>
  </si>
  <si>
    <t>無尽蔵の食猟 サシャ</t>
  </si>
  <si>
    <t>クリスタ</t>
    <phoneticPr fontId="53"/>
  </si>
  <si>
    <t>クリスタ・レンズ</t>
  </si>
  <si>
    <t>細愛の女神 クリスタ</t>
  </si>
  <si>
    <t>ジャン</t>
    <phoneticPr fontId="53"/>
  </si>
  <si>
    <t>ジャン・キルシュタイン</t>
  </si>
  <si>
    <t>真義の勇抱 ジャン</t>
  </si>
  <si>
    <t>アメミット</t>
  </si>
  <si>
    <t>恐牙なる魂喰獣 アメミット</t>
  </si>
  <si>
    <t>セルケト</t>
    <phoneticPr fontId="60"/>
  </si>
  <si>
    <t>癒命の守蠍神 セルケト</t>
  </si>
  <si>
    <t>セルケト</t>
    <phoneticPr fontId="60"/>
  </si>
  <si>
    <t>オシリス</t>
    <phoneticPr fontId="60"/>
  </si>
  <si>
    <t>再醒の冥皇神 オシリス</t>
    <phoneticPr fontId="53"/>
  </si>
  <si>
    <t>オシリス</t>
    <phoneticPr fontId="60"/>
  </si>
  <si>
    <t>セト</t>
    <phoneticPr fontId="60"/>
  </si>
  <si>
    <t>DropWizSS</t>
    <phoneticPr fontId="53"/>
  </si>
  <si>
    <t>god</t>
    <phoneticPr fontId="53"/>
  </si>
  <si>
    <t>偉獰なる荒嵐神 セト</t>
  </si>
  <si>
    <t>セト</t>
    <phoneticPr fontId="60"/>
  </si>
  <si>
    <t>ラー</t>
    <phoneticPr fontId="60"/>
  </si>
  <si>
    <t>ラー</t>
    <phoneticPr fontId="60"/>
  </si>
  <si>
    <t>PremiumSS</t>
    <phoneticPr fontId="53"/>
  </si>
  <si>
    <t>god</t>
    <phoneticPr fontId="53"/>
  </si>
  <si>
    <t>聖陽昇る緋洸神 ラー</t>
    <phoneticPr fontId="53"/>
  </si>
  <si>
    <t>god</t>
    <phoneticPr fontId="53"/>
  </si>
  <si>
    <t>イシス</t>
    <phoneticPr fontId="60"/>
  </si>
  <si>
    <t>イシス</t>
    <phoneticPr fontId="60"/>
  </si>
  <si>
    <t>男性</t>
    <phoneticPr fontId="20"/>
  </si>
  <si>
    <t>PremiumSS</t>
    <phoneticPr fontId="53"/>
  </si>
  <si>
    <t>繁翠なる蘇聖神 イシス</t>
  </si>
  <si>
    <t>イシス</t>
    <phoneticPr fontId="60"/>
  </si>
  <si>
    <t>ハトホル</t>
    <phoneticPr fontId="60"/>
  </si>
  <si>
    <t>animal</t>
    <phoneticPr fontId="53"/>
  </si>
  <si>
    <t>命瞳の慈母神 ハトホル</t>
  </si>
  <si>
    <t>ハトホル</t>
    <phoneticPr fontId="60"/>
  </si>
  <si>
    <t>animal</t>
    <phoneticPr fontId="53"/>
  </si>
  <si>
    <t>バステト</t>
    <phoneticPr fontId="60"/>
  </si>
  <si>
    <t>god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</si>
  <si>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</si>
  <si>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</si>
  <si>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</si>
  <si>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</si>
  <si>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</si>
  <si>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愛鈴鳴る寵猫神 バステト</t>
  </si>
  <si>
    <t>バステト</t>
    <phoneticPr fontId="60"/>
  </si>
  <si>
    <t>執行者</t>
    <phoneticPr fontId="20"/>
  </si>
  <si>
    <t>男性</t>
    <phoneticPr fontId="20"/>
  </si>
  <si>
    <t>god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</si>
  <si>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</si>
  <si>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</si>
  <si>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</si>
  <si>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</si>
  <si>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</si>
  <si>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静御前</t>
    <rPh sb="0" eb="3">
      <t>シズカゴゼン</t>
    </rPh>
    <phoneticPr fontId="60"/>
  </si>
  <si>
    <t>執行者</t>
    <phoneticPr fontId="20"/>
  </si>
  <si>
    <t>格好いい</t>
    <phoneticPr fontId="20"/>
  </si>
  <si>
    <t>男性</t>
    <phoneticPr fontId="20"/>
  </si>
  <si>
    <t>human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</si>
  <si>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</si>
  <si>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</si>
  <si>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</si>
  <si>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</si>
  <si>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焔耀の舞姫 静御前</t>
  </si>
  <si>
    <t>technical</t>
    <phoneticPr fontId="53"/>
  </si>
  <si>
    <t>アタッカー</t>
    <phoneticPr fontId="20"/>
  </si>
  <si>
    <t>NULL</t>
    <phoneticPr fontId="53"/>
  </si>
  <si>
    <t>那須与一</t>
    <rPh sb="0" eb="4">
      <t>ナスノヨイチ</t>
    </rPh>
    <phoneticPr fontId="60"/>
  </si>
  <si>
    <t>samurai</t>
    <phoneticPr fontId="53"/>
  </si>
  <si>
    <t>心射抜く投擲者 那須与一</t>
    <phoneticPr fontId="53"/>
  </si>
  <si>
    <t>武蔵坊弁慶</t>
    <rPh sb="0" eb="3">
      <t>ムサシボウ</t>
    </rPh>
    <rPh sb="3" eb="5">
      <t>ベンケイ</t>
    </rPh>
    <phoneticPr fontId="60"/>
  </si>
  <si>
    <t>human</t>
    <phoneticPr fontId="53"/>
  </si>
  <si>
    <t>samurai</t>
    <phoneticPr fontId="53"/>
  </si>
  <si>
    <t>アタッカー</t>
    <phoneticPr fontId="20"/>
  </si>
  <si>
    <t>多重撃の荒法師 武蔵坊弁慶</t>
  </si>
  <si>
    <t>DropWizS</t>
    <phoneticPr fontId="53"/>
  </si>
  <si>
    <t>human</t>
    <phoneticPr fontId="53"/>
  </si>
  <si>
    <t>samurai</t>
    <phoneticPr fontId="53"/>
  </si>
  <si>
    <t>蝉丸</t>
    <rPh sb="0" eb="2">
      <t>セミマル</t>
    </rPh>
    <phoneticPr fontId="60"/>
  </si>
  <si>
    <t>PremiumS</t>
    <phoneticPr fontId="53"/>
  </si>
  <si>
    <t>human</t>
    <phoneticPr fontId="53"/>
  </si>
  <si>
    <t>弾丸多重奏 蝉丸</t>
  </si>
  <si>
    <t>none</t>
    <phoneticPr fontId="53"/>
  </si>
  <si>
    <t>normal</t>
    <phoneticPr fontId="53"/>
  </si>
  <si>
    <t>牛若丸</t>
    <phoneticPr fontId="60"/>
  </si>
  <si>
    <t>源義経（牛若丸）</t>
    <phoneticPr fontId="60"/>
  </si>
  <si>
    <t>PremiumSS</t>
    <phoneticPr fontId="53"/>
  </si>
  <si>
    <t>balance</t>
    <phoneticPr fontId="53"/>
  </si>
  <si>
    <t>normal</t>
    <phoneticPr fontId="53"/>
  </si>
  <si>
    <t>天賦の軍才 牛若丸</t>
    <phoneticPr fontId="60"/>
  </si>
  <si>
    <t>源義経（牛若丸）</t>
    <phoneticPr fontId="60"/>
  </si>
  <si>
    <t>格好いい</t>
    <phoneticPr fontId="20"/>
  </si>
  <si>
    <t>男性</t>
    <phoneticPr fontId="20"/>
  </si>
  <si>
    <t>PremiumSS</t>
    <phoneticPr fontId="53"/>
  </si>
  <si>
    <t>百戦錬磨のカリスマ 源義経</t>
    <phoneticPr fontId="60"/>
  </si>
  <si>
    <t>源義経（牛若丸）_分岐覚醒</t>
    <rPh sb="9" eb="13">
      <t>ブンキカクセイ</t>
    </rPh>
    <phoneticPr fontId="60"/>
  </si>
  <si>
    <t>PremiumSS</t>
    <phoneticPr fontId="53"/>
  </si>
  <si>
    <t>紫式部</t>
    <rPh sb="0" eb="3">
      <t>ムラサキシキブ</t>
    </rPh>
    <phoneticPr fontId="60"/>
  </si>
  <si>
    <t>none</t>
    <phoneticPr fontId="53"/>
  </si>
  <si>
    <t>彩気煥発の創作人 紫式部</t>
  </si>
  <si>
    <t>none</t>
    <phoneticPr fontId="53"/>
  </si>
  <si>
    <t>アタッカー</t>
    <phoneticPr fontId="20"/>
  </si>
  <si>
    <t>清少納言</t>
    <rPh sb="0" eb="4">
      <t>セイショウナゴン</t>
    </rPh>
    <phoneticPr fontId="60"/>
  </si>
  <si>
    <t>PremiumSS</t>
    <phoneticPr fontId="53"/>
  </si>
  <si>
    <t>heal</t>
    <phoneticPr fontId="53"/>
  </si>
  <si>
    <t>爛漫なる随筆家 清少納言</t>
    <phoneticPr fontId="53"/>
  </si>
  <si>
    <t>執行者</t>
    <phoneticPr fontId="20"/>
  </si>
  <si>
    <t>格好いい</t>
    <phoneticPr fontId="20"/>
  </si>
  <si>
    <t>男性</t>
    <phoneticPr fontId="20"/>
  </si>
  <si>
    <t>PremiumSS</t>
    <phoneticPr fontId="53"/>
  </si>
  <si>
    <t>heal</t>
    <phoneticPr fontId="53"/>
  </si>
  <si>
    <t>ウザリーマン</t>
    <phoneticPr fontId="60"/>
  </si>
  <si>
    <t>ラプラス</t>
    <phoneticPr fontId="60"/>
  </si>
  <si>
    <t>unknown</t>
    <phoneticPr fontId="53"/>
  </si>
  <si>
    <t>ラプラス</t>
    <phoneticPr fontId="60"/>
  </si>
  <si>
    <t>執行者</t>
    <phoneticPr fontId="20"/>
  </si>
  <si>
    <t>格好いい</t>
    <phoneticPr fontId="20"/>
  </si>
  <si>
    <t>男性</t>
    <phoneticPr fontId="20"/>
  </si>
  <si>
    <t>unknown</t>
    <phoneticPr fontId="53"/>
  </si>
  <si>
    <t>none</t>
    <phoneticPr fontId="53"/>
  </si>
  <si>
    <t>ミューズ</t>
    <phoneticPr fontId="60"/>
  </si>
  <si>
    <t>歌音届ける楽愛神 ミューズ</t>
  </si>
  <si>
    <t>ミューズ</t>
    <phoneticPr fontId="60"/>
  </si>
  <si>
    <t>Drop2N</t>
    <phoneticPr fontId="53"/>
  </si>
  <si>
    <t>ディラック</t>
    <phoneticPr fontId="53"/>
  </si>
  <si>
    <t>ディラック</t>
    <phoneticPr fontId="60"/>
  </si>
  <si>
    <t>執行者</t>
    <phoneticPr fontId="20"/>
  </si>
  <si>
    <t>格好いい</t>
    <phoneticPr fontId="20"/>
  </si>
  <si>
    <t>男性</t>
    <phoneticPr fontId="20"/>
  </si>
  <si>
    <t>PremiumSSS</t>
    <phoneticPr fontId="53"/>
  </si>
  <si>
    <t>technical</t>
    <phoneticPr fontId="53"/>
  </si>
  <si>
    <t>蒼流の電磁団 ディラック</t>
  </si>
  <si>
    <t>academia</t>
    <phoneticPr fontId="53"/>
  </si>
  <si>
    <t>織姫</t>
    <phoneticPr fontId="60"/>
  </si>
  <si>
    <t>織姫(ベガ)</t>
    <rPh sb="0" eb="2">
      <t>オリヒメ</t>
    </rPh>
    <phoneticPr fontId="60"/>
  </si>
  <si>
    <t>格好いい</t>
    <phoneticPr fontId="20"/>
  </si>
  <si>
    <t>男性</t>
    <phoneticPr fontId="20"/>
  </si>
  <si>
    <t>PremiumSS</t>
    <phoneticPr fontId="53"/>
  </si>
  <si>
    <t>希紡の天帝姫 織姫</t>
  </si>
  <si>
    <t>彦星</t>
    <phoneticPr fontId="60"/>
  </si>
  <si>
    <t>彦星(アルタイル)</t>
    <rPh sb="0" eb="2">
      <t>ヒコボシ</t>
    </rPh>
    <phoneticPr fontId="60"/>
  </si>
  <si>
    <t>格好いい</t>
    <phoneticPr fontId="20"/>
  </si>
  <si>
    <t>男性</t>
    <phoneticPr fontId="20"/>
  </si>
  <si>
    <t>DropWizS</t>
    <phoneticPr fontId="53"/>
  </si>
  <si>
    <t>恋狩の色星主  彦星</t>
  </si>
  <si>
    <t>漂解の海原 シュレディンガー</t>
  </si>
  <si>
    <t>シュレディンガー_水着</t>
  </si>
  <si>
    <t>blue</t>
    <phoneticPr fontId="53"/>
  </si>
  <si>
    <t>balance</t>
    <phoneticPr fontId="53"/>
  </si>
  <si>
    <t>normal</t>
    <phoneticPr fontId="53"/>
  </si>
  <si>
    <t>涼求の炎狼 フェンリル</t>
  </si>
  <si>
    <t>フェンリル_水着</t>
  </si>
  <si>
    <t>PremiumS</t>
    <phoneticPr fontId="53"/>
  </si>
  <si>
    <t>波浪の夏閃 オイラー</t>
  </si>
  <si>
    <t>オイラー_水着</t>
  </si>
  <si>
    <t>PremiumSSS</t>
    <phoneticPr fontId="53"/>
  </si>
  <si>
    <t>none</t>
    <phoneticPr fontId="53"/>
  </si>
  <si>
    <t>砂上の城主竜 ケツァクアトル</t>
  </si>
  <si>
    <t>ケツァクアトル_水着</t>
  </si>
  <si>
    <t>blue</t>
    <phoneticPr fontId="53"/>
  </si>
  <si>
    <t>PremiumS</t>
    <phoneticPr fontId="53"/>
  </si>
  <si>
    <t>hp</t>
    <phoneticPr fontId="53"/>
  </si>
  <si>
    <t>none</t>
    <phoneticPr fontId="53"/>
  </si>
  <si>
    <t>アタッカー</t>
    <phoneticPr fontId="20"/>
  </si>
  <si>
    <t>NULL</t>
    <phoneticPr fontId="53"/>
  </si>
  <si>
    <t>深秘の水宙 メビウス</t>
  </si>
  <si>
    <t>メビウス_水着</t>
  </si>
  <si>
    <t>PremiumSSS</t>
    <phoneticPr fontId="53"/>
  </si>
  <si>
    <t>廻遊の水獣宰相 ルキフグス</t>
  </si>
  <si>
    <t>ルキフグス_水着</t>
  </si>
  <si>
    <t>嬌電の飛沫 ファラデー</t>
  </si>
  <si>
    <t>ファラデー_水着</t>
  </si>
  <si>
    <t>blue</t>
    <phoneticPr fontId="53"/>
  </si>
  <si>
    <t>戯魚群の潜光 バルドル</t>
  </si>
  <si>
    <t>バルドル_水着</t>
  </si>
  <si>
    <t>heal</t>
    <phoneticPr fontId="53"/>
  </si>
  <si>
    <t>常夏の眩獣 麒麟</t>
  </si>
  <si>
    <t>麒麟_水着</t>
  </si>
  <si>
    <t>炎陽の臨海 麒麟</t>
  </si>
  <si>
    <t>豪焔の轟暴聖 ベリアル</t>
    <phoneticPr fontId="60"/>
  </si>
  <si>
    <t>ベリアル_分岐</t>
    <rPh sb="5" eb="7">
      <t>ブンキ</t>
    </rPh>
    <phoneticPr fontId="60"/>
  </si>
  <si>
    <t>demon</t>
  </si>
  <si>
    <t>神解の預欺皇 オセ</t>
    <phoneticPr fontId="60"/>
  </si>
  <si>
    <t>オセ_分岐</t>
    <phoneticPr fontId="60"/>
  </si>
  <si>
    <t>疑愛の永遠公爵 フォルネウス</t>
    <phoneticPr fontId="60"/>
  </si>
  <si>
    <t>フォルネウス_分岐</t>
    <phoneticPr fontId="60"/>
  </si>
  <si>
    <t>黄泉守誘の命神母 イザナミ</t>
    <phoneticPr fontId="60"/>
  </si>
  <si>
    <t>イザナミ_分岐</t>
    <phoneticPr fontId="60"/>
  </si>
  <si>
    <t>パズズ</t>
  </si>
  <si>
    <t>nomal</t>
    <phoneticPr fontId="53"/>
  </si>
  <si>
    <t>熱扇風の幼魔 パズズ</t>
    <phoneticPr fontId="53"/>
  </si>
  <si>
    <t>フンババ</t>
  </si>
  <si>
    <t>停止不能の蛮躯 フンババ</t>
  </si>
  <si>
    <t>ティアマト</t>
  </si>
  <si>
    <t>混沌の猛飛沫 ティアマト</t>
  </si>
  <si>
    <t>ギルガメッシュ</t>
  </si>
  <si>
    <t>放縦の序獅子 ギルガメッシュ</t>
  </si>
  <si>
    <t>ウシュムガル</t>
  </si>
  <si>
    <t>想母の羽龍 ウシュムガル</t>
  </si>
  <si>
    <t>イシュタル</t>
  </si>
  <si>
    <t>駆脳する造愛 イシュタル</t>
  </si>
  <si>
    <t>イシュタル_分岐覚醒</t>
  </si>
  <si>
    <t>エンキドゥ</t>
  </si>
  <si>
    <t>静穏なる獣勇 エンキドゥ</t>
  </si>
  <si>
    <t>マルドゥク</t>
  </si>
  <si>
    <t>虚塔の神王 マルドゥク</t>
  </si>
  <si>
    <t>パレート</t>
    <phoneticPr fontId="53"/>
  </si>
  <si>
    <t>彩適な幸詠隊 パレート</t>
  </si>
  <si>
    <t>パレート_分岐覚醒</t>
    <phoneticPr fontId="53"/>
  </si>
  <si>
    <t>炎のアニバーサリーダック</t>
    <phoneticPr fontId="53"/>
  </si>
  <si>
    <t>森のアニバーサリーダック</t>
    <phoneticPr fontId="53"/>
  </si>
  <si>
    <t>水のアニバーサリーダック</t>
    <phoneticPr fontId="53"/>
  </si>
  <si>
    <t>雷のアニバーサリーダック</t>
    <phoneticPr fontId="53"/>
  </si>
  <si>
    <t>マジシャン</t>
  </si>
  <si>
    <t>PremiumSSS</t>
    <phoneticPr fontId="53"/>
  </si>
  <si>
    <t>驚創する術想師  マジシャン</t>
    <phoneticPr fontId="53"/>
  </si>
  <si>
    <t>マジシャン_分岐覚醒</t>
  </si>
  <si>
    <t>コードレッド</t>
  </si>
  <si>
    <t>ミケランジェロ</t>
  </si>
  <si>
    <t>破壊の発誕 ミケランジェロ</t>
  </si>
  <si>
    <t>technical</t>
    <phoneticPr fontId="53"/>
  </si>
  <si>
    <t>未定</t>
    <phoneticPr fontId="53"/>
  </si>
  <si>
    <t>未定</t>
    <phoneticPr fontId="53"/>
  </si>
  <si>
    <t>未定</t>
    <phoneticPr fontId="53"/>
  </si>
  <si>
    <t>アリス</t>
    <phoneticPr fontId="53"/>
  </si>
  <si>
    <t>normal</t>
    <phoneticPr fontId="53"/>
  </si>
  <si>
    <t>NULL</t>
    <phoneticPr fontId="53"/>
  </si>
  <si>
    <t>メルクシャ</t>
  </si>
  <si>
    <t>unknown</t>
    <phoneticPr fontId="53"/>
  </si>
  <si>
    <t>誓愛の絵花 メルクシャ</t>
    <phoneticPr fontId="53"/>
  </si>
  <si>
    <t>アリス</t>
    <phoneticPr fontId="53"/>
  </si>
  <si>
    <t>animal</t>
    <phoneticPr fontId="53"/>
  </si>
  <si>
    <t>unknown</t>
    <phoneticPr fontId="53"/>
  </si>
  <si>
    <t>ジャ・リダルサ</t>
    <phoneticPr fontId="53"/>
  </si>
  <si>
    <t>未定</t>
    <phoneticPr fontId="53"/>
  </si>
  <si>
    <t>アリス</t>
    <phoneticPr fontId="53"/>
  </si>
  <si>
    <t>超現実才奇 ジャ・リダルサ</t>
    <phoneticPr fontId="53"/>
  </si>
  <si>
    <t>未定</t>
    <phoneticPr fontId="53"/>
  </si>
  <si>
    <t>アリス</t>
    <phoneticPr fontId="53"/>
  </si>
  <si>
    <t>ルピカ</t>
  </si>
  <si>
    <t>破築の連創 ルピカ</t>
    <phoneticPr fontId="53"/>
  </si>
  <si>
    <t>human</t>
    <phoneticPr fontId="53"/>
  </si>
  <si>
    <t>北斎</t>
  </si>
  <si>
    <t>未定</t>
    <phoneticPr fontId="53"/>
  </si>
  <si>
    <t>アリス</t>
    <phoneticPr fontId="53"/>
  </si>
  <si>
    <t>human</t>
    <phoneticPr fontId="53"/>
  </si>
  <si>
    <t>samurai</t>
    <phoneticPr fontId="53"/>
  </si>
  <si>
    <t>浮世万物の筆刻者 北斎</t>
  </si>
  <si>
    <t>human</t>
    <phoneticPr fontId="53"/>
  </si>
  <si>
    <t>ドガ</t>
  </si>
  <si>
    <t>PremiumSSw</t>
    <phoneticPr fontId="53"/>
  </si>
  <si>
    <t>舞台裏の鼠展 ドガ</t>
  </si>
  <si>
    <t>クリムト</t>
    <phoneticPr fontId="53"/>
  </si>
  <si>
    <t>PremiumS</t>
    <phoneticPr fontId="53"/>
  </si>
  <si>
    <t>unknown</t>
    <phoneticPr fontId="53"/>
  </si>
  <si>
    <t>甘美なる背徳 クリムト</t>
  </si>
  <si>
    <t>unknown</t>
    <phoneticPr fontId="53"/>
  </si>
  <si>
    <t>ラファエロ</t>
    <phoneticPr fontId="53"/>
  </si>
  <si>
    <t>god</t>
    <phoneticPr fontId="53"/>
  </si>
  <si>
    <t>天浄の鮮風 ラファエロ</t>
  </si>
  <si>
    <t>god</t>
    <phoneticPr fontId="53"/>
  </si>
  <si>
    <t>セキ</t>
  </si>
  <si>
    <t>samurai</t>
    <phoneticPr fontId="53"/>
  </si>
  <si>
    <t>天竄の炎斬式 セキ</t>
  </si>
  <si>
    <t>academia</t>
    <phoneticPr fontId="53"/>
  </si>
  <si>
    <t>samurai</t>
    <phoneticPr fontId="53"/>
  </si>
  <si>
    <t>アタッカー</t>
    <phoneticPr fontId="20"/>
  </si>
  <si>
    <t>NULL</t>
    <phoneticPr fontId="53"/>
  </si>
  <si>
    <t>ウィグナー</t>
  </si>
  <si>
    <t>academia</t>
    <phoneticPr fontId="53"/>
  </si>
  <si>
    <t>animal</t>
    <phoneticPr fontId="53"/>
  </si>
  <si>
    <t>正統なる傑晶 ウィグナー</t>
  </si>
  <si>
    <t>未定</t>
    <phoneticPr fontId="53"/>
  </si>
  <si>
    <t>アリス</t>
    <phoneticPr fontId="53"/>
  </si>
  <si>
    <t>聖結たる輝晶獣 ウィグナー</t>
  </si>
  <si>
    <t>PremiumSSS</t>
    <phoneticPr fontId="53"/>
  </si>
  <si>
    <t>balance</t>
    <phoneticPr fontId="53"/>
  </si>
  <si>
    <t>academia</t>
    <phoneticPr fontId="53"/>
  </si>
  <si>
    <t>ボナンザ</t>
    <phoneticPr fontId="53"/>
  </si>
  <si>
    <t>DropWizSSS</t>
    <phoneticPr fontId="53"/>
  </si>
  <si>
    <t>queen</t>
    <phoneticPr fontId="53"/>
  </si>
  <si>
    <t>unknown</t>
    <phoneticPr fontId="53"/>
  </si>
  <si>
    <t>アヴァルシアの女王 ボナンザ</t>
    <rPh sb="7" eb="9">
      <t>ジョ</t>
    </rPh>
    <phoneticPr fontId="53"/>
  </si>
  <si>
    <t>DropWizSSS</t>
    <phoneticPr fontId="53"/>
  </si>
  <si>
    <t>queen</t>
    <phoneticPr fontId="53"/>
  </si>
  <si>
    <t>天檄総氏神 アマテラス</t>
  </si>
  <si>
    <t>凶天慟地の覇腕 アザゼル</t>
  </si>
  <si>
    <t>demon</t>
    <phoneticPr fontId="53"/>
  </si>
  <si>
    <t>超過速路の閃導者 ジャンヌ</t>
  </si>
  <si>
    <t>刹・廻天一流 宮本武蔵</t>
  </si>
  <si>
    <t>四聖猛煌の皇獣 麒麟</t>
  </si>
  <si>
    <t>逆燦の機閃刃 オイラー</t>
  </si>
  <si>
    <t>不可能性の現翼 メビウス</t>
  </si>
  <si>
    <t>舞降りし綺鏡羽 ブール</t>
    <phoneticPr fontId="53"/>
  </si>
  <si>
    <t>超絶界析 ラグランジュ</t>
  </si>
  <si>
    <t>累々たる世解 シュレディンガー</t>
    <phoneticPr fontId="53"/>
  </si>
  <si>
    <t>未定</t>
    <phoneticPr fontId="53"/>
  </si>
  <si>
    <t>最終焉算の鋼砲 チューリング</t>
    <phoneticPr fontId="53"/>
  </si>
  <si>
    <t>academia</t>
    <phoneticPr fontId="53"/>
  </si>
  <si>
    <t>真蒼導く対偶 ヘンペル</t>
    <phoneticPr fontId="53"/>
  </si>
  <si>
    <t>アタッカー</t>
    <phoneticPr fontId="20"/>
  </si>
  <si>
    <t>宇宙天紡の星明 ハップル</t>
    <phoneticPr fontId="53"/>
  </si>
  <si>
    <t>未定</t>
    <phoneticPr fontId="53"/>
  </si>
  <si>
    <t>アリス</t>
    <phoneticPr fontId="53"/>
  </si>
  <si>
    <t>super</t>
    <phoneticPr fontId="53"/>
  </si>
  <si>
    <t>赤兎馬</t>
    <phoneticPr fontId="53"/>
  </si>
  <si>
    <t>未定</t>
    <phoneticPr fontId="53"/>
  </si>
  <si>
    <t>紅鋼の疾躁獣 赤兎馬</t>
    <phoneticPr fontId="53"/>
  </si>
  <si>
    <t>董卓</t>
    <phoneticPr fontId="53"/>
  </si>
  <si>
    <t>未定</t>
    <phoneticPr fontId="53"/>
  </si>
  <si>
    <t>アリス</t>
    <phoneticPr fontId="53"/>
  </si>
  <si>
    <t>DropWizS</t>
    <phoneticPr fontId="53"/>
  </si>
  <si>
    <t>hp</t>
    <phoneticPr fontId="53"/>
  </si>
  <si>
    <t>samurai</t>
    <phoneticPr fontId="53"/>
  </si>
  <si>
    <t>human</t>
    <phoneticPr fontId="53"/>
  </si>
  <si>
    <t>アタッカー</t>
    <phoneticPr fontId="20"/>
  </si>
  <si>
    <t>偏執なる狂騒君 董卓</t>
    <phoneticPr fontId="53"/>
  </si>
  <si>
    <t>未定</t>
    <phoneticPr fontId="53"/>
  </si>
  <si>
    <t>アリス</t>
    <phoneticPr fontId="53"/>
  </si>
  <si>
    <t>DropWizS</t>
    <phoneticPr fontId="53"/>
  </si>
  <si>
    <t>hp</t>
    <phoneticPr fontId="53"/>
  </si>
  <si>
    <t>samurai</t>
    <phoneticPr fontId="53"/>
  </si>
  <si>
    <t>human</t>
    <phoneticPr fontId="53"/>
  </si>
  <si>
    <t>アタッカー</t>
    <phoneticPr fontId="20"/>
  </si>
  <si>
    <t>NULL</t>
    <phoneticPr fontId="53"/>
  </si>
  <si>
    <t>normal</t>
    <phoneticPr fontId="53"/>
  </si>
  <si>
    <t>貂蝉</t>
    <phoneticPr fontId="53"/>
  </si>
  <si>
    <t>未定</t>
    <phoneticPr fontId="53"/>
  </si>
  <si>
    <t>アリス</t>
    <phoneticPr fontId="53"/>
  </si>
  <si>
    <t>samurai</t>
    <phoneticPr fontId="53"/>
  </si>
  <si>
    <t>月隠れの美麗酔 貂蝉</t>
    <phoneticPr fontId="53"/>
  </si>
  <si>
    <t>アリス</t>
    <phoneticPr fontId="53"/>
  </si>
  <si>
    <t>呂布</t>
    <phoneticPr fontId="53"/>
  </si>
  <si>
    <t>DropWizSS</t>
    <phoneticPr fontId="53"/>
  </si>
  <si>
    <t>attack</t>
    <phoneticPr fontId="53"/>
  </si>
  <si>
    <t>豪拳烈創の激将 呂布</t>
    <phoneticPr fontId="53"/>
  </si>
  <si>
    <t>アリス</t>
    <phoneticPr fontId="53"/>
  </si>
  <si>
    <t>DropWizSS</t>
    <phoneticPr fontId="53"/>
  </si>
  <si>
    <t>samurai</t>
    <phoneticPr fontId="53"/>
  </si>
  <si>
    <t>諸葛亮</t>
    <phoneticPr fontId="53"/>
  </si>
  <si>
    <t>神算鬼謀の宰相 諸葛亮</t>
    <phoneticPr fontId="53"/>
  </si>
  <si>
    <t>samurai</t>
    <phoneticPr fontId="53"/>
  </si>
  <si>
    <t>趙雲</t>
    <phoneticPr fontId="53"/>
  </si>
  <si>
    <t>綱紀粛正の傑璧 趙雲</t>
    <phoneticPr fontId="53"/>
  </si>
  <si>
    <t>human</t>
    <phoneticPr fontId="53"/>
  </si>
  <si>
    <t>月英</t>
    <phoneticPr fontId="53"/>
  </si>
  <si>
    <t>蒼明な機鋼士 月英</t>
    <phoneticPr fontId="53"/>
  </si>
  <si>
    <t>黄忠</t>
    <phoneticPr fontId="53"/>
  </si>
  <si>
    <t>白星を射る老将 黄忠</t>
    <phoneticPr fontId="53"/>
  </si>
  <si>
    <t>ヴリトラ</t>
    <phoneticPr fontId="53"/>
  </si>
  <si>
    <t>アタッカー</t>
    <phoneticPr fontId="20"/>
  </si>
  <si>
    <t>宙覆す破魃竜 ヴリトラ</t>
    <phoneticPr fontId="53"/>
  </si>
  <si>
    <t>未定</t>
    <phoneticPr fontId="53"/>
  </si>
  <si>
    <t>normal</t>
    <phoneticPr fontId="53"/>
  </si>
  <si>
    <t>NULL</t>
    <phoneticPr fontId="53"/>
  </si>
  <si>
    <t>カーリー</t>
    <phoneticPr fontId="53"/>
  </si>
  <si>
    <t>未定</t>
    <phoneticPr fontId="53"/>
  </si>
  <si>
    <t>アリス</t>
    <phoneticPr fontId="53"/>
  </si>
  <si>
    <t>demon</t>
    <phoneticPr fontId="53"/>
  </si>
  <si>
    <t>嫉神の黎き滅意 カーリー</t>
    <phoneticPr fontId="53"/>
  </si>
  <si>
    <t>ブラフマー</t>
    <phoneticPr fontId="53"/>
  </si>
  <si>
    <t>封智の元創神 ブラフマー</t>
    <phoneticPr fontId="53"/>
  </si>
  <si>
    <t>ガネーシャ</t>
    <phoneticPr fontId="53"/>
  </si>
  <si>
    <t>衆知の富益神 ガネーシャ</t>
    <phoneticPr fontId="53"/>
  </si>
  <si>
    <t>ラクシュミー</t>
    <phoneticPr fontId="53"/>
  </si>
  <si>
    <t>PremiumSSw</t>
    <phoneticPr fontId="53"/>
  </si>
  <si>
    <t>幸吹の蓮華粧 ラクシュミー</t>
    <phoneticPr fontId="53"/>
  </si>
  <si>
    <t>ドゥルガー</t>
    <phoneticPr fontId="53"/>
  </si>
  <si>
    <t>麗逆の武操神 ドゥルガー</t>
    <phoneticPr fontId="53"/>
  </si>
  <si>
    <t>インドラ</t>
    <phoneticPr fontId="53"/>
  </si>
  <si>
    <t>天英の雷霆神 インドラ</t>
    <phoneticPr fontId="53"/>
  </si>
  <si>
    <t>ガロア</t>
  </si>
  <si>
    <t>拡命の大群論 ガロア</t>
    <phoneticPr fontId="53"/>
  </si>
  <si>
    <t>ヒルベルト</t>
  </si>
  <si>
    <t>夢験次元の抽唱 ヒルベルト</t>
    <phoneticPr fontId="53"/>
  </si>
  <si>
    <t>命題唱鳴計画 ヒルベルト</t>
    <phoneticPr fontId="53"/>
  </si>
  <si>
    <t>ガンバンテイン</t>
  </si>
  <si>
    <t>DropWizSSS</t>
  </si>
  <si>
    <t>weapon</t>
  </si>
  <si>
    <t>夢香華の耀杖 ガンバンテイン</t>
    <phoneticPr fontId="53"/>
  </si>
  <si>
    <t>降魔宝杖</t>
    <phoneticPr fontId="53"/>
  </si>
  <si>
    <t>月河の黄金器 降魔宝杖</t>
    <phoneticPr fontId="53"/>
  </si>
  <si>
    <t>カドゥケウス</t>
  </si>
  <si>
    <t>睡醒の令杖 カドゥケウス</t>
    <phoneticPr fontId="53"/>
  </si>
  <si>
    <t>ヘイウェイ_超覚醒</t>
  </si>
  <si>
    <t>解匣する交率 ポアソン</t>
    <phoneticPr fontId="53"/>
  </si>
  <si>
    <t>PremiumSSS</t>
    <phoneticPr fontId="53"/>
  </si>
  <si>
    <t>balance</t>
    <phoneticPr fontId="53"/>
  </si>
  <si>
    <t>academia</t>
    <phoneticPr fontId="53"/>
  </si>
  <si>
    <t>none</t>
    <phoneticPr fontId="53"/>
  </si>
  <si>
    <t>super</t>
    <phoneticPr fontId="53"/>
  </si>
  <si>
    <t>極限解析の讃嬢 クロネッカー</t>
    <phoneticPr fontId="53"/>
  </si>
  <si>
    <t>super</t>
    <phoneticPr fontId="53"/>
  </si>
  <si>
    <t>愛を咲かせる春羽妖精 ファータ</t>
    <phoneticPr fontId="53"/>
  </si>
  <si>
    <t>未定</t>
    <phoneticPr fontId="53"/>
  </si>
  <si>
    <t>アリス</t>
    <phoneticPr fontId="53"/>
  </si>
  <si>
    <t>none</t>
    <phoneticPr fontId="53"/>
  </si>
  <si>
    <t>護翼の望詠光 バルドル</t>
    <phoneticPr fontId="53"/>
  </si>
  <si>
    <t>未定</t>
    <phoneticPr fontId="53"/>
  </si>
  <si>
    <t>none</t>
    <phoneticPr fontId="53"/>
  </si>
  <si>
    <t>蘇尊の誓聖義 アーサー</t>
    <phoneticPr fontId="53"/>
  </si>
  <si>
    <t>未定</t>
    <phoneticPr fontId="53"/>
  </si>
  <si>
    <t>super</t>
    <phoneticPr fontId="53"/>
  </si>
  <si>
    <t>ja</t>
    <phoneticPr fontId="53"/>
  </si>
  <si>
    <t>夢二夢斬の遊猟 フロイト</t>
    <phoneticPr fontId="53"/>
  </si>
  <si>
    <t>未定</t>
    <phoneticPr fontId="53"/>
  </si>
  <si>
    <t>アリス</t>
    <phoneticPr fontId="53"/>
  </si>
  <si>
    <t>academia</t>
    <phoneticPr fontId="53"/>
  </si>
  <si>
    <t>machine</t>
    <phoneticPr fontId="53"/>
  </si>
  <si>
    <t>虚閃を弄する豪輪 オズ</t>
    <phoneticPr fontId="53"/>
  </si>
  <si>
    <t>アリス</t>
    <phoneticPr fontId="53"/>
  </si>
  <si>
    <t>グリム_超覚醒</t>
  </si>
  <si>
    <t>unknown</t>
    <phoneticPr fontId="53"/>
  </si>
  <si>
    <t>厳核なる巨大炉 ハイゼンベルク</t>
  </si>
  <si>
    <t>super</t>
    <phoneticPr fontId="53"/>
  </si>
  <si>
    <t>オーディン_超覚醒</t>
  </si>
  <si>
    <t>アタッカー</t>
    <phoneticPr fontId="20"/>
  </si>
  <si>
    <t>NULL</t>
    <phoneticPr fontId="53"/>
  </si>
  <si>
    <t>super</t>
    <phoneticPr fontId="53"/>
  </si>
  <si>
    <t>ja</t>
    <phoneticPr fontId="53"/>
  </si>
  <si>
    <t>永存の究極論 ユークリッド</t>
    <phoneticPr fontId="53"/>
  </si>
  <si>
    <t>超覚醒ハーシェル</t>
    <phoneticPr fontId="53"/>
  </si>
  <si>
    <t>アリス</t>
    <phoneticPr fontId="53"/>
  </si>
  <si>
    <t>academia</t>
    <phoneticPr fontId="53"/>
  </si>
  <si>
    <t>黄金螺旋の閃鋼機 フィボナッチ</t>
    <phoneticPr fontId="53"/>
  </si>
  <si>
    <t>アリス</t>
    <phoneticPr fontId="53"/>
  </si>
  <si>
    <t>Gスターチルドレン(旧子供)_超覚醒</t>
  </si>
  <si>
    <t>超覚醒ハーシェル</t>
    <phoneticPr fontId="53"/>
  </si>
  <si>
    <t>none</t>
    <phoneticPr fontId="53"/>
  </si>
  <si>
    <t>super</t>
    <phoneticPr fontId="53"/>
  </si>
  <si>
    <t>ja</t>
    <phoneticPr fontId="53"/>
  </si>
  <si>
    <t>電装の烙雷芯 ファラデー</t>
    <phoneticPr fontId="53"/>
  </si>
  <si>
    <t>アリス</t>
    <phoneticPr fontId="53"/>
  </si>
  <si>
    <t>兆銀河団の星観者 ハーシェル</t>
  </si>
  <si>
    <t>heal</t>
    <phoneticPr fontId="53"/>
  </si>
  <si>
    <t>超疾の最理者 フェルマー</t>
    <phoneticPr fontId="53"/>
  </si>
  <si>
    <t>machine</t>
    <phoneticPr fontId="53"/>
  </si>
  <si>
    <t>super</t>
    <phoneticPr fontId="53"/>
  </si>
  <si>
    <t>ja</t>
    <phoneticPr fontId="53"/>
  </si>
  <si>
    <t>ハッピーハロウィン ポチ</t>
    <phoneticPr fontId="53"/>
  </si>
  <si>
    <t>heal</t>
    <phoneticPr fontId="53"/>
  </si>
  <si>
    <t>demon</t>
    <phoneticPr fontId="53"/>
  </si>
  <si>
    <t>nomal</t>
    <phoneticPr fontId="53"/>
  </si>
  <si>
    <t>ハッピーハロウィン ジョー</t>
    <phoneticPr fontId="53"/>
  </si>
  <si>
    <t>balance</t>
    <phoneticPr fontId="53"/>
  </si>
  <si>
    <t>demon</t>
    <phoneticPr fontId="53"/>
  </si>
  <si>
    <t>nomal</t>
    <phoneticPr fontId="53"/>
  </si>
  <si>
    <t>ハッピーハロウィン ジェリー</t>
    <phoneticPr fontId="53"/>
  </si>
  <si>
    <t>unknown</t>
    <phoneticPr fontId="53"/>
  </si>
  <si>
    <t>demon</t>
    <phoneticPr fontId="53"/>
  </si>
  <si>
    <t>nomal</t>
    <phoneticPr fontId="53"/>
  </si>
  <si>
    <t>ハッピーハロウィン エレキポット</t>
    <phoneticPr fontId="53"/>
  </si>
  <si>
    <t>demon</t>
    <phoneticPr fontId="53"/>
  </si>
  <si>
    <t>nomal</t>
    <phoneticPr fontId="53"/>
  </si>
  <si>
    <t>ドルチェ</t>
    <phoneticPr fontId="53"/>
  </si>
  <si>
    <t>徹宵悪戯の甘美魔 ドルチェ</t>
    <phoneticPr fontId="53"/>
  </si>
  <si>
    <t>未定</t>
    <phoneticPr fontId="53"/>
  </si>
  <si>
    <t>アリス</t>
    <phoneticPr fontId="53"/>
  </si>
  <si>
    <t>demon</t>
    <phoneticPr fontId="53"/>
  </si>
  <si>
    <t>血飢なる夜想卿 ランスロット</t>
    <phoneticPr fontId="53"/>
  </si>
  <si>
    <t>ハーヴェスト</t>
  </si>
  <si>
    <t>賑夜の幼魔 ハーヴェスト</t>
  </si>
  <si>
    <t>華装の闇鋏 ラプンツェル</t>
  </si>
  <si>
    <t>human</t>
    <phoneticPr fontId="53"/>
  </si>
  <si>
    <t>demon</t>
    <phoneticPr fontId="53"/>
  </si>
  <si>
    <t>冥装の闇黒魔 バフォメット</t>
  </si>
  <si>
    <t>demon</t>
    <phoneticPr fontId="53"/>
  </si>
  <si>
    <t>アタッカー</t>
    <phoneticPr fontId="20"/>
  </si>
  <si>
    <t>NULL</t>
    <phoneticPr fontId="53"/>
  </si>
  <si>
    <t>normal</t>
    <phoneticPr fontId="53"/>
  </si>
  <si>
    <t>幽縛の霊線 ピノキオ</t>
  </si>
  <si>
    <t>超覚醒ハーシェル</t>
    <phoneticPr fontId="53"/>
  </si>
  <si>
    <t>demon</t>
    <phoneticPr fontId="53"/>
  </si>
  <si>
    <t>看装の巡回者 ケルベロス</t>
  </si>
  <si>
    <t>超覚醒ハーシェル</t>
    <phoneticPr fontId="53"/>
  </si>
  <si>
    <t>サイクロプス</t>
  </si>
  <si>
    <t>Drop2N</t>
    <phoneticPr fontId="53"/>
  </si>
  <si>
    <t>unknown</t>
    <phoneticPr fontId="53"/>
  </si>
  <si>
    <t>器装の眼囚徒 サイクロプス</t>
    <phoneticPr fontId="53"/>
  </si>
  <si>
    <t>Drop2N</t>
    <phoneticPr fontId="53"/>
  </si>
  <si>
    <t>ウラヌス</t>
  </si>
  <si>
    <t>normal</t>
    <phoneticPr fontId="53"/>
  </si>
  <si>
    <t>掌星の原天神 ウラヌス</t>
    <phoneticPr fontId="53"/>
  </si>
  <si>
    <t>DropWizS</t>
    <phoneticPr fontId="53"/>
  </si>
  <si>
    <t>technical</t>
    <phoneticPr fontId="53"/>
  </si>
  <si>
    <t>デルピュネー</t>
  </si>
  <si>
    <t>dragon</t>
    <phoneticPr fontId="53"/>
  </si>
  <si>
    <t>襲奪の竜鱗姫 デルピュネー</t>
    <phoneticPr fontId="53"/>
  </si>
  <si>
    <t>god</t>
    <phoneticPr fontId="53"/>
  </si>
  <si>
    <t>ヘラ</t>
    <phoneticPr fontId="53"/>
  </si>
  <si>
    <t>DropWizSS</t>
    <phoneticPr fontId="53"/>
  </si>
  <si>
    <t>典麗なる悋気神 ヘラ</t>
    <phoneticPr fontId="53"/>
  </si>
  <si>
    <t>ネメシス</t>
  </si>
  <si>
    <t>刹那の過罰神 ネメシス</t>
    <phoneticPr fontId="53"/>
  </si>
  <si>
    <t>god</t>
    <phoneticPr fontId="53"/>
  </si>
  <si>
    <t>NULL</t>
    <phoneticPr fontId="53"/>
  </si>
  <si>
    <t>normal</t>
    <phoneticPr fontId="53"/>
  </si>
  <si>
    <t>ja</t>
    <phoneticPr fontId="53"/>
  </si>
  <si>
    <t>ケンタウロス</t>
  </si>
  <si>
    <t>PremiumS</t>
    <phoneticPr fontId="53"/>
  </si>
  <si>
    <t>none</t>
    <phoneticPr fontId="53"/>
  </si>
  <si>
    <t>奏駆の翻騎 ケンタウロス</t>
    <phoneticPr fontId="53"/>
  </si>
  <si>
    <t>クロノス</t>
  </si>
  <si>
    <t>unknown</t>
    <phoneticPr fontId="53"/>
  </si>
  <si>
    <t>能洪の永地神 クロノス</t>
    <phoneticPr fontId="53"/>
  </si>
  <si>
    <t>PremiumSS</t>
  </si>
  <si>
    <t>アルテミス</t>
    <phoneticPr fontId="53"/>
  </si>
  <si>
    <t>god</t>
    <phoneticPr fontId="53"/>
  </si>
  <si>
    <t>animal</t>
    <phoneticPr fontId="53"/>
  </si>
  <si>
    <t>NULL</t>
    <phoneticPr fontId="53"/>
  </si>
  <si>
    <t>normal</t>
    <phoneticPr fontId="53"/>
  </si>
  <si>
    <t>ja</t>
    <phoneticPr fontId="53"/>
  </si>
  <si>
    <t>穿潮の雷月神 アルテミス</t>
    <phoneticPr fontId="53"/>
  </si>
  <si>
    <t>PremiumSSw</t>
    <phoneticPr fontId="53"/>
  </si>
  <si>
    <t>balance</t>
    <phoneticPr fontId="53"/>
  </si>
  <si>
    <t>梶井基次郎</t>
    <rPh sb="2" eb="5">
      <t>モトジr</t>
    </rPh>
    <phoneticPr fontId="53"/>
  </si>
  <si>
    <t>human</t>
    <phoneticPr fontId="53"/>
  </si>
  <si>
    <t>鮮彩の鬱情 梶井基次郎</t>
    <phoneticPr fontId="53"/>
  </si>
  <si>
    <t>太宰治</t>
    <rPh sb="0" eb="3">
      <t>ダザ</t>
    </rPh>
    <phoneticPr fontId="53"/>
  </si>
  <si>
    <t>hp</t>
    <phoneticPr fontId="53"/>
  </si>
  <si>
    <t>human</t>
    <phoneticPr fontId="53"/>
  </si>
  <si>
    <t>世絶の失格者 太宰治</t>
    <phoneticPr fontId="53"/>
  </si>
  <si>
    <t>シェイクスピア</t>
    <phoneticPr fontId="53"/>
  </si>
  <si>
    <t>命愛の恋劇家 シェイクスピア</t>
    <phoneticPr fontId="53"/>
  </si>
  <si>
    <t>カフカ</t>
  </si>
  <si>
    <t>凌蛾の変身 カフカ</t>
    <phoneticPr fontId="53"/>
  </si>
  <si>
    <t>セルバンテス</t>
    <phoneticPr fontId="53"/>
  </si>
  <si>
    <t>PremiumS</t>
    <phoneticPr fontId="53"/>
  </si>
  <si>
    <t>優柔なる風断者 セルバンテス</t>
    <phoneticPr fontId="53"/>
  </si>
  <si>
    <t>トルストイ</t>
  </si>
  <si>
    <t>欲望の占猟者 トルストイ</t>
    <phoneticPr fontId="53"/>
  </si>
  <si>
    <t>芥川龍之介</t>
    <rPh sb="0" eb="5">
      <t>アk</t>
    </rPh>
    <phoneticPr fontId="53"/>
  </si>
  <si>
    <t>PremiumSSw</t>
    <phoneticPr fontId="53"/>
  </si>
  <si>
    <t>attack</t>
    <phoneticPr fontId="53"/>
  </si>
  <si>
    <t>human</t>
    <phoneticPr fontId="53"/>
  </si>
  <si>
    <t>羅生の鬼我 芥川龍之介</t>
    <phoneticPr fontId="53"/>
  </si>
  <si>
    <t>PremiumSSw</t>
    <phoneticPr fontId="53"/>
  </si>
  <si>
    <t>夏目漱石</t>
    <rPh sb="0" eb="4">
      <t>ナt</t>
    </rPh>
    <phoneticPr fontId="53"/>
  </si>
  <si>
    <t>heal</t>
    <phoneticPr fontId="53"/>
  </si>
  <si>
    <t>思索する愛猫 夏目漱石</t>
    <phoneticPr fontId="53"/>
  </si>
  <si>
    <t>heal</t>
    <phoneticPr fontId="53"/>
  </si>
  <si>
    <t>ケプラー</t>
  </si>
  <si>
    <t>NULL</t>
    <phoneticPr fontId="53"/>
  </si>
  <si>
    <t>天体の大砲速 ケプラー</t>
    <phoneticPr fontId="53"/>
  </si>
  <si>
    <t>unknown</t>
    <phoneticPr fontId="53"/>
  </si>
  <si>
    <t>ボーア</t>
  </si>
  <si>
    <t>哲壁の育護者 ボーア</t>
    <phoneticPr fontId="53"/>
  </si>
  <si>
    <t>千利休</t>
  </si>
  <si>
    <t>夢茶の目付役 千利休</t>
    <phoneticPr fontId="53"/>
  </si>
  <si>
    <t>服部半蔵</t>
  </si>
  <si>
    <t>音無の機密忍 服部半蔵</t>
    <phoneticPr fontId="53"/>
  </si>
  <si>
    <t>竹中半兵衛</t>
  </si>
  <si>
    <t>巧妙なる嬢舌 竹中半兵衛</t>
    <phoneticPr fontId="53"/>
  </si>
  <si>
    <t>豊臣秀吉</t>
  </si>
  <si>
    <t>新世覇の昇竜 豊臣秀吉</t>
    <phoneticPr fontId="53"/>
  </si>
  <si>
    <t>猿飛佐助</t>
  </si>
  <si>
    <t>甲火の特殊忍 猿飛佐助</t>
    <phoneticPr fontId="53"/>
  </si>
  <si>
    <t>望月千代女</t>
  </si>
  <si>
    <t>潜情のくノ一 望月千代女</t>
    <phoneticPr fontId="53"/>
  </si>
  <si>
    <t>heal</t>
    <phoneticPr fontId="53"/>
  </si>
  <si>
    <t>human</t>
    <phoneticPr fontId="53"/>
  </si>
  <si>
    <t>寧々</t>
  </si>
  <si>
    <t>君臨する姐御様 寧々</t>
    <phoneticPr fontId="53"/>
  </si>
  <si>
    <t>PremiumS</t>
    <phoneticPr fontId="53"/>
  </si>
  <si>
    <t>heal</t>
    <phoneticPr fontId="53"/>
  </si>
  <si>
    <t>真田幸村</t>
    <phoneticPr fontId="53"/>
  </si>
  <si>
    <t>PremiumSSw</t>
    <phoneticPr fontId="53"/>
  </si>
  <si>
    <t>錯槍の英勇 真田幸村</t>
    <phoneticPr fontId="53"/>
  </si>
  <si>
    <t>ギャラルホルン</t>
  </si>
  <si>
    <t>Drop2N</t>
    <phoneticPr fontId="53"/>
  </si>
  <si>
    <t>吹聴する廃徊者 ギャラルホルン</t>
    <phoneticPr fontId="53"/>
  </si>
  <si>
    <t>スリュム</t>
  </si>
  <si>
    <t>驕奢の神犯 スリュム</t>
    <phoneticPr fontId="53"/>
  </si>
  <si>
    <t>ヘル</t>
  </si>
  <si>
    <t>危能の幼魔神 ヘル</t>
    <phoneticPr fontId="53"/>
  </si>
  <si>
    <t>ロキ</t>
  </si>
  <si>
    <t>崩世を叫ぶ悪戯 ロキ</t>
    <phoneticPr fontId="53"/>
  </si>
  <si>
    <t>DropWizSS</t>
    <phoneticPr fontId="53"/>
  </si>
  <si>
    <t>トール</t>
    <phoneticPr fontId="53"/>
  </si>
  <si>
    <t>PremiumSS</t>
    <phoneticPr fontId="53"/>
  </si>
  <si>
    <t>balance</t>
    <phoneticPr fontId="53"/>
  </si>
  <si>
    <t>none</t>
    <phoneticPr fontId="53"/>
  </si>
  <si>
    <t>NULL</t>
    <phoneticPr fontId="53"/>
  </si>
  <si>
    <t>normal</t>
    <phoneticPr fontId="53"/>
  </si>
  <si>
    <t>ja</t>
    <phoneticPr fontId="53"/>
  </si>
  <si>
    <t>燃雷の鎚撃 トール</t>
    <phoneticPr fontId="53"/>
  </si>
  <si>
    <t>イズン</t>
  </si>
  <si>
    <t>純朴なる檻理人 イズン</t>
    <phoneticPr fontId="53"/>
  </si>
  <si>
    <t>ウルズ</t>
  </si>
  <si>
    <t>静観する世限者 ウルズ</t>
    <phoneticPr fontId="53"/>
  </si>
  <si>
    <t>ガルム</t>
  </si>
  <si>
    <t>不遜の冥番犬 ガルム</t>
    <phoneticPr fontId="53"/>
  </si>
  <si>
    <t>PremiumSSS</t>
    <phoneticPr fontId="53"/>
  </si>
  <si>
    <t>queen</t>
    <phoneticPr fontId="53"/>
  </si>
  <si>
    <t>queen</t>
    <phoneticPr fontId="53"/>
  </si>
  <si>
    <t>コードレッド超覚醒</t>
  </si>
  <si>
    <t>super</t>
    <phoneticPr fontId="53"/>
  </si>
  <si>
    <t>沖田</t>
  </si>
  <si>
    <t>親指</t>
  </si>
  <si>
    <t>信長</t>
  </si>
  <si>
    <t>神雪と戯れる聖母 マリア</t>
    <phoneticPr fontId="53"/>
  </si>
  <si>
    <t>聖進の贈炎 クリスマス・ベリアル</t>
    <phoneticPr fontId="53"/>
  </si>
  <si>
    <t>聖宴の主彩 サンタクロース・オセ</t>
    <phoneticPr fontId="53"/>
  </si>
  <si>
    <t>彩鈴鳴らす聖天使 ミカエル・イヴ</t>
    <phoneticPr fontId="53"/>
  </si>
  <si>
    <t>ラチカ</t>
    <phoneticPr fontId="53"/>
  </si>
  <si>
    <t>霜聖の雪姫 ラチカ</t>
    <phoneticPr fontId="53"/>
  </si>
  <si>
    <t>hero</t>
    <phoneticPr fontId="53"/>
  </si>
  <si>
    <t>聖装の始祖帝 クリスマス卑弥呼</t>
    <phoneticPr fontId="53"/>
  </si>
  <si>
    <t>愛贈の白魔 ノエル・エスタブ</t>
    <phoneticPr fontId="53"/>
  </si>
  <si>
    <t>ポーラとダニー</t>
    <phoneticPr fontId="53"/>
  </si>
  <si>
    <t>連極の機関砲 ポーラとダニー</t>
    <phoneticPr fontId="53"/>
  </si>
  <si>
    <t>unknown</t>
    <phoneticPr fontId="53"/>
  </si>
  <si>
    <t>none</t>
    <phoneticPr fontId="53"/>
  </si>
  <si>
    <t>マシン・シュプール</t>
    <phoneticPr fontId="53"/>
  </si>
  <si>
    <t>DropWizS</t>
    <phoneticPr fontId="53"/>
  </si>
  <si>
    <t>hp</t>
    <phoneticPr fontId="53"/>
  </si>
  <si>
    <t>unknown</t>
    <phoneticPr fontId="53"/>
  </si>
  <si>
    <t>human</t>
    <phoneticPr fontId="53"/>
  </si>
  <si>
    <t>NULL</t>
    <phoneticPr fontId="53"/>
  </si>
  <si>
    <t>災氷の魔導 シュプール</t>
    <phoneticPr fontId="53"/>
  </si>
  <si>
    <t>hp</t>
    <phoneticPr fontId="53"/>
  </si>
  <si>
    <t>ニコラ</t>
    <phoneticPr fontId="53"/>
  </si>
  <si>
    <t>PremiumSSS</t>
    <phoneticPr fontId="53"/>
  </si>
  <si>
    <t>hp</t>
    <phoneticPr fontId="53"/>
  </si>
  <si>
    <t>奇蹟呼ぶ聖砲 ニコラ</t>
    <phoneticPr fontId="53"/>
  </si>
  <si>
    <t>聖伝の大主教 セント・ニコラ</t>
    <phoneticPr fontId="53"/>
  </si>
  <si>
    <t>human</t>
    <phoneticPr fontId="53"/>
  </si>
  <si>
    <t>聖封の褒装 ベルベット</t>
    <phoneticPr fontId="53"/>
  </si>
  <si>
    <t>DropWizSSS</t>
    <phoneticPr fontId="53"/>
  </si>
  <si>
    <t>想飾の響鐘 リンジー</t>
    <phoneticPr fontId="53"/>
  </si>
  <si>
    <t>DropWizSSS</t>
    <phoneticPr fontId="53"/>
  </si>
  <si>
    <t>none</t>
    <phoneticPr fontId="53"/>
  </si>
  <si>
    <t>望雅の煌明鹿剣 勘兵衛</t>
    <phoneticPr fontId="53"/>
  </si>
  <si>
    <t>animal</t>
    <phoneticPr fontId="53"/>
  </si>
  <si>
    <t>none</t>
    <phoneticPr fontId="53"/>
  </si>
  <si>
    <t>風光明媚の雅鹿剣 勘兵衛</t>
    <phoneticPr fontId="53"/>
  </si>
  <si>
    <t>トトリ</t>
    <phoneticPr fontId="53"/>
  </si>
  <si>
    <t>DropWizS</t>
    <phoneticPr fontId="53"/>
  </si>
  <si>
    <t>balance</t>
    <phoneticPr fontId="53"/>
  </si>
  <si>
    <t>酉賀なる初飛翔 トトリ</t>
    <phoneticPr fontId="53"/>
  </si>
  <si>
    <t>god</t>
    <phoneticPr fontId="53"/>
  </si>
  <si>
    <t>rabbit01</t>
  </si>
  <si>
    <t>rabbit02</t>
  </si>
  <si>
    <t>fox01</t>
  </si>
  <si>
    <t>fox02</t>
  </si>
  <si>
    <t>wildboar01</t>
  </si>
  <si>
    <t>wolf01</t>
  </si>
  <si>
    <t>wolf02</t>
  </si>
  <si>
    <t>raccoon01</t>
  </si>
  <si>
    <t>raccoon02</t>
  </si>
  <si>
    <t>sloth01</t>
  </si>
  <si>
    <t>sloth02</t>
  </si>
  <si>
    <t>NULL</t>
    <phoneticPr fontId="53"/>
  </si>
  <si>
    <t>hedgehog01</t>
  </si>
  <si>
    <t>normal</t>
    <phoneticPr fontId="53"/>
  </si>
  <si>
    <t>NULL</t>
    <phoneticPr fontId="53"/>
  </si>
  <si>
    <t>hedgehog02</t>
  </si>
  <si>
    <t>mole01</t>
  </si>
  <si>
    <t>bear01</t>
  </si>
  <si>
    <t>giraffe01</t>
  </si>
  <si>
    <t>sheep01</t>
  </si>
  <si>
    <t>lion01</t>
  </si>
  <si>
    <t>goat01</t>
  </si>
  <si>
    <t>NULL</t>
    <phoneticPr fontId="53"/>
  </si>
  <si>
    <t>camel01</t>
  </si>
  <si>
    <t>hp</t>
    <phoneticPr fontId="53"/>
  </si>
  <si>
    <t>weasel01</t>
  </si>
  <si>
    <t>tiger01</t>
  </si>
  <si>
    <t>tiger02</t>
  </si>
  <si>
    <t>zebra01</t>
  </si>
  <si>
    <t>zebra02</t>
  </si>
  <si>
    <t>elephant01</t>
  </si>
  <si>
    <t>elephant02</t>
  </si>
  <si>
    <t>leopard01</t>
  </si>
  <si>
    <t>leopard02</t>
  </si>
  <si>
    <t>アウリ</t>
    <phoneticPr fontId="53"/>
  </si>
  <si>
    <t>阿吽の神護犬 アウリ</t>
    <phoneticPr fontId="53"/>
  </si>
  <si>
    <t>ワカヒルメ</t>
  </si>
  <si>
    <t>織神衣の幼神 ワカヒルメ</t>
    <phoneticPr fontId="53"/>
  </si>
  <si>
    <t>ヒノカグツチ</t>
    <phoneticPr fontId="53"/>
  </si>
  <si>
    <t>神抗の火産霊 ヒノカグツチ</t>
    <phoneticPr fontId="53"/>
  </si>
  <si>
    <t>スサノオ</t>
  </si>
  <si>
    <t>傑戦の大強神 スサノオ</t>
    <phoneticPr fontId="53"/>
  </si>
  <si>
    <t>none</t>
    <phoneticPr fontId="53"/>
  </si>
  <si>
    <t>normal</t>
    <phoneticPr fontId="53"/>
  </si>
  <si>
    <t>タマヨリヒメ</t>
    <phoneticPr fontId="53"/>
  </si>
  <si>
    <t>NULL</t>
    <phoneticPr fontId="53"/>
  </si>
  <si>
    <t>霊司の神憑 タマヨリヒメ</t>
    <phoneticPr fontId="53"/>
  </si>
  <si>
    <t>クシナダヒメ</t>
    <phoneticPr fontId="53"/>
  </si>
  <si>
    <t>none</t>
    <phoneticPr fontId="53"/>
  </si>
  <si>
    <t>神心を射る穂神 クシナダヒメ</t>
    <phoneticPr fontId="53"/>
  </si>
  <si>
    <t>DropWizS</t>
    <phoneticPr fontId="53"/>
  </si>
  <si>
    <t>attack</t>
    <phoneticPr fontId="53"/>
  </si>
  <si>
    <t>normal</t>
    <phoneticPr fontId="53"/>
  </si>
  <si>
    <t>イザナギ</t>
  </si>
  <si>
    <t>成命の綜父神 イザナギ</t>
    <phoneticPr fontId="53"/>
  </si>
  <si>
    <t>アメノウズメ</t>
  </si>
  <si>
    <t>復古の舞芸神 アメノウズメ</t>
    <phoneticPr fontId="53"/>
  </si>
  <si>
    <t>科学者(名称未定)</t>
  </si>
  <si>
    <t>human</t>
    <phoneticPr fontId="53"/>
  </si>
  <si>
    <t>human</t>
    <phoneticPr fontId="53"/>
  </si>
  <si>
    <t>PvP報酬_赤</t>
  </si>
  <si>
    <t>DropWizS</t>
    <phoneticPr fontId="53"/>
  </si>
  <si>
    <t>normal</t>
    <phoneticPr fontId="53"/>
  </si>
  <si>
    <t>NULL</t>
    <phoneticPr fontId="53"/>
  </si>
  <si>
    <t>PvP報酬_緑</t>
  </si>
  <si>
    <t>NULL</t>
    <phoneticPr fontId="53"/>
  </si>
  <si>
    <t>normal</t>
    <phoneticPr fontId="53"/>
  </si>
  <si>
    <t>NULL</t>
    <phoneticPr fontId="53"/>
  </si>
  <si>
    <t>PvP報酬_青</t>
  </si>
  <si>
    <t>none</t>
    <phoneticPr fontId="53"/>
  </si>
  <si>
    <t>PvP報酬_黄</t>
  </si>
  <si>
    <t>none</t>
    <phoneticPr fontId="53"/>
  </si>
  <si>
    <t>ツンデレ制服女の子</t>
  </si>
  <si>
    <t>none</t>
    <phoneticPr fontId="53"/>
  </si>
  <si>
    <t>内気制服女の子</t>
  </si>
  <si>
    <t>フレイヤ</t>
  </si>
  <si>
    <t>DropWizS</t>
    <phoneticPr fontId="53"/>
  </si>
  <si>
    <t>attack</t>
    <phoneticPr fontId="53"/>
  </si>
  <si>
    <t>ja</t>
    <phoneticPr fontId="53"/>
  </si>
  <si>
    <t>メタトロン</t>
  </si>
  <si>
    <t>human</t>
    <phoneticPr fontId="53"/>
  </si>
  <si>
    <t>タマモ</t>
  </si>
  <si>
    <t>human</t>
    <phoneticPr fontId="53"/>
  </si>
  <si>
    <t>none</t>
    <phoneticPr fontId="53"/>
  </si>
  <si>
    <t>バハムート</t>
  </si>
  <si>
    <t>シチュエーション別女の子(ショコラ)</t>
  </si>
  <si>
    <t>none</t>
    <phoneticPr fontId="53"/>
  </si>
  <si>
    <t>NULL</t>
    <phoneticPr fontId="53"/>
  </si>
  <si>
    <t>ja</t>
    <phoneticPr fontId="53"/>
  </si>
  <si>
    <t>DropWizS</t>
    <phoneticPr fontId="53"/>
  </si>
  <si>
    <t>attack</t>
    <phoneticPr fontId="53"/>
  </si>
  <si>
    <t>none</t>
    <phoneticPr fontId="53"/>
  </si>
  <si>
    <t>シチュエーション別女の子</t>
  </si>
  <si>
    <t>DropWizS</t>
    <phoneticPr fontId="53"/>
  </si>
  <si>
    <t>attack</t>
    <phoneticPr fontId="53"/>
  </si>
  <si>
    <t>none</t>
    <phoneticPr fontId="53"/>
  </si>
  <si>
    <t>human</t>
    <phoneticPr fontId="53"/>
  </si>
  <si>
    <t>バリアテスト</t>
    <phoneticPr fontId="53"/>
  </si>
  <si>
    <t>green</t>
    <phoneticPr fontId="53"/>
  </si>
  <si>
    <t>バリアテスト</t>
    <phoneticPr fontId="53"/>
  </si>
  <si>
    <t>academia</t>
    <phoneticPr fontId="53"/>
  </si>
  <si>
    <t>ベルヌーイ</t>
    <phoneticPr fontId="53"/>
  </si>
  <si>
    <t>憤流する水鳴砲 ベルヌーイ</t>
    <phoneticPr fontId="53"/>
  </si>
  <si>
    <t>トロイア</t>
    <phoneticPr fontId="53"/>
  </si>
  <si>
    <t>美審なる神争 トロイア</t>
    <phoneticPr fontId="53"/>
  </si>
  <si>
    <t>炎のミリオンダック 7</t>
    <phoneticPr fontId="53"/>
  </si>
  <si>
    <t>森のミリオンダック 7</t>
    <phoneticPr fontId="53"/>
  </si>
  <si>
    <t>水のミリオンダック 7</t>
    <phoneticPr fontId="53"/>
  </si>
  <si>
    <t>雷のミリオンダック 7</t>
    <phoneticPr fontId="53"/>
  </si>
  <si>
    <t>超覚醒シュヴァルツシルト</t>
    <rPh sb="0" eb="3">
      <t>チョ</t>
    </rPh>
    <phoneticPr fontId="53"/>
  </si>
  <si>
    <t>ガルーダ</t>
    <phoneticPr fontId="53"/>
  </si>
  <si>
    <t>QoH</t>
    <phoneticPr fontId="20"/>
  </si>
  <si>
    <t>ガルーダ★６</t>
    <phoneticPr fontId="53"/>
  </si>
  <si>
    <t>ナーガ</t>
    <phoneticPr fontId="53"/>
  </si>
  <si>
    <t>ナーガ★６</t>
    <phoneticPr fontId="53"/>
  </si>
  <si>
    <t>ra</t>
    <phoneticPr fontId="53"/>
  </si>
  <si>
    <t>none</t>
    <phoneticPr fontId="53"/>
  </si>
  <si>
    <t>enemy_only</t>
  </si>
  <si>
    <t>ra</t>
    <phoneticPr fontId="53"/>
  </si>
  <si>
    <t>ブレット</t>
    <phoneticPr fontId="53"/>
  </si>
  <si>
    <t>管理者</t>
    <phoneticPr fontId="20"/>
  </si>
  <si>
    <t>美しい</t>
    <phoneticPr fontId="20"/>
  </si>
  <si>
    <t>女性</t>
    <phoneticPr fontId="20"/>
  </si>
  <si>
    <t>ra</t>
    <phoneticPr fontId="53"/>
  </si>
  <si>
    <t>アタッカー</t>
    <phoneticPr fontId="60"/>
  </si>
  <si>
    <t>normal</t>
    <phoneticPr fontId="53"/>
  </si>
  <si>
    <t>ja</t>
    <phoneticPr fontId="53"/>
  </si>
  <si>
    <t>管理者</t>
    <phoneticPr fontId="20"/>
  </si>
  <si>
    <t>美しい</t>
    <phoneticPr fontId="20"/>
  </si>
  <si>
    <t>女性</t>
    <phoneticPr fontId="20"/>
  </si>
  <si>
    <t>ra</t>
    <phoneticPr fontId="53"/>
  </si>
  <si>
    <t>アタッカー</t>
    <phoneticPr fontId="60"/>
  </si>
  <si>
    <t>破界者</t>
    <phoneticPr fontId="20"/>
  </si>
  <si>
    <t>可愛い</t>
    <phoneticPr fontId="20"/>
  </si>
  <si>
    <t>女性</t>
    <phoneticPr fontId="20"/>
  </si>
  <si>
    <t>ra</t>
    <phoneticPr fontId="53"/>
  </si>
  <si>
    <t>バッファー</t>
    <phoneticPr fontId="60"/>
  </si>
  <si>
    <t>管理者</t>
    <phoneticPr fontId="20"/>
  </si>
  <si>
    <t>格好いい</t>
    <phoneticPr fontId="20"/>
  </si>
  <si>
    <t>男性</t>
    <phoneticPr fontId="20"/>
  </si>
  <si>
    <t>ra</t>
    <phoneticPr fontId="53"/>
  </si>
  <si>
    <t>アタッカー</t>
    <phoneticPr fontId="60"/>
  </si>
  <si>
    <t>ガチャ:フィーバーフェス02</t>
    <phoneticPr fontId="20"/>
  </si>
  <si>
    <t>human</t>
    <phoneticPr fontId="53"/>
  </si>
  <si>
    <t>超越凌駕 ラグランジュ</t>
    <phoneticPr fontId="60"/>
  </si>
  <si>
    <t>ガチャ:フィーバーフェス02</t>
    <phoneticPr fontId="20"/>
  </si>
  <si>
    <t>ra</t>
    <phoneticPr fontId="53"/>
  </si>
  <si>
    <t>normal</t>
    <phoneticPr fontId="53"/>
  </si>
  <si>
    <t>NULL</t>
    <phoneticPr fontId="53"/>
  </si>
  <si>
    <t>パトドッグリーダー ポチ</t>
    <phoneticPr fontId="60"/>
  </si>
  <si>
    <t>ガチャ:フィーバーフェス02</t>
    <phoneticPr fontId="53"/>
  </si>
  <si>
    <t>執行者</t>
    <phoneticPr fontId="20"/>
  </si>
  <si>
    <t>格好いい</t>
    <phoneticPr fontId="20"/>
  </si>
  <si>
    <t>男性</t>
    <phoneticPr fontId="20"/>
  </si>
  <si>
    <t>blue</t>
    <phoneticPr fontId="53"/>
  </si>
  <si>
    <t>ra002</t>
    <phoneticPr fontId="53"/>
  </si>
  <si>
    <t>ミミ</t>
    <phoneticPr fontId="60"/>
  </si>
  <si>
    <t>ガチャ:フィーバーフェス02</t>
    <phoneticPr fontId="53"/>
  </si>
  <si>
    <t>執行者</t>
    <phoneticPr fontId="20"/>
  </si>
  <si>
    <t>格好いい</t>
    <phoneticPr fontId="20"/>
  </si>
  <si>
    <t>男性</t>
    <phoneticPr fontId="20"/>
  </si>
  <si>
    <t>yellow</t>
    <phoneticPr fontId="53"/>
  </si>
  <si>
    <t>Drop1W</t>
    <phoneticPr fontId="53"/>
  </si>
  <si>
    <t>ra002</t>
    <phoneticPr fontId="53"/>
  </si>
  <si>
    <t>護衛機人 スケアクロウ</t>
    <phoneticPr fontId="60"/>
  </si>
  <si>
    <t>執行者</t>
    <phoneticPr fontId="20"/>
  </si>
  <si>
    <t>格好いい</t>
    <phoneticPr fontId="20"/>
  </si>
  <si>
    <t>blue</t>
    <phoneticPr fontId="53"/>
  </si>
  <si>
    <t>ra002</t>
    <phoneticPr fontId="53"/>
  </si>
  <si>
    <t>月下の人狼 ローレンス</t>
    <phoneticPr fontId="60"/>
  </si>
  <si>
    <t>ガチャ:フィーバーフェス02</t>
    <phoneticPr fontId="53"/>
  </si>
  <si>
    <t>格好いい</t>
    <phoneticPr fontId="20"/>
  </si>
  <si>
    <t>男性</t>
    <phoneticPr fontId="20"/>
  </si>
  <si>
    <t>blue</t>
    <phoneticPr fontId="53"/>
  </si>
  <si>
    <t>PremiumW</t>
    <phoneticPr fontId="53"/>
  </si>
  <si>
    <t>ra002</t>
    <phoneticPr fontId="53"/>
  </si>
  <si>
    <t>フレイヤ</t>
    <phoneticPr fontId="60"/>
  </si>
  <si>
    <t>ra002</t>
    <phoneticPr fontId="53"/>
  </si>
  <si>
    <t>animal</t>
    <phoneticPr fontId="53"/>
  </si>
  <si>
    <t>根原論理 ユークリッド</t>
    <phoneticPr fontId="60"/>
  </si>
  <si>
    <t>不朽の極論 ユークリッド</t>
    <phoneticPr fontId="60"/>
  </si>
  <si>
    <t>ミズチ</t>
    <phoneticPr fontId="60"/>
  </si>
  <si>
    <t>媽祖</t>
    <rPh sb="0" eb="2">
      <t>マソ</t>
    </rPh>
    <phoneticPr fontId="60"/>
  </si>
  <si>
    <t>宣導する天海妃 媽祖</t>
    <phoneticPr fontId="53"/>
  </si>
  <si>
    <t>蛟龍</t>
    <rPh sb="0" eb="2">
      <t>jiao loンg</t>
    </rPh>
    <phoneticPr fontId="53"/>
  </si>
  <si>
    <t>呼嵐の蒼棲龍 蛟龍</t>
    <phoneticPr fontId="53"/>
  </si>
  <si>
    <t>三蔵法師</t>
    <phoneticPr fontId="60"/>
  </si>
  <si>
    <t>慈戒の呪封使 三蔵法師</t>
    <phoneticPr fontId="60"/>
  </si>
  <si>
    <t>孫悟空</t>
    <rPh sb="0" eb="3">
      <t>suン wu koンg</t>
    </rPh>
    <phoneticPr fontId="60"/>
  </si>
  <si>
    <t>花果の天猿仙人 孫悟空</t>
    <phoneticPr fontId="60"/>
  </si>
  <si>
    <t>西王娘娘</t>
    <phoneticPr fontId="53"/>
  </si>
  <si>
    <t>極楽瑶池の聖母 西王娘娘</t>
    <phoneticPr fontId="53"/>
  </si>
  <si>
    <t>月下老人</t>
  </si>
  <si>
    <t>破戀斬る縁剣 月下老人</t>
    <phoneticPr fontId="53"/>
  </si>
  <si>
    <t>初音ミクV3</t>
  </si>
  <si>
    <t>初音ミク・アペンド</t>
  </si>
  <si>
    <t>アタッカー</t>
    <phoneticPr fontId="20"/>
  </si>
  <si>
    <t>NULL</t>
    <phoneticPr fontId="53"/>
  </si>
  <si>
    <t>ja</t>
    <phoneticPr fontId="53"/>
  </si>
  <si>
    <t>執行者</t>
    <phoneticPr fontId="20"/>
  </si>
  <si>
    <t>格好いい</t>
    <phoneticPr fontId="20"/>
  </si>
  <si>
    <t>PremiumSSS</t>
    <phoneticPr fontId="53"/>
  </si>
  <si>
    <t>balance</t>
    <phoneticPr fontId="53"/>
  </si>
  <si>
    <t>アタッカー</t>
    <phoneticPr fontId="20"/>
  </si>
  <si>
    <t>執行者</t>
    <phoneticPr fontId="20"/>
  </si>
  <si>
    <t>格好いい</t>
    <phoneticPr fontId="20"/>
  </si>
  <si>
    <t>unknown</t>
    <phoneticPr fontId="53"/>
  </si>
  <si>
    <t>unknown</t>
    <phoneticPr fontId="53"/>
  </si>
  <si>
    <t>normal</t>
    <phoneticPr fontId="53"/>
  </si>
  <si>
    <t>鏡音レン</t>
  </si>
  <si>
    <t>red</t>
    <phoneticPr fontId="53"/>
  </si>
  <si>
    <t>hp</t>
    <phoneticPr fontId="53"/>
  </si>
  <si>
    <t>unknown</t>
    <phoneticPr fontId="53"/>
  </si>
  <si>
    <t>アタッカー</t>
    <phoneticPr fontId="20"/>
  </si>
  <si>
    <t>NULL</t>
    <phoneticPr fontId="53"/>
  </si>
  <si>
    <t>normal</t>
    <phoneticPr fontId="53"/>
  </si>
  <si>
    <t>NULL</t>
    <phoneticPr fontId="53"/>
  </si>
  <si>
    <t>Expoミク</t>
    <phoneticPr fontId="60"/>
  </si>
  <si>
    <t>閻羅王</t>
    <phoneticPr fontId="53"/>
  </si>
  <si>
    <t>六道輪廻の絶獄 閻羅王</t>
    <rPh sb="10" eb="11">
      <t>オ</t>
    </rPh>
    <phoneticPr fontId="53"/>
  </si>
  <si>
    <t>牛頭馬面</t>
  </si>
  <si>
    <t>冥府狩る魂使 牛頭馬面</t>
    <phoneticPr fontId="53"/>
  </si>
  <si>
    <t>飛衛</t>
    <phoneticPr fontId="53"/>
  </si>
  <si>
    <t>レア６飛衛</t>
    <phoneticPr fontId="53"/>
  </si>
  <si>
    <t>紀昌</t>
    <phoneticPr fontId="53"/>
  </si>
  <si>
    <t>レア６紀昌</t>
    <phoneticPr fontId="53"/>
  </si>
  <si>
    <t>何仙姑</t>
  </si>
  <si>
    <t>PremiumSSw</t>
    <phoneticPr fontId="53"/>
  </si>
  <si>
    <t>レア６何仙姑</t>
    <phoneticPr fontId="53"/>
  </si>
  <si>
    <t>藍采和</t>
  </si>
  <si>
    <t>レア６藍采和</t>
    <phoneticPr fontId="53"/>
  </si>
  <si>
    <t>サンリオキャラ大集合+アザゼル</t>
  </si>
  <si>
    <t>ss</t>
    <phoneticPr fontId="53"/>
  </si>
  <si>
    <t>ニムダ_サンリオキャラ混じり</t>
  </si>
  <si>
    <t>KIRIMIちゃん</t>
  </si>
  <si>
    <t>evolution</t>
    <phoneticPr fontId="53"/>
  </si>
  <si>
    <t>ママの作ったアップルパイ</t>
  </si>
  <si>
    <t>D.R.T.H__キティコスプレ</t>
  </si>
  <si>
    <t>マイメロディ</t>
  </si>
  <si>
    <t>ニーベルゲン_シナモロールコスプレ</t>
  </si>
  <si>
    <t>balance</t>
    <phoneticPr fontId="20"/>
  </si>
  <si>
    <t>カカシ_マイメロディコスプレ</t>
  </si>
  <si>
    <t>technical</t>
    <phoneticPr fontId="20"/>
  </si>
  <si>
    <t>ss</t>
    <phoneticPr fontId="53"/>
  </si>
  <si>
    <t>normal</t>
    <phoneticPr fontId="53"/>
  </si>
  <si>
    <t>ja</t>
    <phoneticPr fontId="53"/>
  </si>
  <si>
    <t>ケロケロけろっぴ</t>
  </si>
  <si>
    <t>執行者</t>
    <phoneticPr fontId="20"/>
  </si>
  <si>
    <t>格好いい</t>
    <phoneticPr fontId="20"/>
  </si>
  <si>
    <t>ss</t>
    <phoneticPr fontId="53"/>
  </si>
  <si>
    <t>balance</t>
    <phoneticPr fontId="20"/>
  </si>
  <si>
    <t>モルドレッド_ポムポムプリンコスプレ</t>
  </si>
  <si>
    <t>heal</t>
    <phoneticPr fontId="20"/>
  </si>
  <si>
    <t>heal</t>
    <phoneticPr fontId="20"/>
  </si>
  <si>
    <t>ss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</si>
  <si>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</si>
  <si>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</si>
  <si>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</si>
  <si>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</si>
  <si>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執行者</t>
    <phoneticPr fontId="20"/>
  </si>
  <si>
    <t>格好いい</t>
    <phoneticPr fontId="20"/>
  </si>
  <si>
    <t>technical</t>
    <phoneticPr fontId="20"/>
  </si>
  <si>
    <t>attack</t>
    <phoneticPr fontId="20"/>
  </si>
  <si>
    <t>ss</t>
    <phoneticPr fontId="53"/>
  </si>
  <si>
    <t>シナモロール</t>
  </si>
  <si>
    <t>PremiumS</t>
    <phoneticPr fontId="53"/>
  </si>
  <si>
    <t>heal</t>
    <phoneticPr fontId="20"/>
  </si>
  <si>
    <t>hp</t>
    <phoneticPr fontId="20"/>
  </si>
  <si>
    <t>鄭成功</t>
  </si>
  <si>
    <t>レア６鄭成功</t>
    <phoneticPr fontId="53"/>
  </si>
  <si>
    <t>hero</t>
  </si>
  <si>
    <t>赤鬼</t>
  </si>
  <si>
    <t>レア６赤鬼</t>
    <phoneticPr fontId="53"/>
  </si>
  <si>
    <t>バハムートダック赤</t>
    <phoneticPr fontId="53"/>
  </si>
  <si>
    <t>バハムートダック緑</t>
    <phoneticPr fontId="53"/>
  </si>
  <si>
    <t>バハムートダック青</t>
    <phoneticPr fontId="53"/>
  </si>
  <si>
    <t>バハムートダック黄</t>
    <phoneticPr fontId="53"/>
  </si>
  <si>
    <t>old</t>
    <phoneticPr fontId="20"/>
  </si>
  <si>
    <t>tables_497101</t>
  </si>
  <si>
    <t>tables_497103</t>
  </si>
  <si>
    <t>tables_settle_497103</t>
  </si>
  <si>
    <t>tables_497104</t>
  </si>
  <si>
    <t>tables_497105</t>
  </si>
  <si>
    <t>tables_497100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</si>
</sst>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7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2"/>
      <color rgb="FFFA7D00"/>
      <name val="ＭＳ Ｐゴシック"/>
      <family val="2"/>
      <charset val="128"/>
      <scheme val="minor"/>
    </font>
    <font>
      <sz val="10"/>
      <color theme="1"/>
      <name val="Times New Roman"/>
    </font>
    <font>
      <sz val="6"/>
      <name val="Arial"/>
    </font>
    <font>
      <sz val="10"/>
      <color theme="1"/>
      <name val="Arial"/>
      <family val="2"/>
    </font>
    <font>
      <sz val="10"/>
      <color rgb="FF000000"/>
      <name val="ＭＳ Ｐゴシック"/>
      <family val="3"/>
      <charset val="128"/>
      <scheme val="minor"/>
    </font>
    <font>
      <sz val="10"/>
      <color theme="1"/>
      <name val="MS PGothic"/>
      <family val="3"/>
      <charset val="128"/>
    </font>
    <font>
      <sz val="6"/>
      <name val="メイリオ"/>
      <family val="2"/>
      <charset val="128"/>
    </font>
    <font>
      <sz val="11"/>
      <color theme="1"/>
      <name val="メイリオ"/>
      <family val="3"/>
      <charset val="128"/>
    </font>
    <font>
      <u/>
      <sz val="10"/>
      <color theme="10"/>
      <name val="Arial"/>
    </font>
    <font>
      <sz val="12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2"/>
      <color theme="1"/>
      <name val="MS PGothic"/>
      <family val="3"/>
      <charset val="128"/>
    </font>
    <font>
      <sz val="10"/>
      <color rgb="FF000000"/>
      <name val="MS PGothic"/>
      <family val="3"/>
      <charset val="128"/>
    </font>
    <font>
      <sz val="12"/>
      <color rgb="FF000000"/>
      <name val="Arial"/>
    </font>
    <font>
      <sz val="11"/>
      <color indexed="81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3669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0"/>
  </cellStyleXfs>
  <cellXfs count="225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5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52" fillId="2" borderId="1" xfId="3668" applyFont="1" applyFill="1" applyBorder="1" applyAlignment="1">
      <alignment horizontal="center" vertical="center"/>
    </xf>
    <xf numFmtId="0" fontId="52" fillId="0" borderId="1" xfId="3668" applyFont="1" applyFill="1" applyBorder="1" applyAlignment="1">
      <alignment horizontal="center" vertical="center"/>
    </xf>
    <xf numFmtId="0" fontId="52" fillId="3" borderId="1" xfId="3668" applyFont="1" applyFill="1" applyBorder="1" applyAlignment="1">
      <alignment horizontal="center" vertical="center"/>
    </xf>
    <xf numFmtId="0" fontId="52" fillId="2" borderId="1" xfId="3668" applyFont="1" applyFill="1" applyBorder="1" applyAlignment="1">
      <alignment horizontal="right" vertical="center"/>
    </xf>
    <xf numFmtId="0" fontId="52" fillId="25" borderId="1" xfId="3668" applyFont="1" applyFill="1" applyBorder="1" applyAlignment="1">
      <alignment horizontal="center" vertical="center"/>
    </xf>
    <xf numFmtId="0" fontId="25" fillId="2" borderId="1" xfId="3668" applyFont="1" applyFill="1" applyBorder="1" applyAlignment="1">
      <alignment horizontal="center" vertical="center"/>
    </xf>
    <xf numFmtId="0" fontId="25" fillId="3" borderId="1" xfId="3668" applyFont="1" applyFill="1" applyBorder="1" applyAlignment="1">
      <alignment horizontal="center" vertical="center"/>
    </xf>
    <xf numFmtId="0" fontId="24" fillId="0" borderId="0" xfId="3668" applyFont="1" applyAlignment="1">
      <alignment horizontal="center" vertical="center"/>
    </xf>
    <xf numFmtId="0" fontId="24" fillId="25" borderId="1" xfId="3668" applyFont="1" applyFill="1" applyBorder="1" applyAlignment="1">
      <alignment horizontal="right" vertical="center"/>
    </xf>
    <xf numFmtId="0" fontId="24" fillId="0" borderId="1" xfId="3668" applyFont="1" applyFill="1" applyBorder="1" applyAlignment="1">
      <alignment horizontal="right" vertical="center"/>
    </xf>
    <xf numFmtId="0" fontId="25" fillId="0" borderId="1" xfId="3668" applyFont="1" applyFill="1" applyBorder="1" applyAlignment="1">
      <alignment horizontal="left" vertical="center" wrapText="1"/>
    </xf>
    <xf numFmtId="0" fontId="24" fillId="3" borderId="1" xfId="3668" applyFont="1" applyFill="1" applyBorder="1" applyAlignment="1">
      <alignment horizontal="left" vertical="center"/>
    </xf>
    <xf numFmtId="0" fontId="24" fillId="0" borderId="1" xfId="3668" applyFont="1" applyBorder="1" applyAlignment="1">
      <alignment horizontal="left" vertical="center"/>
    </xf>
    <xf numFmtId="0" fontId="25" fillId="0" borderId="1" xfId="3668" applyFont="1" applyBorder="1" applyAlignment="1">
      <alignment vertical="center"/>
    </xf>
    <xf numFmtId="0" fontId="24" fillId="0" borderId="1" xfId="3668" applyFont="1" applyFill="1" applyBorder="1" applyAlignment="1">
      <alignment vertical="center"/>
    </xf>
    <xf numFmtId="0" fontId="24" fillId="0" borderId="1" xfId="3668" applyFont="1" applyBorder="1" applyAlignment="1">
      <alignment horizontal="right" vertical="center"/>
    </xf>
    <xf numFmtId="0" fontId="24" fillId="0" borderId="0" xfId="3668" applyFont="1" applyAlignment="1">
      <alignment horizontal="left" vertical="center"/>
    </xf>
    <xf numFmtId="0" fontId="59" fillId="0" borderId="1" xfId="3668" applyFont="1" applyFill="1" applyBorder="1" applyAlignment="1">
      <alignment horizontal="left" vertical="center" wrapText="1"/>
    </xf>
    <xf numFmtId="0" fontId="24" fillId="0" borderId="1" xfId="3668" applyFont="1" applyFill="1" applyBorder="1" applyAlignment="1">
      <alignment horizontal="left" vertical="center"/>
    </xf>
    <xf numFmtId="0" fontId="25" fillId="0" borderId="1" xfId="3668" applyFont="1" applyFill="1" applyBorder="1" applyAlignment="1">
      <alignment vertical="center"/>
    </xf>
    <xf numFmtId="0" fontId="24" fillId="0" borderId="0" xfId="3668" applyFont="1" applyFill="1" applyAlignment="1">
      <alignment horizontal="left" vertical="center"/>
    </xf>
    <xf numFmtId="0" fontId="26" fillId="0" borderId="1" xfId="3668" applyFont="1" applyBorder="1" applyAlignment="1">
      <alignment vertical="center"/>
    </xf>
    <xf numFmtId="0" fontId="25" fillId="0" borderId="1" xfId="3668" applyFont="1" applyBorder="1" applyAlignment="1">
      <alignment horizontal="left" vertical="center" wrapText="1"/>
    </xf>
    <xf numFmtId="0" fontId="61" fillId="0" borderId="1" xfId="3668" applyFont="1" applyFill="1" applyBorder="1" applyAlignment="1">
      <alignment horizontal="right" vertical="center" wrapText="1"/>
    </xf>
    <xf numFmtId="0" fontId="61" fillId="0" borderId="1" xfId="3668" applyFont="1" applyBorder="1" applyAlignment="1">
      <alignment horizontal="right" vertical="center" wrapText="1"/>
    </xf>
    <xf numFmtId="0" fontId="26" fillId="0" borderId="1" xfId="3668" applyFont="1" applyFill="1" applyBorder="1" applyAlignment="1">
      <alignment vertical="center"/>
    </xf>
    <xf numFmtId="0" fontId="24" fillId="33" borderId="1" xfId="3668" applyFont="1" applyFill="1" applyBorder="1" applyAlignment="1">
      <alignment horizontal="right" vertical="center"/>
    </xf>
    <xf numFmtId="0" fontId="26" fillId="3" borderId="1" xfId="3668" applyFont="1" applyFill="1" applyBorder="1" applyAlignment="1">
      <alignment vertical="center"/>
    </xf>
    <xf numFmtId="0" fontId="25" fillId="0" borderId="1" xfId="3668" applyFont="1" applyBorder="1"/>
    <xf numFmtId="0" fontId="26" fillId="0" borderId="1" xfId="3668" applyFont="1" applyBorder="1"/>
    <xf numFmtId="0" fontId="62" fillId="0" borderId="1" xfId="3668" applyFont="1" applyFill="1" applyBorder="1" applyAlignment="1">
      <alignment horizontal="right" vertical="center"/>
    </xf>
    <xf numFmtId="0" fontId="25" fillId="0" borderId="1" xfId="3668" applyFont="1" applyFill="1" applyBorder="1"/>
    <xf numFmtId="0" fontId="24" fillId="0" borderId="1" xfId="3668" applyFont="1" applyBorder="1" applyAlignment="1">
      <alignment horizontal="right" vertical="center" wrapText="1"/>
    </xf>
    <xf numFmtId="0" fontId="62" fillId="0" borderId="1" xfId="3668" applyFont="1" applyBorder="1" applyAlignment="1">
      <alignment horizontal="right" vertical="center"/>
    </xf>
    <xf numFmtId="0" fontId="62" fillId="0" borderId="1" xfId="3668" applyFont="1" applyBorder="1" applyAlignment="1">
      <alignment vertical="center"/>
    </xf>
    <xf numFmtId="0" fontId="25" fillId="0" borderId="1" xfId="3668" applyFont="1" applyFill="1" applyBorder="1" applyAlignment="1">
      <alignment horizontal="right" vertical="top"/>
    </xf>
    <xf numFmtId="0" fontId="26" fillId="0" borderId="1" xfId="3668" applyFont="1" applyFill="1" applyBorder="1" applyAlignment="1">
      <alignment vertical="center" wrapText="1"/>
    </xf>
    <xf numFmtId="0" fontId="63" fillId="0" borderId="1" xfId="3668" applyFont="1" applyBorder="1"/>
    <xf numFmtId="0" fontId="26" fillId="34" borderId="1" xfId="3668" applyFont="1" applyFill="1" applyBorder="1" applyAlignment="1">
      <alignment vertical="center"/>
    </xf>
    <xf numFmtId="0" fontId="26" fillId="0" borderId="1" xfId="3668" applyFont="1" applyFill="1" applyBorder="1"/>
    <xf numFmtId="0" fontId="26" fillId="0" borderId="1" xfId="3668" applyFont="1" applyFill="1" applyBorder="1" applyAlignment="1">
      <alignment horizontal="left" vertical="center"/>
    </xf>
    <xf numFmtId="0" fontId="63" fillId="0" borderId="1" xfId="3668" applyFont="1" applyFill="1" applyBorder="1"/>
    <xf numFmtId="0" fontId="67" fillId="0" borderId="1" xfId="3668" applyFont="1" applyFill="1" applyBorder="1" applyAlignment="1">
      <alignment horizontal="left" vertical="center"/>
    </xf>
    <xf numFmtId="0" fontId="26" fillId="0" borderId="1" xfId="3668" applyFont="1" applyFill="1" applyBorder="1" applyAlignment="1">
      <alignment horizontal="left" vertical="center" wrapText="1"/>
    </xf>
    <xf numFmtId="0" fontId="26" fillId="0" borderId="1" xfId="3668" applyFont="1" applyFill="1" applyBorder="1" applyAlignment="1">
      <alignment horizontal="right" vertical="center"/>
    </xf>
    <xf numFmtId="0" fontId="26" fillId="0" borderId="1" xfId="3668" applyFont="1" applyFill="1" applyBorder="1" applyAlignment="1">
      <alignment horizontal="right"/>
    </xf>
    <xf numFmtId="0" fontId="55" fillId="0" borderId="1" xfId="3668" applyFont="1" applyFill="1" applyBorder="1"/>
    <xf numFmtId="0" fontId="26" fillId="2" borderId="1" xfId="3668" applyFont="1" applyFill="1" applyBorder="1" applyAlignment="1">
      <alignment horizontal="right" vertical="center"/>
    </xf>
    <xf numFmtId="0" fontId="62" fillId="3" borderId="1" xfId="3668" applyFont="1" applyFill="1" applyBorder="1" applyAlignment="1">
      <alignment horizontal="left" vertical="center"/>
    </xf>
    <xf numFmtId="0" fontId="68" fillId="0" borderId="1" xfId="3668" applyFont="1" applyFill="1" applyBorder="1" applyAlignment="1">
      <alignment horizontal="right" vertical="center" wrapText="1"/>
    </xf>
    <xf numFmtId="0" fontId="26" fillId="4" borderId="1" xfId="3668" applyFont="1" applyFill="1" applyBorder="1" applyAlignment="1">
      <alignment vertical="center"/>
    </xf>
    <xf numFmtId="0" fontId="26" fillId="0" borderId="17" xfId="3668" applyFont="1" applyBorder="1" applyAlignment="1">
      <alignment vertical="center"/>
    </xf>
    <xf numFmtId="0" fontId="25" fillId="0" borderId="1" xfId="3668" applyFont="1" applyBorder="1" applyAlignment="1">
      <alignment horizontal="right" vertical="center"/>
    </xf>
    <xf numFmtId="0" fontId="55" fillId="0" borderId="1" xfId="3668" applyFont="1" applyFill="1" applyBorder="1" applyAlignment="1">
      <alignment vertical="center"/>
    </xf>
    <xf numFmtId="0" fontId="52" fillId="0" borderId="1" xfId="3668" applyFont="1" applyFill="1" applyBorder="1"/>
    <xf numFmtId="0" fontId="26" fillId="0" borderId="17" xfId="3668" applyFont="1" applyBorder="1" applyAlignment="1">
      <alignment horizontal="left" vertical="center"/>
    </xf>
    <xf numFmtId="0" fontId="26" fillId="35" borderId="17" xfId="3668" applyFont="1" applyFill="1" applyBorder="1" applyAlignment="1">
      <alignment vertical="center"/>
    </xf>
    <xf numFmtId="0" fontId="62" fillId="0" borderId="12" xfId="3668" applyFont="1" applyBorder="1" applyAlignment="1">
      <alignment horizontal="right" vertical="center"/>
    </xf>
    <xf numFmtId="0" fontId="26" fillId="0" borderId="17" xfId="3668" applyFont="1" applyFill="1" applyBorder="1" applyAlignment="1">
      <alignment horizontal="left" vertical="center"/>
    </xf>
    <xf numFmtId="0" fontId="24" fillId="0" borderId="18" xfId="3668" applyFont="1" applyFill="1" applyBorder="1" applyAlignment="1">
      <alignment horizontal="right" vertical="center"/>
    </xf>
    <xf numFmtId="0" fontId="26" fillId="33" borderId="1" xfId="3668" applyFont="1" applyFill="1" applyBorder="1" applyAlignment="1">
      <alignment vertical="center"/>
    </xf>
    <xf numFmtId="0" fontId="26" fillId="3" borderId="17" xfId="3668" applyFont="1" applyFill="1" applyBorder="1" applyAlignment="1">
      <alignment horizontal="left" vertical="center"/>
    </xf>
    <xf numFmtId="0" fontId="26" fillId="33" borderId="1" xfId="3668" applyFont="1" applyFill="1" applyBorder="1" applyAlignment="1">
      <alignment horizontal="left" vertical="center"/>
    </xf>
    <xf numFmtId="0" fontId="26" fillId="33" borderId="1" xfId="3668" applyFont="1" applyFill="1" applyBorder="1" applyAlignment="1">
      <alignment horizontal="left" vertical="center" wrapText="1"/>
    </xf>
    <xf numFmtId="0" fontId="68" fillId="0" borderId="1" xfId="3668" applyFont="1" applyBorder="1" applyAlignment="1">
      <alignment horizontal="right" vertical="center" wrapText="1"/>
    </xf>
    <xf numFmtId="0" fontId="24" fillId="0" borderId="19" xfId="3668" applyFont="1" applyFill="1" applyBorder="1" applyAlignment="1">
      <alignment horizontal="right" vertical="center"/>
    </xf>
    <xf numFmtId="0" fontId="26" fillId="33" borderId="1" xfId="3668" applyFont="1" applyFill="1" applyBorder="1" applyAlignment="1">
      <alignment vertical="center" wrapText="1"/>
    </xf>
    <xf numFmtId="0" fontId="26" fillId="33" borderId="14" xfId="3668" applyFont="1" applyFill="1" applyBorder="1" applyAlignment="1">
      <alignment vertical="center" wrapText="1"/>
    </xf>
    <xf numFmtId="0" fontId="26" fillId="0" borderId="12" xfId="3668" applyFont="1" applyFill="1" applyBorder="1" applyAlignment="1">
      <alignment horizontal="left" vertical="center"/>
    </xf>
    <xf numFmtId="0" fontId="24" fillId="3" borderId="17" xfId="3668" applyFont="1" applyFill="1" applyBorder="1" applyAlignment="1">
      <alignment horizontal="left" vertical="center"/>
    </xf>
    <xf numFmtId="0" fontId="26" fillId="0" borderId="17" xfId="3668" applyFont="1" applyFill="1" applyBorder="1" applyAlignment="1">
      <alignment vertical="center"/>
    </xf>
    <xf numFmtId="0" fontId="26" fillId="4" borderId="1" xfId="3668" applyFont="1" applyFill="1" applyBorder="1" applyAlignment="1">
      <alignment horizontal="right" vertical="center"/>
    </xf>
    <xf numFmtId="0" fontId="63" fillId="0" borderId="0" xfId="3668" applyFont="1"/>
    <xf numFmtId="0" fontId="26" fillId="2" borderId="1" xfId="3668" applyFont="1" applyFill="1" applyBorder="1" applyAlignment="1">
      <alignment horizontal="left" vertical="center"/>
    </xf>
    <xf numFmtId="0" fontId="55" fillId="0" borderId="17" xfId="3668" applyFont="1" applyFill="1" applyBorder="1" applyAlignment="1">
      <alignment horizontal="left" vertical="center"/>
    </xf>
    <xf numFmtId="0" fontId="26" fillId="0" borderId="20" xfId="3668" applyFont="1" applyBorder="1" applyAlignment="1">
      <alignment horizontal="left" vertical="center"/>
    </xf>
    <xf numFmtId="0" fontId="69" fillId="3" borderId="17" xfId="3668" applyFont="1" applyFill="1" applyBorder="1" applyAlignment="1">
      <alignment horizontal="left" vertical="center"/>
    </xf>
    <xf numFmtId="0" fontId="55" fillId="3" borderId="1" xfId="3668" applyFont="1" applyFill="1" applyBorder="1" applyAlignment="1">
      <alignment vertical="center"/>
    </xf>
    <xf numFmtId="0" fontId="63" fillId="0" borderId="1" xfId="3668" applyFont="1" applyBorder="1" applyAlignment="1">
      <alignment vertical="center"/>
    </xf>
    <xf numFmtId="0" fontId="63" fillId="0" borderId="1" xfId="3668" applyFont="1" applyBorder="1" applyAlignment="1">
      <alignment horizontal="right" vertical="center"/>
    </xf>
    <xf numFmtId="0" fontId="70" fillId="0" borderId="1" xfId="3668" applyFont="1" applyBorder="1" applyAlignment="1">
      <alignment vertical="center"/>
    </xf>
    <xf numFmtId="0" fontId="70" fillId="34" borderId="1" xfId="3668" applyFont="1" applyFill="1" applyBorder="1" applyAlignment="1">
      <alignment vertical="center"/>
    </xf>
    <xf numFmtId="0" fontId="24" fillId="0" borderId="14" xfId="3668" applyFont="1" applyBorder="1" applyAlignment="1">
      <alignment horizontal="right" vertical="center"/>
    </xf>
    <xf numFmtId="0" fontId="63" fillId="34" borderId="1" xfId="3668" applyFont="1" applyFill="1" applyBorder="1"/>
    <xf numFmtId="0" fontId="63" fillId="0" borderId="1" xfId="3668" applyFont="1" applyBorder="1" applyAlignment="1">
      <alignment horizontal="right"/>
    </xf>
    <xf numFmtId="0" fontId="71" fillId="0" borderId="1" xfId="3668" applyFont="1" applyBorder="1"/>
    <xf numFmtId="0" fontId="70" fillId="0" borderId="1" xfId="3668" applyFont="1" applyBorder="1"/>
    <xf numFmtId="0" fontId="70" fillId="0" borderId="1" xfId="3668" applyFont="1" applyBorder="1" applyAlignment="1">
      <alignment horizontal="right"/>
    </xf>
    <xf numFmtId="0" fontId="70" fillId="34" borderId="1" xfId="3668" applyFont="1" applyFill="1" applyBorder="1"/>
    <xf numFmtId="0" fontId="70" fillId="0" borderId="0" xfId="3668" applyFont="1"/>
    <xf numFmtId="0" fontId="70" fillId="34" borderId="0" xfId="3668" applyFont="1" applyFill="1"/>
    <xf numFmtId="0" fontId="70" fillId="25" borderId="1" xfId="3668" applyFont="1" applyFill="1" applyBorder="1"/>
    <xf numFmtId="0" fontId="72" fillId="0" borderId="1" xfId="3668" applyFont="1" applyBorder="1"/>
    <xf numFmtId="0" fontId="72" fillId="34" borderId="1" xfId="3668" applyFont="1" applyFill="1" applyBorder="1"/>
    <xf numFmtId="0" fontId="72" fillId="0" borderId="1" xfId="3668" applyFont="1" applyBorder="1" applyAlignment="1">
      <alignment wrapText="1"/>
    </xf>
    <xf numFmtId="0" fontId="24" fillId="4" borderId="1" xfId="3668" applyFont="1" applyFill="1" applyBorder="1" applyAlignment="1">
      <alignment horizontal="right" vertical="center"/>
    </xf>
    <xf numFmtId="0" fontId="24" fillId="27" borderId="1" xfId="3668" applyFont="1" applyFill="1" applyBorder="1" applyAlignment="1">
      <alignment horizontal="right" vertical="center"/>
    </xf>
    <xf numFmtId="0" fontId="24" fillId="0" borderId="14" xfId="3668" applyFont="1" applyFill="1" applyBorder="1" applyAlignment="1">
      <alignment horizontal="right" vertical="center"/>
    </xf>
    <xf numFmtId="0" fontId="25" fillId="4" borderId="1" xfId="3668" applyFont="1" applyFill="1" applyBorder="1" applyAlignment="1">
      <alignment horizontal="left" vertical="center" wrapText="1"/>
    </xf>
    <xf numFmtId="0" fontId="26" fillId="36" borderId="21" xfId="3668" applyFont="1" applyFill="1" applyBorder="1" applyAlignment="1">
      <alignment vertical="center"/>
    </xf>
    <xf numFmtId="0" fontId="24" fillId="0" borderId="20" xfId="3668" applyFont="1" applyFill="1" applyBorder="1" applyAlignment="1">
      <alignment horizontal="right" vertical="center"/>
    </xf>
    <xf numFmtId="0" fontId="26" fillId="0" borderId="20" xfId="3668" applyFont="1" applyFill="1" applyBorder="1" applyAlignment="1">
      <alignment horizontal="left" vertical="center"/>
    </xf>
    <xf numFmtId="0" fontId="24" fillId="3" borderId="12" xfId="3668" applyFont="1" applyFill="1" applyBorder="1" applyAlignment="1">
      <alignment horizontal="left" vertical="center"/>
    </xf>
    <xf numFmtId="0" fontId="24" fillId="0" borderId="12" xfId="3668" applyFont="1" applyBorder="1" applyAlignment="1">
      <alignment horizontal="left" vertical="center"/>
    </xf>
    <xf numFmtId="0" fontId="25" fillId="0" borderId="12" xfId="3668" applyFont="1" applyFill="1" applyBorder="1" applyAlignment="1">
      <alignment horizontal="right" vertical="top"/>
    </xf>
    <xf numFmtId="0" fontId="26" fillId="0" borderId="12" xfId="3668" applyFont="1" applyFill="1" applyBorder="1" applyAlignment="1">
      <alignment horizontal="right" vertical="center"/>
    </xf>
    <xf numFmtId="0" fontId="25" fillId="0" borderId="12" xfId="3668" applyFont="1" applyBorder="1" applyAlignment="1">
      <alignment vertical="center"/>
    </xf>
    <xf numFmtId="0" fontId="24" fillId="0" borderId="12" xfId="3668" applyFont="1" applyFill="1" applyBorder="1" applyAlignment="1">
      <alignment horizontal="right" vertical="center"/>
    </xf>
    <xf numFmtId="0" fontId="24" fillId="0" borderId="22" xfId="3668" applyFont="1" applyFill="1" applyBorder="1" applyAlignment="1">
      <alignment horizontal="right" vertical="center"/>
    </xf>
    <xf numFmtId="0" fontId="24" fillId="3" borderId="20" xfId="3668" applyFont="1" applyFill="1" applyBorder="1" applyAlignment="1">
      <alignment horizontal="left" vertical="center"/>
    </xf>
    <xf numFmtId="0" fontId="24" fillId="0" borderId="12" xfId="3668" applyFont="1" applyFill="1" applyBorder="1" applyAlignment="1">
      <alignment vertical="center"/>
    </xf>
    <xf numFmtId="0" fontId="26" fillId="36" borderId="23" xfId="3668" applyFont="1" applyFill="1" applyBorder="1" applyAlignment="1">
      <alignment vertical="center"/>
    </xf>
    <xf numFmtId="0" fontId="24" fillId="0" borderId="17" xfId="3668" applyFont="1" applyFill="1" applyBorder="1" applyAlignment="1">
      <alignment horizontal="right" vertical="center"/>
    </xf>
    <xf numFmtId="0" fontId="24" fillId="0" borderId="24" xfId="3668" applyFont="1" applyFill="1" applyBorder="1" applyAlignment="1">
      <alignment horizontal="right" vertical="center"/>
    </xf>
    <xf numFmtId="0" fontId="24" fillId="0" borderId="25" xfId="3668" applyFont="1" applyFill="1" applyBorder="1" applyAlignment="1">
      <alignment horizontal="right" vertical="center"/>
    </xf>
    <xf numFmtId="0" fontId="62" fillId="0" borderId="0" xfId="3668" applyFont="1" applyBorder="1"/>
    <xf numFmtId="0" fontId="55" fillId="3" borderId="17" xfId="3668" applyFont="1" applyFill="1" applyBorder="1" applyAlignment="1">
      <alignment horizontal="left" vertical="center"/>
    </xf>
    <xf numFmtId="0" fontId="55" fillId="0" borderId="17" xfId="3668" applyFont="1" applyFill="1" applyBorder="1" applyAlignment="1">
      <alignment horizontal="right" vertical="center"/>
    </xf>
    <xf numFmtId="0" fontId="55" fillId="0" borderId="20" xfId="3668" applyFont="1" applyFill="1" applyBorder="1" applyAlignment="1">
      <alignment horizontal="left" vertical="center"/>
    </xf>
    <xf numFmtId="0" fontId="55" fillId="3" borderId="20" xfId="3668" applyFont="1" applyFill="1" applyBorder="1" applyAlignment="1">
      <alignment horizontal="left" vertical="center"/>
    </xf>
    <xf numFmtId="0" fontId="55" fillId="0" borderId="20" xfId="3668" applyFont="1" applyFill="1" applyBorder="1" applyAlignment="1">
      <alignment horizontal="right" vertical="center"/>
    </xf>
    <xf numFmtId="0" fontId="55" fillId="0" borderId="20" xfId="3668" applyFont="1" applyFill="1" applyBorder="1" applyAlignment="1">
      <alignment vertical="center"/>
    </xf>
    <xf numFmtId="0" fontId="55" fillId="3" borderId="20" xfId="3668" applyFont="1" applyFill="1" applyBorder="1" applyAlignment="1">
      <alignment vertical="center"/>
    </xf>
    <xf numFmtId="0" fontId="63" fillId="3" borderId="1" xfId="3668" applyFont="1" applyFill="1" applyBorder="1"/>
    <xf numFmtId="0" fontId="24" fillId="3" borderId="0" xfId="3668" applyFont="1" applyFill="1" applyAlignment="1">
      <alignment horizontal="left" vertical="center"/>
    </xf>
    <xf numFmtId="0" fontId="24" fillId="0" borderId="0" xfId="3668" applyFont="1" applyAlignment="1">
      <alignment horizontal="right" vertical="center"/>
    </xf>
    <xf numFmtId="0" fontId="24" fillId="0" borderId="0" xfId="3668" applyFont="1" applyFill="1" applyAlignment="1">
      <alignment vertical="center"/>
    </xf>
    <xf numFmtId="0" fontId="2" fillId="0" borderId="1" xfId="3036" applyFont="1" applyBorder="1"/>
    <xf numFmtId="0" fontId="52" fillId="4" borderId="1" xfId="0" applyFont="1" applyFill="1" applyBorder="1" applyAlignment="1">
      <alignment vertical="center"/>
    </xf>
  </cellXfs>
  <cellStyles count="3669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標準 8" xfId="3668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33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>
        <row r="2">
          <cell r="A2" t="str">
            <v>red</v>
          </cell>
        </row>
        <row r="3">
          <cell r="A3" t="str">
            <v>green</v>
          </cell>
        </row>
        <row r="4">
          <cell r="A4" t="str">
            <v>blue</v>
          </cell>
        </row>
        <row r="5">
          <cell r="A5" t="str">
            <v>yellow</v>
          </cell>
        </row>
        <row r="6">
          <cell r="A6" t="str">
            <v>colorless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未定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媽祖_超覚醒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蛟龍_超覚醒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  <cell r="I1" t="str">
            <v>HP</v>
          </cell>
          <cell r="J1" t="str">
            <v>攻撃</v>
          </cell>
          <cell r="K1" t="str">
            <v>防御</v>
          </cell>
          <cell r="L1" t="str">
            <v>回復</v>
          </cell>
        </row>
        <row r="2">
          <cell r="A2" t="str">
            <v>none</v>
          </cell>
        </row>
        <row r="3">
          <cell r="A3" t="str">
            <v>attack</v>
          </cell>
        </row>
        <row r="4">
          <cell r="A4" t="str">
            <v>balance</v>
          </cell>
        </row>
        <row r="5">
          <cell r="A5" t="str">
            <v>hp</v>
          </cell>
        </row>
        <row r="6">
          <cell r="A6" t="str">
            <v>technical</v>
          </cell>
        </row>
        <row r="7">
          <cell r="A7" t="str">
            <v>heal</v>
          </cell>
        </row>
        <row r="8">
          <cell r="A8" t="str">
            <v>exp</v>
          </cell>
        </row>
        <row r="9">
          <cell r="A9" t="str">
            <v>evolution</v>
          </cell>
        </row>
        <row r="10">
          <cell r="A10" t="str">
            <v>coin</v>
          </cell>
        </row>
        <row r="11">
          <cell r="A11" t="str">
            <v>limitbreak</v>
          </cell>
        </row>
        <row r="12">
          <cell r="A12" t="str">
            <v>skilllevel</v>
          </cell>
        </row>
        <row r="13">
          <cell r="A13" t="str">
            <v>dr</v>
          </cell>
        </row>
        <row r="14">
          <cell r="A14" t="str">
            <v>ra</v>
          </cell>
        </row>
        <row r="15">
          <cell r="A15" t="str">
            <v>ra002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9"/>
    <outlinePr summaryBelow="0" summaryRight="0"/>
  </sheetPr>
  <dimension ref="A1:W1480"/>
  <sheetViews>
    <sheetView showGridLines="0" zoomScale="110" zoomScaleNormal="36" zoomScalePageLayoutView="36" workbookViewId="0">
      <pane xSplit="8" ySplit="1" topLeftCell="O1280" activePane="bottomRight" state="frozen"/>
      <selection pane="topRight" activeCell="H1" sqref="H1"/>
      <selection pane="bottomLeft" activeCell="A3" sqref="A3"/>
      <selection pane="bottomRight" activeCell="C1292" sqref="C1292"/>
    </sheetView>
  </sheetViews>
  <sheetFormatPr baseColWidth="12" defaultColWidth="10.59765625" defaultRowHeight="21" customHeight="1" outlineLevelCol="1" x14ac:dyDescent="0.15"/>
  <cols>
    <col min="1" max="1" width="18.3984375" style="112" bestFit="1" customWidth="1"/>
    <col min="2" max="2" width="15.59765625" style="112" bestFit="1" customWidth="1"/>
    <col min="3" max="3" width="30.796875" style="116" customWidth="1" collapsed="1"/>
    <col min="4" max="4" width="28.3984375" style="220" hidden="1" customWidth="1" outlineLevel="1"/>
    <col min="5" max="5" width="10.3984375" style="112" hidden="1" customWidth="1" outlineLevel="1"/>
    <col min="6" max="6" width="9.59765625" style="112" hidden="1" customWidth="1" outlineLevel="1"/>
    <col min="7" max="7" width="8.59765625" style="112" hidden="1" customWidth="1" outlineLevel="1"/>
    <col min="8" max="8" width="14.59765625" style="221" bestFit="1" customWidth="1"/>
    <col min="9" max="9" width="11.59765625" style="112" bestFit="1" customWidth="1"/>
    <col min="10" max="10" width="16.3984375" style="112" bestFit="1" customWidth="1"/>
    <col min="11" max="11" width="22.59765625" style="112" bestFit="1" customWidth="1"/>
    <col min="12" max="12" width="17" style="220" customWidth="1"/>
    <col min="13" max="13" width="27.3984375" style="112" bestFit="1" customWidth="1"/>
    <col min="14" max="14" width="17" style="220" customWidth="1"/>
    <col min="15" max="15" width="26.3984375" style="220" bestFit="1" customWidth="1"/>
    <col min="16" max="16" width="17" style="220" customWidth="1"/>
    <col min="17" max="17" width="19.19921875" style="222" bestFit="1" customWidth="1"/>
    <col min="18" max="18" width="13.59765625" style="112" bestFit="1" customWidth="1"/>
    <col min="19" max="20" width="10.59765625" style="112"/>
    <col min="21" max="21" width="33" style="112" customWidth="1"/>
    <col min="22" max="16384" width="10.59765625" style="112"/>
  </cols>
  <sheetData>
    <row r="1" spans="1:23" s="103" customFormat="1" ht="21" customHeight="1" x14ac:dyDescent="0.15">
      <c r="A1" s="96" t="s">
        <v>0</v>
      </c>
      <c r="B1" s="96" t="s">
        <v>248</v>
      </c>
      <c r="C1" s="97" t="s">
        <v>249</v>
      </c>
      <c r="D1" s="98" t="s">
        <v>250</v>
      </c>
      <c r="E1" s="98" t="s">
        <v>251</v>
      </c>
      <c r="F1" s="98" t="s">
        <v>252</v>
      </c>
      <c r="G1" s="98" t="s">
        <v>253</v>
      </c>
      <c r="H1" s="99" t="s">
        <v>254</v>
      </c>
      <c r="I1" s="100" t="s">
        <v>255</v>
      </c>
      <c r="J1" s="100" t="s">
        <v>256</v>
      </c>
      <c r="K1" s="96" t="s">
        <v>257</v>
      </c>
      <c r="L1" s="98" t="s">
        <v>258</v>
      </c>
      <c r="M1" s="96" t="s">
        <v>259</v>
      </c>
      <c r="N1" s="98" t="s">
        <v>258</v>
      </c>
      <c r="O1" s="96" t="s">
        <v>260</v>
      </c>
      <c r="P1" s="98" t="s">
        <v>258</v>
      </c>
      <c r="Q1" s="97" t="s">
        <v>261</v>
      </c>
      <c r="R1" s="96" t="s">
        <v>262</v>
      </c>
      <c r="S1" s="101" t="s">
        <v>263</v>
      </c>
      <c r="T1" s="102" t="s">
        <v>264</v>
      </c>
      <c r="U1" s="101" t="s">
        <v>265</v>
      </c>
      <c r="V1" s="101" t="s">
        <v>266</v>
      </c>
      <c r="W1" s="101" t="s">
        <v>267</v>
      </c>
    </row>
    <row r="2" spans="1:23" ht="21" customHeight="1" x14ac:dyDescent="0.15">
      <c r="A2" s="104">
        <f>ROW()-1</f>
        <v>1</v>
      </c>
      <c r="B2" s="105" t="s">
        <v>268</v>
      </c>
      <c r="C2" s="106" t="s">
        <v>269</v>
      </c>
      <c r="D2" s="107" t="s">
        <v>270</v>
      </c>
      <c r="E2" s="108" t="s">
        <v>271</v>
      </c>
      <c r="F2" s="108" t="s">
        <v>272</v>
      </c>
      <c r="G2" s="108" t="s">
        <v>273</v>
      </c>
      <c r="H2" s="105" t="s">
        <v>274</v>
      </c>
      <c r="I2" s="109">
        <v>1</v>
      </c>
      <c r="J2" s="109" t="s">
        <v>275</v>
      </c>
      <c r="K2" s="105" t="s">
        <v>276</v>
      </c>
      <c r="L2" s="107" t="str">
        <f ca="1">VLOOKUP($K2,OFFSET([1]character_type_i18n!$A$1,0,0,COUNTA([1]character_type_i18n!$A:$A),MATCH(L$1,[1]character_type_i18n!$1:$1,0)-MATCH($K$1,[1]character_type_i18n!$1:$1,0)+1),MATCH(L$1,[1]character_type_i18n!$1:$1,0)-MATCH($K$1,[1]character_type_i18n!$1:$1,0)+1,FALSE)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" s="105" t="s">
        <v>277</v>
      </c>
      <c r="N2" s="107" t="str">
        <f>VLOOKUP(M2,[1]character_tribe_i18n!A:C,3,FALSE)</f>
        <v>Unknown</v>
      </c>
      <c r="O2" s="105" t="s">
        <v>278</v>
      </c>
      <c r="P2" s="107" t="str">
        <f>VLOOKUP(O2,[1]character_tribe_i18n!A:C,3,FALSE)</f>
        <v>種族なし</v>
      </c>
      <c r="Q2" s="110" t="s">
        <v>279</v>
      </c>
      <c r="R2" s="111">
        <v>3</v>
      </c>
      <c r="S2" s="108" t="s">
        <v>280</v>
      </c>
      <c r="T2" s="108" t="s">
        <v>281</v>
      </c>
      <c r="U2" s="108" t="s">
        <v>280</v>
      </c>
      <c r="V2" s="108" t="s">
        <v>280</v>
      </c>
      <c r="W2" s="108" t="s">
        <v>280</v>
      </c>
    </row>
    <row r="3" spans="1:23" ht="21" customHeight="1" x14ac:dyDescent="0.15">
      <c r="A3" s="104">
        <f t="shared" ref="A3:A66" si="0">ROW()-1</f>
        <v>2</v>
      </c>
      <c r="B3" s="105" t="s">
        <v>268</v>
      </c>
      <c r="C3" s="106" t="s">
        <v>282</v>
      </c>
      <c r="D3" s="107" t="s">
        <v>283</v>
      </c>
      <c r="E3" s="108" t="s">
        <v>271</v>
      </c>
      <c r="F3" s="108" t="s">
        <v>272</v>
      </c>
      <c r="G3" s="108" t="s">
        <v>273</v>
      </c>
      <c r="H3" s="105" t="s">
        <v>274</v>
      </c>
      <c r="I3" s="109">
        <v>2</v>
      </c>
      <c r="J3" s="109" t="s">
        <v>275</v>
      </c>
      <c r="K3" s="105" t="s">
        <v>276</v>
      </c>
      <c r="L3" s="107" t="str">
        <f ca="1">VLOOKUP($K3,OFFSET([1]character_type_i18n!$A$1,0,0,COUNTA([1]character_type_i18n!$A:$A),MATCH(L$1,[1]character_type_i18n!$1:$1,0)-MATCH($K$1,[1]character_type_i18n!$1:$1,0)+1),MATCH(L$1,[1]character_type_i18n!$1:$1,0)-MATCH($K$1,[1]character_type_i18n!$1:$1,0)+1,FALSE)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" s="105" t="s">
        <v>277</v>
      </c>
      <c r="N3" s="107" t="str">
        <f>VLOOKUP(M3,[1]character_tribe_i18n!A:C,3,FALSE)</f>
        <v>Unknown</v>
      </c>
      <c r="O3" s="105" t="s">
        <v>278</v>
      </c>
      <c r="P3" s="107" t="str">
        <f>VLOOKUP(O3,[1]character_tribe_i18n!A:C,3,FALSE)</f>
        <v>種族なし</v>
      </c>
      <c r="Q3" s="110" t="s">
        <v>279</v>
      </c>
      <c r="R3" s="111">
        <v>3</v>
      </c>
      <c r="S3" s="108" t="s">
        <v>280</v>
      </c>
      <c r="T3" s="108" t="s">
        <v>281</v>
      </c>
      <c r="U3" s="108" t="s">
        <v>280</v>
      </c>
      <c r="V3" s="108" t="s">
        <v>280</v>
      </c>
      <c r="W3" s="108" t="s">
        <v>280</v>
      </c>
    </row>
    <row r="4" spans="1:23" ht="21" customHeight="1" x14ac:dyDescent="0.15">
      <c r="A4" s="104">
        <f t="shared" si="0"/>
        <v>3</v>
      </c>
      <c r="B4" s="105" t="s">
        <v>268</v>
      </c>
      <c r="C4" s="106" t="s">
        <v>284</v>
      </c>
      <c r="D4" s="107" t="s">
        <v>270</v>
      </c>
      <c r="E4" s="108" t="s">
        <v>271</v>
      </c>
      <c r="F4" s="108" t="s">
        <v>272</v>
      </c>
      <c r="G4" s="108" t="s">
        <v>273</v>
      </c>
      <c r="H4" s="105" t="s">
        <v>285</v>
      </c>
      <c r="I4" s="109">
        <v>1</v>
      </c>
      <c r="J4" s="109" t="s">
        <v>275</v>
      </c>
      <c r="K4" s="105" t="s">
        <v>286</v>
      </c>
      <c r="L4" s="107" t="str">
        <f ca="1">VLOOKUP($K4,OFFSET([1]character_type_i18n!$A$1,0,0,COUNTA([1]character_type_i18n!$A:$A),MATCH(L$1,[1]character_type_i18n!$1:$1,0)-MATCH($K$1,[1]character_type_i18n!$1:$1,0)+1),MATCH(L$1,[1]character_type_i18n!$1:$1,0)-MATCH($K$1,[1]character_type_i18n!$1:$1,0)+1,FALSE)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" s="105" t="s">
        <v>277</v>
      </c>
      <c r="N4" s="107" t="str">
        <f>VLOOKUP(M4,[1]character_tribe_i18n!A:C,3,FALSE)</f>
        <v>Unknown</v>
      </c>
      <c r="O4" s="105" t="s">
        <v>278</v>
      </c>
      <c r="P4" s="107" t="str">
        <f>VLOOKUP(O4,[1]character_tribe_i18n!A:C,3,FALSE)</f>
        <v>種族なし</v>
      </c>
      <c r="Q4" s="110" t="s">
        <v>287</v>
      </c>
      <c r="R4" s="111">
        <v>3</v>
      </c>
      <c r="S4" s="108" t="s">
        <v>280</v>
      </c>
      <c r="T4" s="108" t="s">
        <v>288</v>
      </c>
      <c r="U4" s="108" t="s">
        <v>289</v>
      </c>
      <c r="V4" s="108" t="s">
        <v>280</v>
      </c>
      <c r="W4" s="108" t="s">
        <v>280</v>
      </c>
    </row>
    <row r="5" spans="1:23" ht="21" customHeight="1" x14ac:dyDescent="0.15">
      <c r="A5" s="104">
        <f t="shared" si="0"/>
        <v>4</v>
      </c>
      <c r="B5" s="105" t="s">
        <v>268</v>
      </c>
      <c r="C5" s="106" t="s">
        <v>290</v>
      </c>
      <c r="D5" s="107" t="s">
        <v>270</v>
      </c>
      <c r="E5" s="108" t="s">
        <v>271</v>
      </c>
      <c r="F5" s="108" t="s">
        <v>272</v>
      </c>
      <c r="G5" s="108" t="s">
        <v>273</v>
      </c>
      <c r="H5" s="105" t="s">
        <v>285</v>
      </c>
      <c r="I5" s="109">
        <v>2</v>
      </c>
      <c r="J5" s="109" t="s">
        <v>275</v>
      </c>
      <c r="K5" s="105" t="s">
        <v>286</v>
      </c>
      <c r="L5" s="107" t="str">
        <f ca="1">VLOOKUP($K5,OFFSET([1]character_type_i18n!$A$1,0,0,COUNTA([1]character_type_i18n!$A:$A),MATCH(L$1,[1]character_type_i18n!$1:$1,0)-MATCH($K$1,[1]character_type_i18n!$1:$1,0)+1),MATCH(L$1,[1]character_type_i18n!$1:$1,0)-MATCH($K$1,[1]character_type_i18n!$1:$1,0)+1,FALSE)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" s="105" t="s">
        <v>277</v>
      </c>
      <c r="N5" s="107" t="str">
        <f>VLOOKUP(M5,[1]character_tribe_i18n!A:C,3,FALSE)</f>
        <v>Unknown</v>
      </c>
      <c r="O5" s="105" t="s">
        <v>278</v>
      </c>
      <c r="P5" s="107" t="str">
        <f>VLOOKUP(O5,[1]character_tribe_i18n!A:C,3,FALSE)</f>
        <v>種族なし</v>
      </c>
      <c r="Q5" s="110" t="s">
        <v>291</v>
      </c>
      <c r="R5" s="111">
        <v>3</v>
      </c>
      <c r="S5" s="108" t="s">
        <v>289</v>
      </c>
      <c r="T5" s="108" t="s">
        <v>281</v>
      </c>
      <c r="U5" s="108" t="s">
        <v>280</v>
      </c>
      <c r="V5" s="108" t="s">
        <v>289</v>
      </c>
      <c r="W5" s="108" t="s">
        <v>289</v>
      </c>
    </row>
    <row r="6" spans="1:23" ht="21" customHeight="1" x14ac:dyDescent="0.15">
      <c r="A6" s="104">
        <f t="shared" si="0"/>
        <v>5</v>
      </c>
      <c r="B6" s="105" t="s">
        <v>292</v>
      </c>
      <c r="C6" s="106" t="s">
        <v>293</v>
      </c>
      <c r="D6" s="107" t="s">
        <v>283</v>
      </c>
      <c r="E6" s="108" t="s">
        <v>294</v>
      </c>
      <c r="F6" s="108" t="s">
        <v>272</v>
      </c>
      <c r="G6" s="108" t="s">
        <v>273</v>
      </c>
      <c r="H6" s="105" t="s">
        <v>295</v>
      </c>
      <c r="I6" s="109">
        <v>1</v>
      </c>
      <c r="J6" s="109" t="s">
        <v>275</v>
      </c>
      <c r="K6" s="105" t="s">
        <v>296</v>
      </c>
      <c r="L6" s="107" t="str">
        <f ca="1">VLOOKUP($K6,OFFSET([1]character_type_i18n!$A$1,0,0,COUNTA([1]character_type_i18n!$A:$A),MATCH(L$1,[1]character_type_i18n!$1:$1,0)-MATCH($K$1,[1]character_type_i18n!$1:$1,0)+1),MATCH(L$1,[1]character_type_i18n!$1:$1,0)-MATCH($K$1,[1]character_type_i18n!$1:$1,0)+1,FALSE)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" s="105" t="s">
        <v>277</v>
      </c>
      <c r="N6" s="107" t="str">
        <f>VLOOKUP(M6,[1]character_tribe_i18n!A:C,3,FALSE)</f>
        <v>Unknown</v>
      </c>
      <c r="O6" s="105" t="s">
        <v>278</v>
      </c>
      <c r="P6" s="107" t="str">
        <f>VLOOKUP(O6,[1]character_tribe_i18n!A:C,3,FALSE)</f>
        <v>種族なし</v>
      </c>
      <c r="Q6" s="110" t="s">
        <v>297</v>
      </c>
      <c r="R6" s="111">
        <v>3</v>
      </c>
      <c r="S6" s="108" t="s">
        <v>280</v>
      </c>
      <c r="T6" s="108" t="s">
        <v>281</v>
      </c>
      <c r="U6" s="108" t="s">
        <v>280</v>
      </c>
      <c r="V6" s="108" t="s">
        <v>280</v>
      </c>
      <c r="W6" s="108" t="s">
        <v>280</v>
      </c>
    </row>
    <row r="7" spans="1:23" ht="21" customHeight="1" x14ac:dyDescent="0.15">
      <c r="A7" s="104">
        <f t="shared" si="0"/>
        <v>6</v>
      </c>
      <c r="B7" s="105" t="s">
        <v>268</v>
      </c>
      <c r="C7" s="106" t="s">
        <v>298</v>
      </c>
      <c r="D7" s="107" t="s">
        <v>270</v>
      </c>
      <c r="E7" s="108" t="s">
        <v>271</v>
      </c>
      <c r="F7" s="108" t="s">
        <v>272</v>
      </c>
      <c r="G7" s="108" t="s">
        <v>273</v>
      </c>
      <c r="H7" s="105" t="s">
        <v>295</v>
      </c>
      <c r="I7" s="109">
        <v>2</v>
      </c>
      <c r="J7" s="109" t="s">
        <v>275</v>
      </c>
      <c r="K7" s="105" t="s">
        <v>296</v>
      </c>
      <c r="L7" s="107" t="str">
        <f ca="1">VLOOKUP($K7,OFFSET([1]character_type_i18n!$A$1,0,0,COUNTA([1]character_type_i18n!$A:$A),MATCH(L$1,[1]character_type_i18n!$1:$1,0)-MATCH($K$1,[1]character_type_i18n!$1:$1,0)+1),MATCH(L$1,[1]character_type_i18n!$1:$1,0)-MATCH($K$1,[1]character_type_i18n!$1:$1,0)+1,FALSE)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" s="105" t="s">
        <v>277</v>
      </c>
      <c r="N7" s="107" t="str">
        <f>VLOOKUP(M7,[1]character_tribe_i18n!A:C,3,FALSE)</f>
        <v>Unknown</v>
      </c>
      <c r="O7" s="105" t="s">
        <v>278</v>
      </c>
      <c r="P7" s="107" t="str">
        <f>VLOOKUP(O7,[1]character_tribe_i18n!A:C,3,FALSE)</f>
        <v>種族なし</v>
      </c>
      <c r="Q7" s="110" t="s">
        <v>297</v>
      </c>
      <c r="R7" s="111">
        <v>3</v>
      </c>
      <c r="S7" s="108" t="s">
        <v>280</v>
      </c>
      <c r="T7" s="108" t="s">
        <v>281</v>
      </c>
      <c r="U7" s="108" t="s">
        <v>280</v>
      </c>
      <c r="V7" s="108" t="s">
        <v>280</v>
      </c>
      <c r="W7" s="108" t="s">
        <v>280</v>
      </c>
    </row>
    <row r="8" spans="1:23" ht="21" customHeight="1" x14ac:dyDescent="0.15">
      <c r="A8" s="104">
        <f t="shared" si="0"/>
        <v>7</v>
      </c>
      <c r="B8" s="105" t="s">
        <v>268</v>
      </c>
      <c r="C8" s="106" t="s">
        <v>299</v>
      </c>
      <c r="D8" s="107" t="s">
        <v>270</v>
      </c>
      <c r="E8" s="108" t="s">
        <v>271</v>
      </c>
      <c r="F8" s="108" t="s">
        <v>272</v>
      </c>
      <c r="G8" s="108" t="s">
        <v>273</v>
      </c>
      <c r="H8" s="105" t="s">
        <v>300</v>
      </c>
      <c r="I8" s="109">
        <v>1</v>
      </c>
      <c r="J8" s="109" t="s">
        <v>275</v>
      </c>
      <c r="K8" s="105" t="s">
        <v>276</v>
      </c>
      <c r="L8" s="107" t="str">
        <f ca="1">VLOOKUP($K8,OFFSET([1]character_type_i18n!$A$1,0,0,COUNTA([1]character_type_i18n!$A:$A),MATCH(L$1,[1]character_type_i18n!$1:$1,0)-MATCH($K$1,[1]character_type_i18n!$1:$1,0)+1),MATCH(L$1,[1]character_type_i18n!$1:$1,0)-MATCH($K$1,[1]character_type_i18n!$1:$1,0)+1,FALSE)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" s="105" t="s">
        <v>277</v>
      </c>
      <c r="N8" s="107" t="str">
        <f>VLOOKUP(M8,[1]character_tribe_i18n!A:C,3,FALSE)</f>
        <v>Unknown</v>
      </c>
      <c r="O8" s="105" t="s">
        <v>278</v>
      </c>
      <c r="P8" s="107" t="str">
        <f>VLOOKUP(O8,[1]character_tribe_i18n!A:C,3,FALSE)</f>
        <v>種族なし</v>
      </c>
      <c r="Q8" s="110" t="s">
        <v>301</v>
      </c>
      <c r="R8" s="111">
        <v>3</v>
      </c>
      <c r="S8" s="108" t="s">
        <v>302</v>
      </c>
      <c r="T8" s="108" t="s">
        <v>281</v>
      </c>
      <c r="U8" s="108" t="s">
        <v>280</v>
      </c>
      <c r="V8" s="108" t="s">
        <v>302</v>
      </c>
      <c r="W8" s="108" t="s">
        <v>302</v>
      </c>
    </row>
    <row r="9" spans="1:23" ht="21" customHeight="1" x14ac:dyDescent="0.15">
      <c r="A9" s="104">
        <f t="shared" si="0"/>
        <v>8</v>
      </c>
      <c r="B9" s="105" t="s">
        <v>303</v>
      </c>
      <c r="C9" s="106" t="s">
        <v>304</v>
      </c>
      <c r="D9" s="107" t="s">
        <v>270</v>
      </c>
      <c r="E9" s="108" t="s">
        <v>271</v>
      </c>
      <c r="F9" s="108" t="s">
        <v>272</v>
      </c>
      <c r="G9" s="108" t="s">
        <v>273</v>
      </c>
      <c r="H9" s="105" t="s">
        <v>300</v>
      </c>
      <c r="I9" s="109">
        <v>2</v>
      </c>
      <c r="J9" s="109" t="s">
        <v>275</v>
      </c>
      <c r="K9" s="105" t="s">
        <v>276</v>
      </c>
      <c r="L9" s="107" t="str">
        <f ca="1">VLOOKUP($K9,OFFSET([1]character_type_i18n!$A$1,0,0,COUNTA([1]character_type_i18n!$A:$A),MATCH(L$1,[1]character_type_i18n!$1:$1,0)-MATCH($K$1,[1]character_type_i18n!$1:$1,0)+1),MATCH(L$1,[1]character_type_i18n!$1:$1,0)-MATCH($K$1,[1]character_type_i18n!$1:$1,0)+1,FALSE)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" s="105" t="s">
        <v>277</v>
      </c>
      <c r="N9" s="107" t="str">
        <f>VLOOKUP(M9,[1]character_tribe_i18n!A:C,3,FALSE)</f>
        <v>Unknown</v>
      </c>
      <c r="O9" s="105" t="s">
        <v>278</v>
      </c>
      <c r="P9" s="107" t="str">
        <f>VLOOKUP(O9,[1]character_tribe_i18n!A:C,3,FALSE)</f>
        <v>種族なし</v>
      </c>
      <c r="Q9" s="110" t="s">
        <v>305</v>
      </c>
      <c r="R9" s="111">
        <v>3</v>
      </c>
      <c r="S9" s="108" t="s">
        <v>306</v>
      </c>
      <c r="T9" s="108" t="s">
        <v>307</v>
      </c>
      <c r="U9" s="108" t="s">
        <v>306</v>
      </c>
      <c r="V9" s="108" t="s">
        <v>306</v>
      </c>
      <c r="W9" s="108" t="s">
        <v>306</v>
      </c>
    </row>
    <row r="10" spans="1:23" ht="21" customHeight="1" x14ac:dyDescent="0.15">
      <c r="A10" s="104">
        <v>9</v>
      </c>
      <c r="B10" s="105" t="s">
        <v>308</v>
      </c>
      <c r="C10" s="106" t="s">
        <v>309</v>
      </c>
      <c r="D10" s="107" t="s">
        <v>310</v>
      </c>
      <c r="E10" s="108" t="s">
        <v>311</v>
      </c>
      <c r="F10" s="108" t="s">
        <v>272</v>
      </c>
      <c r="G10" s="108" t="s">
        <v>273</v>
      </c>
      <c r="H10" s="105" t="s">
        <v>274</v>
      </c>
      <c r="I10" s="109">
        <v>1</v>
      </c>
      <c r="J10" s="109" t="s">
        <v>312</v>
      </c>
      <c r="K10" s="105" t="s">
        <v>276</v>
      </c>
      <c r="L10" s="107" t="str">
        <f ca="1">VLOOKUP($K10,OFFSET([1]character_type_i18n!$A$1,0,0,COUNTA([1]character_type_i18n!$A:$A),MATCH(L$1,[1]character_type_i18n!$1:$1,0)-MATCH($K$1,[1]character_type_i18n!$1:$1,0)+1),MATCH(L$1,[1]character_type_i18n!$1:$1,0)-MATCH($K$1,[1]character_type_i18n!$1:$1,0)+1,FALSE)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" s="105" t="s">
        <v>313</v>
      </c>
      <c r="N10" s="107" t="str">
        <f>VLOOKUP(M10,[1]character_tribe_i18n!A:C,3,FALSE)</f>
        <v>アニマル</v>
      </c>
      <c r="O10" s="105" t="s">
        <v>278</v>
      </c>
      <c r="P10" s="107" t="str">
        <f>VLOOKUP(O10,[1]character_tribe_i18n!A:C,3,FALSE)</f>
        <v>種族なし</v>
      </c>
      <c r="Q10" s="110" t="s">
        <v>305</v>
      </c>
      <c r="R10" s="111">
        <v>3</v>
      </c>
      <c r="S10" s="108" t="s">
        <v>306</v>
      </c>
      <c r="T10" s="108" t="s">
        <v>307</v>
      </c>
      <c r="U10" s="108" t="s">
        <v>306</v>
      </c>
      <c r="V10" s="108" t="s">
        <v>306</v>
      </c>
      <c r="W10" s="108" t="s">
        <v>306</v>
      </c>
    </row>
    <row r="11" spans="1:23" ht="21" customHeight="1" x14ac:dyDescent="0.15">
      <c r="A11" s="104">
        <f t="shared" si="0"/>
        <v>10</v>
      </c>
      <c r="B11" s="105" t="s">
        <v>314</v>
      </c>
      <c r="C11" s="106" t="s">
        <v>315</v>
      </c>
      <c r="D11" s="107" t="s">
        <v>316</v>
      </c>
      <c r="E11" s="108" t="s">
        <v>317</v>
      </c>
      <c r="F11" s="108" t="s">
        <v>272</v>
      </c>
      <c r="G11" s="108" t="s">
        <v>273</v>
      </c>
      <c r="H11" s="105" t="s">
        <v>274</v>
      </c>
      <c r="I11" s="109">
        <v>2</v>
      </c>
      <c r="J11" s="109" t="s">
        <v>312</v>
      </c>
      <c r="K11" s="105" t="s">
        <v>276</v>
      </c>
      <c r="L11" s="107" t="str">
        <f ca="1">VLOOKUP($K11,OFFSET([1]character_type_i18n!$A$1,0,0,COUNTA([1]character_type_i18n!$A:$A),MATCH(L$1,[1]character_type_i18n!$1:$1,0)-MATCH($K$1,[1]character_type_i18n!$1:$1,0)+1),MATCH(L$1,[1]character_type_i18n!$1:$1,0)-MATCH($K$1,[1]character_type_i18n!$1:$1,0)+1,FALSE)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" s="105" t="s">
        <v>318</v>
      </c>
      <c r="N11" s="107" t="str">
        <f>VLOOKUP(M11,[1]character_tribe_i18n!A:C,3,FALSE)</f>
        <v>アニマル</v>
      </c>
      <c r="O11" s="105" t="s">
        <v>278</v>
      </c>
      <c r="P11" s="107" t="str">
        <f>VLOOKUP(O11,[1]character_tribe_i18n!A:C,3,FALSE)</f>
        <v>種族なし</v>
      </c>
      <c r="Q11" s="110" t="s">
        <v>319</v>
      </c>
      <c r="R11" s="111">
        <v>3</v>
      </c>
      <c r="S11" s="108" t="s">
        <v>320</v>
      </c>
      <c r="T11" s="108" t="s">
        <v>321</v>
      </c>
      <c r="U11" s="108" t="s">
        <v>320</v>
      </c>
      <c r="V11" s="108" t="s">
        <v>320</v>
      </c>
      <c r="W11" s="108" t="s">
        <v>320</v>
      </c>
    </row>
    <row r="12" spans="1:23" ht="21" customHeight="1" x14ac:dyDescent="0.15">
      <c r="A12" s="104">
        <f t="shared" si="0"/>
        <v>11</v>
      </c>
      <c r="B12" s="105" t="s">
        <v>322</v>
      </c>
      <c r="C12" s="106" t="s">
        <v>323</v>
      </c>
      <c r="D12" s="107" t="s">
        <v>324</v>
      </c>
      <c r="E12" s="108" t="s">
        <v>325</v>
      </c>
      <c r="F12" s="108" t="s">
        <v>272</v>
      </c>
      <c r="G12" s="108" t="s">
        <v>273</v>
      </c>
      <c r="H12" s="105" t="s">
        <v>285</v>
      </c>
      <c r="I12" s="109">
        <v>1</v>
      </c>
      <c r="J12" s="109" t="s">
        <v>312</v>
      </c>
      <c r="K12" s="105" t="s">
        <v>296</v>
      </c>
      <c r="L12" s="107" t="str">
        <f ca="1">VLOOKUP($K12,OFFSET([1]character_type_i18n!$A$1,0,0,COUNTA([1]character_type_i18n!$A:$A),MATCH(L$1,[1]character_type_i18n!$1:$1,0)-MATCH($K$1,[1]character_type_i18n!$1:$1,0)+1),MATCH(L$1,[1]character_type_i18n!$1:$1,0)-MATCH($K$1,[1]character_type_i18n!$1:$1,0)+1,FALSE)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" s="105" t="s">
        <v>318</v>
      </c>
      <c r="N12" s="107" t="str">
        <f>VLOOKUP(M12,[1]character_tribe_i18n!A:C,3,FALSE)</f>
        <v>アニマル</v>
      </c>
      <c r="O12" s="105" t="s">
        <v>278</v>
      </c>
      <c r="P12" s="107" t="str">
        <f>VLOOKUP(O12,[1]character_tribe_i18n!A:C,3,FALSE)</f>
        <v>種族なし</v>
      </c>
      <c r="Q12" s="110" t="s">
        <v>297</v>
      </c>
      <c r="R12" s="111">
        <v>3</v>
      </c>
      <c r="S12" s="108" t="s">
        <v>280</v>
      </c>
      <c r="T12" s="108" t="s">
        <v>281</v>
      </c>
      <c r="U12" s="108" t="s">
        <v>280</v>
      </c>
      <c r="V12" s="108" t="s">
        <v>280</v>
      </c>
      <c r="W12" s="108" t="s">
        <v>280</v>
      </c>
    </row>
    <row r="13" spans="1:23" ht="21" customHeight="1" x14ac:dyDescent="0.15">
      <c r="A13" s="104">
        <f t="shared" si="0"/>
        <v>12</v>
      </c>
      <c r="B13" s="105" t="s">
        <v>268</v>
      </c>
      <c r="C13" s="106" t="s">
        <v>326</v>
      </c>
      <c r="D13" s="107" t="s">
        <v>270</v>
      </c>
      <c r="E13" s="108" t="s">
        <v>327</v>
      </c>
      <c r="F13" s="108" t="s">
        <v>272</v>
      </c>
      <c r="G13" s="108" t="s">
        <v>273</v>
      </c>
      <c r="H13" s="105" t="s">
        <v>285</v>
      </c>
      <c r="I13" s="109">
        <v>2</v>
      </c>
      <c r="J13" s="109" t="s">
        <v>312</v>
      </c>
      <c r="K13" s="105" t="s">
        <v>296</v>
      </c>
      <c r="L13" s="107" t="str">
        <f ca="1">VLOOKUP($K13,OFFSET([1]character_type_i18n!$A$1,0,0,COUNTA([1]character_type_i18n!$A:$A),MATCH(L$1,[1]character_type_i18n!$1:$1,0)-MATCH($K$1,[1]character_type_i18n!$1:$1,0)+1),MATCH(L$1,[1]character_type_i18n!$1:$1,0)-MATCH($K$1,[1]character_type_i18n!$1:$1,0)+1,FALSE)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3" s="105" t="s">
        <v>318</v>
      </c>
      <c r="N13" s="107" t="str">
        <f>VLOOKUP(M13,[1]character_tribe_i18n!A:C,3,FALSE)</f>
        <v>アニマル</v>
      </c>
      <c r="O13" s="105" t="s">
        <v>278</v>
      </c>
      <c r="P13" s="107" t="str">
        <f>VLOOKUP(O13,[1]character_tribe_i18n!A:C,3,FALSE)</f>
        <v>種族なし</v>
      </c>
      <c r="Q13" s="110" t="s">
        <v>297</v>
      </c>
      <c r="R13" s="111">
        <v>3</v>
      </c>
      <c r="S13" s="108" t="s">
        <v>280</v>
      </c>
      <c r="T13" s="108" t="s">
        <v>281</v>
      </c>
      <c r="U13" s="108" t="s">
        <v>280</v>
      </c>
      <c r="V13" s="108" t="s">
        <v>280</v>
      </c>
      <c r="W13" s="108" t="s">
        <v>280</v>
      </c>
    </row>
    <row r="14" spans="1:23" ht="21" customHeight="1" x14ac:dyDescent="0.15">
      <c r="A14" s="104">
        <f t="shared" si="0"/>
        <v>13</v>
      </c>
      <c r="B14" s="105" t="s">
        <v>268</v>
      </c>
      <c r="C14" s="106" t="s">
        <v>328</v>
      </c>
      <c r="D14" s="107" t="s">
        <v>270</v>
      </c>
      <c r="E14" s="108" t="s">
        <v>327</v>
      </c>
      <c r="F14" s="108" t="s">
        <v>272</v>
      </c>
      <c r="G14" s="108" t="s">
        <v>273</v>
      </c>
      <c r="H14" s="105" t="s">
        <v>300</v>
      </c>
      <c r="I14" s="109">
        <v>1</v>
      </c>
      <c r="J14" s="109" t="s">
        <v>312</v>
      </c>
      <c r="K14" s="105" t="s">
        <v>276</v>
      </c>
      <c r="L14" s="107" t="str">
        <f ca="1">VLOOKUP($K14,OFFSET([1]character_type_i18n!$A$1,0,0,COUNTA([1]character_type_i18n!$A:$A),MATCH(L$1,[1]character_type_i18n!$1:$1,0)-MATCH($K$1,[1]character_type_i18n!$1:$1,0)+1),MATCH(L$1,[1]character_type_i18n!$1:$1,0)-MATCH($K$1,[1]character_type_i18n!$1:$1,0)+1,FALSE)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" s="105" t="s">
        <v>318</v>
      </c>
      <c r="N14" s="107" t="str">
        <f>VLOOKUP(M14,[1]character_tribe_i18n!A:C,3,FALSE)</f>
        <v>アニマル</v>
      </c>
      <c r="O14" s="105" t="s">
        <v>278</v>
      </c>
      <c r="P14" s="107" t="str">
        <f>VLOOKUP(O14,[1]character_tribe_i18n!A:C,3,FALSE)</f>
        <v>種族なし</v>
      </c>
      <c r="Q14" s="110" t="s">
        <v>279</v>
      </c>
      <c r="R14" s="111">
        <v>3</v>
      </c>
      <c r="S14" s="108" t="s">
        <v>280</v>
      </c>
      <c r="T14" s="108" t="s">
        <v>281</v>
      </c>
      <c r="U14" s="108" t="s">
        <v>280</v>
      </c>
      <c r="V14" s="108" t="s">
        <v>280</v>
      </c>
      <c r="W14" s="108" t="s">
        <v>280</v>
      </c>
    </row>
    <row r="15" spans="1:23" ht="21" customHeight="1" x14ac:dyDescent="0.15">
      <c r="A15" s="104">
        <f t="shared" si="0"/>
        <v>14</v>
      </c>
      <c r="B15" s="105" t="s">
        <v>268</v>
      </c>
      <c r="C15" s="106" t="s">
        <v>329</v>
      </c>
      <c r="D15" s="107" t="s">
        <v>270</v>
      </c>
      <c r="E15" s="108" t="s">
        <v>327</v>
      </c>
      <c r="F15" s="108" t="s">
        <v>272</v>
      </c>
      <c r="G15" s="108" t="s">
        <v>273</v>
      </c>
      <c r="H15" s="105" t="s">
        <v>300</v>
      </c>
      <c r="I15" s="109">
        <v>2</v>
      </c>
      <c r="J15" s="109" t="s">
        <v>312</v>
      </c>
      <c r="K15" s="105" t="s">
        <v>276</v>
      </c>
      <c r="L15" s="107" t="str">
        <f ca="1">VLOOKUP($K15,OFFSET([1]character_type_i18n!$A$1,0,0,COUNTA([1]character_type_i18n!$A:$A),MATCH(L$1,[1]character_type_i18n!$1:$1,0)-MATCH($K$1,[1]character_type_i18n!$1:$1,0)+1),MATCH(L$1,[1]character_type_i18n!$1:$1,0)-MATCH($K$1,[1]character_type_i18n!$1:$1,0)+1,FALSE)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5" s="105" t="s">
        <v>318</v>
      </c>
      <c r="N15" s="107" t="str">
        <f>VLOOKUP(M15,[1]character_tribe_i18n!A:C,3,FALSE)</f>
        <v>アニマル</v>
      </c>
      <c r="O15" s="105" t="s">
        <v>278</v>
      </c>
      <c r="P15" s="107" t="str">
        <f>VLOOKUP(O15,[1]character_tribe_i18n!A:C,3,FALSE)</f>
        <v>種族なし</v>
      </c>
      <c r="Q15" s="110" t="s">
        <v>279</v>
      </c>
      <c r="R15" s="111">
        <v>3</v>
      </c>
      <c r="S15" s="108" t="s">
        <v>280</v>
      </c>
      <c r="T15" s="108" t="s">
        <v>281</v>
      </c>
      <c r="U15" s="108" t="s">
        <v>280</v>
      </c>
      <c r="V15" s="108" t="s">
        <v>280</v>
      </c>
      <c r="W15" s="108" t="s">
        <v>280</v>
      </c>
    </row>
    <row r="16" spans="1:23" ht="21" customHeight="1" x14ac:dyDescent="0.15">
      <c r="A16" s="104">
        <f t="shared" si="0"/>
        <v>15</v>
      </c>
      <c r="B16" s="105" t="s">
        <v>268</v>
      </c>
      <c r="C16" s="106" t="s">
        <v>330</v>
      </c>
      <c r="D16" s="107" t="s">
        <v>270</v>
      </c>
      <c r="E16" s="108" t="s">
        <v>327</v>
      </c>
      <c r="F16" s="108" t="s">
        <v>272</v>
      </c>
      <c r="G16" s="108" t="s">
        <v>331</v>
      </c>
      <c r="H16" s="105" t="s">
        <v>274</v>
      </c>
      <c r="I16" s="109">
        <v>1</v>
      </c>
      <c r="J16" s="109" t="s">
        <v>312</v>
      </c>
      <c r="K16" s="105" t="s">
        <v>286</v>
      </c>
      <c r="L16" s="107" t="str">
        <f ca="1">VLOOKUP($K16,OFFSET([1]character_type_i18n!$A$1,0,0,COUNTA([1]character_type_i18n!$A:$A),MATCH(L$1,[1]character_type_i18n!$1:$1,0)-MATCH($K$1,[1]character_type_i18n!$1:$1,0)+1),MATCH(L$1,[1]character_type_i18n!$1:$1,0)-MATCH($K$1,[1]character_type_i18n!$1:$1,0)+1,FALSE)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6" s="105" t="s">
        <v>332</v>
      </c>
      <c r="N16" s="107" t="str">
        <f>VLOOKUP(M16,[1]character_tribe_i18n!A:C,3,FALSE)</f>
        <v>ヒューマン</v>
      </c>
      <c r="O16" s="105" t="s">
        <v>278</v>
      </c>
      <c r="P16" s="107" t="str">
        <f>VLOOKUP(O16,[1]character_tribe_i18n!A:C,3,FALSE)</f>
        <v>種族なし</v>
      </c>
      <c r="Q16" s="110" t="s">
        <v>333</v>
      </c>
      <c r="R16" s="111">
        <v>3</v>
      </c>
      <c r="S16" s="108" t="s">
        <v>306</v>
      </c>
      <c r="T16" s="108" t="s">
        <v>307</v>
      </c>
      <c r="U16" s="108" t="s">
        <v>306</v>
      </c>
      <c r="V16" s="108" t="s">
        <v>306</v>
      </c>
      <c r="W16" s="108" t="s">
        <v>306</v>
      </c>
    </row>
    <row r="17" spans="1:23" ht="21" customHeight="1" x14ac:dyDescent="0.15">
      <c r="A17" s="104">
        <f t="shared" si="0"/>
        <v>16</v>
      </c>
      <c r="B17" s="105" t="s">
        <v>334</v>
      </c>
      <c r="C17" s="106" t="s">
        <v>335</v>
      </c>
      <c r="D17" s="107" t="s">
        <v>270</v>
      </c>
      <c r="E17" s="108" t="s">
        <v>327</v>
      </c>
      <c r="F17" s="108" t="s">
        <v>272</v>
      </c>
      <c r="G17" s="108" t="s">
        <v>331</v>
      </c>
      <c r="H17" s="105" t="s">
        <v>274</v>
      </c>
      <c r="I17" s="109">
        <v>2</v>
      </c>
      <c r="J17" s="109" t="s">
        <v>312</v>
      </c>
      <c r="K17" s="105" t="s">
        <v>286</v>
      </c>
      <c r="L17" s="107" t="str">
        <f ca="1">VLOOKUP($K17,OFFSET([1]character_type_i18n!$A$1,0,0,COUNTA([1]character_type_i18n!$A:$A),MATCH(L$1,[1]character_type_i18n!$1:$1,0)-MATCH($K$1,[1]character_type_i18n!$1:$1,0)+1),MATCH(L$1,[1]character_type_i18n!$1:$1,0)-MATCH($K$1,[1]character_type_i18n!$1:$1,0)+1,FALSE)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7" s="105" t="s">
        <v>332</v>
      </c>
      <c r="N17" s="107" t="str">
        <f>VLOOKUP(M17,[1]character_tribe_i18n!A:C,3,FALSE)</f>
        <v>ヒューマン</v>
      </c>
      <c r="O17" s="105" t="s">
        <v>278</v>
      </c>
      <c r="P17" s="107" t="str">
        <f>VLOOKUP(O17,[1]character_tribe_i18n!A:C,3,FALSE)</f>
        <v>種族なし</v>
      </c>
      <c r="Q17" s="110" t="s">
        <v>333</v>
      </c>
      <c r="R17" s="111">
        <v>3</v>
      </c>
      <c r="S17" s="108" t="s">
        <v>306</v>
      </c>
      <c r="T17" s="108" t="s">
        <v>281</v>
      </c>
      <c r="U17" s="108" t="s">
        <v>280</v>
      </c>
      <c r="V17" s="108" t="s">
        <v>306</v>
      </c>
      <c r="W17" s="108" t="s">
        <v>306</v>
      </c>
    </row>
    <row r="18" spans="1:23" ht="21" customHeight="1" x14ac:dyDescent="0.15">
      <c r="A18" s="104">
        <f t="shared" si="0"/>
        <v>17</v>
      </c>
      <c r="B18" s="105" t="s">
        <v>336</v>
      </c>
      <c r="C18" s="106" t="s">
        <v>337</v>
      </c>
      <c r="D18" s="107" t="s">
        <v>270</v>
      </c>
      <c r="E18" s="108" t="s">
        <v>327</v>
      </c>
      <c r="F18" s="108" t="s">
        <v>272</v>
      </c>
      <c r="G18" s="108" t="s">
        <v>331</v>
      </c>
      <c r="H18" s="105" t="s">
        <v>295</v>
      </c>
      <c r="I18" s="109">
        <v>1</v>
      </c>
      <c r="J18" s="109" t="s">
        <v>312</v>
      </c>
      <c r="K18" s="105" t="s">
        <v>286</v>
      </c>
      <c r="L18" s="107" t="str">
        <f ca="1">VLOOKUP($K18,OFFSET([1]character_type_i18n!$A$1,0,0,COUNTA([1]character_type_i18n!$A:$A),MATCH(L$1,[1]character_type_i18n!$1:$1,0)-MATCH($K$1,[1]character_type_i18n!$1:$1,0)+1),MATCH(L$1,[1]character_type_i18n!$1:$1,0)-MATCH($K$1,[1]character_type_i18n!$1:$1,0)+1,FALSE)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8" s="105" t="s">
        <v>332</v>
      </c>
      <c r="N18" s="107" t="str">
        <f>VLOOKUP(M18,[1]character_tribe_i18n!A:C,3,FALSE)</f>
        <v>ヒューマン</v>
      </c>
      <c r="O18" s="105" t="s">
        <v>338</v>
      </c>
      <c r="P18" s="107" t="str">
        <f>VLOOKUP(O18,[1]character_tribe_i18n!A:C,3,FALSE)</f>
        <v>マシン</v>
      </c>
      <c r="Q18" s="110" t="s">
        <v>287</v>
      </c>
      <c r="R18" s="111">
        <v>3</v>
      </c>
      <c r="S18" s="108" t="s">
        <v>280</v>
      </c>
      <c r="T18" s="108" t="s">
        <v>339</v>
      </c>
      <c r="U18" s="108" t="s">
        <v>280</v>
      </c>
      <c r="V18" s="108" t="s">
        <v>280</v>
      </c>
      <c r="W18" s="108" t="s">
        <v>280</v>
      </c>
    </row>
    <row r="19" spans="1:23" ht="21" customHeight="1" x14ac:dyDescent="0.15">
      <c r="A19" s="104">
        <f t="shared" si="0"/>
        <v>18</v>
      </c>
      <c r="B19" s="105" t="s">
        <v>268</v>
      </c>
      <c r="C19" s="106" t="s">
        <v>340</v>
      </c>
      <c r="D19" s="107" t="s">
        <v>270</v>
      </c>
      <c r="E19" s="108" t="s">
        <v>327</v>
      </c>
      <c r="F19" s="108" t="s">
        <v>272</v>
      </c>
      <c r="G19" s="108" t="s">
        <v>331</v>
      </c>
      <c r="H19" s="105" t="s">
        <v>295</v>
      </c>
      <c r="I19" s="109">
        <v>2</v>
      </c>
      <c r="J19" s="109" t="s">
        <v>312</v>
      </c>
      <c r="K19" s="105" t="s">
        <v>286</v>
      </c>
      <c r="L19" s="107" t="str">
        <f ca="1">VLOOKUP($K19,OFFSET([1]character_type_i18n!$A$1,0,0,COUNTA([1]character_type_i18n!$A:$A),MATCH(L$1,[1]character_type_i18n!$1:$1,0)-MATCH($K$1,[1]character_type_i18n!$1:$1,0)+1),MATCH(L$1,[1]character_type_i18n!$1:$1,0)-MATCH($K$1,[1]character_type_i18n!$1:$1,0)+1,FALSE)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" s="105" t="s">
        <v>332</v>
      </c>
      <c r="N19" s="107" t="str">
        <f>VLOOKUP(M19,[1]character_tribe_i18n!A:C,3,FALSE)</f>
        <v>ヒューマン</v>
      </c>
      <c r="O19" s="105" t="s">
        <v>338</v>
      </c>
      <c r="P19" s="107" t="str">
        <f>VLOOKUP(O19,[1]character_tribe_i18n!A:C,3,FALSE)</f>
        <v>マシン</v>
      </c>
      <c r="Q19" s="110" t="s">
        <v>341</v>
      </c>
      <c r="R19" s="111">
        <v>3</v>
      </c>
      <c r="S19" s="108" t="s">
        <v>342</v>
      </c>
      <c r="T19" s="108" t="s">
        <v>281</v>
      </c>
      <c r="U19" s="108" t="s">
        <v>280</v>
      </c>
      <c r="V19" s="108" t="s">
        <v>342</v>
      </c>
      <c r="W19" s="108" t="s">
        <v>342</v>
      </c>
    </row>
    <row r="20" spans="1:23" ht="21" customHeight="1" x14ac:dyDescent="0.15">
      <c r="A20" s="104">
        <f t="shared" si="0"/>
        <v>19</v>
      </c>
      <c r="B20" s="105" t="s">
        <v>268</v>
      </c>
      <c r="C20" s="106" t="s">
        <v>343</v>
      </c>
      <c r="D20" s="107" t="s">
        <v>270</v>
      </c>
      <c r="E20" s="108" t="s">
        <v>327</v>
      </c>
      <c r="F20" s="108" t="s">
        <v>272</v>
      </c>
      <c r="G20" s="108" t="s">
        <v>331</v>
      </c>
      <c r="H20" s="105" t="s">
        <v>300</v>
      </c>
      <c r="I20" s="109">
        <v>1</v>
      </c>
      <c r="J20" s="109" t="s">
        <v>312</v>
      </c>
      <c r="K20" s="105" t="s">
        <v>286</v>
      </c>
      <c r="L20" s="107" t="str">
        <f ca="1">VLOOKUP($K20,OFFSET([1]character_type_i18n!$A$1,0,0,COUNTA([1]character_type_i18n!$A:$A),MATCH(L$1,[1]character_type_i18n!$1:$1,0)-MATCH($K$1,[1]character_type_i18n!$1:$1,0)+1),MATCH(L$1,[1]character_type_i18n!$1:$1,0)-MATCH($K$1,[1]character_type_i18n!$1:$1,0)+1,FALSE)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0" s="105" t="s">
        <v>332</v>
      </c>
      <c r="N20" s="107" t="str">
        <f>VLOOKUP(M20,[1]character_tribe_i18n!A:C,3,FALSE)</f>
        <v>ヒューマン</v>
      </c>
      <c r="O20" s="105" t="s">
        <v>278</v>
      </c>
      <c r="P20" s="107" t="str">
        <f>VLOOKUP(O20,[1]character_tribe_i18n!A:C,3,FALSE)</f>
        <v>種族なし</v>
      </c>
      <c r="Q20" s="110" t="s">
        <v>341</v>
      </c>
      <c r="R20" s="111">
        <v>3</v>
      </c>
      <c r="S20" s="108" t="s">
        <v>342</v>
      </c>
      <c r="T20" s="108" t="s">
        <v>281</v>
      </c>
      <c r="U20" s="108" t="s">
        <v>280</v>
      </c>
      <c r="V20" s="108" t="s">
        <v>342</v>
      </c>
      <c r="W20" s="108" t="s">
        <v>342</v>
      </c>
    </row>
    <row r="21" spans="1:23" ht="21" customHeight="1" x14ac:dyDescent="0.15">
      <c r="A21" s="104">
        <f t="shared" si="0"/>
        <v>20</v>
      </c>
      <c r="B21" s="105" t="s">
        <v>268</v>
      </c>
      <c r="C21" s="106" t="s">
        <v>344</v>
      </c>
      <c r="D21" s="107" t="s">
        <v>270</v>
      </c>
      <c r="E21" s="108" t="s">
        <v>327</v>
      </c>
      <c r="F21" s="108" t="s">
        <v>272</v>
      </c>
      <c r="G21" s="108" t="s">
        <v>331</v>
      </c>
      <c r="H21" s="105" t="s">
        <v>300</v>
      </c>
      <c r="I21" s="109">
        <v>2</v>
      </c>
      <c r="J21" s="109" t="s">
        <v>312</v>
      </c>
      <c r="K21" s="105" t="s">
        <v>286</v>
      </c>
      <c r="L21" s="107" t="str">
        <f ca="1">VLOOKUP($K21,OFFSET([1]character_type_i18n!$A$1,0,0,COUNTA([1]character_type_i18n!$A:$A),MATCH(L$1,[1]character_type_i18n!$1:$1,0)-MATCH($K$1,[1]character_type_i18n!$1:$1,0)+1),MATCH(L$1,[1]character_type_i18n!$1:$1,0)-MATCH($K$1,[1]character_type_i18n!$1:$1,0)+1,FALSE)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" s="105" t="s">
        <v>332</v>
      </c>
      <c r="N21" s="107" t="str">
        <f>VLOOKUP(M21,[1]character_tribe_i18n!A:C,3,FALSE)</f>
        <v>ヒューマン</v>
      </c>
      <c r="O21" s="105" t="s">
        <v>278</v>
      </c>
      <c r="P21" s="107" t="str">
        <f>VLOOKUP(O21,[1]character_tribe_i18n!A:C,3,FALSE)</f>
        <v>種族なし</v>
      </c>
      <c r="Q21" s="110" t="s">
        <v>287</v>
      </c>
      <c r="R21" s="111">
        <v>3</v>
      </c>
      <c r="S21" s="108" t="s">
        <v>280</v>
      </c>
      <c r="T21" s="108" t="s">
        <v>281</v>
      </c>
      <c r="U21" s="108" t="s">
        <v>280</v>
      </c>
      <c r="V21" s="108" t="s">
        <v>280</v>
      </c>
      <c r="W21" s="108" t="s">
        <v>280</v>
      </c>
    </row>
    <row r="22" spans="1:23" ht="21" customHeight="1" x14ac:dyDescent="0.15">
      <c r="A22" s="104">
        <f t="shared" si="0"/>
        <v>21</v>
      </c>
      <c r="B22" s="105" t="s">
        <v>268</v>
      </c>
      <c r="C22" s="106" t="s">
        <v>345</v>
      </c>
      <c r="D22" s="107" t="s">
        <v>270</v>
      </c>
      <c r="E22" s="108" t="s">
        <v>327</v>
      </c>
      <c r="F22" s="108" t="s">
        <v>272</v>
      </c>
      <c r="G22" s="108" t="s">
        <v>273</v>
      </c>
      <c r="H22" s="105" t="s">
        <v>274</v>
      </c>
      <c r="I22" s="109">
        <v>1</v>
      </c>
      <c r="J22" s="109" t="s">
        <v>346</v>
      </c>
      <c r="K22" s="105" t="s">
        <v>347</v>
      </c>
      <c r="L22" s="107" t="str">
        <f ca="1">VLOOKUP($K22,OFFSET([1]character_type_i18n!$A$1,0,0,COUNTA([1]character_type_i18n!$A:$A),MATCH(L$1,[1]character_type_i18n!$1:$1,0)-MATCH($K$1,[1]character_type_i18n!$1:$1,0)+1),MATCH(L$1,[1]character_type_i18n!$1:$1,0)-MATCH($K$1,[1]character_type_i18n!$1:$1,0)+1,FALSE)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2" s="105" t="s">
        <v>348</v>
      </c>
      <c r="N22" s="107" t="str">
        <f>VLOOKUP(M22,[1]character_tribe_i18n!A:C,3,FALSE)</f>
        <v>ドラゴン</v>
      </c>
      <c r="O22" s="105" t="s">
        <v>278</v>
      </c>
      <c r="P22" s="107" t="str">
        <f>VLOOKUP(O22,[1]character_tribe_i18n!A:C,3,FALSE)</f>
        <v>種族なし</v>
      </c>
      <c r="Q22" s="110" t="s">
        <v>279</v>
      </c>
      <c r="R22" s="111">
        <v>3</v>
      </c>
      <c r="S22" s="108" t="s">
        <v>280</v>
      </c>
      <c r="T22" s="108" t="s">
        <v>281</v>
      </c>
      <c r="U22" s="108" t="s">
        <v>280</v>
      </c>
      <c r="V22" s="108" t="s">
        <v>280</v>
      </c>
      <c r="W22" s="108" t="s">
        <v>280</v>
      </c>
    </row>
    <row r="23" spans="1:23" ht="21" customHeight="1" x14ac:dyDescent="0.15">
      <c r="A23" s="104">
        <f t="shared" si="0"/>
        <v>22</v>
      </c>
      <c r="B23" s="105" t="s">
        <v>268</v>
      </c>
      <c r="C23" s="106" t="s">
        <v>349</v>
      </c>
      <c r="D23" s="107" t="s">
        <v>270</v>
      </c>
      <c r="E23" s="108" t="s">
        <v>327</v>
      </c>
      <c r="F23" s="108" t="s">
        <v>272</v>
      </c>
      <c r="G23" s="108" t="s">
        <v>273</v>
      </c>
      <c r="H23" s="105" t="s">
        <v>274</v>
      </c>
      <c r="I23" s="109">
        <v>2</v>
      </c>
      <c r="J23" s="109" t="s">
        <v>346</v>
      </c>
      <c r="K23" s="105" t="s">
        <v>347</v>
      </c>
      <c r="L23" s="107" t="str">
        <f ca="1">VLOOKUP($K23,OFFSET([1]character_type_i18n!$A$1,0,0,COUNTA([1]character_type_i18n!$A:$A),MATCH(L$1,[1]character_type_i18n!$1:$1,0)-MATCH($K$1,[1]character_type_i18n!$1:$1,0)+1),MATCH(L$1,[1]character_type_i18n!$1:$1,0)-MATCH($K$1,[1]character_type_i18n!$1:$1,0)+1,FALSE)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3" s="105" t="s">
        <v>348</v>
      </c>
      <c r="N23" s="107" t="str">
        <f>VLOOKUP(M23,[1]character_tribe_i18n!A:C,3,FALSE)</f>
        <v>ドラゴン</v>
      </c>
      <c r="O23" s="105" t="s">
        <v>278</v>
      </c>
      <c r="P23" s="107" t="str">
        <f>VLOOKUP(O23,[1]character_tribe_i18n!A:C,3,FALSE)</f>
        <v>種族なし</v>
      </c>
      <c r="Q23" s="110" t="s">
        <v>279</v>
      </c>
      <c r="R23" s="111">
        <v>3</v>
      </c>
      <c r="S23" s="108" t="s">
        <v>280</v>
      </c>
      <c r="T23" s="108" t="s">
        <v>281</v>
      </c>
      <c r="U23" s="108" t="s">
        <v>280</v>
      </c>
      <c r="V23" s="108" t="s">
        <v>280</v>
      </c>
      <c r="W23" s="108" t="s">
        <v>280</v>
      </c>
    </row>
    <row r="24" spans="1:23" ht="21" customHeight="1" x14ac:dyDescent="0.15">
      <c r="A24" s="104">
        <f t="shared" si="0"/>
        <v>23</v>
      </c>
      <c r="B24" s="105" t="s">
        <v>268</v>
      </c>
      <c r="C24" s="106" t="s">
        <v>350</v>
      </c>
      <c r="D24" s="107" t="s">
        <v>270</v>
      </c>
      <c r="E24" s="108" t="s">
        <v>327</v>
      </c>
      <c r="F24" s="108" t="s">
        <v>272</v>
      </c>
      <c r="G24" s="108" t="s">
        <v>273</v>
      </c>
      <c r="H24" s="105" t="s">
        <v>285</v>
      </c>
      <c r="I24" s="109">
        <v>1</v>
      </c>
      <c r="J24" s="109" t="s">
        <v>346</v>
      </c>
      <c r="K24" s="105" t="s">
        <v>347</v>
      </c>
      <c r="L24" s="107" t="str">
        <f ca="1">VLOOKUP($K24,OFFSET([1]character_type_i18n!$A$1,0,0,COUNTA([1]character_type_i18n!$A:$A),MATCH(L$1,[1]character_type_i18n!$1:$1,0)-MATCH($K$1,[1]character_type_i18n!$1:$1,0)+1),MATCH(L$1,[1]character_type_i18n!$1:$1,0)-MATCH($K$1,[1]character_type_i18n!$1:$1,0)+1,FALSE)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4" s="105" t="s">
        <v>318</v>
      </c>
      <c r="N24" s="107" t="str">
        <f>VLOOKUP(M24,[1]character_tribe_i18n!A:C,3,FALSE)</f>
        <v>アニマル</v>
      </c>
      <c r="O24" s="105" t="s">
        <v>278</v>
      </c>
      <c r="P24" s="107" t="str">
        <f>VLOOKUP(O24,[1]character_tribe_i18n!A:C,3,FALSE)</f>
        <v>種族なし</v>
      </c>
      <c r="Q24" s="110" t="s">
        <v>279</v>
      </c>
      <c r="R24" s="111">
        <v>3</v>
      </c>
      <c r="S24" s="108" t="s">
        <v>280</v>
      </c>
      <c r="T24" s="108" t="s">
        <v>281</v>
      </c>
      <c r="U24" s="108" t="s">
        <v>280</v>
      </c>
      <c r="V24" s="108" t="s">
        <v>280</v>
      </c>
      <c r="W24" s="108" t="s">
        <v>280</v>
      </c>
    </row>
    <row r="25" spans="1:23" ht="21" customHeight="1" x14ac:dyDescent="0.15">
      <c r="A25" s="104">
        <f t="shared" si="0"/>
        <v>24</v>
      </c>
      <c r="B25" s="105" t="s">
        <v>268</v>
      </c>
      <c r="C25" s="106" t="s">
        <v>351</v>
      </c>
      <c r="D25" s="107" t="s">
        <v>270</v>
      </c>
      <c r="E25" s="108" t="s">
        <v>327</v>
      </c>
      <c r="F25" s="108" t="s">
        <v>272</v>
      </c>
      <c r="G25" s="108" t="s">
        <v>273</v>
      </c>
      <c r="H25" s="105" t="s">
        <v>285</v>
      </c>
      <c r="I25" s="109">
        <v>2</v>
      </c>
      <c r="J25" s="109" t="s">
        <v>346</v>
      </c>
      <c r="K25" s="105" t="s">
        <v>347</v>
      </c>
      <c r="L25" s="107" t="str">
        <f ca="1">VLOOKUP($K25,OFFSET([1]character_type_i18n!$A$1,0,0,COUNTA([1]character_type_i18n!$A:$A),MATCH(L$1,[1]character_type_i18n!$1:$1,0)-MATCH($K$1,[1]character_type_i18n!$1:$1,0)+1),MATCH(L$1,[1]character_type_i18n!$1:$1,0)-MATCH($K$1,[1]character_type_i18n!$1:$1,0)+1,FALSE)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5" s="105" t="s">
        <v>318</v>
      </c>
      <c r="N25" s="107" t="str">
        <f>VLOOKUP(M25,[1]character_tribe_i18n!A:C,3,FALSE)</f>
        <v>アニマル</v>
      </c>
      <c r="O25" s="105" t="s">
        <v>278</v>
      </c>
      <c r="P25" s="107" t="str">
        <f>VLOOKUP(O25,[1]character_tribe_i18n!A:C,3,FALSE)</f>
        <v>種族なし</v>
      </c>
      <c r="Q25" s="110" t="s">
        <v>279</v>
      </c>
      <c r="R25" s="111">
        <v>3</v>
      </c>
      <c r="S25" s="108" t="s">
        <v>280</v>
      </c>
      <c r="T25" s="108" t="s">
        <v>352</v>
      </c>
      <c r="U25" s="108" t="s">
        <v>353</v>
      </c>
      <c r="V25" s="108" t="s">
        <v>280</v>
      </c>
      <c r="W25" s="108" t="s">
        <v>280</v>
      </c>
    </row>
    <row r="26" spans="1:23" ht="21" customHeight="1" x14ac:dyDescent="0.15">
      <c r="A26" s="104">
        <f t="shared" si="0"/>
        <v>25</v>
      </c>
      <c r="B26" s="105" t="s">
        <v>268</v>
      </c>
      <c r="C26" s="106" t="s">
        <v>354</v>
      </c>
      <c r="D26" s="107" t="s">
        <v>355</v>
      </c>
      <c r="E26" s="108" t="s">
        <v>356</v>
      </c>
      <c r="F26" s="108" t="s">
        <v>272</v>
      </c>
      <c r="G26" s="108" t="s">
        <v>273</v>
      </c>
      <c r="H26" s="105" t="s">
        <v>295</v>
      </c>
      <c r="I26" s="109">
        <v>1</v>
      </c>
      <c r="J26" s="109" t="s">
        <v>346</v>
      </c>
      <c r="K26" s="105" t="s">
        <v>347</v>
      </c>
      <c r="L26" s="107" t="str">
        <f ca="1">VLOOKUP($K26,OFFSET([1]character_type_i18n!$A$1,0,0,COUNTA([1]character_type_i18n!$A:$A),MATCH(L$1,[1]character_type_i18n!$1:$1,0)-MATCH($K$1,[1]character_type_i18n!$1:$1,0)+1),MATCH(L$1,[1]character_type_i18n!$1:$1,0)-MATCH($K$1,[1]character_type_i18n!$1:$1,0)+1,FALSE)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6" s="105" t="s">
        <v>318</v>
      </c>
      <c r="N26" s="107" t="str">
        <f>VLOOKUP(M26,[1]character_tribe_i18n!A:C,3,FALSE)</f>
        <v>アニマル</v>
      </c>
      <c r="O26" s="105" t="s">
        <v>278</v>
      </c>
      <c r="P26" s="107" t="str">
        <f>VLOOKUP(O26,[1]character_tribe_i18n!A:C,3,FALSE)</f>
        <v>種族なし</v>
      </c>
      <c r="Q26" s="110" t="s">
        <v>301</v>
      </c>
      <c r="R26" s="111">
        <v>3</v>
      </c>
      <c r="S26" s="108" t="s">
        <v>302</v>
      </c>
      <c r="T26" s="108" t="s">
        <v>281</v>
      </c>
      <c r="U26" s="108" t="s">
        <v>280</v>
      </c>
      <c r="V26" s="108" t="s">
        <v>302</v>
      </c>
      <c r="W26" s="108" t="s">
        <v>302</v>
      </c>
    </row>
    <row r="27" spans="1:23" ht="21" customHeight="1" x14ac:dyDescent="0.15">
      <c r="A27" s="104">
        <f t="shared" si="0"/>
        <v>26</v>
      </c>
      <c r="B27" s="105" t="s">
        <v>268</v>
      </c>
      <c r="C27" s="106" t="s">
        <v>357</v>
      </c>
      <c r="D27" s="107" t="s">
        <v>358</v>
      </c>
      <c r="E27" s="108" t="s">
        <v>359</v>
      </c>
      <c r="F27" s="108" t="s">
        <v>272</v>
      </c>
      <c r="G27" s="108" t="s">
        <v>273</v>
      </c>
      <c r="H27" s="105" t="s">
        <v>295</v>
      </c>
      <c r="I27" s="109">
        <v>2</v>
      </c>
      <c r="J27" s="109" t="s">
        <v>346</v>
      </c>
      <c r="K27" s="105" t="s">
        <v>347</v>
      </c>
      <c r="L27" s="107" t="str">
        <f ca="1">VLOOKUP($K27,OFFSET([1]character_type_i18n!$A$1,0,0,COUNTA([1]character_type_i18n!$A:$A),MATCH(L$1,[1]character_type_i18n!$1:$1,0)-MATCH($K$1,[1]character_type_i18n!$1:$1,0)+1),MATCH(L$1,[1]character_type_i18n!$1:$1,0)-MATCH($K$1,[1]character_type_i18n!$1:$1,0)+1,FALSE)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7" s="105" t="s">
        <v>318</v>
      </c>
      <c r="N27" s="107" t="str">
        <f>VLOOKUP(M27,[1]character_tribe_i18n!A:C,3,FALSE)</f>
        <v>アニマル</v>
      </c>
      <c r="O27" s="105" t="s">
        <v>278</v>
      </c>
      <c r="P27" s="107" t="str">
        <f>VLOOKUP(O27,[1]character_tribe_i18n!A:C,3,FALSE)</f>
        <v>種族なし</v>
      </c>
      <c r="Q27" s="110" t="s">
        <v>360</v>
      </c>
      <c r="R27" s="111">
        <v>3</v>
      </c>
      <c r="S27" s="108" t="s">
        <v>280</v>
      </c>
      <c r="T27" s="108" t="s">
        <v>281</v>
      </c>
      <c r="U27" s="108" t="s">
        <v>280</v>
      </c>
      <c r="V27" s="108" t="s">
        <v>280</v>
      </c>
      <c r="W27" s="108" t="s">
        <v>280</v>
      </c>
    </row>
    <row r="28" spans="1:23" ht="21" customHeight="1" x14ac:dyDescent="0.15">
      <c r="A28" s="104">
        <f t="shared" si="0"/>
        <v>27</v>
      </c>
      <c r="B28" s="105" t="s">
        <v>268</v>
      </c>
      <c r="C28" s="106" t="s">
        <v>361</v>
      </c>
      <c r="D28" s="107" t="s">
        <v>270</v>
      </c>
      <c r="E28" s="108" t="s">
        <v>327</v>
      </c>
      <c r="F28" s="108" t="s">
        <v>272</v>
      </c>
      <c r="G28" s="108" t="s">
        <v>273</v>
      </c>
      <c r="H28" s="105" t="s">
        <v>285</v>
      </c>
      <c r="I28" s="109">
        <v>1</v>
      </c>
      <c r="J28" s="109" t="s">
        <v>346</v>
      </c>
      <c r="K28" s="105" t="s">
        <v>296</v>
      </c>
      <c r="L28" s="107" t="str">
        <f ca="1">VLOOKUP($K28,OFFSET([1]character_type_i18n!$A$1,0,0,COUNTA([1]character_type_i18n!$A:$A),MATCH(L$1,[1]character_type_i18n!$1:$1,0)-MATCH($K$1,[1]character_type_i18n!$1:$1,0)+1),MATCH(L$1,[1]character_type_i18n!$1:$1,0)-MATCH($K$1,[1]character_type_i18n!$1:$1,0)+1,FALSE)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28" s="105" t="s">
        <v>338</v>
      </c>
      <c r="N28" s="107" t="str">
        <f>VLOOKUP(M28,[1]character_tribe_i18n!A:C,3,FALSE)</f>
        <v>マシン</v>
      </c>
      <c r="O28" s="105" t="s">
        <v>278</v>
      </c>
      <c r="P28" s="107" t="str">
        <f>VLOOKUP(O28,[1]character_tribe_i18n!A:C,3,FALSE)</f>
        <v>種族なし</v>
      </c>
      <c r="Q28" s="110" t="s">
        <v>362</v>
      </c>
      <c r="R28" s="111">
        <v>3</v>
      </c>
      <c r="S28" s="108" t="s">
        <v>289</v>
      </c>
      <c r="T28" s="108" t="s">
        <v>288</v>
      </c>
      <c r="U28" s="108" t="s">
        <v>289</v>
      </c>
      <c r="V28" s="108" t="s">
        <v>289</v>
      </c>
      <c r="W28" s="108" t="s">
        <v>289</v>
      </c>
    </row>
    <row r="29" spans="1:23" ht="21" customHeight="1" x14ac:dyDescent="0.15">
      <c r="A29" s="104">
        <f t="shared" si="0"/>
        <v>28</v>
      </c>
      <c r="B29" s="105" t="s">
        <v>292</v>
      </c>
      <c r="C29" s="106" t="s">
        <v>363</v>
      </c>
      <c r="D29" s="107" t="s">
        <v>364</v>
      </c>
      <c r="E29" s="108" t="s">
        <v>365</v>
      </c>
      <c r="F29" s="108" t="s">
        <v>272</v>
      </c>
      <c r="G29" s="108" t="s">
        <v>273</v>
      </c>
      <c r="H29" s="105" t="s">
        <v>285</v>
      </c>
      <c r="I29" s="109">
        <v>2</v>
      </c>
      <c r="J29" s="109" t="s">
        <v>346</v>
      </c>
      <c r="K29" s="105" t="s">
        <v>296</v>
      </c>
      <c r="L29" s="107" t="str">
        <f ca="1">VLOOKUP($K29,OFFSET([1]character_type_i18n!$A$1,0,0,COUNTA([1]character_type_i18n!$A:$A),MATCH(L$1,[1]character_type_i18n!$1:$1,0)-MATCH($K$1,[1]character_type_i18n!$1:$1,0)+1),MATCH(L$1,[1]character_type_i18n!$1:$1,0)-MATCH($K$1,[1]character_type_i18n!$1:$1,0)+1,FALSE)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29" s="105" t="s">
        <v>338</v>
      </c>
      <c r="N29" s="107" t="str">
        <f>VLOOKUP(M29,[1]character_tribe_i18n!A:C,3,FALSE)</f>
        <v>マシン</v>
      </c>
      <c r="O29" s="105" t="s">
        <v>278</v>
      </c>
      <c r="P29" s="107" t="str">
        <f>VLOOKUP(O29,[1]character_tribe_i18n!A:C,3,FALSE)</f>
        <v>種族なし</v>
      </c>
      <c r="Q29" s="110" t="s">
        <v>366</v>
      </c>
      <c r="R29" s="111">
        <v>3</v>
      </c>
      <c r="S29" s="108" t="s">
        <v>367</v>
      </c>
      <c r="T29" s="108" t="s">
        <v>368</v>
      </c>
      <c r="U29" s="108" t="s">
        <v>367</v>
      </c>
      <c r="V29" s="108" t="s">
        <v>367</v>
      </c>
      <c r="W29" s="108" t="s">
        <v>367</v>
      </c>
    </row>
    <row r="30" spans="1:23" ht="21" customHeight="1" x14ac:dyDescent="0.15">
      <c r="A30" s="104">
        <f t="shared" si="0"/>
        <v>29</v>
      </c>
      <c r="B30" s="105" t="s">
        <v>369</v>
      </c>
      <c r="C30" s="106" t="s">
        <v>370</v>
      </c>
      <c r="D30" s="107" t="s">
        <v>371</v>
      </c>
      <c r="E30" s="108" t="s">
        <v>372</v>
      </c>
      <c r="F30" s="108" t="s">
        <v>272</v>
      </c>
      <c r="G30" s="108" t="s">
        <v>273</v>
      </c>
      <c r="H30" s="105" t="s">
        <v>295</v>
      </c>
      <c r="I30" s="109">
        <v>1</v>
      </c>
      <c r="J30" s="109" t="s">
        <v>346</v>
      </c>
      <c r="K30" s="105" t="s">
        <v>296</v>
      </c>
      <c r="L30" s="107" t="str">
        <f ca="1">VLOOKUP($K30,OFFSET([1]character_type_i18n!$A$1,0,0,COUNTA([1]character_type_i18n!$A:$A),MATCH(L$1,[1]character_type_i18n!$1:$1,0)-MATCH($K$1,[1]character_type_i18n!$1:$1,0)+1),MATCH(L$1,[1]character_type_i18n!$1:$1,0)-MATCH($K$1,[1]character_type_i18n!$1:$1,0)+1,FALSE)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0" s="105" t="s">
        <v>338</v>
      </c>
      <c r="N30" s="107" t="str">
        <f>VLOOKUP(M30,[1]character_tribe_i18n!A:C,3,FALSE)</f>
        <v>マシン</v>
      </c>
      <c r="O30" s="105" t="s">
        <v>278</v>
      </c>
      <c r="P30" s="107" t="str">
        <f>VLOOKUP(O30,[1]character_tribe_i18n!A:C,3,FALSE)</f>
        <v>種族なし</v>
      </c>
      <c r="Q30" s="110" t="s">
        <v>297</v>
      </c>
      <c r="R30" s="111">
        <v>3</v>
      </c>
      <c r="S30" s="108" t="s">
        <v>280</v>
      </c>
      <c r="T30" s="108" t="s">
        <v>281</v>
      </c>
      <c r="U30" s="108" t="s">
        <v>280</v>
      </c>
      <c r="V30" s="108" t="s">
        <v>280</v>
      </c>
      <c r="W30" s="108" t="s">
        <v>280</v>
      </c>
    </row>
    <row r="31" spans="1:23" ht="21" customHeight="1" x14ac:dyDescent="0.15">
      <c r="A31" s="104">
        <f t="shared" si="0"/>
        <v>30</v>
      </c>
      <c r="B31" s="105" t="s">
        <v>268</v>
      </c>
      <c r="C31" s="106" t="s">
        <v>373</v>
      </c>
      <c r="D31" s="107" t="s">
        <v>270</v>
      </c>
      <c r="E31" s="108" t="s">
        <v>327</v>
      </c>
      <c r="F31" s="108" t="s">
        <v>272</v>
      </c>
      <c r="G31" s="108" t="s">
        <v>273</v>
      </c>
      <c r="H31" s="105" t="s">
        <v>295</v>
      </c>
      <c r="I31" s="109">
        <v>2</v>
      </c>
      <c r="J31" s="109" t="s">
        <v>346</v>
      </c>
      <c r="K31" s="105" t="s">
        <v>296</v>
      </c>
      <c r="L31" s="107" t="str">
        <f ca="1">VLOOKUP($K31,OFFSET([1]character_type_i18n!$A$1,0,0,COUNTA([1]character_type_i18n!$A:$A),MATCH(L$1,[1]character_type_i18n!$1:$1,0)-MATCH($K$1,[1]character_type_i18n!$1:$1,0)+1),MATCH(L$1,[1]character_type_i18n!$1:$1,0)-MATCH($K$1,[1]character_type_i18n!$1:$1,0)+1,FALSE)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" s="105" t="s">
        <v>338</v>
      </c>
      <c r="N31" s="107" t="str">
        <f>VLOOKUP(M31,[1]character_tribe_i18n!A:C,3,FALSE)</f>
        <v>マシン</v>
      </c>
      <c r="O31" s="105" t="s">
        <v>278</v>
      </c>
      <c r="P31" s="107" t="str">
        <f>VLOOKUP(O31,[1]character_tribe_i18n!A:C,3,FALSE)</f>
        <v>種族なし</v>
      </c>
      <c r="Q31" s="110" t="s">
        <v>374</v>
      </c>
      <c r="R31" s="111">
        <v>3</v>
      </c>
      <c r="S31" s="108" t="s">
        <v>302</v>
      </c>
      <c r="T31" s="108" t="s">
        <v>375</v>
      </c>
      <c r="U31" s="108" t="s">
        <v>302</v>
      </c>
      <c r="V31" s="108" t="s">
        <v>302</v>
      </c>
      <c r="W31" s="108" t="s">
        <v>302</v>
      </c>
    </row>
    <row r="32" spans="1:23" ht="21" customHeight="1" x14ac:dyDescent="0.15">
      <c r="A32" s="104">
        <f t="shared" si="0"/>
        <v>31</v>
      </c>
      <c r="B32" s="105" t="s">
        <v>268</v>
      </c>
      <c r="C32" s="106" t="s">
        <v>376</v>
      </c>
      <c r="D32" s="107" t="s">
        <v>270</v>
      </c>
      <c r="E32" s="108" t="s">
        <v>327</v>
      </c>
      <c r="F32" s="108" t="s">
        <v>272</v>
      </c>
      <c r="G32" s="108" t="s">
        <v>273</v>
      </c>
      <c r="H32" s="105" t="s">
        <v>300</v>
      </c>
      <c r="I32" s="109">
        <v>1</v>
      </c>
      <c r="J32" s="109" t="s">
        <v>346</v>
      </c>
      <c r="K32" s="105" t="s">
        <v>377</v>
      </c>
      <c r="L32" s="107" t="str">
        <f ca="1">VLOOKUP($K32,OFFSET([1]character_type_i18n!$A$1,0,0,COUNTA([1]character_type_i18n!$A:$A),MATCH(L$1,[1]character_type_i18n!$1:$1,0)-MATCH($K$1,[1]character_type_i18n!$1:$1,0)+1),MATCH(L$1,[1]character_type_i18n!$1:$1,0)-MATCH($K$1,[1]character_type_i18n!$1:$1,0)+1,FALSE)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2" s="105" t="s">
        <v>338</v>
      </c>
      <c r="N32" s="107" t="str">
        <f>VLOOKUP(M32,[1]character_tribe_i18n!A:C,3,FALSE)</f>
        <v>マシン</v>
      </c>
      <c r="O32" s="105" t="s">
        <v>278</v>
      </c>
      <c r="P32" s="107" t="str">
        <f>VLOOKUP(O32,[1]character_tribe_i18n!A:C,3,FALSE)</f>
        <v>種族なし</v>
      </c>
      <c r="Q32" s="110" t="s">
        <v>378</v>
      </c>
      <c r="R32" s="111">
        <v>3</v>
      </c>
      <c r="S32" s="108" t="s">
        <v>280</v>
      </c>
      <c r="T32" s="108" t="s">
        <v>281</v>
      </c>
      <c r="U32" s="108" t="s">
        <v>280</v>
      </c>
      <c r="V32" s="108" t="s">
        <v>280</v>
      </c>
      <c r="W32" s="108" t="s">
        <v>280</v>
      </c>
    </row>
    <row r="33" spans="1:23" ht="21" customHeight="1" x14ac:dyDescent="0.15">
      <c r="A33" s="104">
        <f t="shared" si="0"/>
        <v>32</v>
      </c>
      <c r="B33" s="105" t="s">
        <v>268</v>
      </c>
      <c r="C33" s="106" t="s">
        <v>379</v>
      </c>
      <c r="D33" s="107" t="s">
        <v>380</v>
      </c>
      <c r="E33" s="108" t="s">
        <v>381</v>
      </c>
      <c r="F33" s="108" t="s">
        <v>272</v>
      </c>
      <c r="G33" s="108" t="s">
        <v>273</v>
      </c>
      <c r="H33" s="105" t="s">
        <v>300</v>
      </c>
      <c r="I33" s="109">
        <v>2</v>
      </c>
      <c r="J33" s="109" t="s">
        <v>346</v>
      </c>
      <c r="K33" s="105" t="s">
        <v>377</v>
      </c>
      <c r="L33" s="107" t="str">
        <f ca="1">VLOOKUP($K33,OFFSET([1]character_type_i18n!$A$1,0,0,COUNTA([1]character_type_i18n!$A:$A),MATCH(L$1,[1]character_type_i18n!$1:$1,0)-MATCH($K$1,[1]character_type_i18n!$1:$1,0)+1),MATCH(L$1,[1]character_type_i18n!$1:$1,0)-MATCH($K$1,[1]character_type_i18n!$1:$1,0)+1,FALSE)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3" s="105" t="s">
        <v>338</v>
      </c>
      <c r="N33" s="107" t="str">
        <f>VLOOKUP(M33,[1]character_tribe_i18n!A:C,3,FALSE)</f>
        <v>マシン</v>
      </c>
      <c r="O33" s="105" t="s">
        <v>278</v>
      </c>
      <c r="P33" s="107" t="str">
        <f>VLOOKUP(O33,[1]character_tribe_i18n!A:C,3,FALSE)</f>
        <v>種族なし</v>
      </c>
      <c r="Q33" s="110" t="s">
        <v>378</v>
      </c>
      <c r="R33" s="111">
        <v>3</v>
      </c>
      <c r="S33" s="108" t="s">
        <v>280</v>
      </c>
      <c r="T33" s="108" t="s">
        <v>281</v>
      </c>
      <c r="U33" s="108" t="s">
        <v>280</v>
      </c>
      <c r="V33" s="108" t="s">
        <v>280</v>
      </c>
      <c r="W33" s="108" t="s">
        <v>280</v>
      </c>
    </row>
    <row r="34" spans="1:23" ht="21" customHeight="1" x14ac:dyDescent="0.15">
      <c r="A34" s="104">
        <f t="shared" si="0"/>
        <v>33</v>
      </c>
      <c r="B34" s="105" t="s">
        <v>268</v>
      </c>
      <c r="C34" s="106" t="s">
        <v>382</v>
      </c>
      <c r="D34" s="107" t="s">
        <v>270</v>
      </c>
      <c r="E34" s="108" t="s">
        <v>327</v>
      </c>
      <c r="F34" s="108" t="s">
        <v>272</v>
      </c>
      <c r="G34" s="108" t="s">
        <v>383</v>
      </c>
      <c r="H34" s="105" t="s">
        <v>274</v>
      </c>
      <c r="I34" s="109">
        <v>2</v>
      </c>
      <c r="J34" s="109" t="s">
        <v>384</v>
      </c>
      <c r="K34" s="105" t="s">
        <v>276</v>
      </c>
      <c r="L34" s="107" t="str">
        <f ca="1">VLOOKUP($K34,OFFSET([1]character_type_i18n!$A$1,0,0,COUNTA([1]character_type_i18n!$A:$A),MATCH(L$1,[1]character_type_i18n!$1:$1,0)-MATCH($K$1,[1]character_type_i18n!$1:$1,0)+1),MATCH(L$1,[1]character_type_i18n!$1:$1,0)-MATCH($K$1,[1]character_type_i18n!$1:$1,0)+1,FALSE)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4" s="105" t="s">
        <v>318</v>
      </c>
      <c r="N34" s="107" t="str">
        <f>VLOOKUP(M34,[1]character_tribe_i18n!A:C,3,FALSE)</f>
        <v>アニマル</v>
      </c>
      <c r="O34" s="105" t="s">
        <v>278</v>
      </c>
      <c r="P34" s="107" t="str">
        <f>VLOOKUP(O34,[1]character_tribe_i18n!A:C,3,FALSE)</f>
        <v>種族なし</v>
      </c>
      <c r="Q34" s="110" t="s">
        <v>385</v>
      </c>
      <c r="R34" s="111">
        <v>3</v>
      </c>
      <c r="S34" s="108" t="s">
        <v>386</v>
      </c>
      <c r="T34" s="108" t="s">
        <v>281</v>
      </c>
      <c r="U34" s="108" t="s">
        <v>280</v>
      </c>
      <c r="V34" s="108" t="s">
        <v>386</v>
      </c>
      <c r="W34" s="108" t="s">
        <v>386</v>
      </c>
    </row>
    <row r="35" spans="1:23" ht="21" customHeight="1" x14ac:dyDescent="0.15">
      <c r="A35" s="104">
        <f t="shared" si="0"/>
        <v>34</v>
      </c>
      <c r="B35" s="105" t="s">
        <v>387</v>
      </c>
      <c r="C35" s="106" t="s">
        <v>388</v>
      </c>
      <c r="D35" s="107" t="s">
        <v>389</v>
      </c>
      <c r="E35" s="108" t="s">
        <v>390</v>
      </c>
      <c r="F35" s="108" t="s">
        <v>272</v>
      </c>
      <c r="G35" s="108" t="s">
        <v>383</v>
      </c>
      <c r="H35" s="105" t="s">
        <v>274</v>
      </c>
      <c r="I35" s="109">
        <v>3</v>
      </c>
      <c r="J35" s="109" t="s">
        <v>384</v>
      </c>
      <c r="K35" s="105" t="s">
        <v>276</v>
      </c>
      <c r="L35" s="107" t="str">
        <f ca="1">VLOOKUP($K35,OFFSET([1]character_type_i18n!$A$1,0,0,COUNTA([1]character_type_i18n!$A:$A),MATCH(L$1,[1]character_type_i18n!$1:$1,0)-MATCH($K$1,[1]character_type_i18n!$1:$1,0)+1),MATCH(L$1,[1]character_type_i18n!$1:$1,0)-MATCH($K$1,[1]character_type_i18n!$1:$1,0)+1,FALSE)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5" s="105" t="s">
        <v>318</v>
      </c>
      <c r="N35" s="107" t="str">
        <f>VLOOKUP(M35,[1]character_tribe_i18n!A:C,3,FALSE)</f>
        <v>アニマル</v>
      </c>
      <c r="O35" s="105" t="s">
        <v>278</v>
      </c>
      <c r="P35" s="107" t="str">
        <f>VLOOKUP(O35,[1]character_tribe_i18n!A:C,3,FALSE)</f>
        <v>種族なし</v>
      </c>
      <c r="Q35" s="110" t="s">
        <v>385</v>
      </c>
      <c r="R35" s="111">
        <v>3</v>
      </c>
      <c r="S35" s="108" t="s">
        <v>386</v>
      </c>
      <c r="T35" s="108" t="s">
        <v>391</v>
      </c>
      <c r="U35" s="108" t="s">
        <v>386</v>
      </c>
      <c r="V35" s="108" t="s">
        <v>386</v>
      </c>
      <c r="W35" s="108" t="s">
        <v>386</v>
      </c>
    </row>
    <row r="36" spans="1:23" ht="21" customHeight="1" x14ac:dyDescent="0.15">
      <c r="A36" s="104">
        <f t="shared" si="0"/>
        <v>35</v>
      </c>
      <c r="B36" s="105" t="s">
        <v>387</v>
      </c>
      <c r="C36" s="113" t="s">
        <v>392</v>
      </c>
      <c r="D36" s="107" t="s">
        <v>270</v>
      </c>
      <c r="E36" s="108" t="s">
        <v>327</v>
      </c>
      <c r="F36" s="108" t="s">
        <v>272</v>
      </c>
      <c r="G36" s="108" t="s">
        <v>273</v>
      </c>
      <c r="H36" s="105" t="s">
        <v>285</v>
      </c>
      <c r="I36" s="109">
        <v>2</v>
      </c>
      <c r="J36" s="109" t="s">
        <v>384</v>
      </c>
      <c r="K36" s="105" t="s">
        <v>377</v>
      </c>
      <c r="L36" s="107" t="str">
        <f ca="1">VLOOKUP($K36,OFFSET([1]character_type_i18n!$A$1,0,0,COUNTA([1]character_type_i18n!$A:$A),MATCH(L$1,[1]character_type_i18n!$1:$1,0)-MATCH($K$1,[1]character_type_i18n!$1:$1,0)+1),MATCH(L$1,[1]character_type_i18n!$1:$1,0)-MATCH($K$1,[1]character_type_i18n!$1:$1,0)+1,FALSE)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6" s="105" t="s">
        <v>338</v>
      </c>
      <c r="N36" s="107" t="str">
        <f>VLOOKUP(M36,[1]character_tribe_i18n!A:C,3,FALSE)</f>
        <v>マシン</v>
      </c>
      <c r="O36" s="105" t="s">
        <v>278</v>
      </c>
      <c r="P36" s="107" t="str">
        <f>VLOOKUP(O36,[1]character_tribe_i18n!A:C,3,FALSE)</f>
        <v>種族なし</v>
      </c>
      <c r="Q36" s="110" t="s">
        <v>385</v>
      </c>
      <c r="R36" s="111">
        <v>3</v>
      </c>
      <c r="S36" s="108" t="s">
        <v>386</v>
      </c>
      <c r="T36" s="108" t="s">
        <v>391</v>
      </c>
      <c r="U36" s="108" t="s">
        <v>386</v>
      </c>
      <c r="V36" s="108" t="s">
        <v>386</v>
      </c>
      <c r="W36" s="108" t="s">
        <v>386</v>
      </c>
    </row>
    <row r="37" spans="1:23" ht="21" customHeight="1" x14ac:dyDescent="0.15">
      <c r="A37" s="104">
        <f t="shared" si="0"/>
        <v>36</v>
      </c>
      <c r="B37" s="105" t="s">
        <v>387</v>
      </c>
      <c r="C37" s="106" t="s">
        <v>393</v>
      </c>
      <c r="D37" s="107" t="s">
        <v>394</v>
      </c>
      <c r="E37" s="108" t="s">
        <v>395</v>
      </c>
      <c r="F37" s="108" t="s">
        <v>272</v>
      </c>
      <c r="G37" s="108" t="s">
        <v>273</v>
      </c>
      <c r="H37" s="105" t="s">
        <v>285</v>
      </c>
      <c r="I37" s="109">
        <v>3</v>
      </c>
      <c r="J37" s="109" t="s">
        <v>384</v>
      </c>
      <c r="K37" s="105" t="s">
        <v>377</v>
      </c>
      <c r="L37" s="107" t="str">
        <f ca="1">VLOOKUP($K37,OFFSET([1]character_type_i18n!$A$1,0,0,COUNTA([1]character_type_i18n!$A:$A),MATCH(L$1,[1]character_type_i18n!$1:$1,0)-MATCH($K$1,[1]character_type_i18n!$1:$1,0)+1),MATCH(L$1,[1]character_type_i18n!$1:$1,0)-MATCH($K$1,[1]character_type_i18n!$1:$1,0)+1,FALSE)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" s="105" t="s">
        <v>338</v>
      </c>
      <c r="N37" s="107" t="str">
        <f>VLOOKUP(M37,[1]character_tribe_i18n!A:C,3,FALSE)</f>
        <v>マシン</v>
      </c>
      <c r="O37" s="105" t="s">
        <v>278</v>
      </c>
      <c r="P37" s="107" t="str">
        <f>VLOOKUP(O37,[1]character_tribe_i18n!A:C,3,FALSE)</f>
        <v>種族なし</v>
      </c>
      <c r="Q37" s="110" t="s">
        <v>385</v>
      </c>
      <c r="R37" s="111">
        <v>3</v>
      </c>
      <c r="S37" s="108" t="s">
        <v>386</v>
      </c>
      <c r="T37" s="108" t="s">
        <v>391</v>
      </c>
      <c r="U37" s="108" t="s">
        <v>386</v>
      </c>
      <c r="V37" s="108" t="s">
        <v>386</v>
      </c>
      <c r="W37" s="108" t="s">
        <v>386</v>
      </c>
    </row>
    <row r="38" spans="1:23" ht="21" customHeight="1" x14ac:dyDescent="0.15">
      <c r="A38" s="104">
        <f t="shared" si="0"/>
        <v>37</v>
      </c>
      <c r="B38" s="105" t="s">
        <v>387</v>
      </c>
      <c r="C38" s="106" t="s">
        <v>396</v>
      </c>
      <c r="D38" s="107" t="s">
        <v>394</v>
      </c>
      <c r="E38" s="108" t="s">
        <v>395</v>
      </c>
      <c r="F38" s="108" t="s">
        <v>272</v>
      </c>
      <c r="G38" s="108" t="s">
        <v>383</v>
      </c>
      <c r="H38" s="105" t="s">
        <v>295</v>
      </c>
      <c r="I38" s="109">
        <v>2</v>
      </c>
      <c r="J38" s="109" t="s">
        <v>384</v>
      </c>
      <c r="K38" s="105" t="s">
        <v>286</v>
      </c>
      <c r="L38" s="107" t="str">
        <f ca="1">VLOOKUP($K38,OFFSET([1]character_type_i18n!$A$1,0,0,COUNTA([1]character_type_i18n!$A:$A),MATCH(L$1,[1]character_type_i18n!$1:$1,0)-MATCH($K$1,[1]character_type_i18n!$1:$1,0)+1),MATCH(L$1,[1]character_type_i18n!$1:$1,0)-MATCH($K$1,[1]character_type_i18n!$1:$1,0)+1,FALSE)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8" s="105" t="s">
        <v>318</v>
      </c>
      <c r="N38" s="107" t="str">
        <f>VLOOKUP(M38,[1]character_tribe_i18n!A:C,3,FALSE)</f>
        <v>アニマル</v>
      </c>
      <c r="O38" s="105" t="s">
        <v>278</v>
      </c>
      <c r="P38" s="107" t="str">
        <f>VLOOKUP(O38,[1]character_tribe_i18n!A:C,3,FALSE)</f>
        <v>種族なし</v>
      </c>
      <c r="Q38" s="110" t="s">
        <v>397</v>
      </c>
      <c r="R38" s="111">
        <v>3</v>
      </c>
      <c r="S38" s="108" t="s">
        <v>398</v>
      </c>
      <c r="T38" s="108" t="s">
        <v>399</v>
      </c>
      <c r="U38" s="108" t="s">
        <v>398</v>
      </c>
      <c r="V38" s="108" t="s">
        <v>398</v>
      </c>
      <c r="W38" s="108" t="s">
        <v>398</v>
      </c>
    </row>
    <row r="39" spans="1:23" ht="21" customHeight="1" x14ac:dyDescent="0.15">
      <c r="A39" s="104">
        <f t="shared" si="0"/>
        <v>38</v>
      </c>
      <c r="B39" s="105" t="s">
        <v>400</v>
      </c>
      <c r="C39" s="106" t="s">
        <v>401</v>
      </c>
      <c r="D39" s="107" t="s">
        <v>394</v>
      </c>
      <c r="E39" s="108" t="s">
        <v>402</v>
      </c>
      <c r="F39" s="108" t="s">
        <v>272</v>
      </c>
      <c r="G39" s="108" t="s">
        <v>383</v>
      </c>
      <c r="H39" s="105" t="s">
        <v>295</v>
      </c>
      <c r="I39" s="109">
        <v>3</v>
      </c>
      <c r="J39" s="109" t="s">
        <v>384</v>
      </c>
      <c r="K39" s="105" t="s">
        <v>286</v>
      </c>
      <c r="L39" s="107" t="str">
        <f ca="1">VLOOKUP($K39,OFFSET([1]character_type_i18n!$A$1,0,0,COUNTA([1]character_type_i18n!$A:$A),MATCH(L$1,[1]character_type_i18n!$1:$1,0)-MATCH($K$1,[1]character_type_i18n!$1:$1,0)+1),MATCH(L$1,[1]character_type_i18n!$1:$1,0)-MATCH($K$1,[1]character_type_i18n!$1:$1,0)+1,FALSE)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9" s="105" t="s">
        <v>318</v>
      </c>
      <c r="N39" s="107" t="str">
        <f>VLOOKUP(M39,[1]character_tribe_i18n!A:C,3,FALSE)</f>
        <v>アニマル</v>
      </c>
      <c r="O39" s="105" t="s">
        <v>278</v>
      </c>
      <c r="P39" s="107" t="str">
        <f>VLOOKUP(O39,[1]character_tribe_i18n!A:C,3,FALSE)</f>
        <v>種族なし</v>
      </c>
      <c r="Q39" s="110" t="s">
        <v>397</v>
      </c>
      <c r="R39" s="111">
        <v>3</v>
      </c>
      <c r="S39" s="108" t="s">
        <v>398</v>
      </c>
      <c r="T39" s="108" t="s">
        <v>399</v>
      </c>
      <c r="U39" s="108" t="s">
        <v>398</v>
      </c>
      <c r="V39" s="108" t="s">
        <v>398</v>
      </c>
      <c r="W39" s="108" t="s">
        <v>398</v>
      </c>
    </row>
    <row r="40" spans="1:23" ht="21" customHeight="1" x14ac:dyDescent="0.15">
      <c r="A40" s="104">
        <f t="shared" si="0"/>
        <v>39</v>
      </c>
      <c r="B40" s="105" t="s">
        <v>400</v>
      </c>
      <c r="C40" s="106" t="s">
        <v>403</v>
      </c>
      <c r="D40" s="107" t="s">
        <v>404</v>
      </c>
      <c r="E40" s="108" t="s">
        <v>402</v>
      </c>
      <c r="F40" s="108" t="s">
        <v>272</v>
      </c>
      <c r="G40" s="108" t="s">
        <v>383</v>
      </c>
      <c r="H40" s="105" t="s">
        <v>300</v>
      </c>
      <c r="I40" s="109">
        <v>2</v>
      </c>
      <c r="J40" s="109" t="s">
        <v>384</v>
      </c>
      <c r="K40" s="105" t="s">
        <v>286</v>
      </c>
      <c r="L40" s="107" t="str">
        <f ca="1">VLOOKUP($K40,OFFSET([1]character_type_i18n!$A$1,0,0,COUNTA([1]character_type_i18n!$A:$A),MATCH(L$1,[1]character_type_i18n!$1:$1,0)-MATCH($K$1,[1]character_type_i18n!$1:$1,0)+1),MATCH(L$1,[1]character_type_i18n!$1:$1,0)-MATCH($K$1,[1]character_type_i18n!$1:$1,0)+1,FALSE)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0" s="105" t="s">
        <v>332</v>
      </c>
      <c r="N40" s="107" t="str">
        <f>VLOOKUP(M40,[1]character_tribe_i18n!A:C,3,FALSE)</f>
        <v>ヒューマン</v>
      </c>
      <c r="O40" s="105" t="s">
        <v>278</v>
      </c>
      <c r="P40" s="107" t="str">
        <f>VLOOKUP(O40,[1]character_tribe_i18n!A:C,3,FALSE)</f>
        <v>種族なし</v>
      </c>
      <c r="Q40" s="110" t="s">
        <v>405</v>
      </c>
      <c r="R40" s="111">
        <v>3</v>
      </c>
      <c r="S40" s="108" t="s">
        <v>398</v>
      </c>
      <c r="T40" s="108" t="s">
        <v>399</v>
      </c>
      <c r="U40" s="108" t="s">
        <v>398</v>
      </c>
      <c r="V40" s="108" t="s">
        <v>398</v>
      </c>
      <c r="W40" s="108" t="s">
        <v>398</v>
      </c>
    </row>
    <row r="41" spans="1:23" ht="21" customHeight="1" x14ac:dyDescent="0.15">
      <c r="A41" s="104">
        <f t="shared" si="0"/>
        <v>40</v>
      </c>
      <c r="B41" s="105" t="s">
        <v>400</v>
      </c>
      <c r="C41" s="106" t="s">
        <v>406</v>
      </c>
      <c r="D41" s="107" t="s">
        <v>404</v>
      </c>
      <c r="E41" s="108" t="s">
        <v>402</v>
      </c>
      <c r="F41" s="108" t="s">
        <v>272</v>
      </c>
      <c r="G41" s="108" t="s">
        <v>383</v>
      </c>
      <c r="H41" s="105" t="s">
        <v>300</v>
      </c>
      <c r="I41" s="109">
        <v>3</v>
      </c>
      <c r="J41" s="109" t="s">
        <v>384</v>
      </c>
      <c r="K41" s="105" t="s">
        <v>286</v>
      </c>
      <c r="L41" s="107" t="str">
        <f ca="1">VLOOKUP($K41,OFFSET([1]character_type_i18n!$A$1,0,0,COUNTA([1]character_type_i18n!$A:$A),MATCH(L$1,[1]character_type_i18n!$1:$1,0)-MATCH($K$1,[1]character_type_i18n!$1:$1,0)+1),MATCH(L$1,[1]character_type_i18n!$1:$1,0)-MATCH($K$1,[1]character_type_i18n!$1:$1,0)+1,FALSE)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1" s="105" t="s">
        <v>332</v>
      </c>
      <c r="N41" s="107" t="str">
        <f>VLOOKUP(M41,[1]character_tribe_i18n!A:C,3,FALSE)</f>
        <v>ヒューマン</v>
      </c>
      <c r="O41" s="105" t="s">
        <v>278</v>
      </c>
      <c r="P41" s="107" t="str">
        <f>VLOOKUP(O41,[1]character_tribe_i18n!A:C,3,FALSE)</f>
        <v>種族なし</v>
      </c>
      <c r="Q41" s="110" t="s">
        <v>405</v>
      </c>
      <c r="R41" s="111">
        <v>3</v>
      </c>
      <c r="S41" s="108" t="s">
        <v>398</v>
      </c>
      <c r="T41" s="108" t="s">
        <v>399</v>
      </c>
      <c r="U41" s="108" t="s">
        <v>398</v>
      </c>
      <c r="V41" s="108" t="s">
        <v>398</v>
      </c>
      <c r="W41" s="108" t="s">
        <v>398</v>
      </c>
    </row>
    <row r="42" spans="1:23" ht="21" customHeight="1" x14ac:dyDescent="0.15">
      <c r="A42" s="104">
        <f t="shared" si="0"/>
        <v>41</v>
      </c>
      <c r="B42" s="105" t="s">
        <v>400</v>
      </c>
      <c r="C42" s="106" t="s">
        <v>407</v>
      </c>
      <c r="D42" s="107" t="s">
        <v>404</v>
      </c>
      <c r="E42" s="108" t="s">
        <v>402</v>
      </c>
      <c r="F42" s="108" t="s">
        <v>272</v>
      </c>
      <c r="G42" s="108" t="s">
        <v>273</v>
      </c>
      <c r="H42" s="105" t="s">
        <v>274</v>
      </c>
      <c r="I42" s="109">
        <v>2</v>
      </c>
      <c r="J42" s="109" t="s">
        <v>346</v>
      </c>
      <c r="K42" s="105" t="s">
        <v>276</v>
      </c>
      <c r="L42" s="107" t="str">
        <f ca="1">VLOOKUP($K42,OFFSET([1]character_type_i18n!$A$1,0,0,COUNTA([1]character_type_i18n!$A:$A),MATCH(L$1,[1]character_type_i18n!$1:$1,0)-MATCH($K$1,[1]character_type_i18n!$1:$1,0)+1),MATCH(L$1,[1]character_type_i18n!$1:$1,0)-MATCH($K$1,[1]character_type_i18n!$1:$1,0)+1,FALSE)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2" s="105" t="s">
        <v>348</v>
      </c>
      <c r="N42" s="107" t="str">
        <f>VLOOKUP(M42,[1]character_tribe_i18n!A:C,3,FALSE)</f>
        <v>ドラゴン</v>
      </c>
      <c r="O42" s="105" t="s">
        <v>278</v>
      </c>
      <c r="P42" s="107" t="str">
        <f>VLOOKUP(O42,[1]character_tribe_i18n!A:C,3,FALSE)</f>
        <v>種族なし</v>
      </c>
      <c r="Q42" s="110" t="s">
        <v>397</v>
      </c>
      <c r="R42" s="111">
        <v>3</v>
      </c>
      <c r="S42" s="108" t="s">
        <v>398</v>
      </c>
      <c r="T42" s="108" t="s">
        <v>399</v>
      </c>
      <c r="U42" s="108" t="s">
        <v>398</v>
      </c>
      <c r="V42" s="108" t="s">
        <v>398</v>
      </c>
      <c r="W42" s="108" t="s">
        <v>398</v>
      </c>
    </row>
    <row r="43" spans="1:23" ht="21" customHeight="1" x14ac:dyDescent="0.15">
      <c r="A43" s="104">
        <f t="shared" si="0"/>
        <v>42</v>
      </c>
      <c r="B43" s="105" t="s">
        <v>400</v>
      </c>
      <c r="C43" s="106" t="s">
        <v>408</v>
      </c>
      <c r="D43" s="107" t="s">
        <v>404</v>
      </c>
      <c r="E43" s="108" t="s">
        <v>402</v>
      </c>
      <c r="F43" s="108" t="s">
        <v>272</v>
      </c>
      <c r="G43" s="108" t="s">
        <v>273</v>
      </c>
      <c r="H43" s="105" t="s">
        <v>274</v>
      </c>
      <c r="I43" s="109">
        <v>3</v>
      </c>
      <c r="J43" s="109" t="s">
        <v>346</v>
      </c>
      <c r="K43" s="105" t="s">
        <v>276</v>
      </c>
      <c r="L43" s="107" t="str">
        <f ca="1">VLOOKUP($K43,OFFSET([1]character_type_i18n!$A$1,0,0,COUNTA([1]character_type_i18n!$A:$A),MATCH(L$1,[1]character_type_i18n!$1:$1,0)-MATCH($K$1,[1]character_type_i18n!$1:$1,0)+1),MATCH(L$1,[1]character_type_i18n!$1:$1,0)-MATCH($K$1,[1]character_type_i18n!$1:$1,0)+1,FALSE)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3" s="105" t="s">
        <v>348</v>
      </c>
      <c r="N43" s="107" t="str">
        <f>VLOOKUP(M43,[1]character_tribe_i18n!A:C,3,FALSE)</f>
        <v>ドラゴン</v>
      </c>
      <c r="O43" s="105" t="s">
        <v>278</v>
      </c>
      <c r="P43" s="107" t="str">
        <f>VLOOKUP(O43,[1]character_tribe_i18n!A:C,3,FALSE)</f>
        <v>種族なし</v>
      </c>
      <c r="Q43" s="110" t="s">
        <v>397</v>
      </c>
      <c r="R43" s="111">
        <v>3</v>
      </c>
      <c r="S43" s="108" t="s">
        <v>398</v>
      </c>
      <c r="T43" s="108" t="s">
        <v>399</v>
      </c>
      <c r="U43" s="108" t="s">
        <v>398</v>
      </c>
      <c r="V43" s="108" t="s">
        <v>398</v>
      </c>
      <c r="W43" s="108" t="s">
        <v>398</v>
      </c>
    </row>
    <row r="44" spans="1:23" ht="21" customHeight="1" x14ac:dyDescent="0.15">
      <c r="A44" s="104">
        <f t="shared" si="0"/>
        <v>43</v>
      </c>
      <c r="B44" s="105" t="s">
        <v>400</v>
      </c>
      <c r="C44" s="106" t="s">
        <v>409</v>
      </c>
      <c r="D44" s="107" t="s">
        <v>404</v>
      </c>
      <c r="E44" s="108" t="s">
        <v>402</v>
      </c>
      <c r="F44" s="108" t="s">
        <v>272</v>
      </c>
      <c r="G44" s="108" t="s">
        <v>331</v>
      </c>
      <c r="H44" s="105" t="s">
        <v>285</v>
      </c>
      <c r="I44" s="109">
        <v>2</v>
      </c>
      <c r="J44" s="109" t="s">
        <v>346</v>
      </c>
      <c r="K44" s="105" t="s">
        <v>377</v>
      </c>
      <c r="L44" s="107" t="str">
        <f ca="1">VLOOKUP($K44,OFFSET([1]character_type_i18n!$A$1,0,0,COUNTA([1]character_type_i18n!$A:$A),MATCH(L$1,[1]character_type_i18n!$1:$1,0)-MATCH($K$1,[1]character_type_i18n!$1:$1,0)+1),MATCH(L$1,[1]character_type_i18n!$1:$1,0)-MATCH($K$1,[1]character_type_i18n!$1:$1,0)+1,FALSE)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4" s="105" t="s">
        <v>348</v>
      </c>
      <c r="N44" s="107" t="str">
        <f>VLOOKUP(M44,[1]character_tribe_i18n!A:C,3,FALSE)</f>
        <v>ドラゴン</v>
      </c>
      <c r="O44" s="105" t="s">
        <v>332</v>
      </c>
      <c r="P44" s="107" t="str">
        <f>VLOOKUP(O44,[1]character_tribe_i18n!A:C,3,FALSE)</f>
        <v>ヒューマン</v>
      </c>
      <c r="Q44" s="110" t="s">
        <v>397</v>
      </c>
      <c r="R44" s="111">
        <v>3</v>
      </c>
      <c r="S44" s="108" t="s">
        <v>398</v>
      </c>
      <c r="T44" s="108" t="s">
        <v>399</v>
      </c>
      <c r="U44" s="108" t="s">
        <v>398</v>
      </c>
      <c r="V44" s="108" t="s">
        <v>398</v>
      </c>
      <c r="W44" s="108" t="s">
        <v>398</v>
      </c>
    </row>
    <row r="45" spans="1:23" ht="21" customHeight="1" x14ac:dyDescent="0.15">
      <c r="A45" s="104">
        <f t="shared" si="0"/>
        <v>44</v>
      </c>
      <c r="B45" s="105" t="s">
        <v>400</v>
      </c>
      <c r="C45" s="106" t="s">
        <v>410</v>
      </c>
      <c r="D45" s="107" t="s">
        <v>404</v>
      </c>
      <c r="E45" s="108" t="s">
        <v>402</v>
      </c>
      <c r="F45" s="108" t="s">
        <v>272</v>
      </c>
      <c r="G45" s="108" t="s">
        <v>331</v>
      </c>
      <c r="H45" s="105" t="s">
        <v>285</v>
      </c>
      <c r="I45" s="109">
        <v>3</v>
      </c>
      <c r="J45" s="109" t="s">
        <v>346</v>
      </c>
      <c r="K45" s="105" t="s">
        <v>377</v>
      </c>
      <c r="L45" s="107" t="str">
        <f ca="1">VLOOKUP($K45,OFFSET([1]character_type_i18n!$A$1,0,0,COUNTA([1]character_type_i18n!$A:$A),MATCH(L$1,[1]character_type_i18n!$1:$1,0)-MATCH($K$1,[1]character_type_i18n!$1:$1,0)+1),MATCH(L$1,[1]character_type_i18n!$1:$1,0)-MATCH($K$1,[1]character_type_i18n!$1:$1,0)+1,FALSE)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5" s="105" t="s">
        <v>348</v>
      </c>
      <c r="N45" s="107" t="str">
        <f>VLOOKUP(M45,[1]character_tribe_i18n!A:C,3,FALSE)</f>
        <v>ドラゴン</v>
      </c>
      <c r="O45" s="105" t="s">
        <v>332</v>
      </c>
      <c r="P45" s="107" t="str">
        <f>VLOOKUP(O45,[1]character_tribe_i18n!A:C,3,FALSE)</f>
        <v>ヒューマン</v>
      </c>
      <c r="Q45" s="110" t="s">
        <v>397</v>
      </c>
      <c r="R45" s="111">
        <v>3</v>
      </c>
      <c r="S45" s="108" t="s">
        <v>398</v>
      </c>
      <c r="T45" s="108" t="s">
        <v>399</v>
      </c>
      <c r="U45" s="108" t="s">
        <v>398</v>
      </c>
      <c r="V45" s="108" t="s">
        <v>398</v>
      </c>
      <c r="W45" s="108" t="s">
        <v>398</v>
      </c>
    </row>
    <row r="46" spans="1:23" ht="21" customHeight="1" x14ac:dyDescent="0.15">
      <c r="A46" s="104">
        <f t="shared" si="0"/>
        <v>45</v>
      </c>
      <c r="B46" s="105" t="s">
        <v>400</v>
      </c>
      <c r="C46" s="106" t="s">
        <v>411</v>
      </c>
      <c r="D46" s="107" t="s">
        <v>404</v>
      </c>
      <c r="E46" s="108" t="s">
        <v>402</v>
      </c>
      <c r="F46" s="108" t="s">
        <v>272</v>
      </c>
      <c r="G46" s="108" t="s">
        <v>273</v>
      </c>
      <c r="H46" s="105" t="s">
        <v>295</v>
      </c>
      <c r="I46" s="109">
        <v>2</v>
      </c>
      <c r="J46" s="109" t="s">
        <v>346</v>
      </c>
      <c r="K46" s="105" t="s">
        <v>347</v>
      </c>
      <c r="L46" s="107" t="str">
        <f ca="1">VLOOKUP($K46,OFFSET([1]character_type_i18n!$A$1,0,0,COUNTA([1]character_type_i18n!$A:$A),MATCH(L$1,[1]character_type_i18n!$1:$1,0)-MATCH($K$1,[1]character_type_i18n!$1:$1,0)+1),MATCH(L$1,[1]character_type_i18n!$1:$1,0)-MATCH($K$1,[1]character_type_i18n!$1:$1,0)+1,FALSE)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6" s="105" t="s">
        <v>318</v>
      </c>
      <c r="N46" s="107" t="str">
        <f>VLOOKUP(M46,[1]character_tribe_i18n!A:C,3,FALSE)</f>
        <v>アニマル</v>
      </c>
      <c r="O46" s="105" t="s">
        <v>278</v>
      </c>
      <c r="P46" s="107" t="str">
        <f>VLOOKUP(O46,[1]character_tribe_i18n!A:C,3,FALSE)</f>
        <v>種族なし</v>
      </c>
      <c r="Q46" s="110" t="s">
        <v>412</v>
      </c>
      <c r="R46" s="111">
        <v>3</v>
      </c>
      <c r="S46" s="108" t="s">
        <v>413</v>
      </c>
      <c r="T46" s="108" t="s">
        <v>414</v>
      </c>
      <c r="U46" s="108" t="s">
        <v>413</v>
      </c>
      <c r="V46" s="108" t="s">
        <v>413</v>
      </c>
      <c r="W46" s="108" t="s">
        <v>413</v>
      </c>
    </row>
    <row r="47" spans="1:23" ht="21" customHeight="1" x14ac:dyDescent="0.15">
      <c r="A47" s="104">
        <f t="shared" si="0"/>
        <v>46</v>
      </c>
      <c r="B47" s="105" t="s">
        <v>268</v>
      </c>
      <c r="C47" s="106" t="s">
        <v>415</v>
      </c>
      <c r="D47" s="107" t="s">
        <v>270</v>
      </c>
      <c r="E47" s="108" t="s">
        <v>327</v>
      </c>
      <c r="F47" s="108" t="s">
        <v>272</v>
      </c>
      <c r="G47" s="108" t="s">
        <v>273</v>
      </c>
      <c r="H47" s="105" t="s">
        <v>295</v>
      </c>
      <c r="I47" s="109">
        <v>3</v>
      </c>
      <c r="J47" s="109" t="s">
        <v>346</v>
      </c>
      <c r="K47" s="105" t="s">
        <v>347</v>
      </c>
      <c r="L47" s="107" t="str">
        <f ca="1">VLOOKUP($K47,OFFSET([1]character_type_i18n!$A$1,0,0,COUNTA([1]character_type_i18n!$A:$A),MATCH(L$1,[1]character_type_i18n!$1:$1,0)-MATCH($K$1,[1]character_type_i18n!$1:$1,0)+1),MATCH(L$1,[1]character_type_i18n!$1:$1,0)-MATCH($K$1,[1]character_type_i18n!$1:$1,0)+1,FALSE)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7" s="105" t="s">
        <v>318</v>
      </c>
      <c r="N47" s="107" t="str">
        <f>VLOOKUP(M47,[1]character_tribe_i18n!A:C,3,FALSE)</f>
        <v>アニマル</v>
      </c>
      <c r="O47" s="105" t="s">
        <v>278</v>
      </c>
      <c r="P47" s="107" t="str">
        <f>VLOOKUP(O47,[1]character_tribe_i18n!A:C,3,FALSE)</f>
        <v>種族なし</v>
      </c>
      <c r="Q47" s="110" t="s">
        <v>412</v>
      </c>
      <c r="R47" s="111">
        <v>3</v>
      </c>
      <c r="S47" s="108" t="s">
        <v>413</v>
      </c>
      <c r="T47" s="108" t="s">
        <v>414</v>
      </c>
      <c r="U47" s="108" t="s">
        <v>413</v>
      </c>
      <c r="V47" s="108" t="s">
        <v>413</v>
      </c>
      <c r="W47" s="108" t="s">
        <v>413</v>
      </c>
    </row>
    <row r="48" spans="1:23" ht="21" customHeight="1" x14ac:dyDescent="0.15">
      <c r="A48" s="104">
        <f t="shared" si="0"/>
        <v>47</v>
      </c>
      <c r="B48" s="105" t="s">
        <v>416</v>
      </c>
      <c r="C48" s="106" t="s">
        <v>417</v>
      </c>
      <c r="D48" s="107" t="s">
        <v>418</v>
      </c>
      <c r="E48" s="108" t="s">
        <v>419</v>
      </c>
      <c r="F48" s="108" t="s">
        <v>272</v>
      </c>
      <c r="G48" s="108" t="s">
        <v>273</v>
      </c>
      <c r="H48" s="105" t="s">
        <v>300</v>
      </c>
      <c r="I48" s="109">
        <v>2</v>
      </c>
      <c r="J48" s="109" t="s">
        <v>346</v>
      </c>
      <c r="K48" s="105" t="s">
        <v>276</v>
      </c>
      <c r="L48" s="107" t="str">
        <f ca="1">VLOOKUP($K48,OFFSET([1]character_type_i18n!$A$1,0,0,COUNTA([1]character_type_i18n!$A:$A),MATCH(L$1,[1]character_type_i18n!$1:$1,0)-MATCH($K$1,[1]character_type_i18n!$1:$1,0)+1),MATCH(L$1,[1]character_type_i18n!$1:$1,0)-MATCH($K$1,[1]character_type_i18n!$1:$1,0)+1,FALSE)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8" s="105" t="s">
        <v>318</v>
      </c>
      <c r="N48" s="107" t="str">
        <f>VLOOKUP(M48,[1]character_tribe_i18n!A:C,3,FALSE)</f>
        <v>アニマル</v>
      </c>
      <c r="O48" s="105" t="s">
        <v>278</v>
      </c>
      <c r="P48" s="107" t="str">
        <f>VLOOKUP(O48,[1]character_tribe_i18n!A:C,3,FALSE)</f>
        <v>種族なし</v>
      </c>
      <c r="Q48" s="110" t="s">
        <v>397</v>
      </c>
      <c r="R48" s="111">
        <v>3</v>
      </c>
      <c r="S48" s="108" t="s">
        <v>398</v>
      </c>
      <c r="T48" s="108" t="s">
        <v>399</v>
      </c>
      <c r="U48" s="108" t="s">
        <v>398</v>
      </c>
      <c r="V48" s="108" t="s">
        <v>398</v>
      </c>
      <c r="W48" s="108" t="s">
        <v>398</v>
      </c>
    </row>
    <row r="49" spans="1:23" ht="21" customHeight="1" x14ac:dyDescent="0.15">
      <c r="A49" s="104">
        <f t="shared" si="0"/>
        <v>48</v>
      </c>
      <c r="B49" s="105" t="s">
        <v>400</v>
      </c>
      <c r="C49" s="106" t="s">
        <v>420</v>
      </c>
      <c r="D49" s="107" t="s">
        <v>404</v>
      </c>
      <c r="E49" s="108" t="s">
        <v>402</v>
      </c>
      <c r="F49" s="108" t="s">
        <v>272</v>
      </c>
      <c r="G49" s="108" t="s">
        <v>273</v>
      </c>
      <c r="H49" s="105" t="s">
        <v>300</v>
      </c>
      <c r="I49" s="109">
        <v>3</v>
      </c>
      <c r="J49" s="109" t="s">
        <v>346</v>
      </c>
      <c r="K49" s="105" t="s">
        <v>276</v>
      </c>
      <c r="L49" s="107" t="str">
        <f ca="1">VLOOKUP($K49,OFFSET([1]character_type_i18n!$A$1,0,0,COUNTA([1]character_type_i18n!$A:$A),MATCH(L$1,[1]character_type_i18n!$1:$1,0)-MATCH($K$1,[1]character_type_i18n!$1:$1,0)+1),MATCH(L$1,[1]character_type_i18n!$1:$1,0)-MATCH($K$1,[1]character_type_i18n!$1:$1,0)+1,FALSE)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9" s="105" t="s">
        <v>318</v>
      </c>
      <c r="N49" s="107" t="str">
        <f>VLOOKUP(M49,[1]character_tribe_i18n!A:C,3,FALSE)</f>
        <v>アニマル</v>
      </c>
      <c r="O49" s="105" t="s">
        <v>278</v>
      </c>
      <c r="P49" s="107" t="str">
        <f>VLOOKUP(O49,[1]character_tribe_i18n!A:C,3,FALSE)</f>
        <v>種族なし</v>
      </c>
      <c r="Q49" s="110" t="s">
        <v>397</v>
      </c>
      <c r="R49" s="111">
        <v>3</v>
      </c>
      <c r="S49" s="108" t="s">
        <v>398</v>
      </c>
      <c r="T49" s="108" t="s">
        <v>399</v>
      </c>
      <c r="U49" s="108" t="s">
        <v>398</v>
      </c>
      <c r="V49" s="108" t="s">
        <v>398</v>
      </c>
      <c r="W49" s="108" t="s">
        <v>398</v>
      </c>
    </row>
    <row r="50" spans="1:23" ht="21" customHeight="1" x14ac:dyDescent="0.15">
      <c r="A50" s="104">
        <v>49</v>
      </c>
      <c r="B50" s="105" t="s">
        <v>400</v>
      </c>
      <c r="C50" s="106" t="s">
        <v>421</v>
      </c>
      <c r="D50" s="107" t="s">
        <v>404</v>
      </c>
      <c r="E50" s="108" t="s">
        <v>402</v>
      </c>
      <c r="F50" s="108" t="s">
        <v>272</v>
      </c>
      <c r="G50" s="108" t="s">
        <v>383</v>
      </c>
      <c r="H50" s="105" t="s">
        <v>274</v>
      </c>
      <c r="I50" s="109">
        <v>2</v>
      </c>
      <c r="J50" s="109" t="s">
        <v>346</v>
      </c>
      <c r="K50" s="105" t="s">
        <v>347</v>
      </c>
      <c r="L50" s="107" t="str">
        <f ca="1">VLOOKUP($K50,OFFSET([1]character_type_i18n!$A$1,0,0,COUNTA([1]character_type_i18n!$A:$A),MATCH(L$1,[1]character_type_i18n!$1:$1,0)-MATCH($K$1,[1]character_type_i18n!$1:$1,0)+1),MATCH(L$1,[1]character_type_i18n!$1:$1,0)-MATCH($K$1,[1]character_type_i18n!$1:$1,0)+1,FALSE)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0" s="105" t="s">
        <v>332</v>
      </c>
      <c r="N50" s="107" t="str">
        <f>VLOOKUP(M50,[1]character_tribe_i18n!A:C,3,FALSE)</f>
        <v>ヒューマン</v>
      </c>
      <c r="O50" s="105" t="s">
        <v>278</v>
      </c>
      <c r="P50" s="107" t="str">
        <f>VLOOKUP(O50,[1]character_tribe_i18n!A:C,3,FALSE)</f>
        <v>種族なし</v>
      </c>
      <c r="Q50" s="110" t="s">
        <v>422</v>
      </c>
      <c r="R50" s="111">
        <v>3</v>
      </c>
      <c r="S50" s="108" t="s">
        <v>398</v>
      </c>
      <c r="T50" s="108" t="s">
        <v>399</v>
      </c>
      <c r="U50" s="108" t="s">
        <v>398</v>
      </c>
      <c r="V50" s="108" t="s">
        <v>398</v>
      </c>
      <c r="W50" s="108" t="s">
        <v>398</v>
      </c>
    </row>
    <row r="51" spans="1:23" ht="21" customHeight="1" x14ac:dyDescent="0.15">
      <c r="A51" s="104">
        <f t="shared" si="0"/>
        <v>50</v>
      </c>
      <c r="B51" s="105" t="s">
        <v>268</v>
      </c>
      <c r="C51" s="106" t="s">
        <v>423</v>
      </c>
      <c r="D51" s="107" t="s">
        <v>270</v>
      </c>
      <c r="E51" s="108" t="s">
        <v>327</v>
      </c>
      <c r="F51" s="108" t="s">
        <v>272</v>
      </c>
      <c r="G51" s="108" t="s">
        <v>383</v>
      </c>
      <c r="H51" s="105" t="s">
        <v>274</v>
      </c>
      <c r="I51" s="109">
        <v>3</v>
      </c>
      <c r="J51" s="109" t="s">
        <v>346</v>
      </c>
      <c r="K51" s="105" t="s">
        <v>347</v>
      </c>
      <c r="L51" s="107" t="str">
        <f ca="1">VLOOKUP($K51,OFFSET([1]character_type_i18n!$A$1,0,0,COUNTA([1]character_type_i18n!$A:$A),MATCH(L$1,[1]character_type_i18n!$1:$1,0)-MATCH($K$1,[1]character_type_i18n!$1:$1,0)+1),MATCH(L$1,[1]character_type_i18n!$1:$1,0)-MATCH($K$1,[1]character_type_i18n!$1:$1,0)+1,FALSE)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1" s="105" t="s">
        <v>332</v>
      </c>
      <c r="N51" s="107" t="str">
        <f>VLOOKUP(M51,[1]character_tribe_i18n!A:C,3,FALSE)</f>
        <v>ヒューマン</v>
      </c>
      <c r="O51" s="105" t="s">
        <v>278</v>
      </c>
      <c r="P51" s="107" t="str">
        <f>VLOOKUP(O51,[1]character_tribe_i18n!A:C,3,FALSE)</f>
        <v>種族なし</v>
      </c>
      <c r="Q51" s="110" t="s">
        <v>422</v>
      </c>
      <c r="R51" s="111">
        <v>3</v>
      </c>
      <c r="S51" s="108" t="s">
        <v>398</v>
      </c>
      <c r="T51" s="108" t="s">
        <v>399</v>
      </c>
      <c r="U51" s="108" t="s">
        <v>398</v>
      </c>
      <c r="V51" s="108" t="s">
        <v>398</v>
      </c>
      <c r="W51" s="108" t="s">
        <v>398</v>
      </c>
    </row>
    <row r="52" spans="1:23" ht="21" customHeight="1" x14ac:dyDescent="0.15">
      <c r="A52" s="104">
        <f t="shared" si="0"/>
        <v>51</v>
      </c>
      <c r="B52" s="105" t="s">
        <v>268</v>
      </c>
      <c r="C52" s="106" t="s">
        <v>424</v>
      </c>
      <c r="D52" s="107" t="s">
        <v>270</v>
      </c>
      <c r="E52" s="108" t="s">
        <v>327</v>
      </c>
      <c r="F52" s="108" t="s">
        <v>272</v>
      </c>
      <c r="G52" s="108" t="s">
        <v>331</v>
      </c>
      <c r="H52" s="105" t="s">
        <v>285</v>
      </c>
      <c r="I52" s="109">
        <v>2</v>
      </c>
      <c r="J52" s="109" t="s">
        <v>346</v>
      </c>
      <c r="K52" s="105" t="s">
        <v>276</v>
      </c>
      <c r="L52" s="107" t="str">
        <f ca="1">VLOOKUP($K52,OFFSET([1]character_type_i18n!$A$1,0,0,COUNTA([1]character_type_i18n!$A:$A),MATCH(L$1,[1]character_type_i18n!$1:$1,0)-MATCH($K$1,[1]character_type_i18n!$1:$1,0)+1),MATCH(L$1,[1]character_type_i18n!$1:$1,0)-MATCH($K$1,[1]character_type_i18n!$1:$1,0)+1,FALSE)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2" s="105" t="s">
        <v>332</v>
      </c>
      <c r="N52" s="107" t="str">
        <f>VLOOKUP(M52,[1]character_tribe_i18n!A:C,3,FALSE)</f>
        <v>ヒューマン</v>
      </c>
      <c r="O52" s="105" t="s">
        <v>278</v>
      </c>
      <c r="P52" s="107" t="str">
        <f>VLOOKUP(O52,[1]character_tribe_i18n!A:C,3,FALSE)</f>
        <v>種族なし</v>
      </c>
      <c r="Q52" s="110" t="s">
        <v>425</v>
      </c>
      <c r="R52" s="111">
        <v>3</v>
      </c>
      <c r="S52" s="108" t="s">
        <v>426</v>
      </c>
      <c r="T52" s="108" t="s">
        <v>427</v>
      </c>
      <c r="U52" s="108" t="s">
        <v>426</v>
      </c>
      <c r="V52" s="108" t="s">
        <v>426</v>
      </c>
      <c r="W52" s="108" t="s">
        <v>426</v>
      </c>
    </row>
    <row r="53" spans="1:23" ht="21" customHeight="1" x14ac:dyDescent="0.15">
      <c r="A53" s="104">
        <f t="shared" si="0"/>
        <v>52</v>
      </c>
      <c r="B53" s="105" t="s">
        <v>268</v>
      </c>
      <c r="C53" s="106" t="s">
        <v>428</v>
      </c>
      <c r="D53" s="107" t="s">
        <v>270</v>
      </c>
      <c r="E53" s="108" t="s">
        <v>327</v>
      </c>
      <c r="F53" s="108" t="s">
        <v>272</v>
      </c>
      <c r="G53" s="108" t="s">
        <v>331</v>
      </c>
      <c r="H53" s="105" t="s">
        <v>285</v>
      </c>
      <c r="I53" s="109">
        <v>3</v>
      </c>
      <c r="J53" s="109" t="s">
        <v>346</v>
      </c>
      <c r="K53" s="105" t="s">
        <v>276</v>
      </c>
      <c r="L53" s="107" t="str">
        <f ca="1">VLOOKUP($K53,OFFSET([1]character_type_i18n!$A$1,0,0,COUNTA([1]character_type_i18n!$A:$A),MATCH(L$1,[1]character_type_i18n!$1:$1,0)-MATCH($K$1,[1]character_type_i18n!$1:$1,0)+1),MATCH(L$1,[1]character_type_i18n!$1:$1,0)-MATCH($K$1,[1]character_type_i18n!$1:$1,0)+1,FALSE)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3" s="105" t="s">
        <v>332</v>
      </c>
      <c r="N53" s="107" t="str">
        <f>VLOOKUP(M53,[1]character_tribe_i18n!A:C,3,FALSE)</f>
        <v>ヒューマン</v>
      </c>
      <c r="O53" s="105" t="s">
        <v>278</v>
      </c>
      <c r="P53" s="107" t="str">
        <f>VLOOKUP(O53,[1]character_tribe_i18n!A:C,3,FALSE)</f>
        <v>種族なし</v>
      </c>
      <c r="Q53" s="110" t="s">
        <v>425</v>
      </c>
      <c r="R53" s="111">
        <v>3</v>
      </c>
      <c r="S53" s="108" t="s">
        <v>426</v>
      </c>
      <c r="T53" s="108" t="s">
        <v>427</v>
      </c>
      <c r="U53" s="108" t="s">
        <v>426</v>
      </c>
      <c r="V53" s="108" t="s">
        <v>426</v>
      </c>
      <c r="W53" s="108" t="s">
        <v>426</v>
      </c>
    </row>
    <row r="54" spans="1:23" ht="21" customHeight="1" x14ac:dyDescent="0.15">
      <c r="A54" s="104">
        <f t="shared" si="0"/>
        <v>53</v>
      </c>
      <c r="B54" s="105" t="s">
        <v>268</v>
      </c>
      <c r="C54" s="106" t="s">
        <v>429</v>
      </c>
      <c r="D54" s="107" t="s">
        <v>270</v>
      </c>
      <c r="E54" s="108" t="s">
        <v>327</v>
      </c>
      <c r="F54" s="108" t="s">
        <v>272</v>
      </c>
      <c r="G54" s="108" t="s">
        <v>383</v>
      </c>
      <c r="H54" s="105" t="s">
        <v>295</v>
      </c>
      <c r="I54" s="109">
        <v>2</v>
      </c>
      <c r="J54" s="109" t="s">
        <v>346</v>
      </c>
      <c r="K54" s="105" t="s">
        <v>286</v>
      </c>
      <c r="L54" s="107" t="str">
        <f ca="1">VLOOKUP($K54,OFFSET([1]character_type_i18n!$A$1,0,0,COUNTA([1]character_type_i18n!$A:$A),MATCH(L$1,[1]character_type_i18n!$1:$1,0)-MATCH($K$1,[1]character_type_i18n!$1:$1,0)+1),MATCH(L$1,[1]character_type_i18n!$1:$1,0)-MATCH($K$1,[1]character_type_i18n!$1:$1,0)+1,FALSE)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4" s="105" t="s">
        <v>332</v>
      </c>
      <c r="N54" s="107" t="str">
        <f>VLOOKUP(M54,[1]character_tribe_i18n!A:C,3,FALSE)</f>
        <v>ヒューマン</v>
      </c>
      <c r="O54" s="105" t="s">
        <v>278</v>
      </c>
      <c r="P54" s="107" t="str">
        <f>VLOOKUP(O54,[1]character_tribe_i18n!A:C,3,FALSE)</f>
        <v>種族なし</v>
      </c>
      <c r="Q54" s="110" t="s">
        <v>422</v>
      </c>
      <c r="R54" s="111">
        <v>3</v>
      </c>
      <c r="S54" s="108" t="s">
        <v>398</v>
      </c>
      <c r="T54" s="108" t="s">
        <v>399</v>
      </c>
      <c r="U54" s="108" t="s">
        <v>398</v>
      </c>
      <c r="V54" s="108" t="s">
        <v>398</v>
      </c>
      <c r="W54" s="108" t="s">
        <v>398</v>
      </c>
    </row>
    <row r="55" spans="1:23" ht="21" customHeight="1" x14ac:dyDescent="0.15">
      <c r="A55" s="104">
        <f t="shared" si="0"/>
        <v>54</v>
      </c>
      <c r="B55" s="105" t="s">
        <v>400</v>
      </c>
      <c r="C55" s="106" t="s">
        <v>430</v>
      </c>
      <c r="D55" s="107" t="s">
        <v>404</v>
      </c>
      <c r="E55" s="108" t="s">
        <v>402</v>
      </c>
      <c r="F55" s="108" t="s">
        <v>272</v>
      </c>
      <c r="G55" s="108" t="s">
        <v>383</v>
      </c>
      <c r="H55" s="105" t="s">
        <v>295</v>
      </c>
      <c r="I55" s="109">
        <v>3</v>
      </c>
      <c r="J55" s="109" t="s">
        <v>346</v>
      </c>
      <c r="K55" s="105" t="s">
        <v>286</v>
      </c>
      <c r="L55" s="107" t="str">
        <f ca="1">VLOOKUP($K55,OFFSET([1]character_type_i18n!$A$1,0,0,COUNTA([1]character_type_i18n!$A:$A),MATCH(L$1,[1]character_type_i18n!$1:$1,0)-MATCH($K$1,[1]character_type_i18n!$1:$1,0)+1),MATCH(L$1,[1]character_type_i18n!$1:$1,0)-MATCH($K$1,[1]character_type_i18n!$1:$1,0)+1,FALSE)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5" s="105" t="s">
        <v>332</v>
      </c>
      <c r="N55" s="107" t="str">
        <f>VLOOKUP(M55,[1]character_tribe_i18n!A:C,3,FALSE)</f>
        <v>ヒューマン</v>
      </c>
      <c r="O55" s="105" t="s">
        <v>278</v>
      </c>
      <c r="P55" s="107" t="str">
        <f>VLOOKUP(O55,[1]character_tribe_i18n!A:C,3,FALSE)</f>
        <v>種族なし</v>
      </c>
      <c r="Q55" s="110" t="s">
        <v>425</v>
      </c>
      <c r="R55" s="111">
        <v>3</v>
      </c>
      <c r="S55" s="108" t="s">
        <v>426</v>
      </c>
      <c r="T55" s="108" t="s">
        <v>427</v>
      </c>
      <c r="U55" s="108" t="s">
        <v>426</v>
      </c>
      <c r="V55" s="108" t="s">
        <v>426</v>
      </c>
      <c r="W55" s="108" t="s">
        <v>426</v>
      </c>
    </row>
    <row r="56" spans="1:23" ht="21" customHeight="1" x14ac:dyDescent="0.15">
      <c r="A56" s="104">
        <f t="shared" si="0"/>
        <v>55</v>
      </c>
      <c r="B56" s="105" t="s">
        <v>431</v>
      </c>
      <c r="C56" s="106" t="s">
        <v>432</v>
      </c>
      <c r="D56" s="107" t="s">
        <v>270</v>
      </c>
      <c r="E56" s="108" t="s">
        <v>327</v>
      </c>
      <c r="F56" s="108" t="s">
        <v>272</v>
      </c>
      <c r="G56" s="108" t="s">
        <v>331</v>
      </c>
      <c r="H56" s="105" t="s">
        <v>300</v>
      </c>
      <c r="I56" s="109">
        <v>2</v>
      </c>
      <c r="J56" s="109" t="s">
        <v>346</v>
      </c>
      <c r="K56" s="105" t="s">
        <v>286</v>
      </c>
      <c r="L56" s="107" t="str">
        <f ca="1">VLOOKUP($K56,OFFSET([1]character_type_i18n!$A$1,0,0,COUNTA([1]character_type_i18n!$A:$A),MATCH(L$1,[1]character_type_i18n!$1:$1,0)-MATCH($K$1,[1]character_type_i18n!$1:$1,0)+1),MATCH(L$1,[1]character_type_i18n!$1:$1,0)-MATCH($K$1,[1]character_type_i18n!$1:$1,0)+1,FALSE)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6" s="105" t="s">
        <v>332</v>
      </c>
      <c r="N56" s="107" t="str">
        <f>VLOOKUP(M56,[1]character_tribe_i18n!A:C,3,FALSE)</f>
        <v>ヒューマン</v>
      </c>
      <c r="O56" s="105" t="s">
        <v>278</v>
      </c>
      <c r="P56" s="107" t="str">
        <f>VLOOKUP(O56,[1]character_tribe_i18n!A:C,3,FALSE)</f>
        <v>種族なし</v>
      </c>
      <c r="Q56" s="110" t="s">
        <v>425</v>
      </c>
      <c r="R56" s="111">
        <v>3</v>
      </c>
      <c r="S56" s="108" t="s">
        <v>426</v>
      </c>
      <c r="T56" s="108" t="s">
        <v>427</v>
      </c>
      <c r="U56" s="108" t="s">
        <v>426</v>
      </c>
      <c r="V56" s="108" t="s">
        <v>426</v>
      </c>
      <c r="W56" s="108" t="s">
        <v>426</v>
      </c>
    </row>
    <row r="57" spans="1:23" ht="21" customHeight="1" x14ac:dyDescent="0.15">
      <c r="A57" s="104">
        <f t="shared" si="0"/>
        <v>56</v>
      </c>
      <c r="B57" s="105" t="s">
        <v>431</v>
      </c>
      <c r="C57" s="106" t="s">
        <v>433</v>
      </c>
      <c r="D57" s="107" t="s">
        <v>434</v>
      </c>
      <c r="E57" s="108" t="s">
        <v>435</v>
      </c>
      <c r="F57" s="108" t="s">
        <v>272</v>
      </c>
      <c r="G57" s="108" t="s">
        <v>331</v>
      </c>
      <c r="H57" s="105" t="s">
        <v>300</v>
      </c>
      <c r="I57" s="109">
        <v>3</v>
      </c>
      <c r="J57" s="109" t="s">
        <v>346</v>
      </c>
      <c r="K57" s="105" t="s">
        <v>286</v>
      </c>
      <c r="L57" s="107" t="str">
        <f ca="1">VLOOKUP($K57,OFFSET([1]character_type_i18n!$A$1,0,0,COUNTA([1]character_type_i18n!$A:$A),MATCH(L$1,[1]character_type_i18n!$1:$1,0)-MATCH($K$1,[1]character_type_i18n!$1:$1,0)+1),MATCH(L$1,[1]character_type_i18n!$1:$1,0)-MATCH($K$1,[1]character_type_i18n!$1:$1,0)+1,FALSE)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7" s="105" t="s">
        <v>332</v>
      </c>
      <c r="N57" s="107" t="str">
        <f>VLOOKUP(M57,[1]character_tribe_i18n!A:C,3,FALSE)</f>
        <v>ヒューマン</v>
      </c>
      <c r="O57" s="105" t="s">
        <v>278</v>
      </c>
      <c r="P57" s="107" t="str">
        <f>VLOOKUP(O57,[1]character_tribe_i18n!A:C,3,FALSE)</f>
        <v>種族なし</v>
      </c>
      <c r="Q57" s="110" t="s">
        <v>425</v>
      </c>
      <c r="R57" s="111">
        <v>3</v>
      </c>
      <c r="S57" s="108" t="s">
        <v>426</v>
      </c>
      <c r="T57" s="108" t="s">
        <v>427</v>
      </c>
      <c r="U57" s="108" t="s">
        <v>426</v>
      </c>
      <c r="V57" s="108" t="s">
        <v>426</v>
      </c>
      <c r="W57" s="108" t="s">
        <v>426</v>
      </c>
    </row>
    <row r="58" spans="1:23" ht="21" customHeight="1" x14ac:dyDescent="0.15">
      <c r="A58" s="104">
        <f t="shared" si="0"/>
        <v>57</v>
      </c>
      <c r="B58" s="105" t="s">
        <v>431</v>
      </c>
      <c r="C58" s="106" t="s">
        <v>436</v>
      </c>
      <c r="D58" s="107" t="s">
        <v>434</v>
      </c>
      <c r="E58" s="108" t="s">
        <v>435</v>
      </c>
      <c r="F58" s="108" t="s">
        <v>272</v>
      </c>
      <c r="G58" s="108" t="s">
        <v>383</v>
      </c>
      <c r="H58" s="105" t="s">
        <v>274</v>
      </c>
      <c r="I58" s="109">
        <v>2</v>
      </c>
      <c r="J58" s="109" t="s">
        <v>346</v>
      </c>
      <c r="K58" s="105" t="s">
        <v>286</v>
      </c>
      <c r="L58" s="107" t="str">
        <f ca="1">VLOOKUP($K58,OFFSET([1]character_type_i18n!$A$1,0,0,COUNTA([1]character_type_i18n!$A:$A),MATCH(L$1,[1]character_type_i18n!$1:$1,0)-MATCH($K$1,[1]character_type_i18n!$1:$1,0)+1),MATCH(L$1,[1]character_type_i18n!$1:$1,0)-MATCH($K$1,[1]character_type_i18n!$1:$1,0)+1,FALSE)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8" s="105" t="s">
        <v>318</v>
      </c>
      <c r="N58" s="107" t="str">
        <f>VLOOKUP(M58,[1]character_tribe_i18n!A:C,3,FALSE)</f>
        <v>アニマル</v>
      </c>
      <c r="O58" s="105" t="s">
        <v>278</v>
      </c>
      <c r="P58" s="107" t="str">
        <f>VLOOKUP(O58,[1]character_tribe_i18n!A:C,3,FALSE)</f>
        <v>種族なし</v>
      </c>
      <c r="Q58" s="110" t="s">
        <v>437</v>
      </c>
      <c r="R58" s="111">
        <v>3</v>
      </c>
      <c r="S58" s="108" t="s">
        <v>398</v>
      </c>
      <c r="T58" s="108" t="s">
        <v>399</v>
      </c>
      <c r="U58" s="108" t="s">
        <v>398</v>
      </c>
      <c r="V58" s="108" t="s">
        <v>398</v>
      </c>
      <c r="W58" s="108" t="s">
        <v>398</v>
      </c>
    </row>
    <row r="59" spans="1:23" ht="21" customHeight="1" x14ac:dyDescent="0.15">
      <c r="A59" s="104">
        <f t="shared" si="0"/>
        <v>58</v>
      </c>
      <c r="B59" s="105" t="s">
        <v>400</v>
      </c>
      <c r="C59" s="106" t="s">
        <v>438</v>
      </c>
      <c r="D59" s="107" t="s">
        <v>404</v>
      </c>
      <c r="E59" s="108" t="s">
        <v>402</v>
      </c>
      <c r="F59" s="108" t="s">
        <v>272</v>
      </c>
      <c r="G59" s="108" t="s">
        <v>383</v>
      </c>
      <c r="H59" s="105" t="s">
        <v>274</v>
      </c>
      <c r="I59" s="109">
        <v>3</v>
      </c>
      <c r="J59" s="109" t="s">
        <v>346</v>
      </c>
      <c r="K59" s="105" t="s">
        <v>286</v>
      </c>
      <c r="L59" s="107" t="str">
        <f ca="1">VLOOKUP($K59,OFFSET([1]character_type_i18n!$A$1,0,0,COUNTA([1]character_type_i18n!$A:$A),MATCH(L$1,[1]character_type_i18n!$1:$1,0)-MATCH($K$1,[1]character_type_i18n!$1:$1,0)+1),MATCH(L$1,[1]character_type_i18n!$1:$1,0)-MATCH($K$1,[1]character_type_i18n!$1:$1,0)+1,FALSE)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" s="105" t="s">
        <v>318</v>
      </c>
      <c r="N59" s="107" t="str">
        <f>VLOOKUP(M59,[1]character_tribe_i18n!A:C,3,FALSE)</f>
        <v>アニマル</v>
      </c>
      <c r="O59" s="105" t="s">
        <v>278</v>
      </c>
      <c r="P59" s="107" t="str">
        <f>VLOOKUP(O59,[1]character_tribe_i18n!A:C,3,FALSE)</f>
        <v>種族なし</v>
      </c>
      <c r="Q59" s="110" t="s">
        <v>439</v>
      </c>
      <c r="R59" s="111">
        <v>3</v>
      </c>
      <c r="S59" s="108" t="s">
        <v>386</v>
      </c>
      <c r="T59" s="108" t="s">
        <v>440</v>
      </c>
      <c r="U59" s="108" t="s">
        <v>441</v>
      </c>
      <c r="V59" s="108" t="s">
        <v>386</v>
      </c>
      <c r="W59" s="108" t="s">
        <v>386</v>
      </c>
    </row>
    <row r="60" spans="1:23" ht="21" customHeight="1" x14ac:dyDescent="0.15">
      <c r="A60" s="104">
        <f t="shared" si="0"/>
        <v>59</v>
      </c>
      <c r="B60" s="105" t="s">
        <v>387</v>
      </c>
      <c r="C60" s="106" t="s">
        <v>442</v>
      </c>
      <c r="D60" s="107" t="s">
        <v>443</v>
      </c>
      <c r="E60" s="108" t="s">
        <v>444</v>
      </c>
      <c r="F60" s="108" t="s">
        <v>272</v>
      </c>
      <c r="G60" s="108" t="s">
        <v>383</v>
      </c>
      <c r="H60" s="105" t="s">
        <v>285</v>
      </c>
      <c r="I60" s="109">
        <v>2</v>
      </c>
      <c r="J60" s="109" t="s">
        <v>346</v>
      </c>
      <c r="K60" s="105" t="s">
        <v>296</v>
      </c>
      <c r="L60" s="107" t="str">
        <f ca="1">VLOOKUP($K60,OFFSET([1]character_type_i18n!$A$1,0,0,COUNTA([1]character_type_i18n!$A:$A),MATCH(L$1,[1]character_type_i18n!$1:$1,0)-MATCH($K$1,[1]character_type_i18n!$1:$1,0)+1),MATCH(L$1,[1]character_type_i18n!$1:$1,0)-MATCH($K$1,[1]character_type_i18n!$1:$1,0)+1,FALSE)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" s="105" t="s">
        <v>318</v>
      </c>
      <c r="N60" s="107" t="str">
        <f>VLOOKUP(M60,[1]character_tribe_i18n!A:C,3,FALSE)</f>
        <v>アニマル</v>
      </c>
      <c r="O60" s="105" t="s">
        <v>278</v>
      </c>
      <c r="P60" s="107" t="str">
        <f>VLOOKUP(O60,[1]character_tribe_i18n!A:C,3,FALSE)</f>
        <v>種族なし</v>
      </c>
      <c r="Q60" s="110" t="s">
        <v>445</v>
      </c>
      <c r="R60" s="111">
        <v>3</v>
      </c>
      <c r="S60" s="108" t="s">
        <v>413</v>
      </c>
      <c r="T60" s="108" t="s">
        <v>414</v>
      </c>
      <c r="U60" s="108" t="s">
        <v>413</v>
      </c>
      <c r="V60" s="108" t="s">
        <v>413</v>
      </c>
      <c r="W60" s="108" t="s">
        <v>413</v>
      </c>
    </row>
    <row r="61" spans="1:23" ht="21" customHeight="1" x14ac:dyDescent="0.15">
      <c r="A61" s="104">
        <f t="shared" si="0"/>
        <v>60</v>
      </c>
      <c r="B61" s="105" t="s">
        <v>416</v>
      </c>
      <c r="C61" s="106" t="s">
        <v>446</v>
      </c>
      <c r="D61" s="107" t="s">
        <v>270</v>
      </c>
      <c r="E61" s="108" t="s">
        <v>327</v>
      </c>
      <c r="F61" s="108" t="s">
        <v>272</v>
      </c>
      <c r="G61" s="108" t="s">
        <v>383</v>
      </c>
      <c r="H61" s="105" t="s">
        <v>285</v>
      </c>
      <c r="I61" s="109">
        <v>3</v>
      </c>
      <c r="J61" s="109" t="s">
        <v>346</v>
      </c>
      <c r="K61" s="105" t="s">
        <v>296</v>
      </c>
      <c r="L61" s="107" t="str">
        <f ca="1">VLOOKUP($K61,OFFSET([1]character_type_i18n!$A$1,0,0,COUNTA([1]character_type_i18n!$A:$A),MATCH(L$1,[1]character_type_i18n!$1:$1,0)-MATCH($K$1,[1]character_type_i18n!$1:$1,0)+1),MATCH(L$1,[1]character_type_i18n!$1:$1,0)-MATCH($K$1,[1]character_type_i18n!$1:$1,0)+1,FALSE)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1" s="105" t="s">
        <v>318</v>
      </c>
      <c r="N61" s="107" t="str">
        <f>VLOOKUP(M61,[1]character_tribe_i18n!A:C,3,FALSE)</f>
        <v>アニマル</v>
      </c>
      <c r="O61" s="105" t="s">
        <v>278</v>
      </c>
      <c r="P61" s="107" t="str">
        <f>VLOOKUP(O61,[1]character_tribe_i18n!A:C,3,FALSE)</f>
        <v>種族なし</v>
      </c>
      <c r="Q61" s="110" t="s">
        <v>447</v>
      </c>
      <c r="R61" s="111">
        <v>3</v>
      </c>
      <c r="S61" s="108" t="s">
        <v>448</v>
      </c>
      <c r="T61" s="108" t="s">
        <v>449</v>
      </c>
      <c r="U61" s="108" t="s">
        <v>450</v>
      </c>
      <c r="V61" s="108" t="s">
        <v>448</v>
      </c>
      <c r="W61" s="108" t="s">
        <v>448</v>
      </c>
    </row>
    <row r="62" spans="1:23" ht="21" customHeight="1" x14ac:dyDescent="0.15">
      <c r="A62" s="104">
        <f t="shared" si="0"/>
        <v>61</v>
      </c>
      <c r="B62" s="105" t="s">
        <v>451</v>
      </c>
      <c r="C62" s="106" t="s">
        <v>452</v>
      </c>
      <c r="D62" s="107" t="s">
        <v>453</v>
      </c>
      <c r="E62" s="108" t="s">
        <v>454</v>
      </c>
      <c r="F62" s="108" t="s">
        <v>272</v>
      </c>
      <c r="G62" s="108" t="s">
        <v>383</v>
      </c>
      <c r="H62" s="105" t="s">
        <v>295</v>
      </c>
      <c r="I62" s="109">
        <v>2</v>
      </c>
      <c r="J62" s="109" t="s">
        <v>346</v>
      </c>
      <c r="K62" s="105" t="s">
        <v>296</v>
      </c>
      <c r="L62" s="107" t="str">
        <f ca="1">VLOOKUP($K62,OFFSET([1]character_type_i18n!$A$1,0,0,COUNTA([1]character_type_i18n!$A:$A),MATCH(L$1,[1]character_type_i18n!$1:$1,0)-MATCH($K$1,[1]character_type_i18n!$1:$1,0)+1),MATCH(L$1,[1]character_type_i18n!$1:$1,0)-MATCH($K$1,[1]character_type_i18n!$1:$1,0)+1,FALSE)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2" s="105" t="s">
        <v>318</v>
      </c>
      <c r="N62" s="107" t="str">
        <f>VLOOKUP(M62,[1]character_tribe_i18n!A:C,3,FALSE)</f>
        <v>アニマル</v>
      </c>
      <c r="O62" s="105" t="s">
        <v>278</v>
      </c>
      <c r="P62" s="107" t="str">
        <f>VLOOKUP(O62,[1]character_tribe_i18n!A:C,3,FALSE)</f>
        <v>種族なし</v>
      </c>
      <c r="Q62" s="110" t="s">
        <v>447</v>
      </c>
      <c r="R62" s="111">
        <v>3</v>
      </c>
      <c r="S62" s="108" t="s">
        <v>448</v>
      </c>
      <c r="T62" s="108" t="s">
        <v>455</v>
      </c>
      <c r="U62" s="108" t="s">
        <v>448</v>
      </c>
      <c r="V62" s="108" t="s">
        <v>448</v>
      </c>
      <c r="W62" s="108" t="s">
        <v>448</v>
      </c>
    </row>
    <row r="63" spans="1:23" ht="21" customHeight="1" x14ac:dyDescent="0.15">
      <c r="A63" s="104">
        <f t="shared" si="0"/>
        <v>62</v>
      </c>
      <c r="B63" s="105" t="s">
        <v>451</v>
      </c>
      <c r="C63" s="106" t="s">
        <v>456</v>
      </c>
      <c r="D63" s="107" t="s">
        <v>457</v>
      </c>
      <c r="E63" s="108" t="s">
        <v>458</v>
      </c>
      <c r="F63" s="108" t="s">
        <v>272</v>
      </c>
      <c r="G63" s="108" t="s">
        <v>383</v>
      </c>
      <c r="H63" s="105" t="s">
        <v>295</v>
      </c>
      <c r="I63" s="109">
        <v>3</v>
      </c>
      <c r="J63" s="109" t="s">
        <v>346</v>
      </c>
      <c r="K63" s="105" t="s">
        <v>296</v>
      </c>
      <c r="L63" s="107" t="str">
        <f ca="1">VLOOKUP($K63,OFFSET([1]character_type_i18n!$A$1,0,0,COUNTA([1]character_type_i18n!$A:$A),MATCH(L$1,[1]character_type_i18n!$1:$1,0)-MATCH($K$1,[1]character_type_i18n!$1:$1,0)+1),MATCH(L$1,[1]character_type_i18n!$1:$1,0)-MATCH($K$1,[1]character_type_i18n!$1:$1,0)+1,FALSE)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3" s="105" t="s">
        <v>318</v>
      </c>
      <c r="N63" s="107" t="str">
        <f>VLOOKUP(M63,[1]character_tribe_i18n!A:C,3,FALSE)</f>
        <v>アニマル</v>
      </c>
      <c r="O63" s="105" t="s">
        <v>278</v>
      </c>
      <c r="P63" s="107" t="str">
        <f>VLOOKUP(O63,[1]character_tribe_i18n!A:C,3,FALSE)</f>
        <v>種族なし</v>
      </c>
      <c r="Q63" s="110" t="s">
        <v>447</v>
      </c>
      <c r="R63" s="111">
        <v>3</v>
      </c>
      <c r="S63" s="108" t="s">
        <v>448</v>
      </c>
      <c r="T63" s="108" t="s">
        <v>455</v>
      </c>
      <c r="U63" s="108" t="s">
        <v>448</v>
      </c>
      <c r="V63" s="108" t="s">
        <v>448</v>
      </c>
      <c r="W63" s="108" t="s">
        <v>448</v>
      </c>
    </row>
    <row r="64" spans="1:23" ht="21" customHeight="1" x14ac:dyDescent="0.15">
      <c r="A64" s="104">
        <f t="shared" si="0"/>
        <v>63</v>
      </c>
      <c r="B64" s="105" t="s">
        <v>268</v>
      </c>
      <c r="C64" s="106" t="s">
        <v>459</v>
      </c>
      <c r="D64" s="107" t="s">
        <v>270</v>
      </c>
      <c r="E64" s="108" t="s">
        <v>327</v>
      </c>
      <c r="F64" s="108" t="s">
        <v>272</v>
      </c>
      <c r="G64" s="108" t="s">
        <v>383</v>
      </c>
      <c r="H64" s="105" t="s">
        <v>300</v>
      </c>
      <c r="I64" s="109">
        <v>2</v>
      </c>
      <c r="J64" s="109" t="s">
        <v>346</v>
      </c>
      <c r="K64" s="105" t="s">
        <v>377</v>
      </c>
      <c r="L64" s="107" t="str">
        <f ca="1">VLOOKUP($K64,OFFSET([1]character_type_i18n!$A$1,0,0,COUNTA([1]character_type_i18n!$A:$A),MATCH(L$1,[1]character_type_i18n!$1:$1,0)-MATCH($K$1,[1]character_type_i18n!$1:$1,0)+1),MATCH(L$1,[1]character_type_i18n!$1:$1,0)-MATCH($K$1,[1]character_type_i18n!$1:$1,0)+1,FALSE)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4" s="105" t="s">
        <v>318</v>
      </c>
      <c r="N64" s="107" t="str">
        <f>VLOOKUP(M64,[1]character_tribe_i18n!A:C,3,FALSE)</f>
        <v>アニマル</v>
      </c>
      <c r="O64" s="105" t="s">
        <v>278</v>
      </c>
      <c r="P64" s="107" t="str">
        <f>VLOOKUP(O64,[1]character_tribe_i18n!A:C,3,FALSE)</f>
        <v>種族なし</v>
      </c>
      <c r="Q64" s="110" t="s">
        <v>460</v>
      </c>
      <c r="R64" s="111">
        <v>3</v>
      </c>
      <c r="S64" s="108" t="s">
        <v>448</v>
      </c>
      <c r="T64" s="108" t="s">
        <v>455</v>
      </c>
      <c r="U64" s="108" t="s">
        <v>448</v>
      </c>
      <c r="V64" s="108" t="s">
        <v>448</v>
      </c>
      <c r="W64" s="108" t="s">
        <v>448</v>
      </c>
    </row>
    <row r="65" spans="1:23" ht="21" customHeight="1" x14ac:dyDescent="0.15">
      <c r="A65" s="104">
        <f t="shared" si="0"/>
        <v>64</v>
      </c>
      <c r="B65" s="105" t="s">
        <v>451</v>
      </c>
      <c r="C65" s="106" t="s">
        <v>461</v>
      </c>
      <c r="D65" s="107" t="s">
        <v>457</v>
      </c>
      <c r="E65" s="108" t="s">
        <v>458</v>
      </c>
      <c r="F65" s="108" t="s">
        <v>272</v>
      </c>
      <c r="G65" s="108" t="s">
        <v>383</v>
      </c>
      <c r="H65" s="105" t="s">
        <v>300</v>
      </c>
      <c r="I65" s="109">
        <v>3</v>
      </c>
      <c r="J65" s="109" t="s">
        <v>346</v>
      </c>
      <c r="K65" s="105" t="s">
        <v>377</v>
      </c>
      <c r="L65" s="107" t="str">
        <f ca="1">VLOOKUP($K65,OFFSET([1]character_type_i18n!$A$1,0,0,COUNTA([1]character_type_i18n!$A:$A),MATCH(L$1,[1]character_type_i18n!$1:$1,0)-MATCH($K$1,[1]character_type_i18n!$1:$1,0)+1),MATCH(L$1,[1]character_type_i18n!$1:$1,0)-MATCH($K$1,[1]character_type_i18n!$1:$1,0)+1,FALSE)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5" s="105" t="s">
        <v>318</v>
      </c>
      <c r="N65" s="107" t="str">
        <f>VLOOKUP(M65,[1]character_tribe_i18n!A:C,3,FALSE)</f>
        <v>アニマル</v>
      </c>
      <c r="O65" s="105" t="s">
        <v>278</v>
      </c>
      <c r="P65" s="107" t="str">
        <f>VLOOKUP(O65,[1]character_tribe_i18n!A:C,3,FALSE)</f>
        <v>種族なし</v>
      </c>
      <c r="Q65" s="110" t="s">
        <v>462</v>
      </c>
      <c r="R65" s="111">
        <v>3</v>
      </c>
      <c r="S65" s="108" t="s">
        <v>280</v>
      </c>
      <c r="T65" s="108" t="s">
        <v>281</v>
      </c>
      <c r="U65" s="108" t="s">
        <v>280</v>
      </c>
      <c r="V65" s="108" t="s">
        <v>280</v>
      </c>
      <c r="W65" s="108" t="s">
        <v>280</v>
      </c>
    </row>
    <row r="66" spans="1:23" ht="21" customHeight="1" x14ac:dyDescent="0.15">
      <c r="A66" s="104">
        <f t="shared" si="0"/>
        <v>65</v>
      </c>
      <c r="B66" s="105" t="s">
        <v>268</v>
      </c>
      <c r="C66" s="106" t="s">
        <v>463</v>
      </c>
      <c r="D66" s="107" t="s">
        <v>270</v>
      </c>
      <c r="E66" s="108" t="s">
        <v>327</v>
      </c>
      <c r="F66" s="108" t="s">
        <v>272</v>
      </c>
      <c r="G66" s="108" t="s">
        <v>383</v>
      </c>
      <c r="H66" s="105" t="s">
        <v>274</v>
      </c>
      <c r="I66" s="109">
        <v>2</v>
      </c>
      <c r="J66" s="109" t="s">
        <v>384</v>
      </c>
      <c r="K66" s="105" t="s">
        <v>276</v>
      </c>
      <c r="L66" s="107" t="str">
        <f ca="1">VLOOKUP($K66,OFFSET([1]character_type_i18n!$A$1,0,0,COUNTA([1]character_type_i18n!$A:$A),MATCH(L$1,[1]character_type_i18n!$1:$1,0)-MATCH($K$1,[1]character_type_i18n!$1:$1,0)+1),MATCH(L$1,[1]character_type_i18n!$1:$1,0)-MATCH($K$1,[1]character_type_i18n!$1:$1,0)+1,FALSE)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6" s="105" t="s">
        <v>318</v>
      </c>
      <c r="N66" s="107" t="str">
        <f>VLOOKUP(M66,[1]character_tribe_i18n!A:C,3,FALSE)</f>
        <v>アニマル</v>
      </c>
      <c r="O66" s="105" t="s">
        <v>278</v>
      </c>
      <c r="P66" s="107" t="str">
        <f>VLOOKUP(O66,[1]character_tribe_i18n!A:C,3,FALSE)</f>
        <v>種族なし</v>
      </c>
      <c r="Q66" s="110" t="s">
        <v>279</v>
      </c>
      <c r="R66" s="111">
        <v>3</v>
      </c>
      <c r="S66" s="108" t="s">
        <v>280</v>
      </c>
      <c r="T66" s="108" t="s">
        <v>281</v>
      </c>
      <c r="U66" s="108" t="s">
        <v>280</v>
      </c>
      <c r="V66" s="108" t="s">
        <v>280</v>
      </c>
      <c r="W66" s="108" t="s">
        <v>280</v>
      </c>
    </row>
    <row r="67" spans="1:23" ht="21" customHeight="1" x14ac:dyDescent="0.15">
      <c r="A67" s="104">
        <f t="shared" ref="A67:A130" si="1">ROW()-1</f>
        <v>66</v>
      </c>
      <c r="B67" s="105" t="s">
        <v>268</v>
      </c>
      <c r="C67" s="106" t="s">
        <v>464</v>
      </c>
      <c r="D67" s="107" t="s">
        <v>270</v>
      </c>
      <c r="E67" s="108" t="s">
        <v>327</v>
      </c>
      <c r="F67" s="108" t="s">
        <v>272</v>
      </c>
      <c r="G67" s="108" t="s">
        <v>383</v>
      </c>
      <c r="H67" s="105" t="s">
        <v>274</v>
      </c>
      <c r="I67" s="109">
        <v>3</v>
      </c>
      <c r="J67" s="109" t="s">
        <v>384</v>
      </c>
      <c r="K67" s="105" t="s">
        <v>276</v>
      </c>
      <c r="L67" s="107" t="str">
        <f ca="1">VLOOKUP($K67,OFFSET([1]character_type_i18n!$A$1,0,0,COUNTA([1]character_type_i18n!$A:$A),MATCH(L$1,[1]character_type_i18n!$1:$1,0)-MATCH($K$1,[1]character_type_i18n!$1:$1,0)+1),MATCH(L$1,[1]character_type_i18n!$1:$1,0)-MATCH($K$1,[1]character_type_i18n!$1:$1,0)+1,FALSE)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" s="105" t="s">
        <v>318</v>
      </c>
      <c r="N67" s="107" t="str">
        <f>VLOOKUP(M67,[1]character_tribe_i18n!A:C,3,FALSE)</f>
        <v>アニマル</v>
      </c>
      <c r="O67" s="105" t="s">
        <v>278</v>
      </c>
      <c r="P67" s="107" t="str">
        <f>VLOOKUP(O67,[1]character_tribe_i18n!A:C,3,FALSE)</f>
        <v>種族なし</v>
      </c>
      <c r="Q67" s="110" t="s">
        <v>465</v>
      </c>
      <c r="R67" s="111">
        <v>3</v>
      </c>
      <c r="S67" s="108" t="s">
        <v>448</v>
      </c>
      <c r="T67" s="108" t="s">
        <v>455</v>
      </c>
      <c r="U67" s="108" t="s">
        <v>448</v>
      </c>
      <c r="V67" s="108" t="s">
        <v>448</v>
      </c>
      <c r="W67" s="108" t="s">
        <v>448</v>
      </c>
    </row>
    <row r="68" spans="1:23" ht="21" customHeight="1" x14ac:dyDescent="0.15">
      <c r="A68" s="104">
        <f t="shared" si="1"/>
        <v>67</v>
      </c>
      <c r="B68" s="105" t="s">
        <v>268</v>
      </c>
      <c r="C68" s="106" t="s">
        <v>466</v>
      </c>
      <c r="D68" s="107" t="s">
        <v>270</v>
      </c>
      <c r="E68" s="108" t="s">
        <v>327</v>
      </c>
      <c r="F68" s="108" t="s">
        <v>272</v>
      </c>
      <c r="G68" s="108" t="s">
        <v>383</v>
      </c>
      <c r="H68" s="105" t="s">
        <v>274</v>
      </c>
      <c r="I68" s="109">
        <v>4</v>
      </c>
      <c r="J68" s="109" t="s">
        <v>384</v>
      </c>
      <c r="K68" s="105" t="s">
        <v>276</v>
      </c>
      <c r="L68" s="107" t="str">
        <f ca="1">VLOOKUP($K68,OFFSET([1]character_type_i18n!$A$1,0,0,COUNTA([1]character_type_i18n!$A:$A),MATCH(L$1,[1]character_type_i18n!$1:$1,0)-MATCH($K$1,[1]character_type_i18n!$1:$1,0)+1),MATCH(L$1,[1]character_type_i18n!$1:$1,0)-MATCH($K$1,[1]character_type_i18n!$1:$1,0)+1,FALSE)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8" s="105" t="s">
        <v>318</v>
      </c>
      <c r="N68" s="107" t="str">
        <f>VLOOKUP(M68,[1]character_tribe_i18n!A:C,3,FALSE)</f>
        <v>アニマル</v>
      </c>
      <c r="O68" s="105" t="s">
        <v>278</v>
      </c>
      <c r="P68" s="107" t="str">
        <f>VLOOKUP(O68,[1]character_tribe_i18n!A:C,3,FALSE)</f>
        <v>種族なし</v>
      </c>
      <c r="Q68" s="110" t="s">
        <v>465</v>
      </c>
      <c r="R68" s="111">
        <v>3</v>
      </c>
      <c r="S68" s="108" t="s">
        <v>448</v>
      </c>
      <c r="T68" s="108" t="s">
        <v>455</v>
      </c>
      <c r="U68" s="108" t="s">
        <v>448</v>
      </c>
      <c r="V68" s="108" t="s">
        <v>448</v>
      </c>
      <c r="W68" s="108" t="s">
        <v>448</v>
      </c>
    </row>
    <row r="69" spans="1:23" ht="21" customHeight="1" x14ac:dyDescent="0.15">
      <c r="A69" s="104">
        <f t="shared" si="1"/>
        <v>68</v>
      </c>
      <c r="B69" s="105" t="s">
        <v>451</v>
      </c>
      <c r="C69" s="106" t="s">
        <v>467</v>
      </c>
      <c r="D69" s="107" t="s">
        <v>457</v>
      </c>
      <c r="E69" s="108" t="s">
        <v>458</v>
      </c>
      <c r="F69" s="108" t="s">
        <v>272</v>
      </c>
      <c r="G69" s="108" t="s">
        <v>383</v>
      </c>
      <c r="H69" s="105" t="s">
        <v>285</v>
      </c>
      <c r="I69" s="109">
        <v>2</v>
      </c>
      <c r="J69" s="109" t="s">
        <v>384</v>
      </c>
      <c r="K69" s="105" t="s">
        <v>347</v>
      </c>
      <c r="L69" s="107" t="str">
        <f ca="1">VLOOKUP($K69,OFFSET([1]character_type_i18n!$A$1,0,0,COUNTA([1]character_type_i18n!$A:$A),MATCH(L$1,[1]character_type_i18n!$1:$1,0)-MATCH($K$1,[1]character_type_i18n!$1:$1,0)+1),MATCH(L$1,[1]character_type_i18n!$1:$1,0)-MATCH($K$1,[1]character_type_i18n!$1:$1,0)+1,FALSE)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9" s="105" t="s">
        <v>318</v>
      </c>
      <c r="N69" s="107" t="str">
        <f>VLOOKUP(M69,[1]character_tribe_i18n!A:C,3,FALSE)</f>
        <v>アニマル</v>
      </c>
      <c r="O69" s="105" t="s">
        <v>278</v>
      </c>
      <c r="P69" s="107" t="str">
        <f>VLOOKUP(O69,[1]character_tribe_i18n!A:C,3,FALSE)</f>
        <v>種族なし</v>
      </c>
      <c r="Q69" s="110" t="s">
        <v>468</v>
      </c>
      <c r="R69" s="111">
        <v>3</v>
      </c>
      <c r="S69" s="108" t="s">
        <v>469</v>
      </c>
      <c r="T69" s="108" t="s">
        <v>470</v>
      </c>
      <c r="U69" s="108" t="s">
        <v>469</v>
      </c>
      <c r="V69" s="108" t="s">
        <v>469</v>
      </c>
      <c r="W69" s="108" t="s">
        <v>469</v>
      </c>
    </row>
    <row r="70" spans="1:23" ht="21" customHeight="1" x14ac:dyDescent="0.15">
      <c r="A70" s="104">
        <f t="shared" si="1"/>
        <v>69</v>
      </c>
      <c r="B70" s="105" t="s">
        <v>471</v>
      </c>
      <c r="C70" s="106" t="s">
        <v>472</v>
      </c>
      <c r="D70" s="107" t="s">
        <v>453</v>
      </c>
      <c r="E70" s="108" t="s">
        <v>454</v>
      </c>
      <c r="F70" s="108" t="s">
        <v>272</v>
      </c>
      <c r="G70" s="108" t="s">
        <v>383</v>
      </c>
      <c r="H70" s="105" t="s">
        <v>285</v>
      </c>
      <c r="I70" s="109">
        <v>3</v>
      </c>
      <c r="J70" s="109" t="s">
        <v>384</v>
      </c>
      <c r="K70" s="105" t="s">
        <v>347</v>
      </c>
      <c r="L70" s="107" t="str">
        <f ca="1">VLOOKUP($K70,OFFSET([1]character_type_i18n!$A$1,0,0,COUNTA([1]character_type_i18n!$A:$A),MATCH(L$1,[1]character_type_i18n!$1:$1,0)-MATCH($K$1,[1]character_type_i18n!$1:$1,0)+1),MATCH(L$1,[1]character_type_i18n!$1:$1,0)-MATCH($K$1,[1]character_type_i18n!$1:$1,0)+1,FALSE)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0" s="105" t="s">
        <v>318</v>
      </c>
      <c r="N70" s="107" t="str">
        <f>VLOOKUP(M70,[1]character_tribe_i18n!A:C,3,FALSE)</f>
        <v>アニマル</v>
      </c>
      <c r="O70" s="105" t="s">
        <v>278</v>
      </c>
      <c r="P70" s="107" t="str">
        <f>VLOOKUP(O70,[1]character_tribe_i18n!A:C,3,FALSE)</f>
        <v>種族なし</v>
      </c>
      <c r="Q70" s="110" t="s">
        <v>473</v>
      </c>
      <c r="R70" s="111">
        <v>3</v>
      </c>
      <c r="S70" s="108" t="s">
        <v>474</v>
      </c>
      <c r="T70" s="108" t="s">
        <v>475</v>
      </c>
      <c r="U70" s="108" t="s">
        <v>474</v>
      </c>
      <c r="V70" s="108" t="s">
        <v>474</v>
      </c>
      <c r="W70" s="108" t="s">
        <v>474</v>
      </c>
    </row>
    <row r="71" spans="1:23" ht="21" customHeight="1" x14ac:dyDescent="0.15">
      <c r="A71" s="104">
        <f t="shared" si="1"/>
        <v>70</v>
      </c>
      <c r="B71" s="105" t="s">
        <v>471</v>
      </c>
      <c r="C71" s="106" t="s">
        <v>476</v>
      </c>
      <c r="D71" s="107" t="s">
        <v>477</v>
      </c>
      <c r="E71" s="108" t="s">
        <v>478</v>
      </c>
      <c r="F71" s="108" t="s">
        <v>272</v>
      </c>
      <c r="G71" s="108" t="s">
        <v>383</v>
      </c>
      <c r="H71" s="105" t="s">
        <v>285</v>
      </c>
      <c r="I71" s="109">
        <v>4</v>
      </c>
      <c r="J71" s="109" t="s">
        <v>384</v>
      </c>
      <c r="K71" s="105" t="s">
        <v>347</v>
      </c>
      <c r="L71" s="107" t="str">
        <f ca="1">VLOOKUP($K71,OFFSET([1]character_type_i18n!$A$1,0,0,COUNTA([1]character_type_i18n!$A:$A),MATCH(L$1,[1]character_type_i18n!$1:$1,0)-MATCH($K$1,[1]character_type_i18n!$1:$1,0)+1),MATCH(L$1,[1]character_type_i18n!$1:$1,0)-MATCH($K$1,[1]character_type_i18n!$1:$1,0)+1,FALSE)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1" s="105" t="s">
        <v>318</v>
      </c>
      <c r="N71" s="107" t="str">
        <f>VLOOKUP(M71,[1]character_tribe_i18n!A:C,3,FALSE)</f>
        <v>アニマル</v>
      </c>
      <c r="O71" s="105" t="s">
        <v>278</v>
      </c>
      <c r="P71" s="107" t="str">
        <f>VLOOKUP(O71,[1]character_tribe_i18n!A:C,3,FALSE)</f>
        <v>種族なし</v>
      </c>
      <c r="Q71" s="110" t="s">
        <v>468</v>
      </c>
      <c r="R71" s="111">
        <v>3</v>
      </c>
      <c r="S71" s="108" t="s">
        <v>469</v>
      </c>
      <c r="T71" s="108" t="s">
        <v>470</v>
      </c>
      <c r="U71" s="108" t="s">
        <v>469</v>
      </c>
      <c r="V71" s="108" t="s">
        <v>469</v>
      </c>
      <c r="W71" s="108" t="s">
        <v>469</v>
      </c>
    </row>
    <row r="72" spans="1:23" ht="21" customHeight="1" x14ac:dyDescent="0.15">
      <c r="A72" s="104">
        <f t="shared" si="1"/>
        <v>71</v>
      </c>
      <c r="B72" s="105" t="s">
        <v>268</v>
      </c>
      <c r="C72" s="106" t="s">
        <v>479</v>
      </c>
      <c r="D72" s="107" t="s">
        <v>270</v>
      </c>
      <c r="E72" s="108" t="s">
        <v>327</v>
      </c>
      <c r="F72" s="108" t="s">
        <v>272</v>
      </c>
      <c r="G72" s="108" t="s">
        <v>383</v>
      </c>
      <c r="H72" s="105" t="s">
        <v>295</v>
      </c>
      <c r="I72" s="109">
        <v>2</v>
      </c>
      <c r="J72" s="109" t="s">
        <v>384</v>
      </c>
      <c r="K72" s="105" t="s">
        <v>286</v>
      </c>
      <c r="L72" s="107" t="str">
        <f ca="1">VLOOKUP($K72,OFFSET([1]character_type_i18n!$A$1,0,0,COUNTA([1]character_type_i18n!$A:$A),MATCH(L$1,[1]character_type_i18n!$1:$1,0)-MATCH($K$1,[1]character_type_i18n!$1:$1,0)+1),MATCH(L$1,[1]character_type_i18n!$1:$1,0)-MATCH($K$1,[1]character_type_i18n!$1:$1,0)+1,FALSE)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" s="105" t="s">
        <v>318</v>
      </c>
      <c r="N72" s="107" t="str">
        <f>VLOOKUP(M72,[1]character_tribe_i18n!A:C,3,FALSE)</f>
        <v>アニマル</v>
      </c>
      <c r="O72" s="105" t="s">
        <v>278</v>
      </c>
      <c r="P72" s="107" t="str">
        <f>VLOOKUP(O72,[1]character_tribe_i18n!A:C,3,FALSE)</f>
        <v>種族なし</v>
      </c>
      <c r="Q72" s="110" t="s">
        <v>480</v>
      </c>
      <c r="R72" s="111">
        <v>3</v>
      </c>
      <c r="S72" s="108" t="s">
        <v>469</v>
      </c>
      <c r="T72" s="108" t="s">
        <v>470</v>
      </c>
      <c r="U72" s="108" t="s">
        <v>469</v>
      </c>
      <c r="V72" s="108" t="s">
        <v>469</v>
      </c>
      <c r="W72" s="108" t="s">
        <v>469</v>
      </c>
    </row>
    <row r="73" spans="1:23" ht="21" customHeight="1" x14ac:dyDescent="0.15">
      <c r="A73" s="104">
        <f t="shared" si="1"/>
        <v>72</v>
      </c>
      <c r="B73" s="105" t="s">
        <v>471</v>
      </c>
      <c r="C73" s="106" t="s">
        <v>481</v>
      </c>
      <c r="D73" s="107" t="s">
        <v>270</v>
      </c>
      <c r="E73" s="108" t="s">
        <v>478</v>
      </c>
      <c r="F73" s="108" t="s">
        <v>272</v>
      </c>
      <c r="G73" s="108" t="s">
        <v>383</v>
      </c>
      <c r="H73" s="105" t="s">
        <v>295</v>
      </c>
      <c r="I73" s="109">
        <v>3</v>
      </c>
      <c r="J73" s="109" t="s">
        <v>384</v>
      </c>
      <c r="K73" s="105" t="s">
        <v>286</v>
      </c>
      <c r="L73" s="107" t="str">
        <f ca="1">VLOOKUP($K73,OFFSET([1]character_type_i18n!$A$1,0,0,COUNTA([1]character_type_i18n!$A:$A),MATCH(L$1,[1]character_type_i18n!$1:$1,0)-MATCH($K$1,[1]character_type_i18n!$1:$1,0)+1),MATCH(L$1,[1]character_type_i18n!$1:$1,0)-MATCH($K$1,[1]character_type_i18n!$1:$1,0)+1,FALSE)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3" s="105" t="s">
        <v>318</v>
      </c>
      <c r="N73" s="107" t="str">
        <f>VLOOKUP(M73,[1]character_tribe_i18n!A:C,3,FALSE)</f>
        <v>アニマル</v>
      </c>
      <c r="O73" s="105" t="s">
        <v>278</v>
      </c>
      <c r="P73" s="107" t="str">
        <f>VLOOKUP(O73,[1]character_tribe_i18n!A:C,3,FALSE)</f>
        <v>種族なし</v>
      </c>
      <c r="Q73" s="110" t="s">
        <v>422</v>
      </c>
      <c r="R73" s="111">
        <v>3</v>
      </c>
      <c r="S73" s="108" t="s">
        <v>398</v>
      </c>
      <c r="T73" s="108" t="s">
        <v>399</v>
      </c>
      <c r="U73" s="108" t="s">
        <v>398</v>
      </c>
      <c r="V73" s="108" t="s">
        <v>398</v>
      </c>
      <c r="W73" s="108" t="s">
        <v>398</v>
      </c>
    </row>
    <row r="74" spans="1:23" ht="21" customHeight="1" x14ac:dyDescent="0.15">
      <c r="A74" s="104">
        <f t="shared" si="1"/>
        <v>73</v>
      </c>
      <c r="B74" s="105" t="s">
        <v>400</v>
      </c>
      <c r="C74" s="106" t="s">
        <v>482</v>
      </c>
      <c r="D74" s="107" t="s">
        <v>270</v>
      </c>
      <c r="E74" s="108" t="s">
        <v>327</v>
      </c>
      <c r="F74" s="108" t="s">
        <v>272</v>
      </c>
      <c r="G74" s="108" t="s">
        <v>383</v>
      </c>
      <c r="H74" s="105" t="s">
        <v>295</v>
      </c>
      <c r="I74" s="109">
        <v>4</v>
      </c>
      <c r="J74" s="109" t="s">
        <v>384</v>
      </c>
      <c r="K74" s="105" t="s">
        <v>286</v>
      </c>
      <c r="L74" s="107" t="str">
        <f ca="1">VLOOKUP($K74,OFFSET([1]character_type_i18n!$A$1,0,0,COUNTA([1]character_type_i18n!$A:$A),MATCH(L$1,[1]character_type_i18n!$1:$1,0)-MATCH($K$1,[1]character_type_i18n!$1:$1,0)+1),MATCH(L$1,[1]character_type_i18n!$1:$1,0)-MATCH($K$1,[1]character_type_i18n!$1:$1,0)+1,FALSE)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4" s="105" t="s">
        <v>318</v>
      </c>
      <c r="N74" s="107" t="str">
        <f>VLOOKUP(M74,[1]character_tribe_i18n!A:C,3,FALSE)</f>
        <v>アニマル</v>
      </c>
      <c r="O74" s="105" t="s">
        <v>278</v>
      </c>
      <c r="P74" s="107" t="str">
        <f>VLOOKUP(O74,[1]character_tribe_i18n!A:C,3,FALSE)</f>
        <v>種族なし</v>
      </c>
      <c r="Q74" s="110" t="s">
        <v>480</v>
      </c>
      <c r="R74" s="111">
        <v>3</v>
      </c>
      <c r="S74" s="108" t="s">
        <v>469</v>
      </c>
      <c r="T74" s="108" t="s">
        <v>470</v>
      </c>
      <c r="U74" s="108" t="s">
        <v>469</v>
      </c>
      <c r="V74" s="108" t="s">
        <v>469</v>
      </c>
      <c r="W74" s="108" t="s">
        <v>469</v>
      </c>
    </row>
    <row r="75" spans="1:23" ht="21" customHeight="1" x14ac:dyDescent="0.15">
      <c r="A75" s="104">
        <f t="shared" si="1"/>
        <v>74</v>
      </c>
      <c r="B75" s="105" t="s">
        <v>471</v>
      </c>
      <c r="C75" s="106" t="s">
        <v>483</v>
      </c>
      <c r="D75" s="107" t="s">
        <v>477</v>
      </c>
      <c r="E75" s="108" t="s">
        <v>478</v>
      </c>
      <c r="F75" s="108" t="s">
        <v>272</v>
      </c>
      <c r="G75" s="108" t="s">
        <v>383</v>
      </c>
      <c r="H75" s="105" t="s">
        <v>300</v>
      </c>
      <c r="I75" s="109">
        <v>2</v>
      </c>
      <c r="J75" s="109" t="s">
        <v>384</v>
      </c>
      <c r="K75" s="105" t="s">
        <v>276</v>
      </c>
      <c r="L75" s="107" t="str">
        <f ca="1">VLOOKUP($K75,OFFSET([1]character_type_i18n!$A$1,0,0,COUNTA([1]character_type_i18n!$A:$A),MATCH(L$1,[1]character_type_i18n!$1:$1,0)-MATCH($K$1,[1]character_type_i18n!$1:$1,0)+1),MATCH(L$1,[1]character_type_i18n!$1:$1,0)-MATCH($K$1,[1]character_type_i18n!$1:$1,0)+1,FALSE)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5" s="105" t="s">
        <v>318</v>
      </c>
      <c r="N75" s="107" t="str">
        <f>VLOOKUP(M75,[1]character_tribe_i18n!A:C,3,FALSE)</f>
        <v>アニマル</v>
      </c>
      <c r="O75" s="105" t="s">
        <v>278</v>
      </c>
      <c r="P75" s="107" t="str">
        <f>VLOOKUP(O75,[1]character_tribe_i18n!A:C,3,FALSE)</f>
        <v>種族なし</v>
      </c>
      <c r="Q75" s="110" t="s">
        <v>397</v>
      </c>
      <c r="R75" s="111">
        <v>3</v>
      </c>
      <c r="S75" s="108" t="s">
        <v>398</v>
      </c>
      <c r="T75" s="108" t="s">
        <v>399</v>
      </c>
      <c r="U75" s="108" t="s">
        <v>398</v>
      </c>
      <c r="V75" s="108" t="s">
        <v>398</v>
      </c>
      <c r="W75" s="108" t="s">
        <v>398</v>
      </c>
    </row>
    <row r="76" spans="1:23" ht="21" customHeight="1" x14ac:dyDescent="0.15">
      <c r="A76" s="104">
        <f t="shared" si="1"/>
        <v>75</v>
      </c>
      <c r="B76" s="105" t="s">
        <v>400</v>
      </c>
      <c r="C76" s="106" t="s">
        <v>484</v>
      </c>
      <c r="D76" s="107" t="s">
        <v>404</v>
      </c>
      <c r="E76" s="108" t="s">
        <v>402</v>
      </c>
      <c r="F76" s="108" t="s">
        <v>272</v>
      </c>
      <c r="G76" s="108" t="s">
        <v>383</v>
      </c>
      <c r="H76" s="105" t="s">
        <v>300</v>
      </c>
      <c r="I76" s="109">
        <v>3</v>
      </c>
      <c r="J76" s="109" t="s">
        <v>384</v>
      </c>
      <c r="K76" s="105" t="s">
        <v>276</v>
      </c>
      <c r="L76" s="107" t="str">
        <f ca="1">VLOOKUP($K76,OFFSET([1]character_type_i18n!$A$1,0,0,COUNTA([1]character_type_i18n!$A:$A),MATCH(L$1,[1]character_type_i18n!$1:$1,0)-MATCH($K$1,[1]character_type_i18n!$1:$1,0)+1),MATCH(L$1,[1]character_type_i18n!$1:$1,0)-MATCH($K$1,[1]character_type_i18n!$1:$1,0)+1,FALSE)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6" s="105" t="s">
        <v>318</v>
      </c>
      <c r="N76" s="107" t="str">
        <f>VLOOKUP(M76,[1]character_tribe_i18n!A:C,3,FALSE)</f>
        <v>アニマル</v>
      </c>
      <c r="O76" s="105" t="s">
        <v>278</v>
      </c>
      <c r="P76" s="107" t="str">
        <f>VLOOKUP(O76,[1]character_tribe_i18n!A:C,3,FALSE)</f>
        <v>種族なし</v>
      </c>
      <c r="Q76" s="110" t="s">
        <v>485</v>
      </c>
      <c r="R76" s="111">
        <v>3</v>
      </c>
      <c r="S76" s="108" t="s">
        <v>469</v>
      </c>
      <c r="T76" s="108" t="s">
        <v>470</v>
      </c>
      <c r="U76" s="108" t="s">
        <v>469</v>
      </c>
      <c r="V76" s="108" t="s">
        <v>469</v>
      </c>
      <c r="W76" s="108" t="s">
        <v>469</v>
      </c>
    </row>
    <row r="77" spans="1:23" ht="21" customHeight="1" x14ac:dyDescent="0.15">
      <c r="A77" s="104">
        <f t="shared" si="1"/>
        <v>76</v>
      </c>
      <c r="B77" s="105" t="s">
        <v>471</v>
      </c>
      <c r="C77" s="106" t="s">
        <v>486</v>
      </c>
      <c r="D77" s="107" t="s">
        <v>477</v>
      </c>
      <c r="E77" s="108" t="s">
        <v>478</v>
      </c>
      <c r="F77" s="108" t="s">
        <v>272</v>
      </c>
      <c r="G77" s="108" t="s">
        <v>383</v>
      </c>
      <c r="H77" s="105" t="s">
        <v>300</v>
      </c>
      <c r="I77" s="109">
        <v>4</v>
      </c>
      <c r="J77" s="109" t="s">
        <v>384</v>
      </c>
      <c r="K77" s="105" t="s">
        <v>276</v>
      </c>
      <c r="L77" s="107" t="str">
        <f ca="1">VLOOKUP($K77,OFFSET([1]character_type_i18n!$A$1,0,0,COUNTA([1]character_type_i18n!$A:$A),MATCH(L$1,[1]character_type_i18n!$1:$1,0)-MATCH($K$1,[1]character_type_i18n!$1:$1,0)+1),MATCH(L$1,[1]character_type_i18n!$1:$1,0)-MATCH($K$1,[1]character_type_i18n!$1:$1,0)+1,FALSE)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7" s="105" t="s">
        <v>318</v>
      </c>
      <c r="N77" s="107" t="str">
        <f>VLOOKUP(M77,[1]character_tribe_i18n!A:C,3,FALSE)</f>
        <v>アニマル</v>
      </c>
      <c r="O77" s="105" t="s">
        <v>278</v>
      </c>
      <c r="P77" s="107" t="str">
        <f>VLOOKUP(O77,[1]character_tribe_i18n!A:C,3,FALSE)</f>
        <v>種族なし</v>
      </c>
      <c r="Q77" s="110" t="s">
        <v>485</v>
      </c>
      <c r="R77" s="111">
        <v>3</v>
      </c>
      <c r="S77" s="108" t="s">
        <v>469</v>
      </c>
      <c r="T77" s="108" t="s">
        <v>470</v>
      </c>
      <c r="U77" s="108" t="s">
        <v>469</v>
      </c>
      <c r="V77" s="108" t="s">
        <v>469</v>
      </c>
      <c r="W77" s="108" t="s">
        <v>469</v>
      </c>
    </row>
    <row r="78" spans="1:23" ht="21" customHeight="1" x14ac:dyDescent="0.15">
      <c r="A78" s="104">
        <f t="shared" si="1"/>
        <v>77</v>
      </c>
      <c r="B78" s="105" t="s">
        <v>471</v>
      </c>
      <c r="C78" s="106" t="s">
        <v>487</v>
      </c>
      <c r="D78" s="107" t="s">
        <v>488</v>
      </c>
      <c r="E78" s="108" t="s">
        <v>489</v>
      </c>
      <c r="F78" s="108" t="s">
        <v>272</v>
      </c>
      <c r="G78" s="108" t="s">
        <v>331</v>
      </c>
      <c r="H78" s="105" t="s">
        <v>274</v>
      </c>
      <c r="I78" s="109">
        <v>3</v>
      </c>
      <c r="J78" s="109" t="s">
        <v>490</v>
      </c>
      <c r="K78" s="105" t="s">
        <v>377</v>
      </c>
      <c r="L78" s="107" t="str">
        <f ca="1">VLOOKUP($K78,OFFSET([1]character_type_i18n!$A$1,0,0,COUNTA([1]character_type_i18n!$A:$A),MATCH(L$1,[1]character_type_i18n!$1:$1,0)-MATCH($K$1,[1]character_type_i18n!$1:$1,0)+1),MATCH(L$1,[1]character_type_i18n!$1:$1,0)-MATCH($K$1,[1]character_type_i18n!$1:$1,0)+1,FALSE)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8" s="105" t="s">
        <v>277</v>
      </c>
      <c r="N78" s="107" t="str">
        <f>VLOOKUP(M78,[1]character_tribe_i18n!A:C,3,FALSE)</f>
        <v>Unknown</v>
      </c>
      <c r="O78" s="105" t="s">
        <v>278</v>
      </c>
      <c r="P78" s="107" t="str">
        <f>VLOOKUP(O78,[1]character_tribe_i18n!A:C,3,FALSE)</f>
        <v>種族なし</v>
      </c>
      <c r="Q78" s="110" t="s">
        <v>491</v>
      </c>
      <c r="R78" s="111">
        <v>3</v>
      </c>
      <c r="S78" s="108" t="s">
        <v>469</v>
      </c>
      <c r="T78" s="108" t="s">
        <v>470</v>
      </c>
      <c r="U78" s="108" t="s">
        <v>469</v>
      </c>
      <c r="V78" s="108" t="s">
        <v>469</v>
      </c>
      <c r="W78" s="108" t="s">
        <v>469</v>
      </c>
    </row>
    <row r="79" spans="1:23" ht="21" customHeight="1" x14ac:dyDescent="0.15">
      <c r="A79" s="104">
        <f t="shared" si="1"/>
        <v>78</v>
      </c>
      <c r="B79" s="105" t="s">
        <v>471</v>
      </c>
      <c r="C79" s="106" t="s">
        <v>492</v>
      </c>
      <c r="D79" s="107" t="s">
        <v>488</v>
      </c>
      <c r="E79" s="108" t="s">
        <v>489</v>
      </c>
      <c r="F79" s="108" t="s">
        <v>272</v>
      </c>
      <c r="G79" s="108" t="s">
        <v>331</v>
      </c>
      <c r="H79" s="105" t="s">
        <v>274</v>
      </c>
      <c r="I79" s="109">
        <v>4</v>
      </c>
      <c r="J79" s="109" t="s">
        <v>493</v>
      </c>
      <c r="K79" s="105" t="s">
        <v>377</v>
      </c>
      <c r="L79" s="107" t="str">
        <f ca="1">VLOOKUP($K79,OFFSET([1]character_type_i18n!$A$1,0,0,COUNTA([1]character_type_i18n!$A:$A),MATCH(L$1,[1]character_type_i18n!$1:$1,0)-MATCH($K$1,[1]character_type_i18n!$1:$1,0)+1),MATCH(L$1,[1]character_type_i18n!$1:$1,0)-MATCH($K$1,[1]character_type_i18n!$1:$1,0)+1,FALSE)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9" s="105" t="s">
        <v>277</v>
      </c>
      <c r="N79" s="107" t="str">
        <f>VLOOKUP(M79,[1]character_tribe_i18n!A:C,3,FALSE)</f>
        <v>Unknown</v>
      </c>
      <c r="O79" s="105" t="s">
        <v>278</v>
      </c>
      <c r="P79" s="107" t="str">
        <f>VLOOKUP(O79,[1]character_tribe_i18n!A:C,3,FALSE)</f>
        <v>種族なし</v>
      </c>
      <c r="Q79" s="110" t="s">
        <v>494</v>
      </c>
      <c r="R79" s="111">
        <v>3</v>
      </c>
      <c r="S79" s="108" t="s">
        <v>474</v>
      </c>
      <c r="T79" s="108" t="s">
        <v>475</v>
      </c>
      <c r="U79" s="108" t="s">
        <v>474</v>
      </c>
      <c r="V79" s="108" t="s">
        <v>474</v>
      </c>
      <c r="W79" s="108" t="s">
        <v>474</v>
      </c>
    </row>
    <row r="80" spans="1:23" ht="21" customHeight="1" x14ac:dyDescent="0.15">
      <c r="A80" s="104">
        <f t="shared" si="1"/>
        <v>79</v>
      </c>
      <c r="B80" s="105" t="s">
        <v>471</v>
      </c>
      <c r="C80" s="106" t="s">
        <v>495</v>
      </c>
      <c r="D80" s="107" t="s">
        <v>496</v>
      </c>
      <c r="E80" s="108" t="s">
        <v>489</v>
      </c>
      <c r="F80" s="108" t="s">
        <v>272</v>
      </c>
      <c r="G80" s="108" t="s">
        <v>331</v>
      </c>
      <c r="H80" s="105" t="s">
        <v>285</v>
      </c>
      <c r="I80" s="109">
        <v>3</v>
      </c>
      <c r="J80" s="109" t="s">
        <v>493</v>
      </c>
      <c r="K80" s="105" t="s">
        <v>296</v>
      </c>
      <c r="L80" s="107" t="str">
        <f ca="1">VLOOKUP($K80,OFFSET([1]character_type_i18n!$A$1,0,0,COUNTA([1]character_type_i18n!$A:$A),MATCH(L$1,[1]character_type_i18n!$1:$1,0)-MATCH($K$1,[1]character_type_i18n!$1:$1,0)+1),MATCH(L$1,[1]character_type_i18n!$1:$1,0)-MATCH($K$1,[1]character_type_i18n!$1:$1,0)+1,FALSE)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0" s="105" t="s">
        <v>277</v>
      </c>
      <c r="N80" s="107" t="str">
        <f>VLOOKUP(M80,[1]character_tribe_i18n!A:C,3,FALSE)</f>
        <v>Unknown</v>
      </c>
      <c r="O80" s="105" t="s">
        <v>278</v>
      </c>
      <c r="P80" s="107" t="str">
        <f>VLOOKUP(O80,[1]character_tribe_i18n!A:C,3,FALSE)</f>
        <v>種族なし</v>
      </c>
      <c r="Q80" s="110" t="s">
        <v>497</v>
      </c>
      <c r="R80" s="111">
        <v>3</v>
      </c>
      <c r="S80" s="108" t="s">
        <v>469</v>
      </c>
      <c r="T80" s="108" t="s">
        <v>470</v>
      </c>
      <c r="U80" s="108" t="s">
        <v>469</v>
      </c>
      <c r="V80" s="108" t="s">
        <v>469</v>
      </c>
      <c r="W80" s="108" t="s">
        <v>469</v>
      </c>
    </row>
    <row r="81" spans="1:23" ht="21" customHeight="1" x14ac:dyDescent="0.15">
      <c r="A81" s="104">
        <f t="shared" si="1"/>
        <v>80</v>
      </c>
      <c r="B81" s="105" t="s">
        <v>400</v>
      </c>
      <c r="C81" s="106" t="s">
        <v>498</v>
      </c>
      <c r="D81" s="107" t="s">
        <v>496</v>
      </c>
      <c r="E81" s="108" t="s">
        <v>499</v>
      </c>
      <c r="F81" s="108" t="s">
        <v>272</v>
      </c>
      <c r="G81" s="108" t="s">
        <v>331</v>
      </c>
      <c r="H81" s="105" t="s">
        <v>285</v>
      </c>
      <c r="I81" s="109">
        <v>4</v>
      </c>
      <c r="J81" s="109" t="s">
        <v>500</v>
      </c>
      <c r="K81" s="105" t="s">
        <v>296</v>
      </c>
      <c r="L81" s="107" t="str">
        <f ca="1">VLOOKUP($K81,OFFSET([1]character_type_i18n!$A$1,0,0,COUNTA([1]character_type_i18n!$A:$A),MATCH(L$1,[1]character_type_i18n!$1:$1,0)-MATCH($K$1,[1]character_type_i18n!$1:$1,0)+1),MATCH(L$1,[1]character_type_i18n!$1:$1,0)-MATCH($K$1,[1]character_type_i18n!$1:$1,0)+1,FALSE)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1" s="105" t="s">
        <v>277</v>
      </c>
      <c r="N81" s="107" t="str">
        <f>VLOOKUP(M81,[1]character_tribe_i18n!A:C,3,FALSE)</f>
        <v>Unknown</v>
      </c>
      <c r="O81" s="105" t="s">
        <v>278</v>
      </c>
      <c r="P81" s="107" t="str">
        <f>VLOOKUP(O81,[1]character_tribe_i18n!A:C,3,FALSE)</f>
        <v>種族なし</v>
      </c>
      <c r="Q81" s="110" t="s">
        <v>497</v>
      </c>
      <c r="R81" s="111">
        <v>3</v>
      </c>
      <c r="S81" s="108" t="s">
        <v>469</v>
      </c>
      <c r="T81" s="108" t="s">
        <v>470</v>
      </c>
      <c r="U81" s="108" t="s">
        <v>469</v>
      </c>
      <c r="V81" s="108" t="s">
        <v>469</v>
      </c>
      <c r="W81" s="108" t="s">
        <v>469</v>
      </c>
    </row>
    <row r="82" spans="1:23" ht="21" customHeight="1" x14ac:dyDescent="0.15">
      <c r="A82" s="104">
        <f t="shared" si="1"/>
        <v>81</v>
      </c>
      <c r="B82" s="105" t="s">
        <v>471</v>
      </c>
      <c r="C82" s="106" t="s">
        <v>501</v>
      </c>
      <c r="D82" s="107" t="s">
        <v>496</v>
      </c>
      <c r="E82" s="108" t="s">
        <v>489</v>
      </c>
      <c r="F82" s="108" t="s">
        <v>272</v>
      </c>
      <c r="G82" s="108" t="s">
        <v>383</v>
      </c>
      <c r="H82" s="105" t="s">
        <v>295</v>
      </c>
      <c r="I82" s="109">
        <v>3</v>
      </c>
      <c r="J82" s="109" t="s">
        <v>490</v>
      </c>
      <c r="K82" s="105" t="s">
        <v>286</v>
      </c>
      <c r="L82" s="107" t="str">
        <f ca="1">VLOOKUP($K82,OFFSET([1]character_type_i18n!$A$1,0,0,COUNTA([1]character_type_i18n!$A:$A),MATCH(L$1,[1]character_type_i18n!$1:$1,0)-MATCH($K$1,[1]character_type_i18n!$1:$1,0)+1),MATCH(L$1,[1]character_type_i18n!$1:$1,0)-MATCH($K$1,[1]character_type_i18n!$1:$1,0)+1,FALSE)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2" s="105" t="s">
        <v>277</v>
      </c>
      <c r="N82" s="107" t="str">
        <f>VLOOKUP(M82,[1]character_tribe_i18n!A:C,3,FALSE)</f>
        <v>Unknown</v>
      </c>
      <c r="O82" s="105" t="s">
        <v>278</v>
      </c>
      <c r="P82" s="107" t="str">
        <f>VLOOKUP(O82,[1]character_tribe_i18n!A:C,3,FALSE)</f>
        <v>種族なし</v>
      </c>
      <c r="Q82" s="110" t="s">
        <v>502</v>
      </c>
      <c r="R82" s="111">
        <v>3</v>
      </c>
      <c r="S82" s="108" t="s">
        <v>469</v>
      </c>
      <c r="T82" s="108" t="s">
        <v>470</v>
      </c>
      <c r="U82" s="108" t="s">
        <v>469</v>
      </c>
      <c r="V82" s="108" t="s">
        <v>469</v>
      </c>
      <c r="W82" s="108" t="s">
        <v>469</v>
      </c>
    </row>
    <row r="83" spans="1:23" ht="21" customHeight="1" x14ac:dyDescent="0.15">
      <c r="A83" s="104">
        <f t="shared" si="1"/>
        <v>82</v>
      </c>
      <c r="B83" s="105" t="s">
        <v>471</v>
      </c>
      <c r="C83" s="106" t="s">
        <v>503</v>
      </c>
      <c r="D83" s="107" t="s">
        <v>496</v>
      </c>
      <c r="E83" s="108" t="s">
        <v>489</v>
      </c>
      <c r="F83" s="108" t="s">
        <v>272</v>
      </c>
      <c r="G83" s="108" t="s">
        <v>383</v>
      </c>
      <c r="H83" s="105" t="s">
        <v>295</v>
      </c>
      <c r="I83" s="109">
        <v>4</v>
      </c>
      <c r="J83" s="109" t="s">
        <v>490</v>
      </c>
      <c r="K83" s="105" t="s">
        <v>286</v>
      </c>
      <c r="L83" s="107" t="str">
        <f ca="1">VLOOKUP($K83,OFFSET([1]character_type_i18n!$A$1,0,0,COUNTA([1]character_type_i18n!$A:$A),MATCH(L$1,[1]character_type_i18n!$1:$1,0)-MATCH($K$1,[1]character_type_i18n!$1:$1,0)+1),MATCH(L$1,[1]character_type_i18n!$1:$1,0)-MATCH($K$1,[1]character_type_i18n!$1:$1,0)+1,FALSE)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3" s="105" t="s">
        <v>277</v>
      </c>
      <c r="N83" s="107" t="str">
        <f>VLOOKUP(M83,[1]character_tribe_i18n!A:C,3,FALSE)</f>
        <v>Unknown</v>
      </c>
      <c r="O83" s="105" t="s">
        <v>278</v>
      </c>
      <c r="P83" s="107" t="str">
        <f>VLOOKUP(O83,[1]character_tribe_i18n!A:C,3,FALSE)</f>
        <v>種族なし</v>
      </c>
      <c r="Q83" s="110" t="s">
        <v>504</v>
      </c>
      <c r="R83" s="111">
        <v>3</v>
      </c>
      <c r="S83" s="108" t="s">
        <v>398</v>
      </c>
      <c r="T83" s="108" t="s">
        <v>399</v>
      </c>
      <c r="U83" s="108" t="s">
        <v>398</v>
      </c>
      <c r="V83" s="108" t="s">
        <v>398</v>
      </c>
      <c r="W83" s="108" t="s">
        <v>398</v>
      </c>
    </row>
    <row r="84" spans="1:23" ht="21" customHeight="1" x14ac:dyDescent="0.15">
      <c r="A84" s="104">
        <f t="shared" si="1"/>
        <v>83</v>
      </c>
      <c r="B84" s="105" t="s">
        <v>400</v>
      </c>
      <c r="C84" s="106" t="s">
        <v>505</v>
      </c>
      <c r="D84" s="107" t="s">
        <v>496</v>
      </c>
      <c r="E84" s="108" t="s">
        <v>499</v>
      </c>
      <c r="F84" s="108" t="s">
        <v>272</v>
      </c>
      <c r="G84" s="108" t="s">
        <v>273</v>
      </c>
      <c r="H84" s="105" t="s">
        <v>300</v>
      </c>
      <c r="I84" s="109">
        <v>3</v>
      </c>
      <c r="J84" s="109" t="s">
        <v>506</v>
      </c>
      <c r="K84" s="105" t="s">
        <v>296</v>
      </c>
      <c r="L84" s="107" t="str">
        <f ca="1">VLOOKUP($K84,OFFSET([1]character_type_i18n!$A$1,0,0,COUNTA([1]character_type_i18n!$A:$A),MATCH(L$1,[1]character_type_i18n!$1:$1,0)-MATCH($K$1,[1]character_type_i18n!$1:$1,0)+1),MATCH(L$1,[1]character_type_i18n!$1:$1,0)-MATCH($K$1,[1]character_type_i18n!$1:$1,0)+1,FALSE)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4" s="105" t="s">
        <v>277</v>
      </c>
      <c r="N84" s="107" t="str">
        <f>VLOOKUP(M84,[1]character_tribe_i18n!A:C,3,FALSE)</f>
        <v>Unknown</v>
      </c>
      <c r="O84" s="105" t="s">
        <v>278</v>
      </c>
      <c r="P84" s="107" t="str">
        <f>VLOOKUP(O84,[1]character_tribe_i18n!A:C,3,FALSE)</f>
        <v>種族なし</v>
      </c>
      <c r="Q84" s="110" t="s">
        <v>507</v>
      </c>
      <c r="R84" s="111">
        <v>3</v>
      </c>
      <c r="S84" s="108" t="s">
        <v>474</v>
      </c>
      <c r="T84" s="108" t="s">
        <v>475</v>
      </c>
      <c r="U84" s="108" t="s">
        <v>474</v>
      </c>
      <c r="V84" s="108" t="s">
        <v>474</v>
      </c>
      <c r="W84" s="108" t="s">
        <v>474</v>
      </c>
    </row>
    <row r="85" spans="1:23" ht="21" customHeight="1" x14ac:dyDescent="0.15">
      <c r="A85" s="104">
        <f t="shared" si="1"/>
        <v>84</v>
      </c>
      <c r="B85" s="105" t="s">
        <v>508</v>
      </c>
      <c r="C85" s="106" t="s">
        <v>509</v>
      </c>
      <c r="D85" s="107" t="s">
        <v>496</v>
      </c>
      <c r="E85" s="108" t="s">
        <v>510</v>
      </c>
      <c r="F85" s="108" t="s">
        <v>272</v>
      </c>
      <c r="G85" s="108" t="s">
        <v>273</v>
      </c>
      <c r="H85" s="105" t="s">
        <v>300</v>
      </c>
      <c r="I85" s="109">
        <v>4</v>
      </c>
      <c r="J85" s="109" t="s">
        <v>506</v>
      </c>
      <c r="K85" s="105" t="s">
        <v>296</v>
      </c>
      <c r="L85" s="107" t="str">
        <f ca="1">VLOOKUP($K85,OFFSET([1]character_type_i18n!$A$1,0,0,COUNTA([1]character_type_i18n!$A:$A),MATCH(L$1,[1]character_type_i18n!$1:$1,0)-MATCH($K$1,[1]character_type_i18n!$1:$1,0)+1),MATCH(L$1,[1]character_type_i18n!$1:$1,0)-MATCH($K$1,[1]character_type_i18n!$1:$1,0)+1,FALSE)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5" s="105" t="s">
        <v>277</v>
      </c>
      <c r="N85" s="107" t="str">
        <f>VLOOKUP(M85,[1]character_tribe_i18n!A:C,3,FALSE)</f>
        <v>Unknown</v>
      </c>
      <c r="O85" s="105" t="s">
        <v>278</v>
      </c>
      <c r="P85" s="107" t="str">
        <f>VLOOKUP(O85,[1]character_tribe_i18n!A:C,3,FALSE)</f>
        <v>種族なし</v>
      </c>
      <c r="Q85" s="110" t="s">
        <v>511</v>
      </c>
      <c r="R85" s="111">
        <v>3</v>
      </c>
      <c r="S85" s="108" t="s">
        <v>398</v>
      </c>
      <c r="T85" s="108" t="s">
        <v>399</v>
      </c>
      <c r="U85" s="108" t="s">
        <v>398</v>
      </c>
      <c r="V85" s="108" t="s">
        <v>398</v>
      </c>
      <c r="W85" s="108" t="s">
        <v>398</v>
      </c>
    </row>
    <row r="86" spans="1:23" ht="21" customHeight="1" x14ac:dyDescent="0.15">
      <c r="A86" s="104">
        <f t="shared" si="1"/>
        <v>85</v>
      </c>
      <c r="B86" s="105" t="s">
        <v>400</v>
      </c>
      <c r="C86" s="106" t="s">
        <v>512</v>
      </c>
      <c r="D86" s="107" t="s">
        <v>513</v>
      </c>
      <c r="E86" s="108" t="s">
        <v>514</v>
      </c>
      <c r="F86" s="108" t="s">
        <v>515</v>
      </c>
      <c r="G86" s="108" t="s">
        <v>273</v>
      </c>
      <c r="H86" s="105" t="s">
        <v>274</v>
      </c>
      <c r="I86" s="109">
        <v>3</v>
      </c>
      <c r="J86" s="109" t="s">
        <v>516</v>
      </c>
      <c r="K86" s="105" t="s">
        <v>286</v>
      </c>
      <c r="L86" s="107" t="str">
        <f ca="1">VLOOKUP($K86,OFFSET([1]character_type_i18n!$A$1,0,0,COUNTA([1]character_type_i18n!$A:$A),MATCH(L$1,[1]character_type_i18n!$1:$1,0)-MATCH($K$1,[1]character_type_i18n!$1:$1,0)+1),MATCH(L$1,[1]character_type_i18n!$1:$1,0)-MATCH($K$1,[1]character_type_i18n!$1:$1,0)+1,FALSE)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6" s="105" t="s">
        <v>318</v>
      </c>
      <c r="N86" s="107" t="str">
        <f>VLOOKUP(M86,[1]character_tribe_i18n!A:C,3,FALSE)</f>
        <v>アニマル</v>
      </c>
      <c r="O86" s="105" t="s">
        <v>517</v>
      </c>
      <c r="P86" s="107" t="str">
        <f>VLOOKUP(O86,[1]character_tribe_i18n!A:C,3,FALSE)</f>
        <v>ゴッド</v>
      </c>
      <c r="Q86" s="110" t="s">
        <v>518</v>
      </c>
      <c r="R86" s="111">
        <v>3</v>
      </c>
      <c r="S86" s="108" t="s">
        <v>474</v>
      </c>
      <c r="T86" s="108" t="s">
        <v>475</v>
      </c>
      <c r="U86" s="108" t="s">
        <v>474</v>
      </c>
      <c r="V86" s="108" t="s">
        <v>474</v>
      </c>
      <c r="W86" s="108" t="s">
        <v>474</v>
      </c>
    </row>
    <row r="87" spans="1:23" ht="21" customHeight="1" x14ac:dyDescent="0.15">
      <c r="A87" s="104">
        <f t="shared" si="1"/>
        <v>86</v>
      </c>
      <c r="B87" s="105" t="s">
        <v>400</v>
      </c>
      <c r="C87" s="106" t="s">
        <v>519</v>
      </c>
      <c r="D87" s="107" t="s">
        <v>513</v>
      </c>
      <c r="E87" s="108" t="s">
        <v>514</v>
      </c>
      <c r="F87" s="108" t="s">
        <v>515</v>
      </c>
      <c r="G87" s="108" t="s">
        <v>273</v>
      </c>
      <c r="H87" s="105" t="s">
        <v>274</v>
      </c>
      <c r="I87" s="109">
        <v>4</v>
      </c>
      <c r="J87" s="109" t="s">
        <v>516</v>
      </c>
      <c r="K87" s="105" t="s">
        <v>286</v>
      </c>
      <c r="L87" s="107" t="str">
        <f ca="1">VLOOKUP($K87,OFFSET([1]character_type_i18n!$A$1,0,0,COUNTA([1]character_type_i18n!$A:$A),MATCH(L$1,[1]character_type_i18n!$1:$1,0)-MATCH($K$1,[1]character_type_i18n!$1:$1,0)+1),MATCH(L$1,[1]character_type_i18n!$1:$1,0)-MATCH($K$1,[1]character_type_i18n!$1:$1,0)+1,FALSE)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7" s="105" t="s">
        <v>318</v>
      </c>
      <c r="N87" s="107" t="str">
        <f>VLOOKUP(M87,[1]character_tribe_i18n!A:C,3,FALSE)</f>
        <v>アニマル</v>
      </c>
      <c r="O87" s="105" t="s">
        <v>517</v>
      </c>
      <c r="P87" s="107" t="str">
        <f>VLOOKUP(O87,[1]character_tribe_i18n!A:C,3,FALSE)</f>
        <v>ゴッド</v>
      </c>
      <c r="Q87" s="110" t="s">
        <v>518</v>
      </c>
      <c r="R87" s="111">
        <v>3</v>
      </c>
      <c r="S87" s="108" t="s">
        <v>474</v>
      </c>
      <c r="T87" s="108" t="s">
        <v>475</v>
      </c>
      <c r="U87" s="108" t="s">
        <v>474</v>
      </c>
      <c r="V87" s="108" t="s">
        <v>474</v>
      </c>
      <c r="W87" s="108" t="s">
        <v>474</v>
      </c>
    </row>
    <row r="88" spans="1:23" ht="21" customHeight="1" x14ac:dyDescent="0.15">
      <c r="A88" s="104">
        <f t="shared" si="1"/>
        <v>87</v>
      </c>
      <c r="B88" s="105" t="s">
        <v>508</v>
      </c>
      <c r="C88" s="106" t="s">
        <v>520</v>
      </c>
      <c r="D88" s="107" t="s">
        <v>513</v>
      </c>
      <c r="E88" s="108" t="s">
        <v>514</v>
      </c>
      <c r="F88" s="108" t="s">
        <v>521</v>
      </c>
      <c r="G88" s="108" t="s">
        <v>273</v>
      </c>
      <c r="H88" s="105" t="s">
        <v>274</v>
      </c>
      <c r="I88" s="109">
        <v>5</v>
      </c>
      <c r="J88" s="109" t="s">
        <v>516</v>
      </c>
      <c r="K88" s="105" t="s">
        <v>286</v>
      </c>
      <c r="L88" s="107" t="str">
        <f ca="1">VLOOKUP($K88,OFFSET([1]character_type_i18n!$A$1,0,0,COUNTA([1]character_type_i18n!$A:$A),MATCH(L$1,[1]character_type_i18n!$1:$1,0)-MATCH($K$1,[1]character_type_i18n!$1:$1,0)+1),MATCH(L$1,[1]character_type_i18n!$1:$1,0)-MATCH($K$1,[1]character_type_i18n!$1:$1,0)+1,FALSE)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8" s="105" t="s">
        <v>318</v>
      </c>
      <c r="N88" s="107" t="str">
        <f>VLOOKUP(M88,[1]character_tribe_i18n!A:C,3,FALSE)</f>
        <v>アニマル</v>
      </c>
      <c r="O88" s="105" t="s">
        <v>517</v>
      </c>
      <c r="P88" s="107" t="str">
        <f>VLOOKUP(O88,[1]character_tribe_i18n!A:C,3,FALSE)</f>
        <v>ゴッド</v>
      </c>
      <c r="Q88" s="110" t="s">
        <v>397</v>
      </c>
      <c r="R88" s="111">
        <v>3</v>
      </c>
      <c r="S88" s="108" t="s">
        <v>398</v>
      </c>
      <c r="T88" s="108" t="s">
        <v>399</v>
      </c>
      <c r="U88" s="108" t="s">
        <v>398</v>
      </c>
      <c r="V88" s="108" t="s">
        <v>398</v>
      </c>
      <c r="W88" s="108" t="s">
        <v>398</v>
      </c>
    </row>
    <row r="89" spans="1:23" ht="21" customHeight="1" x14ac:dyDescent="0.15">
      <c r="A89" s="104">
        <f t="shared" si="1"/>
        <v>88</v>
      </c>
      <c r="B89" s="105" t="s">
        <v>400</v>
      </c>
      <c r="C89" s="106" t="s">
        <v>522</v>
      </c>
      <c r="D89" s="107" t="s">
        <v>513</v>
      </c>
      <c r="E89" s="108" t="s">
        <v>514</v>
      </c>
      <c r="F89" s="108" t="s">
        <v>521</v>
      </c>
      <c r="G89" s="108" t="s">
        <v>273</v>
      </c>
      <c r="H89" s="105" t="s">
        <v>285</v>
      </c>
      <c r="I89" s="109">
        <v>3</v>
      </c>
      <c r="J89" s="109" t="s">
        <v>516</v>
      </c>
      <c r="K89" s="105" t="s">
        <v>377</v>
      </c>
      <c r="L89" s="107" t="str">
        <f ca="1">VLOOKUP($K89,OFFSET([1]character_type_i18n!$A$1,0,0,COUNTA([1]character_type_i18n!$A:$A),MATCH(L$1,[1]character_type_i18n!$1:$1,0)-MATCH($K$1,[1]character_type_i18n!$1:$1,0)+1),MATCH(L$1,[1]character_type_i18n!$1:$1,0)-MATCH($K$1,[1]character_type_i18n!$1:$1,0)+1,FALSE)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9" s="105" t="s">
        <v>348</v>
      </c>
      <c r="N89" s="107" t="str">
        <f>VLOOKUP(M89,[1]character_tribe_i18n!A:C,3,FALSE)</f>
        <v>ドラゴン</v>
      </c>
      <c r="O89" s="105" t="s">
        <v>517</v>
      </c>
      <c r="P89" s="107" t="str">
        <f>VLOOKUP(O89,[1]character_tribe_i18n!A:C,3,FALSE)</f>
        <v>ゴッド</v>
      </c>
      <c r="Q89" s="110" t="s">
        <v>523</v>
      </c>
      <c r="R89" s="111">
        <v>3</v>
      </c>
      <c r="S89" s="108" t="s">
        <v>474</v>
      </c>
      <c r="T89" s="108" t="s">
        <v>475</v>
      </c>
      <c r="U89" s="108" t="s">
        <v>474</v>
      </c>
      <c r="V89" s="108" t="s">
        <v>474</v>
      </c>
      <c r="W89" s="108" t="s">
        <v>474</v>
      </c>
    </row>
    <row r="90" spans="1:23" ht="21" customHeight="1" x14ac:dyDescent="0.15">
      <c r="A90" s="104">
        <f t="shared" si="1"/>
        <v>89</v>
      </c>
      <c r="B90" s="105" t="s">
        <v>508</v>
      </c>
      <c r="C90" s="106" t="s">
        <v>524</v>
      </c>
      <c r="D90" s="107" t="s">
        <v>513</v>
      </c>
      <c r="E90" s="108" t="s">
        <v>514</v>
      </c>
      <c r="F90" s="108" t="s">
        <v>521</v>
      </c>
      <c r="G90" s="108" t="s">
        <v>273</v>
      </c>
      <c r="H90" s="105" t="s">
        <v>285</v>
      </c>
      <c r="I90" s="109">
        <v>4</v>
      </c>
      <c r="J90" s="109" t="s">
        <v>516</v>
      </c>
      <c r="K90" s="105" t="s">
        <v>377</v>
      </c>
      <c r="L90" s="107" t="str">
        <f ca="1">VLOOKUP($K90,OFFSET([1]character_type_i18n!$A$1,0,0,COUNTA([1]character_type_i18n!$A:$A),MATCH(L$1,[1]character_type_i18n!$1:$1,0)-MATCH($K$1,[1]character_type_i18n!$1:$1,0)+1),MATCH(L$1,[1]character_type_i18n!$1:$1,0)-MATCH($K$1,[1]character_type_i18n!$1:$1,0)+1,FALSE)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0" s="105" t="s">
        <v>348</v>
      </c>
      <c r="N90" s="107" t="str">
        <f>VLOOKUP(M90,[1]character_tribe_i18n!A:C,3,FALSE)</f>
        <v>ドラゴン</v>
      </c>
      <c r="O90" s="105" t="s">
        <v>517</v>
      </c>
      <c r="P90" s="107" t="str">
        <f>VLOOKUP(O90,[1]character_tribe_i18n!A:C,3,FALSE)</f>
        <v>ゴッド</v>
      </c>
      <c r="Q90" s="110" t="s">
        <v>523</v>
      </c>
      <c r="R90" s="111">
        <v>3</v>
      </c>
      <c r="S90" s="108" t="s">
        <v>474</v>
      </c>
      <c r="T90" s="108" t="s">
        <v>475</v>
      </c>
      <c r="U90" s="108" t="s">
        <v>474</v>
      </c>
      <c r="V90" s="108" t="s">
        <v>474</v>
      </c>
      <c r="W90" s="108" t="s">
        <v>474</v>
      </c>
    </row>
    <row r="91" spans="1:23" ht="21" customHeight="1" x14ac:dyDescent="0.15">
      <c r="A91" s="104">
        <f t="shared" si="1"/>
        <v>90</v>
      </c>
      <c r="B91" s="105" t="s">
        <v>508</v>
      </c>
      <c r="C91" s="106" t="s">
        <v>525</v>
      </c>
      <c r="D91" s="107" t="s">
        <v>513</v>
      </c>
      <c r="E91" s="108" t="s">
        <v>514</v>
      </c>
      <c r="F91" s="108" t="s">
        <v>521</v>
      </c>
      <c r="G91" s="108" t="s">
        <v>273</v>
      </c>
      <c r="H91" s="105" t="s">
        <v>285</v>
      </c>
      <c r="I91" s="109">
        <v>5</v>
      </c>
      <c r="J91" s="109" t="s">
        <v>516</v>
      </c>
      <c r="K91" s="105" t="s">
        <v>377</v>
      </c>
      <c r="L91" s="107" t="str">
        <f ca="1">VLOOKUP($K91,OFFSET([1]character_type_i18n!$A$1,0,0,COUNTA([1]character_type_i18n!$A:$A),MATCH(L$1,[1]character_type_i18n!$1:$1,0)-MATCH($K$1,[1]character_type_i18n!$1:$1,0)+1),MATCH(L$1,[1]character_type_i18n!$1:$1,0)-MATCH($K$1,[1]character_type_i18n!$1:$1,0)+1,FALSE)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1" s="105" t="s">
        <v>348</v>
      </c>
      <c r="N91" s="107" t="str">
        <f>VLOOKUP(M91,[1]character_tribe_i18n!A:C,3,FALSE)</f>
        <v>ドラゴン</v>
      </c>
      <c r="O91" s="105" t="s">
        <v>517</v>
      </c>
      <c r="P91" s="107" t="str">
        <f>VLOOKUP(O91,[1]character_tribe_i18n!A:C,3,FALSE)</f>
        <v>ゴッド</v>
      </c>
      <c r="Q91" s="110" t="s">
        <v>523</v>
      </c>
      <c r="R91" s="111">
        <v>3</v>
      </c>
      <c r="S91" s="108" t="s">
        <v>474</v>
      </c>
      <c r="T91" s="108" t="s">
        <v>475</v>
      </c>
      <c r="U91" s="108" t="s">
        <v>474</v>
      </c>
      <c r="V91" s="108" t="s">
        <v>474</v>
      </c>
      <c r="W91" s="108" t="s">
        <v>474</v>
      </c>
    </row>
    <row r="92" spans="1:23" ht="21" customHeight="1" x14ac:dyDescent="0.15">
      <c r="A92" s="104">
        <f t="shared" si="1"/>
        <v>91</v>
      </c>
      <c r="B92" s="105" t="s">
        <v>508</v>
      </c>
      <c r="C92" s="106" t="s">
        <v>526</v>
      </c>
      <c r="D92" s="107" t="s">
        <v>513</v>
      </c>
      <c r="E92" s="108" t="s">
        <v>514</v>
      </c>
      <c r="F92" s="108" t="s">
        <v>521</v>
      </c>
      <c r="G92" s="108" t="s">
        <v>273</v>
      </c>
      <c r="H92" s="105" t="s">
        <v>295</v>
      </c>
      <c r="I92" s="109">
        <v>3</v>
      </c>
      <c r="J92" s="109" t="s">
        <v>516</v>
      </c>
      <c r="K92" s="105" t="s">
        <v>286</v>
      </c>
      <c r="L92" s="107" t="str">
        <f ca="1">VLOOKUP($K92,OFFSET([1]character_type_i18n!$A$1,0,0,COUNTA([1]character_type_i18n!$A:$A),MATCH(L$1,[1]character_type_i18n!$1:$1,0)-MATCH($K$1,[1]character_type_i18n!$1:$1,0)+1),MATCH(L$1,[1]character_type_i18n!$1:$1,0)-MATCH($K$1,[1]character_type_i18n!$1:$1,0)+1,FALSE)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2" s="105" t="s">
        <v>348</v>
      </c>
      <c r="N92" s="107" t="str">
        <f>VLOOKUP(M92,[1]character_tribe_i18n!A:C,3,FALSE)</f>
        <v>ドラゴン</v>
      </c>
      <c r="O92" s="105" t="s">
        <v>517</v>
      </c>
      <c r="P92" s="107" t="str">
        <f>VLOOKUP(O92,[1]character_tribe_i18n!A:C,3,FALSE)</f>
        <v>ゴッド</v>
      </c>
      <c r="Q92" s="110" t="s">
        <v>422</v>
      </c>
      <c r="R92" s="111">
        <v>3</v>
      </c>
      <c r="S92" s="108" t="s">
        <v>398</v>
      </c>
      <c r="T92" s="108" t="s">
        <v>399</v>
      </c>
      <c r="U92" s="108" t="s">
        <v>398</v>
      </c>
      <c r="V92" s="108" t="s">
        <v>398</v>
      </c>
      <c r="W92" s="108" t="s">
        <v>398</v>
      </c>
    </row>
    <row r="93" spans="1:23" ht="21" customHeight="1" x14ac:dyDescent="0.15">
      <c r="A93" s="104">
        <f t="shared" si="1"/>
        <v>92</v>
      </c>
      <c r="B93" s="105" t="s">
        <v>400</v>
      </c>
      <c r="C93" s="106" t="s">
        <v>527</v>
      </c>
      <c r="D93" s="107" t="s">
        <v>513</v>
      </c>
      <c r="E93" s="108" t="s">
        <v>514</v>
      </c>
      <c r="F93" s="108" t="s">
        <v>515</v>
      </c>
      <c r="G93" s="108" t="s">
        <v>273</v>
      </c>
      <c r="H93" s="105" t="s">
        <v>295</v>
      </c>
      <c r="I93" s="109">
        <v>4</v>
      </c>
      <c r="J93" s="109" t="s">
        <v>516</v>
      </c>
      <c r="K93" s="105" t="s">
        <v>286</v>
      </c>
      <c r="L93" s="107" t="str">
        <f ca="1">VLOOKUP($K93,OFFSET([1]character_type_i18n!$A$1,0,0,COUNTA([1]character_type_i18n!$A:$A),MATCH(L$1,[1]character_type_i18n!$1:$1,0)-MATCH($K$1,[1]character_type_i18n!$1:$1,0)+1),MATCH(L$1,[1]character_type_i18n!$1:$1,0)-MATCH($K$1,[1]character_type_i18n!$1:$1,0)+1,FALSE)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" s="105" t="s">
        <v>348</v>
      </c>
      <c r="N93" s="107" t="str">
        <f>VLOOKUP(M93,[1]character_tribe_i18n!A:C,3,FALSE)</f>
        <v>ドラゴン</v>
      </c>
      <c r="O93" s="105" t="s">
        <v>517</v>
      </c>
      <c r="P93" s="107" t="str">
        <f>VLOOKUP(O93,[1]character_tribe_i18n!A:C,3,FALSE)</f>
        <v>ゴッド</v>
      </c>
      <c r="Q93" s="110" t="s">
        <v>523</v>
      </c>
      <c r="R93" s="111">
        <v>3</v>
      </c>
      <c r="S93" s="108" t="s">
        <v>474</v>
      </c>
      <c r="T93" s="108" t="s">
        <v>475</v>
      </c>
      <c r="U93" s="108" t="s">
        <v>474</v>
      </c>
      <c r="V93" s="108" t="s">
        <v>474</v>
      </c>
      <c r="W93" s="108" t="s">
        <v>474</v>
      </c>
    </row>
    <row r="94" spans="1:23" ht="21" customHeight="1" x14ac:dyDescent="0.15">
      <c r="A94" s="104">
        <f t="shared" si="1"/>
        <v>93</v>
      </c>
      <c r="B94" s="105" t="s">
        <v>508</v>
      </c>
      <c r="C94" s="106" t="s">
        <v>528</v>
      </c>
      <c r="D94" s="107" t="s">
        <v>513</v>
      </c>
      <c r="E94" s="108" t="s">
        <v>514</v>
      </c>
      <c r="F94" s="108" t="s">
        <v>521</v>
      </c>
      <c r="G94" s="108" t="s">
        <v>273</v>
      </c>
      <c r="H94" s="105" t="s">
        <v>295</v>
      </c>
      <c r="I94" s="109">
        <v>5</v>
      </c>
      <c r="J94" s="109" t="s">
        <v>516</v>
      </c>
      <c r="K94" s="105" t="s">
        <v>286</v>
      </c>
      <c r="L94" s="107" t="str">
        <f ca="1">VLOOKUP($K94,OFFSET([1]character_type_i18n!$A$1,0,0,COUNTA([1]character_type_i18n!$A:$A),MATCH(L$1,[1]character_type_i18n!$1:$1,0)-MATCH($K$1,[1]character_type_i18n!$1:$1,0)+1),MATCH(L$1,[1]character_type_i18n!$1:$1,0)-MATCH($K$1,[1]character_type_i18n!$1:$1,0)+1,FALSE)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4" s="105" t="s">
        <v>348</v>
      </c>
      <c r="N94" s="107" t="str">
        <f>VLOOKUP(M94,[1]character_tribe_i18n!A:C,3,FALSE)</f>
        <v>ドラゴン</v>
      </c>
      <c r="O94" s="105" t="s">
        <v>517</v>
      </c>
      <c r="P94" s="107" t="str">
        <f>VLOOKUP(O94,[1]character_tribe_i18n!A:C,3,FALSE)</f>
        <v>ゴッド</v>
      </c>
      <c r="Q94" s="110" t="s">
        <v>422</v>
      </c>
      <c r="R94" s="111">
        <v>3</v>
      </c>
      <c r="S94" s="108" t="s">
        <v>398</v>
      </c>
      <c r="T94" s="108" t="s">
        <v>399</v>
      </c>
      <c r="U94" s="108" t="s">
        <v>398</v>
      </c>
      <c r="V94" s="108" t="s">
        <v>398</v>
      </c>
      <c r="W94" s="108" t="s">
        <v>398</v>
      </c>
    </row>
    <row r="95" spans="1:23" ht="21" customHeight="1" x14ac:dyDescent="0.15">
      <c r="A95" s="104">
        <f t="shared" si="1"/>
        <v>94</v>
      </c>
      <c r="B95" s="105" t="s">
        <v>400</v>
      </c>
      <c r="C95" s="106" t="s">
        <v>529</v>
      </c>
      <c r="D95" s="107" t="s">
        <v>513</v>
      </c>
      <c r="E95" s="108" t="s">
        <v>514</v>
      </c>
      <c r="F95" s="108" t="s">
        <v>515</v>
      </c>
      <c r="G95" s="108" t="s">
        <v>273</v>
      </c>
      <c r="H95" s="105" t="s">
        <v>300</v>
      </c>
      <c r="I95" s="109">
        <v>3</v>
      </c>
      <c r="J95" s="109" t="s">
        <v>516</v>
      </c>
      <c r="K95" s="105" t="s">
        <v>276</v>
      </c>
      <c r="L95" s="107" t="str">
        <f ca="1">VLOOKUP($K95,OFFSET([1]character_type_i18n!$A$1,0,0,COUNTA([1]character_type_i18n!$A:$A),MATCH(L$1,[1]character_type_i18n!$1:$1,0)-MATCH($K$1,[1]character_type_i18n!$1:$1,0)+1),MATCH(L$1,[1]character_type_i18n!$1:$1,0)-MATCH($K$1,[1]character_type_i18n!$1:$1,0)+1,FALSE)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5" s="105" t="s">
        <v>318</v>
      </c>
      <c r="N95" s="107" t="str">
        <f>VLOOKUP(M95,[1]character_tribe_i18n!A:C,3,FALSE)</f>
        <v>アニマル</v>
      </c>
      <c r="O95" s="105" t="s">
        <v>517</v>
      </c>
      <c r="P95" s="107" t="str">
        <f>VLOOKUP(O95,[1]character_tribe_i18n!A:C,3,FALSE)</f>
        <v>ゴッド</v>
      </c>
      <c r="Q95" s="110" t="s">
        <v>397</v>
      </c>
      <c r="R95" s="111">
        <v>3</v>
      </c>
      <c r="S95" s="108" t="s">
        <v>398</v>
      </c>
      <c r="T95" s="108" t="s">
        <v>399</v>
      </c>
      <c r="U95" s="108" t="s">
        <v>398</v>
      </c>
      <c r="V95" s="108" t="s">
        <v>398</v>
      </c>
      <c r="W95" s="108" t="s">
        <v>398</v>
      </c>
    </row>
    <row r="96" spans="1:23" ht="21" customHeight="1" x14ac:dyDescent="0.15">
      <c r="A96" s="104">
        <f t="shared" si="1"/>
        <v>95</v>
      </c>
      <c r="B96" s="105" t="s">
        <v>400</v>
      </c>
      <c r="C96" s="106" t="s">
        <v>530</v>
      </c>
      <c r="D96" s="107" t="s">
        <v>513</v>
      </c>
      <c r="E96" s="108" t="s">
        <v>514</v>
      </c>
      <c r="F96" s="108" t="s">
        <v>515</v>
      </c>
      <c r="G96" s="108" t="s">
        <v>273</v>
      </c>
      <c r="H96" s="105" t="s">
        <v>300</v>
      </c>
      <c r="I96" s="109">
        <v>4</v>
      </c>
      <c r="J96" s="109" t="s">
        <v>516</v>
      </c>
      <c r="K96" s="105" t="s">
        <v>276</v>
      </c>
      <c r="L96" s="107" t="str">
        <f ca="1">VLOOKUP($K96,OFFSET([1]character_type_i18n!$A$1,0,0,COUNTA([1]character_type_i18n!$A:$A),MATCH(L$1,[1]character_type_i18n!$1:$1,0)-MATCH($K$1,[1]character_type_i18n!$1:$1,0)+1),MATCH(L$1,[1]character_type_i18n!$1:$1,0)-MATCH($K$1,[1]character_type_i18n!$1:$1,0)+1,FALSE)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6" s="105" t="s">
        <v>318</v>
      </c>
      <c r="N96" s="107" t="str">
        <f>VLOOKUP(M96,[1]character_tribe_i18n!A:C,3,FALSE)</f>
        <v>アニマル</v>
      </c>
      <c r="O96" s="105" t="s">
        <v>517</v>
      </c>
      <c r="P96" s="107" t="str">
        <f>VLOOKUP(O96,[1]character_tribe_i18n!A:C,3,FALSE)</f>
        <v>ゴッド</v>
      </c>
      <c r="Q96" s="110" t="s">
        <v>518</v>
      </c>
      <c r="R96" s="111">
        <v>3</v>
      </c>
      <c r="S96" s="108" t="s">
        <v>474</v>
      </c>
      <c r="T96" s="108" t="s">
        <v>475</v>
      </c>
      <c r="U96" s="108" t="s">
        <v>474</v>
      </c>
      <c r="V96" s="108" t="s">
        <v>474</v>
      </c>
      <c r="W96" s="108" t="s">
        <v>474</v>
      </c>
    </row>
    <row r="97" spans="1:23" ht="21" customHeight="1" x14ac:dyDescent="0.15">
      <c r="A97" s="104">
        <f t="shared" si="1"/>
        <v>96</v>
      </c>
      <c r="B97" s="105" t="s">
        <v>508</v>
      </c>
      <c r="C97" s="106" t="s">
        <v>531</v>
      </c>
      <c r="D97" s="107" t="s">
        <v>513</v>
      </c>
      <c r="E97" s="108" t="s">
        <v>514</v>
      </c>
      <c r="F97" s="108" t="s">
        <v>532</v>
      </c>
      <c r="G97" s="108" t="s">
        <v>273</v>
      </c>
      <c r="H97" s="105" t="s">
        <v>300</v>
      </c>
      <c r="I97" s="109">
        <v>5</v>
      </c>
      <c r="J97" s="109" t="s">
        <v>516</v>
      </c>
      <c r="K97" s="105" t="s">
        <v>276</v>
      </c>
      <c r="L97" s="107" t="str">
        <f ca="1">VLOOKUP($K97,OFFSET([1]character_type_i18n!$A$1,0,0,COUNTA([1]character_type_i18n!$A:$A),MATCH(L$1,[1]character_type_i18n!$1:$1,0)-MATCH($K$1,[1]character_type_i18n!$1:$1,0)+1),MATCH(L$1,[1]character_type_i18n!$1:$1,0)-MATCH($K$1,[1]character_type_i18n!$1:$1,0)+1,FALSE)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7" s="105" t="s">
        <v>318</v>
      </c>
      <c r="N97" s="107" t="str">
        <f>VLOOKUP(M97,[1]character_tribe_i18n!A:C,3,FALSE)</f>
        <v>アニマル</v>
      </c>
      <c r="O97" s="105" t="s">
        <v>517</v>
      </c>
      <c r="P97" s="107" t="str">
        <f>VLOOKUP(O97,[1]character_tribe_i18n!A:C,3,FALSE)</f>
        <v>ゴッド</v>
      </c>
      <c r="Q97" s="110" t="s">
        <v>279</v>
      </c>
      <c r="R97" s="111">
        <v>3</v>
      </c>
      <c r="S97" s="108" t="s">
        <v>280</v>
      </c>
      <c r="T97" s="108" t="s">
        <v>281</v>
      </c>
      <c r="U97" s="108" t="s">
        <v>280</v>
      </c>
      <c r="V97" s="108" t="s">
        <v>280</v>
      </c>
      <c r="W97" s="108" t="s">
        <v>280</v>
      </c>
    </row>
    <row r="98" spans="1:23" s="116" customFormat="1" ht="21" customHeight="1" x14ac:dyDescent="0.15">
      <c r="A98" s="104">
        <f t="shared" si="1"/>
        <v>97</v>
      </c>
      <c r="B98" s="105" t="s">
        <v>508</v>
      </c>
      <c r="C98" s="106" t="s">
        <v>533</v>
      </c>
      <c r="D98" s="107" t="s">
        <v>534</v>
      </c>
      <c r="E98" s="108" t="s">
        <v>535</v>
      </c>
      <c r="F98" s="114" t="s">
        <v>272</v>
      </c>
      <c r="G98" s="114" t="s">
        <v>273</v>
      </c>
      <c r="H98" s="105" t="s">
        <v>536</v>
      </c>
      <c r="I98" s="115">
        <v>6</v>
      </c>
      <c r="J98" s="115" t="s">
        <v>537</v>
      </c>
      <c r="K98" s="105" t="s">
        <v>538</v>
      </c>
      <c r="L98" s="107" t="str">
        <f ca="1">VLOOKUP($K98,OFFSET([1]character_type_i18n!$A$1,0,0,COUNTA([1]character_type_i18n!$A:$A),MATCH(L$1,[1]character_type_i18n!$1:$1,0)-MATCH($K$1,[1]character_type_i18n!$1:$1,0)+1),MATCH(L$1,[1]character_type_i18n!$1:$1,0)-MATCH($K$1,[1]character_type_i18n!$1:$1,0)+1,FALSE)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98" s="105" t="s">
        <v>277</v>
      </c>
      <c r="N98" s="107" t="str">
        <f>VLOOKUP(M98,[1]character_tribe_i18n!A:C,3,FALSE)</f>
        <v>Unknown</v>
      </c>
      <c r="O98" s="105" t="s">
        <v>278</v>
      </c>
      <c r="P98" s="107" t="str">
        <f>VLOOKUP(O98,[1]character_tribe_i18n!A:C,3,FALSE)</f>
        <v>種族なし</v>
      </c>
      <c r="Q98" s="110" t="s">
        <v>539</v>
      </c>
      <c r="R98" s="105">
        <v>3</v>
      </c>
      <c r="S98" s="114" t="s">
        <v>540</v>
      </c>
      <c r="T98" s="108" t="s">
        <v>541</v>
      </c>
      <c r="U98" s="114" t="s">
        <v>540</v>
      </c>
      <c r="V98" s="114" t="s">
        <v>540</v>
      </c>
      <c r="W98" s="114" t="s">
        <v>540</v>
      </c>
    </row>
    <row r="99" spans="1:23" s="116" customFormat="1" ht="21" customHeight="1" x14ac:dyDescent="0.15">
      <c r="A99" s="104">
        <f t="shared" si="1"/>
        <v>98</v>
      </c>
      <c r="B99" s="105" t="s">
        <v>542</v>
      </c>
      <c r="C99" s="106" t="s">
        <v>543</v>
      </c>
      <c r="D99" s="107" t="s">
        <v>534</v>
      </c>
      <c r="E99" s="108" t="s">
        <v>544</v>
      </c>
      <c r="F99" s="114" t="s">
        <v>272</v>
      </c>
      <c r="G99" s="114" t="s">
        <v>273</v>
      </c>
      <c r="H99" s="105" t="s">
        <v>545</v>
      </c>
      <c r="I99" s="115">
        <v>6</v>
      </c>
      <c r="J99" s="115" t="s">
        <v>537</v>
      </c>
      <c r="K99" s="105" t="s">
        <v>538</v>
      </c>
      <c r="L99" s="107" t="str">
        <f ca="1">VLOOKUP($K99,OFFSET([1]character_type_i18n!$A$1,0,0,COUNTA([1]character_type_i18n!$A:$A),MATCH(L$1,[1]character_type_i18n!$1:$1,0)-MATCH($K$1,[1]character_type_i18n!$1:$1,0)+1),MATCH(L$1,[1]character_type_i18n!$1:$1,0)-MATCH($K$1,[1]character_type_i18n!$1:$1,0)+1,FALSE)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99" s="105" t="s">
        <v>277</v>
      </c>
      <c r="N99" s="107" t="str">
        <f>VLOOKUP(M99,[1]character_tribe_i18n!A:C,3,FALSE)</f>
        <v>Unknown</v>
      </c>
      <c r="O99" s="105" t="s">
        <v>278</v>
      </c>
      <c r="P99" s="107" t="str">
        <f>VLOOKUP(O99,[1]character_tribe_i18n!A:C,3,FALSE)</f>
        <v>種族なし</v>
      </c>
      <c r="Q99" s="110" t="s">
        <v>539</v>
      </c>
      <c r="R99" s="105">
        <v>3</v>
      </c>
      <c r="S99" s="114" t="s">
        <v>398</v>
      </c>
      <c r="T99" s="108" t="s">
        <v>399</v>
      </c>
      <c r="U99" s="114" t="s">
        <v>398</v>
      </c>
      <c r="V99" s="114" t="s">
        <v>398</v>
      </c>
      <c r="W99" s="114" t="s">
        <v>398</v>
      </c>
    </row>
    <row r="100" spans="1:23" s="116" customFormat="1" ht="21" customHeight="1" x14ac:dyDescent="0.15">
      <c r="A100" s="104">
        <f t="shared" si="1"/>
        <v>99</v>
      </c>
      <c r="B100" s="105" t="s">
        <v>400</v>
      </c>
      <c r="C100" s="106" t="s">
        <v>546</v>
      </c>
      <c r="D100" s="107" t="s">
        <v>534</v>
      </c>
      <c r="E100" s="108" t="s">
        <v>547</v>
      </c>
      <c r="F100" s="114" t="s">
        <v>272</v>
      </c>
      <c r="G100" s="114" t="s">
        <v>273</v>
      </c>
      <c r="H100" s="105" t="s">
        <v>548</v>
      </c>
      <c r="I100" s="115">
        <v>6</v>
      </c>
      <c r="J100" s="115" t="s">
        <v>537</v>
      </c>
      <c r="K100" s="105" t="s">
        <v>538</v>
      </c>
      <c r="L100" s="107" t="str">
        <f ca="1">VLOOKUP($K100,OFFSET([1]character_type_i18n!$A$1,0,0,COUNTA([1]character_type_i18n!$A:$A),MATCH(L$1,[1]character_type_i18n!$1:$1,0)-MATCH($K$1,[1]character_type_i18n!$1:$1,0)+1),MATCH(L$1,[1]character_type_i18n!$1:$1,0)-MATCH($K$1,[1]character_type_i18n!$1:$1,0)+1,FALSE)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0" s="105" t="s">
        <v>277</v>
      </c>
      <c r="N100" s="107" t="str">
        <f>VLOOKUP(M100,[1]character_tribe_i18n!A:C,3,FALSE)</f>
        <v>Unknown</v>
      </c>
      <c r="O100" s="105" t="s">
        <v>278</v>
      </c>
      <c r="P100" s="107" t="str">
        <f>VLOOKUP(O100,[1]character_tribe_i18n!A:C,3,FALSE)</f>
        <v>種族なし</v>
      </c>
      <c r="Q100" s="110" t="s">
        <v>539</v>
      </c>
      <c r="R100" s="105">
        <v>3</v>
      </c>
      <c r="S100" s="114" t="s">
        <v>426</v>
      </c>
      <c r="T100" s="108" t="s">
        <v>427</v>
      </c>
      <c r="U100" s="114" t="s">
        <v>426</v>
      </c>
      <c r="V100" s="114" t="s">
        <v>426</v>
      </c>
      <c r="W100" s="114" t="s">
        <v>426</v>
      </c>
    </row>
    <row r="101" spans="1:23" s="116" customFormat="1" ht="21" customHeight="1" x14ac:dyDescent="0.15">
      <c r="A101" s="104">
        <f t="shared" si="1"/>
        <v>100</v>
      </c>
      <c r="B101" s="105" t="s">
        <v>268</v>
      </c>
      <c r="C101" s="106" t="s">
        <v>549</v>
      </c>
      <c r="D101" s="107" t="s">
        <v>534</v>
      </c>
      <c r="E101" s="108" t="s">
        <v>550</v>
      </c>
      <c r="F101" s="114" t="s">
        <v>272</v>
      </c>
      <c r="G101" s="114" t="s">
        <v>273</v>
      </c>
      <c r="H101" s="105" t="s">
        <v>551</v>
      </c>
      <c r="I101" s="115">
        <v>6</v>
      </c>
      <c r="J101" s="115" t="s">
        <v>537</v>
      </c>
      <c r="K101" s="105" t="s">
        <v>538</v>
      </c>
      <c r="L101" s="107" t="str">
        <f ca="1">VLOOKUP($K101,OFFSET([1]character_type_i18n!$A$1,0,0,COUNTA([1]character_type_i18n!$A:$A),MATCH(L$1,[1]character_type_i18n!$1:$1,0)-MATCH($K$1,[1]character_type_i18n!$1:$1,0)+1),MATCH(L$1,[1]character_type_i18n!$1:$1,0)-MATCH($K$1,[1]character_type_i18n!$1:$1,0)+1,FALSE)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1" s="105" t="s">
        <v>277</v>
      </c>
      <c r="N101" s="107" t="str">
        <f>VLOOKUP(M101,[1]character_tribe_i18n!A:C,3,FALSE)</f>
        <v>Unknown</v>
      </c>
      <c r="O101" s="105" t="s">
        <v>278</v>
      </c>
      <c r="P101" s="107" t="str">
        <f>VLOOKUP(O101,[1]character_tribe_i18n!A:C,3,FALSE)</f>
        <v>種族なし</v>
      </c>
      <c r="Q101" s="110" t="s">
        <v>539</v>
      </c>
      <c r="R101" s="105">
        <v>3</v>
      </c>
      <c r="S101" s="114" t="s">
        <v>426</v>
      </c>
      <c r="T101" s="108" t="s">
        <v>427</v>
      </c>
      <c r="U101" s="114" t="s">
        <v>426</v>
      </c>
      <c r="V101" s="114" t="s">
        <v>426</v>
      </c>
      <c r="W101" s="114" t="s">
        <v>426</v>
      </c>
    </row>
    <row r="102" spans="1:23" ht="21" customHeight="1" x14ac:dyDescent="0.15">
      <c r="A102" s="104">
        <f t="shared" si="1"/>
        <v>101</v>
      </c>
      <c r="B102" s="105" t="s">
        <v>508</v>
      </c>
      <c r="C102" s="106" t="s">
        <v>552</v>
      </c>
      <c r="D102" s="107" t="s">
        <v>553</v>
      </c>
      <c r="E102" s="108" t="s">
        <v>554</v>
      </c>
      <c r="F102" s="108" t="s">
        <v>272</v>
      </c>
      <c r="G102" s="108" t="s">
        <v>273</v>
      </c>
      <c r="H102" s="105" t="s">
        <v>274</v>
      </c>
      <c r="I102" s="109">
        <v>2</v>
      </c>
      <c r="J102" s="109" t="s">
        <v>537</v>
      </c>
      <c r="K102" s="105" t="s">
        <v>555</v>
      </c>
      <c r="L102" s="107" t="str">
        <f ca="1">VLOOKUP($K102,OFFSET([1]character_type_i18n!$A$1,0,0,COUNTA([1]character_type_i18n!$A:$A),MATCH(L$1,[1]character_type_i18n!$1:$1,0)-MATCH($K$1,[1]character_type_i18n!$1:$1,0)+1),MATCH(L$1,[1]character_type_i18n!$1:$1,0)-MATCH($K$1,[1]character_type_i18n!$1:$1,0)+1,FALSE)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2" s="105" t="s">
        <v>277</v>
      </c>
      <c r="N102" s="107" t="str">
        <f>VLOOKUP(M102,[1]character_tribe_i18n!A:C,3,FALSE)</f>
        <v>Unknown</v>
      </c>
      <c r="O102" s="105" t="s">
        <v>278</v>
      </c>
      <c r="P102" s="107" t="str">
        <f>VLOOKUP(O102,[1]character_tribe_i18n!A:C,3,FALSE)</f>
        <v>種族なし</v>
      </c>
      <c r="Q102" s="110" t="s">
        <v>556</v>
      </c>
      <c r="R102" s="111">
        <v>3</v>
      </c>
      <c r="S102" s="108" t="s">
        <v>474</v>
      </c>
      <c r="T102" s="108" t="s">
        <v>475</v>
      </c>
      <c r="U102" s="108" t="s">
        <v>474</v>
      </c>
      <c r="V102" s="108" t="s">
        <v>474</v>
      </c>
      <c r="W102" s="108" t="s">
        <v>474</v>
      </c>
    </row>
    <row r="103" spans="1:23" ht="21" customHeight="1" x14ac:dyDescent="0.15">
      <c r="A103" s="104">
        <f t="shared" si="1"/>
        <v>102</v>
      </c>
      <c r="B103" s="105" t="s">
        <v>268</v>
      </c>
      <c r="C103" s="106" t="s">
        <v>557</v>
      </c>
      <c r="D103" s="107" t="s">
        <v>558</v>
      </c>
      <c r="E103" s="108" t="s">
        <v>559</v>
      </c>
      <c r="F103" s="108" t="s">
        <v>272</v>
      </c>
      <c r="G103" s="108" t="s">
        <v>273</v>
      </c>
      <c r="H103" s="105" t="s">
        <v>274</v>
      </c>
      <c r="I103" s="109">
        <v>3</v>
      </c>
      <c r="J103" s="109" t="s">
        <v>537</v>
      </c>
      <c r="K103" s="105" t="s">
        <v>560</v>
      </c>
      <c r="L103" s="107" t="str">
        <f ca="1">VLOOKUP($K103,OFFSET([1]character_type_i18n!$A$1,0,0,COUNTA([1]character_type_i18n!$A:$A),MATCH(L$1,[1]character_type_i18n!$1:$1,0)-MATCH($K$1,[1]character_type_i18n!$1:$1,0)+1),MATCH(L$1,[1]character_type_i18n!$1:$1,0)-MATCH($K$1,[1]character_type_i18n!$1:$1,0)+1,FALSE)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3" s="105" t="s">
        <v>277</v>
      </c>
      <c r="N103" s="107" t="str">
        <f>VLOOKUP(M103,[1]character_tribe_i18n!A:C,3,FALSE)</f>
        <v>Unknown</v>
      </c>
      <c r="O103" s="105" t="s">
        <v>278</v>
      </c>
      <c r="P103" s="107" t="str">
        <f>VLOOKUP(O103,[1]character_tribe_i18n!A:C,3,FALSE)</f>
        <v>種族なし</v>
      </c>
      <c r="Q103" s="110" t="s">
        <v>556</v>
      </c>
      <c r="R103" s="111">
        <v>3</v>
      </c>
      <c r="S103" s="108" t="s">
        <v>426</v>
      </c>
      <c r="T103" s="108" t="s">
        <v>427</v>
      </c>
      <c r="U103" s="108" t="s">
        <v>426</v>
      </c>
      <c r="V103" s="108" t="s">
        <v>426</v>
      </c>
      <c r="W103" s="108" t="s">
        <v>426</v>
      </c>
    </row>
    <row r="104" spans="1:23" ht="21" customHeight="1" x14ac:dyDescent="0.15">
      <c r="A104" s="104">
        <f t="shared" si="1"/>
        <v>103</v>
      </c>
      <c r="B104" s="105" t="s">
        <v>508</v>
      </c>
      <c r="C104" s="106" t="s">
        <v>561</v>
      </c>
      <c r="D104" s="107" t="s">
        <v>562</v>
      </c>
      <c r="E104" s="108" t="s">
        <v>563</v>
      </c>
      <c r="F104" s="108" t="s">
        <v>272</v>
      </c>
      <c r="G104" s="108" t="s">
        <v>273</v>
      </c>
      <c r="H104" s="105" t="s">
        <v>274</v>
      </c>
      <c r="I104" s="109">
        <v>4</v>
      </c>
      <c r="J104" s="109" t="s">
        <v>537</v>
      </c>
      <c r="K104" s="105" t="s">
        <v>560</v>
      </c>
      <c r="L104" s="107" t="str">
        <f ca="1">VLOOKUP($K104,OFFSET([1]character_type_i18n!$A$1,0,0,COUNTA([1]character_type_i18n!$A:$A),MATCH(L$1,[1]character_type_i18n!$1:$1,0)-MATCH($K$1,[1]character_type_i18n!$1:$1,0)+1),MATCH(L$1,[1]character_type_i18n!$1:$1,0)-MATCH($K$1,[1]character_type_i18n!$1:$1,0)+1,FALSE)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4" s="105" t="s">
        <v>277</v>
      </c>
      <c r="N104" s="107" t="str">
        <f>VLOOKUP(M104,[1]character_tribe_i18n!A:C,3,FALSE)</f>
        <v>Unknown</v>
      </c>
      <c r="O104" s="105" t="s">
        <v>278</v>
      </c>
      <c r="P104" s="107" t="str">
        <f>VLOOKUP(O104,[1]character_tribe_i18n!A:C,3,FALSE)</f>
        <v>種族なし</v>
      </c>
      <c r="Q104" s="110" t="s">
        <v>556</v>
      </c>
      <c r="R104" s="111">
        <v>3</v>
      </c>
      <c r="S104" s="108" t="s">
        <v>398</v>
      </c>
      <c r="T104" s="108" t="s">
        <v>399</v>
      </c>
      <c r="U104" s="108" t="s">
        <v>398</v>
      </c>
      <c r="V104" s="108" t="s">
        <v>398</v>
      </c>
      <c r="W104" s="108" t="s">
        <v>398</v>
      </c>
    </row>
    <row r="105" spans="1:23" ht="21" customHeight="1" x14ac:dyDescent="0.15">
      <c r="A105" s="104">
        <f t="shared" si="1"/>
        <v>104</v>
      </c>
      <c r="B105" s="105" t="s">
        <v>400</v>
      </c>
      <c r="C105" s="106" t="s">
        <v>564</v>
      </c>
      <c r="D105" s="107" t="s">
        <v>565</v>
      </c>
      <c r="E105" s="108" t="s">
        <v>554</v>
      </c>
      <c r="F105" s="108" t="s">
        <v>272</v>
      </c>
      <c r="G105" s="108" t="s">
        <v>273</v>
      </c>
      <c r="H105" s="105" t="s">
        <v>274</v>
      </c>
      <c r="I105" s="109">
        <v>5</v>
      </c>
      <c r="J105" s="109" t="s">
        <v>537</v>
      </c>
      <c r="K105" s="105" t="s">
        <v>560</v>
      </c>
      <c r="L105" s="107" t="str">
        <f ca="1">VLOOKUP($K105,OFFSET([1]character_type_i18n!$A$1,0,0,COUNTA([1]character_type_i18n!$A:$A),MATCH(L$1,[1]character_type_i18n!$1:$1,0)-MATCH($K$1,[1]character_type_i18n!$1:$1,0)+1),MATCH(L$1,[1]character_type_i18n!$1:$1,0)-MATCH($K$1,[1]character_type_i18n!$1:$1,0)+1,FALSE)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5" s="105" t="s">
        <v>277</v>
      </c>
      <c r="N105" s="107" t="str">
        <f>VLOOKUP(M105,[1]character_tribe_i18n!A:C,3,FALSE)</f>
        <v>Unknown</v>
      </c>
      <c r="O105" s="105" t="s">
        <v>278</v>
      </c>
      <c r="P105" s="107" t="str">
        <f>VLOOKUP(O105,[1]character_tribe_i18n!A:C,3,FALSE)</f>
        <v>種族なし</v>
      </c>
      <c r="Q105" s="110" t="s">
        <v>556</v>
      </c>
      <c r="R105" s="111">
        <v>3</v>
      </c>
      <c r="S105" s="108" t="s">
        <v>474</v>
      </c>
      <c r="T105" s="108" t="s">
        <v>281</v>
      </c>
      <c r="U105" s="108" t="s">
        <v>280</v>
      </c>
      <c r="V105" s="108" t="s">
        <v>474</v>
      </c>
      <c r="W105" s="108" t="s">
        <v>474</v>
      </c>
    </row>
    <row r="106" spans="1:23" ht="21" customHeight="1" x14ac:dyDescent="0.15">
      <c r="A106" s="104">
        <f t="shared" si="1"/>
        <v>105</v>
      </c>
      <c r="B106" s="105" t="s">
        <v>400</v>
      </c>
      <c r="C106" s="106" t="s">
        <v>566</v>
      </c>
      <c r="D106" s="107" t="s">
        <v>567</v>
      </c>
      <c r="E106" s="108" t="s">
        <v>554</v>
      </c>
      <c r="F106" s="108" t="s">
        <v>272</v>
      </c>
      <c r="G106" s="108" t="s">
        <v>273</v>
      </c>
      <c r="H106" s="105" t="s">
        <v>285</v>
      </c>
      <c r="I106" s="109">
        <v>2</v>
      </c>
      <c r="J106" s="109" t="s">
        <v>537</v>
      </c>
      <c r="K106" s="105" t="s">
        <v>560</v>
      </c>
      <c r="L106" s="107" t="str">
        <f ca="1">VLOOKUP($K106,OFFSET([1]character_type_i18n!$A$1,0,0,COUNTA([1]character_type_i18n!$A:$A),MATCH(L$1,[1]character_type_i18n!$1:$1,0)-MATCH($K$1,[1]character_type_i18n!$1:$1,0)+1),MATCH(L$1,[1]character_type_i18n!$1:$1,0)-MATCH($K$1,[1]character_type_i18n!$1:$1,0)+1,FALSE)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6" s="105" t="s">
        <v>277</v>
      </c>
      <c r="N106" s="107" t="str">
        <f>VLOOKUP(M106,[1]character_tribe_i18n!A:C,3,FALSE)</f>
        <v>Unknown</v>
      </c>
      <c r="O106" s="105" t="s">
        <v>278</v>
      </c>
      <c r="P106" s="107" t="str">
        <f>VLOOKUP(O106,[1]character_tribe_i18n!A:C,3,FALSE)</f>
        <v>種族なし</v>
      </c>
      <c r="Q106" s="110" t="s">
        <v>556</v>
      </c>
      <c r="R106" s="111">
        <v>3</v>
      </c>
      <c r="S106" s="108" t="s">
        <v>474</v>
      </c>
      <c r="T106" s="108" t="s">
        <v>475</v>
      </c>
      <c r="U106" s="108" t="s">
        <v>474</v>
      </c>
      <c r="V106" s="108" t="s">
        <v>474</v>
      </c>
      <c r="W106" s="108" t="s">
        <v>474</v>
      </c>
    </row>
    <row r="107" spans="1:23" ht="21" customHeight="1" x14ac:dyDescent="0.15">
      <c r="A107" s="104">
        <f t="shared" si="1"/>
        <v>106</v>
      </c>
      <c r="B107" s="105" t="s">
        <v>508</v>
      </c>
      <c r="C107" s="106" t="s">
        <v>568</v>
      </c>
      <c r="D107" s="107" t="s">
        <v>569</v>
      </c>
      <c r="E107" s="108" t="s">
        <v>570</v>
      </c>
      <c r="F107" s="108" t="s">
        <v>272</v>
      </c>
      <c r="G107" s="108" t="s">
        <v>273</v>
      </c>
      <c r="H107" s="105" t="s">
        <v>285</v>
      </c>
      <c r="I107" s="109">
        <v>3</v>
      </c>
      <c r="J107" s="109" t="s">
        <v>537</v>
      </c>
      <c r="K107" s="105" t="s">
        <v>560</v>
      </c>
      <c r="L107" s="107" t="str">
        <f ca="1">VLOOKUP($K107,OFFSET([1]character_type_i18n!$A$1,0,0,COUNTA([1]character_type_i18n!$A:$A),MATCH(L$1,[1]character_type_i18n!$1:$1,0)-MATCH($K$1,[1]character_type_i18n!$1:$1,0)+1),MATCH(L$1,[1]character_type_i18n!$1:$1,0)-MATCH($K$1,[1]character_type_i18n!$1:$1,0)+1,FALSE)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7" s="105" t="s">
        <v>277</v>
      </c>
      <c r="N107" s="107" t="str">
        <f>VLOOKUP(M107,[1]character_tribe_i18n!A:C,3,FALSE)</f>
        <v>Unknown</v>
      </c>
      <c r="O107" s="105" t="s">
        <v>278</v>
      </c>
      <c r="P107" s="107" t="str">
        <f>VLOOKUP(O107,[1]character_tribe_i18n!A:C,3,FALSE)</f>
        <v>種族なし</v>
      </c>
      <c r="Q107" s="110" t="s">
        <v>556</v>
      </c>
      <c r="R107" s="111">
        <v>3</v>
      </c>
      <c r="S107" s="108" t="s">
        <v>398</v>
      </c>
      <c r="T107" s="108" t="s">
        <v>399</v>
      </c>
      <c r="U107" s="108" t="s">
        <v>398</v>
      </c>
      <c r="V107" s="108" t="s">
        <v>398</v>
      </c>
      <c r="W107" s="108" t="s">
        <v>398</v>
      </c>
    </row>
    <row r="108" spans="1:23" ht="21" customHeight="1" x14ac:dyDescent="0.15">
      <c r="A108" s="104">
        <f t="shared" si="1"/>
        <v>107</v>
      </c>
      <c r="B108" s="105" t="s">
        <v>400</v>
      </c>
      <c r="C108" s="106" t="s">
        <v>571</v>
      </c>
      <c r="D108" s="107" t="s">
        <v>572</v>
      </c>
      <c r="E108" s="108" t="s">
        <v>570</v>
      </c>
      <c r="F108" s="108" t="s">
        <v>272</v>
      </c>
      <c r="G108" s="108" t="s">
        <v>273</v>
      </c>
      <c r="H108" s="105" t="s">
        <v>285</v>
      </c>
      <c r="I108" s="109">
        <v>4</v>
      </c>
      <c r="J108" s="109" t="s">
        <v>537</v>
      </c>
      <c r="K108" s="105" t="s">
        <v>560</v>
      </c>
      <c r="L108" s="107" t="str">
        <f ca="1">VLOOKUP($K108,OFFSET([1]character_type_i18n!$A$1,0,0,COUNTA([1]character_type_i18n!$A:$A),MATCH(L$1,[1]character_type_i18n!$1:$1,0)-MATCH($K$1,[1]character_type_i18n!$1:$1,0)+1),MATCH(L$1,[1]character_type_i18n!$1:$1,0)-MATCH($K$1,[1]character_type_i18n!$1:$1,0)+1,FALSE)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8" s="105" t="s">
        <v>277</v>
      </c>
      <c r="N108" s="107" t="str">
        <f>VLOOKUP(M108,[1]character_tribe_i18n!A:C,3,FALSE)</f>
        <v>Unknown</v>
      </c>
      <c r="O108" s="105" t="s">
        <v>278</v>
      </c>
      <c r="P108" s="107" t="str">
        <f>VLOOKUP(O108,[1]character_tribe_i18n!A:C,3,FALSE)</f>
        <v>種族なし</v>
      </c>
      <c r="Q108" s="110" t="s">
        <v>556</v>
      </c>
      <c r="R108" s="111">
        <v>3</v>
      </c>
      <c r="S108" s="108" t="s">
        <v>474</v>
      </c>
      <c r="T108" s="108" t="s">
        <v>573</v>
      </c>
      <c r="U108" s="108" t="s">
        <v>574</v>
      </c>
      <c r="V108" s="108" t="s">
        <v>474</v>
      </c>
      <c r="W108" s="108" t="s">
        <v>474</v>
      </c>
    </row>
    <row r="109" spans="1:23" ht="21" customHeight="1" x14ac:dyDescent="0.15">
      <c r="A109" s="104">
        <f t="shared" si="1"/>
        <v>108</v>
      </c>
      <c r="B109" s="105" t="s">
        <v>508</v>
      </c>
      <c r="C109" s="106" t="s">
        <v>575</v>
      </c>
      <c r="D109" s="107" t="s">
        <v>576</v>
      </c>
      <c r="E109" s="108" t="s">
        <v>570</v>
      </c>
      <c r="F109" s="108" t="s">
        <v>272</v>
      </c>
      <c r="G109" s="108" t="s">
        <v>273</v>
      </c>
      <c r="H109" s="105" t="s">
        <v>285</v>
      </c>
      <c r="I109" s="109">
        <v>5</v>
      </c>
      <c r="J109" s="109" t="s">
        <v>537</v>
      </c>
      <c r="K109" s="105" t="s">
        <v>560</v>
      </c>
      <c r="L109" s="107" t="str">
        <f ca="1">VLOOKUP($K109,OFFSET([1]character_type_i18n!$A$1,0,0,COUNTA([1]character_type_i18n!$A:$A),MATCH(L$1,[1]character_type_i18n!$1:$1,0)-MATCH($K$1,[1]character_type_i18n!$1:$1,0)+1),MATCH(L$1,[1]character_type_i18n!$1:$1,0)-MATCH($K$1,[1]character_type_i18n!$1:$1,0)+1,FALSE)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9" s="105" t="s">
        <v>277</v>
      </c>
      <c r="N109" s="107" t="str">
        <f>VLOOKUP(M109,[1]character_tribe_i18n!A:C,3,FALSE)</f>
        <v>Unknown</v>
      </c>
      <c r="O109" s="105" t="s">
        <v>278</v>
      </c>
      <c r="P109" s="107" t="str">
        <f>VLOOKUP(O109,[1]character_tribe_i18n!A:C,3,FALSE)</f>
        <v>種族なし</v>
      </c>
      <c r="Q109" s="110" t="s">
        <v>556</v>
      </c>
      <c r="R109" s="111">
        <v>3</v>
      </c>
      <c r="S109" s="108" t="s">
        <v>398</v>
      </c>
      <c r="T109" s="108" t="s">
        <v>573</v>
      </c>
      <c r="U109" s="108" t="s">
        <v>574</v>
      </c>
      <c r="V109" s="108" t="s">
        <v>398</v>
      </c>
      <c r="W109" s="108" t="s">
        <v>398</v>
      </c>
    </row>
    <row r="110" spans="1:23" ht="21" customHeight="1" x14ac:dyDescent="0.15">
      <c r="A110" s="104">
        <f t="shared" si="1"/>
        <v>109</v>
      </c>
      <c r="B110" s="105" t="s">
        <v>400</v>
      </c>
      <c r="C110" s="106" t="s">
        <v>577</v>
      </c>
      <c r="D110" s="107" t="s">
        <v>578</v>
      </c>
      <c r="E110" s="108" t="s">
        <v>570</v>
      </c>
      <c r="F110" s="108" t="s">
        <v>272</v>
      </c>
      <c r="G110" s="108" t="s">
        <v>273</v>
      </c>
      <c r="H110" s="105" t="s">
        <v>295</v>
      </c>
      <c r="I110" s="109">
        <v>2</v>
      </c>
      <c r="J110" s="109" t="s">
        <v>537</v>
      </c>
      <c r="K110" s="105" t="s">
        <v>560</v>
      </c>
      <c r="L110" s="107" t="str">
        <f ca="1">VLOOKUP($K110,OFFSET([1]character_type_i18n!$A$1,0,0,COUNTA([1]character_type_i18n!$A:$A),MATCH(L$1,[1]character_type_i18n!$1:$1,0)-MATCH($K$1,[1]character_type_i18n!$1:$1,0)+1),MATCH(L$1,[1]character_type_i18n!$1:$1,0)-MATCH($K$1,[1]character_type_i18n!$1:$1,0)+1,FALSE)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0" s="105" t="s">
        <v>277</v>
      </c>
      <c r="N110" s="107" t="str">
        <f>VLOOKUP(M110,[1]character_tribe_i18n!A:C,3,FALSE)</f>
        <v>Unknown</v>
      </c>
      <c r="O110" s="105" t="s">
        <v>278</v>
      </c>
      <c r="P110" s="107" t="str">
        <f>VLOOKUP(O110,[1]character_tribe_i18n!A:C,3,FALSE)</f>
        <v>種族なし</v>
      </c>
      <c r="Q110" s="110" t="s">
        <v>556</v>
      </c>
      <c r="R110" s="111">
        <v>3</v>
      </c>
      <c r="S110" s="108" t="s">
        <v>474</v>
      </c>
      <c r="T110" s="108" t="s">
        <v>573</v>
      </c>
      <c r="U110" s="108" t="s">
        <v>574</v>
      </c>
      <c r="V110" s="108" t="s">
        <v>474</v>
      </c>
      <c r="W110" s="108" t="s">
        <v>474</v>
      </c>
    </row>
    <row r="111" spans="1:23" ht="21" customHeight="1" x14ac:dyDescent="0.15">
      <c r="A111" s="104">
        <f t="shared" si="1"/>
        <v>110</v>
      </c>
      <c r="B111" s="105" t="s">
        <v>508</v>
      </c>
      <c r="C111" s="106" t="s">
        <v>579</v>
      </c>
      <c r="D111" s="107" t="s">
        <v>580</v>
      </c>
      <c r="E111" s="108" t="s">
        <v>570</v>
      </c>
      <c r="F111" s="108" t="s">
        <v>272</v>
      </c>
      <c r="G111" s="108" t="s">
        <v>273</v>
      </c>
      <c r="H111" s="105" t="s">
        <v>295</v>
      </c>
      <c r="I111" s="109">
        <v>3</v>
      </c>
      <c r="J111" s="109" t="s">
        <v>537</v>
      </c>
      <c r="K111" s="105" t="s">
        <v>560</v>
      </c>
      <c r="L111" s="107" t="str">
        <f ca="1">VLOOKUP($K111,OFFSET([1]character_type_i18n!$A$1,0,0,COUNTA([1]character_type_i18n!$A:$A),MATCH(L$1,[1]character_type_i18n!$1:$1,0)-MATCH($K$1,[1]character_type_i18n!$1:$1,0)+1),MATCH(L$1,[1]character_type_i18n!$1:$1,0)-MATCH($K$1,[1]character_type_i18n!$1:$1,0)+1,FALSE)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1" s="105" t="s">
        <v>277</v>
      </c>
      <c r="N111" s="107" t="str">
        <f>VLOOKUP(M111,[1]character_tribe_i18n!A:C,3,FALSE)</f>
        <v>Unknown</v>
      </c>
      <c r="O111" s="105" t="s">
        <v>278</v>
      </c>
      <c r="P111" s="107" t="str">
        <f>VLOOKUP(O111,[1]character_tribe_i18n!A:C,3,FALSE)</f>
        <v>種族なし</v>
      </c>
      <c r="Q111" s="110" t="s">
        <v>556</v>
      </c>
      <c r="R111" s="111">
        <v>3</v>
      </c>
      <c r="S111" s="108" t="s">
        <v>398</v>
      </c>
      <c r="T111" s="108" t="s">
        <v>573</v>
      </c>
      <c r="U111" s="108" t="s">
        <v>574</v>
      </c>
      <c r="V111" s="108" t="s">
        <v>398</v>
      </c>
      <c r="W111" s="108" t="s">
        <v>398</v>
      </c>
    </row>
    <row r="112" spans="1:23" ht="21" customHeight="1" x14ac:dyDescent="0.15">
      <c r="A112" s="104">
        <f t="shared" si="1"/>
        <v>111</v>
      </c>
      <c r="B112" s="105" t="s">
        <v>400</v>
      </c>
      <c r="C112" s="106" t="s">
        <v>581</v>
      </c>
      <c r="D112" s="107" t="s">
        <v>582</v>
      </c>
      <c r="E112" s="108" t="s">
        <v>535</v>
      </c>
      <c r="F112" s="108" t="s">
        <v>272</v>
      </c>
      <c r="G112" s="108" t="s">
        <v>273</v>
      </c>
      <c r="H112" s="105" t="s">
        <v>295</v>
      </c>
      <c r="I112" s="109">
        <v>4</v>
      </c>
      <c r="J112" s="109" t="s">
        <v>537</v>
      </c>
      <c r="K112" s="105" t="s">
        <v>560</v>
      </c>
      <c r="L112" s="107" t="str">
        <f ca="1">VLOOKUP($K112,OFFSET([1]character_type_i18n!$A$1,0,0,COUNTA([1]character_type_i18n!$A:$A),MATCH(L$1,[1]character_type_i18n!$1:$1,0)-MATCH($K$1,[1]character_type_i18n!$1:$1,0)+1),MATCH(L$1,[1]character_type_i18n!$1:$1,0)-MATCH($K$1,[1]character_type_i18n!$1:$1,0)+1,FALSE)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2" s="105" t="s">
        <v>277</v>
      </c>
      <c r="N112" s="107" t="str">
        <f>VLOOKUP(M112,[1]character_tribe_i18n!A:C,3,FALSE)</f>
        <v>Unknown</v>
      </c>
      <c r="O112" s="105" t="s">
        <v>278</v>
      </c>
      <c r="P112" s="107" t="str">
        <f>VLOOKUP(O112,[1]character_tribe_i18n!A:C,3,FALSE)</f>
        <v>種族なし</v>
      </c>
      <c r="Q112" s="110" t="s">
        <v>556</v>
      </c>
      <c r="R112" s="111">
        <v>3</v>
      </c>
      <c r="S112" s="108" t="s">
        <v>398</v>
      </c>
      <c r="T112" s="108" t="s">
        <v>399</v>
      </c>
      <c r="U112" s="108" t="s">
        <v>398</v>
      </c>
      <c r="V112" s="108" t="s">
        <v>398</v>
      </c>
      <c r="W112" s="108" t="s">
        <v>398</v>
      </c>
    </row>
    <row r="113" spans="1:23" ht="21" customHeight="1" x14ac:dyDescent="0.15">
      <c r="A113" s="104">
        <f t="shared" si="1"/>
        <v>112</v>
      </c>
      <c r="B113" s="105" t="s">
        <v>400</v>
      </c>
      <c r="C113" s="106" t="s">
        <v>583</v>
      </c>
      <c r="D113" s="107" t="s">
        <v>584</v>
      </c>
      <c r="E113" s="108" t="s">
        <v>570</v>
      </c>
      <c r="F113" s="108" t="s">
        <v>272</v>
      </c>
      <c r="G113" s="108" t="s">
        <v>273</v>
      </c>
      <c r="H113" s="105" t="s">
        <v>295</v>
      </c>
      <c r="I113" s="109">
        <v>5</v>
      </c>
      <c r="J113" s="109" t="s">
        <v>537</v>
      </c>
      <c r="K113" s="105" t="s">
        <v>560</v>
      </c>
      <c r="L113" s="107" t="str">
        <f ca="1">VLOOKUP($K113,OFFSET([1]character_type_i18n!$A$1,0,0,COUNTA([1]character_type_i18n!$A:$A),MATCH(L$1,[1]character_type_i18n!$1:$1,0)-MATCH($K$1,[1]character_type_i18n!$1:$1,0)+1),MATCH(L$1,[1]character_type_i18n!$1:$1,0)-MATCH($K$1,[1]character_type_i18n!$1:$1,0)+1,FALSE)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3" s="105" t="s">
        <v>277</v>
      </c>
      <c r="N113" s="107" t="str">
        <f>VLOOKUP(M113,[1]character_tribe_i18n!A:C,3,FALSE)</f>
        <v>Unknown</v>
      </c>
      <c r="O113" s="105" t="s">
        <v>278</v>
      </c>
      <c r="P113" s="107" t="str">
        <f>VLOOKUP(O113,[1]character_tribe_i18n!A:C,3,FALSE)</f>
        <v>種族なし</v>
      </c>
      <c r="Q113" s="110" t="s">
        <v>556</v>
      </c>
      <c r="R113" s="111">
        <v>3</v>
      </c>
      <c r="S113" s="108" t="s">
        <v>398</v>
      </c>
      <c r="T113" s="108" t="s">
        <v>399</v>
      </c>
      <c r="U113" s="108" t="s">
        <v>398</v>
      </c>
      <c r="V113" s="108" t="s">
        <v>398</v>
      </c>
      <c r="W113" s="108" t="s">
        <v>398</v>
      </c>
    </row>
    <row r="114" spans="1:23" ht="21" customHeight="1" x14ac:dyDescent="0.15">
      <c r="A114" s="104">
        <f t="shared" si="1"/>
        <v>113</v>
      </c>
      <c r="B114" s="105" t="s">
        <v>508</v>
      </c>
      <c r="C114" s="106" t="s">
        <v>585</v>
      </c>
      <c r="D114" s="107" t="s">
        <v>586</v>
      </c>
      <c r="E114" s="108" t="s">
        <v>535</v>
      </c>
      <c r="F114" s="108" t="s">
        <v>272</v>
      </c>
      <c r="G114" s="108" t="s">
        <v>273</v>
      </c>
      <c r="H114" s="105" t="s">
        <v>300</v>
      </c>
      <c r="I114" s="109">
        <v>2</v>
      </c>
      <c r="J114" s="109" t="s">
        <v>537</v>
      </c>
      <c r="K114" s="105" t="s">
        <v>560</v>
      </c>
      <c r="L114" s="107" t="str">
        <f ca="1">VLOOKUP($K114,OFFSET([1]character_type_i18n!$A$1,0,0,COUNTA([1]character_type_i18n!$A:$A),MATCH(L$1,[1]character_type_i18n!$1:$1,0)-MATCH($K$1,[1]character_type_i18n!$1:$1,0)+1),MATCH(L$1,[1]character_type_i18n!$1:$1,0)-MATCH($K$1,[1]character_type_i18n!$1:$1,0)+1,FALSE)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4" s="105" t="s">
        <v>277</v>
      </c>
      <c r="N114" s="107" t="str">
        <f>VLOOKUP(M114,[1]character_tribe_i18n!A:C,3,FALSE)</f>
        <v>Unknown</v>
      </c>
      <c r="O114" s="105" t="s">
        <v>278</v>
      </c>
      <c r="P114" s="107" t="str">
        <f>VLOOKUP(O114,[1]character_tribe_i18n!A:C,3,FALSE)</f>
        <v>種族なし</v>
      </c>
      <c r="Q114" s="110" t="s">
        <v>556</v>
      </c>
      <c r="R114" s="111">
        <v>3</v>
      </c>
      <c r="S114" s="108" t="s">
        <v>280</v>
      </c>
      <c r="T114" s="108" t="s">
        <v>281</v>
      </c>
      <c r="U114" s="108" t="s">
        <v>280</v>
      </c>
      <c r="V114" s="108" t="s">
        <v>398</v>
      </c>
      <c r="W114" s="108" t="s">
        <v>398</v>
      </c>
    </row>
    <row r="115" spans="1:23" ht="21" customHeight="1" x14ac:dyDescent="0.15">
      <c r="A115" s="104">
        <f t="shared" si="1"/>
        <v>114</v>
      </c>
      <c r="B115" s="105" t="s">
        <v>400</v>
      </c>
      <c r="C115" s="106" t="s">
        <v>587</v>
      </c>
      <c r="D115" s="107" t="s">
        <v>588</v>
      </c>
      <c r="E115" s="108" t="s">
        <v>570</v>
      </c>
      <c r="F115" s="108" t="s">
        <v>272</v>
      </c>
      <c r="G115" s="108" t="s">
        <v>273</v>
      </c>
      <c r="H115" s="105" t="s">
        <v>300</v>
      </c>
      <c r="I115" s="109">
        <v>3</v>
      </c>
      <c r="J115" s="109" t="s">
        <v>537</v>
      </c>
      <c r="K115" s="105" t="s">
        <v>560</v>
      </c>
      <c r="L115" s="107" t="str">
        <f ca="1">VLOOKUP($K115,OFFSET([1]character_type_i18n!$A$1,0,0,COUNTA([1]character_type_i18n!$A:$A),MATCH(L$1,[1]character_type_i18n!$1:$1,0)-MATCH($K$1,[1]character_type_i18n!$1:$1,0)+1),MATCH(L$1,[1]character_type_i18n!$1:$1,0)-MATCH($K$1,[1]character_type_i18n!$1:$1,0)+1,FALSE)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5" s="105" t="s">
        <v>277</v>
      </c>
      <c r="N115" s="107" t="str">
        <f>VLOOKUP(M115,[1]character_tribe_i18n!A:C,3,FALSE)</f>
        <v>Unknown</v>
      </c>
      <c r="O115" s="105" t="s">
        <v>278</v>
      </c>
      <c r="P115" s="107" t="str">
        <f>VLOOKUP(O115,[1]character_tribe_i18n!A:C,3,FALSE)</f>
        <v>種族なし</v>
      </c>
      <c r="Q115" s="110" t="s">
        <v>556</v>
      </c>
      <c r="R115" s="111">
        <v>3</v>
      </c>
      <c r="S115" s="108" t="s">
        <v>474</v>
      </c>
      <c r="T115" s="108" t="s">
        <v>475</v>
      </c>
      <c r="U115" s="108" t="s">
        <v>474</v>
      </c>
      <c r="V115" s="108" t="s">
        <v>474</v>
      </c>
      <c r="W115" s="108" t="s">
        <v>474</v>
      </c>
    </row>
    <row r="116" spans="1:23" ht="21" customHeight="1" x14ac:dyDescent="0.15">
      <c r="A116" s="104">
        <f t="shared" si="1"/>
        <v>115</v>
      </c>
      <c r="B116" s="105" t="s">
        <v>508</v>
      </c>
      <c r="C116" s="106" t="s">
        <v>589</v>
      </c>
      <c r="D116" s="107" t="s">
        <v>590</v>
      </c>
      <c r="E116" s="108" t="s">
        <v>535</v>
      </c>
      <c r="F116" s="108" t="s">
        <v>272</v>
      </c>
      <c r="G116" s="108" t="s">
        <v>273</v>
      </c>
      <c r="H116" s="105" t="s">
        <v>300</v>
      </c>
      <c r="I116" s="109">
        <v>4</v>
      </c>
      <c r="J116" s="109" t="s">
        <v>537</v>
      </c>
      <c r="K116" s="105" t="s">
        <v>560</v>
      </c>
      <c r="L116" s="107" t="str">
        <f ca="1">VLOOKUP($K116,OFFSET([1]character_type_i18n!$A$1,0,0,COUNTA([1]character_type_i18n!$A:$A),MATCH(L$1,[1]character_type_i18n!$1:$1,0)-MATCH($K$1,[1]character_type_i18n!$1:$1,0)+1),MATCH(L$1,[1]character_type_i18n!$1:$1,0)-MATCH($K$1,[1]character_type_i18n!$1:$1,0)+1,FALSE)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6" s="105" t="s">
        <v>277</v>
      </c>
      <c r="N116" s="107" t="str">
        <f>VLOOKUP(M116,[1]character_tribe_i18n!A:C,3,FALSE)</f>
        <v>Unknown</v>
      </c>
      <c r="O116" s="105" t="s">
        <v>278</v>
      </c>
      <c r="P116" s="107" t="str">
        <f>VLOOKUP(O116,[1]character_tribe_i18n!A:C,3,FALSE)</f>
        <v>種族なし</v>
      </c>
      <c r="Q116" s="110" t="s">
        <v>556</v>
      </c>
      <c r="R116" s="111">
        <v>3</v>
      </c>
      <c r="S116" s="108" t="s">
        <v>474</v>
      </c>
      <c r="T116" s="108" t="s">
        <v>475</v>
      </c>
      <c r="U116" s="108" t="s">
        <v>474</v>
      </c>
      <c r="V116" s="108" t="s">
        <v>474</v>
      </c>
      <c r="W116" s="108" t="s">
        <v>474</v>
      </c>
    </row>
    <row r="117" spans="1:23" ht="21" customHeight="1" x14ac:dyDescent="0.15">
      <c r="A117" s="104">
        <f t="shared" si="1"/>
        <v>116</v>
      </c>
      <c r="B117" s="105" t="s">
        <v>508</v>
      </c>
      <c r="C117" s="106" t="s">
        <v>591</v>
      </c>
      <c r="D117" s="107" t="s">
        <v>592</v>
      </c>
      <c r="E117" s="108" t="s">
        <v>535</v>
      </c>
      <c r="F117" s="108" t="s">
        <v>272</v>
      </c>
      <c r="G117" s="108" t="s">
        <v>273</v>
      </c>
      <c r="H117" s="105" t="s">
        <v>300</v>
      </c>
      <c r="I117" s="109">
        <v>5</v>
      </c>
      <c r="J117" s="109" t="s">
        <v>537</v>
      </c>
      <c r="K117" s="105" t="s">
        <v>560</v>
      </c>
      <c r="L117" s="107" t="str">
        <f ca="1">VLOOKUP($K117,OFFSET([1]character_type_i18n!$A$1,0,0,COUNTA([1]character_type_i18n!$A:$A),MATCH(L$1,[1]character_type_i18n!$1:$1,0)-MATCH($K$1,[1]character_type_i18n!$1:$1,0)+1),MATCH(L$1,[1]character_type_i18n!$1:$1,0)-MATCH($K$1,[1]character_type_i18n!$1:$1,0)+1,FALSE)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7" s="105" t="s">
        <v>277</v>
      </c>
      <c r="N117" s="107" t="str">
        <f>VLOOKUP(M117,[1]character_tribe_i18n!A:C,3,FALSE)</f>
        <v>Unknown</v>
      </c>
      <c r="O117" s="105" t="s">
        <v>278</v>
      </c>
      <c r="P117" s="107" t="str">
        <f>VLOOKUP(O117,[1]character_tribe_i18n!A:C,3,FALSE)</f>
        <v>種族なし</v>
      </c>
      <c r="Q117" s="110" t="s">
        <v>556</v>
      </c>
      <c r="R117" s="111">
        <v>3</v>
      </c>
      <c r="S117" s="108" t="s">
        <v>398</v>
      </c>
      <c r="T117" s="108" t="s">
        <v>399</v>
      </c>
      <c r="U117" s="108" t="s">
        <v>398</v>
      </c>
      <c r="V117" s="108" t="s">
        <v>398</v>
      </c>
      <c r="W117" s="108" t="s">
        <v>398</v>
      </c>
    </row>
    <row r="118" spans="1:23" ht="21" customHeight="1" x14ac:dyDescent="0.15">
      <c r="A118" s="104">
        <f t="shared" si="1"/>
        <v>117</v>
      </c>
      <c r="B118" s="105" t="s">
        <v>400</v>
      </c>
      <c r="C118" s="106" t="s">
        <v>593</v>
      </c>
      <c r="D118" s="107" t="s">
        <v>594</v>
      </c>
      <c r="E118" s="108" t="s">
        <v>570</v>
      </c>
      <c r="F118" s="108" t="s">
        <v>272</v>
      </c>
      <c r="G118" s="108" t="s">
        <v>273</v>
      </c>
      <c r="H118" s="105" t="s">
        <v>300</v>
      </c>
      <c r="I118" s="109">
        <v>3</v>
      </c>
      <c r="J118" s="109" t="s">
        <v>537</v>
      </c>
      <c r="K118" s="105" t="s">
        <v>595</v>
      </c>
      <c r="L118" s="107" t="str">
        <f ca="1">VLOOKUP($K118,OFFSET([1]character_type_i18n!$A$1,0,0,COUNTA([1]character_type_i18n!$A:$A),MATCH(L$1,[1]character_type_i18n!$1:$1,0)-MATCH($K$1,[1]character_type_i18n!$1:$1,0)+1),MATCH(L$1,[1]character_type_i18n!$1:$1,0)-MATCH($K$1,[1]character_type_i18n!$1:$1,0)+1,FALSE)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118" s="105" t="s">
        <v>277</v>
      </c>
      <c r="N118" s="107" t="str">
        <f>VLOOKUP(M118,[1]character_tribe_i18n!A:C,3,FALSE)</f>
        <v>Unknown</v>
      </c>
      <c r="O118" s="105" t="s">
        <v>278</v>
      </c>
      <c r="P118" s="107" t="str">
        <f>VLOOKUP(O118,[1]character_tribe_i18n!A:C,3,FALSE)</f>
        <v>種族なし</v>
      </c>
      <c r="Q118" s="110" t="s">
        <v>596</v>
      </c>
      <c r="R118" s="111">
        <v>3</v>
      </c>
      <c r="S118" s="108" t="s">
        <v>597</v>
      </c>
      <c r="T118" s="108" t="s">
        <v>573</v>
      </c>
      <c r="U118" s="108" t="s">
        <v>597</v>
      </c>
      <c r="V118" s="108" t="s">
        <v>398</v>
      </c>
      <c r="W118" s="108" t="s">
        <v>398</v>
      </c>
    </row>
    <row r="119" spans="1:23" ht="21" customHeight="1" x14ac:dyDescent="0.15">
      <c r="A119" s="104">
        <f t="shared" si="1"/>
        <v>118</v>
      </c>
      <c r="B119" s="105" t="s">
        <v>400</v>
      </c>
      <c r="C119" s="106" t="s">
        <v>598</v>
      </c>
      <c r="D119" s="107" t="s">
        <v>599</v>
      </c>
      <c r="E119" s="108" t="s">
        <v>554</v>
      </c>
      <c r="F119" s="108" t="s">
        <v>272</v>
      </c>
      <c r="G119" s="108" t="s">
        <v>273</v>
      </c>
      <c r="H119" s="105" t="s">
        <v>300</v>
      </c>
      <c r="I119" s="109">
        <v>4</v>
      </c>
      <c r="J119" s="109" t="s">
        <v>537</v>
      </c>
      <c r="K119" s="105" t="s">
        <v>595</v>
      </c>
      <c r="L119" s="107" t="str">
        <f ca="1">VLOOKUP($K119,OFFSET([1]character_type_i18n!$A$1,0,0,COUNTA([1]character_type_i18n!$A:$A),MATCH(L$1,[1]character_type_i18n!$1:$1,0)-MATCH($K$1,[1]character_type_i18n!$1:$1,0)+1),MATCH(L$1,[1]character_type_i18n!$1:$1,0)-MATCH($K$1,[1]character_type_i18n!$1:$1,0)+1,FALSE)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119" s="105" t="s">
        <v>277</v>
      </c>
      <c r="N119" s="107" t="str">
        <f>VLOOKUP(M119,[1]character_tribe_i18n!A:C,3,FALSE)</f>
        <v>Unknown</v>
      </c>
      <c r="O119" s="105" t="s">
        <v>278</v>
      </c>
      <c r="P119" s="107" t="str">
        <f>VLOOKUP(O119,[1]character_tribe_i18n!A:C,3,FALSE)</f>
        <v>種族なし</v>
      </c>
      <c r="Q119" s="110" t="s">
        <v>596</v>
      </c>
      <c r="R119" s="111">
        <v>3</v>
      </c>
      <c r="S119" s="108" t="s">
        <v>474</v>
      </c>
      <c r="T119" s="108" t="s">
        <v>475</v>
      </c>
      <c r="U119" s="108" t="s">
        <v>474</v>
      </c>
      <c r="V119" s="108" t="s">
        <v>474</v>
      </c>
      <c r="W119" s="108" t="s">
        <v>474</v>
      </c>
    </row>
    <row r="120" spans="1:23" ht="21" customHeight="1" x14ac:dyDescent="0.15">
      <c r="A120" s="104">
        <f t="shared" si="1"/>
        <v>119</v>
      </c>
      <c r="B120" s="105" t="s">
        <v>268</v>
      </c>
      <c r="C120" s="106" t="s">
        <v>600</v>
      </c>
      <c r="D120" s="107" t="s">
        <v>601</v>
      </c>
      <c r="E120" s="108" t="s">
        <v>554</v>
      </c>
      <c r="F120" s="108" t="s">
        <v>272</v>
      </c>
      <c r="G120" s="108" t="s">
        <v>273</v>
      </c>
      <c r="H120" s="105" t="s">
        <v>300</v>
      </c>
      <c r="I120" s="109">
        <v>5</v>
      </c>
      <c r="J120" s="109" t="s">
        <v>537</v>
      </c>
      <c r="K120" s="105" t="s">
        <v>595</v>
      </c>
      <c r="L120" s="107" t="str">
        <f ca="1">VLOOKUP($K120,OFFSET([1]character_type_i18n!$A$1,0,0,COUNTA([1]character_type_i18n!$A:$A),MATCH(L$1,[1]character_type_i18n!$1:$1,0)-MATCH($K$1,[1]character_type_i18n!$1:$1,0)+1),MATCH(L$1,[1]character_type_i18n!$1:$1,0)-MATCH($K$1,[1]character_type_i18n!$1:$1,0)+1,FALSE)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120" s="105" t="s">
        <v>277</v>
      </c>
      <c r="N120" s="107" t="str">
        <f>VLOOKUP(M120,[1]character_tribe_i18n!A:C,3,FALSE)</f>
        <v>Unknown</v>
      </c>
      <c r="O120" s="105" t="s">
        <v>278</v>
      </c>
      <c r="P120" s="107" t="str">
        <f>VLOOKUP(O120,[1]character_tribe_i18n!A:C,3,FALSE)</f>
        <v>種族なし</v>
      </c>
      <c r="Q120" s="110" t="s">
        <v>596</v>
      </c>
      <c r="R120" s="111">
        <v>3</v>
      </c>
      <c r="S120" s="108" t="s">
        <v>474</v>
      </c>
      <c r="T120" s="108" t="s">
        <v>475</v>
      </c>
      <c r="U120" s="108" t="s">
        <v>474</v>
      </c>
      <c r="V120" s="108" t="s">
        <v>474</v>
      </c>
      <c r="W120" s="108" t="s">
        <v>474</v>
      </c>
    </row>
    <row r="121" spans="1:23" ht="21" customHeight="1" x14ac:dyDescent="0.15">
      <c r="A121" s="104">
        <f t="shared" si="1"/>
        <v>120</v>
      </c>
      <c r="B121" s="105" t="s">
        <v>508</v>
      </c>
      <c r="C121" s="106" t="s">
        <v>602</v>
      </c>
      <c r="D121" s="107" t="s">
        <v>603</v>
      </c>
      <c r="E121" s="108" t="s">
        <v>535</v>
      </c>
      <c r="F121" s="108" t="s">
        <v>272</v>
      </c>
      <c r="G121" s="108" t="s">
        <v>273</v>
      </c>
      <c r="H121" s="105" t="s">
        <v>300</v>
      </c>
      <c r="I121" s="109">
        <v>6</v>
      </c>
      <c r="J121" s="109" t="s">
        <v>537</v>
      </c>
      <c r="K121" s="105" t="s">
        <v>595</v>
      </c>
      <c r="L121" s="107" t="str">
        <f ca="1">VLOOKUP($K121,OFFSET([1]character_type_i18n!$A$1,0,0,COUNTA([1]character_type_i18n!$A:$A),MATCH(L$1,[1]character_type_i18n!$1:$1,0)-MATCH($K$1,[1]character_type_i18n!$1:$1,0)+1),MATCH(L$1,[1]character_type_i18n!$1:$1,0)-MATCH($K$1,[1]character_type_i18n!$1:$1,0)+1,FALSE)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121" s="105" t="s">
        <v>277</v>
      </c>
      <c r="N121" s="107" t="str">
        <f>VLOOKUP(M121,[1]character_tribe_i18n!A:C,3,FALSE)</f>
        <v>Unknown</v>
      </c>
      <c r="O121" s="105" t="s">
        <v>278</v>
      </c>
      <c r="P121" s="107" t="str">
        <f>VLOOKUP(O121,[1]character_tribe_i18n!A:C,3,FALSE)</f>
        <v>種族なし</v>
      </c>
      <c r="Q121" s="110" t="s">
        <v>596</v>
      </c>
      <c r="R121" s="111">
        <v>3</v>
      </c>
      <c r="S121" s="108" t="s">
        <v>398</v>
      </c>
      <c r="T121" s="108" t="s">
        <v>399</v>
      </c>
      <c r="U121" s="108" t="s">
        <v>398</v>
      </c>
      <c r="V121" s="108" t="s">
        <v>398</v>
      </c>
      <c r="W121" s="108" t="s">
        <v>398</v>
      </c>
    </row>
    <row r="122" spans="1:23" ht="21" customHeight="1" x14ac:dyDescent="0.15">
      <c r="A122" s="104">
        <f t="shared" si="1"/>
        <v>121</v>
      </c>
      <c r="B122" s="105" t="s">
        <v>268</v>
      </c>
      <c r="C122" s="106" t="s">
        <v>604</v>
      </c>
      <c r="D122" s="107" t="s">
        <v>605</v>
      </c>
      <c r="E122" s="108" t="s">
        <v>606</v>
      </c>
      <c r="F122" s="108" t="s">
        <v>272</v>
      </c>
      <c r="G122" s="108" t="s">
        <v>273</v>
      </c>
      <c r="H122" s="105" t="s">
        <v>607</v>
      </c>
      <c r="I122" s="109">
        <v>3</v>
      </c>
      <c r="J122" s="109" t="s">
        <v>537</v>
      </c>
      <c r="K122" s="105" t="s">
        <v>608</v>
      </c>
      <c r="L122" s="107" t="str">
        <f ca="1">VLOOKUP($K122,OFFSET([1]character_type_i18n!$A$1,0,0,COUNTA([1]character_type_i18n!$A:$A),MATCH(L$1,[1]character_type_i18n!$1:$1,0)-MATCH($K$1,[1]character_type_i18n!$1:$1,0)+1),MATCH(L$1,[1]character_type_i18n!$1:$1,0)-MATCH($K$1,[1]character_type_i18n!$1:$1,0)+1,FALSE)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122" s="105" t="s">
        <v>277</v>
      </c>
      <c r="N122" s="107" t="str">
        <f>VLOOKUP(M122,[1]character_tribe_i18n!A:C,3,FALSE)</f>
        <v>Unknown</v>
      </c>
      <c r="O122" s="105" t="s">
        <v>278</v>
      </c>
      <c r="P122" s="107" t="str">
        <f>VLOOKUP(O122,[1]character_tribe_i18n!A:C,3,FALSE)</f>
        <v>種族なし</v>
      </c>
      <c r="Q122" s="110" t="s">
        <v>609</v>
      </c>
      <c r="R122" s="111">
        <v>3</v>
      </c>
      <c r="S122" s="108" t="s">
        <v>280</v>
      </c>
      <c r="T122" s="108" t="s">
        <v>610</v>
      </c>
      <c r="U122" s="108" t="s">
        <v>611</v>
      </c>
      <c r="V122" s="108" t="s">
        <v>280</v>
      </c>
      <c r="W122" s="108" t="s">
        <v>280</v>
      </c>
    </row>
    <row r="123" spans="1:23" ht="21" customHeight="1" x14ac:dyDescent="0.15">
      <c r="A123" s="104">
        <f t="shared" si="1"/>
        <v>122</v>
      </c>
      <c r="B123" s="105" t="s">
        <v>268</v>
      </c>
      <c r="C123" s="106" t="s">
        <v>612</v>
      </c>
      <c r="D123" s="107" t="s">
        <v>613</v>
      </c>
      <c r="E123" s="108" t="s">
        <v>554</v>
      </c>
      <c r="F123" s="108" t="s">
        <v>272</v>
      </c>
      <c r="G123" s="108" t="s">
        <v>273</v>
      </c>
      <c r="H123" s="105" t="s">
        <v>614</v>
      </c>
      <c r="I123" s="109">
        <v>3</v>
      </c>
      <c r="J123" s="109" t="s">
        <v>537</v>
      </c>
      <c r="K123" s="105" t="s">
        <v>615</v>
      </c>
      <c r="L123" s="107" t="str">
        <f ca="1">VLOOKUP($K123,OFFSET([1]character_type_i18n!$A$1,0,0,COUNTA([1]character_type_i18n!$A:$A),MATCH(L$1,[1]character_type_i18n!$1:$1,0)-MATCH($K$1,[1]character_type_i18n!$1:$1,0)+1),MATCH(L$1,[1]character_type_i18n!$1:$1,0)-MATCH($K$1,[1]character_type_i18n!$1:$1,0)+1,FALSE)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123" s="105" t="s">
        <v>277</v>
      </c>
      <c r="N123" s="107" t="str">
        <f>VLOOKUP(M123,[1]character_tribe_i18n!A:C,3,FALSE)</f>
        <v>Unknown</v>
      </c>
      <c r="O123" s="105" t="s">
        <v>278</v>
      </c>
      <c r="P123" s="107" t="str">
        <f>VLOOKUP(O123,[1]character_tribe_i18n!A:C,3,FALSE)</f>
        <v>種族なし</v>
      </c>
      <c r="Q123" s="110" t="s">
        <v>609</v>
      </c>
      <c r="R123" s="111">
        <v>3</v>
      </c>
      <c r="S123" s="108" t="s">
        <v>474</v>
      </c>
      <c r="T123" s="108" t="s">
        <v>475</v>
      </c>
      <c r="U123" s="108" t="s">
        <v>474</v>
      </c>
      <c r="V123" s="108" t="s">
        <v>474</v>
      </c>
      <c r="W123" s="108" t="s">
        <v>474</v>
      </c>
    </row>
    <row r="124" spans="1:23" ht="21" customHeight="1" x14ac:dyDescent="0.15">
      <c r="A124" s="104">
        <f t="shared" si="1"/>
        <v>123</v>
      </c>
      <c r="B124" s="105" t="s">
        <v>268</v>
      </c>
      <c r="C124" s="106" t="s">
        <v>616</v>
      </c>
      <c r="D124" s="107" t="s">
        <v>617</v>
      </c>
      <c r="E124" s="108" t="s">
        <v>554</v>
      </c>
      <c r="F124" s="108" t="s">
        <v>272</v>
      </c>
      <c r="G124" s="108" t="s">
        <v>273</v>
      </c>
      <c r="H124" s="105" t="s">
        <v>618</v>
      </c>
      <c r="I124" s="109">
        <v>3</v>
      </c>
      <c r="J124" s="109" t="s">
        <v>537</v>
      </c>
      <c r="K124" s="105" t="s">
        <v>619</v>
      </c>
      <c r="L124" s="107" t="str">
        <f ca="1">VLOOKUP($K124,OFFSET([1]character_type_i18n!$A$1,0,0,COUNTA([1]character_type_i18n!$A:$A),MATCH(L$1,[1]character_type_i18n!$1:$1,0)-MATCH($K$1,[1]character_type_i18n!$1:$1,0)+1),MATCH(L$1,[1]character_type_i18n!$1:$1,0)-MATCH($K$1,[1]character_type_i18n!$1:$1,0)+1,FALSE)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124" s="105" t="s">
        <v>277</v>
      </c>
      <c r="N124" s="107" t="str">
        <f>VLOOKUP(M124,[1]character_tribe_i18n!A:C,3,FALSE)</f>
        <v>Unknown</v>
      </c>
      <c r="O124" s="105" t="s">
        <v>278</v>
      </c>
      <c r="P124" s="107" t="str">
        <f>VLOOKUP(O124,[1]character_tribe_i18n!A:C,3,FALSE)</f>
        <v>種族なし</v>
      </c>
      <c r="Q124" s="110" t="s">
        <v>609</v>
      </c>
      <c r="R124" s="111">
        <v>3</v>
      </c>
      <c r="S124" s="108" t="s">
        <v>398</v>
      </c>
      <c r="T124" s="108" t="s">
        <v>399</v>
      </c>
      <c r="U124" s="108" t="s">
        <v>398</v>
      </c>
      <c r="V124" s="108" t="s">
        <v>398</v>
      </c>
      <c r="W124" s="108" t="s">
        <v>398</v>
      </c>
    </row>
    <row r="125" spans="1:23" ht="21" customHeight="1" x14ac:dyDescent="0.15">
      <c r="A125" s="104">
        <f t="shared" si="1"/>
        <v>124</v>
      </c>
      <c r="B125" s="105" t="s">
        <v>508</v>
      </c>
      <c r="C125" s="106" t="s">
        <v>620</v>
      </c>
      <c r="D125" s="107" t="s">
        <v>621</v>
      </c>
      <c r="E125" s="108" t="s">
        <v>554</v>
      </c>
      <c r="F125" s="108" t="s">
        <v>272</v>
      </c>
      <c r="G125" s="108" t="s">
        <v>273</v>
      </c>
      <c r="H125" s="105" t="s">
        <v>300</v>
      </c>
      <c r="I125" s="109">
        <v>3</v>
      </c>
      <c r="J125" s="109" t="s">
        <v>537</v>
      </c>
      <c r="K125" s="105" t="s">
        <v>622</v>
      </c>
      <c r="L125" s="107" t="str">
        <f ca="1">VLOOKUP($K125,OFFSET([1]character_type_i18n!$A$1,0,0,COUNTA([1]character_type_i18n!$A:$A),MATCH(L$1,[1]character_type_i18n!$1:$1,0)-MATCH($K$1,[1]character_type_i18n!$1:$1,0)+1),MATCH(L$1,[1]character_type_i18n!$1:$1,0)-MATCH($K$1,[1]character_type_i18n!$1:$1,0)+1,FALSE)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125" s="105" t="s">
        <v>277</v>
      </c>
      <c r="N125" s="107" t="str">
        <f>VLOOKUP(M125,[1]character_tribe_i18n!A:C,3,FALSE)</f>
        <v>Unknown</v>
      </c>
      <c r="O125" s="105" t="s">
        <v>278</v>
      </c>
      <c r="P125" s="107" t="str">
        <f>VLOOKUP(O125,[1]character_tribe_i18n!A:C,3,FALSE)</f>
        <v>種族なし</v>
      </c>
      <c r="Q125" s="110" t="s">
        <v>623</v>
      </c>
      <c r="R125" s="111">
        <v>3</v>
      </c>
      <c r="S125" s="108" t="s">
        <v>474</v>
      </c>
      <c r="T125" s="108" t="s">
        <v>475</v>
      </c>
      <c r="U125" s="108" t="s">
        <v>474</v>
      </c>
      <c r="V125" s="108" t="s">
        <v>474</v>
      </c>
      <c r="W125" s="108" t="s">
        <v>474</v>
      </c>
    </row>
    <row r="126" spans="1:23" ht="21" customHeight="1" x14ac:dyDescent="0.15">
      <c r="A126" s="104">
        <f t="shared" si="1"/>
        <v>125</v>
      </c>
      <c r="B126" s="105" t="s">
        <v>508</v>
      </c>
      <c r="C126" s="106" t="s">
        <v>624</v>
      </c>
      <c r="D126" s="107" t="s">
        <v>625</v>
      </c>
      <c r="E126" s="108" t="s">
        <v>535</v>
      </c>
      <c r="F126" s="108" t="s">
        <v>272</v>
      </c>
      <c r="G126" s="108" t="s">
        <v>273</v>
      </c>
      <c r="H126" s="105" t="s">
        <v>295</v>
      </c>
      <c r="I126" s="109">
        <v>3</v>
      </c>
      <c r="J126" s="109" t="s">
        <v>537</v>
      </c>
      <c r="K126" s="105" t="s">
        <v>626</v>
      </c>
      <c r="L126" s="107" t="str">
        <f ca="1">VLOOKUP($K126,OFFSET([1]character_type_i18n!$A$1,0,0,COUNTA([1]character_type_i18n!$A:$A),MATCH(L$1,[1]character_type_i18n!$1:$1,0)-MATCH($K$1,[1]character_type_i18n!$1:$1,0)+1),MATCH(L$1,[1]character_type_i18n!$1:$1,0)-MATCH($K$1,[1]character_type_i18n!$1:$1,0)+1,FALSE)</f>
        <v>スキルレベル素材</v>
      </c>
      <c r="M126" s="105" t="s">
        <v>277</v>
      </c>
      <c r="N126" s="107" t="str">
        <f>VLOOKUP(M126,[1]character_tribe_i18n!A:C,3,FALSE)</f>
        <v>Unknown</v>
      </c>
      <c r="O126" s="105" t="s">
        <v>278</v>
      </c>
      <c r="P126" s="107" t="str">
        <f>VLOOKUP(O126,[1]character_tribe_i18n!A:C,3,FALSE)</f>
        <v>種族なし</v>
      </c>
      <c r="Q126" s="110" t="s">
        <v>625</v>
      </c>
      <c r="R126" s="111">
        <v>3</v>
      </c>
      <c r="S126" s="108" t="s">
        <v>398</v>
      </c>
      <c r="T126" s="108" t="s">
        <v>399</v>
      </c>
      <c r="U126" s="108" t="s">
        <v>398</v>
      </c>
      <c r="V126" s="108" t="s">
        <v>398</v>
      </c>
      <c r="W126" s="108" t="s">
        <v>398</v>
      </c>
    </row>
    <row r="127" spans="1:23" ht="21" customHeight="1" x14ac:dyDescent="0.15">
      <c r="A127" s="104">
        <f t="shared" si="1"/>
        <v>126</v>
      </c>
      <c r="B127" s="105" t="s">
        <v>508</v>
      </c>
      <c r="C127" s="106" t="s">
        <v>627</v>
      </c>
      <c r="D127" s="107" t="s">
        <v>628</v>
      </c>
      <c r="E127" s="108" t="s">
        <v>629</v>
      </c>
      <c r="F127" s="108" t="s">
        <v>630</v>
      </c>
      <c r="G127" s="108" t="s">
        <v>331</v>
      </c>
      <c r="H127" s="105" t="s">
        <v>274</v>
      </c>
      <c r="I127" s="109">
        <v>3</v>
      </c>
      <c r="J127" s="109" t="s">
        <v>631</v>
      </c>
      <c r="K127" s="105" t="s">
        <v>276</v>
      </c>
      <c r="L127" s="107" t="str">
        <f ca="1">VLOOKUP($K127,OFFSET([1]character_type_i18n!$A$1,0,0,COUNTA([1]character_type_i18n!$A:$A),MATCH(L$1,[1]character_type_i18n!$1:$1,0)-MATCH($K$1,[1]character_type_i18n!$1:$1,0)+1),MATCH(L$1,[1]character_type_i18n!$1:$1,0)-MATCH($K$1,[1]character_type_i18n!$1:$1,0)+1,FALSE)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" s="105" t="s">
        <v>332</v>
      </c>
      <c r="N127" s="107" t="str">
        <f>VLOOKUP(M127,[1]character_tribe_i18n!A:C,3,FALSE)</f>
        <v>ヒューマン</v>
      </c>
      <c r="O127" s="105" t="s">
        <v>318</v>
      </c>
      <c r="P127" s="107" t="str">
        <f>VLOOKUP(O127,[1]character_tribe_i18n!A:C,3,FALSE)</f>
        <v>アニマル</v>
      </c>
      <c r="Q127" s="117" t="s">
        <v>632</v>
      </c>
      <c r="R127" s="111">
        <v>3</v>
      </c>
      <c r="S127" s="108" t="s">
        <v>633</v>
      </c>
      <c r="T127" s="108" t="s">
        <v>634</v>
      </c>
      <c r="U127" s="108" t="s">
        <v>633</v>
      </c>
      <c r="V127" s="108" t="s">
        <v>633</v>
      </c>
      <c r="W127" s="108" t="s">
        <v>633</v>
      </c>
    </row>
    <row r="128" spans="1:23" ht="21" customHeight="1" x14ac:dyDescent="0.15">
      <c r="A128" s="104">
        <f t="shared" si="1"/>
        <v>127</v>
      </c>
      <c r="B128" s="105" t="s">
        <v>508</v>
      </c>
      <c r="C128" s="106" t="s">
        <v>635</v>
      </c>
      <c r="D128" s="107" t="s">
        <v>628</v>
      </c>
      <c r="E128" s="108" t="s">
        <v>636</v>
      </c>
      <c r="F128" s="108" t="s">
        <v>630</v>
      </c>
      <c r="G128" s="108" t="s">
        <v>331</v>
      </c>
      <c r="H128" s="105" t="s">
        <v>274</v>
      </c>
      <c r="I128" s="109">
        <v>4</v>
      </c>
      <c r="J128" s="109" t="s">
        <v>631</v>
      </c>
      <c r="K128" s="105" t="s">
        <v>276</v>
      </c>
      <c r="L128" s="107" t="str">
        <f ca="1">VLOOKUP($K128,OFFSET([1]character_type_i18n!$A$1,0,0,COUNTA([1]character_type_i18n!$A:$A),MATCH(L$1,[1]character_type_i18n!$1:$1,0)-MATCH($K$1,[1]character_type_i18n!$1:$1,0)+1),MATCH(L$1,[1]character_type_i18n!$1:$1,0)-MATCH($K$1,[1]character_type_i18n!$1:$1,0)+1,FALSE)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8" s="105" t="s">
        <v>332</v>
      </c>
      <c r="N128" s="107" t="str">
        <f>VLOOKUP(M128,[1]character_tribe_i18n!A:C,3,FALSE)</f>
        <v>ヒューマン</v>
      </c>
      <c r="O128" s="105" t="s">
        <v>318</v>
      </c>
      <c r="P128" s="107" t="str">
        <f>VLOOKUP(O128,[1]character_tribe_i18n!A:C,3,FALSE)</f>
        <v>アニマル</v>
      </c>
      <c r="Q128" s="117" t="s">
        <v>637</v>
      </c>
      <c r="R128" s="111">
        <v>3</v>
      </c>
      <c r="S128" s="108" t="s">
        <v>474</v>
      </c>
      <c r="T128" s="108" t="s">
        <v>475</v>
      </c>
      <c r="U128" s="108" t="s">
        <v>474</v>
      </c>
      <c r="V128" s="108" t="s">
        <v>474</v>
      </c>
      <c r="W128" s="108" t="s">
        <v>474</v>
      </c>
    </row>
    <row r="129" spans="1:23" ht="21" customHeight="1" x14ac:dyDescent="0.15">
      <c r="A129" s="104">
        <f t="shared" si="1"/>
        <v>128</v>
      </c>
      <c r="B129" s="105" t="s">
        <v>508</v>
      </c>
      <c r="C129" s="106" t="s">
        <v>638</v>
      </c>
      <c r="D129" s="107" t="s">
        <v>628</v>
      </c>
      <c r="E129" s="108" t="s">
        <v>629</v>
      </c>
      <c r="F129" s="108" t="s">
        <v>639</v>
      </c>
      <c r="G129" s="108" t="s">
        <v>331</v>
      </c>
      <c r="H129" s="105" t="s">
        <v>285</v>
      </c>
      <c r="I129" s="109">
        <v>3</v>
      </c>
      <c r="J129" s="109" t="s">
        <v>631</v>
      </c>
      <c r="K129" s="105" t="s">
        <v>276</v>
      </c>
      <c r="L129" s="107" t="str">
        <f ca="1">VLOOKUP($K129,OFFSET([1]character_type_i18n!$A$1,0,0,COUNTA([1]character_type_i18n!$A:$A),MATCH(L$1,[1]character_type_i18n!$1:$1,0)-MATCH($K$1,[1]character_type_i18n!$1:$1,0)+1),MATCH(L$1,[1]character_type_i18n!$1:$1,0)-MATCH($K$1,[1]character_type_i18n!$1:$1,0)+1,FALSE)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9" s="105" t="s">
        <v>332</v>
      </c>
      <c r="N129" s="107" t="str">
        <f>VLOOKUP(M129,[1]character_tribe_i18n!A:C,3,FALSE)</f>
        <v>ヒューマン</v>
      </c>
      <c r="O129" s="105" t="s">
        <v>318</v>
      </c>
      <c r="P129" s="107" t="str">
        <f>VLOOKUP(O129,[1]character_tribe_i18n!A:C,3,FALSE)</f>
        <v>アニマル</v>
      </c>
      <c r="Q129" s="117" t="s">
        <v>640</v>
      </c>
      <c r="R129" s="111">
        <v>3</v>
      </c>
      <c r="S129" s="108" t="s">
        <v>306</v>
      </c>
      <c r="T129" s="108" t="s">
        <v>307</v>
      </c>
      <c r="U129" s="108" t="s">
        <v>306</v>
      </c>
      <c r="V129" s="108" t="s">
        <v>306</v>
      </c>
      <c r="W129" s="108" t="s">
        <v>306</v>
      </c>
    </row>
    <row r="130" spans="1:23" ht="21" customHeight="1" x14ac:dyDescent="0.15">
      <c r="A130" s="104">
        <f t="shared" si="1"/>
        <v>129</v>
      </c>
      <c r="B130" s="105" t="s">
        <v>314</v>
      </c>
      <c r="C130" s="106" t="s">
        <v>641</v>
      </c>
      <c r="D130" s="107" t="s">
        <v>628</v>
      </c>
      <c r="E130" s="108" t="s">
        <v>629</v>
      </c>
      <c r="F130" s="108" t="s">
        <v>639</v>
      </c>
      <c r="G130" s="108" t="s">
        <v>331</v>
      </c>
      <c r="H130" s="105" t="s">
        <v>285</v>
      </c>
      <c r="I130" s="109">
        <v>4</v>
      </c>
      <c r="J130" s="109" t="s">
        <v>631</v>
      </c>
      <c r="K130" s="105" t="s">
        <v>276</v>
      </c>
      <c r="L130" s="107" t="str">
        <f ca="1">VLOOKUP($K130,OFFSET([1]character_type_i18n!$A$1,0,0,COUNTA([1]character_type_i18n!$A:$A),MATCH(L$1,[1]character_type_i18n!$1:$1,0)-MATCH($K$1,[1]character_type_i18n!$1:$1,0)+1),MATCH(L$1,[1]character_type_i18n!$1:$1,0)-MATCH($K$1,[1]character_type_i18n!$1:$1,0)+1,FALSE)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0" s="105" t="s">
        <v>332</v>
      </c>
      <c r="N130" s="107" t="str">
        <f>VLOOKUP(M130,[1]character_tribe_i18n!A:C,3,FALSE)</f>
        <v>ヒューマン</v>
      </c>
      <c r="O130" s="105" t="s">
        <v>318</v>
      </c>
      <c r="P130" s="107" t="str">
        <f>VLOOKUP(O130,[1]character_tribe_i18n!A:C,3,FALSE)</f>
        <v>アニマル</v>
      </c>
      <c r="Q130" s="117" t="s">
        <v>637</v>
      </c>
      <c r="R130" s="111">
        <v>3</v>
      </c>
      <c r="S130" s="108" t="s">
        <v>474</v>
      </c>
      <c r="T130" s="108" t="s">
        <v>475</v>
      </c>
      <c r="U130" s="108" t="s">
        <v>474</v>
      </c>
      <c r="V130" s="108" t="s">
        <v>474</v>
      </c>
      <c r="W130" s="108" t="s">
        <v>474</v>
      </c>
    </row>
    <row r="131" spans="1:23" ht="21" customHeight="1" x14ac:dyDescent="0.15">
      <c r="A131" s="104">
        <f t="shared" ref="A131:A194" si="2">ROW()-1</f>
        <v>130</v>
      </c>
      <c r="B131" s="105" t="s">
        <v>508</v>
      </c>
      <c r="C131" s="106" t="s">
        <v>642</v>
      </c>
      <c r="D131" s="107" t="s">
        <v>628</v>
      </c>
      <c r="E131" s="108" t="s">
        <v>643</v>
      </c>
      <c r="F131" s="108" t="s">
        <v>639</v>
      </c>
      <c r="G131" s="108" t="s">
        <v>273</v>
      </c>
      <c r="H131" s="105" t="s">
        <v>295</v>
      </c>
      <c r="I131" s="109">
        <v>3</v>
      </c>
      <c r="J131" s="109" t="s">
        <v>631</v>
      </c>
      <c r="K131" s="105" t="s">
        <v>276</v>
      </c>
      <c r="L131" s="107" t="str">
        <f ca="1">VLOOKUP($K131,OFFSET([1]character_type_i18n!$A$1,0,0,COUNTA([1]character_type_i18n!$A:$A),MATCH(L$1,[1]character_type_i18n!$1:$1,0)-MATCH($K$1,[1]character_type_i18n!$1:$1,0)+1),MATCH(L$1,[1]character_type_i18n!$1:$1,0)-MATCH($K$1,[1]character_type_i18n!$1:$1,0)+1,FALSE)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1" s="105" t="s">
        <v>318</v>
      </c>
      <c r="N131" s="107" t="str">
        <f>VLOOKUP(M131,[1]character_tribe_i18n!A:C,3,FALSE)</f>
        <v>アニマル</v>
      </c>
      <c r="O131" s="105" t="s">
        <v>278</v>
      </c>
      <c r="P131" s="107" t="str">
        <f>VLOOKUP(O131,[1]character_tribe_i18n!A:C,3,FALSE)</f>
        <v>種族なし</v>
      </c>
      <c r="Q131" s="117" t="s">
        <v>644</v>
      </c>
      <c r="R131" s="111">
        <v>3</v>
      </c>
      <c r="S131" s="108" t="s">
        <v>645</v>
      </c>
      <c r="T131" s="108" t="s">
        <v>646</v>
      </c>
      <c r="U131" s="108" t="s">
        <v>645</v>
      </c>
      <c r="V131" s="108" t="s">
        <v>645</v>
      </c>
      <c r="W131" s="108" t="s">
        <v>645</v>
      </c>
    </row>
    <row r="132" spans="1:23" ht="21" customHeight="1" x14ac:dyDescent="0.15">
      <c r="A132" s="104">
        <f t="shared" si="2"/>
        <v>131</v>
      </c>
      <c r="B132" s="105" t="s">
        <v>647</v>
      </c>
      <c r="C132" s="106" t="s">
        <v>648</v>
      </c>
      <c r="D132" s="107" t="s">
        <v>628</v>
      </c>
      <c r="E132" s="108" t="s">
        <v>629</v>
      </c>
      <c r="F132" s="108" t="s">
        <v>639</v>
      </c>
      <c r="G132" s="108" t="s">
        <v>273</v>
      </c>
      <c r="H132" s="105" t="s">
        <v>295</v>
      </c>
      <c r="I132" s="109">
        <v>4</v>
      </c>
      <c r="J132" s="109" t="s">
        <v>631</v>
      </c>
      <c r="K132" s="105" t="s">
        <v>276</v>
      </c>
      <c r="L132" s="107" t="str">
        <f ca="1">VLOOKUP($K132,OFFSET([1]character_type_i18n!$A$1,0,0,COUNTA([1]character_type_i18n!$A:$A),MATCH(L$1,[1]character_type_i18n!$1:$1,0)-MATCH($K$1,[1]character_type_i18n!$1:$1,0)+1),MATCH(L$1,[1]character_type_i18n!$1:$1,0)-MATCH($K$1,[1]character_type_i18n!$1:$1,0)+1,FALSE)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" s="105" t="s">
        <v>318</v>
      </c>
      <c r="N132" s="107" t="str">
        <f>VLOOKUP(M132,[1]character_tribe_i18n!A:C,3,FALSE)</f>
        <v>アニマル</v>
      </c>
      <c r="O132" s="105" t="s">
        <v>278</v>
      </c>
      <c r="P132" s="107" t="str">
        <f>VLOOKUP(O132,[1]character_tribe_i18n!A:C,3,FALSE)</f>
        <v>種族なし</v>
      </c>
      <c r="Q132" s="117" t="s">
        <v>644</v>
      </c>
      <c r="R132" s="111">
        <v>3</v>
      </c>
      <c r="S132" s="108" t="s">
        <v>645</v>
      </c>
      <c r="T132" s="108" t="s">
        <v>646</v>
      </c>
      <c r="U132" s="108" t="s">
        <v>645</v>
      </c>
      <c r="V132" s="108" t="s">
        <v>645</v>
      </c>
      <c r="W132" s="108" t="s">
        <v>645</v>
      </c>
    </row>
    <row r="133" spans="1:23" ht="21" customHeight="1" x14ac:dyDescent="0.15">
      <c r="A133" s="104">
        <f t="shared" si="2"/>
        <v>132</v>
      </c>
      <c r="B133" s="105" t="s">
        <v>647</v>
      </c>
      <c r="C133" s="106" t="s">
        <v>649</v>
      </c>
      <c r="D133" s="107" t="s">
        <v>628</v>
      </c>
      <c r="E133" s="108" t="s">
        <v>629</v>
      </c>
      <c r="F133" s="108" t="s">
        <v>639</v>
      </c>
      <c r="G133" s="108" t="s">
        <v>383</v>
      </c>
      <c r="H133" s="105" t="s">
        <v>300</v>
      </c>
      <c r="I133" s="109">
        <v>3</v>
      </c>
      <c r="J133" s="109" t="s">
        <v>631</v>
      </c>
      <c r="K133" s="105" t="s">
        <v>276</v>
      </c>
      <c r="L133" s="107" t="str">
        <f ca="1">VLOOKUP($K133,OFFSET([1]character_type_i18n!$A$1,0,0,COUNTA([1]character_type_i18n!$A:$A),MATCH(L$1,[1]character_type_i18n!$1:$1,0)-MATCH($K$1,[1]character_type_i18n!$1:$1,0)+1),MATCH(L$1,[1]character_type_i18n!$1:$1,0)-MATCH($K$1,[1]character_type_i18n!$1:$1,0)+1,FALSE)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" s="105" t="s">
        <v>332</v>
      </c>
      <c r="N133" s="107" t="str">
        <f>VLOOKUP(M133,[1]character_tribe_i18n!A:C,3,FALSE)</f>
        <v>ヒューマン</v>
      </c>
      <c r="O133" s="105" t="s">
        <v>318</v>
      </c>
      <c r="P133" s="107" t="str">
        <f>VLOOKUP(O133,[1]character_tribe_i18n!A:C,3,FALSE)</f>
        <v>アニマル</v>
      </c>
      <c r="Q133" s="117" t="s">
        <v>650</v>
      </c>
      <c r="R133" s="111">
        <v>3</v>
      </c>
      <c r="S133" s="108" t="s">
        <v>651</v>
      </c>
      <c r="T133" s="108" t="s">
        <v>449</v>
      </c>
      <c r="U133" s="108" t="s">
        <v>450</v>
      </c>
      <c r="V133" s="108" t="s">
        <v>651</v>
      </c>
      <c r="W133" s="108" t="s">
        <v>651</v>
      </c>
    </row>
    <row r="134" spans="1:23" ht="21" customHeight="1" x14ac:dyDescent="0.15">
      <c r="A134" s="104">
        <f t="shared" si="2"/>
        <v>133</v>
      </c>
      <c r="B134" s="105" t="s">
        <v>652</v>
      </c>
      <c r="C134" s="106" t="s">
        <v>653</v>
      </c>
      <c r="D134" s="107" t="s">
        <v>628</v>
      </c>
      <c r="E134" s="108" t="s">
        <v>629</v>
      </c>
      <c r="F134" s="108" t="s">
        <v>639</v>
      </c>
      <c r="G134" s="108" t="s">
        <v>383</v>
      </c>
      <c r="H134" s="105" t="s">
        <v>300</v>
      </c>
      <c r="I134" s="109">
        <v>4</v>
      </c>
      <c r="J134" s="109" t="s">
        <v>631</v>
      </c>
      <c r="K134" s="105" t="s">
        <v>276</v>
      </c>
      <c r="L134" s="107" t="str">
        <f ca="1">VLOOKUP($K134,OFFSET([1]character_type_i18n!$A$1,0,0,COUNTA([1]character_type_i18n!$A:$A),MATCH(L$1,[1]character_type_i18n!$1:$1,0)-MATCH($K$1,[1]character_type_i18n!$1:$1,0)+1),MATCH(L$1,[1]character_type_i18n!$1:$1,0)-MATCH($K$1,[1]character_type_i18n!$1:$1,0)+1,FALSE)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" s="105" t="s">
        <v>332</v>
      </c>
      <c r="N134" s="107" t="str">
        <f>VLOOKUP(M134,[1]character_tribe_i18n!A:C,3,FALSE)</f>
        <v>ヒューマン</v>
      </c>
      <c r="O134" s="105" t="s">
        <v>318</v>
      </c>
      <c r="P134" s="107" t="str">
        <f>VLOOKUP(O134,[1]character_tribe_i18n!A:C,3,FALSE)</f>
        <v>アニマル</v>
      </c>
      <c r="Q134" s="117" t="s">
        <v>654</v>
      </c>
      <c r="R134" s="111">
        <v>3</v>
      </c>
      <c r="S134" s="108" t="s">
        <v>280</v>
      </c>
      <c r="T134" s="108" t="s">
        <v>281</v>
      </c>
      <c r="U134" s="108" t="s">
        <v>280</v>
      </c>
      <c r="V134" s="108" t="s">
        <v>280</v>
      </c>
      <c r="W134" s="108" t="s">
        <v>280</v>
      </c>
    </row>
    <row r="135" spans="1:23" ht="21" customHeight="1" x14ac:dyDescent="0.15">
      <c r="A135" s="104">
        <f t="shared" si="2"/>
        <v>134</v>
      </c>
      <c r="B135" s="105" t="s">
        <v>268</v>
      </c>
      <c r="C135" s="106" t="s">
        <v>655</v>
      </c>
      <c r="D135" s="107" t="s">
        <v>628</v>
      </c>
      <c r="E135" s="108" t="s">
        <v>629</v>
      </c>
      <c r="F135" s="108" t="s">
        <v>630</v>
      </c>
      <c r="G135" s="118" t="s">
        <v>656</v>
      </c>
      <c r="H135" s="105" t="s">
        <v>274</v>
      </c>
      <c r="I135" s="109">
        <v>3</v>
      </c>
      <c r="J135" s="109" t="s">
        <v>631</v>
      </c>
      <c r="K135" s="105" t="s">
        <v>286</v>
      </c>
      <c r="L135" s="107" t="str">
        <f ca="1">VLOOKUP($K135,OFFSET([1]character_type_i18n!$A$1,0,0,COUNTA([1]character_type_i18n!$A:$A),MATCH(L$1,[1]character_type_i18n!$1:$1,0)-MATCH($K$1,[1]character_type_i18n!$1:$1,0)+1),MATCH(L$1,[1]character_type_i18n!$1:$1,0)-MATCH($K$1,[1]character_type_i18n!$1:$1,0)+1,FALSE)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5" s="105" t="s">
        <v>332</v>
      </c>
      <c r="N135" s="107" t="str">
        <f>VLOOKUP(M135,[1]character_tribe_i18n!A:C,3,FALSE)</f>
        <v>ヒューマン</v>
      </c>
      <c r="O135" s="105" t="s">
        <v>278</v>
      </c>
      <c r="P135" s="107" t="str">
        <f>VLOOKUP(O135,[1]character_tribe_i18n!A:C,3,FALSE)</f>
        <v>種族なし</v>
      </c>
      <c r="Q135" s="117" t="s">
        <v>657</v>
      </c>
      <c r="R135" s="111">
        <v>3</v>
      </c>
      <c r="S135" s="108" t="s">
        <v>280</v>
      </c>
      <c r="T135" s="108" t="s">
        <v>281</v>
      </c>
      <c r="U135" s="108" t="s">
        <v>280</v>
      </c>
      <c r="V135" s="108" t="s">
        <v>280</v>
      </c>
      <c r="W135" s="108" t="s">
        <v>280</v>
      </c>
    </row>
    <row r="136" spans="1:23" ht="21" customHeight="1" x14ac:dyDescent="0.15">
      <c r="A136" s="104">
        <f t="shared" si="2"/>
        <v>135</v>
      </c>
      <c r="B136" s="105" t="s">
        <v>268</v>
      </c>
      <c r="C136" s="106" t="s">
        <v>658</v>
      </c>
      <c r="D136" s="107" t="s">
        <v>628</v>
      </c>
      <c r="E136" s="108" t="s">
        <v>629</v>
      </c>
      <c r="F136" s="108" t="s">
        <v>630</v>
      </c>
      <c r="G136" s="118" t="s">
        <v>656</v>
      </c>
      <c r="H136" s="105" t="s">
        <v>274</v>
      </c>
      <c r="I136" s="109">
        <v>4</v>
      </c>
      <c r="J136" s="109" t="s">
        <v>631</v>
      </c>
      <c r="K136" s="105" t="s">
        <v>286</v>
      </c>
      <c r="L136" s="107" t="str">
        <f ca="1">VLOOKUP($K136,OFFSET([1]character_type_i18n!$A$1,0,0,COUNTA([1]character_type_i18n!$A:$A),MATCH(L$1,[1]character_type_i18n!$1:$1,0)-MATCH($K$1,[1]character_type_i18n!$1:$1,0)+1),MATCH(L$1,[1]character_type_i18n!$1:$1,0)-MATCH($K$1,[1]character_type_i18n!$1:$1,0)+1,FALSE)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6" s="105" t="s">
        <v>332</v>
      </c>
      <c r="N136" s="107" t="str">
        <f>VLOOKUP(M136,[1]character_tribe_i18n!A:C,3,FALSE)</f>
        <v>ヒューマン</v>
      </c>
      <c r="O136" s="105" t="s">
        <v>278</v>
      </c>
      <c r="P136" s="107" t="str">
        <f>VLOOKUP(O136,[1]character_tribe_i18n!A:C,3,FALSE)</f>
        <v>種族なし</v>
      </c>
      <c r="Q136" s="117" t="s">
        <v>657</v>
      </c>
      <c r="R136" s="111">
        <v>3</v>
      </c>
      <c r="S136" s="108" t="s">
        <v>280</v>
      </c>
      <c r="T136" s="108" t="s">
        <v>281</v>
      </c>
      <c r="U136" s="108" t="s">
        <v>280</v>
      </c>
      <c r="V136" s="108" t="s">
        <v>280</v>
      </c>
      <c r="W136" s="108" t="s">
        <v>280</v>
      </c>
    </row>
    <row r="137" spans="1:23" ht="21" customHeight="1" x14ac:dyDescent="0.15">
      <c r="A137" s="104">
        <f t="shared" si="2"/>
        <v>136</v>
      </c>
      <c r="B137" s="105" t="s">
        <v>268</v>
      </c>
      <c r="C137" s="106" t="s">
        <v>659</v>
      </c>
      <c r="D137" s="107" t="s">
        <v>628</v>
      </c>
      <c r="E137" s="108" t="s">
        <v>629</v>
      </c>
      <c r="F137" s="108" t="s">
        <v>660</v>
      </c>
      <c r="G137" s="118" t="s">
        <v>656</v>
      </c>
      <c r="H137" s="105" t="s">
        <v>285</v>
      </c>
      <c r="I137" s="109">
        <v>3</v>
      </c>
      <c r="J137" s="109" t="s">
        <v>631</v>
      </c>
      <c r="K137" s="105" t="s">
        <v>286</v>
      </c>
      <c r="L137" s="107" t="str">
        <f ca="1">VLOOKUP($K137,OFFSET([1]character_type_i18n!$A$1,0,0,COUNTA([1]character_type_i18n!$A:$A),MATCH(L$1,[1]character_type_i18n!$1:$1,0)-MATCH($K$1,[1]character_type_i18n!$1:$1,0)+1),MATCH(L$1,[1]character_type_i18n!$1:$1,0)-MATCH($K$1,[1]character_type_i18n!$1:$1,0)+1,FALSE)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7" s="105" t="s">
        <v>332</v>
      </c>
      <c r="N137" s="107" t="str">
        <f>VLOOKUP(M137,[1]character_tribe_i18n!A:C,3,FALSE)</f>
        <v>ヒューマン</v>
      </c>
      <c r="O137" s="105" t="s">
        <v>278</v>
      </c>
      <c r="P137" s="107" t="str">
        <f>VLOOKUP(O137,[1]character_tribe_i18n!A:C,3,FALSE)</f>
        <v>種族なし</v>
      </c>
      <c r="Q137" s="117" t="s">
        <v>657</v>
      </c>
      <c r="R137" s="111">
        <v>3</v>
      </c>
      <c r="S137" s="108" t="s">
        <v>280</v>
      </c>
      <c r="T137" s="108" t="s">
        <v>281</v>
      </c>
      <c r="U137" s="108" t="s">
        <v>280</v>
      </c>
      <c r="V137" s="108" t="s">
        <v>280</v>
      </c>
      <c r="W137" s="108" t="s">
        <v>280</v>
      </c>
    </row>
    <row r="138" spans="1:23" ht="21" customHeight="1" x14ac:dyDescent="0.15">
      <c r="A138" s="104">
        <f t="shared" si="2"/>
        <v>137</v>
      </c>
      <c r="B138" s="105" t="s">
        <v>268</v>
      </c>
      <c r="C138" s="106" t="s">
        <v>661</v>
      </c>
      <c r="D138" s="107" t="s">
        <v>628</v>
      </c>
      <c r="E138" s="108" t="s">
        <v>643</v>
      </c>
      <c r="F138" s="108" t="s">
        <v>662</v>
      </c>
      <c r="G138" s="118" t="s">
        <v>656</v>
      </c>
      <c r="H138" s="105" t="s">
        <v>285</v>
      </c>
      <c r="I138" s="109">
        <v>4</v>
      </c>
      <c r="J138" s="109" t="s">
        <v>631</v>
      </c>
      <c r="K138" s="105" t="s">
        <v>286</v>
      </c>
      <c r="L138" s="107" t="str">
        <f ca="1">VLOOKUP($K138,OFFSET([1]character_type_i18n!$A$1,0,0,COUNTA([1]character_type_i18n!$A:$A),MATCH(L$1,[1]character_type_i18n!$1:$1,0)-MATCH($K$1,[1]character_type_i18n!$1:$1,0)+1),MATCH(L$1,[1]character_type_i18n!$1:$1,0)-MATCH($K$1,[1]character_type_i18n!$1:$1,0)+1,FALSE)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8" s="105" t="s">
        <v>332</v>
      </c>
      <c r="N138" s="107" t="str">
        <f>VLOOKUP(M138,[1]character_tribe_i18n!A:C,3,FALSE)</f>
        <v>ヒューマン</v>
      </c>
      <c r="O138" s="105" t="s">
        <v>278</v>
      </c>
      <c r="P138" s="107" t="str">
        <f>VLOOKUP(O138,[1]character_tribe_i18n!A:C,3,FALSE)</f>
        <v>種族なし</v>
      </c>
      <c r="Q138" s="117" t="s">
        <v>657</v>
      </c>
      <c r="R138" s="111">
        <v>3</v>
      </c>
      <c r="S138" s="108" t="s">
        <v>280</v>
      </c>
      <c r="T138" s="108" t="s">
        <v>281</v>
      </c>
      <c r="U138" s="108" t="s">
        <v>280</v>
      </c>
      <c r="V138" s="108" t="s">
        <v>280</v>
      </c>
      <c r="W138" s="108" t="s">
        <v>280</v>
      </c>
    </row>
    <row r="139" spans="1:23" ht="21" customHeight="1" x14ac:dyDescent="0.15">
      <c r="A139" s="104">
        <f t="shared" si="2"/>
        <v>138</v>
      </c>
      <c r="B139" s="105" t="s">
        <v>268</v>
      </c>
      <c r="C139" s="106" t="s">
        <v>663</v>
      </c>
      <c r="D139" s="107" t="s">
        <v>628</v>
      </c>
      <c r="E139" s="108" t="s">
        <v>629</v>
      </c>
      <c r="F139" s="108" t="s">
        <v>630</v>
      </c>
      <c r="G139" s="118" t="s">
        <v>656</v>
      </c>
      <c r="H139" s="105" t="s">
        <v>295</v>
      </c>
      <c r="I139" s="109">
        <v>3</v>
      </c>
      <c r="J139" s="109" t="s">
        <v>631</v>
      </c>
      <c r="K139" s="105" t="s">
        <v>286</v>
      </c>
      <c r="L139" s="107" t="str">
        <f ca="1">VLOOKUP($K139,OFFSET([1]character_type_i18n!$A$1,0,0,COUNTA([1]character_type_i18n!$A:$A),MATCH(L$1,[1]character_type_i18n!$1:$1,0)-MATCH($K$1,[1]character_type_i18n!$1:$1,0)+1),MATCH(L$1,[1]character_type_i18n!$1:$1,0)-MATCH($K$1,[1]character_type_i18n!$1:$1,0)+1,FALSE)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9" s="105" t="s">
        <v>332</v>
      </c>
      <c r="N139" s="107" t="str">
        <f>VLOOKUP(M139,[1]character_tribe_i18n!A:C,3,FALSE)</f>
        <v>ヒューマン</v>
      </c>
      <c r="O139" s="105" t="s">
        <v>278</v>
      </c>
      <c r="P139" s="107" t="str">
        <f>VLOOKUP(O139,[1]character_tribe_i18n!A:C,3,FALSE)</f>
        <v>種族なし</v>
      </c>
      <c r="Q139" s="117" t="s">
        <v>657</v>
      </c>
      <c r="R139" s="111">
        <v>3</v>
      </c>
      <c r="S139" s="108" t="s">
        <v>280</v>
      </c>
      <c r="T139" s="108" t="s">
        <v>281</v>
      </c>
      <c r="U139" s="108" t="s">
        <v>280</v>
      </c>
      <c r="V139" s="108" t="s">
        <v>280</v>
      </c>
      <c r="W139" s="108" t="s">
        <v>280</v>
      </c>
    </row>
    <row r="140" spans="1:23" ht="21" customHeight="1" x14ac:dyDescent="0.15">
      <c r="A140" s="104">
        <f t="shared" si="2"/>
        <v>139</v>
      </c>
      <c r="B140" s="105" t="s">
        <v>268</v>
      </c>
      <c r="C140" s="106" t="s">
        <v>664</v>
      </c>
      <c r="D140" s="107" t="s">
        <v>628</v>
      </c>
      <c r="E140" s="108" t="s">
        <v>629</v>
      </c>
      <c r="F140" s="108" t="s">
        <v>630</v>
      </c>
      <c r="G140" s="118" t="s">
        <v>656</v>
      </c>
      <c r="H140" s="105" t="s">
        <v>295</v>
      </c>
      <c r="I140" s="109">
        <v>4</v>
      </c>
      <c r="J140" s="109" t="s">
        <v>631</v>
      </c>
      <c r="K140" s="105" t="s">
        <v>286</v>
      </c>
      <c r="L140" s="107" t="str">
        <f ca="1">VLOOKUP($K140,OFFSET([1]character_type_i18n!$A$1,0,0,COUNTA([1]character_type_i18n!$A:$A),MATCH(L$1,[1]character_type_i18n!$1:$1,0)-MATCH($K$1,[1]character_type_i18n!$1:$1,0)+1),MATCH(L$1,[1]character_type_i18n!$1:$1,0)-MATCH($K$1,[1]character_type_i18n!$1:$1,0)+1,FALSE)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0" s="105" t="s">
        <v>332</v>
      </c>
      <c r="N140" s="107" t="str">
        <f>VLOOKUP(M140,[1]character_tribe_i18n!A:C,3,FALSE)</f>
        <v>ヒューマン</v>
      </c>
      <c r="O140" s="105" t="s">
        <v>278</v>
      </c>
      <c r="P140" s="107" t="str">
        <f>VLOOKUP(O140,[1]character_tribe_i18n!A:C,3,FALSE)</f>
        <v>種族なし</v>
      </c>
      <c r="Q140" s="117" t="s">
        <v>657</v>
      </c>
      <c r="R140" s="111">
        <v>3</v>
      </c>
      <c r="S140" s="108" t="s">
        <v>280</v>
      </c>
      <c r="T140" s="108" t="s">
        <v>281</v>
      </c>
      <c r="U140" s="108" t="s">
        <v>280</v>
      </c>
      <c r="V140" s="108" t="s">
        <v>280</v>
      </c>
      <c r="W140" s="108" t="s">
        <v>280</v>
      </c>
    </row>
    <row r="141" spans="1:23" ht="21" customHeight="1" x14ac:dyDescent="0.15">
      <c r="A141" s="104">
        <f t="shared" si="2"/>
        <v>140</v>
      </c>
      <c r="B141" s="105" t="s">
        <v>268</v>
      </c>
      <c r="C141" s="106" t="s">
        <v>665</v>
      </c>
      <c r="D141" s="107" t="s">
        <v>628</v>
      </c>
      <c r="E141" s="108" t="s">
        <v>629</v>
      </c>
      <c r="F141" s="108" t="s">
        <v>660</v>
      </c>
      <c r="G141" s="118" t="s">
        <v>656</v>
      </c>
      <c r="H141" s="105" t="s">
        <v>300</v>
      </c>
      <c r="I141" s="109">
        <v>3</v>
      </c>
      <c r="J141" s="109" t="s">
        <v>631</v>
      </c>
      <c r="K141" s="105" t="s">
        <v>286</v>
      </c>
      <c r="L141" s="107" t="str">
        <f ca="1">VLOOKUP($K141,OFFSET([1]character_type_i18n!$A$1,0,0,COUNTA([1]character_type_i18n!$A:$A),MATCH(L$1,[1]character_type_i18n!$1:$1,0)-MATCH($K$1,[1]character_type_i18n!$1:$1,0)+1),MATCH(L$1,[1]character_type_i18n!$1:$1,0)-MATCH($K$1,[1]character_type_i18n!$1:$1,0)+1,FALSE)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" s="105" t="s">
        <v>318</v>
      </c>
      <c r="N141" s="107" t="str">
        <f>VLOOKUP(M141,[1]character_tribe_i18n!A:C,3,FALSE)</f>
        <v>アニマル</v>
      </c>
      <c r="O141" s="105" t="s">
        <v>278</v>
      </c>
      <c r="P141" s="107" t="str">
        <f>VLOOKUP(O141,[1]character_tribe_i18n!A:C,3,FALSE)</f>
        <v>種族なし</v>
      </c>
      <c r="Q141" s="117" t="s">
        <v>657</v>
      </c>
      <c r="R141" s="111">
        <v>3</v>
      </c>
      <c r="S141" s="108" t="s">
        <v>280</v>
      </c>
      <c r="T141" s="108" t="s">
        <v>281</v>
      </c>
      <c r="U141" s="108" t="s">
        <v>280</v>
      </c>
      <c r="V141" s="108" t="s">
        <v>280</v>
      </c>
      <c r="W141" s="108" t="s">
        <v>280</v>
      </c>
    </row>
    <row r="142" spans="1:23" ht="21" customHeight="1" x14ac:dyDescent="0.15">
      <c r="A142" s="104">
        <f t="shared" si="2"/>
        <v>141</v>
      </c>
      <c r="B142" s="105" t="s">
        <v>268</v>
      </c>
      <c r="C142" s="106" t="s">
        <v>666</v>
      </c>
      <c r="D142" s="107" t="s">
        <v>628</v>
      </c>
      <c r="E142" s="108" t="s">
        <v>629</v>
      </c>
      <c r="F142" s="108" t="s">
        <v>660</v>
      </c>
      <c r="G142" s="118" t="s">
        <v>656</v>
      </c>
      <c r="H142" s="105" t="s">
        <v>300</v>
      </c>
      <c r="I142" s="109">
        <v>4</v>
      </c>
      <c r="J142" s="109" t="s">
        <v>631</v>
      </c>
      <c r="K142" s="105" t="s">
        <v>286</v>
      </c>
      <c r="L142" s="107" t="str">
        <f ca="1">VLOOKUP($K142,OFFSET([1]character_type_i18n!$A$1,0,0,COUNTA([1]character_type_i18n!$A:$A),MATCH(L$1,[1]character_type_i18n!$1:$1,0)-MATCH($K$1,[1]character_type_i18n!$1:$1,0)+1),MATCH(L$1,[1]character_type_i18n!$1:$1,0)-MATCH($K$1,[1]character_type_i18n!$1:$1,0)+1,FALSE)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2" s="105" t="s">
        <v>318</v>
      </c>
      <c r="N142" s="107" t="str">
        <f>VLOOKUP(M142,[1]character_tribe_i18n!A:C,3,FALSE)</f>
        <v>アニマル</v>
      </c>
      <c r="O142" s="105" t="s">
        <v>278</v>
      </c>
      <c r="P142" s="107" t="str">
        <f>VLOOKUP(O142,[1]character_tribe_i18n!A:C,3,FALSE)</f>
        <v>種族なし</v>
      </c>
      <c r="Q142" s="117" t="s">
        <v>657</v>
      </c>
      <c r="R142" s="111">
        <v>3</v>
      </c>
      <c r="S142" s="108" t="s">
        <v>280</v>
      </c>
      <c r="T142" s="108" t="s">
        <v>281</v>
      </c>
      <c r="U142" s="108" t="s">
        <v>280</v>
      </c>
      <c r="V142" s="108" t="s">
        <v>280</v>
      </c>
      <c r="W142" s="108" t="s">
        <v>280</v>
      </c>
    </row>
    <row r="143" spans="1:23" ht="21" customHeight="1" x14ac:dyDescent="0.15">
      <c r="A143" s="104">
        <f t="shared" si="2"/>
        <v>142</v>
      </c>
      <c r="B143" s="105" t="s">
        <v>268</v>
      </c>
      <c r="C143" s="106" t="s">
        <v>667</v>
      </c>
      <c r="D143" s="107" t="s">
        <v>628</v>
      </c>
      <c r="E143" s="108" t="s">
        <v>629</v>
      </c>
      <c r="F143" s="108" t="s">
        <v>660</v>
      </c>
      <c r="G143" s="118" t="s">
        <v>656</v>
      </c>
      <c r="H143" s="105" t="s">
        <v>274</v>
      </c>
      <c r="I143" s="109">
        <v>3</v>
      </c>
      <c r="J143" s="109" t="s">
        <v>631</v>
      </c>
      <c r="K143" s="105" t="s">
        <v>286</v>
      </c>
      <c r="L143" s="107" t="str">
        <f ca="1">VLOOKUP($K143,OFFSET([1]character_type_i18n!$A$1,0,0,COUNTA([1]character_type_i18n!$A:$A),MATCH(L$1,[1]character_type_i18n!$1:$1,0)-MATCH($K$1,[1]character_type_i18n!$1:$1,0)+1),MATCH(L$1,[1]character_type_i18n!$1:$1,0)-MATCH($K$1,[1]character_type_i18n!$1:$1,0)+1,FALSE)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3" s="105" t="s">
        <v>332</v>
      </c>
      <c r="N143" s="107" t="str">
        <f>VLOOKUP(M143,[1]character_tribe_i18n!A:C,3,FALSE)</f>
        <v>ヒューマン</v>
      </c>
      <c r="O143" s="105" t="s">
        <v>278</v>
      </c>
      <c r="P143" s="107" t="str">
        <f>VLOOKUP(O143,[1]character_tribe_i18n!A:C,3,FALSE)</f>
        <v>種族なし</v>
      </c>
      <c r="Q143" s="110" t="s">
        <v>287</v>
      </c>
      <c r="R143" s="111">
        <v>3</v>
      </c>
      <c r="S143" s="108" t="s">
        <v>280</v>
      </c>
      <c r="T143" s="108" t="s">
        <v>281</v>
      </c>
      <c r="U143" s="108" t="s">
        <v>280</v>
      </c>
      <c r="V143" s="108" t="s">
        <v>280</v>
      </c>
      <c r="W143" s="108" t="s">
        <v>280</v>
      </c>
    </row>
    <row r="144" spans="1:23" ht="21" customHeight="1" x14ac:dyDescent="0.15">
      <c r="A144" s="104">
        <f t="shared" si="2"/>
        <v>143</v>
      </c>
      <c r="B144" s="105" t="s">
        <v>268</v>
      </c>
      <c r="C144" s="106" t="s">
        <v>668</v>
      </c>
      <c r="D144" s="107" t="s">
        <v>628</v>
      </c>
      <c r="E144" s="108" t="s">
        <v>629</v>
      </c>
      <c r="F144" s="108" t="s">
        <v>660</v>
      </c>
      <c r="G144" s="118" t="s">
        <v>656</v>
      </c>
      <c r="H144" s="105" t="s">
        <v>274</v>
      </c>
      <c r="I144" s="109">
        <v>4</v>
      </c>
      <c r="J144" s="109" t="s">
        <v>631</v>
      </c>
      <c r="K144" s="105" t="s">
        <v>286</v>
      </c>
      <c r="L144" s="107" t="str">
        <f ca="1">VLOOKUP($K144,OFFSET([1]character_type_i18n!$A$1,0,0,COUNTA([1]character_type_i18n!$A:$A),MATCH(L$1,[1]character_type_i18n!$1:$1,0)-MATCH($K$1,[1]character_type_i18n!$1:$1,0)+1),MATCH(L$1,[1]character_type_i18n!$1:$1,0)-MATCH($K$1,[1]character_type_i18n!$1:$1,0)+1,FALSE)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4" s="105" t="s">
        <v>332</v>
      </c>
      <c r="N144" s="107" t="str">
        <f>VLOOKUP(M144,[1]character_tribe_i18n!A:C,3,FALSE)</f>
        <v>ヒューマン</v>
      </c>
      <c r="O144" s="105" t="s">
        <v>278</v>
      </c>
      <c r="P144" s="107" t="str">
        <f>VLOOKUP(O144,[1]character_tribe_i18n!A:C,3,FALSE)</f>
        <v>種族なし</v>
      </c>
      <c r="Q144" s="110" t="s">
        <v>287</v>
      </c>
      <c r="R144" s="111">
        <v>3</v>
      </c>
      <c r="S144" s="108" t="s">
        <v>280</v>
      </c>
      <c r="T144" s="108" t="s">
        <v>281</v>
      </c>
      <c r="U144" s="108" t="s">
        <v>280</v>
      </c>
      <c r="V144" s="108" t="s">
        <v>280</v>
      </c>
      <c r="W144" s="108" t="s">
        <v>280</v>
      </c>
    </row>
    <row r="145" spans="1:23" ht="21" customHeight="1" x14ac:dyDescent="0.15">
      <c r="A145" s="104">
        <f t="shared" si="2"/>
        <v>144</v>
      </c>
      <c r="B145" s="105" t="s">
        <v>268</v>
      </c>
      <c r="C145" s="106" t="s">
        <v>669</v>
      </c>
      <c r="D145" s="107" t="s">
        <v>628</v>
      </c>
      <c r="E145" s="108" t="s">
        <v>629</v>
      </c>
      <c r="F145" s="108" t="s">
        <v>630</v>
      </c>
      <c r="G145" s="118" t="s">
        <v>656</v>
      </c>
      <c r="H145" s="105" t="s">
        <v>285</v>
      </c>
      <c r="I145" s="109">
        <v>3</v>
      </c>
      <c r="J145" s="109" t="s">
        <v>631</v>
      </c>
      <c r="K145" s="105" t="s">
        <v>347</v>
      </c>
      <c r="L145" s="107" t="str">
        <f ca="1">VLOOKUP($K145,OFFSET([1]character_type_i18n!$A$1,0,0,COUNTA([1]character_type_i18n!$A:$A),MATCH(L$1,[1]character_type_i18n!$1:$1,0)-MATCH($K$1,[1]character_type_i18n!$1:$1,0)+1),MATCH(L$1,[1]character_type_i18n!$1:$1,0)-MATCH($K$1,[1]character_type_i18n!$1:$1,0)+1,FALSE)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5" s="105" t="s">
        <v>332</v>
      </c>
      <c r="N145" s="107" t="str">
        <f>VLOOKUP(M145,[1]character_tribe_i18n!A:C,3,FALSE)</f>
        <v>ヒューマン</v>
      </c>
      <c r="O145" s="105" t="s">
        <v>278</v>
      </c>
      <c r="P145" s="107" t="str">
        <f>VLOOKUP(O145,[1]character_tribe_i18n!A:C,3,FALSE)</f>
        <v>種族なし</v>
      </c>
      <c r="Q145" s="110" t="s">
        <v>287</v>
      </c>
      <c r="R145" s="111">
        <v>3</v>
      </c>
      <c r="S145" s="108" t="s">
        <v>280</v>
      </c>
      <c r="T145" s="108" t="s">
        <v>281</v>
      </c>
      <c r="U145" s="108" t="s">
        <v>280</v>
      </c>
      <c r="V145" s="108" t="s">
        <v>280</v>
      </c>
      <c r="W145" s="108" t="s">
        <v>280</v>
      </c>
    </row>
    <row r="146" spans="1:23" ht="21" customHeight="1" x14ac:dyDescent="0.15">
      <c r="A146" s="104">
        <f t="shared" si="2"/>
        <v>145</v>
      </c>
      <c r="B146" s="105" t="s">
        <v>268</v>
      </c>
      <c r="C146" s="106" t="s">
        <v>670</v>
      </c>
      <c r="D146" s="107" t="s">
        <v>628</v>
      </c>
      <c r="E146" s="108" t="s">
        <v>629</v>
      </c>
      <c r="F146" s="108" t="s">
        <v>630</v>
      </c>
      <c r="G146" s="118" t="s">
        <v>656</v>
      </c>
      <c r="H146" s="105" t="s">
        <v>285</v>
      </c>
      <c r="I146" s="109">
        <v>4</v>
      </c>
      <c r="J146" s="109" t="s">
        <v>631</v>
      </c>
      <c r="K146" s="105" t="s">
        <v>347</v>
      </c>
      <c r="L146" s="107" t="str">
        <f ca="1">VLOOKUP($K146,OFFSET([1]character_type_i18n!$A$1,0,0,COUNTA([1]character_type_i18n!$A:$A),MATCH(L$1,[1]character_type_i18n!$1:$1,0)-MATCH($K$1,[1]character_type_i18n!$1:$1,0)+1),MATCH(L$1,[1]character_type_i18n!$1:$1,0)-MATCH($K$1,[1]character_type_i18n!$1:$1,0)+1,FALSE)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6" s="105" t="s">
        <v>332</v>
      </c>
      <c r="N146" s="107" t="str">
        <f>VLOOKUP(M146,[1]character_tribe_i18n!A:C,3,FALSE)</f>
        <v>ヒューマン</v>
      </c>
      <c r="O146" s="105" t="s">
        <v>278</v>
      </c>
      <c r="P146" s="107" t="str">
        <f>VLOOKUP(O146,[1]character_tribe_i18n!A:C,3,FALSE)</f>
        <v>種族なし</v>
      </c>
      <c r="Q146" s="110" t="s">
        <v>287</v>
      </c>
      <c r="R146" s="111">
        <v>3</v>
      </c>
      <c r="S146" s="108" t="s">
        <v>280</v>
      </c>
      <c r="T146" s="108" t="s">
        <v>281</v>
      </c>
      <c r="U146" s="108" t="s">
        <v>280</v>
      </c>
      <c r="V146" s="108" t="s">
        <v>280</v>
      </c>
      <c r="W146" s="108" t="s">
        <v>280</v>
      </c>
    </row>
    <row r="147" spans="1:23" ht="21" customHeight="1" x14ac:dyDescent="0.15">
      <c r="A147" s="104">
        <f t="shared" si="2"/>
        <v>146</v>
      </c>
      <c r="B147" s="105" t="s">
        <v>268</v>
      </c>
      <c r="C147" s="106" t="s">
        <v>671</v>
      </c>
      <c r="D147" s="107" t="s">
        <v>628</v>
      </c>
      <c r="E147" s="108" t="s">
        <v>629</v>
      </c>
      <c r="F147" s="108" t="s">
        <v>660</v>
      </c>
      <c r="G147" s="118" t="s">
        <v>656</v>
      </c>
      <c r="H147" s="105" t="s">
        <v>295</v>
      </c>
      <c r="I147" s="109">
        <v>3</v>
      </c>
      <c r="J147" s="109" t="s">
        <v>631</v>
      </c>
      <c r="K147" s="105" t="s">
        <v>347</v>
      </c>
      <c r="L147" s="107" t="str">
        <f ca="1">VLOOKUP($K147,OFFSET([1]character_type_i18n!$A$1,0,0,COUNTA([1]character_type_i18n!$A:$A),MATCH(L$1,[1]character_type_i18n!$1:$1,0)-MATCH($K$1,[1]character_type_i18n!$1:$1,0)+1),MATCH(L$1,[1]character_type_i18n!$1:$1,0)-MATCH($K$1,[1]character_type_i18n!$1:$1,0)+1,FALSE)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7" s="105" t="s">
        <v>332</v>
      </c>
      <c r="N147" s="107" t="str">
        <f>VLOOKUP(M147,[1]character_tribe_i18n!A:C,3,FALSE)</f>
        <v>ヒューマン</v>
      </c>
      <c r="O147" s="105" t="s">
        <v>278</v>
      </c>
      <c r="P147" s="107" t="str">
        <f>VLOOKUP(O147,[1]character_tribe_i18n!A:C,3,FALSE)</f>
        <v>種族なし</v>
      </c>
      <c r="Q147" s="117" t="s">
        <v>672</v>
      </c>
      <c r="R147" s="111">
        <v>3</v>
      </c>
      <c r="S147" s="108" t="s">
        <v>280</v>
      </c>
      <c r="T147" s="108" t="s">
        <v>281</v>
      </c>
      <c r="U147" s="108" t="s">
        <v>280</v>
      </c>
      <c r="V147" s="108" t="s">
        <v>280</v>
      </c>
      <c r="W147" s="108" t="s">
        <v>280</v>
      </c>
    </row>
    <row r="148" spans="1:23" ht="21" customHeight="1" x14ac:dyDescent="0.15">
      <c r="A148" s="104">
        <f t="shared" si="2"/>
        <v>147</v>
      </c>
      <c r="B148" s="105" t="s">
        <v>268</v>
      </c>
      <c r="C148" s="106" t="s">
        <v>673</v>
      </c>
      <c r="D148" s="107" t="s">
        <v>628</v>
      </c>
      <c r="E148" s="108" t="s">
        <v>629</v>
      </c>
      <c r="F148" s="108" t="s">
        <v>660</v>
      </c>
      <c r="G148" s="118" t="s">
        <v>656</v>
      </c>
      <c r="H148" s="105" t="s">
        <v>295</v>
      </c>
      <c r="I148" s="109">
        <v>4</v>
      </c>
      <c r="J148" s="109" t="s">
        <v>631</v>
      </c>
      <c r="K148" s="105" t="s">
        <v>347</v>
      </c>
      <c r="L148" s="107" t="str">
        <f ca="1">VLOOKUP($K148,OFFSET([1]character_type_i18n!$A$1,0,0,COUNTA([1]character_type_i18n!$A:$A),MATCH(L$1,[1]character_type_i18n!$1:$1,0)-MATCH($K$1,[1]character_type_i18n!$1:$1,0)+1),MATCH(L$1,[1]character_type_i18n!$1:$1,0)-MATCH($K$1,[1]character_type_i18n!$1:$1,0)+1,FALSE)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8" s="105" t="s">
        <v>332</v>
      </c>
      <c r="N148" s="107" t="str">
        <f>VLOOKUP(M148,[1]character_tribe_i18n!A:C,3,FALSE)</f>
        <v>ヒューマン</v>
      </c>
      <c r="O148" s="105" t="s">
        <v>278</v>
      </c>
      <c r="P148" s="107" t="str">
        <f>VLOOKUP(O148,[1]character_tribe_i18n!A:C,3,FALSE)</f>
        <v>種族なし</v>
      </c>
      <c r="Q148" s="117" t="s">
        <v>672</v>
      </c>
      <c r="R148" s="111">
        <v>3</v>
      </c>
      <c r="S148" s="108" t="s">
        <v>280</v>
      </c>
      <c r="T148" s="108" t="s">
        <v>281</v>
      </c>
      <c r="U148" s="108" t="s">
        <v>280</v>
      </c>
      <c r="V148" s="108" t="s">
        <v>280</v>
      </c>
      <c r="W148" s="108" t="s">
        <v>280</v>
      </c>
    </row>
    <row r="149" spans="1:23" ht="21" customHeight="1" x14ac:dyDescent="0.15">
      <c r="A149" s="104">
        <f t="shared" si="2"/>
        <v>148</v>
      </c>
      <c r="B149" s="105" t="s">
        <v>268</v>
      </c>
      <c r="C149" s="106" t="s">
        <v>674</v>
      </c>
      <c r="D149" s="107" t="s">
        <v>628</v>
      </c>
      <c r="E149" s="108" t="s">
        <v>629</v>
      </c>
      <c r="F149" s="108" t="s">
        <v>630</v>
      </c>
      <c r="G149" s="118" t="s">
        <v>656</v>
      </c>
      <c r="H149" s="105" t="s">
        <v>300</v>
      </c>
      <c r="I149" s="109">
        <v>3</v>
      </c>
      <c r="J149" s="109" t="s">
        <v>631</v>
      </c>
      <c r="K149" s="105" t="s">
        <v>286</v>
      </c>
      <c r="L149" s="107" t="str">
        <f ca="1">VLOOKUP($K149,OFFSET([1]character_type_i18n!$A$1,0,0,COUNTA([1]character_type_i18n!$A:$A),MATCH(L$1,[1]character_type_i18n!$1:$1,0)-MATCH($K$1,[1]character_type_i18n!$1:$1,0)+1),MATCH(L$1,[1]character_type_i18n!$1:$1,0)-MATCH($K$1,[1]character_type_i18n!$1:$1,0)+1,FALSE)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9" s="105" t="s">
        <v>332</v>
      </c>
      <c r="N149" s="107" t="str">
        <f>VLOOKUP(M149,[1]character_tribe_i18n!A:C,3,FALSE)</f>
        <v>ヒューマン</v>
      </c>
      <c r="O149" s="105" t="s">
        <v>278</v>
      </c>
      <c r="P149" s="107" t="str">
        <f>VLOOKUP(O149,[1]character_tribe_i18n!A:C,3,FALSE)</f>
        <v>種族なし</v>
      </c>
      <c r="Q149" s="117" t="s">
        <v>657</v>
      </c>
      <c r="R149" s="111">
        <v>3</v>
      </c>
      <c r="S149" s="108" t="s">
        <v>280</v>
      </c>
      <c r="T149" s="108" t="s">
        <v>281</v>
      </c>
      <c r="U149" s="108" t="s">
        <v>280</v>
      </c>
      <c r="V149" s="108" t="s">
        <v>280</v>
      </c>
      <c r="W149" s="108" t="s">
        <v>280</v>
      </c>
    </row>
    <row r="150" spans="1:23" ht="21" customHeight="1" x14ac:dyDescent="0.15">
      <c r="A150" s="104">
        <f t="shared" si="2"/>
        <v>149</v>
      </c>
      <c r="B150" s="105" t="s">
        <v>268</v>
      </c>
      <c r="C150" s="106" t="s">
        <v>675</v>
      </c>
      <c r="D150" s="107" t="s">
        <v>628</v>
      </c>
      <c r="E150" s="108" t="s">
        <v>629</v>
      </c>
      <c r="F150" s="108" t="s">
        <v>630</v>
      </c>
      <c r="G150" s="118" t="s">
        <v>656</v>
      </c>
      <c r="H150" s="105" t="s">
        <v>300</v>
      </c>
      <c r="I150" s="109">
        <v>4</v>
      </c>
      <c r="J150" s="109" t="s">
        <v>631</v>
      </c>
      <c r="K150" s="105" t="s">
        <v>286</v>
      </c>
      <c r="L150" s="107" t="str">
        <f ca="1">VLOOKUP($K150,OFFSET([1]character_type_i18n!$A$1,0,0,COUNTA([1]character_type_i18n!$A:$A),MATCH(L$1,[1]character_type_i18n!$1:$1,0)-MATCH($K$1,[1]character_type_i18n!$1:$1,0)+1),MATCH(L$1,[1]character_type_i18n!$1:$1,0)-MATCH($K$1,[1]character_type_i18n!$1:$1,0)+1,FALSE)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50" s="105" t="s">
        <v>332</v>
      </c>
      <c r="N150" s="107" t="str">
        <f>VLOOKUP(M150,[1]character_tribe_i18n!A:C,3,FALSE)</f>
        <v>ヒューマン</v>
      </c>
      <c r="O150" s="105" t="s">
        <v>278</v>
      </c>
      <c r="P150" s="107" t="str">
        <f>VLOOKUP(O150,[1]character_tribe_i18n!A:C,3,FALSE)</f>
        <v>種族なし</v>
      </c>
      <c r="Q150" s="117" t="s">
        <v>657</v>
      </c>
      <c r="R150" s="111">
        <v>3</v>
      </c>
      <c r="S150" s="108" t="s">
        <v>280</v>
      </c>
      <c r="T150" s="108" t="s">
        <v>281</v>
      </c>
      <c r="U150" s="108" t="s">
        <v>280</v>
      </c>
      <c r="V150" s="108" t="s">
        <v>280</v>
      </c>
      <c r="W150" s="108" t="s">
        <v>280</v>
      </c>
    </row>
    <row r="151" spans="1:23" ht="21" customHeight="1" x14ac:dyDescent="0.15">
      <c r="A151" s="104">
        <f t="shared" si="2"/>
        <v>150</v>
      </c>
      <c r="B151" s="105" t="s">
        <v>268</v>
      </c>
      <c r="C151" s="106" t="s">
        <v>676</v>
      </c>
      <c r="D151" s="107" t="s">
        <v>628</v>
      </c>
      <c r="E151" s="108" t="s">
        <v>629</v>
      </c>
      <c r="F151" s="108" t="s">
        <v>639</v>
      </c>
      <c r="G151" s="118" t="s">
        <v>656</v>
      </c>
      <c r="H151" s="105" t="s">
        <v>274</v>
      </c>
      <c r="I151" s="109">
        <v>3</v>
      </c>
      <c r="J151" s="109" t="s">
        <v>631</v>
      </c>
      <c r="K151" s="105" t="s">
        <v>377</v>
      </c>
      <c r="L151" s="107" t="str">
        <f ca="1">VLOOKUP($K151,OFFSET([1]character_type_i18n!$A$1,0,0,COUNTA([1]character_type_i18n!$A:$A),MATCH(L$1,[1]character_type_i18n!$1:$1,0)-MATCH($K$1,[1]character_type_i18n!$1:$1,0)+1),MATCH(L$1,[1]character_type_i18n!$1:$1,0)-MATCH($K$1,[1]character_type_i18n!$1:$1,0)+1,FALSE)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51" s="105" t="s">
        <v>332</v>
      </c>
      <c r="N151" s="107" t="str">
        <f>VLOOKUP(M151,[1]character_tribe_i18n!A:C,3,FALSE)</f>
        <v>ヒューマン</v>
      </c>
      <c r="O151" s="105" t="s">
        <v>278</v>
      </c>
      <c r="P151" s="107" t="str">
        <f>VLOOKUP(O151,[1]character_tribe_i18n!A:C,3,FALSE)</f>
        <v>種族なし</v>
      </c>
      <c r="Q151" s="110" t="s">
        <v>677</v>
      </c>
      <c r="R151" s="111">
        <v>3</v>
      </c>
      <c r="S151" s="108" t="s">
        <v>280</v>
      </c>
      <c r="T151" s="108" t="s">
        <v>281</v>
      </c>
      <c r="U151" s="108" t="s">
        <v>280</v>
      </c>
      <c r="V151" s="108" t="s">
        <v>280</v>
      </c>
      <c r="W151" s="108" t="s">
        <v>280</v>
      </c>
    </row>
    <row r="152" spans="1:23" ht="21" customHeight="1" x14ac:dyDescent="0.15">
      <c r="A152" s="104">
        <f t="shared" si="2"/>
        <v>151</v>
      </c>
      <c r="B152" s="105" t="s">
        <v>268</v>
      </c>
      <c r="C152" s="106" t="s">
        <v>678</v>
      </c>
      <c r="D152" s="107" t="s">
        <v>628</v>
      </c>
      <c r="E152" s="108" t="s">
        <v>629</v>
      </c>
      <c r="F152" s="108" t="s">
        <v>639</v>
      </c>
      <c r="G152" s="118" t="s">
        <v>656</v>
      </c>
      <c r="H152" s="105" t="s">
        <v>274</v>
      </c>
      <c r="I152" s="109">
        <v>4</v>
      </c>
      <c r="J152" s="109" t="s">
        <v>631</v>
      </c>
      <c r="K152" s="105" t="s">
        <v>377</v>
      </c>
      <c r="L152" s="107" t="str">
        <f ca="1">VLOOKUP($K152,OFFSET([1]character_type_i18n!$A$1,0,0,COUNTA([1]character_type_i18n!$A:$A),MATCH(L$1,[1]character_type_i18n!$1:$1,0)-MATCH($K$1,[1]character_type_i18n!$1:$1,0)+1),MATCH(L$1,[1]character_type_i18n!$1:$1,0)-MATCH($K$1,[1]character_type_i18n!$1:$1,0)+1,FALSE)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52" s="105" t="s">
        <v>332</v>
      </c>
      <c r="N152" s="107" t="str">
        <f>VLOOKUP(M152,[1]character_tribe_i18n!A:C,3,FALSE)</f>
        <v>ヒューマン</v>
      </c>
      <c r="O152" s="105" t="s">
        <v>278</v>
      </c>
      <c r="P152" s="107" t="str">
        <f>VLOOKUP(O152,[1]character_tribe_i18n!A:C,3,FALSE)</f>
        <v>種族なし</v>
      </c>
      <c r="Q152" s="110" t="s">
        <v>677</v>
      </c>
      <c r="R152" s="111">
        <v>3</v>
      </c>
      <c r="S152" s="108" t="s">
        <v>280</v>
      </c>
      <c r="T152" s="108" t="s">
        <v>281</v>
      </c>
      <c r="U152" s="108" t="s">
        <v>280</v>
      </c>
      <c r="V152" s="108" t="s">
        <v>280</v>
      </c>
      <c r="W152" s="108" t="s">
        <v>280</v>
      </c>
    </row>
    <row r="153" spans="1:23" ht="21" customHeight="1" x14ac:dyDescent="0.15">
      <c r="A153" s="104">
        <f t="shared" si="2"/>
        <v>152</v>
      </c>
      <c r="B153" s="105" t="s">
        <v>268</v>
      </c>
      <c r="C153" s="106" t="s">
        <v>679</v>
      </c>
      <c r="D153" s="107" t="s">
        <v>628</v>
      </c>
      <c r="E153" s="108" t="s">
        <v>680</v>
      </c>
      <c r="F153" s="108" t="s">
        <v>660</v>
      </c>
      <c r="G153" s="118" t="s">
        <v>656</v>
      </c>
      <c r="H153" s="105" t="s">
        <v>285</v>
      </c>
      <c r="I153" s="109">
        <v>3</v>
      </c>
      <c r="J153" s="109" t="s">
        <v>631</v>
      </c>
      <c r="K153" s="105" t="s">
        <v>296</v>
      </c>
      <c r="L153" s="107" t="str">
        <f ca="1">VLOOKUP($K153,OFFSET([1]character_type_i18n!$A$1,0,0,COUNTA([1]character_type_i18n!$A:$A),MATCH(L$1,[1]character_type_i18n!$1:$1,0)-MATCH($K$1,[1]character_type_i18n!$1:$1,0)+1),MATCH(L$1,[1]character_type_i18n!$1:$1,0)-MATCH($K$1,[1]character_type_i18n!$1:$1,0)+1,FALSE)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3" s="105" t="s">
        <v>332</v>
      </c>
      <c r="N153" s="107" t="str">
        <f>VLOOKUP(M153,[1]character_tribe_i18n!A:C,3,FALSE)</f>
        <v>ヒューマン</v>
      </c>
      <c r="O153" s="105" t="s">
        <v>278</v>
      </c>
      <c r="P153" s="107" t="str">
        <f>VLOOKUP(O153,[1]character_tribe_i18n!A:C,3,FALSE)</f>
        <v>種族なし</v>
      </c>
      <c r="Q153" s="110" t="s">
        <v>297</v>
      </c>
      <c r="R153" s="111">
        <v>3</v>
      </c>
      <c r="S153" s="108" t="s">
        <v>280</v>
      </c>
      <c r="T153" s="108" t="s">
        <v>281</v>
      </c>
      <c r="U153" s="108" t="s">
        <v>280</v>
      </c>
      <c r="V153" s="108" t="s">
        <v>280</v>
      </c>
      <c r="W153" s="108" t="s">
        <v>280</v>
      </c>
    </row>
    <row r="154" spans="1:23" ht="21" customHeight="1" x14ac:dyDescent="0.15">
      <c r="A154" s="104">
        <f t="shared" si="2"/>
        <v>153</v>
      </c>
      <c r="B154" s="105" t="s">
        <v>268</v>
      </c>
      <c r="C154" s="106" t="s">
        <v>681</v>
      </c>
      <c r="D154" s="107" t="s">
        <v>628</v>
      </c>
      <c r="E154" s="108" t="s">
        <v>643</v>
      </c>
      <c r="F154" s="108" t="s">
        <v>662</v>
      </c>
      <c r="G154" s="118" t="s">
        <v>656</v>
      </c>
      <c r="H154" s="105" t="s">
        <v>285</v>
      </c>
      <c r="I154" s="109">
        <v>4</v>
      </c>
      <c r="J154" s="109" t="s">
        <v>631</v>
      </c>
      <c r="K154" s="105" t="s">
        <v>296</v>
      </c>
      <c r="L154" s="107" t="str">
        <f ca="1">VLOOKUP($K154,OFFSET([1]character_type_i18n!$A$1,0,0,COUNTA([1]character_type_i18n!$A:$A),MATCH(L$1,[1]character_type_i18n!$1:$1,0)-MATCH($K$1,[1]character_type_i18n!$1:$1,0)+1),MATCH(L$1,[1]character_type_i18n!$1:$1,0)-MATCH($K$1,[1]character_type_i18n!$1:$1,0)+1,FALSE)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4" s="105" t="s">
        <v>332</v>
      </c>
      <c r="N154" s="107" t="str">
        <f>VLOOKUP(M154,[1]character_tribe_i18n!A:C,3,FALSE)</f>
        <v>ヒューマン</v>
      </c>
      <c r="O154" s="105" t="s">
        <v>278</v>
      </c>
      <c r="P154" s="107" t="str">
        <f>VLOOKUP(O154,[1]character_tribe_i18n!A:C,3,FALSE)</f>
        <v>種族なし</v>
      </c>
      <c r="Q154" s="110" t="s">
        <v>297</v>
      </c>
      <c r="R154" s="111">
        <v>3</v>
      </c>
      <c r="S154" s="108" t="s">
        <v>280</v>
      </c>
      <c r="T154" s="108" t="s">
        <v>281</v>
      </c>
      <c r="U154" s="108" t="s">
        <v>280</v>
      </c>
      <c r="V154" s="108" t="s">
        <v>280</v>
      </c>
      <c r="W154" s="108" t="s">
        <v>280</v>
      </c>
    </row>
    <row r="155" spans="1:23" ht="21" customHeight="1" x14ac:dyDescent="0.15">
      <c r="A155" s="104">
        <f t="shared" si="2"/>
        <v>154</v>
      </c>
      <c r="B155" s="105" t="s">
        <v>268</v>
      </c>
      <c r="C155" s="106" t="s">
        <v>682</v>
      </c>
      <c r="D155" s="107" t="s">
        <v>628</v>
      </c>
      <c r="E155" s="108" t="s">
        <v>629</v>
      </c>
      <c r="F155" s="108" t="s">
        <v>630</v>
      </c>
      <c r="G155" s="118" t="s">
        <v>656</v>
      </c>
      <c r="H155" s="105" t="s">
        <v>295</v>
      </c>
      <c r="I155" s="109">
        <v>3</v>
      </c>
      <c r="J155" s="109" t="s">
        <v>631</v>
      </c>
      <c r="K155" s="105" t="s">
        <v>296</v>
      </c>
      <c r="L155" s="107" t="str">
        <f ca="1">VLOOKUP($K155,OFFSET([1]character_type_i18n!$A$1,0,0,COUNTA([1]character_type_i18n!$A:$A),MATCH(L$1,[1]character_type_i18n!$1:$1,0)-MATCH($K$1,[1]character_type_i18n!$1:$1,0)+1),MATCH(L$1,[1]character_type_i18n!$1:$1,0)-MATCH($K$1,[1]character_type_i18n!$1:$1,0)+1,FALSE)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5" s="105" t="s">
        <v>332</v>
      </c>
      <c r="N155" s="107" t="str">
        <f>VLOOKUP(M155,[1]character_tribe_i18n!A:C,3,FALSE)</f>
        <v>ヒューマン</v>
      </c>
      <c r="O155" s="105" t="s">
        <v>278</v>
      </c>
      <c r="P155" s="107" t="str">
        <f>VLOOKUP(O155,[1]character_tribe_i18n!A:C,3,FALSE)</f>
        <v>種族なし</v>
      </c>
      <c r="Q155" s="110" t="s">
        <v>297</v>
      </c>
      <c r="R155" s="111">
        <v>3</v>
      </c>
      <c r="S155" s="108" t="s">
        <v>280</v>
      </c>
      <c r="T155" s="108" t="s">
        <v>281</v>
      </c>
      <c r="U155" s="108" t="s">
        <v>280</v>
      </c>
      <c r="V155" s="108" t="s">
        <v>280</v>
      </c>
      <c r="W155" s="108" t="s">
        <v>280</v>
      </c>
    </row>
    <row r="156" spans="1:23" ht="21" customHeight="1" x14ac:dyDescent="0.15">
      <c r="A156" s="104">
        <f t="shared" si="2"/>
        <v>155</v>
      </c>
      <c r="B156" s="105" t="s">
        <v>268</v>
      </c>
      <c r="C156" s="106" t="s">
        <v>683</v>
      </c>
      <c r="D156" s="107" t="s">
        <v>628</v>
      </c>
      <c r="E156" s="108" t="s">
        <v>643</v>
      </c>
      <c r="F156" s="108" t="s">
        <v>630</v>
      </c>
      <c r="G156" s="118" t="s">
        <v>656</v>
      </c>
      <c r="H156" s="105" t="s">
        <v>295</v>
      </c>
      <c r="I156" s="109">
        <v>4</v>
      </c>
      <c r="J156" s="109" t="s">
        <v>631</v>
      </c>
      <c r="K156" s="105" t="s">
        <v>296</v>
      </c>
      <c r="L156" s="107" t="str">
        <f ca="1">VLOOKUP($K156,OFFSET([1]character_type_i18n!$A$1,0,0,COUNTA([1]character_type_i18n!$A:$A),MATCH(L$1,[1]character_type_i18n!$1:$1,0)-MATCH($K$1,[1]character_type_i18n!$1:$1,0)+1),MATCH(L$1,[1]character_type_i18n!$1:$1,0)-MATCH($K$1,[1]character_type_i18n!$1:$1,0)+1,FALSE)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6" s="105" t="s">
        <v>332</v>
      </c>
      <c r="N156" s="107" t="str">
        <f>VLOOKUP(M156,[1]character_tribe_i18n!A:C,3,FALSE)</f>
        <v>ヒューマン</v>
      </c>
      <c r="O156" s="105" t="s">
        <v>278</v>
      </c>
      <c r="P156" s="107" t="str">
        <f>VLOOKUP(O156,[1]character_tribe_i18n!A:C,3,FALSE)</f>
        <v>種族なし</v>
      </c>
      <c r="Q156" s="110" t="s">
        <v>297</v>
      </c>
      <c r="R156" s="111">
        <v>3</v>
      </c>
      <c r="S156" s="108" t="s">
        <v>280</v>
      </c>
      <c r="T156" s="108" t="s">
        <v>281</v>
      </c>
      <c r="U156" s="108" t="s">
        <v>280</v>
      </c>
      <c r="V156" s="108" t="s">
        <v>280</v>
      </c>
      <c r="W156" s="108" t="s">
        <v>280</v>
      </c>
    </row>
    <row r="157" spans="1:23" ht="21" customHeight="1" x14ac:dyDescent="0.15">
      <c r="A157" s="104">
        <f t="shared" si="2"/>
        <v>156</v>
      </c>
      <c r="B157" s="105" t="s">
        <v>268</v>
      </c>
      <c r="C157" s="106" t="s">
        <v>684</v>
      </c>
      <c r="D157" s="107" t="s">
        <v>628</v>
      </c>
      <c r="E157" s="108" t="s">
        <v>685</v>
      </c>
      <c r="F157" s="108" t="s">
        <v>686</v>
      </c>
      <c r="G157" s="118" t="s">
        <v>656</v>
      </c>
      <c r="H157" s="105" t="s">
        <v>300</v>
      </c>
      <c r="I157" s="109">
        <v>3</v>
      </c>
      <c r="J157" s="109" t="s">
        <v>631</v>
      </c>
      <c r="K157" s="105" t="s">
        <v>296</v>
      </c>
      <c r="L157" s="107" t="str">
        <f ca="1">VLOOKUP($K157,OFFSET([1]character_type_i18n!$A$1,0,0,COUNTA([1]character_type_i18n!$A:$A),MATCH(L$1,[1]character_type_i18n!$1:$1,0)-MATCH($K$1,[1]character_type_i18n!$1:$1,0)+1),MATCH(L$1,[1]character_type_i18n!$1:$1,0)-MATCH($K$1,[1]character_type_i18n!$1:$1,0)+1,FALSE)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7" s="105" t="s">
        <v>332</v>
      </c>
      <c r="N157" s="107" t="str">
        <f>VLOOKUP(M157,[1]character_tribe_i18n!A:C,3,FALSE)</f>
        <v>ヒューマン</v>
      </c>
      <c r="O157" s="105" t="s">
        <v>278</v>
      </c>
      <c r="P157" s="107" t="str">
        <f>VLOOKUP(O157,[1]character_tribe_i18n!A:C,3,FALSE)</f>
        <v>種族なし</v>
      </c>
      <c r="Q157" s="110" t="s">
        <v>677</v>
      </c>
      <c r="R157" s="111">
        <v>3</v>
      </c>
      <c r="S157" s="108" t="s">
        <v>280</v>
      </c>
      <c r="T157" s="108" t="s">
        <v>281</v>
      </c>
      <c r="U157" s="108" t="s">
        <v>280</v>
      </c>
      <c r="V157" s="108" t="s">
        <v>280</v>
      </c>
      <c r="W157" s="108" t="s">
        <v>280</v>
      </c>
    </row>
    <row r="158" spans="1:23" ht="21" customHeight="1" x14ac:dyDescent="0.15">
      <c r="A158" s="104">
        <f t="shared" si="2"/>
        <v>157</v>
      </c>
      <c r="B158" s="105" t="s">
        <v>687</v>
      </c>
      <c r="C158" s="106" t="s">
        <v>688</v>
      </c>
      <c r="D158" s="107" t="s">
        <v>628</v>
      </c>
      <c r="E158" s="108" t="s">
        <v>643</v>
      </c>
      <c r="F158" s="108" t="s">
        <v>689</v>
      </c>
      <c r="G158" s="118" t="s">
        <v>656</v>
      </c>
      <c r="H158" s="105" t="s">
        <v>300</v>
      </c>
      <c r="I158" s="109">
        <v>4</v>
      </c>
      <c r="J158" s="109" t="s">
        <v>631</v>
      </c>
      <c r="K158" s="105" t="s">
        <v>296</v>
      </c>
      <c r="L158" s="107" t="str">
        <f ca="1">VLOOKUP($K158,OFFSET([1]character_type_i18n!$A$1,0,0,COUNTA([1]character_type_i18n!$A:$A),MATCH(L$1,[1]character_type_i18n!$1:$1,0)-MATCH($K$1,[1]character_type_i18n!$1:$1,0)+1),MATCH(L$1,[1]character_type_i18n!$1:$1,0)-MATCH($K$1,[1]character_type_i18n!$1:$1,0)+1,FALSE)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8" s="105" t="s">
        <v>332</v>
      </c>
      <c r="N158" s="107" t="str">
        <f>VLOOKUP(M158,[1]character_tribe_i18n!A:C,3,FALSE)</f>
        <v>ヒューマン</v>
      </c>
      <c r="O158" s="105" t="s">
        <v>278</v>
      </c>
      <c r="P158" s="107" t="str">
        <f>VLOOKUP(O158,[1]character_tribe_i18n!A:C,3,FALSE)</f>
        <v>種族なし</v>
      </c>
      <c r="Q158" s="110" t="s">
        <v>677</v>
      </c>
      <c r="R158" s="111">
        <v>3</v>
      </c>
      <c r="S158" s="108" t="s">
        <v>280</v>
      </c>
      <c r="T158" s="108" t="s">
        <v>281</v>
      </c>
      <c r="U158" s="108" t="s">
        <v>280</v>
      </c>
      <c r="V158" s="108" t="s">
        <v>280</v>
      </c>
      <c r="W158" s="108" t="s">
        <v>280</v>
      </c>
    </row>
    <row r="159" spans="1:23" ht="21" customHeight="1" x14ac:dyDescent="0.15">
      <c r="A159" s="104">
        <f t="shared" si="2"/>
        <v>158</v>
      </c>
      <c r="B159" s="105" t="s">
        <v>687</v>
      </c>
      <c r="C159" s="106" t="s">
        <v>690</v>
      </c>
      <c r="D159" s="107" t="s">
        <v>628</v>
      </c>
      <c r="E159" s="108" t="s">
        <v>643</v>
      </c>
      <c r="F159" s="108" t="s">
        <v>630</v>
      </c>
      <c r="G159" s="118" t="s">
        <v>656</v>
      </c>
      <c r="H159" s="105" t="s">
        <v>274</v>
      </c>
      <c r="I159" s="109">
        <v>3</v>
      </c>
      <c r="J159" s="109" t="s">
        <v>631</v>
      </c>
      <c r="K159" s="105" t="s">
        <v>296</v>
      </c>
      <c r="L159" s="107" t="str">
        <f ca="1">VLOOKUP($K159,OFFSET([1]character_type_i18n!$A$1,0,0,COUNTA([1]character_type_i18n!$A:$A),MATCH(L$1,[1]character_type_i18n!$1:$1,0)-MATCH($K$1,[1]character_type_i18n!$1:$1,0)+1),MATCH(L$1,[1]character_type_i18n!$1:$1,0)-MATCH($K$1,[1]character_type_i18n!$1:$1,0)+1,FALSE)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9" s="105" t="s">
        <v>332</v>
      </c>
      <c r="N159" s="107" t="str">
        <f>VLOOKUP(M159,[1]character_tribe_i18n!A:C,3,FALSE)</f>
        <v>ヒューマン</v>
      </c>
      <c r="O159" s="105" t="s">
        <v>278</v>
      </c>
      <c r="P159" s="107" t="str">
        <f>VLOOKUP(O159,[1]character_tribe_i18n!A:C,3,FALSE)</f>
        <v>種族なし</v>
      </c>
      <c r="Q159" s="110" t="s">
        <v>279</v>
      </c>
      <c r="R159" s="111">
        <v>3</v>
      </c>
      <c r="S159" s="108" t="s">
        <v>280</v>
      </c>
      <c r="T159" s="108" t="s">
        <v>281</v>
      </c>
      <c r="U159" s="108" t="s">
        <v>280</v>
      </c>
      <c r="V159" s="108" t="s">
        <v>280</v>
      </c>
      <c r="W159" s="108" t="s">
        <v>280</v>
      </c>
    </row>
    <row r="160" spans="1:23" ht="21" customHeight="1" x14ac:dyDescent="0.15">
      <c r="A160" s="104">
        <f t="shared" si="2"/>
        <v>159</v>
      </c>
      <c r="B160" s="105" t="s">
        <v>691</v>
      </c>
      <c r="C160" s="106" t="s">
        <v>692</v>
      </c>
      <c r="D160" s="107" t="s">
        <v>628</v>
      </c>
      <c r="E160" s="108" t="s">
        <v>643</v>
      </c>
      <c r="F160" s="108" t="s">
        <v>630</v>
      </c>
      <c r="G160" s="118" t="s">
        <v>656</v>
      </c>
      <c r="H160" s="105" t="s">
        <v>274</v>
      </c>
      <c r="I160" s="109">
        <v>4</v>
      </c>
      <c r="J160" s="109" t="s">
        <v>631</v>
      </c>
      <c r="K160" s="105" t="s">
        <v>296</v>
      </c>
      <c r="L160" s="107" t="str">
        <f ca="1">VLOOKUP($K160,OFFSET([1]character_type_i18n!$A$1,0,0,COUNTA([1]character_type_i18n!$A:$A),MATCH(L$1,[1]character_type_i18n!$1:$1,0)-MATCH($K$1,[1]character_type_i18n!$1:$1,0)+1),MATCH(L$1,[1]character_type_i18n!$1:$1,0)-MATCH($K$1,[1]character_type_i18n!$1:$1,0)+1,FALSE)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60" s="105" t="s">
        <v>332</v>
      </c>
      <c r="N160" s="107" t="str">
        <f>VLOOKUP(M160,[1]character_tribe_i18n!A:C,3,FALSE)</f>
        <v>ヒューマン</v>
      </c>
      <c r="O160" s="105" t="s">
        <v>278</v>
      </c>
      <c r="P160" s="107" t="str">
        <f>VLOOKUP(O160,[1]character_tribe_i18n!A:C,3,FALSE)</f>
        <v>種族なし</v>
      </c>
      <c r="Q160" s="110" t="s">
        <v>279</v>
      </c>
      <c r="R160" s="111">
        <v>3</v>
      </c>
      <c r="S160" s="108" t="s">
        <v>280</v>
      </c>
      <c r="T160" s="108" t="s">
        <v>281</v>
      </c>
      <c r="U160" s="108" t="s">
        <v>280</v>
      </c>
      <c r="V160" s="108" t="s">
        <v>280</v>
      </c>
      <c r="W160" s="108" t="s">
        <v>280</v>
      </c>
    </row>
    <row r="161" spans="1:23" ht="21" customHeight="1" x14ac:dyDescent="0.15">
      <c r="A161" s="104">
        <f t="shared" si="2"/>
        <v>160</v>
      </c>
      <c r="B161" s="105" t="s">
        <v>268</v>
      </c>
      <c r="C161" s="106" t="s">
        <v>693</v>
      </c>
      <c r="D161" s="107" t="s">
        <v>628</v>
      </c>
      <c r="E161" s="108" t="s">
        <v>643</v>
      </c>
      <c r="F161" s="108" t="s">
        <v>639</v>
      </c>
      <c r="G161" s="118" t="s">
        <v>656</v>
      </c>
      <c r="H161" s="105" t="s">
        <v>285</v>
      </c>
      <c r="I161" s="109">
        <v>3</v>
      </c>
      <c r="J161" s="109" t="s">
        <v>631</v>
      </c>
      <c r="K161" s="105" t="s">
        <v>286</v>
      </c>
      <c r="L161" s="107" t="str">
        <f ca="1">VLOOKUP($K161,OFFSET([1]character_type_i18n!$A$1,0,0,COUNTA([1]character_type_i18n!$A:$A),MATCH(L$1,[1]character_type_i18n!$1:$1,0)-MATCH($K$1,[1]character_type_i18n!$1:$1,0)+1),MATCH(L$1,[1]character_type_i18n!$1:$1,0)-MATCH($K$1,[1]character_type_i18n!$1:$1,0)+1,FALSE)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61" s="105" t="s">
        <v>332</v>
      </c>
      <c r="N161" s="107" t="str">
        <f>VLOOKUP(M161,[1]character_tribe_i18n!A:C,3,FALSE)</f>
        <v>ヒューマン</v>
      </c>
      <c r="O161" s="105" t="s">
        <v>278</v>
      </c>
      <c r="P161" s="107" t="str">
        <f>VLOOKUP(O161,[1]character_tribe_i18n!A:C,3,FALSE)</f>
        <v>種族なし</v>
      </c>
      <c r="Q161" s="110" t="s">
        <v>287</v>
      </c>
      <c r="R161" s="111">
        <v>3</v>
      </c>
      <c r="S161" s="108" t="s">
        <v>280</v>
      </c>
      <c r="T161" s="108" t="s">
        <v>281</v>
      </c>
      <c r="U161" s="108" t="s">
        <v>280</v>
      </c>
      <c r="V161" s="108" t="s">
        <v>280</v>
      </c>
      <c r="W161" s="108" t="s">
        <v>280</v>
      </c>
    </row>
    <row r="162" spans="1:23" ht="21" customHeight="1" x14ac:dyDescent="0.15">
      <c r="A162" s="104">
        <f t="shared" si="2"/>
        <v>161</v>
      </c>
      <c r="B162" s="105" t="s">
        <v>268</v>
      </c>
      <c r="C162" s="106" t="s">
        <v>694</v>
      </c>
      <c r="D162" s="107" t="s">
        <v>628</v>
      </c>
      <c r="E162" s="108" t="s">
        <v>643</v>
      </c>
      <c r="F162" s="108" t="s">
        <v>639</v>
      </c>
      <c r="G162" s="118" t="s">
        <v>656</v>
      </c>
      <c r="H162" s="105" t="s">
        <v>285</v>
      </c>
      <c r="I162" s="109">
        <v>4</v>
      </c>
      <c r="J162" s="109" t="s">
        <v>631</v>
      </c>
      <c r="K162" s="105" t="s">
        <v>286</v>
      </c>
      <c r="L162" s="107" t="str">
        <f ca="1">VLOOKUP($K162,OFFSET([1]character_type_i18n!$A$1,0,0,COUNTA([1]character_type_i18n!$A:$A),MATCH(L$1,[1]character_type_i18n!$1:$1,0)-MATCH($K$1,[1]character_type_i18n!$1:$1,0)+1),MATCH(L$1,[1]character_type_i18n!$1:$1,0)-MATCH($K$1,[1]character_type_i18n!$1:$1,0)+1,FALSE)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62" s="105" t="s">
        <v>332</v>
      </c>
      <c r="N162" s="107" t="str">
        <f>VLOOKUP(M162,[1]character_tribe_i18n!A:C,3,FALSE)</f>
        <v>ヒューマン</v>
      </c>
      <c r="O162" s="105" t="s">
        <v>278</v>
      </c>
      <c r="P162" s="107" t="str">
        <f>VLOOKUP(O162,[1]character_tribe_i18n!A:C,3,FALSE)</f>
        <v>種族なし</v>
      </c>
      <c r="Q162" s="110" t="s">
        <v>287</v>
      </c>
      <c r="R162" s="111">
        <v>3</v>
      </c>
      <c r="S162" s="108" t="s">
        <v>280</v>
      </c>
      <c r="T162" s="108" t="s">
        <v>281</v>
      </c>
      <c r="U162" s="108" t="s">
        <v>280</v>
      </c>
      <c r="V162" s="108" t="s">
        <v>280</v>
      </c>
      <c r="W162" s="108" t="s">
        <v>280</v>
      </c>
    </row>
    <row r="163" spans="1:23" ht="21" customHeight="1" x14ac:dyDescent="0.15">
      <c r="A163" s="104">
        <f t="shared" si="2"/>
        <v>162</v>
      </c>
      <c r="B163" s="105" t="s">
        <v>268</v>
      </c>
      <c r="C163" s="106" t="s">
        <v>695</v>
      </c>
      <c r="D163" s="107" t="s">
        <v>628</v>
      </c>
      <c r="E163" s="108" t="s">
        <v>643</v>
      </c>
      <c r="F163" s="108" t="s">
        <v>630</v>
      </c>
      <c r="G163" s="118" t="s">
        <v>656</v>
      </c>
      <c r="H163" s="105" t="s">
        <v>295</v>
      </c>
      <c r="I163" s="109">
        <v>3</v>
      </c>
      <c r="J163" s="109" t="s">
        <v>631</v>
      </c>
      <c r="K163" s="105" t="s">
        <v>276</v>
      </c>
      <c r="L163" s="107" t="str">
        <f ca="1">VLOOKUP($K163,OFFSET([1]character_type_i18n!$A$1,0,0,COUNTA([1]character_type_i18n!$A:$A),MATCH(L$1,[1]character_type_i18n!$1:$1,0)-MATCH($K$1,[1]character_type_i18n!$1:$1,0)+1),MATCH(L$1,[1]character_type_i18n!$1:$1,0)-MATCH($K$1,[1]character_type_i18n!$1:$1,0)+1,FALSE)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63" s="105" t="s">
        <v>332</v>
      </c>
      <c r="N163" s="107" t="str">
        <f>VLOOKUP(M163,[1]character_tribe_i18n!A:C,3,FALSE)</f>
        <v>ヒューマン</v>
      </c>
      <c r="O163" s="105" t="s">
        <v>278</v>
      </c>
      <c r="P163" s="107" t="str">
        <f>VLOOKUP(O163,[1]character_tribe_i18n!A:C,3,FALSE)</f>
        <v>種族なし</v>
      </c>
      <c r="Q163" s="110" t="s">
        <v>677</v>
      </c>
      <c r="R163" s="111">
        <v>3</v>
      </c>
      <c r="S163" s="108" t="s">
        <v>280</v>
      </c>
      <c r="T163" s="108" t="s">
        <v>281</v>
      </c>
      <c r="U163" s="108" t="s">
        <v>280</v>
      </c>
      <c r="V163" s="108" t="s">
        <v>280</v>
      </c>
      <c r="W163" s="108" t="s">
        <v>280</v>
      </c>
    </row>
    <row r="164" spans="1:23" ht="21" customHeight="1" x14ac:dyDescent="0.15">
      <c r="A164" s="104">
        <f t="shared" si="2"/>
        <v>163</v>
      </c>
      <c r="B164" s="105" t="s">
        <v>268</v>
      </c>
      <c r="C164" s="106" t="s">
        <v>696</v>
      </c>
      <c r="D164" s="107" t="s">
        <v>628</v>
      </c>
      <c r="E164" s="108" t="s">
        <v>643</v>
      </c>
      <c r="F164" s="108" t="s">
        <v>630</v>
      </c>
      <c r="G164" s="118" t="s">
        <v>656</v>
      </c>
      <c r="H164" s="105" t="s">
        <v>295</v>
      </c>
      <c r="I164" s="109">
        <v>4</v>
      </c>
      <c r="J164" s="109" t="s">
        <v>631</v>
      </c>
      <c r="K164" s="105" t="s">
        <v>276</v>
      </c>
      <c r="L164" s="107" t="str">
        <f ca="1">VLOOKUP($K164,OFFSET([1]character_type_i18n!$A$1,0,0,COUNTA([1]character_type_i18n!$A:$A),MATCH(L$1,[1]character_type_i18n!$1:$1,0)-MATCH($K$1,[1]character_type_i18n!$1:$1,0)+1),MATCH(L$1,[1]character_type_i18n!$1:$1,0)-MATCH($K$1,[1]character_type_i18n!$1:$1,0)+1,FALSE)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64" s="105" t="s">
        <v>332</v>
      </c>
      <c r="N164" s="107" t="str">
        <f>VLOOKUP(M164,[1]character_tribe_i18n!A:C,3,FALSE)</f>
        <v>ヒューマン</v>
      </c>
      <c r="O164" s="105" t="s">
        <v>278</v>
      </c>
      <c r="P164" s="107" t="str">
        <f>VLOOKUP(O164,[1]character_tribe_i18n!A:C,3,FALSE)</f>
        <v>種族なし</v>
      </c>
      <c r="Q164" s="110" t="s">
        <v>677</v>
      </c>
      <c r="R164" s="111">
        <v>3</v>
      </c>
      <c r="S164" s="108" t="s">
        <v>280</v>
      </c>
      <c r="T164" s="108" t="s">
        <v>281</v>
      </c>
      <c r="U164" s="108" t="s">
        <v>280</v>
      </c>
      <c r="V164" s="108" t="s">
        <v>280</v>
      </c>
      <c r="W164" s="108" t="s">
        <v>280</v>
      </c>
    </row>
    <row r="165" spans="1:23" ht="21" customHeight="1" x14ac:dyDescent="0.15">
      <c r="A165" s="104">
        <f t="shared" si="2"/>
        <v>164</v>
      </c>
      <c r="B165" s="105" t="s">
        <v>268</v>
      </c>
      <c r="C165" s="106" t="s">
        <v>697</v>
      </c>
      <c r="D165" s="107" t="s">
        <v>628</v>
      </c>
      <c r="E165" s="108" t="s">
        <v>643</v>
      </c>
      <c r="F165" s="108" t="s">
        <v>660</v>
      </c>
      <c r="G165" s="118" t="s">
        <v>656</v>
      </c>
      <c r="H165" s="105" t="s">
        <v>300</v>
      </c>
      <c r="I165" s="109">
        <v>3</v>
      </c>
      <c r="J165" s="109" t="s">
        <v>631</v>
      </c>
      <c r="K165" s="105" t="s">
        <v>377</v>
      </c>
      <c r="L165" s="107" t="str">
        <f ca="1">VLOOKUP($K165,OFFSET([1]character_type_i18n!$A$1,0,0,COUNTA([1]character_type_i18n!$A:$A),MATCH(L$1,[1]character_type_i18n!$1:$1,0)-MATCH($K$1,[1]character_type_i18n!$1:$1,0)+1),MATCH(L$1,[1]character_type_i18n!$1:$1,0)-MATCH($K$1,[1]character_type_i18n!$1:$1,0)+1,FALSE)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65" s="105" t="s">
        <v>332</v>
      </c>
      <c r="N165" s="107" t="str">
        <f>VLOOKUP(M165,[1]character_tribe_i18n!A:C,3,FALSE)</f>
        <v>ヒューマン</v>
      </c>
      <c r="O165" s="105" t="s">
        <v>277</v>
      </c>
      <c r="P165" s="107" t="str">
        <f>VLOOKUP(O165,[1]character_tribe_i18n!A:C,3,FALSE)</f>
        <v>Unknown</v>
      </c>
      <c r="Q165" s="117" t="s">
        <v>698</v>
      </c>
      <c r="R165" s="111">
        <v>3</v>
      </c>
      <c r="S165" s="108" t="s">
        <v>280</v>
      </c>
      <c r="T165" s="108" t="s">
        <v>281</v>
      </c>
      <c r="U165" s="108" t="s">
        <v>280</v>
      </c>
      <c r="V165" s="108" t="s">
        <v>280</v>
      </c>
      <c r="W165" s="108" t="s">
        <v>280</v>
      </c>
    </row>
    <row r="166" spans="1:23" ht="21" customHeight="1" x14ac:dyDescent="0.15">
      <c r="A166" s="104">
        <f t="shared" si="2"/>
        <v>165</v>
      </c>
      <c r="B166" s="105" t="s">
        <v>268</v>
      </c>
      <c r="C166" s="106" t="s">
        <v>699</v>
      </c>
      <c r="D166" s="107" t="s">
        <v>628</v>
      </c>
      <c r="E166" s="108" t="s">
        <v>629</v>
      </c>
      <c r="F166" s="108" t="s">
        <v>660</v>
      </c>
      <c r="G166" s="118" t="s">
        <v>656</v>
      </c>
      <c r="H166" s="105" t="s">
        <v>300</v>
      </c>
      <c r="I166" s="109">
        <v>4</v>
      </c>
      <c r="J166" s="109" t="s">
        <v>631</v>
      </c>
      <c r="K166" s="105" t="s">
        <v>377</v>
      </c>
      <c r="L166" s="107" t="str">
        <f ca="1">VLOOKUP($K166,OFFSET([1]character_type_i18n!$A$1,0,0,COUNTA([1]character_type_i18n!$A:$A),MATCH(L$1,[1]character_type_i18n!$1:$1,0)-MATCH($K$1,[1]character_type_i18n!$1:$1,0)+1),MATCH(L$1,[1]character_type_i18n!$1:$1,0)-MATCH($K$1,[1]character_type_i18n!$1:$1,0)+1,FALSE)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66" s="105" t="s">
        <v>332</v>
      </c>
      <c r="N166" s="107" t="str">
        <f>VLOOKUP(M166,[1]character_tribe_i18n!A:C,3,FALSE)</f>
        <v>ヒューマン</v>
      </c>
      <c r="O166" s="105" t="s">
        <v>277</v>
      </c>
      <c r="P166" s="107" t="str">
        <f>VLOOKUP(O166,[1]character_tribe_i18n!A:C,3,FALSE)</f>
        <v>Unknown</v>
      </c>
      <c r="Q166" s="117" t="s">
        <v>698</v>
      </c>
      <c r="R166" s="111">
        <v>3</v>
      </c>
      <c r="S166" s="108" t="s">
        <v>700</v>
      </c>
      <c r="T166" s="108" t="s">
        <v>701</v>
      </c>
      <c r="U166" s="108" t="s">
        <v>700</v>
      </c>
      <c r="V166" s="108" t="s">
        <v>700</v>
      </c>
      <c r="W166" s="108" t="s">
        <v>700</v>
      </c>
    </row>
    <row r="167" spans="1:23" ht="21" customHeight="1" x14ac:dyDescent="0.15">
      <c r="A167" s="104">
        <f t="shared" si="2"/>
        <v>166</v>
      </c>
      <c r="B167" s="105" t="s">
        <v>268</v>
      </c>
      <c r="C167" s="106" t="s">
        <v>702</v>
      </c>
      <c r="D167" s="107" t="s">
        <v>628</v>
      </c>
      <c r="E167" s="108" t="s">
        <v>703</v>
      </c>
      <c r="F167" s="108" t="s">
        <v>704</v>
      </c>
      <c r="G167" s="108" t="s">
        <v>705</v>
      </c>
      <c r="H167" s="105" t="s">
        <v>274</v>
      </c>
      <c r="I167" s="109">
        <v>3</v>
      </c>
      <c r="J167" s="109" t="s">
        <v>706</v>
      </c>
      <c r="K167" s="105" t="s">
        <v>276</v>
      </c>
      <c r="L167" s="107" t="str">
        <f ca="1">VLOOKUP($K167,OFFSET([1]character_type_i18n!$A$1,0,0,COUNTA([1]character_type_i18n!$A:$A),MATCH(L$1,[1]character_type_i18n!$1:$1,0)-MATCH($K$1,[1]character_type_i18n!$1:$1,0)+1),MATCH(L$1,[1]character_type_i18n!$1:$1,0)-MATCH($K$1,[1]character_type_i18n!$1:$1,0)+1,FALSE)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67" s="105" t="s">
        <v>517</v>
      </c>
      <c r="N167" s="107" t="str">
        <f>VLOOKUP(M167,[1]character_tribe_i18n!A:C,3,FALSE)</f>
        <v>ゴッド</v>
      </c>
      <c r="O167" s="105" t="s">
        <v>278</v>
      </c>
      <c r="P167" s="107" t="str">
        <f>VLOOKUP(O167,[1]character_tribe_i18n!A:C,3,FALSE)</f>
        <v>種族なし</v>
      </c>
      <c r="Q167" s="117" t="s">
        <v>707</v>
      </c>
      <c r="R167" s="111">
        <v>3</v>
      </c>
      <c r="S167" s="108" t="s">
        <v>280</v>
      </c>
      <c r="T167" s="108" t="s">
        <v>281</v>
      </c>
      <c r="U167" s="108" t="s">
        <v>280</v>
      </c>
      <c r="V167" s="108" t="s">
        <v>280</v>
      </c>
      <c r="W167" s="108" t="s">
        <v>280</v>
      </c>
    </row>
    <row r="168" spans="1:23" ht="21" customHeight="1" x14ac:dyDescent="0.15">
      <c r="A168" s="104">
        <f t="shared" si="2"/>
        <v>167</v>
      </c>
      <c r="B168" s="105" t="s">
        <v>268</v>
      </c>
      <c r="C168" s="106" t="s">
        <v>708</v>
      </c>
      <c r="D168" s="107" t="s">
        <v>628</v>
      </c>
      <c r="E168" s="108" t="s">
        <v>709</v>
      </c>
      <c r="F168" s="108" t="s">
        <v>532</v>
      </c>
      <c r="G168" s="108" t="s">
        <v>710</v>
      </c>
      <c r="H168" s="105" t="s">
        <v>274</v>
      </c>
      <c r="I168" s="109">
        <v>4</v>
      </c>
      <c r="J168" s="109" t="s">
        <v>711</v>
      </c>
      <c r="K168" s="105" t="s">
        <v>276</v>
      </c>
      <c r="L168" s="107" t="str">
        <f ca="1">VLOOKUP($K168,OFFSET([1]character_type_i18n!$A$1,0,0,COUNTA([1]character_type_i18n!$A:$A),MATCH(L$1,[1]character_type_i18n!$1:$1,0)-MATCH($K$1,[1]character_type_i18n!$1:$1,0)+1),MATCH(L$1,[1]character_type_i18n!$1:$1,0)-MATCH($K$1,[1]character_type_i18n!$1:$1,0)+1,FALSE)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68" s="105" t="s">
        <v>517</v>
      </c>
      <c r="N168" s="107" t="str">
        <f>VLOOKUP(M168,[1]character_tribe_i18n!A:C,3,FALSE)</f>
        <v>ゴッド</v>
      </c>
      <c r="O168" s="105" t="s">
        <v>278</v>
      </c>
      <c r="P168" s="107" t="str">
        <f>VLOOKUP(O168,[1]character_tribe_i18n!A:C,3,FALSE)</f>
        <v>種族なし</v>
      </c>
      <c r="Q168" s="117" t="s">
        <v>707</v>
      </c>
      <c r="R168" s="111">
        <v>3</v>
      </c>
      <c r="S168" s="108" t="s">
        <v>280</v>
      </c>
      <c r="T168" s="108" t="s">
        <v>281</v>
      </c>
      <c r="U168" s="108" t="s">
        <v>280</v>
      </c>
      <c r="V168" s="108" t="s">
        <v>280</v>
      </c>
      <c r="W168" s="108" t="s">
        <v>280</v>
      </c>
    </row>
    <row r="169" spans="1:23" ht="21" customHeight="1" x14ac:dyDescent="0.15">
      <c r="A169" s="104">
        <f t="shared" si="2"/>
        <v>168</v>
      </c>
      <c r="B169" s="105" t="s">
        <v>268</v>
      </c>
      <c r="C169" s="106" t="s">
        <v>712</v>
      </c>
      <c r="D169" s="107" t="s">
        <v>628</v>
      </c>
      <c r="E169" s="108" t="s">
        <v>713</v>
      </c>
      <c r="F169" s="108" t="s">
        <v>704</v>
      </c>
      <c r="G169" s="108" t="s">
        <v>705</v>
      </c>
      <c r="H169" s="105" t="s">
        <v>274</v>
      </c>
      <c r="I169" s="109">
        <v>5</v>
      </c>
      <c r="J169" s="109" t="s">
        <v>711</v>
      </c>
      <c r="K169" s="105" t="s">
        <v>276</v>
      </c>
      <c r="L169" s="107" t="str">
        <f ca="1">VLOOKUP($K169,OFFSET([1]character_type_i18n!$A$1,0,0,COUNTA([1]character_type_i18n!$A:$A),MATCH(L$1,[1]character_type_i18n!$1:$1,0)-MATCH($K$1,[1]character_type_i18n!$1:$1,0)+1),MATCH(L$1,[1]character_type_i18n!$1:$1,0)-MATCH($K$1,[1]character_type_i18n!$1:$1,0)+1,FALSE)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69" s="105" t="s">
        <v>517</v>
      </c>
      <c r="N169" s="107" t="str">
        <f>VLOOKUP(M169,[1]character_tribe_i18n!A:C,3,FALSE)</f>
        <v>ゴッド</v>
      </c>
      <c r="O169" s="105" t="s">
        <v>278</v>
      </c>
      <c r="P169" s="107" t="str">
        <f>VLOOKUP(O169,[1]character_tribe_i18n!A:C,3,FALSE)</f>
        <v>種族なし</v>
      </c>
      <c r="Q169" s="117" t="s">
        <v>707</v>
      </c>
      <c r="R169" s="111">
        <v>3</v>
      </c>
      <c r="S169" s="108" t="s">
        <v>280</v>
      </c>
      <c r="T169" s="108" t="s">
        <v>281</v>
      </c>
      <c r="U169" s="108" t="s">
        <v>280</v>
      </c>
      <c r="V169" s="108" t="s">
        <v>280</v>
      </c>
      <c r="W169" s="108" t="s">
        <v>280</v>
      </c>
    </row>
    <row r="170" spans="1:23" ht="21" customHeight="1" x14ac:dyDescent="0.15">
      <c r="A170" s="104">
        <f t="shared" si="2"/>
        <v>169</v>
      </c>
      <c r="B170" s="105" t="s">
        <v>268</v>
      </c>
      <c r="C170" s="106" t="s">
        <v>714</v>
      </c>
      <c r="D170" s="107" t="s">
        <v>628</v>
      </c>
      <c r="E170" s="108" t="s">
        <v>703</v>
      </c>
      <c r="F170" s="108" t="s">
        <v>715</v>
      </c>
      <c r="G170" s="108" t="s">
        <v>716</v>
      </c>
      <c r="H170" s="105" t="s">
        <v>285</v>
      </c>
      <c r="I170" s="109">
        <v>3</v>
      </c>
      <c r="J170" s="109" t="s">
        <v>711</v>
      </c>
      <c r="K170" s="105" t="s">
        <v>276</v>
      </c>
      <c r="L170" s="107" t="str">
        <f ca="1">VLOOKUP($K170,OFFSET([1]character_type_i18n!$A$1,0,0,COUNTA([1]character_type_i18n!$A:$A),MATCH(L$1,[1]character_type_i18n!$1:$1,0)-MATCH($K$1,[1]character_type_i18n!$1:$1,0)+1),MATCH(L$1,[1]character_type_i18n!$1:$1,0)-MATCH($K$1,[1]character_type_i18n!$1:$1,0)+1,FALSE)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0" s="105" t="s">
        <v>517</v>
      </c>
      <c r="N170" s="107" t="str">
        <f>VLOOKUP(M170,[1]character_tribe_i18n!A:C,3,FALSE)</f>
        <v>ゴッド</v>
      </c>
      <c r="O170" s="105" t="s">
        <v>278</v>
      </c>
      <c r="P170" s="107" t="str">
        <f>VLOOKUP(O170,[1]character_tribe_i18n!A:C,3,FALSE)</f>
        <v>種族なし</v>
      </c>
      <c r="Q170" s="117" t="s">
        <v>717</v>
      </c>
      <c r="R170" s="111">
        <v>3</v>
      </c>
      <c r="S170" s="108" t="s">
        <v>718</v>
      </c>
      <c r="T170" s="108" t="s">
        <v>719</v>
      </c>
      <c r="U170" s="108" t="s">
        <v>718</v>
      </c>
      <c r="V170" s="108" t="s">
        <v>718</v>
      </c>
      <c r="W170" s="108" t="s">
        <v>718</v>
      </c>
    </row>
    <row r="171" spans="1:23" ht="21" customHeight="1" x14ac:dyDescent="0.15">
      <c r="A171" s="104">
        <f t="shared" si="2"/>
        <v>170</v>
      </c>
      <c r="B171" s="105" t="s">
        <v>268</v>
      </c>
      <c r="C171" s="106" t="s">
        <v>720</v>
      </c>
      <c r="D171" s="107" t="s">
        <v>628</v>
      </c>
      <c r="E171" s="108" t="s">
        <v>703</v>
      </c>
      <c r="F171" s="108" t="s">
        <v>715</v>
      </c>
      <c r="G171" s="108" t="s">
        <v>716</v>
      </c>
      <c r="H171" s="105" t="s">
        <v>285</v>
      </c>
      <c r="I171" s="109">
        <v>4</v>
      </c>
      <c r="J171" s="109" t="s">
        <v>711</v>
      </c>
      <c r="K171" s="105" t="s">
        <v>276</v>
      </c>
      <c r="L171" s="107" t="str">
        <f ca="1">VLOOKUP($K171,OFFSET([1]character_type_i18n!$A$1,0,0,COUNTA([1]character_type_i18n!$A:$A),MATCH(L$1,[1]character_type_i18n!$1:$1,0)-MATCH($K$1,[1]character_type_i18n!$1:$1,0)+1),MATCH(L$1,[1]character_type_i18n!$1:$1,0)-MATCH($K$1,[1]character_type_i18n!$1:$1,0)+1,FALSE)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1" s="105" t="s">
        <v>517</v>
      </c>
      <c r="N171" s="107" t="str">
        <f>VLOOKUP(M171,[1]character_tribe_i18n!A:C,3,FALSE)</f>
        <v>ゴッド</v>
      </c>
      <c r="O171" s="105" t="s">
        <v>278</v>
      </c>
      <c r="P171" s="107" t="str">
        <f>VLOOKUP(O171,[1]character_tribe_i18n!A:C,3,FALSE)</f>
        <v>種族なし</v>
      </c>
      <c r="Q171" s="117" t="s">
        <v>721</v>
      </c>
      <c r="R171" s="111">
        <v>3</v>
      </c>
      <c r="S171" s="108" t="s">
        <v>722</v>
      </c>
      <c r="T171" s="108" t="s">
        <v>281</v>
      </c>
      <c r="U171" s="108" t="s">
        <v>280</v>
      </c>
      <c r="V171" s="108" t="s">
        <v>722</v>
      </c>
      <c r="W171" s="108" t="s">
        <v>722</v>
      </c>
    </row>
    <row r="172" spans="1:23" ht="21" customHeight="1" x14ac:dyDescent="0.15">
      <c r="A172" s="104">
        <f t="shared" si="2"/>
        <v>171</v>
      </c>
      <c r="B172" s="105" t="s">
        <v>268</v>
      </c>
      <c r="C172" s="106" t="s">
        <v>723</v>
      </c>
      <c r="D172" s="107" t="s">
        <v>628</v>
      </c>
      <c r="E172" s="108" t="s">
        <v>709</v>
      </c>
      <c r="F172" s="108" t="s">
        <v>724</v>
      </c>
      <c r="G172" s="108" t="s">
        <v>725</v>
      </c>
      <c r="H172" s="105" t="s">
        <v>285</v>
      </c>
      <c r="I172" s="109">
        <v>5</v>
      </c>
      <c r="J172" s="109" t="s">
        <v>711</v>
      </c>
      <c r="K172" s="105" t="s">
        <v>276</v>
      </c>
      <c r="L172" s="107" t="str">
        <f ca="1">VLOOKUP($K172,OFFSET([1]character_type_i18n!$A$1,0,0,COUNTA([1]character_type_i18n!$A:$A),MATCH(L$1,[1]character_type_i18n!$1:$1,0)-MATCH($K$1,[1]character_type_i18n!$1:$1,0)+1),MATCH(L$1,[1]character_type_i18n!$1:$1,0)-MATCH($K$1,[1]character_type_i18n!$1:$1,0)+1,FALSE)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2" s="105" t="s">
        <v>517</v>
      </c>
      <c r="N172" s="107" t="str">
        <f>VLOOKUP(M172,[1]character_tribe_i18n!A:C,3,FALSE)</f>
        <v>ゴッド</v>
      </c>
      <c r="O172" s="105" t="s">
        <v>278</v>
      </c>
      <c r="P172" s="107" t="str">
        <f>VLOOKUP(O172,[1]character_tribe_i18n!A:C,3,FALSE)</f>
        <v>種族なし</v>
      </c>
      <c r="Q172" s="117" t="s">
        <v>726</v>
      </c>
      <c r="R172" s="111">
        <v>3</v>
      </c>
      <c r="S172" s="108" t="s">
        <v>700</v>
      </c>
      <c r="T172" s="108" t="s">
        <v>281</v>
      </c>
      <c r="U172" s="108" t="s">
        <v>280</v>
      </c>
      <c r="V172" s="108" t="s">
        <v>700</v>
      </c>
      <c r="W172" s="108" t="s">
        <v>700</v>
      </c>
    </row>
    <row r="173" spans="1:23" ht="21" customHeight="1" x14ac:dyDescent="0.15">
      <c r="A173" s="104">
        <f t="shared" si="2"/>
        <v>172</v>
      </c>
      <c r="B173" s="105" t="s">
        <v>268</v>
      </c>
      <c r="C173" s="106" t="s">
        <v>727</v>
      </c>
      <c r="D173" s="107" t="s">
        <v>628</v>
      </c>
      <c r="E173" s="108" t="s">
        <v>703</v>
      </c>
      <c r="F173" s="108" t="s">
        <v>660</v>
      </c>
      <c r="G173" s="108" t="s">
        <v>716</v>
      </c>
      <c r="H173" s="105" t="s">
        <v>295</v>
      </c>
      <c r="I173" s="109">
        <v>3</v>
      </c>
      <c r="J173" s="109" t="s">
        <v>711</v>
      </c>
      <c r="K173" s="105" t="s">
        <v>276</v>
      </c>
      <c r="L173" s="107" t="str">
        <f ca="1">VLOOKUP($K173,OFFSET([1]character_type_i18n!$A$1,0,0,COUNTA([1]character_type_i18n!$A:$A),MATCH(L$1,[1]character_type_i18n!$1:$1,0)-MATCH($K$1,[1]character_type_i18n!$1:$1,0)+1),MATCH(L$1,[1]character_type_i18n!$1:$1,0)-MATCH($K$1,[1]character_type_i18n!$1:$1,0)+1,FALSE)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3" s="105" t="s">
        <v>517</v>
      </c>
      <c r="N173" s="107" t="str">
        <f>VLOOKUP(M173,[1]character_tribe_i18n!A:C,3,FALSE)</f>
        <v>ゴッド</v>
      </c>
      <c r="O173" s="105" t="s">
        <v>278</v>
      </c>
      <c r="P173" s="107" t="str">
        <f>VLOOKUP(O173,[1]character_tribe_i18n!A:C,3,FALSE)</f>
        <v>種族なし</v>
      </c>
      <c r="Q173" s="117" t="s">
        <v>728</v>
      </c>
      <c r="R173" s="111">
        <v>3</v>
      </c>
      <c r="S173" s="108" t="s">
        <v>633</v>
      </c>
      <c r="T173" s="108" t="s">
        <v>634</v>
      </c>
      <c r="U173" s="108" t="s">
        <v>633</v>
      </c>
      <c r="V173" s="108" t="s">
        <v>633</v>
      </c>
      <c r="W173" s="108" t="s">
        <v>633</v>
      </c>
    </row>
    <row r="174" spans="1:23" ht="21" customHeight="1" x14ac:dyDescent="0.15">
      <c r="A174" s="104">
        <f t="shared" si="2"/>
        <v>173</v>
      </c>
      <c r="B174" s="105" t="s">
        <v>334</v>
      </c>
      <c r="C174" s="106" t="s">
        <v>729</v>
      </c>
      <c r="D174" s="107" t="s">
        <v>628</v>
      </c>
      <c r="E174" s="108" t="s">
        <v>703</v>
      </c>
      <c r="F174" s="108" t="s">
        <v>660</v>
      </c>
      <c r="G174" s="108" t="s">
        <v>716</v>
      </c>
      <c r="H174" s="105" t="s">
        <v>295</v>
      </c>
      <c r="I174" s="109">
        <v>4</v>
      </c>
      <c r="J174" s="109" t="s">
        <v>711</v>
      </c>
      <c r="K174" s="105" t="s">
        <v>276</v>
      </c>
      <c r="L174" s="107" t="str">
        <f ca="1">VLOOKUP($K174,OFFSET([1]character_type_i18n!$A$1,0,0,COUNTA([1]character_type_i18n!$A:$A),MATCH(L$1,[1]character_type_i18n!$1:$1,0)-MATCH($K$1,[1]character_type_i18n!$1:$1,0)+1),MATCH(L$1,[1]character_type_i18n!$1:$1,0)-MATCH($K$1,[1]character_type_i18n!$1:$1,0)+1,FALSE)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4" s="105" t="s">
        <v>517</v>
      </c>
      <c r="N174" s="107" t="str">
        <f>VLOOKUP(M174,[1]character_tribe_i18n!A:C,3,FALSE)</f>
        <v>ゴッド</v>
      </c>
      <c r="O174" s="105" t="s">
        <v>278</v>
      </c>
      <c r="P174" s="107" t="str">
        <f>VLOOKUP(O174,[1]character_tribe_i18n!A:C,3,FALSE)</f>
        <v>種族なし</v>
      </c>
      <c r="Q174" s="117" t="s">
        <v>707</v>
      </c>
      <c r="R174" s="111">
        <v>3</v>
      </c>
      <c r="S174" s="108" t="s">
        <v>280</v>
      </c>
      <c r="T174" s="108" t="s">
        <v>281</v>
      </c>
      <c r="U174" s="108" t="s">
        <v>280</v>
      </c>
      <c r="V174" s="108" t="s">
        <v>280</v>
      </c>
      <c r="W174" s="108" t="s">
        <v>280</v>
      </c>
    </row>
    <row r="175" spans="1:23" ht="21" customHeight="1" x14ac:dyDescent="0.15">
      <c r="A175" s="104">
        <f t="shared" si="2"/>
        <v>174</v>
      </c>
      <c r="B175" s="105" t="s">
        <v>268</v>
      </c>
      <c r="C175" s="106" t="s">
        <v>730</v>
      </c>
      <c r="D175" s="107" t="s">
        <v>628</v>
      </c>
      <c r="E175" s="108" t="s">
        <v>703</v>
      </c>
      <c r="F175" s="108" t="s">
        <v>660</v>
      </c>
      <c r="G175" s="108" t="s">
        <v>716</v>
      </c>
      <c r="H175" s="105" t="s">
        <v>295</v>
      </c>
      <c r="I175" s="109">
        <v>5</v>
      </c>
      <c r="J175" s="109" t="s">
        <v>711</v>
      </c>
      <c r="K175" s="105" t="s">
        <v>276</v>
      </c>
      <c r="L175" s="107" t="str">
        <f ca="1">VLOOKUP($K175,OFFSET([1]character_type_i18n!$A$1,0,0,COUNTA([1]character_type_i18n!$A:$A),MATCH(L$1,[1]character_type_i18n!$1:$1,0)-MATCH($K$1,[1]character_type_i18n!$1:$1,0)+1),MATCH(L$1,[1]character_type_i18n!$1:$1,0)-MATCH($K$1,[1]character_type_i18n!$1:$1,0)+1,FALSE)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5" s="105" t="s">
        <v>517</v>
      </c>
      <c r="N175" s="107" t="str">
        <f>VLOOKUP(M175,[1]character_tribe_i18n!A:C,3,FALSE)</f>
        <v>ゴッド</v>
      </c>
      <c r="O175" s="105" t="s">
        <v>278</v>
      </c>
      <c r="P175" s="107" t="str">
        <f>VLOOKUP(O175,[1]character_tribe_i18n!A:C,3,FALSE)</f>
        <v>種族なし</v>
      </c>
      <c r="Q175" s="117" t="s">
        <v>707</v>
      </c>
      <c r="R175" s="111">
        <v>3</v>
      </c>
      <c r="S175" s="108" t="s">
        <v>280</v>
      </c>
      <c r="T175" s="108" t="s">
        <v>281</v>
      </c>
      <c r="U175" s="108" t="s">
        <v>280</v>
      </c>
      <c r="V175" s="108" t="s">
        <v>280</v>
      </c>
      <c r="W175" s="108" t="s">
        <v>280</v>
      </c>
    </row>
    <row r="176" spans="1:23" ht="21" customHeight="1" x14ac:dyDescent="0.15">
      <c r="A176" s="104">
        <f t="shared" si="2"/>
        <v>175</v>
      </c>
      <c r="B176" s="105" t="s">
        <v>268</v>
      </c>
      <c r="C176" s="106" t="s">
        <v>731</v>
      </c>
      <c r="D176" s="107" t="s">
        <v>628</v>
      </c>
      <c r="E176" s="108" t="s">
        <v>703</v>
      </c>
      <c r="F176" s="108" t="s">
        <v>715</v>
      </c>
      <c r="G176" s="108" t="s">
        <v>716</v>
      </c>
      <c r="H176" s="105" t="s">
        <v>300</v>
      </c>
      <c r="I176" s="109">
        <v>3</v>
      </c>
      <c r="J176" s="109" t="s">
        <v>711</v>
      </c>
      <c r="K176" s="105" t="s">
        <v>276</v>
      </c>
      <c r="L176" s="107" t="str">
        <f ca="1">VLOOKUP($K176,OFFSET([1]character_type_i18n!$A$1,0,0,COUNTA([1]character_type_i18n!$A:$A),MATCH(L$1,[1]character_type_i18n!$1:$1,0)-MATCH($K$1,[1]character_type_i18n!$1:$1,0)+1),MATCH(L$1,[1]character_type_i18n!$1:$1,0)-MATCH($K$1,[1]character_type_i18n!$1:$1,0)+1,FALSE)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6" s="105" t="s">
        <v>517</v>
      </c>
      <c r="N176" s="107" t="str">
        <f>VLOOKUP(M176,[1]character_tribe_i18n!A:C,3,FALSE)</f>
        <v>ゴッド</v>
      </c>
      <c r="O176" s="105" t="s">
        <v>278</v>
      </c>
      <c r="P176" s="107" t="str">
        <f>VLOOKUP(O176,[1]character_tribe_i18n!A:C,3,FALSE)</f>
        <v>種族なし</v>
      </c>
      <c r="Q176" s="117" t="s">
        <v>707</v>
      </c>
      <c r="R176" s="111">
        <v>3</v>
      </c>
      <c r="S176" s="108" t="s">
        <v>280</v>
      </c>
      <c r="T176" s="108" t="s">
        <v>281</v>
      </c>
      <c r="U176" s="108" t="s">
        <v>280</v>
      </c>
      <c r="V176" s="108" t="s">
        <v>280</v>
      </c>
      <c r="W176" s="108" t="s">
        <v>280</v>
      </c>
    </row>
    <row r="177" spans="1:23" ht="21" customHeight="1" x14ac:dyDescent="0.15">
      <c r="A177" s="104">
        <f t="shared" si="2"/>
        <v>176</v>
      </c>
      <c r="B177" s="105" t="s">
        <v>268</v>
      </c>
      <c r="C177" s="106" t="s">
        <v>732</v>
      </c>
      <c r="D177" s="107" t="s">
        <v>628</v>
      </c>
      <c r="E177" s="108" t="s">
        <v>703</v>
      </c>
      <c r="F177" s="108" t="s">
        <v>715</v>
      </c>
      <c r="G177" s="108" t="s">
        <v>716</v>
      </c>
      <c r="H177" s="105" t="s">
        <v>300</v>
      </c>
      <c r="I177" s="109">
        <v>4</v>
      </c>
      <c r="J177" s="109" t="s">
        <v>711</v>
      </c>
      <c r="K177" s="105" t="s">
        <v>276</v>
      </c>
      <c r="L177" s="107" t="str">
        <f ca="1">VLOOKUP($K177,OFFSET([1]character_type_i18n!$A$1,0,0,COUNTA([1]character_type_i18n!$A:$A),MATCH(L$1,[1]character_type_i18n!$1:$1,0)-MATCH($K$1,[1]character_type_i18n!$1:$1,0)+1),MATCH(L$1,[1]character_type_i18n!$1:$1,0)-MATCH($K$1,[1]character_type_i18n!$1:$1,0)+1,FALSE)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7" s="105" t="s">
        <v>517</v>
      </c>
      <c r="N177" s="107" t="str">
        <f>VLOOKUP(M177,[1]character_tribe_i18n!A:C,3,FALSE)</f>
        <v>ゴッド</v>
      </c>
      <c r="O177" s="105" t="s">
        <v>278</v>
      </c>
      <c r="P177" s="107" t="str">
        <f>VLOOKUP(O177,[1]character_tribe_i18n!A:C,3,FALSE)</f>
        <v>種族なし</v>
      </c>
      <c r="Q177" s="117" t="s">
        <v>707</v>
      </c>
      <c r="R177" s="111">
        <v>3</v>
      </c>
      <c r="S177" s="108" t="s">
        <v>280</v>
      </c>
      <c r="T177" s="108" t="s">
        <v>281</v>
      </c>
      <c r="U177" s="108" t="s">
        <v>280</v>
      </c>
      <c r="V177" s="108" t="s">
        <v>280</v>
      </c>
      <c r="W177" s="108" t="s">
        <v>280</v>
      </c>
    </row>
    <row r="178" spans="1:23" ht="21" customHeight="1" x14ac:dyDescent="0.15">
      <c r="A178" s="104">
        <f t="shared" si="2"/>
        <v>177</v>
      </c>
      <c r="B178" s="105" t="s">
        <v>268</v>
      </c>
      <c r="C178" s="106" t="s">
        <v>733</v>
      </c>
      <c r="D178" s="107" t="s">
        <v>628</v>
      </c>
      <c r="E178" s="108" t="s">
        <v>703</v>
      </c>
      <c r="F178" s="108" t="s">
        <v>715</v>
      </c>
      <c r="G178" s="108" t="s">
        <v>716</v>
      </c>
      <c r="H178" s="105" t="s">
        <v>300</v>
      </c>
      <c r="I178" s="109">
        <v>5</v>
      </c>
      <c r="J178" s="109" t="s">
        <v>711</v>
      </c>
      <c r="K178" s="105" t="s">
        <v>276</v>
      </c>
      <c r="L178" s="107" t="str">
        <f ca="1">VLOOKUP($K178,OFFSET([1]character_type_i18n!$A$1,0,0,COUNTA([1]character_type_i18n!$A:$A),MATCH(L$1,[1]character_type_i18n!$1:$1,0)-MATCH($K$1,[1]character_type_i18n!$1:$1,0)+1),MATCH(L$1,[1]character_type_i18n!$1:$1,0)-MATCH($K$1,[1]character_type_i18n!$1:$1,0)+1,FALSE)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8" s="105" t="s">
        <v>517</v>
      </c>
      <c r="N178" s="107" t="str">
        <f>VLOOKUP(M178,[1]character_tribe_i18n!A:C,3,FALSE)</f>
        <v>ゴッド</v>
      </c>
      <c r="O178" s="105" t="s">
        <v>278</v>
      </c>
      <c r="P178" s="107" t="str">
        <f>VLOOKUP(O178,[1]character_tribe_i18n!A:C,3,FALSE)</f>
        <v>種族なし</v>
      </c>
      <c r="Q178" s="117" t="s">
        <v>707</v>
      </c>
      <c r="R178" s="111">
        <v>3</v>
      </c>
      <c r="S178" s="108" t="s">
        <v>280</v>
      </c>
      <c r="T178" s="108" t="s">
        <v>281</v>
      </c>
      <c r="U178" s="108" t="s">
        <v>280</v>
      </c>
      <c r="V178" s="108" t="s">
        <v>280</v>
      </c>
      <c r="W178" s="108" t="s">
        <v>280</v>
      </c>
    </row>
    <row r="179" spans="1:23" ht="21" customHeight="1" x14ac:dyDescent="0.15">
      <c r="A179" s="104">
        <f t="shared" si="2"/>
        <v>178</v>
      </c>
      <c r="B179" s="105" t="s">
        <v>268</v>
      </c>
      <c r="C179" s="106" t="s">
        <v>734</v>
      </c>
      <c r="D179" s="107" t="s">
        <v>628</v>
      </c>
      <c r="E179" s="108" t="s">
        <v>735</v>
      </c>
      <c r="F179" s="108" t="s">
        <v>660</v>
      </c>
      <c r="G179" s="108" t="s">
        <v>716</v>
      </c>
      <c r="H179" s="105" t="s">
        <v>274</v>
      </c>
      <c r="I179" s="109">
        <v>3</v>
      </c>
      <c r="J179" s="109" t="s">
        <v>711</v>
      </c>
      <c r="K179" s="105" t="s">
        <v>286</v>
      </c>
      <c r="L179" s="107" t="str">
        <f ca="1">VLOOKUP($K179,OFFSET([1]character_type_i18n!$A$1,0,0,COUNTA([1]character_type_i18n!$A:$A),MATCH(L$1,[1]character_type_i18n!$1:$1,0)-MATCH($K$1,[1]character_type_i18n!$1:$1,0)+1),MATCH(L$1,[1]character_type_i18n!$1:$1,0)-MATCH($K$1,[1]character_type_i18n!$1:$1,0)+1,FALSE)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79" s="105" t="s">
        <v>318</v>
      </c>
      <c r="N179" s="107" t="str">
        <f>VLOOKUP(M179,[1]character_tribe_i18n!A:C,3,FALSE)</f>
        <v>アニマル</v>
      </c>
      <c r="O179" s="105" t="s">
        <v>278</v>
      </c>
      <c r="P179" s="107" t="str">
        <f>VLOOKUP(O179,[1]character_tribe_i18n!A:C,3,FALSE)</f>
        <v>種族なし</v>
      </c>
      <c r="Q179" s="117" t="s">
        <v>654</v>
      </c>
      <c r="R179" s="111">
        <v>3</v>
      </c>
      <c r="S179" s="108" t="s">
        <v>280</v>
      </c>
      <c r="T179" s="108" t="s">
        <v>281</v>
      </c>
      <c r="U179" s="108" t="s">
        <v>280</v>
      </c>
      <c r="V179" s="108" t="s">
        <v>280</v>
      </c>
      <c r="W179" s="108" t="s">
        <v>280</v>
      </c>
    </row>
    <row r="180" spans="1:23" ht="21" customHeight="1" x14ac:dyDescent="0.15">
      <c r="A180" s="104">
        <f t="shared" si="2"/>
        <v>179</v>
      </c>
      <c r="B180" s="105" t="s">
        <v>268</v>
      </c>
      <c r="C180" s="106" t="s">
        <v>736</v>
      </c>
      <c r="D180" s="107" t="s">
        <v>628</v>
      </c>
      <c r="E180" s="108" t="s">
        <v>735</v>
      </c>
      <c r="F180" s="108" t="s">
        <v>660</v>
      </c>
      <c r="G180" s="108" t="s">
        <v>716</v>
      </c>
      <c r="H180" s="105" t="s">
        <v>274</v>
      </c>
      <c r="I180" s="109">
        <v>4</v>
      </c>
      <c r="J180" s="109" t="s">
        <v>711</v>
      </c>
      <c r="K180" s="105" t="s">
        <v>286</v>
      </c>
      <c r="L180" s="107" t="str">
        <f ca="1">VLOOKUP($K180,OFFSET([1]character_type_i18n!$A$1,0,0,COUNTA([1]character_type_i18n!$A:$A),MATCH(L$1,[1]character_type_i18n!$1:$1,0)-MATCH($K$1,[1]character_type_i18n!$1:$1,0)+1),MATCH(L$1,[1]character_type_i18n!$1:$1,0)-MATCH($K$1,[1]character_type_i18n!$1:$1,0)+1,FALSE)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80" s="105" t="s">
        <v>318</v>
      </c>
      <c r="N180" s="107" t="str">
        <f>VLOOKUP(M180,[1]character_tribe_i18n!A:C,3,FALSE)</f>
        <v>アニマル</v>
      </c>
      <c r="O180" s="105" t="s">
        <v>278</v>
      </c>
      <c r="P180" s="107" t="str">
        <f>VLOOKUP(O180,[1]character_tribe_i18n!A:C,3,FALSE)</f>
        <v>種族なし</v>
      </c>
      <c r="Q180" s="117" t="s">
        <v>654</v>
      </c>
      <c r="R180" s="111">
        <v>3</v>
      </c>
      <c r="S180" s="108" t="s">
        <v>280</v>
      </c>
      <c r="T180" s="108" t="s">
        <v>281</v>
      </c>
      <c r="U180" s="108" t="s">
        <v>280</v>
      </c>
      <c r="V180" s="108" t="s">
        <v>280</v>
      </c>
      <c r="W180" s="108" t="s">
        <v>280</v>
      </c>
    </row>
    <row r="181" spans="1:23" ht="21" customHeight="1" x14ac:dyDescent="0.15">
      <c r="A181" s="104">
        <f t="shared" si="2"/>
        <v>180</v>
      </c>
      <c r="B181" s="105" t="s">
        <v>268</v>
      </c>
      <c r="C181" s="106" t="s">
        <v>737</v>
      </c>
      <c r="D181" s="107" t="s">
        <v>628</v>
      </c>
      <c r="E181" s="108" t="s">
        <v>735</v>
      </c>
      <c r="F181" s="108" t="s">
        <v>660</v>
      </c>
      <c r="G181" s="108" t="s">
        <v>716</v>
      </c>
      <c r="H181" s="105" t="s">
        <v>274</v>
      </c>
      <c r="I181" s="109">
        <v>5</v>
      </c>
      <c r="J181" s="109" t="s">
        <v>711</v>
      </c>
      <c r="K181" s="105" t="s">
        <v>286</v>
      </c>
      <c r="L181" s="107" t="str">
        <f ca="1">VLOOKUP($K181,OFFSET([1]character_type_i18n!$A$1,0,0,COUNTA([1]character_type_i18n!$A:$A),MATCH(L$1,[1]character_type_i18n!$1:$1,0)-MATCH($K$1,[1]character_type_i18n!$1:$1,0)+1),MATCH(L$1,[1]character_type_i18n!$1:$1,0)-MATCH($K$1,[1]character_type_i18n!$1:$1,0)+1,FALSE)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81" s="105" t="s">
        <v>318</v>
      </c>
      <c r="N181" s="107" t="str">
        <f>VLOOKUP(M181,[1]character_tribe_i18n!A:C,3,FALSE)</f>
        <v>アニマル</v>
      </c>
      <c r="O181" s="105" t="s">
        <v>278</v>
      </c>
      <c r="P181" s="107" t="str">
        <f>VLOOKUP(O181,[1]character_tribe_i18n!A:C,3,FALSE)</f>
        <v>種族なし</v>
      </c>
      <c r="Q181" s="117" t="s">
        <v>654</v>
      </c>
      <c r="R181" s="111">
        <v>3</v>
      </c>
      <c r="S181" s="108" t="s">
        <v>280</v>
      </c>
      <c r="T181" s="108" t="s">
        <v>281</v>
      </c>
      <c r="U181" s="108" t="s">
        <v>280</v>
      </c>
      <c r="V181" s="108" t="s">
        <v>280</v>
      </c>
      <c r="W181" s="108" t="s">
        <v>280</v>
      </c>
    </row>
    <row r="182" spans="1:23" ht="21" customHeight="1" x14ac:dyDescent="0.15">
      <c r="A182" s="104">
        <f t="shared" si="2"/>
        <v>181</v>
      </c>
      <c r="B182" s="105" t="s">
        <v>268</v>
      </c>
      <c r="C182" s="106" t="s">
        <v>738</v>
      </c>
      <c r="D182" s="107" t="s">
        <v>628</v>
      </c>
      <c r="E182" s="108" t="s">
        <v>735</v>
      </c>
      <c r="F182" s="108" t="s">
        <v>660</v>
      </c>
      <c r="G182" s="108" t="s">
        <v>716</v>
      </c>
      <c r="H182" s="105" t="s">
        <v>285</v>
      </c>
      <c r="I182" s="109">
        <v>3</v>
      </c>
      <c r="J182" s="109" t="s">
        <v>711</v>
      </c>
      <c r="K182" s="105" t="s">
        <v>347</v>
      </c>
      <c r="L182" s="107" t="str">
        <f ca="1">VLOOKUP($K182,OFFSET([1]character_type_i18n!$A$1,0,0,COUNTA([1]character_type_i18n!$A:$A),MATCH(L$1,[1]character_type_i18n!$1:$1,0)-MATCH($K$1,[1]character_type_i18n!$1:$1,0)+1),MATCH(L$1,[1]character_type_i18n!$1:$1,0)-MATCH($K$1,[1]character_type_i18n!$1:$1,0)+1,FALSE)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82" s="105" t="s">
        <v>318</v>
      </c>
      <c r="N182" s="107" t="str">
        <f>VLOOKUP(M182,[1]character_tribe_i18n!A:C,3,FALSE)</f>
        <v>アニマル</v>
      </c>
      <c r="O182" s="105" t="s">
        <v>278</v>
      </c>
      <c r="P182" s="107" t="str">
        <f>VLOOKUP(O182,[1]character_tribe_i18n!A:C,3,FALSE)</f>
        <v>種族なし</v>
      </c>
      <c r="Q182" s="117" t="s">
        <v>739</v>
      </c>
      <c r="R182" s="111">
        <v>3</v>
      </c>
      <c r="S182" s="108" t="s">
        <v>289</v>
      </c>
      <c r="T182" s="108" t="s">
        <v>288</v>
      </c>
      <c r="U182" s="108" t="s">
        <v>289</v>
      </c>
      <c r="V182" s="108" t="s">
        <v>289</v>
      </c>
      <c r="W182" s="108" t="s">
        <v>289</v>
      </c>
    </row>
    <row r="183" spans="1:23" ht="21" customHeight="1" x14ac:dyDescent="0.15">
      <c r="A183" s="104">
        <f t="shared" si="2"/>
        <v>182</v>
      </c>
      <c r="B183" s="105" t="s">
        <v>292</v>
      </c>
      <c r="C183" s="106" t="s">
        <v>740</v>
      </c>
      <c r="D183" s="107" t="s">
        <v>628</v>
      </c>
      <c r="E183" s="108" t="s">
        <v>735</v>
      </c>
      <c r="F183" s="108" t="s">
        <v>660</v>
      </c>
      <c r="G183" s="108" t="s">
        <v>716</v>
      </c>
      <c r="H183" s="105" t="s">
        <v>285</v>
      </c>
      <c r="I183" s="109">
        <v>4</v>
      </c>
      <c r="J183" s="109" t="s">
        <v>711</v>
      </c>
      <c r="K183" s="105" t="s">
        <v>347</v>
      </c>
      <c r="L183" s="107" t="str">
        <f ca="1">VLOOKUP($K183,OFFSET([1]character_type_i18n!$A$1,0,0,COUNTA([1]character_type_i18n!$A:$A),MATCH(L$1,[1]character_type_i18n!$1:$1,0)-MATCH($K$1,[1]character_type_i18n!$1:$1,0)+1),MATCH(L$1,[1]character_type_i18n!$1:$1,0)-MATCH($K$1,[1]character_type_i18n!$1:$1,0)+1,FALSE)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83" s="105" t="s">
        <v>318</v>
      </c>
      <c r="N183" s="107" t="str">
        <f>VLOOKUP(M183,[1]character_tribe_i18n!A:C,3,FALSE)</f>
        <v>アニマル</v>
      </c>
      <c r="O183" s="105" t="s">
        <v>278</v>
      </c>
      <c r="P183" s="107" t="str">
        <f>VLOOKUP(O183,[1]character_tribe_i18n!A:C,3,FALSE)</f>
        <v>種族なし</v>
      </c>
      <c r="Q183" s="117" t="s">
        <v>739</v>
      </c>
      <c r="R183" s="111">
        <v>3</v>
      </c>
      <c r="S183" s="108" t="s">
        <v>289</v>
      </c>
      <c r="T183" s="108" t="s">
        <v>288</v>
      </c>
      <c r="U183" s="108" t="s">
        <v>289</v>
      </c>
      <c r="V183" s="108" t="s">
        <v>289</v>
      </c>
      <c r="W183" s="108" t="s">
        <v>289</v>
      </c>
    </row>
    <row r="184" spans="1:23" ht="21" customHeight="1" x14ac:dyDescent="0.15">
      <c r="A184" s="104">
        <f t="shared" si="2"/>
        <v>183</v>
      </c>
      <c r="B184" s="105" t="s">
        <v>292</v>
      </c>
      <c r="C184" s="106" t="s">
        <v>741</v>
      </c>
      <c r="D184" s="107" t="s">
        <v>628</v>
      </c>
      <c r="E184" s="108" t="s">
        <v>735</v>
      </c>
      <c r="F184" s="108" t="s">
        <v>660</v>
      </c>
      <c r="G184" s="108" t="s">
        <v>716</v>
      </c>
      <c r="H184" s="105" t="s">
        <v>285</v>
      </c>
      <c r="I184" s="109">
        <v>5</v>
      </c>
      <c r="J184" s="109" t="s">
        <v>711</v>
      </c>
      <c r="K184" s="105" t="s">
        <v>347</v>
      </c>
      <c r="L184" s="107" t="str">
        <f ca="1">VLOOKUP($K184,OFFSET([1]character_type_i18n!$A$1,0,0,COUNTA([1]character_type_i18n!$A:$A),MATCH(L$1,[1]character_type_i18n!$1:$1,0)-MATCH($K$1,[1]character_type_i18n!$1:$1,0)+1),MATCH(L$1,[1]character_type_i18n!$1:$1,0)-MATCH($K$1,[1]character_type_i18n!$1:$1,0)+1,FALSE)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84" s="105" t="s">
        <v>318</v>
      </c>
      <c r="N184" s="107" t="str">
        <f>VLOOKUP(M184,[1]character_tribe_i18n!A:C,3,FALSE)</f>
        <v>アニマル</v>
      </c>
      <c r="O184" s="105" t="s">
        <v>278</v>
      </c>
      <c r="P184" s="107" t="str">
        <f>VLOOKUP(O184,[1]character_tribe_i18n!A:C,3,FALSE)</f>
        <v>種族なし</v>
      </c>
      <c r="Q184" s="117" t="s">
        <v>739</v>
      </c>
      <c r="R184" s="111">
        <v>3</v>
      </c>
      <c r="S184" s="108" t="s">
        <v>289</v>
      </c>
      <c r="T184" s="108" t="s">
        <v>288</v>
      </c>
      <c r="U184" s="108" t="s">
        <v>289</v>
      </c>
      <c r="V184" s="108" t="s">
        <v>289</v>
      </c>
      <c r="W184" s="108" t="s">
        <v>289</v>
      </c>
    </row>
    <row r="185" spans="1:23" ht="21" customHeight="1" x14ac:dyDescent="0.15">
      <c r="A185" s="104">
        <f t="shared" si="2"/>
        <v>184</v>
      </c>
      <c r="B185" s="105" t="s">
        <v>292</v>
      </c>
      <c r="C185" s="106" t="s">
        <v>742</v>
      </c>
      <c r="D185" s="107" t="s">
        <v>628</v>
      </c>
      <c r="E185" s="108" t="s">
        <v>743</v>
      </c>
      <c r="F185" s="108" t="s">
        <v>724</v>
      </c>
      <c r="G185" s="108" t="s">
        <v>725</v>
      </c>
      <c r="H185" s="105" t="s">
        <v>295</v>
      </c>
      <c r="I185" s="109">
        <v>3</v>
      </c>
      <c r="J185" s="109" t="s">
        <v>711</v>
      </c>
      <c r="K185" s="105" t="s">
        <v>296</v>
      </c>
      <c r="L185" s="107" t="str">
        <f ca="1">VLOOKUP($K185,OFFSET([1]character_type_i18n!$A$1,0,0,COUNTA([1]character_type_i18n!$A:$A),MATCH(L$1,[1]character_type_i18n!$1:$1,0)-MATCH($K$1,[1]character_type_i18n!$1:$1,0)+1),MATCH(L$1,[1]character_type_i18n!$1:$1,0)-MATCH($K$1,[1]character_type_i18n!$1:$1,0)+1,FALSE)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85" s="105" t="s">
        <v>318</v>
      </c>
      <c r="N185" s="107" t="str">
        <f>VLOOKUP(M185,[1]character_tribe_i18n!A:C,3,FALSE)</f>
        <v>アニマル</v>
      </c>
      <c r="O185" s="105" t="s">
        <v>278</v>
      </c>
      <c r="P185" s="107" t="str">
        <f>VLOOKUP(O185,[1]character_tribe_i18n!A:C,3,FALSE)</f>
        <v>種族なし</v>
      </c>
      <c r="Q185" s="117" t="s">
        <v>739</v>
      </c>
      <c r="R185" s="111">
        <v>3</v>
      </c>
      <c r="S185" s="108" t="s">
        <v>289</v>
      </c>
      <c r="T185" s="108" t="s">
        <v>288</v>
      </c>
      <c r="U185" s="108" t="s">
        <v>289</v>
      </c>
      <c r="V185" s="108" t="s">
        <v>289</v>
      </c>
      <c r="W185" s="108" t="s">
        <v>289</v>
      </c>
    </row>
    <row r="186" spans="1:23" ht="21" customHeight="1" x14ac:dyDescent="0.15">
      <c r="A186" s="104">
        <f t="shared" si="2"/>
        <v>185</v>
      </c>
      <c r="B186" s="105" t="s">
        <v>691</v>
      </c>
      <c r="C186" s="106" t="s">
        <v>744</v>
      </c>
      <c r="D186" s="107" t="s">
        <v>628</v>
      </c>
      <c r="E186" s="108" t="s">
        <v>735</v>
      </c>
      <c r="F186" s="108" t="s">
        <v>715</v>
      </c>
      <c r="G186" s="108" t="s">
        <v>716</v>
      </c>
      <c r="H186" s="105" t="s">
        <v>295</v>
      </c>
      <c r="I186" s="109">
        <v>4</v>
      </c>
      <c r="J186" s="109" t="s">
        <v>711</v>
      </c>
      <c r="K186" s="105" t="s">
        <v>296</v>
      </c>
      <c r="L186" s="107" t="str">
        <f ca="1">VLOOKUP($K186,OFFSET([1]character_type_i18n!$A$1,0,0,COUNTA([1]character_type_i18n!$A:$A),MATCH(L$1,[1]character_type_i18n!$1:$1,0)-MATCH($K$1,[1]character_type_i18n!$1:$1,0)+1),MATCH(L$1,[1]character_type_i18n!$1:$1,0)-MATCH($K$1,[1]character_type_i18n!$1:$1,0)+1,FALSE)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86" s="105" t="s">
        <v>318</v>
      </c>
      <c r="N186" s="107" t="str">
        <f>VLOOKUP(M186,[1]character_tribe_i18n!A:C,3,FALSE)</f>
        <v>アニマル</v>
      </c>
      <c r="O186" s="105" t="s">
        <v>278</v>
      </c>
      <c r="P186" s="107" t="str">
        <f>VLOOKUP(O186,[1]character_tribe_i18n!A:C,3,FALSE)</f>
        <v>種族なし</v>
      </c>
      <c r="Q186" s="117" t="s">
        <v>739</v>
      </c>
      <c r="R186" s="111">
        <v>3</v>
      </c>
      <c r="S186" s="108" t="s">
        <v>289</v>
      </c>
      <c r="T186" s="108" t="s">
        <v>288</v>
      </c>
      <c r="U186" s="108" t="s">
        <v>289</v>
      </c>
      <c r="V186" s="108" t="s">
        <v>289</v>
      </c>
      <c r="W186" s="108" t="s">
        <v>289</v>
      </c>
    </row>
    <row r="187" spans="1:23" ht="21" customHeight="1" x14ac:dyDescent="0.15">
      <c r="A187" s="104">
        <f t="shared" si="2"/>
        <v>186</v>
      </c>
      <c r="B187" s="105" t="s">
        <v>292</v>
      </c>
      <c r="C187" s="106" t="s">
        <v>745</v>
      </c>
      <c r="D187" s="107" t="s">
        <v>628</v>
      </c>
      <c r="E187" s="108" t="s">
        <v>735</v>
      </c>
      <c r="F187" s="108" t="s">
        <v>715</v>
      </c>
      <c r="G187" s="108" t="s">
        <v>716</v>
      </c>
      <c r="H187" s="105" t="s">
        <v>295</v>
      </c>
      <c r="I187" s="109">
        <v>5</v>
      </c>
      <c r="J187" s="109" t="s">
        <v>711</v>
      </c>
      <c r="K187" s="105" t="s">
        <v>296</v>
      </c>
      <c r="L187" s="107" t="str">
        <f ca="1">VLOOKUP($K187,OFFSET([1]character_type_i18n!$A$1,0,0,COUNTA([1]character_type_i18n!$A:$A),MATCH(L$1,[1]character_type_i18n!$1:$1,0)-MATCH($K$1,[1]character_type_i18n!$1:$1,0)+1),MATCH(L$1,[1]character_type_i18n!$1:$1,0)-MATCH($K$1,[1]character_type_i18n!$1:$1,0)+1,FALSE)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87" s="105" t="s">
        <v>318</v>
      </c>
      <c r="N187" s="107" t="str">
        <f>VLOOKUP(M187,[1]character_tribe_i18n!A:C,3,FALSE)</f>
        <v>アニマル</v>
      </c>
      <c r="O187" s="105" t="s">
        <v>278</v>
      </c>
      <c r="P187" s="107" t="str">
        <f>VLOOKUP(O187,[1]character_tribe_i18n!A:C,3,FALSE)</f>
        <v>種族なし</v>
      </c>
      <c r="Q187" s="117" t="s">
        <v>739</v>
      </c>
      <c r="R187" s="111">
        <v>3</v>
      </c>
      <c r="S187" s="108" t="s">
        <v>289</v>
      </c>
      <c r="T187" s="108" t="s">
        <v>288</v>
      </c>
      <c r="U187" s="108" t="s">
        <v>289</v>
      </c>
      <c r="V187" s="108" t="s">
        <v>289</v>
      </c>
      <c r="W187" s="108" t="s">
        <v>289</v>
      </c>
    </row>
    <row r="188" spans="1:23" ht="21" customHeight="1" x14ac:dyDescent="0.15">
      <c r="A188" s="104">
        <f t="shared" si="2"/>
        <v>187</v>
      </c>
      <c r="B188" s="105" t="s">
        <v>292</v>
      </c>
      <c r="C188" s="106" t="s">
        <v>746</v>
      </c>
      <c r="D188" s="107" t="s">
        <v>628</v>
      </c>
      <c r="E188" s="108" t="s">
        <v>735</v>
      </c>
      <c r="F188" s="108" t="s">
        <v>715</v>
      </c>
      <c r="G188" s="108" t="s">
        <v>716</v>
      </c>
      <c r="H188" s="105" t="s">
        <v>300</v>
      </c>
      <c r="I188" s="109">
        <v>3</v>
      </c>
      <c r="J188" s="109" t="s">
        <v>711</v>
      </c>
      <c r="K188" s="105" t="s">
        <v>276</v>
      </c>
      <c r="L188" s="107" t="str">
        <f ca="1">VLOOKUP($K188,OFFSET([1]character_type_i18n!$A$1,0,0,COUNTA([1]character_type_i18n!$A:$A),MATCH(L$1,[1]character_type_i18n!$1:$1,0)-MATCH($K$1,[1]character_type_i18n!$1:$1,0)+1),MATCH(L$1,[1]character_type_i18n!$1:$1,0)-MATCH($K$1,[1]character_type_i18n!$1:$1,0)+1,FALSE)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88" s="105" t="s">
        <v>318</v>
      </c>
      <c r="N188" s="107" t="str">
        <f>VLOOKUP(M188,[1]character_tribe_i18n!A:C,3,FALSE)</f>
        <v>アニマル</v>
      </c>
      <c r="O188" s="105" t="s">
        <v>278</v>
      </c>
      <c r="P188" s="107" t="str">
        <f>VLOOKUP(O188,[1]character_tribe_i18n!A:C,3,FALSE)</f>
        <v>種族なし</v>
      </c>
      <c r="Q188" s="117" t="s">
        <v>654</v>
      </c>
      <c r="R188" s="111">
        <v>3</v>
      </c>
      <c r="S188" s="108" t="s">
        <v>280</v>
      </c>
      <c r="T188" s="108" t="s">
        <v>281</v>
      </c>
      <c r="U188" s="108" t="s">
        <v>280</v>
      </c>
      <c r="V188" s="108" t="s">
        <v>280</v>
      </c>
      <c r="W188" s="108" t="s">
        <v>280</v>
      </c>
    </row>
    <row r="189" spans="1:23" ht="21" customHeight="1" x14ac:dyDescent="0.15">
      <c r="A189" s="104">
        <f t="shared" si="2"/>
        <v>188</v>
      </c>
      <c r="B189" s="105" t="s">
        <v>268</v>
      </c>
      <c r="C189" s="106" t="s">
        <v>747</v>
      </c>
      <c r="D189" s="107" t="s">
        <v>628</v>
      </c>
      <c r="E189" s="108" t="s">
        <v>735</v>
      </c>
      <c r="F189" s="108" t="s">
        <v>715</v>
      </c>
      <c r="G189" s="108" t="s">
        <v>716</v>
      </c>
      <c r="H189" s="105" t="s">
        <v>300</v>
      </c>
      <c r="I189" s="109">
        <v>4</v>
      </c>
      <c r="J189" s="109" t="s">
        <v>711</v>
      </c>
      <c r="K189" s="105" t="s">
        <v>276</v>
      </c>
      <c r="L189" s="107" t="str">
        <f ca="1">VLOOKUP($K189,OFFSET([1]character_type_i18n!$A$1,0,0,COUNTA([1]character_type_i18n!$A:$A),MATCH(L$1,[1]character_type_i18n!$1:$1,0)-MATCH($K$1,[1]character_type_i18n!$1:$1,0)+1),MATCH(L$1,[1]character_type_i18n!$1:$1,0)-MATCH($K$1,[1]character_type_i18n!$1:$1,0)+1,FALSE)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89" s="105" t="s">
        <v>318</v>
      </c>
      <c r="N189" s="107" t="str">
        <f>VLOOKUP(M189,[1]character_tribe_i18n!A:C,3,FALSE)</f>
        <v>アニマル</v>
      </c>
      <c r="O189" s="105" t="s">
        <v>278</v>
      </c>
      <c r="P189" s="107" t="str">
        <f>VLOOKUP(O189,[1]character_tribe_i18n!A:C,3,FALSE)</f>
        <v>種族なし</v>
      </c>
      <c r="Q189" s="117" t="s">
        <v>739</v>
      </c>
      <c r="R189" s="111">
        <v>3</v>
      </c>
      <c r="S189" s="108" t="s">
        <v>289</v>
      </c>
      <c r="T189" s="108" t="s">
        <v>288</v>
      </c>
      <c r="U189" s="108" t="s">
        <v>289</v>
      </c>
      <c r="V189" s="108" t="s">
        <v>289</v>
      </c>
      <c r="W189" s="108" t="s">
        <v>289</v>
      </c>
    </row>
    <row r="190" spans="1:23" ht="21" customHeight="1" x14ac:dyDescent="0.15">
      <c r="A190" s="104">
        <f t="shared" si="2"/>
        <v>189</v>
      </c>
      <c r="B190" s="105" t="s">
        <v>292</v>
      </c>
      <c r="C190" s="106" t="s">
        <v>748</v>
      </c>
      <c r="D190" s="107" t="s">
        <v>628</v>
      </c>
      <c r="E190" s="108" t="s">
        <v>735</v>
      </c>
      <c r="F190" s="108" t="s">
        <v>715</v>
      </c>
      <c r="G190" s="108" t="s">
        <v>716</v>
      </c>
      <c r="H190" s="105" t="s">
        <v>300</v>
      </c>
      <c r="I190" s="109">
        <v>5</v>
      </c>
      <c r="J190" s="109" t="s">
        <v>711</v>
      </c>
      <c r="K190" s="105" t="s">
        <v>276</v>
      </c>
      <c r="L190" s="107" t="str">
        <f ca="1">VLOOKUP($K190,OFFSET([1]character_type_i18n!$A$1,0,0,COUNTA([1]character_type_i18n!$A:$A),MATCH(L$1,[1]character_type_i18n!$1:$1,0)-MATCH($K$1,[1]character_type_i18n!$1:$1,0)+1),MATCH(L$1,[1]character_type_i18n!$1:$1,0)-MATCH($K$1,[1]character_type_i18n!$1:$1,0)+1,FALSE)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90" s="105" t="s">
        <v>318</v>
      </c>
      <c r="N190" s="107" t="str">
        <f>VLOOKUP(M190,[1]character_tribe_i18n!A:C,3,FALSE)</f>
        <v>アニマル</v>
      </c>
      <c r="O190" s="105" t="s">
        <v>278</v>
      </c>
      <c r="P190" s="107" t="str">
        <f>VLOOKUP(O190,[1]character_tribe_i18n!A:C,3,FALSE)</f>
        <v>種族なし</v>
      </c>
      <c r="Q190" s="117" t="s">
        <v>654</v>
      </c>
      <c r="R190" s="111">
        <v>3</v>
      </c>
      <c r="S190" s="108" t="s">
        <v>280</v>
      </c>
      <c r="T190" s="108" t="s">
        <v>281</v>
      </c>
      <c r="U190" s="108" t="s">
        <v>280</v>
      </c>
      <c r="V190" s="108" t="s">
        <v>280</v>
      </c>
      <c r="W190" s="108" t="s">
        <v>280</v>
      </c>
    </row>
    <row r="191" spans="1:23" ht="21" customHeight="1" x14ac:dyDescent="0.15">
      <c r="A191" s="104">
        <f t="shared" si="2"/>
        <v>190</v>
      </c>
      <c r="B191" s="105" t="s">
        <v>268</v>
      </c>
      <c r="C191" s="106" t="s">
        <v>749</v>
      </c>
      <c r="D191" s="107" t="s">
        <v>628</v>
      </c>
      <c r="E191" s="108" t="s">
        <v>750</v>
      </c>
      <c r="F191" s="108" t="s">
        <v>715</v>
      </c>
      <c r="G191" s="108" t="s">
        <v>716</v>
      </c>
      <c r="H191" s="105" t="s">
        <v>274</v>
      </c>
      <c r="I191" s="109">
        <v>3</v>
      </c>
      <c r="J191" s="109" t="s">
        <v>711</v>
      </c>
      <c r="K191" s="105" t="s">
        <v>286</v>
      </c>
      <c r="L191" s="107" t="str">
        <f ca="1">VLOOKUP($K191,OFFSET([1]character_type_i18n!$A$1,0,0,COUNTA([1]character_type_i18n!$A:$A),MATCH(L$1,[1]character_type_i18n!$1:$1,0)-MATCH($K$1,[1]character_type_i18n!$1:$1,0)+1),MATCH(L$1,[1]character_type_i18n!$1:$1,0)-MATCH($K$1,[1]character_type_i18n!$1:$1,0)+1,FALSE)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1" s="105" t="s">
        <v>332</v>
      </c>
      <c r="N191" s="107" t="str">
        <f>VLOOKUP(M191,[1]character_tribe_i18n!A:C,3,FALSE)</f>
        <v>ヒューマン</v>
      </c>
      <c r="O191" s="105" t="s">
        <v>278</v>
      </c>
      <c r="P191" s="107" t="str">
        <f>VLOOKUP(O191,[1]character_tribe_i18n!A:C,3,FALSE)</f>
        <v>種族なし</v>
      </c>
      <c r="Q191" s="117" t="s">
        <v>739</v>
      </c>
      <c r="R191" s="111">
        <v>3</v>
      </c>
      <c r="S191" s="108" t="s">
        <v>289</v>
      </c>
      <c r="T191" s="108" t="s">
        <v>288</v>
      </c>
      <c r="U191" s="108" t="s">
        <v>289</v>
      </c>
      <c r="V191" s="108" t="s">
        <v>289</v>
      </c>
      <c r="W191" s="108" t="s">
        <v>289</v>
      </c>
    </row>
    <row r="192" spans="1:23" ht="21" customHeight="1" x14ac:dyDescent="0.15">
      <c r="A192" s="104">
        <f t="shared" si="2"/>
        <v>191</v>
      </c>
      <c r="B192" s="105" t="s">
        <v>292</v>
      </c>
      <c r="C192" s="106" t="s">
        <v>751</v>
      </c>
      <c r="D192" s="107" t="s">
        <v>628</v>
      </c>
      <c r="E192" s="108" t="s">
        <v>750</v>
      </c>
      <c r="F192" s="108" t="s">
        <v>715</v>
      </c>
      <c r="G192" s="108" t="s">
        <v>716</v>
      </c>
      <c r="H192" s="105" t="s">
        <v>274</v>
      </c>
      <c r="I192" s="109">
        <v>4</v>
      </c>
      <c r="J192" s="109" t="s">
        <v>711</v>
      </c>
      <c r="K192" s="105" t="s">
        <v>286</v>
      </c>
      <c r="L192" s="107" t="str">
        <f ca="1">VLOOKUP($K192,OFFSET([1]character_type_i18n!$A$1,0,0,COUNTA([1]character_type_i18n!$A:$A),MATCH(L$1,[1]character_type_i18n!$1:$1,0)-MATCH($K$1,[1]character_type_i18n!$1:$1,0)+1),MATCH(L$1,[1]character_type_i18n!$1:$1,0)-MATCH($K$1,[1]character_type_i18n!$1:$1,0)+1,FALSE)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2" s="105" t="s">
        <v>332</v>
      </c>
      <c r="N192" s="107" t="str">
        <f>VLOOKUP(M192,[1]character_tribe_i18n!A:C,3,FALSE)</f>
        <v>ヒューマン</v>
      </c>
      <c r="O192" s="105" t="s">
        <v>278</v>
      </c>
      <c r="P192" s="107" t="str">
        <f>VLOOKUP(O192,[1]character_tribe_i18n!A:C,3,FALSE)</f>
        <v>種族なし</v>
      </c>
      <c r="Q192" s="117" t="s">
        <v>654</v>
      </c>
      <c r="R192" s="111">
        <v>3</v>
      </c>
      <c r="S192" s="108" t="s">
        <v>280</v>
      </c>
      <c r="T192" s="108" t="s">
        <v>281</v>
      </c>
      <c r="U192" s="108" t="s">
        <v>280</v>
      </c>
      <c r="V192" s="108" t="s">
        <v>280</v>
      </c>
      <c r="W192" s="108" t="s">
        <v>280</v>
      </c>
    </row>
    <row r="193" spans="1:23" ht="21" customHeight="1" x14ac:dyDescent="0.15">
      <c r="A193" s="104">
        <f t="shared" si="2"/>
        <v>192</v>
      </c>
      <c r="B193" s="105" t="s">
        <v>268</v>
      </c>
      <c r="C193" s="106" t="s">
        <v>752</v>
      </c>
      <c r="D193" s="107" t="s">
        <v>628</v>
      </c>
      <c r="E193" s="108" t="s">
        <v>750</v>
      </c>
      <c r="F193" s="108" t="s">
        <v>715</v>
      </c>
      <c r="G193" s="108" t="s">
        <v>716</v>
      </c>
      <c r="H193" s="105" t="s">
        <v>274</v>
      </c>
      <c r="I193" s="109">
        <v>5</v>
      </c>
      <c r="J193" s="109" t="s">
        <v>711</v>
      </c>
      <c r="K193" s="105" t="s">
        <v>286</v>
      </c>
      <c r="L193" s="107" t="str">
        <f ca="1">VLOOKUP($K193,OFFSET([1]character_type_i18n!$A$1,0,0,COUNTA([1]character_type_i18n!$A:$A),MATCH(L$1,[1]character_type_i18n!$1:$1,0)-MATCH($K$1,[1]character_type_i18n!$1:$1,0)+1),MATCH(L$1,[1]character_type_i18n!$1:$1,0)-MATCH($K$1,[1]character_type_i18n!$1:$1,0)+1,FALSE)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3" s="105" t="s">
        <v>332</v>
      </c>
      <c r="N193" s="107" t="str">
        <f>VLOOKUP(M193,[1]character_tribe_i18n!A:C,3,FALSE)</f>
        <v>ヒューマン</v>
      </c>
      <c r="O193" s="105" t="s">
        <v>278</v>
      </c>
      <c r="P193" s="107" t="str">
        <f>VLOOKUP(O193,[1]character_tribe_i18n!A:C,3,FALSE)</f>
        <v>種族なし</v>
      </c>
      <c r="Q193" s="117" t="s">
        <v>654</v>
      </c>
      <c r="R193" s="111">
        <v>3</v>
      </c>
      <c r="S193" s="108" t="s">
        <v>280</v>
      </c>
      <c r="T193" s="108" t="s">
        <v>281</v>
      </c>
      <c r="U193" s="108" t="s">
        <v>280</v>
      </c>
      <c r="V193" s="108" t="s">
        <v>280</v>
      </c>
      <c r="W193" s="108" t="s">
        <v>280</v>
      </c>
    </row>
    <row r="194" spans="1:23" ht="21" customHeight="1" x14ac:dyDescent="0.15">
      <c r="A194" s="104">
        <f t="shared" si="2"/>
        <v>193</v>
      </c>
      <c r="B194" s="105" t="s">
        <v>268</v>
      </c>
      <c r="C194" s="106" t="s">
        <v>753</v>
      </c>
      <c r="D194" s="107" t="s">
        <v>628</v>
      </c>
      <c r="E194" s="108" t="s">
        <v>750</v>
      </c>
      <c r="F194" s="108" t="s">
        <v>660</v>
      </c>
      <c r="G194" s="108" t="s">
        <v>716</v>
      </c>
      <c r="H194" s="105" t="s">
        <v>285</v>
      </c>
      <c r="I194" s="109">
        <v>3</v>
      </c>
      <c r="J194" s="109" t="s">
        <v>711</v>
      </c>
      <c r="K194" s="105" t="s">
        <v>286</v>
      </c>
      <c r="L194" s="107" t="str">
        <f ca="1">VLOOKUP($K194,OFFSET([1]character_type_i18n!$A$1,0,0,COUNTA([1]character_type_i18n!$A:$A),MATCH(L$1,[1]character_type_i18n!$1:$1,0)-MATCH($K$1,[1]character_type_i18n!$1:$1,0)+1),MATCH(L$1,[1]character_type_i18n!$1:$1,0)-MATCH($K$1,[1]character_type_i18n!$1:$1,0)+1,FALSE)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4" s="105" t="s">
        <v>332</v>
      </c>
      <c r="N194" s="107" t="str">
        <f>VLOOKUP(M194,[1]character_tribe_i18n!A:C,3,FALSE)</f>
        <v>ヒューマン</v>
      </c>
      <c r="O194" s="105" t="s">
        <v>278</v>
      </c>
      <c r="P194" s="107" t="str">
        <f>VLOOKUP(O194,[1]character_tribe_i18n!A:C,3,FALSE)</f>
        <v>種族なし</v>
      </c>
      <c r="Q194" s="117" t="s">
        <v>654</v>
      </c>
      <c r="R194" s="111">
        <v>3</v>
      </c>
      <c r="S194" s="108" t="s">
        <v>280</v>
      </c>
      <c r="T194" s="108" t="s">
        <v>281</v>
      </c>
      <c r="U194" s="108" t="s">
        <v>280</v>
      </c>
      <c r="V194" s="108" t="s">
        <v>280</v>
      </c>
      <c r="W194" s="108" t="s">
        <v>280</v>
      </c>
    </row>
    <row r="195" spans="1:23" ht="21" customHeight="1" x14ac:dyDescent="0.15">
      <c r="A195" s="104">
        <f t="shared" ref="A195:A258" si="3">ROW()-1</f>
        <v>194</v>
      </c>
      <c r="B195" s="105" t="s">
        <v>292</v>
      </c>
      <c r="C195" s="106" t="s">
        <v>754</v>
      </c>
      <c r="D195" s="107" t="s">
        <v>628</v>
      </c>
      <c r="E195" s="108" t="s">
        <v>750</v>
      </c>
      <c r="F195" s="108" t="s">
        <v>660</v>
      </c>
      <c r="G195" s="108" t="s">
        <v>716</v>
      </c>
      <c r="H195" s="105" t="s">
        <v>285</v>
      </c>
      <c r="I195" s="109">
        <v>4</v>
      </c>
      <c r="J195" s="109" t="s">
        <v>711</v>
      </c>
      <c r="K195" s="105" t="s">
        <v>286</v>
      </c>
      <c r="L195" s="107" t="str">
        <f ca="1">VLOOKUP($K195,OFFSET([1]character_type_i18n!$A$1,0,0,COUNTA([1]character_type_i18n!$A:$A),MATCH(L$1,[1]character_type_i18n!$1:$1,0)-MATCH($K$1,[1]character_type_i18n!$1:$1,0)+1),MATCH(L$1,[1]character_type_i18n!$1:$1,0)-MATCH($K$1,[1]character_type_i18n!$1:$1,0)+1,FALSE)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5" s="105" t="s">
        <v>332</v>
      </c>
      <c r="N195" s="107" t="str">
        <f>VLOOKUP(M195,[1]character_tribe_i18n!A:C,3,FALSE)</f>
        <v>ヒューマン</v>
      </c>
      <c r="O195" s="105" t="s">
        <v>278</v>
      </c>
      <c r="P195" s="107" t="str">
        <f>VLOOKUP(O195,[1]character_tribe_i18n!A:C,3,FALSE)</f>
        <v>種族なし</v>
      </c>
      <c r="Q195" s="117" t="s">
        <v>654</v>
      </c>
      <c r="R195" s="111">
        <v>3</v>
      </c>
      <c r="S195" s="108" t="s">
        <v>280</v>
      </c>
      <c r="T195" s="108" t="s">
        <v>281</v>
      </c>
      <c r="U195" s="108" t="s">
        <v>280</v>
      </c>
      <c r="V195" s="108" t="s">
        <v>280</v>
      </c>
      <c r="W195" s="108" t="s">
        <v>280</v>
      </c>
    </row>
    <row r="196" spans="1:23" ht="21" customHeight="1" x14ac:dyDescent="0.15">
      <c r="A196" s="104">
        <f t="shared" si="3"/>
        <v>195</v>
      </c>
      <c r="B196" s="105" t="s">
        <v>268</v>
      </c>
      <c r="C196" s="106" t="s">
        <v>755</v>
      </c>
      <c r="D196" s="107" t="s">
        <v>628</v>
      </c>
      <c r="E196" s="108" t="s">
        <v>756</v>
      </c>
      <c r="F196" s="108" t="s">
        <v>662</v>
      </c>
      <c r="G196" s="108" t="s">
        <v>725</v>
      </c>
      <c r="H196" s="105" t="s">
        <v>285</v>
      </c>
      <c r="I196" s="109">
        <v>5</v>
      </c>
      <c r="J196" s="109" t="s">
        <v>711</v>
      </c>
      <c r="K196" s="105" t="s">
        <v>286</v>
      </c>
      <c r="L196" s="107" t="str">
        <f ca="1">VLOOKUP($K196,OFFSET([1]character_type_i18n!$A$1,0,0,COUNTA([1]character_type_i18n!$A:$A),MATCH(L$1,[1]character_type_i18n!$1:$1,0)-MATCH($K$1,[1]character_type_i18n!$1:$1,0)+1),MATCH(L$1,[1]character_type_i18n!$1:$1,0)-MATCH($K$1,[1]character_type_i18n!$1:$1,0)+1,FALSE)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6" s="105" t="s">
        <v>332</v>
      </c>
      <c r="N196" s="107" t="str">
        <f>VLOOKUP(M196,[1]character_tribe_i18n!A:C,3,FALSE)</f>
        <v>ヒューマン</v>
      </c>
      <c r="O196" s="105" t="s">
        <v>278</v>
      </c>
      <c r="P196" s="107" t="str">
        <f>VLOOKUP(O196,[1]character_tribe_i18n!A:C,3,FALSE)</f>
        <v>種族なし</v>
      </c>
      <c r="Q196" s="117" t="s">
        <v>757</v>
      </c>
      <c r="R196" s="111">
        <v>3</v>
      </c>
      <c r="S196" s="108" t="s">
        <v>700</v>
      </c>
      <c r="T196" s="108" t="s">
        <v>281</v>
      </c>
      <c r="U196" s="108" t="s">
        <v>280</v>
      </c>
      <c r="V196" s="108" t="s">
        <v>700</v>
      </c>
      <c r="W196" s="108" t="s">
        <v>700</v>
      </c>
    </row>
    <row r="197" spans="1:23" ht="21" customHeight="1" x14ac:dyDescent="0.15">
      <c r="A197" s="104">
        <f t="shared" si="3"/>
        <v>196</v>
      </c>
      <c r="B197" s="105" t="s">
        <v>268</v>
      </c>
      <c r="C197" s="106" t="s">
        <v>758</v>
      </c>
      <c r="D197" s="107" t="s">
        <v>628</v>
      </c>
      <c r="E197" s="108" t="s">
        <v>756</v>
      </c>
      <c r="F197" s="108" t="s">
        <v>724</v>
      </c>
      <c r="G197" s="108" t="s">
        <v>725</v>
      </c>
      <c r="H197" s="105" t="s">
        <v>300</v>
      </c>
      <c r="I197" s="109">
        <v>3</v>
      </c>
      <c r="J197" s="109" t="s">
        <v>711</v>
      </c>
      <c r="K197" s="105" t="s">
        <v>286</v>
      </c>
      <c r="L197" s="107" t="str">
        <f ca="1">VLOOKUP($K197,OFFSET([1]character_type_i18n!$A$1,0,0,COUNTA([1]character_type_i18n!$A:$A),MATCH(L$1,[1]character_type_i18n!$1:$1,0)-MATCH($K$1,[1]character_type_i18n!$1:$1,0)+1),MATCH(L$1,[1]character_type_i18n!$1:$1,0)-MATCH($K$1,[1]character_type_i18n!$1:$1,0)+1,FALSE)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7" s="105" t="s">
        <v>332</v>
      </c>
      <c r="N197" s="107" t="str">
        <f>VLOOKUP(M197,[1]character_tribe_i18n!A:C,3,FALSE)</f>
        <v>ヒューマン</v>
      </c>
      <c r="O197" s="105" t="s">
        <v>278</v>
      </c>
      <c r="P197" s="107" t="str">
        <f>VLOOKUP(O197,[1]character_tribe_i18n!A:C,3,FALSE)</f>
        <v>種族なし</v>
      </c>
      <c r="Q197" s="117" t="s">
        <v>757</v>
      </c>
      <c r="R197" s="111">
        <v>3</v>
      </c>
      <c r="S197" s="108" t="s">
        <v>700</v>
      </c>
      <c r="T197" s="108" t="s">
        <v>281</v>
      </c>
      <c r="U197" s="108" t="s">
        <v>280</v>
      </c>
      <c r="V197" s="108" t="s">
        <v>700</v>
      </c>
      <c r="W197" s="108" t="s">
        <v>700</v>
      </c>
    </row>
    <row r="198" spans="1:23" ht="21" customHeight="1" x14ac:dyDescent="0.15">
      <c r="A198" s="104">
        <f t="shared" si="3"/>
        <v>197</v>
      </c>
      <c r="B198" s="105" t="s">
        <v>759</v>
      </c>
      <c r="C198" s="106" t="s">
        <v>760</v>
      </c>
      <c r="D198" s="107" t="s">
        <v>628</v>
      </c>
      <c r="E198" s="108" t="s">
        <v>761</v>
      </c>
      <c r="F198" s="108" t="s">
        <v>762</v>
      </c>
      <c r="G198" s="108" t="s">
        <v>763</v>
      </c>
      <c r="H198" s="105" t="s">
        <v>300</v>
      </c>
      <c r="I198" s="109">
        <v>4</v>
      </c>
      <c r="J198" s="109" t="s">
        <v>711</v>
      </c>
      <c r="K198" s="105" t="s">
        <v>286</v>
      </c>
      <c r="L198" s="107" t="str">
        <f ca="1">VLOOKUP($K198,OFFSET([1]character_type_i18n!$A$1,0,0,COUNTA([1]character_type_i18n!$A:$A),MATCH(L$1,[1]character_type_i18n!$1:$1,0)-MATCH($K$1,[1]character_type_i18n!$1:$1,0)+1),MATCH(L$1,[1]character_type_i18n!$1:$1,0)-MATCH($K$1,[1]character_type_i18n!$1:$1,0)+1,FALSE)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8" s="105" t="s">
        <v>332</v>
      </c>
      <c r="N198" s="107" t="str">
        <f>VLOOKUP(M198,[1]character_tribe_i18n!A:C,3,FALSE)</f>
        <v>ヒューマン</v>
      </c>
      <c r="O198" s="105" t="s">
        <v>278</v>
      </c>
      <c r="P198" s="107" t="str">
        <f>VLOOKUP(O198,[1]character_tribe_i18n!A:C,3,FALSE)</f>
        <v>種族なし</v>
      </c>
      <c r="Q198" s="117" t="s">
        <v>654</v>
      </c>
      <c r="R198" s="111">
        <v>3</v>
      </c>
      <c r="S198" s="108" t="s">
        <v>280</v>
      </c>
      <c r="T198" s="108" t="s">
        <v>281</v>
      </c>
      <c r="U198" s="108" t="s">
        <v>280</v>
      </c>
      <c r="V198" s="108" t="s">
        <v>280</v>
      </c>
      <c r="W198" s="108" t="s">
        <v>280</v>
      </c>
    </row>
    <row r="199" spans="1:23" ht="21" customHeight="1" x14ac:dyDescent="0.15">
      <c r="A199" s="104">
        <f t="shared" si="3"/>
        <v>198</v>
      </c>
      <c r="B199" s="105" t="s">
        <v>268</v>
      </c>
      <c r="C199" s="106" t="s">
        <v>764</v>
      </c>
      <c r="D199" s="107" t="s">
        <v>628</v>
      </c>
      <c r="E199" s="108" t="s">
        <v>756</v>
      </c>
      <c r="F199" s="108" t="s">
        <v>724</v>
      </c>
      <c r="G199" s="108" t="s">
        <v>725</v>
      </c>
      <c r="H199" s="105" t="s">
        <v>300</v>
      </c>
      <c r="I199" s="109">
        <v>5</v>
      </c>
      <c r="J199" s="109" t="s">
        <v>711</v>
      </c>
      <c r="K199" s="105" t="s">
        <v>286</v>
      </c>
      <c r="L199" s="107" t="str">
        <f ca="1">VLOOKUP($K199,OFFSET([1]character_type_i18n!$A$1,0,0,COUNTA([1]character_type_i18n!$A:$A),MATCH(L$1,[1]character_type_i18n!$1:$1,0)-MATCH($K$1,[1]character_type_i18n!$1:$1,0)+1),MATCH(L$1,[1]character_type_i18n!$1:$1,0)-MATCH($K$1,[1]character_type_i18n!$1:$1,0)+1,FALSE)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9" s="105" t="s">
        <v>332</v>
      </c>
      <c r="N199" s="107" t="str">
        <f>VLOOKUP(M199,[1]character_tribe_i18n!A:C,3,FALSE)</f>
        <v>ヒューマン</v>
      </c>
      <c r="O199" s="105" t="s">
        <v>278</v>
      </c>
      <c r="P199" s="107" t="str">
        <f>VLOOKUP(O199,[1]character_tribe_i18n!A:C,3,FALSE)</f>
        <v>種族なし</v>
      </c>
      <c r="Q199" s="117" t="s">
        <v>757</v>
      </c>
      <c r="R199" s="111">
        <v>3</v>
      </c>
      <c r="S199" s="108" t="s">
        <v>700</v>
      </c>
      <c r="T199" s="108" t="s">
        <v>281</v>
      </c>
      <c r="U199" s="108" t="s">
        <v>280</v>
      </c>
      <c r="V199" s="108" t="s">
        <v>700</v>
      </c>
      <c r="W199" s="108" t="s">
        <v>700</v>
      </c>
    </row>
    <row r="200" spans="1:23" ht="21" customHeight="1" x14ac:dyDescent="0.15">
      <c r="A200" s="104">
        <f t="shared" si="3"/>
        <v>199</v>
      </c>
      <c r="B200" s="105" t="s">
        <v>691</v>
      </c>
      <c r="C200" s="106" t="s">
        <v>765</v>
      </c>
      <c r="D200" s="107" t="s">
        <v>628</v>
      </c>
      <c r="E200" s="108" t="s">
        <v>756</v>
      </c>
      <c r="F200" s="108" t="s">
        <v>704</v>
      </c>
      <c r="G200" s="108" t="s">
        <v>705</v>
      </c>
      <c r="H200" s="105" t="s">
        <v>766</v>
      </c>
      <c r="I200" s="109">
        <v>3</v>
      </c>
      <c r="J200" s="109" t="s">
        <v>711</v>
      </c>
      <c r="K200" s="105" t="s">
        <v>286</v>
      </c>
      <c r="L200" s="107" t="str">
        <f ca="1">VLOOKUP($K200,OFFSET([1]character_type_i18n!$A$1,0,0,COUNTA([1]character_type_i18n!$A:$A),MATCH(L$1,[1]character_type_i18n!$1:$1,0)-MATCH($K$1,[1]character_type_i18n!$1:$1,0)+1),MATCH(L$1,[1]character_type_i18n!$1:$1,0)-MATCH($K$1,[1]character_type_i18n!$1:$1,0)+1,FALSE)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00" s="105" t="s">
        <v>332</v>
      </c>
      <c r="N200" s="107" t="str">
        <f>VLOOKUP(M200,[1]character_tribe_i18n!A:C,3,FALSE)</f>
        <v>ヒューマン</v>
      </c>
      <c r="O200" s="105" t="s">
        <v>278</v>
      </c>
      <c r="P200" s="107" t="str">
        <f>VLOOKUP(O200,[1]character_tribe_i18n!A:C,3,FALSE)</f>
        <v>種族なし</v>
      </c>
      <c r="Q200" s="117" t="s">
        <v>757</v>
      </c>
      <c r="R200" s="111">
        <v>3</v>
      </c>
      <c r="S200" s="108" t="s">
        <v>700</v>
      </c>
      <c r="T200" s="108" t="s">
        <v>281</v>
      </c>
      <c r="U200" s="108" t="s">
        <v>280</v>
      </c>
      <c r="V200" s="108" t="s">
        <v>700</v>
      </c>
      <c r="W200" s="108" t="s">
        <v>700</v>
      </c>
    </row>
    <row r="201" spans="1:23" ht="21" customHeight="1" x14ac:dyDescent="0.15">
      <c r="A201" s="104">
        <f t="shared" si="3"/>
        <v>200</v>
      </c>
      <c r="B201" s="105" t="s">
        <v>268</v>
      </c>
      <c r="C201" s="106" t="s">
        <v>767</v>
      </c>
      <c r="D201" s="107" t="s">
        <v>628</v>
      </c>
      <c r="E201" s="108" t="s">
        <v>756</v>
      </c>
      <c r="F201" s="108" t="s">
        <v>532</v>
      </c>
      <c r="G201" s="108" t="s">
        <v>710</v>
      </c>
      <c r="H201" s="105" t="s">
        <v>768</v>
      </c>
      <c r="I201" s="109">
        <v>4</v>
      </c>
      <c r="J201" s="109" t="s">
        <v>711</v>
      </c>
      <c r="K201" s="105" t="s">
        <v>286</v>
      </c>
      <c r="L201" s="107" t="str">
        <f ca="1">VLOOKUP($K201,OFFSET([1]character_type_i18n!$A$1,0,0,COUNTA([1]character_type_i18n!$A:$A),MATCH(L$1,[1]character_type_i18n!$1:$1,0)-MATCH($K$1,[1]character_type_i18n!$1:$1,0)+1),MATCH(L$1,[1]character_type_i18n!$1:$1,0)-MATCH($K$1,[1]character_type_i18n!$1:$1,0)+1,FALSE)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01" s="105" t="s">
        <v>332</v>
      </c>
      <c r="N201" s="107" t="str">
        <f>VLOOKUP(M201,[1]character_tribe_i18n!A:C,3,FALSE)</f>
        <v>ヒューマン</v>
      </c>
      <c r="O201" s="105" t="s">
        <v>278</v>
      </c>
      <c r="P201" s="107" t="str">
        <f>VLOOKUP(O201,[1]character_tribe_i18n!A:C,3,FALSE)</f>
        <v>種族なし</v>
      </c>
      <c r="Q201" s="117" t="s">
        <v>654</v>
      </c>
      <c r="R201" s="111">
        <v>3</v>
      </c>
      <c r="S201" s="108" t="s">
        <v>280</v>
      </c>
      <c r="T201" s="108" t="s">
        <v>281</v>
      </c>
      <c r="U201" s="108" t="s">
        <v>280</v>
      </c>
      <c r="V201" s="108" t="s">
        <v>280</v>
      </c>
      <c r="W201" s="108" t="s">
        <v>280</v>
      </c>
    </row>
    <row r="202" spans="1:23" ht="21" customHeight="1" x14ac:dyDescent="0.15">
      <c r="A202" s="104">
        <f t="shared" si="3"/>
        <v>201</v>
      </c>
      <c r="B202" s="105" t="s">
        <v>268</v>
      </c>
      <c r="C202" s="106" t="s">
        <v>769</v>
      </c>
      <c r="D202" s="107" t="s">
        <v>628</v>
      </c>
      <c r="E202" s="108" t="s">
        <v>750</v>
      </c>
      <c r="F202" s="108" t="s">
        <v>532</v>
      </c>
      <c r="G202" s="108" t="s">
        <v>710</v>
      </c>
      <c r="H202" s="105" t="s">
        <v>768</v>
      </c>
      <c r="I202" s="109">
        <v>5</v>
      </c>
      <c r="J202" s="109" t="s">
        <v>711</v>
      </c>
      <c r="K202" s="105" t="s">
        <v>286</v>
      </c>
      <c r="L202" s="107" t="str">
        <f ca="1">VLOOKUP($K202,OFFSET([1]character_type_i18n!$A$1,0,0,COUNTA([1]character_type_i18n!$A:$A),MATCH(L$1,[1]character_type_i18n!$1:$1,0)-MATCH($K$1,[1]character_type_i18n!$1:$1,0)+1),MATCH(L$1,[1]character_type_i18n!$1:$1,0)-MATCH($K$1,[1]character_type_i18n!$1:$1,0)+1,FALSE)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02" s="105" t="s">
        <v>332</v>
      </c>
      <c r="N202" s="107" t="str">
        <f>VLOOKUP(M202,[1]character_tribe_i18n!A:C,3,FALSE)</f>
        <v>ヒューマン</v>
      </c>
      <c r="O202" s="105" t="s">
        <v>278</v>
      </c>
      <c r="P202" s="107" t="str">
        <f>VLOOKUP(O202,[1]character_tribe_i18n!A:C,3,FALSE)</f>
        <v>種族なし</v>
      </c>
      <c r="Q202" s="117" t="s">
        <v>770</v>
      </c>
      <c r="R202" s="111">
        <v>3</v>
      </c>
      <c r="S202" s="108" t="s">
        <v>771</v>
      </c>
      <c r="T202" s="108" t="s">
        <v>281</v>
      </c>
      <c r="U202" s="108" t="s">
        <v>280</v>
      </c>
      <c r="V202" s="108" t="s">
        <v>771</v>
      </c>
      <c r="W202" s="108" t="s">
        <v>771</v>
      </c>
    </row>
    <row r="203" spans="1:23" ht="21" customHeight="1" x14ac:dyDescent="0.15">
      <c r="A203" s="104">
        <f t="shared" si="3"/>
        <v>202</v>
      </c>
      <c r="B203" s="105" t="s">
        <v>268</v>
      </c>
      <c r="C203" s="106" t="s">
        <v>772</v>
      </c>
      <c r="D203" s="107" t="s">
        <v>628</v>
      </c>
      <c r="E203" s="108" t="s">
        <v>773</v>
      </c>
      <c r="F203" s="108" t="s">
        <v>532</v>
      </c>
      <c r="G203" s="108" t="s">
        <v>710</v>
      </c>
      <c r="H203" s="105" t="s">
        <v>274</v>
      </c>
      <c r="I203" s="109">
        <v>3</v>
      </c>
      <c r="J203" s="109" t="s">
        <v>711</v>
      </c>
      <c r="K203" s="105" t="s">
        <v>347</v>
      </c>
      <c r="L203" s="107" t="str">
        <f ca="1">VLOOKUP($K203,OFFSET([1]character_type_i18n!$A$1,0,0,COUNTA([1]character_type_i18n!$A:$A),MATCH(L$1,[1]character_type_i18n!$1:$1,0)-MATCH($K$1,[1]character_type_i18n!$1:$1,0)+1),MATCH(L$1,[1]character_type_i18n!$1:$1,0)-MATCH($K$1,[1]character_type_i18n!$1:$1,0)+1,FALSE)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3" s="105" t="s">
        <v>517</v>
      </c>
      <c r="N203" s="107" t="str">
        <f>VLOOKUP(M203,[1]character_tribe_i18n!A:C,3,FALSE)</f>
        <v>ゴッド</v>
      </c>
      <c r="O203" s="105" t="s">
        <v>278</v>
      </c>
      <c r="P203" s="107" t="str">
        <f>VLOOKUP(O203,[1]character_tribe_i18n!A:C,3,FALSE)</f>
        <v>種族なし</v>
      </c>
      <c r="Q203" s="117" t="s">
        <v>707</v>
      </c>
      <c r="R203" s="111">
        <v>3</v>
      </c>
      <c r="S203" s="108" t="s">
        <v>280</v>
      </c>
      <c r="T203" s="108" t="s">
        <v>281</v>
      </c>
      <c r="U203" s="108" t="s">
        <v>280</v>
      </c>
      <c r="V203" s="108" t="s">
        <v>280</v>
      </c>
      <c r="W203" s="108" t="s">
        <v>280</v>
      </c>
    </row>
    <row r="204" spans="1:23" ht="21" customHeight="1" x14ac:dyDescent="0.15">
      <c r="A204" s="104">
        <f t="shared" si="3"/>
        <v>203</v>
      </c>
      <c r="B204" s="105" t="s">
        <v>268</v>
      </c>
      <c r="C204" s="106" t="s">
        <v>774</v>
      </c>
      <c r="D204" s="107" t="s">
        <v>628</v>
      </c>
      <c r="E204" s="108" t="s">
        <v>775</v>
      </c>
      <c r="F204" s="108" t="s">
        <v>532</v>
      </c>
      <c r="G204" s="108" t="s">
        <v>710</v>
      </c>
      <c r="H204" s="105" t="s">
        <v>274</v>
      </c>
      <c r="I204" s="109">
        <v>4</v>
      </c>
      <c r="J204" s="109" t="s">
        <v>711</v>
      </c>
      <c r="K204" s="105" t="s">
        <v>347</v>
      </c>
      <c r="L204" s="107" t="str">
        <f ca="1">VLOOKUP($K204,OFFSET([1]character_type_i18n!$A$1,0,0,COUNTA([1]character_type_i18n!$A:$A),MATCH(L$1,[1]character_type_i18n!$1:$1,0)-MATCH($K$1,[1]character_type_i18n!$1:$1,0)+1),MATCH(L$1,[1]character_type_i18n!$1:$1,0)-MATCH($K$1,[1]character_type_i18n!$1:$1,0)+1,FALSE)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4" s="105" t="s">
        <v>517</v>
      </c>
      <c r="N204" s="107" t="str">
        <f>VLOOKUP(M204,[1]character_tribe_i18n!A:C,3,FALSE)</f>
        <v>ゴッド</v>
      </c>
      <c r="O204" s="105" t="s">
        <v>278</v>
      </c>
      <c r="P204" s="107" t="str">
        <f>VLOOKUP(O204,[1]character_tribe_i18n!A:C,3,FALSE)</f>
        <v>種族なし</v>
      </c>
      <c r="Q204" s="117" t="s">
        <v>776</v>
      </c>
      <c r="R204" s="111">
        <v>3</v>
      </c>
      <c r="S204" s="108" t="s">
        <v>771</v>
      </c>
      <c r="T204" s="108" t="s">
        <v>281</v>
      </c>
      <c r="U204" s="108" t="s">
        <v>280</v>
      </c>
      <c r="V204" s="108" t="s">
        <v>771</v>
      </c>
      <c r="W204" s="108" t="s">
        <v>771</v>
      </c>
    </row>
    <row r="205" spans="1:23" ht="21" customHeight="1" x14ac:dyDescent="0.15">
      <c r="A205" s="104">
        <f t="shared" si="3"/>
        <v>204</v>
      </c>
      <c r="B205" s="105" t="s">
        <v>268</v>
      </c>
      <c r="C205" s="106" t="s">
        <v>777</v>
      </c>
      <c r="D205" s="107" t="s">
        <v>628</v>
      </c>
      <c r="E205" s="108" t="s">
        <v>773</v>
      </c>
      <c r="F205" s="108" t="s">
        <v>532</v>
      </c>
      <c r="G205" s="108" t="s">
        <v>710</v>
      </c>
      <c r="H205" s="105" t="s">
        <v>274</v>
      </c>
      <c r="I205" s="109">
        <v>5</v>
      </c>
      <c r="J205" s="109" t="s">
        <v>711</v>
      </c>
      <c r="K205" s="105" t="s">
        <v>347</v>
      </c>
      <c r="L205" s="107" t="str">
        <f ca="1">VLOOKUP($K205,OFFSET([1]character_type_i18n!$A$1,0,0,COUNTA([1]character_type_i18n!$A:$A),MATCH(L$1,[1]character_type_i18n!$1:$1,0)-MATCH($K$1,[1]character_type_i18n!$1:$1,0)+1),MATCH(L$1,[1]character_type_i18n!$1:$1,0)-MATCH($K$1,[1]character_type_i18n!$1:$1,0)+1,FALSE)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5" s="105" t="s">
        <v>517</v>
      </c>
      <c r="N205" s="107" t="str">
        <f>VLOOKUP(M205,[1]character_tribe_i18n!A:C,3,FALSE)</f>
        <v>ゴッド</v>
      </c>
      <c r="O205" s="105" t="s">
        <v>278</v>
      </c>
      <c r="P205" s="107" t="str">
        <f>VLOOKUP(O205,[1]character_tribe_i18n!A:C,3,FALSE)</f>
        <v>種族なし</v>
      </c>
      <c r="Q205" s="117" t="s">
        <v>707</v>
      </c>
      <c r="R205" s="111">
        <v>3</v>
      </c>
      <c r="S205" s="108" t="s">
        <v>280</v>
      </c>
      <c r="T205" s="108" t="s">
        <v>281</v>
      </c>
      <c r="U205" s="108" t="s">
        <v>280</v>
      </c>
      <c r="V205" s="108" t="s">
        <v>280</v>
      </c>
      <c r="W205" s="108" t="s">
        <v>280</v>
      </c>
    </row>
    <row r="206" spans="1:23" ht="21" customHeight="1" x14ac:dyDescent="0.15">
      <c r="A206" s="104">
        <f t="shared" si="3"/>
        <v>205</v>
      </c>
      <c r="B206" s="105" t="s">
        <v>268</v>
      </c>
      <c r="C206" s="106" t="s">
        <v>778</v>
      </c>
      <c r="D206" s="107" t="s">
        <v>628</v>
      </c>
      <c r="E206" s="108" t="s">
        <v>773</v>
      </c>
      <c r="F206" s="108" t="s">
        <v>662</v>
      </c>
      <c r="G206" s="108" t="s">
        <v>725</v>
      </c>
      <c r="H206" s="105" t="s">
        <v>285</v>
      </c>
      <c r="I206" s="109">
        <v>3</v>
      </c>
      <c r="J206" s="109" t="s">
        <v>711</v>
      </c>
      <c r="K206" s="105" t="s">
        <v>347</v>
      </c>
      <c r="L206" s="107" t="str">
        <f ca="1">VLOOKUP($K206,OFFSET([1]character_type_i18n!$A$1,0,0,COUNTA([1]character_type_i18n!$A:$A),MATCH(L$1,[1]character_type_i18n!$1:$1,0)-MATCH($K$1,[1]character_type_i18n!$1:$1,0)+1),MATCH(L$1,[1]character_type_i18n!$1:$1,0)-MATCH($K$1,[1]character_type_i18n!$1:$1,0)+1,FALSE)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6" s="105" t="s">
        <v>517</v>
      </c>
      <c r="N206" s="107" t="str">
        <f>VLOOKUP(M206,[1]character_tribe_i18n!A:C,3,FALSE)</f>
        <v>ゴッド</v>
      </c>
      <c r="O206" s="105" t="s">
        <v>278</v>
      </c>
      <c r="P206" s="107" t="str">
        <f>VLOOKUP(O206,[1]character_tribe_i18n!A:C,3,FALSE)</f>
        <v>種族なし</v>
      </c>
      <c r="Q206" s="117" t="s">
        <v>726</v>
      </c>
      <c r="R206" s="111">
        <v>3</v>
      </c>
      <c r="S206" s="108" t="s">
        <v>700</v>
      </c>
      <c r="T206" s="108" t="s">
        <v>281</v>
      </c>
      <c r="U206" s="108" t="s">
        <v>280</v>
      </c>
      <c r="V206" s="108" t="s">
        <v>700</v>
      </c>
      <c r="W206" s="108" t="s">
        <v>700</v>
      </c>
    </row>
    <row r="207" spans="1:23" ht="21" customHeight="1" x14ac:dyDescent="0.15">
      <c r="A207" s="104">
        <f t="shared" si="3"/>
        <v>206</v>
      </c>
      <c r="B207" s="105" t="s">
        <v>268</v>
      </c>
      <c r="C207" s="106" t="s">
        <v>779</v>
      </c>
      <c r="D207" s="107" t="s">
        <v>628</v>
      </c>
      <c r="E207" s="108" t="s">
        <v>780</v>
      </c>
      <c r="F207" s="108" t="s">
        <v>662</v>
      </c>
      <c r="G207" s="108" t="s">
        <v>725</v>
      </c>
      <c r="H207" s="105" t="s">
        <v>285</v>
      </c>
      <c r="I207" s="109">
        <v>4</v>
      </c>
      <c r="J207" s="109" t="s">
        <v>711</v>
      </c>
      <c r="K207" s="105" t="s">
        <v>347</v>
      </c>
      <c r="L207" s="107" t="str">
        <f ca="1">VLOOKUP($K207,OFFSET([1]character_type_i18n!$A$1,0,0,COUNTA([1]character_type_i18n!$A:$A),MATCH(L$1,[1]character_type_i18n!$1:$1,0)-MATCH($K$1,[1]character_type_i18n!$1:$1,0)+1),MATCH(L$1,[1]character_type_i18n!$1:$1,0)-MATCH($K$1,[1]character_type_i18n!$1:$1,0)+1,FALSE)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7" s="105" t="s">
        <v>517</v>
      </c>
      <c r="N207" s="107" t="str">
        <f>VLOOKUP(M207,[1]character_tribe_i18n!A:C,3,FALSE)</f>
        <v>ゴッド</v>
      </c>
      <c r="O207" s="105" t="s">
        <v>278</v>
      </c>
      <c r="P207" s="107" t="str">
        <f>VLOOKUP(O207,[1]character_tribe_i18n!A:C,3,FALSE)</f>
        <v>種族なし</v>
      </c>
      <c r="Q207" s="117" t="s">
        <v>707</v>
      </c>
      <c r="R207" s="111">
        <v>3</v>
      </c>
      <c r="S207" s="108" t="s">
        <v>280</v>
      </c>
      <c r="T207" s="108" t="s">
        <v>281</v>
      </c>
      <c r="U207" s="108" t="s">
        <v>280</v>
      </c>
      <c r="V207" s="108" t="s">
        <v>280</v>
      </c>
      <c r="W207" s="108" t="s">
        <v>280</v>
      </c>
    </row>
    <row r="208" spans="1:23" ht="21" customHeight="1" x14ac:dyDescent="0.15">
      <c r="A208" s="104">
        <f t="shared" si="3"/>
        <v>207</v>
      </c>
      <c r="B208" s="105" t="s">
        <v>268</v>
      </c>
      <c r="C208" s="106" t="s">
        <v>781</v>
      </c>
      <c r="D208" s="107" t="s">
        <v>628</v>
      </c>
      <c r="E208" s="108" t="s">
        <v>773</v>
      </c>
      <c r="F208" s="108" t="s">
        <v>662</v>
      </c>
      <c r="G208" s="108" t="s">
        <v>725</v>
      </c>
      <c r="H208" s="105" t="s">
        <v>285</v>
      </c>
      <c r="I208" s="109">
        <v>5</v>
      </c>
      <c r="J208" s="109" t="s">
        <v>711</v>
      </c>
      <c r="K208" s="105" t="s">
        <v>347</v>
      </c>
      <c r="L208" s="107" t="str">
        <f ca="1">VLOOKUP($K208,OFFSET([1]character_type_i18n!$A$1,0,0,COUNTA([1]character_type_i18n!$A:$A),MATCH(L$1,[1]character_type_i18n!$1:$1,0)-MATCH($K$1,[1]character_type_i18n!$1:$1,0)+1),MATCH(L$1,[1]character_type_i18n!$1:$1,0)-MATCH($K$1,[1]character_type_i18n!$1:$1,0)+1,FALSE)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8" s="105" t="s">
        <v>517</v>
      </c>
      <c r="N208" s="107" t="str">
        <f>VLOOKUP(M208,[1]character_tribe_i18n!A:C,3,FALSE)</f>
        <v>ゴッド</v>
      </c>
      <c r="O208" s="105" t="s">
        <v>278</v>
      </c>
      <c r="P208" s="107" t="str">
        <f>VLOOKUP(O208,[1]character_tribe_i18n!A:C,3,FALSE)</f>
        <v>種族なし</v>
      </c>
      <c r="Q208" s="117" t="s">
        <v>707</v>
      </c>
      <c r="R208" s="111">
        <v>3</v>
      </c>
      <c r="S208" s="108" t="s">
        <v>280</v>
      </c>
      <c r="T208" s="108" t="s">
        <v>281</v>
      </c>
      <c r="U208" s="108" t="s">
        <v>280</v>
      </c>
      <c r="V208" s="108" t="s">
        <v>280</v>
      </c>
      <c r="W208" s="108" t="s">
        <v>280</v>
      </c>
    </row>
    <row r="209" spans="1:23" ht="21" customHeight="1" x14ac:dyDescent="0.15">
      <c r="A209" s="104">
        <f t="shared" si="3"/>
        <v>208</v>
      </c>
      <c r="B209" s="105" t="s">
        <v>268</v>
      </c>
      <c r="C209" s="106" t="s">
        <v>782</v>
      </c>
      <c r="D209" s="107" t="s">
        <v>628</v>
      </c>
      <c r="E209" s="108" t="s">
        <v>773</v>
      </c>
      <c r="F209" s="108" t="s">
        <v>724</v>
      </c>
      <c r="G209" s="108" t="s">
        <v>725</v>
      </c>
      <c r="H209" s="105" t="s">
        <v>295</v>
      </c>
      <c r="I209" s="109">
        <v>3</v>
      </c>
      <c r="J209" s="109" t="s">
        <v>711</v>
      </c>
      <c r="K209" s="105" t="s">
        <v>347</v>
      </c>
      <c r="L209" s="107" t="str">
        <f ca="1">VLOOKUP($K209,OFFSET([1]character_type_i18n!$A$1,0,0,COUNTA([1]character_type_i18n!$A:$A),MATCH(L$1,[1]character_type_i18n!$1:$1,0)-MATCH($K$1,[1]character_type_i18n!$1:$1,0)+1),MATCH(L$1,[1]character_type_i18n!$1:$1,0)-MATCH($K$1,[1]character_type_i18n!$1:$1,0)+1,FALSE)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9" s="105" t="s">
        <v>517</v>
      </c>
      <c r="N209" s="107" t="str">
        <f>VLOOKUP(M209,[1]character_tribe_i18n!A:C,3,FALSE)</f>
        <v>ゴッド</v>
      </c>
      <c r="O209" s="105" t="s">
        <v>278</v>
      </c>
      <c r="P209" s="107" t="str">
        <f>VLOOKUP(O209,[1]character_tribe_i18n!A:C,3,FALSE)</f>
        <v>種族なし</v>
      </c>
      <c r="Q209" s="117" t="s">
        <v>707</v>
      </c>
      <c r="R209" s="111">
        <v>3</v>
      </c>
      <c r="S209" s="108" t="s">
        <v>280</v>
      </c>
      <c r="T209" s="108" t="s">
        <v>281</v>
      </c>
      <c r="U209" s="108" t="s">
        <v>280</v>
      </c>
      <c r="V209" s="108" t="s">
        <v>280</v>
      </c>
      <c r="W209" s="108" t="s">
        <v>280</v>
      </c>
    </row>
    <row r="210" spans="1:23" ht="21" customHeight="1" x14ac:dyDescent="0.15">
      <c r="A210" s="104">
        <f t="shared" si="3"/>
        <v>209</v>
      </c>
      <c r="B210" s="105" t="s">
        <v>268</v>
      </c>
      <c r="C210" s="106" t="s">
        <v>783</v>
      </c>
      <c r="D210" s="107" t="s">
        <v>628</v>
      </c>
      <c r="E210" s="108" t="s">
        <v>773</v>
      </c>
      <c r="F210" s="108" t="s">
        <v>724</v>
      </c>
      <c r="G210" s="108" t="s">
        <v>725</v>
      </c>
      <c r="H210" s="105" t="s">
        <v>295</v>
      </c>
      <c r="I210" s="109">
        <v>4</v>
      </c>
      <c r="J210" s="109" t="s">
        <v>711</v>
      </c>
      <c r="K210" s="105" t="s">
        <v>347</v>
      </c>
      <c r="L210" s="107" t="str">
        <f ca="1">VLOOKUP($K210,OFFSET([1]character_type_i18n!$A$1,0,0,COUNTA([1]character_type_i18n!$A:$A),MATCH(L$1,[1]character_type_i18n!$1:$1,0)-MATCH($K$1,[1]character_type_i18n!$1:$1,0)+1),MATCH(L$1,[1]character_type_i18n!$1:$1,0)-MATCH($K$1,[1]character_type_i18n!$1:$1,0)+1,FALSE)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10" s="105" t="s">
        <v>517</v>
      </c>
      <c r="N210" s="107" t="str">
        <f>VLOOKUP(M210,[1]character_tribe_i18n!A:C,3,FALSE)</f>
        <v>ゴッド</v>
      </c>
      <c r="O210" s="105" t="s">
        <v>278</v>
      </c>
      <c r="P210" s="107" t="str">
        <f>VLOOKUP(O210,[1]character_tribe_i18n!A:C,3,FALSE)</f>
        <v>種族なし</v>
      </c>
      <c r="Q210" s="117" t="s">
        <v>707</v>
      </c>
      <c r="R210" s="111">
        <v>3</v>
      </c>
      <c r="S210" s="108" t="s">
        <v>280</v>
      </c>
      <c r="T210" s="108" t="s">
        <v>281</v>
      </c>
      <c r="U210" s="108" t="s">
        <v>280</v>
      </c>
      <c r="V210" s="108" t="s">
        <v>280</v>
      </c>
      <c r="W210" s="108" t="s">
        <v>280</v>
      </c>
    </row>
    <row r="211" spans="1:23" ht="21" customHeight="1" x14ac:dyDescent="0.15">
      <c r="A211" s="104">
        <f t="shared" si="3"/>
        <v>210</v>
      </c>
      <c r="B211" s="105" t="s">
        <v>268</v>
      </c>
      <c r="C211" s="106" t="s">
        <v>784</v>
      </c>
      <c r="D211" s="107" t="s">
        <v>628</v>
      </c>
      <c r="E211" s="108" t="s">
        <v>773</v>
      </c>
      <c r="F211" s="108" t="s">
        <v>724</v>
      </c>
      <c r="G211" s="108" t="s">
        <v>725</v>
      </c>
      <c r="H211" s="105" t="s">
        <v>295</v>
      </c>
      <c r="I211" s="109">
        <v>5</v>
      </c>
      <c r="J211" s="109" t="s">
        <v>711</v>
      </c>
      <c r="K211" s="105" t="s">
        <v>347</v>
      </c>
      <c r="L211" s="107" t="str">
        <f ca="1">VLOOKUP($K211,OFFSET([1]character_type_i18n!$A$1,0,0,COUNTA([1]character_type_i18n!$A:$A),MATCH(L$1,[1]character_type_i18n!$1:$1,0)-MATCH($K$1,[1]character_type_i18n!$1:$1,0)+1),MATCH(L$1,[1]character_type_i18n!$1:$1,0)-MATCH($K$1,[1]character_type_i18n!$1:$1,0)+1,FALSE)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11" s="105" t="s">
        <v>517</v>
      </c>
      <c r="N211" s="107" t="str">
        <f>VLOOKUP(M211,[1]character_tribe_i18n!A:C,3,FALSE)</f>
        <v>ゴッド</v>
      </c>
      <c r="O211" s="105" t="s">
        <v>278</v>
      </c>
      <c r="P211" s="107" t="str">
        <f>VLOOKUP(O211,[1]character_tribe_i18n!A:C,3,FALSE)</f>
        <v>種族なし</v>
      </c>
      <c r="Q211" s="117" t="s">
        <v>726</v>
      </c>
      <c r="R211" s="111">
        <v>3</v>
      </c>
      <c r="S211" s="108" t="s">
        <v>700</v>
      </c>
      <c r="T211" s="108" t="s">
        <v>281</v>
      </c>
      <c r="U211" s="108" t="s">
        <v>280</v>
      </c>
      <c r="V211" s="108" t="s">
        <v>700</v>
      </c>
      <c r="W211" s="108" t="s">
        <v>700</v>
      </c>
    </row>
    <row r="212" spans="1:23" ht="21" customHeight="1" x14ac:dyDescent="0.15">
      <c r="A212" s="104">
        <f t="shared" si="3"/>
        <v>211</v>
      </c>
      <c r="B212" s="105" t="s">
        <v>691</v>
      </c>
      <c r="C212" s="106" t="s">
        <v>785</v>
      </c>
      <c r="D212" s="107" t="s">
        <v>628</v>
      </c>
      <c r="E212" s="108" t="s">
        <v>786</v>
      </c>
      <c r="F212" s="108" t="s">
        <v>715</v>
      </c>
      <c r="G212" s="108" t="s">
        <v>716</v>
      </c>
      <c r="H212" s="105" t="s">
        <v>300</v>
      </c>
      <c r="I212" s="109">
        <v>3</v>
      </c>
      <c r="J212" s="109" t="s">
        <v>711</v>
      </c>
      <c r="K212" s="105" t="s">
        <v>286</v>
      </c>
      <c r="L212" s="107" t="str">
        <f ca="1">VLOOKUP($K212,OFFSET([1]character_type_i18n!$A$1,0,0,COUNTA([1]character_type_i18n!$A:$A),MATCH(L$1,[1]character_type_i18n!$1:$1,0)-MATCH($K$1,[1]character_type_i18n!$1:$1,0)+1),MATCH(L$1,[1]character_type_i18n!$1:$1,0)-MATCH($K$1,[1]character_type_i18n!$1:$1,0)+1,FALSE)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2" s="105" t="s">
        <v>517</v>
      </c>
      <c r="N212" s="107" t="str">
        <f>VLOOKUP(M212,[1]character_tribe_i18n!A:C,3,FALSE)</f>
        <v>ゴッド</v>
      </c>
      <c r="O212" s="105" t="s">
        <v>278</v>
      </c>
      <c r="P212" s="107" t="str">
        <f>VLOOKUP(O212,[1]character_tribe_i18n!A:C,3,FALSE)</f>
        <v>種族なし</v>
      </c>
      <c r="Q212" s="117" t="s">
        <v>726</v>
      </c>
      <c r="R212" s="111">
        <v>3</v>
      </c>
      <c r="S212" s="108" t="s">
        <v>700</v>
      </c>
      <c r="T212" s="108" t="s">
        <v>281</v>
      </c>
      <c r="U212" s="108" t="s">
        <v>280</v>
      </c>
      <c r="V212" s="108" t="s">
        <v>700</v>
      </c>
      <c r="W212" s="108" t="s">
        <v>700</v>
      </c>
    </row>
    <row r="213" spans="1:23" ht="21" customHeight="1" x14ac:dyDescent="0.15">
      <c r="A213" s="104">
        <f t="shared" si="3"/>
        <v>212</v>
      </c>
      <c r="B213" s="105" t="s">
        <v>691</v>
      </c>
      <c r="C213" s="106" t="s">
        <v>787</v>
      </c>
      <c r="D213" s="107" t="s">
        <v>628</v>
      </c>
      <c r="E213" s="108" t="s">
        <v>780</v>
      </c>
      <c r="F213" s="108" t="s">
        <v>715</v>
      </c>
      <c r="G213" s="108" t="s">
        <v>716</v>
      </c>
      <c r="H213" s="105" t="s">
        <v>300</v>
      </c>
      <c r="I213" s="109">
        <v>4</v>
      </c>
      <c r="J213" s="109" t="s">
        <v>711</v>
      </c>
      <c r="K213" s="105" t="s">
        <v>286</v>
      </c>
      <c r="L213" s="107" t="str">
        <f ca="1">VLOOKUP($K213,OFFSET([1]character_type_i18n!$A$1,0,0,COUNTA([1]character_type_i18n!$A:$A),MATCH(L$1,[1]character_type_i18n!$1:$1,0)-MATCH($K$1,[1]character_type_i18n!$1:$1,0)+1),MATCH(L$1,[1]character_type_i18n!$1:$1,0)-MATCH($K$1,[1]character_type_i18n!$1:$1,0)+1,FALSE)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3" s="105" t="s">
        <v>517</v>
      </c>
      <c r="N213" s="107" t="str">
        <f>VLOOKUP(M213,[1]character_tribe_i18n!A:C,3,FALSE)</f>
        <v>ゴッド</v>
      </c>
      <c r="O213" s="105" t="s">
        <v>278</v>
      </c>
      <c r="P213" s="107" t="str">
        <f>VLOOKUP(O213,[1]character_tribe_i18n!A:C,3,FALSE)</f>
        <v>種族なし</v>
      </c>
      <c r="Q213" s="117" t="s">
        <v>726</v>
      </c>
      <c r="R213" s="111">
        <v>3</v>
      </c>
      <c r="S213" s="108" t="s">
        <v>700</v>
      </c>
      <c r="T213" s="108" t="s">
        <v>701</v>
      </c>
      <c r="U213" s="108" t="s">
        <v>700</v>
      </c>
      <c r="V213" s="108" t="s">
        <v>700</v>
      </c>
      <c r="W213" s="108" t="s">
        <v>700</v>
      </c>
    </row>
    <row r="214" spans="1:23" ht="21" customHeight="1" x14ac:dyDescent="0.15">
      <c r="A214" s="104">
        <f t="shared" si="3"/>
        <v>213</v>
      </c>
      <c r="B214" s="105" t="s">
        <v>691</v>
      </c>
      <c r="C214" s="106" t="s">
        <v>788</v>
      </c>
      <c r="D214" s="107" t="s">
        <v>628</v>
      </c>
      <c r="E214" s="108" t="s">
        <v>780</v>
      </c>
      <c r="F214" s="108" t="s">
        <v>715</v>
      </c>
      <c r="G214" s="108" t="s">
        <v>716</v>
      </c>
      <c r="H214" s="105" t="s">
        <v>300</v>
      </c>
      <c r="I214" s="109">
        <v>5</v>
      </c>
      <c r="J214" s="109" t="s">
        <v>711</v>
      </c>
      <c r="K214" s="105" t="s">
        <v>286</v>
      </c>
      <c r="L214" s="107" t="str">
        <f ca="1">VLOOKUP($K214,OFFSET([1]character_type_i18n!$A$1,0,0,COUNTA([1]character_type_i18n!$A:$A),MATCH(L$1,[1]character_type_i18n!$1:$1,0)-MATCH($K$1,[1]character_type_i18n!$1:$1,0)+1),MATCH(L$1,[1]character_type_i18n!$1:$1,0)-MATCH($K$1,[1]character_type_i18n!$1:$1,0)+1,FALSE)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4" s="105" t="s">
        <v>517</v>
      </c>
      <c r="N214" s="107" t="str">
        <f>VLOOKUP(M214,[1]character_tribe_i18n!A:C,3,FALSE)</f>
        <v>ゴッド</v>
      </c>
      <c r="O214" s="105" t="s">
        <v>278</v>
      </c>
      <c r="P214" s="107" t="str">
        <f>VLOOKUP(O214,[1]character_tribe_i18n!A:C,3,FALSE)</f>
        <v>種族なし</v>
      </c>
      <c r="Q214" s="117" t="s">
        <v>707</v>
      </c>
      <c r="R214" s="111">
        <v>3</v>
      </c>
      <c r="S214" s="108" t="s">
        <v>280</v>
      </c>
      <c r="T214" s="108" t="s">
        <v>281</v>
      </c>
      <c r="U214" s="108" t="s">
        <v>280</v>
      </c>
      <c r="V214" s="108" t="s">
        <v>280</v>
      </c>
      <c r="W214" s="108" t="s">
        <v>280</v>
      </c>
    </row>
    <row r="215" spans="1:23" ht="21" customHeight="1" x14ac:dyDescent="0.15">
      <c r="A215" s="104">
        <f t="shared" si="3"/>
        <v>214</v>
      </c>
      <c r="B215" s="105" t="s">
        <v>268</v>
      </c>
      <c r="C215" s="106" t="s">
        <v>789</v>
      </c>
      <c r="D215" s="107" t="s">
        <v>628</v>
      </c>
      <c r="E215" s="108" t="s">
        <v>780</v>
      </c>
      <c r="F215" s="108" t="s">
        <v>660</v>
      </c>
      <c r="G215" s="108" t="s">
        <v>716</v>
      </c>
      <c r="H215" s="105" t="s">
        <v>274</v>
      </c>
      <c r="I215" s="109">
        <v>3</v>
      </c>
      <c r="J215" s="109" t="s">
        <v>711</v>
      </c>
      <c r="K215" s="105" t="s">
        <v>286</v>
      </c>
      <c r="L215" s="107" t="str">
        <f ca="1">VLOOKUP($K215,OFFSET([1]character_type_i18n!$A$1,0,0,COUNTA([1]character_type_i18n!$A:$A),MATCH(L$1,[1]character_type_i18n!$1:$1,0)-MATCH($K$1,[1]character_type_i18n!$1:$1,0)+1),MATCH(L$1,[1]character_type_i18n!$1:$1,0)-MATCH($K$1,[1]character_type_i18n!$1:$1,0)+1,FALSE)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5" s="105" t="s">
        <v>517</v>
      </c>
      <c r="N215" s="107" t="str">
        <f>VLOOKUP(M215,[1]character_tribe_i18n!A:C,3,FALSE)</f>
        <v>ゴッド</v>
      </c>
      <c r="O215" s="105" t="s">
        <v>278</v>
      </c>
      <c r="P215" s="107" t="str">
        <f>VLOOKUP(O215,[1]character_tribe_i18n!A:C,3,FALSE)</f>
        <v>種族なし</v>
      </c>
      <c r="Q215" s="117" t="s">
        <v>757</v>
      </c>
      <c r="R215" s="111">
        <v>3</v>
      </c>
      <c r="S215" s="108" t="s">
        <v>700</v>
      </c>
      <c r="T215" s="108" t="s">
        <v>701</v>
      </c>
      <c r="U215" s="108" t="s">
        <v>700</v>
      </c>
      <c r="V215" s="108" t="s">
        <v>700</v>
      </c>
      <c r="W215" s="108" t="s">
        <v>700</v>
      </c>
    </row>
    <row r="216" spans="1:23" ht="21" customHeight="1" x14ac:dyDescent="0.15">
      <c r="A216" s="104">
        <f t="shared" si="3"/>
        <v>215</v>
      </c>
      <c r="B216" s="105" t="s">
        <v>691</v>
      </c>
      <c r="C216" s="106" t="s">
        <v>790</v>
      </c>
      <c r="D216" s="107" t="s">
        <v>628</v>
      </c>
      <c r="E216" s="108" t="s">
        <v>780</v>
      </c>
      <c r="F216" s="108" t="s">
        <v>660</v>
      </c>
      <c r="G216" s="108" t="s">
        <v>716</v>
      </c>
      <c r="H216" s="105" t="s">
        <v>274</v>
      </c>
      <c r="I216" s="109">
        <v>4</v>
      </c>
      <c r="J216" s="109" t="s">
        <v>711</v>
      </c>
      <c r="K216" s="105" t="s">
        <v>286</v>
      </c>
      <c r="L216" s="107" t="str">
        <f ca="1">VLOOKUP($K216,OFFSET([1]character_type_i18n!$A$1,0,0,COUNTA([1]character_type_i18n!$A:$A),MATCH(L$1,[1]character_type_i18n!$1:$1,0)-MATCH($K$1,[1]character_type_i18n!$1:$1,0)+1),MATCH(L$1,[1]character_type_i18n!$1:$1,0)-MATCH($K$1,[1]character_type_i18n!$1:$1,0)+1,FALSE)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6" s="105" t="s">
        <v>517</v>
      </c>
      <c r="N216" s="107" t="str">
        <f>VLOOKUP(M216,[1]character_tribe_i18n!A:C,3,FALSE)</f>
        <v>ゴッド</v>
      </c>
      <c r="O216" s="105" t="s">
        <v>278</v>
      </c>
      <c r="P216" s="107" t="str">
        <f>VLOOKUP(O216,[1]character_tribe_i18n!A:C,3,FALSE)</f>
        <v>種族なし</v>
      </c>
      <c r="Q216" s="117" t="s">
        <v>654</v>
      </c>
      <c r="R216" s="111">
        <v>3</v>
      </c>
      <c r="S216" s="108" t="s">
        <v>280</v>
      </c>
      <c r="T216" s="108" t="s">
        <v>281</v>
      </c>
      <c r="U216" s="108" t="s">
        <v>280</v>
      </c>
      <c r="V216" s="108" t="s">
        <v>280</v>
      </c>
      <c r="W216" s="108" t="s">
        <v>280</v>
      </c>
    </row>
    <row r="217" spans="1:23" ht="21" customHeight="1" x14ac:dyDescent="0.15">
      <c r="A217" s="104">
        <f t="shared" si="3"/>
        <v>216</v>
      </c>
      <c r="B217" s="105" t="s">
        <v>268</v>
      </c>
      <c r="C217" s="106" t="s">
        <v>791</v>
      </c>
      <c r="D217" s="107" t="s">
        <v>628</v>
      </c>
      <c r="E217" s="108" t="s">
        <v>780</v>
      </c>
      <c r="F217" s="108" t="s">
        <v>660</v>
      </c>
      <c r="G217" s="108" t="s">
        <v>716</v>
      </c>
      <c r="H217" s="105" t="s">
        <v>274</v>
      </c>
      <c r="I217" s="109">
        <v>5</v>
      </c>
      <c r="J217" s="109" t="s">
        <v>711</v>
      </c>
      <c r="K217" s="105" t="s">
        <v>286</v>
      </c>
      <c r="L217" s="107" t="str">
        <f ca="1">VLOOKUP($K217,OFFSET([1]character_type_i18n!$A$1,0,0,COUNTA([1]character_type_i18n!$A:$A),MATCH(L$1,[1]character_type_i18n!$1:$1,0)-MATCH($K$1,[1]character_type_i18n!$1:$1,0)+1),MATCH(L$1,[1]character_type_i18n!$1:$1,0)-MATCH($K$1,[1]character_type_i18n!$1:$1,0)+1,FALSE)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7" s="105" t="s">
        <v>517</v>
      </c>
      <c r="N217" s="107" t="str">
        <f>VLOOKUP(M217,[1]character_tribe_i18n!A:C,3,FALSE)</f>
        <v>ゴッド</v>
      </c>
      <c r="O217" s="105" t="s">
        <v>278</v>
      </c>
      <c r="P217" s="107" t="str">
        <f>VLOOKUP(O217,[1]character_tribe_i18n!A:C,3,FALSE)</f>
        <v>種族なし</v>
      </c>
      <c r="Q217" s="117" t="s">
        <v>654</v>
      </c>
      <c r="R217" s="111">
        <v>3</v>
      </c>
      <c r="S217" s="108" t="s">
        <v>280</v>
      </c>
      <c r="T217" s="108" t="s">
        <v>281</v>
      </c>
      <c r="U217" s="108" t="s">
        <v>280</v>
      </c>
      <c r="V217" s="108" t="s">
        <v>280</v>
      </c>
      <c r="W217" s="108" t="s">
        <v>280</v>
      </c>
    </row>
    <row r="218" spans="1:23" ht="21" customHeight="1" x14ac:dyDescent="0.15">
      <c r="A218" s="104">
        <f t="shared" si="3"/>
        <v>217</v>
      </c>
      <c r="B218" s="105" t="s">
        <v>268</v>
      </c>
      <c r="C218" s="106" t="s">
        <v>792</v>
      </c>
      <c r="D218" s="107" t="s">
        <v>628</v>
      </c>
      <c r="E218" s="108" t="s">
        <v>735</v>
      </c>
      <c r="F218" s="108" t="s">
        <v>715</v>
      </c>
      <c r="G218" s="108" t="s">
        <v>716</v>
      </c>
      <c r="H218" s="105" t="s">
        <v>285</v>
      </c>
      <c r="I218" s="109">
        <v>3</v>
      </c>
      <c r="J218" s="109" t="s">
        <v>711</v>
      </c>
      <c r="K218" s="105" t="s">
        <v>347</v>
      </c>
      <c r="L218" s="107" t="str">
        <f ca="1">VLOOKUP($K218,OFFSET([1]character_type_i18n!$A$1,0,0,COUNTA([1]character_type_i18n!$A:$A),MATCH(L$1,[1]character_type_i18n!$1:$1,0)-MATCH($K$1,[1]character_type_i18n!$1:$1,0)+1),MATCH(L$1,[1]character_type_i18n!$1:$1,0)-MATCH($K$1,[1]character_type_i18n!$1:$1,0)+1,FALSE)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18" s="105" t="s">
        <v>348</v>
      </c>
      <c r="N218" s="107" t="str">
        <f>VLOOKUP(M218,[1]character_tribe_i18n!A:C,3,FALSE)</f>
        <v>ドラゴン</v>
      </c>
      <c r="O218" s="105" t="s">
        <v>278</v>
      </c>
      <c r="P218" s="107" t="str">
        <f>VLOOKUP(O218,[1]character_tribe_i18n!A:C,3,FALSE)</f>
        <v>種族なし</v>
      </c>
      <c r="Q218" s="117" t="s">
        <v>654</v>
      </c>
      <c r="R218" s="111">
        <v>3</v>
      </c>
      <c r="S218" s="108" t="s">
        <v>280</v>
      </c>
      <c r="T218" s="108" t="s">
        <v>281</v>
      </c>
      <c r="U218" s="108" t="s">
        <v>280</v>
      </c>
      <c r="V218" s="108" t="s">
        <v>280</v>
      </c>
      <c r="W218" s="108" t="s">
        <v>280</v>
      </c>
    </row>
    <row r="219" spans="1:23" ht="21" customHeight="1" x14ac:dyDescent="0.15">
      <c r="A219" s="104">
        <f t="shared" si="3"/>
        <v>218</v>
      </c>
      <c r="B219" s="105" t="s">
        <v>268</v>
      </c>
      <c r="C219" s="106" t="s">
        <v>793</v>
      </c>
      <c r="D219" s="107" t="s">
        <v>628</v>
      </c>
      <c r="E219" s="108" t="s">
        <v>743</v>
      </c>
      <c r="F219" s="108" t="s">
        <v>724</v>
      </c>
      <c r="G219" s="108" t="s">
        <v>725</v>
      </c>
      <c r="H219" s="105" t="s">
        <v>285</v>
      </c>
      <c r="I219" s="109">
        <v>4</v>
      </c>
      <c r="J219" s="109" t="s">
        <v>711</v>
      </c>
      <c r="K219" s="105" t="s">
        <v>347</v>
      </c>
      <c r="L219" s="107" t="str">
        <f ca="1">VLOOKUP($K219,OFFSET([1]character_type_i18n!$A$1,0,0,COUNTA([1]character_type_i18n!$A:$A),MATCH(L$1,[1]character_type_i18n!$1:$1,0)-MATCH($K$1,[1]character_type_i18n!$1:$1,0)+1),MATCH(L$1,[1]character_type_i18n!$1:$1,0)-MATCH($K$1,[1]character_type_i18n!$1:$1,0)+1,FALSE)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19" s="105" t="s">
        <v>348</v>
      </c>
      <c r="N219" s="107" t="str">
        <f>VLOOKUP(M219,[1]character_tribe_i18n!A:C,3,FALSE)</f>
        <v>ドラゴン</v>
      </c>
      <c r="O219" s="105" t="s">
        <v>278</v>
      </c>
      <c r="P219" s="107" t="str">
        <f>VLOOKUP(O219,[1]character_tribe_i18n!A:C,3,FALSE)</f>
        <v>種族なし</v>
      </c>
      <c r="Q219" s="117" t="s">
        <v>654</v>
      </c>
      <c r="R219" s="111">
        <v>3</v>
      </c>
      <c r="S219" s="108" t="s">
        <v>280</v>
      </c>
      <c r="T219" s="108" t="s">
        <v>281</v>
      </c>
      <c r="U219" s="108" t="s">
        <v>280</v>
      </c>
      <c r="V219" s="108" t="s">
        <v>280</v>
      </c>
      <c r="W219" s="108" t="s">
        <v>280</v>
      </c>
    </row>
    <row r="220" spans="1:23" ht="21" customHeight="1" x14ac:dyDescent="0.15">
      <c r="A220" s="104">
        <f t="shared" si="3"/>
        <v>219</v>
      </c>
      <c r="B220" s="105" t="s">
        <v>268</v>
      </c>
      <c r="C220" s="106" t="s">
        <v>794</v>
      </c>
      <c r="D220" s="107" t="s">
        <v>628</v>
      </c>
      <c r="E220" s="108" t="s">
        <v>735</v>
      </c>
      <c r="F220" s="108" t="s">
        <v>715</v>
      </c>
      <c r="G220" s="108" t="s">
        <v>716</v>
      </c>
      <c r="H220" s="105" t="s">
        <v>285</v>
      </c>
      <c r="I220" s="109">
        <v>5</v>
      </c>
      <c r="J220" s="109" t="s">
        <v>711</v>
      </c>
      <c r="K220" s="105" t="s">
        <v>347</v>
      </c>
      <c r="L220" s="107" t="str">
        <f ca="1">VLOOKUP($K220,OFFSET([1]character_type_i18n!$A$1,0,0,COUNTA([1]character_type_i18n!$A:$A),MATCH(L$1,[1]character_type_i18n!$1:$1,0)-MATCH($K$1,[1]character_type_i18n!$1:$1,0)+1),MATCH(L$1,[1]character_type_i18n!$1:$1,0)-MATCH($K$1,[1]character_type_i18n!$1:$1,0)+1,FALSE)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20" s="105" t="s">
        <v>348</v>
      </c>
      <c r="N220" s="107" t="str">
        <f>VLOOKUP(M220,[1]character_tribe_i18n!A:C,3,FALSE)</f>
        <v>ドラゴン</v>
      </c>
      <c r="O220" s="105" t="s">
        <v>278</v>
      </c>
      <c r="P220" s="107" t="str">
        <f>VLOOKUP(O220,[1]character_tribe_i18n!A:C,3,FALSE)</f>
        <v>種族なし</v>
      </c>
      <c r="Q220" s="117" t="s">
        <v>654</v>
      </c>
      <c r="R220" s="111">
        <v>3</v>
      </c>
      <c r="S220" s="108" t="s">
        <v>280</v>
      </c>
      <c r="T220" s="108" t="s">
        <v>281</v>
      </c>
      <c r="U220" s="108" t="s">
        <v>280</v>
      </c>
      <c r="V220" s="108" t="s">
        <v>280</v>
      </c>
      <c r="W220" s="108" t="s">
        <v>280</v>
      </c>
    </row>
    <row r="221" spans="1:23" ht="21" customHeight="1" x14ac:dyDescent="0.15">
      <c r="A221" s="104">
        <f t="shared" si="3"/>
        <v>220</v>
      </c>
      <c r="B221" s="105" t="s">
        <v>268</v>
      </c>
      <c r="C221" s="106" t="s">
        <v>795</v>
      </c>
      <c r="D221" s="107" t="s">
        <v>628</v>
      </c>
      <c r="E221" s="108" t="s">
        <v>703</v>
      </c>
      <c r="F221" s="108" t="s">
        <v>715</v>
      </c>
      <c r="G221" s="108" t="s">
        <v>716</v>
      </c>
      <c r="H221" s="105" t="s">
        <v>295</v>
      </c>
      <c r="I221" s="109">
        <v>3</v>
      </c>
      <c r="J221" s="109" t="s">
        <v>711</v>
      </c>
      <c r="K221" s="105" t="s">
        <v>286</v>
      </c>
      <c r="L221" s="107" t="str">
        <f ca="1">VLOOKUP($K221,OFFSET([1]character_type_i18n!$A$1,0,0,COUNTA([1]character_type_i18n!$A:$A),MATCH(L$1,[1]character_type_i18n!$1:$1,0)-MATCH($K$1,[1]character_type_i18n!$1:$1,0)+1),MATCH(L$1,[1]character_type_i18n!$1:$1,0)-MATCH($K$1,[1]character_type_i18n!$1:$1,0)+1,FALSE)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1" s="105" t="s">
        <v>517</v>
      </c>
      <c r="N221" s="107" t="str">
        <f>VLOOKUP(M221,[1]character_tribe_i18n!A:C,3,FALSE)</f>
        <v>ゴッド</v>
      </c>
      <c r="O221" s="105" t="s">
        <v>278</v>
      </c>
      <c r="P221" s="107" t="str">
        <f>VLOOKUP(O221,[1]character_tribe_i18n!A:C,3,FALSE)</f>
        <v>種族なし</v>
      </c>
      <c r="Q221" s="110" t="s">
        <v>796</v>
      </c>
      <c r="R221" s="111">
        <v>3</v>
      </c>
      <c r="S221" s="108" t="s">
        <v>700</v>
      </c>
      <c r="T221" s="108" t="s">
        <v>701</v>
      </c>
      <c r="U221" s="108" t="s">
        <v>700</v>
      </c>
      <c r="V221" s="108" t="s">
        <v>700</v>
      </c>
      <c r="W221" s="108" t="s">
        <v>700</v>
      </c>
    </row>
    <row r="222" spans="1:23" ht="21" customHeight="1" x14ac:dyDescent="0.15">
      <c r="A222" s="104">
        <f t="shared" si="3"/>
        <v>221</v>
      </c>
      <c r="B222" s="105" t="s">
        <v>691</v>
      </c>
      <c r="C222" s="106" t="s">
        <v>797</v>
      </c>
      <c r="D222" s="107" t="s">
        <v>628</v>
      </c>
      <c r="E222" s="108" t="s">
        <v>703</v>
      </c>
      <c r="F222" s="108" t="s">
        <v>715</v>
      </c>
      <c r="G222" s="108" t="s">
        <v>716</v>
      </c>
      <c r="H222" s="105" t="s">
        <v>295</v>
      </c>
      <c r="I222" s="109">
        <v>4</v>
      </c>
      <c r="J222" s="109" t="s">
        <v>711</v>
      </c>
      <c r="K222" s="105" t="s">
        <v>286</v>
      </c>
      <c r="L222" s="107" t="str">
        <f ca="1">VLOOKUP($K222,OFFSET([1]character_type_i18n!$A$1,0,0,COUNTA([1]character_type_i18n!$A:$A),MATCH(L$1,[1]character_type_i18n!$1:$1,0)-MATCH($K$1,[1]character_type_i18n!$1:$1,0)+1),MATCH(L$1,[1]character_type_i18n!$1:$1,0)-MATCH($K$1,[1]character_type_i18n!$1:$1,0)+1,FALSE)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2" s="105" t="s">
        <v>517</v>
      </c>
      <c r="N222" s="107" t="str">
        <f>VLOOKUP(M222,[1]character_tribe_i18n!A:C,3,FALSE)</f>
        <v>ゴッド</v>
      </c>
      <c r="O222" s="105" t="s">
        <v>278</v>
      </c>
      <c r="P222" s="107" t="str">
        <f>VLOOKUP(O222,[1]character_tribe_i18n!A:C,3,FALSE)</f>
        <v>種族なし</v>
      </c>
      <c r="Q222" s="110" t="s">
        <v>279</v>
      </c>
      <c r="R222" s="111">
        <v>3</v>
      </c>
      <c r="S222" s="108" t="s">
        <v>280</v>
      </c>
      <c r="T222" s="108" t="s">
        <v>281</v>
      </c>
      <c r="U222" s="108" t="s">
        <v>280</v>
      </c>
      <c r="V222" s="108" t="s">
        <v>280</v>
      </c>
      <c r="W222" s="108" t="s">
        <v>280</v>
      </c>
    </row>
    <row r="223" spans="1:23" ht="21" customHeight="1" x14ac:dyDescent="0.15">
      <c r="A223" s="104">
        <f t="shared" si="3"/>
        <v>222</v>
      </c>
      <c r="B223" s="105" t="s">
        <v>268</v>
      </c>
      <c r="C223" s="106" t="s">
        <v>798</v>
      </c>
      <c r="D223" s="107" t="s">
        <v>628</v>
      </c>
      <c r="E223" s="108" t="s">
        <v>703</v>
      </c>
      <c r="F223" s="108" t="s">
        <v>715</v>
      </c>
      <c r="G223" s="108" t="s">
        <v>716</v>
      </c>
      <c r="H223" s="105" t="s">
        <v>295</v>
      </c>
      <c r="I223" s="109">
        <v>5</v>
      </c>
      <c r="J223" s="109" t="s">
        <v>711</v>
      </c>
      <c r="K223" s="105" t="s">
        <v>286</v>
      </c>
      <c r="L223" s="107" t="str">
        <f ca="1">VLOOKUP($K223,OFFSET([1]character_type_i18n!$A$1,0,0,COUNTA([1]character_type_i18n!$A:$A),MATCH(L$1,[1]character_type_i18n!$1:$1,0)-MATCH($K$1,[1]character_type_i18n!$1:$1,0)+1),MATCH(L$1,[1]character_type_i18n!$1:$1,0)-MATCH($K$1,[1]character_type_i18n!$1:$1,0)+1,FALSE)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3" s="105" t="s">
        <v>517</v>
      </c>
      <c r="N223" s="107" t="str">
        <f>VLOOKUP(M223,[1]character_tribe_i18n!A:C,3,FALSE)</f>
        <v>ゴッド</v>
      </c>
      <c r="O223" s="105" t="s">
        <v>278</v>
      </c>
      <c r="P223" s="107" t="str">
        <f>VLOOKUP(O223,[1]character_tribe_i18n!A:C,3,FALSE)</f>
        <v>種族なし</v>
      </c>
      <c r="Q223" s="110" t="s">
        <v>799</v>
      </c>
      <c r="R223" s="111">
        <v>3</v>
      </c>
      <c r="S223" s="108" t="s">
        <v>771</v>
      </c>
      <c r="T223" s="108" t="s">
        <v>800</v>
      </c>
      <c r="U223" s="108" t="s">
        <v>771</v>
      </c>
      <c r="V223" s="108" t="s">
        <v>771</v>
      </c>
      <c r="W223" s="108" t="s">
        <v>771</v>
      </c>
    </row>
    <row r="224" spans="1:23" ht="21" customHeight="1" x14ac:dyDescent="0.15">
      <c r="A224" s="104">
        <f t="shared" si="3"/>
        <v>223</v>
      </c>
      <c r="B224" s="105" t="s">
        <v>336</v>
      </c>
      <c r="C224" s="106" t="s">
        <v>801</v>
      </c>
      <c r="D224" s="107" t="s">
        <v>628</v>
      </c>
      <c r="E224" s="108" t="s">
        <v>750</v>
      </c>
      <c r="F224" s="108" t="s">
        <v>704</v>
      </c>
      <c r="G224" s="108" t="s">
        <v>705</v>
      </c>
      <c r="H224" s="105" t="s">
        <v>300</v>
      </c>
      <c r="I224" s="109">
        <v>3</v>
      </c>
      <c r="J224" s="109" t="s">
        <v>711</v>
      </c>
      <c r="K224" s="105" t="s">
        <v>286</v>
      </c>
      <c r="L224" s="107" t="str">
        <f ca="1">VLOOKUP($K224,OFFSET([1]character_type_i18n!$A$1,0,0,COUNTA([1]character_type_i18n!$A:$A),MATCH(L$1,[1]character_type_i18n!$1:$1,0)-MATCH($K$1,[1]character_type_i18n!$1:$1,0)+1),MATCH(L$1,[1]character_type_i18n!$1:$1,0)-MATCH($K$1,[1]character_type_i18n!$1:$1,0)+1,FALSE)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4" s="105" t="s">
        <v>332</v>
      </c>
      <c r="N224" s="107" t="str">
        <f>VLOOKUP(M224,[1]character_tribe_i18n!A:C,3,FALSE)</f>
        <v>ヒューマン</v>
      </c>
      <c r="O224" s="105" t="s">
        <v>278</v>
      </c>
      <c r="P224" s="107" t="str">
        <f>VLOOKUP(O224,[1]character_tribe_i18n!A:C,3,FALSE)</f>
        <v>種族なし</v>
      </c>
      <c r="Q224" s="117" t="s">
        <v>654</v>
      </c>
      <c r="R224" s="111">
        <v>3</v>
      </c>
      <c r="S224" s="108" t="s">
        <v>280</v>
      </c>
      <c r="T224" s="108" t="s">
        <v>281</v>
      </c>
      <c r="U224" s="108" t="s">
        <v>280</v>
      </c>
      <c r="V224" s="108" t="s">
        <v>280</v>
      </c>
      <c r="W224" s="108" t="s">
        <v>280</v>
      </c>
    </row>
    <row r="225" spans="1:23" ht="21" customHeight="1" x14ac:dyDescent="0.15">
      <c r="A225" s="104">
        <f t="shared" si="3"/>
        <v>224</v>
      </c>
      <c r="B225" s="105" t="s">
        <v>268</v>
      </c>
      <c r="C225" s="106" t="s">
        <v>802</v>
      </c>
      <c r="D225" s="107" t="s">
        <v>628</v>
      </c>
      <c r="E225" s="108" t="s">
        <v>750</v>
      </c>
      <c r="F225" s="108" t="s">
        <v>704</v>
      </c>
      <c r="G225" s="108" t="s">
        <v>705</v>
      </c>
      <c r="H225" s="105" t="s">
        <v>300</v>
      </c>
      <c r="I225" s="109">
        <v>4</v>
      </c>
      <c r="J225" s="109" t="s">
        <v>711</v>
      </c>
      <c r="K225" s="105" t="s">
        <v>286</v>
      </c>
      <c r="L225" s="107" t="str">
        <f ca="1">VLOOKUP($K225,OFFSET([1]character_type_i18n!$A$1,0,0,COUNTA([1]character_type_i18n!$A:$A),MATCH(L$1,[1]character_type_i18n!$1:$1,0)-MATCH($K$1,[1]character_type_i18n!$1:$1,0)+1),MATCH(L$1,[1]character_type_i18n!$1:$1,0)-MATCH($K$1,[1]character_type_i18n!$1:$1,0)+1,FALSE)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5" s="105" t="s">
        <v>332</v>
      </c>
      <c r="N225" s="107" t="str">
        <f>VLOOKUP(M225,[1]character_tribe_i18n!A:C,3,FALSE)</f>
        <v>ヒューマン</v>
      </c>
      <c r="O225" s="105" t="s">
        <v>278</v>
      </c>
      <c r="P225" s="107" t="str">
        <f>VLOOKUP(O225,[1]character_tribe_i18n!A:C,3,FALSE)</f>
        <v>種族なし</v>
      </c>
      <c r="Q225" s="117" t="s">
        <v>757</v>
      </c>
      <c r="R225" s="111">
        <v>3</v>
      </c>
      <c r="S225" s="108" t="s">
        <v>700</v>
      </c>
      <c r="T225" s="108" t="s">
        <v>701</v>
      </c>
      <c r="U225" s="108" t="s">
        <v>700</v>
      </c>
      <c r="V225" s="108" t="s">
        <v>700</v>
      </c>
      <c r="W225" s="108" t="s">
        <v>700</v>
      </c>
    </row>
    <row r="226" spans="1:23" ht="21" customHeight="1" x14ac:dyDescent="0.15">
      <c r="A226" s="104">
        <f t="shared" si="3"/>
        <v>225</v>
      </c>
      <c r="B226" s="105" t="s">
        <v>691</v>
      </c>
      <c r="C226" s="106" t="s">
        <v>803</v>
      </c>
      <c r="D226" s="107" t="s">
        <v>628</v>
      </c>
      <c r="E226" s="108" t="s">
        <v>750</v>
      </c>
      <c r="F226" s="108" t="s">
        <v>704</v>
      </c>
      <c r="G226" s="108" t="s">
        <v>705</v>
      </c>
      <c r="H226" s="105" t="s">
        <v>300</v>
      </c>
      <c r="I226" s="109">
        <v>5</v>
      </c>
      <c r="J226" s="109" t="s">
        <v>711</v>
      </c>
      <c r="K226" s="105" t="s">
        <v>286</v>
      </c>
      <c r="L226" s="107" t="str">
        <f ca="1">VLOOKUP($K226,OFFSET([1]character_type_i18n!$A$1,0,0,COUNTA([1]character_type_i18n!$A:$A),MATCH(L$1,[1]character_type_i18n!$1:$1,0)-MATCH($K$1,[1]character_type_i18n!$1:$1,0)+1),MATCH(L$1,[1]character_type_i18n!$1:$1,0)-MATCH($K$1,[1]character_type_i18n!$1:$1,0)+1,FALSE)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6" s="105" t="s">
        <v>332</v>
      </c>
      <c r="N226" s="107" t="str">
        <f>VLOOKUP(M226,[1]character_tribe_i18n!A:C,3,FALSE)</f>
        <v>ヒューマン</v>
      </c>
      <c r="O226" s="105" t="s">
        <v>278</v>
      </c>
      <c r="P226" s="107" t="str">
        <f>VLOOKUP(O226,[1]character_tribe_i18n!A:C,3,FALSE)</f>
        <v>種族なし</v>
      </c>
      <c r="Q226" s="117" t="s">
        <v>654</v>
      </c>
      <c r="R226" s="111">
        <v>3</v>
      </c>
      <c r="S226" s="108" t="s">
        <v>280</v>
      </c>
      <c r="T226" s="108" t="s">
        <v>281</v>
      </c>
      <c r="U226" s="108" t="s">
        <v>280</v>
      </c>
      <c r="V226" s="108" t="s">
        <v>280</v>
      </c>
      <c r="W226" s="108" t="s">
        <v>280</v>
      </c>
    </row>
    <row r="227" spans="1:23" ht="21" customHeight="1" x14ac:dyDescent="0.15">
      <c r="A227" s="104">
        <f t="shared" si="3"/>
        <v>226</v>
      </c>
      <c r="B227" s="105" t="s">
        <v>268</v>
      </c>
      <c r="C227" s="106" t="s">
        <v>804</v>
      </c>
      <c r="D227" s="107" t="s">
        <v>628</v>
      </c>
      <c r="E227" s="108" t="s">
        <v>780</v>
      </c>
      <c r="F227" s="108" t="s">
        <v>704</v>
      </c>
      <c r="G227" s="108" t="s">
        <v>705</v>
      </c>
      <c r="H227" s="105" t="s">
        <v>274</v>
      </c>
      <c r="I227" s="109">
        <v>3</v>
      </c>
      <c r="J227" s="109" t="s">
        <v>805</v>
      </c>
      <c r="K227" s="105" t="s">
        <v>276</v>
      </c>
      <c r="L227" s="107" t="str">
        <f ca="1">VLOOKUP($K227,OFFSET([1]character_type_i18n!$A$1,0,0,COUNTA([1]character_type_i18n!$A:$A),MATCH(L$1,[1]character_type_i18n!$1:$1,0)-MATCH($K$1,[1]character_type_i18n!$1:$1,0)+1),MATCH(L$1,[1]character_type_i18n!$1:$1,0)-MATCH($K$1,[1]character_type_i18n!$1:$1,0)+1,FALSE)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27" s="105" t="s">
        <v>517</v>
      </c>
      <c r="N227" s="107" t="str">
        <f>VLOOKUP(M227,[1]character_tribe_i18n!A:C,3,FALSE)</f>
        <v>ゴッド</v>
      </c>
      <c r="O227" s="105" t="s">
        <v>278</v>
      </c>
      <c r="P227" s="107" t="str">
        <f>VLOOKUP(O227,[1]character_tribe_i18n!A:C,3,FALSE)</f>
        <v>種族なし</v>
      </c>
      <c r="Q227" s="117" t="s">
        <v>806</v>
      </c>
      <c r="R227" s="111">
        <v>3</v>
      </c>
      <c r="S227" s="108" t="s">
        <v>807</v>
      </c>
      <c r="T227" s="108" t="s">
        <v>808</v>
      </c>
      <c r="U227" s="108" t="s">
        <v>807</v>
      </c>
      <c r="V227" s="108" t="s">
        <v>807</v>
      </c>
      <c r="W227" s="108" t="s">
        <v>807</v>
      </c>
    </row>
    <row r="228" spans="1:23" ht="21" customHeight="1" x14ac:dyDescent="0.15">
      <c r="A228" s="104">
        <f t="shared" si="3"/>
        <v>227</v>
      </c>
      <c r="B228" s="105" t="s">
        <v>308</v>
      </c>
      <c r="C228" s="106" t="s">
        <v>809</v>
      </c>
      <c r="D228" s="107" t="s">
        <v>628</v>
      </c>
      <c r="E228" s="108" t="s">
        <v>780</v>
      </c>
      <c r="F228" s="108" t="s">
        <v>704</v>
      </c>
      <c r="G228" s="108" t="s">
        <v>705</v>
      </c>
      <c r="H228" s="105" t="s">
        <v>274</v>
      </c>
      <c r="I228" s="109">
        <v>4</v>
      </c>
      <c r="J228" s="109" t="s">
        <v>805</v>
      </c>
      <c r="K228" s="105" t="s">
        <v>276</v>
      </c>
      <c r="L228" s="107" t="str">
        <f ca="1">VLOOKUP($K228,OFFSET([1]character_type_i18n!$A$1,0,0,COUNTA([1]character_type_i18n!$A:$A),MATCH(L$1,[1]character_type_i18n!$1:$1,0)-MATCH($K$1,[1]character_type_i18n!$1:$1,0)+1),MATCH(L$1,[1]character_type_i18n!$1:$1,0)-MATCH($K$1,[1]character_type_i18n!$1:$1,0)+1,FALSE)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28" s="105" t="s">
        <v>517</v>
      </c>
      <c r="N228" s="107" t="str">
        <f>VLOOKUP(M228,[1]character_tribe_i18n!A:C,3,FALSE)</f>
        <v>ゴッド</v>
      </c>
      <c r="O228" s="105" t="s">
        <v>278</v>
      </c>
      <c r="P228" s="107" t="str">
        <f>VLOOKUP(O228,[1]character_tribe_i18n!A:C,3,FALSE)</f>
        <v>種族なし</v>
      </c>
      <c r="Q228" s="117" t="s">
        <v>707</v>
      </c>
      <c r="R228" s="111">
        <v>3</v>
      </c>
      <c r="S228" s="108" t="s">
        <v>280</v>
      </c>
      <c r="T228" s="108" t="s">
        <v>281</v>
      </c>
      <c r="U228" s="108" t="s">
        <v>280</v>
      </c>
      <c r="V228" s="108" t="s">
        <v>280</v>
      </c>
      <c r="W228" s="108" t="s">
        <v>280</v>
      </c>
    </row>
    <row r="229" spans="1:23" ht="21" customHeight="1" x14ac:dyDescent="0.15">
      <c r="A229" s="104">
        <f t="shared" si="3"/>
        <v>228</v>
      </c>
      <c r="B229" s="105" t="s">
        <v>268</v>
      </c>
      <c r="C229" s="106" t="s">
        <v>810</v>
      </c>
      <c r="D229" s="107" t="s">
        <v>628</v>
      </c>
      <c r="E229" s="108" t="s">
        <v>780</v>
      </c>
      <c r="F229" s="108" t="s">
        <v>704</v>
      </c>
      <c r="G229" s="108" t="s">
        <v>705</v>
      </c>
      <c r="H229" s="105" t="s">
        <v>274</v>
      </c>
      <c r="I229" s="109">
        <v>5</v>
      </c>
      <c r="J229" s="109" t="s">
        <v>805</v>
      </c>
      <c r="K229" s="105" t="s">
        <v>276</v>
      </c>
      <c r="L229" s="107" t="str">
        <f ca="1">VLOOKUP($K229,OFFSET([1]character_type_i18n!$A$1,0,0,COUNTA([1]character_type_i18n!$A:$A),MATCH(L$1,[1]character_type_i18n!$1:$1,0)-MATCH($K$1,[1]character_type_i18n!$1:$1,0)+1),MATCH(L$1,[1]character_type_i18n!$1:$1,0)-MATCH($K$1,[1]character_type_i18n!$1:$1,0)+1,FALSE)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29" s="105" t="s">
        <v>517</v>
      </c>
      <c r="N229" s="107" t="str">
        <f>VLOOKUP(M229,[1]character_tribe_i18n!A:C,3,FALSE)</f>
        <v>ゴッド</v>
      </c>
      <c r="O229" s="105" t="s">
        <v>278</v>
      </c>
      <c r="P229" s="107" t="str">
        <f>VLOOKUP(O229,[1]character_tribe_i18n!A:C,3,FALSE)</f>
        <v>種族なし</v>
      </c>
      <c r="Q229" s="117" t="s">
        <v>707</v>
      </c>
      <c r="R229" s="111">
        <v>3</v>
      </c>
      <c r="S229" s="108" t="s">
        <v>280</v>
      </c>
      <c r="T229" s="108" t="s">
        <v>281</v>
      </c>
      <c r="U229" s="108" t="s">
        <v>280</v>
      </c>
      <c r="V229" s="108" t="s">
        <v>280</v>
      </c>
      <c r="W229" s="108" t="s">
        <v>280</v>
      </c>
    </row>
    <row r="230" spans="1:23" ht="21" customHeight="1" x14ac:dyDescent="0.15">
      <c r="A230" s="104">
        <f t="shared" si="3"/>
        <v>229</v>
      </c>
      <c r="B230" s="105" t="s">
        <v>268</v>
      </c>
      <c r="C230" s="106" t="s">
        <v>811</v>
      </c>
      <c r="D230" s="107" t="s">
        <v>628</v>
      </c>
      <c r="E230" s="108" t="s">
        <v>735</v>
      </c>
      <c r="F230" s="108" t="s">
        <v>660</v>
      </c>
      <c r="G230" s="108" t="s">
        <v>716</v>
      </c>
      <c r="H230" s="105" t="s">
        <v>285</v>
      </c>
      <c r="I230" s="109">
        <v>3</v>
      </c>
      <c r="J230" s="109" t="s">
        <v>805</v>
      </c>
      <c r="K230" s="105" t="s">
        <v>377</v>
      </c>
      <c r="L230" s="107" t="str">
        <f ca="1">VLOOKUP($K230,OFFSET([1]character_type_i18n!$A$1,0,0,COUNTA([1]character_type_i18n!$A:$A),MATCH(L$1,[1]character_type_i18n!$1:$1,0)-MATCH($K$1,[1]character_type_i18n!$1:$1,0)+1),MATCH(L$1,[1]character_type_i18n!$1:$1,0)-MATCH($K$1,[1]character_type_i18n!$1:$1,0)+1,FALSE)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0" s="105" t="s">
        <v>348</v>
      </c>
      <c r="N230" s="107" t="str">
        <f>VLOOKUP(M230,[1]character_tribe_i18n!A:C,3,FALSE)</f>
        <v>ドラゴン</v>
      </c>
      <c r="O230" s="105" t="s">
        <v>278</v>
      </c>
      <c r="P230" s="107" t="str">
        <f>VLOOKUP(O230,[1]character_tribe_i18n!A:C,3,FALSE)</f>
        <v>種族なし</v>
      </c>
      <c r="Q230" s="117" t="s">
        <v>632</v>
      </c>
      <c r="R230" s="111">
        <v>3</v>
      </c>
      <c r="S230" s="108" t="s">
        <v>633</v>
      </c>
      <c r="T230" s="108" t="s">
        <v>634</v>
      </c>
      <c r="U230" s="108" t="s">
        <v>633</v>
      </c>
      <c r="V230" s="108" t="s">
        <v>633</v>
      </c>
      <c r="W230" s="108" t="s">
        <v>633</v>
      </c>
    </row>
    <row r="231" spans="1:23" ht="21" customHeight="1" x14ac:dyDescent="0.15">
      <c r="A231" s="104">
        <f t="shared" si="3"/>
        <v>230</v>
      </c>
      <c r="B231" s="105" t="s">
        <v>334</v>
      </c>
      <c r="C231" s="106" t="s">
        <v>812</v>
      </c>
      <c r="D231" s="107" t="s">
        <v>628</v>
      </c>
      <c r="E231" s="108" t="s">
        <v>735</v>
      </c>
      <c r="F231" s="108" t="s">
        <v>660</v>
      </c>
      <c r="G231" s="108" t="s">
        <v>716</v>
      </c>
      <c r="H231" s="105" t="s">
        <v>285</v>
      </c>
      <c r="I231" s="109">
        <v>4</v>
      </c>
      <c r="J231" s="109" t="s">
        <v>805</v>
      </c>
      <c r="K231" s="105" t="s">
        <v>377</v>
      </c>
      <c r="L231" s="107" t="str">
        <f ca="1">VLOOKUP($K231,OFFSET([1]character_type_i18n!$A$1,0,0,COUNTA([1]character_type_i18n!$A:$A),MATCH(L$1,[1]character_type_i18n!$1:$1,0)-MATCH($K$1,[1]character_type_i18n!$1:$1,0)+1),MATCH(L$1,[1]character_type_i18n!$1:$1,0)-MATCH($K$1,[1]character_type_i18n!$1:$1,0)+1,FALSE)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1" s="105" t="s">
        <v>348</v>
      </c>
      <c r="N231" s="107" t="str">
        <f>VLOOKUP(M231,[1]character_tribe_i18n!A:C,3,FALSE)</f>
        <v>ドラゴン</v>
      </c>
      <c r="O231" s="105" t="s">
        <v>278</v>
      </c>
      <c r="P231" s="107" t="str">
        <f>VLOOKUP(O231,[1]character_tribe_i18n!A:C,3,FALSE)</f>
        <v>種族なし</v>
      </c>
      <c r="Q231" s="117" t="s">
        <v>739</v>
      </c>
      <c r="R231" s="111">
        <v>3</v>
      </c>
      <c r="S231" s="108" t="s">
        <v>289</v>
      </c>
      <c r="T231" s="108" t="s">
        <v>288</v>
      </c>
      <c r="U231" s="108" t="s">
        <v>289</v>
      </c>
      <c r="V231" s="108" t="s">
        <v>289</v>
      </c>
      <c r="W231" s="108" t="s">
        <v>289</v>
      </c>
    </row>
    <row r="232" spans="1:23" ht="21" customHeight="1" x14ac:dyDescent="0.15">
      <c r="A232" s="104">
        <f t="shared" si="3"/>
        <v>231</v>
      </c>
      <c r="B232" s="105" t="s">
        <v>292</v>
      </c>
      <c r="C232" s="106" t="s">
        <v>813</v>
      </c>
      <c r="D232" s="107" t="s">
        <v>628</v>
      </c>
      <c r="E232" s="108" t="s">
        <v>735</v>
      </c>
      <c r="F232" s="108" t="s">
        <v>660</v>
      </c>
      <c r="G232" s="108" t="s">
        <v>716</v>
      </c>
      <c r="H232" s="105" t="s">
        <v>285</v>
      </c>
      <c r="I232" s="109">
        <v>5</v>
      </c>
      <c r="J232" s="109" t="s">
        <v>805</v>
      </c>
      <c r="K232" s="105" t="s">
        <v>377</v>
      </c>
      <c r="L232" s="107" t="str">
        <f ca="1">VLOOKUP($K232,OFFSET([1]character_type_i18n!$A$1,0,0,COUNTA([1]character_type_i18n!$A:$A),MATCH(L$1,[1]character_type_i18n!$1:$1,0)-MATCH($K$1,[1]character_type_i18n!$1:$1,0)+1),MATCH(L$1,[1]character_type_i18n!$1:$1,0)-MATCH($K$1,[1]character_type_i18n!$1:$1,0)+1,FALSE)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2" s="105" t="s">
        <v>348</v>
      </c>
      <c r="N232" s="107" t="str">
        <f>VLOOKUP(M232,[1]character_tribe_i18n!A:C,3,FALSE)</f>
        <v>ドラゴン</v>
      </c>
      <c r="O232" s="105" t="s">
        <v>278</v>
      </c>
      <c r="P232" s="107" t="str">
        <f>VLOOKUP(O232,[1]character_tribe_i18n!A:C,3,FALSE)</f>
        <v>種族なし</v>
      </c>
      <c r="Q232" s="117" t="s">
        <v>654</v>
      </c>
      <c r="R232" s="111">
        <v>3</v>
      </c>
      <c r="S232" s="108" t="s">
        <v>280</v>
      </c>
      <c r="T232" s="108" t="s">
        <v>281</v>
      </c>
      <c r="U232" s="108" t="s">
        <v>280</v>
      </c>
      <c r="V232" s="108" t="s">
        <v>280</v>
      </c>
      <c r="W232" s="108" t="s">
        <v>280</v>
      </c>
    </row>
    <row r="233" spans="1:23" ht="21" customHeight="1" x14ac:dyDescent="0.15">
      <c r="A233" s="104">
        <f t="shared" si="3"/>
        <v>232</v>
      </c>
      <c r="B233" s="105" t="s">
        <v>268</v>
      </c>
      <c r="C233" s="106" t="s">
        <v>814</v>
      </c>
      <c r="D233" s="107" t="s">
        <v>628</v>
      </c>
      <c r="E233" s="108" t="s">
        <v>750</v>
      </c>
      <c r="F233" s="108" t="s">
        <v>715</v>
      </c>
      <c r="G233" s="108" t="s">
        <v>716</v>
      </c>
      <c r="H233" s="105" t="s">
        <v>295</v>
      </c>
      <c r="I233" s="109">
        <v>3</v>
      </c>
      <c r="J233" s="109" t="s">
        <v>805</v>
      </c>
      <c r="K233" s="105" t="s">
        <v>377</v>
      </c>
      <c r="L233" s="107" t="str">
        <f ca="1">VLOOKUP($K233,OFFSET([1]character_type_i18n!$A$1,0,0,COUNTA([1]character_type_i18n!$A:$A),MATCH(L$1,[1]character_type_i18n!$1:$1,0)-MATCH($K$1,[1]character_type_i18n!$1:$1,0)+1),MATCH(L$1,[1]character_type_i18n!$1:$1,0)-MATCH($K$1,[1]character_type_i18n!$1:$1,0)+1,FALSE)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3" s="105" t="s">
        <v>332</v>
      </c>
      <c r="N233" s="107" t="str">
        <f>VLOOKUP(M233,[1]character_tribe_i18n!A:C,3,FALSE)</f>
        <v>ヒューマン</v>
      </c>
      <c r="O233" s="105" t="s">
        <v>278</v>
      </c>
      <c r="P233" s="107" t="str">
        <f>VLOOKUP(O233,[1]character_tribe_i18n!A:C,3,FALSE)</f>
        <v>種族なし</v>
      </c>
      <c r="Q233" s="117" t="s">
        <v>672</v>
      </c>
      <c r="R233" s="111">
        <v>3</v>
      </c>
      <c r="S233" s="108" t="s">
        <v>280</v>
      </c>
      <c r="T233" s="108" t="s">
        <v>281</v>
      </c>
      <c r="U233" s="108" t="s">
        <v>280</v>
      </c>
      <c r="V233" s="108" t="s">
        <v>280</v>
      </c>
      <c r="W233" s="108" t="s">
        <v>280</v>
      </c>
    </row>
    <row r="234" spans="1:23" ht="21" customHeight="1" x14ac:dyDescent="0.15">
      <c r="A234" s="104">
        <f t="shared" si="3"/>
        <v>233</v>
      </c>
      <c r="B234" s="105" t="s">
        <v>268</v>
      </c>
      <c r="C234" s="106" t="s">
        <v>815</v>
      </c>
      <c r="D234" s="107" t="s">
        <v>628</v>
      </c>
      <c r="E234" s="108" t="s">
        <v>750</v>
      </c>
      <c r="F234" s="108" t="s">
        <v>715</v>
      </c>
      <c r="G234" s="108" t="s">
        <v>716</v>
      </c>
      <c r="H234" s="105" t="s">
        <v>295</v>
      </c>
      <c r="I234" s="109">
        <v>4</v>
      </c>
      <c r="J234" s="109" t="s">
        <v>805</v>
      </c>
      <c r="K234" s="105" t="s">
        <v>377</v>
      </c>
      <c r="L234" s="107" t="str">
        <f ca="1">VLOOKUP($K234,OFFSET([1]character_type_i18n!$A$1,0,0,COUNTA([1]character_type_i18n!$A:$A),MATCH(L$1,[1]character_type_i18n!$1:$1,0)-MATCH($K$1,[1]character_type_i18n!$1:$1,0)+1),MATCH(L$1,[1]character_type_i18n!$1:$1,0)-MATCH($K$1,[1]character_type_i18n!$1:$1,0)+1,FALSE)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4" s="105" t="s">
        <v>332</v>
      </c>
      <c r="N234" s="107" t="str">
        <f>VLOOKUP(M234,[1]character_tribe_i18n!A:C,3,FALSE)</f>
        <v>ヒューマン</v>
      </c>
      <c r="O234" s="105" t="s">
        <v>278</v>
      </c>
      <c r="P234" s="107" t="str">
        <f>VLOOKUP(O234,[1]character_tribe_i18n!A:C,3,FALSE)</f>
        <v>種族なし</v>
      </c>
      <c r="Q234" s="117" t="s">
        <v>672</v>
      </c>
      <c r="R234" s="111">
        <v>3</v>
      </c>
      <c r="S234" s="108" t="s">
        <v>280</v>
      </c>
      <c r="T234" s="108" t="s">
        <v>281</v>
      </c>
      <c r="U234" s="108" t="s">
        <v>280</v>
      </c>
      <c r="V234" s="108" t="s">
        <v>280</v>
      </c>
      <c r="W234" s="108" t="s">
        <v>280</v>
      </c>
    </row>
    <row r="235" spans="1:23" ht="21" customHeight="1" x14ac:dyDescent="0.15">
      <c r="A235" s="104">
        <f t="shared" si="3"/>
        <v>234</v>
      </c>
      <c r="B235" s="105" t="s">
        <v>268</v>
      </c>
      <c r="C235" s="106" t="s">
        <v>816</v>
      </c>
      <c r="D235" s="107" t="s">
        <v>628</v>
      </c>
      <c r="E235" s="108" t="s">
        <v>750</v>
      </c>
      <c r="F235" s="108" t="s">
        <v>715</v>
      </c>
      <c r="G235" s="108" t="s">
        <v>716</v>
      </c>
      <c r="H235" s="105" t="s">
        <v>295</v>
      </c>
      <c r="I235" s="109">
        <v>5</v>
      </c>
      <c r="J235" s="109" t="s">
        <v>805</v>
      </c>
      <c r="K235" s="105" t="s">
        <v>377</v>
      </c>
      <c r="L235" s="107" t="str">
        <f ca="1">VLOOKUP($K235,OFFSET([1]character_type_i18n!$A$1,0,0,COUNTA([1]character_type_i18n!$A:$A),MATCH(L$1,[1]character_type_i18n!$1:$1,0)-MATCH($K$1,[1]character_type_i18n!$1:$1,0)+1),MATCH(L$1,[1]character_type_i18n!$1:$1,0)-MATCH($K$1,[1]character_type_i18n!$1:$1,0)+1,FALSE)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5" s="105" t="s">
        <v>332</v>
      </c>
      <c r="N235" s="107" t="str">
        <f>VLOOKUP(M235,[1]character_tribe_i18n!A:C,3,FALSE)</f>
        <v>ヒューマン</v>
      </c>
      <c r="O235" s="105" t="s">
        <v>278</v>
      </c>
      <c r="P235" s="107" t="str">
        <f>VLOOKUP(O235,[1]character_tribe_i18n!A:C,3,FALSE)</f>
        <v>種族なし</v>
      </c>
      <c r="Q235" s="117" t="s">
        <v>672</v>
      </c>
      <c r="R235" s="111">
        <v>3</v>
      </c>
      <c r="S235" s="108" t="s">
        <v>280</v>
      </c>
      <c r="T235" s="108" t="s">
        <v>281</v>
      </c>
      <c r="U235" s="108" t="s">
        <v>280</v>
      </c>
      <c r="V235" s="108" t="s">
        <v>280</v>
      </c>
      <c r="W235" s="108" t="s">
        <v>280</v>
      </c>
    </row>
    <row r="236" spans="1:23" ht="21" customHeight="1" x14ac:dyDescent="0.15">
      <c r="A236" s="104">
        <f t="shared" si="3"/>
        <v>235</v>
      </c>
      <c r="B236" s="105" t="s">
        <v>268</v>
      </c>
      <c r="C236" s="106" t="s">
        <v>817</v>
      </c>
      <c r="D236" s="107" t="s">
        <v>628</v>
      </c>
      <c r="E236" s="108" t="s">
        <v>703</v>
      </c>
      <c r="F236" s="108" t="s">
        <v>715</v>
      </c>
      <c r="G236" s="108" t="s">
        <v>716</v>
      </c>
      <c r="H236" s="105" t="s">
        <v>300</v>
      </c>
      <c r="I236" s="109">
        <v>3</v>
      </c>
      <c r="J236" s="109" t="s">
        <v>805</v>
      </c>
      <c r="K236" s="105" t="s">
        <v>276</v>
      </c>
      <c r="L236" s="107" t="str">
        <f ca="1">VLOOKUP($K236,OFFSET([1]character_type_i18n!$A$1,0,0,COUNTA([1]character_type_i18n!$A:$A),MATCH(L$1,[1]character_type_i18n!$1:$1,0)-MATCH($K$1,[1]character_type_i18n!$1:$1,0)+1),MATCH(L$1,[1]character_type_i18n!$1:$1,0)-MATCH($K$1,[1]character_type_i18n!$1:$1,0)+1,FALSE)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36" s="105" t="s">
        <v>517</v>
      </c>
      <c r="N236" s="107" t="str">
        <f>VLOOKUP(M236,[1]character_tribe_i18n!A:C,3,FALSE)</f>
        <v>ゴッド</v>
      </c>
      <c r="O236" s="105" t="s">
        <v>278</v>
      </c>
      <c r="P236" s="107" t="str">
        <f>VLOOKUP(O236,[1]character_tribe_i18n!A:C,3,FALSE)</f>
        <v>種族なし</v>
      </c>
      <c r="Q236" s="117" t="s">
        <v>707</v>
      </c>
      <c r="R236" s="111">
        <v>3</v>
      </c>
      <c r="S236" s="108" t="s">
        <v>280</v>
      </c>
      <c r="T236" s="108" t="s">
        <v>281</v>
      </c>
      <c r="U236" s="108" t="s">
        <v>280</v>
      </c>
      <c r="V236" s="108" t="s">
        <v>280</v>
      </c>
      <c r="W236" s="108" t="s">
        <v>280</v>
      </c>
    </row>
    <row r="237" spans="1:23" ht="21" customHeight="1" x14ac:dyDescent="0.15">
      <c r="A237" s="104">
        <f t="shared" si="3"/>
        <v>236</v>
      </c>
      <c r="B237" s="105" t="s">
        <v>268</v>
      </c>
      <c r="C237" s="106" t="s">
        <v>818</v>
      </c>
      <c r="D237" s="107" t="s">
        <v>628</v>
      </c>
      <c r="E237" s="108" t="s">
        <v>703</v>
      </c>
      <c r="F237" s="108" t="s">
        <v>715</v>
      </c>
      <c r="G237" s="108" t="s">
        <v>716</v>
      </c>
      <c r="H237" s="105" t="s">
        <v>300</v>
      </c>
      <c r="I237" s="109">
        <v>4</v>
      </c>
      <c r="J237" s="109" t="s">
        <v>805</v>
      </c>
      <c r="K237" s="105" t="s">
        <v>276</v>
      </c>
      <c r="L237" s="107" t="str">
        <f ca="1">VLOOKUP($K237,OFFSET([1]character_type_i18n!$A$1,0,0,COUNTA([1]character_type_i18n!$A:$A),MATCH(L$1,[1]character_type_i18n!$1:$1,0)-MATCH($K$1,[1]character_type_i18n!$1:$1,0)+1),MATCH(L$1,[1]character_type_i18n!$1:$1,0)-MATCH($K$1,[1]character_type_i18n!$1:$1,0)+1,FALSE)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37" s="105" t="s">
        <v>517</v>
      </c>
      <c r="N237" s="107" t="str">
        <f>VLOOKUP(M237,[1]character_tribe_i18n!A:C,3,FALSE)</f>
        <v>ゴッド</v>
      </c>
      <c r="O237" s="105" t="s">
        <v>278</v>
      </c>
      <c r="P237" s="107" t="str">
        <f>VLOOKUP(O237,[1]character_tribe_i18n!A:C,3,FALSE)</f>
        <v>種族なし</v>
      </c>
      <c r="Q237" s="117" t="s">
        <v>707</v>
      </c>
      <c r="R237" s="111">
        <v>3</v>
      </c>
      <c r="S237" s="108" t="s">
        <v>280</v>
      </c>
      <c r="T237" s="108" t="s">
        <v>281</v>
      </c>
      <c r="U237" s="108" t="s">
        <v>280</v>
      </c>
      <c r="V237" s="108" t="s">
        <v>280</v>
      </c>
      <c r="W237" s="108" t="s">
        <v>280</v>
      </c>
    </row>
    <row r="238" spans="1:23" ht="21" customHeight="1" x14ac:dyDescent="0.15">
      <c r="A238" s="104">
        <f t="shared" si="3"/>
        <v>237</v>
      </c>
      <c r="B238" s="105" t="s">
        <v>268</v>
      </c>
      <c r="C238" s="106" t="s">
        <v>819</v>
      </c>
      <c r="D238" s="107" t="s">
        <v>628</v>
      </c>
      <c r="E238" s="108" t="s">
        <v>703</v>
      </c>
      <c r="F238" s="108" t="s">
        <v>715</v>
      </c>
      <c r="G238" s="108" t="s">
        <v>716</v>
      </c>
      <c r="H238" s="105" t="s">
        <v>300</v>
      </c>
      <c r="I238" s="109">
        <v>5</v>
      </c>
      <c r="J238" s="109" t="s">
        <v>805</v>
      </c>
      <c r="K238" s="105" t="s">
        <v>276</v>
      </c>
      <c r="L238" s="107" t="str">
        <f ca="1">VLOOKUP($K238,OFFSET([1]character_type_i18n!$A$1,0,0,COUNTA([1]character_type_i18n!$A:$A),MATCH(L$1,[1]character_type_i18n!$1:$1,0)-MATCH($K$1,[1]character_type_i18n!$1:$1,0)+1),MATCH(L$1,[1]character_type_i18n!$1:$1,0)-MATCH($K$1,[1]character_type_i18n!$1:$1,0)+1,FALSE)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38" s="105" t="s">
        <v>517</v>
      </c>
      <c r="N238" s="107" t="str">
        <f>VLOOKUP(M238,[1]character_tribe_i18n!A:C,3,FALSE)</f>
        <v>ゴッド</v>
      </c>
      <c r="O238" s="105" t="s">
        <v>278</v>
      </c>
      <c r="P238" s="107" t="str">
        <f>VLOOKUP(O238,[1]character_tribe_i18n!A:C,3,FALSE)</f>
        <v>種族なし</v>
      </c>
      <c r="Q238" s="117" t="s">
        <v>707</v>
      </c>
      <c r="R238" s="111">
        <v>3</v>
      </c>
      <c r="S238" s="108" t="s">
        <v>280</v>
      </c>
      <c r="T238" s="108" t="s">
        <v>800</v>
      </c>
      <c r="U238" s="108" t="s">
        <v>771</v>
      </c>
      <c r="V238" s="108" t="s">
        <v>280</v>
      </c>
      <c r="W238" s="108" t="s">
        <v>280</v>
      </c>
    </row>
    <row r="239" spans="1:23" ht="21" customHeight="1" x14ac:dyDescent="0.15">
      <c r="A239" s="104">
        <f t="shared" si="3"/>
        <v>238</v>
      </c>
      <c r="B239" s="105" t="s">
        <v>268</v>
      </c>
      <c r="C239" s="106" t="s">
        <v>820</v>
      </c>
      <c r="D239" s="107" t="s">
        <v>821</v>
      </c>
      <c r="E239" s="108" t="s">
        <v>773</v>
      </c>
      <c r="F239" s="108" t="s">
        <v>724</v>
      </c>
      <c r="G239" s="108" t="s">
        <v>725</v>
      </c>
      <c r="H239" s="105" t="s">
        <v>274</v>
      </c>
      <c r="I239" s="109">
        <v>3</v>
      </c>
      <c r="J239" s="109" t="s">
        <v>805</v>
      </c>
      <c r="K239" s="105" t="s">
        <v>347</v>
      </c>
      <c r="L239" s="107" t="str">
        <f ca="1">VLOOKUP($K239,OFFSET([1]character_type_i18n!$A$1,0,0,COUNTA([1]character_type_i18n!$A:$A),MATCH(L$1,[1]character_type_i18n!$1:$1,0)-MATCH($K$1,[1]character_type_i18n!$1:$1,0)+1),MATCH(L$1,[1]character_type_i18n!$1:$1,0)-MATCH($K$1,[1]character_type_i18n!$1:$1,0)+1,FALSE)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39" s="105" t="s">
        <v>338</v>
      </c>
      <c r="N239" s="107" t="str">
        <f>VLOOKUP(M239,[1]character_tribe_i18n!A:C,3,FALSE)</f>
        <v>マシン</v>
      </c>
      <c r="O239" s="105" t="s">
        <v>517</v>
      </c>
      <c r="P239" s="107" t="str">
        <f>VLOOKUP(O239,[1]character_tribe_i18n!A:C,3,FALSE)</f>
        <v>ゴッド</v>
      </c>
      <c r="Q239" s="117" t="s">
        <v>657</v>
      </c>
      <c r="R239" s="111">
        <v>3</v>
      </c>
      <c r="S239" s="108" t="s">
        <v>280</v>
      </c>
      <c r="T239" s="108" t="s">
        <v>281</v>
      </c>
      <c r="U239" s="108" t="s">
        <v>280</v>
      </c>
      <c r="V239" s="108" t="s">
        <v>771</v>
      </c>
      <c r="W239" s="108" t="s">
        <v>771</v>
      </c>
    </row>
    <row r="240" spans="1:23" ht="21" customHeight="1" x14ac:dyDescent="0.15">
      <c r="A240" s="104">
        <f t="shared" si="3"/>
        <v>239</v>
      </c>
      <c r="B240" s="105" t="s">
        <v>336</v>
      </c>
      <c r="C240" s="106" t="s">
        <v>822</v>
      </c>
      <c r="D240" s="107" t="s">
        <v>821</v>
      </c>
      <c r="E240" s="108" t="s">
        <v>773</v>
      </c>
      <c r="F240" s="108" t="s">
        <v>823</v>
      </c>
      <c r="G240" s="108" t="s">
        <v>824</v>
      </c>
      <c r="H240" s="105" t="s">
        <v>274</v>
      </c>
      <c r="I240" s="109">
        <v>4</v>
      </c>
      <c r="J240" s="109" t="s">
        <v>805</v>
      </c>
      <c r="K240" s="105" t="s">
        <v>347</v>
      </c>
      <c r="L240" s="107" t="str">
        <f ca="1">VLOOKUP($K240,OFFSET([1]character_type_i18n!$A$1,0,0,COUNTA([1]character_type_i18n!$A:$A),MATCH(L$1,[1]character_type_i18n!$1:$1,0)-MATCH($K$1,[1]character_type_i18n!$1:$1,0)+1),MATCH(L$1,[1]character_type_i18n!$1:$1,0)-MATCH($K$1,[1]character_type_i18n!$1:$1,0)+1,FALSE)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40" s="105" t="s">
        <v>338</v>
      </c>
      <c r="N240" s="107" t="str">
        <f>VLOOKUP(M240,[1]character_tribe_i18n!A:C,3,FALSE)</f>
        <v>マシン</v>
      </c>
      <c r="O240" s="105" t="s">
        <v>517</v>
      </c>
      <c r="P240" s="107" t="str">
        <f>VLOOKUP(O240,[1]character_tribe_i18n!A:C,3,FALSE)</f>
        <v>ゴッド</v>
      </c>
      <c r="Q240" s="117" t="s">
        <v>657</v>
      </c>
      <c r="R240" s="111">
        <v>3</v>
      </c>
      <c r="S240" s="108" t="s">
        <v>280</v>
      </c>
      <c r="T240" s="108" t="s">
        <v>281</v>
      </c>
      <c r="U240" s="108" t="s">
        <v>280</v>
      </c>
      <c r="V240" s="108" t="s">
        <v>280</v>
      </c>
      <c r="W240" s="108" t="s">
        <v>280</v>
      </c>
    </row>
    <row r="241" spans="1:23" ht="21" customHeight="1" x14ac:dyDescent="0.15">
      <c r="A241" s="104">
        <f t="shared" si="3"/>
        <v>240</v>
      </c>
      <c r="B241" s="105" t="s">
        <v>268</v>
      </c>
      <c r="C241" s="106" t="s">
        <v>825</v>
      </c>
      <c r="D241" s="107" t="s">
        <v>821</v>
      </c>
      <c r="E241" s="108" t="s">
        <v>773</v>
      </c>
      <c r="F241" s="108" t="s">
        <v>724</v>
      </c>
      <c r="G241" s="108" t="s">
        <v>725</v>
      </c>
      <c r="H241" s="105" t="s">
        <v>274</v>
      </c>
      <c r="I241" s="109">
        <v>5</v>
      </c>
      <c r="J241" s="109" t="s">
        <v>805</v>
      </c>
      <c r="K241" s="105" t="s">
        <v>347</v>
      </c>
      <c r="L241" s="107" t="str">
        <f ca="1">VLOOKUP($K241,OFFSET([1]character_type_i18n!$A$1,0,0,COUNTA([1]character_type_i18n!$A:$A),MATCH(L$1,[1]character_type_i18n!$1:$1,0)-MATCH($K$1,[1]character_type_i18n!$1:$1,0)+1),MATCH(L$1,[1]character_type_i18n!$1:$1,0)-MATCH($K$1,[1]character_type_i18n!$1:$1,0)+1,FALSE)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41" s="105" t="s">
        <v>338</v>
      </c>
      <c r="N241" s="107" t="str">
        <f>VLOOKUP(M241,[1]character_tribe_i18n!A:C,3,FALSE)</f>
        <v>マシン</v>
      </c>
      <c r="O241" s="105" t="s">
        <v>517</v>
      </c>
      <c r="P241" s="107" t="str">
        <f>VLOOKUP(O241,[1]character_tribe_i18n!A:C,3,FALSE)</f>
        <v>ゴッド</v>
      </c>
      <c r="Q241" s="117" t="s">
        <v>657</v>
      </c>
      <c r="R241" s="111">
        <v>3</v>
      </c>
      <c r="S241" s="108" t="s">
        <v>280</v>
      </c>
      <c r="T241" s="108" t="s">
        <v>281</v>
      </c>
      <c r="U241" s="108" t="s">
        <v>280</v>
      </c>
      <c r="V241" s="108" t="s">
        <v>280</v>
      </c>
      <c r="W241" s="108" t="s">
        <v>280</v>
      </c>
    </row>
    <row r="242" spans="1:23" ht="21" customHeight="1" x14ac:dyDescent="0.15">
      <c r="A242" s="104">
        <f t="shared" si="3"/>
        <v>241</v>
      </c>
      <c r="B242" s="105" t="s">
        <v>268</v>
      </c>
      <c r="C242" s="106" t="s">
        <v>826</v>
      </c>
      <c r="D242" s="107" t="s">
        <v>821</v>
      </c>
      <c r="E242" s="108" t="s">
        <v>773</v>
      </c>
      <c r="F242" s="108" t="s">
        <v>724</v>
      </c>
      <c r="G242" s="108" t="s">
        <v>725</v>
      </c>
      <c r="H242" s="105" t="s">
        <v>285</v>
      </c>
      <c r="I242" s="109">
        <v>3</v>
      </c>
      <c r="J242" s="109" t="s">
        <v>805</v>
      </c>
      <c r="K242" s="105" t="s">
        <v>286</v>
      </c>
      <c r="L242" s="107" t="str">
        <f ca="1">VLOOKUP($K242,OFFSET([1]character_type_i18n!$A$1,0,0,COUNTA([1]character_type_i18n!$A:$A),MATCH(L$1,[1]character_type_i18n!$1:$1,0)-MATCH($K$1,[1]character_type_i18n!$1:$1,0)+1),MATCH(L$1,[1]character_type_i18n!$1:$1,0)-MATCH($K$1,[1]character_type_i18n!$1:$1,0)+1,FALSE)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2" s="105" t="s">
        <v>338</v>
      </c>
      <c r="N242" s="107" t="str">
        <f>VLOOKUP(M242,[1]character_tribe_i18n!A:C,3,FALSE)</f>
        <v>マシン</v>
      </c>
      <c r="O242" s="105" t="s">
        <v>517</v>
      </c>
      <c r="P242" s="107" t="str">
        <f>VLOOKUP(O242,[1]character_tribe_i18n!A:C,3,FALSE)</f>
        <v>ゴッド</v>
      </c>
      <c r="Q242" s="117" t="s">
        <v>707</v>
      </c>
      <c r="R242" s="111">
        <v>3</v>
      </c>
      <c r="S242" s="108" t="s">
        <v>280</v>
      </c>
      <c r="T242" s="108" t="s">
        <v>281</v>
      </c>
      <c r="U242" s="108" t="s">
        <v>280</v>
      </c>
      <c r="V242" s="108" t="s">
        <v>280</v>
      </c>
      <c r="W242" s="108" t="s">
        <v>280</v>
      </c>
    </row>
    <row r="243" spans="1:23" ht="21" customHeight="1" x14ac:dyDescent="0.15">
      <c r="A243" s="104">
        <f t="shared" si="3"/>
        <v>242</v>
      </c>
      <c r="B243" s="105" t="s">
        <v>268</v>
      </c>
      <c r="C243" s="106" t="s">
        <v>827</v>
      </c>
      <c r="D243" s="107" t="s">
        <v>821</v>
      </c>
      <c r="E243" s="108" t="s">
        <v>773</v>
      </c>
      <c r="F243" s="108" t="s">
        <v>724</v>
      </c>
      <c r="G243" s="108" t="s">
        <v>725</v>
      </c>
      <c r="H243" s="105" t="s">
        <v>285</v>
      </c>
      <c r="I243" s="109">
        <v>4</v>
      </c>
      <c r="J243" s="109" t="s">
        <v>805</v>
      </c>
      <c r="K243" s="105" t="s">
        <v>286</v>
      </c>
      <c r="L243" s="107" t="str">
        <f ca="1">VLOOKUP($K243,OFFSET([1]character_type_i18n!$A$1,0,0,COUNTA([1]character_type_i18n!$A:$A),MATCH(L$1,[1]character_type_i18n!$1:$1,0)-MATCH($K$1,[1]character_type_i18n!$1:$1,0)+1),MATCH(L$1,[1]character_type_i18n!$1:$1,0)-MATCH($K$1,[1]character_type_i18n!$1:$1,0)+1,FALSE)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3" s="105" t="s">
        <v>338</v>
      </c>
      <c r="N243" s="107" t="str">
        <f>VLOOKUP(M243,[1]character_tribe_i18n!A:C,3,FALSE)</f>
        <v>マシン</v>
      </c>
      <c r="O243" s="105" t="s">
        <v>517</v>
      </c>
      <c r="P243" s="107" t="str">
        <f>VLOOKUP(O243,[1]character_tribe_i18n!A:C,3,FALSE)</f>
        <v>ゴッド</v>
      </c>
      <c r="Q243" s="117" t="s">
        <v>707</v>
      </c>
      <c r="R243" s="111">
        <v>3</v>
      </c>
      <c r="S243" s="108" t="s">
        <v>280</v>
      </c>
      <c r="T243" s="108" t="s">
        <v>281</v>
      </c>
      <c r="U243" s="108" t="s">
        <v>280</v>
      </c>
      <c r="V243" s="108" t="s">
        <v>280</v>
      </c>
      <c r="W243" s="108" t="s">
        <v>280</v>
      </c>
    </row>
    <row r="244" spans="1:23" ht="21" customHeight="1" x14ac:dyDescent="0.15">
      <c r="A244" s="104">
        <f t="shared" si="3"/>
        <v>243</v>
      </c>
      <c r="B244" s="105" t="s">
        <v>268</v>
      </c>
      <c r="C244" s="106" t="s">
        <v>828</v>
      </c>
      <c r="D244" s="107" t="s">
        <v>821</v>
      </c>
      <c r="E244" s="108" t="s">
        <v>773</v>
      </c>
      <c r="F244" s="108" t="s">
        <v>724</v>
      </c>
      <c r="G244" s="108" t="s">
        <v>725</v>
      </c>
      <c r="H244" s="105" t="s">
        <v>285</v>
      </c>
      <c r="I244" s="109">
        <v>5</v>
      </c>
      <c r="J244" s="109" t="s">
        <v>805</v>
      </c>
      <c r="K244" s="105" t="s">
        <v>286</v>
      </c>
      <c r="L244" s="107" t="str">
        <f ca="1">VLOOKUP($K244,OFFSET([1]character_type_i18n!$A$1,0,0,COUNTA([1]character_type_i18n!$A:$A),MATCH(L$1,[1]character_type_i18n!$1:$1,0)-MATCH($K$1,[1]character_type_i18n!$1:$1,0)+1),MATCH(L$1,[1]character_type_i18n!$1:$1,0)-MATCH($K$1,[1]character_type_i18n!$1:$1,0)+1,FALSE)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4" s="105" t="s">
        <v>338</v>
      </c>
      <c r="N244" s="107" t="str">
        <f>VLOOKUP(M244,[1]character_tribe_i18n!A:C,3,FALSE)</f>
        <v>マシン</v>
      </c>
      <c r="O244" s="105" t="s">
        <v>517</v>
      </c>
      <c r="P244" s="107" t="str">
        <f>VLOOKUP(O244,[1]character_tribe_i18n!A:C,3,FALSE)</f>
        <v>ゴッド</v>
      </c>
      <c r="Q244" s="117" t="s">
        <v>707</v>
      </c>
      <c r="R244" s="111">
        <v>3</v>
      </c>
      <c r="S244" s="108" t="s">
        <v>280</v>
      </c>
      <c r="T244" s="108" t="s">
        <v>281</v>
      </c>
      <c r="U244" s="108" t="s">
        <v>280</v>
      </c>
      <c r="V244" s="108" t="s">
        <v>280</v>
      </c>
      <c r="W244" s="108" t="s">
        <v>280</v>
      </c>
    </row>
    <row r="245" spans="1:23" ht="21" customHeight="1" x14ac:dyDescent="0.15">
      <c r="A245" s="104">
        <f t="shared" si="3"/>
        <v>244</v>
      </c>
      <c r="B245" s="105" t="s">
        <v>759</v>
      </c>
      <c r="C245" s="106" t="s">
        <v>829</v>
      </c>
      <c r="D245" s="107" t="s">
        <v>821</v>
      </c>
      <c r="E245" s="108" t="s">
        <v>830</v>
      </c>
      <c r="F245" s="108" t="s">
        <v>762</v>
      </c>
      <c r="G245" s="108" t="s">
        <v>763</v>
      </c>
      <c r="H245" s="105" t="s">
        <v>295</v>
      </c>
      <c r="I245" s="109">
        <v>3</v>
      </c>
      <c r="J245" s="109" t="s">
        <v>805</v>
      </c>
      <c r="K245" s="105" t="s">
        <v>286</v>
      </c>
      <c r="L245" s="107" t="str">
        <f ca="1">VLOOKUP($K245,OFFSET([1]character_type_i18n!$A$1,0,0,COUNTA([1]character_type_i18n!$A:$A),MATCH(L$1,[1]character_type_i18n!$1:$1,0)-MATCH($K$1,[1]character_type_i18n!$1:$1,0)+1),MATCH(L$1,[1]character_type_i18n!$1:$1,0)-MATCH($K$1,[1]character_type_i18n!$1:$1,0)+1,FALSE)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5" s="105" t="s">
        <v>338</v>
      </c>
      <c r="N245" s="107" t="str">
        <f>VLOOKUP(M245,[1]character_tribe_i18n!A:C,3,FALSE)</f>
        <v>マシン</v>
      </c>
      <c r="O245" s="105" t="s">
        <v>517</v>
      </c>
      <c r="P245" s="107" t="str">
        <f>VLOOKUP(O245,[1]character_tribe_i18n!A:C,3,FALSE)</f>
        <v>ゴッド</v>
      </c>
      <c r="Q245" s="117" t="s">
        <v>654</v>
      </c>
      <c r="R245" s="111">
        <v>3</v>
      </c>
      <c r="S245" s="108" t="s">
        <v>280</v>
      </c>
      <c r="T245" s="108" t="s">
        <v>281</v>
      </c>
      <c r="U245" s="108" t="s">
        <v>280</v>
      </c>
      <c r="V245" s="108" t="s">
        <v>280</v>
      </c>
      <c r="W245" s="108" t="s">
        <v>280</v>
      </c>
    </row>
    <row r="246" spans="1:23" ht="21" customHeight="1" x14ac:dyDescent="0.15">
      <c r="A246" s="104">
        <f t="shared" si="3"/>
        <v>245</v>
      </c>
      <c r="B246" s="105" t="s">
        <v>268</v>
      </c>
      <c r="C246" s="106" t="s">
        <v>831</v>
      </c>
      <c r="D246" s="107" t="s">
        <v>821</v>
      </c>
      <c r="E246" s="108" t="s">
        <v>773</v>
      </c>
      <c r="F246" s="108" t="s">
        <v>724</v>
      </c>
      <c r="G246" s="108" t="s">
        <v>725</v>
      </c>
      <c r="H246" s="105" t="s">
        <v>295</v>
      </c>
      <c r="I246" s="109">
        <v>4</v>
      </c>
      <c r="J246" s="109" t="s">
        <v>805</v>
      </c>
      <c r="K246" s="105" t="s">
        <v>286</v>
      </c>
      <c r="L246" s="107" t="str">
        <f ca="1">VLOOKUP($K246,OFFSET([1]character_type_i18n!$A$1,0,0,COUNTA([1]character_type_i18n!$A:$A),MATCH(L$1,[1]character_type_i18n!$1:$1,0)-MATCH($K$1,[1]character_type_i18n!$1:$1,0)+1),MATCH(L$1,[1]character_type_i18n!$1:$1,0)-MATCH($K$1,[1]character_type_i18n!$1:$1,0)+1,FALSE)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6" s="105" t="s">
        <v>338</v>
      </c>
      <c r="N246" s="107" t="str">
        <f>VLOOKUP(M246,[1]character_tribe_i18n!A:C,3,FALSE)</f>
        <v>マシン</v>
      </c>
      <c r="O246" s="105" t="s">
        <v>517</v>
      </c>
      <c r="P246" s="107" t="str">
        <f>VLOOKUP(O246,[1]character_tribe_i18n!A:C,3,FALSE)</f>
        <v>ゴッド</v>
      </c>
      <c r="Q246" s="117" t="s">
        <v>654</v>
      </c>
      <c r="R246" s="111">
        <v>3</v>
      </c>
      <c r="S246" s="108" t="s">
        <v>280</v>
      </c>
      <c r="T246" s="108" t="s">
        <v>281</v>
      </c>
      <c r="U246" s="108" t="s">
        <v>280</v>
      </c>
      <c r="V246" s="108" t="s">
        <v>280</v>
      </c>
      <c r="W246" s="108" t="s">
        <v>280</v>
      </c>
    </row>
    <row r="247" spans="1:23" ht="21" customHeight="1" x14ac:dyDescent="0.15">
      <c r="A247" s="104">
        <f t="shared" si="3"/>
        <v>246</v>
      </c>
      <c r="B247" s="105" t="s">
        <v>268</v>
      </c>
      <c r="C247" s="106" t="s">
        <v>832</v>
      </c>
      <c r="D247" s="107" t="s">
        <v>821</v>
      </c>
      <c r="E247" s="108" t="s">
        <v>773</v>
      </c>
      <c r="F247" s="108" t="s">
        <v>724</v>
      </c>
      <c r="G247" s="108" t="s">
        <v>725</v>
      </c>
      <c r="H247" s="105" t="s">
        <v>295</v>
      </c>
      <c r="I247" s="109">
        <v>5</v>
      </c>
      <c r="J247" s="109" t="s">
        <v>805</v>
      </c>
      <c r="K247" s="105" t="s">
        <v>286</v>
      </c>
      <c r="L247" s="107" t="str">
        <f ca="1">VLOOKUP($K247,OFFSET([1]character_type_i18n!$A$1,0,0,COUNTA([1]character_type_i18n!$A:$A),MATCH(L$1,[1]character_type_i18n!$1:$1,0)-MATCH($K$1,[1]character_type_i18n!$1:$1,0)+1),MATCH(L$1,[1]character_type_i18n!$1:$1,0)-MATCH($K$1,[1]character_type_i18n!$1:$1,0)+1,FALSE)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7" s="105" t="s">
        <v>338</v>
      </c>
      <c r="N247" s="107" t="str">
        <f>VLOOKUP(M247,[1]character_tribe_i18n!A:C,3,FALSE)</f>
        <v>マシン</v>
      </c>
      <c r="O247" s="105" t="s">
        <v>517</v>
      </c>
      <c r="P247" s="107" t="str">
        <f>VLOOKUP(O247,[1]character_tribe_i18n!A:C,3,FALSE)</f>
        <v>ゴッド</v>
      </c>
      <c r="Q247" s="117" t="s">
        <v>654</v>
      </c>
      <c r="R247" s="111">
        <v>3</v>
      </c>
      <c r="S247" s="108" t="s">
        <v>280</v>
      </c>
      <c r="T247" s="108" t="s">
        <v>281</v>
      </c>
      <c r="U247" s="108" t="s">
        <v>280</v>
      </c>
      <c r="V247" s="108" t="s">
        <v>280</v>
      </c>
      <c r="W247" s="108" t="s">
        <v>280</v>
      </c>
    </row>
    <row r="248" spans="1:23" ht="21" customHeight="1" x14ac:dyDescent="0.15">
      <c r="A248" s="104">
        <f t="shared" si="3"/>
        <v>247</v>
      </c>
      <c r="B248" s="105" t="s">
        <v>268</v>
      </c>
      <c r="C248" s="106" t="s">
        <v>833</v>
      </c>
      <c r="D248" s="107" t="s">
        <v>821</v>
      </c>
      <c r="E248" s="108" t="s">
        <v>773</v>
      </c>
      <c r="F248" s="108" t="s">
        <v>662</v>
      </c>
      <c r="G248" s="108" t="s">
        <v>725</v>
      </c>
      <c r="H248" s="105" t="s">
        <v>300</v>
      </c>
      <c r="I248" s="109">
        <v>3</v>
      </c>
      <c r="J248" s="109" t="s">
        <v>805</v>
      </c>
      <c r="K248" s="105" t="s">
        <v>276</v>
      </c>
      <c r="L248" s="107" t="str">
        <f ca="1">VLOOKUP($K248,OFFSET([1]character_type_i18n!$A$1,0,0,COUNTA([1]character_type_i18n!$A:$A),MATCH(L$1,[1]character_type_i18n!$1:$1,0)-MATCH($K$1,[1]character_type_i18n!$1:$1,0)+1),MATCH(L$1,[1]character_type_i18n!$1:$1,0)-MATCH($K$1,[1]character_type_i18n!$1:$1,0)+1,FALSE)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48" s="105" t="s">
        <v>338</v>
      </c>
      <c r="N248" s="107" t="str">
        <f>VLOOKUP(M248,[1]character_tribe_i18n!A:C,3,FALSE)</f>
        <v>マシン</v>
      </c>
      <c r="O248" s="105" t="s">
        <v>517</v>
      </c>
      <c r="P248" s="107" t="str">
        <f>VLOOKUP(O248,[1]character_tribe_i18n!A:C,3,FALSE)</f>
        <v>ゴッド</v>
      </c>
      <c r="Q248" s="117" t="s">
        <v>834</v>
      </c>
      <c r="R248" s="111">
        <v>3</v>
      </c>
      <c r="S248" s="108" t="s">
        <v>289</v>
      </c>
      <c r="T248" s="108" t="s">
        <v>288</v>
      </c>
      <c r="U248" s="108" t="s">
        <v>289</v>
      </c>
      <c r="V248" s="108" t="s">
        <v>289</v>
      </c>
      <c r="W248" s="108" t="s">
        <v>289</v>
      </c>
    </row>
    <row r="249" spans="1:23" ht="21" customHeight="1" x14ac:dyDescent="0.15">
      <c r="A249" s="104">
        <f t="shared" si="3"/>
        <v>248</v>
      </c>
      <c r="B249" s="105" t="s">
        <v>292</v>
      </c>
      <c r="C249" s="106" t="s">
        <v>835</v>
      </c>
      <c r="D249" s="107" t="s">
        <v>821</v>
      </c>
      <c r="E249" s="108" t="s">
        <v>836</v>
      </c>
      <c r="F249" s="108" t="s">
        <v>837</v>
      </c>
      <c r="G249" s="108" t="s">
        <v>838</v>
      </c>
      <c r="H249" s="105" t="s">
        <v>300</v>
      </c>
      <c r="I249" s="109">
        <v>4</v>
      </c>
      <c r="J249" s="109" t="s">
        <v>805</v>
      </c>
      <c r="K249" s="105" t="s">
        <v>276</v>
      </c>
      <c r="L249" s="107" t="str">
        <f ca="1">VLOOKUP($K249,OFFSET([1]character_type_i18n!$A$1,0,0,COUNTA([1]character_type_i18n!$A:$A),MATCH(L$1,[1]character_type_i18n!$1:$1,0)-MATCH($K$1,[1]character_type_i18n!$1:$1,0)+1),MATCH(L$1,[1]character_type_i18n!$1:$1,0)-MATCH($K$1,[1]character_type_i18n!$1:$1,0)+1,FALSE)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49" s="105" t="s">
        <v>338</v>
      </c>
      <c r="N249" s="107" t="str">
        <f>VLOOKUP(M249,[1]character_tribe_i18n!A:C,3,FALSE)</f>
        <v>マシン</v>
      </c>
      <c r="O249" s="105" t="s">
        <v>517</v>
      </c>
      <c r="P249" s="107" t="str">
        <f>VLOOKUP(O249,[1]character_tribe_i18n!A:C,3,FALSE)</f>
        <v>ゴッド</v>
      </c>
      <c r="Q249" s="117" t="s">
        <v>707</v>
      </c>
      <c r="R249" s="111">
        <v>3</v>
      </c>
      <c r="S249" s="108" t="s">
        <v>280</v>
      </c>
      <c r="T249" s="108" t="s">
        <v>281</v>
      </c>
      <c r="U249" s="108" t="s">
        <v>280</v>
      </c>
      <c r="V249" s="108" t="s">
        <v>280</v>
      </c>
      <c r="W249" s="108" t="s">
        <v>280</v>
      </c>
    </row>
    <row r="250" spans="1:23" ht="21" customHeight="1" x14ac:dyDescent="0.15">
      <c r="A250" s="104">
        <f t="shared" si="3"/>
        <v>249</v>
      </c>
      <c r="B250" s="105" t="s">
        <v>268</v>
      </c>
      <c r="C250" s="106" t="s">
        <v>839</v>
      </c>
      <c r="D250" s="107" t="s">
        <v>821</v>
      </c>
      <c r="E250" s="108" t="s">
        <v>773</v>
      </c>
      <c r="F250" s="108" t="s">
        <v>662</v>
      </c>
      <c r="G250" s="108" t="s">
        <v>725</v>
      </c>
      <c r="H250" s="105" t="s">
        <v>300</v>
      </c>
      <c r="I250" s="109">
        <v>5</v>
      </c>
      <c r="J250" s="109" t="s">
        <v>805</v>
      </c>
      <c r="K250" s="105" t="s">
        <v>276</v>
      </c>
      <c r="L250" s="107" t="str">
        <f ca="1">VLOOKUP($K250,OFFSET([1]character_type_i18n!$A$1,0,0,COUNTA([1]character_type_i18n!$A:$A),MATCH(L$1,[1]character_type_i18n!$1:$1,0)-MATCH($K$1,[1]character_type_i18n!$1:$1,0)+1),MATCH(L$1,[1]character_type_i18n!$1:$1,0)-MATCH($K$1,[1]character_type_i18n!$1:$1,0)+1,FALSE)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50" s="105" t="s">
        <v>338</v>
      </c>
      <c r="N250" s="107" t="str">
        <f>VLOOKUP(M250,[1]character_tribe_i18n!A:C,3,FALSE)</f>
        <v>マシン</v>
      </c>
      <c r="O250" s="105" t="s">
        <v>517</v>
      </c>
      <c r="P250" s="107" t="str">
        <f>VLOOKUP(O250,[1]character_tribe_i18n!A:C,3,FALSE)</f>
        <v>ゴッド</v>
      </c>
      <c r="Q250" s="117" t="s">
        <v>834</v>
      </c>
      <c r="R250" s="111">
        <v>3</v>
      </c>
      <c r="S250" s="108" t="s">
        <v>289</v>
      </c>
      <c r="T250" s="108" t="s">
        <v>288</v>
      </c>
      <c r="U250" s="108" t="s">
        <v>289</v>
      </c>
      <c r="V250" s="108" t="s">
        <v>289</v>
      </c>
      <c r="W250" s="108" t="s">
        <v>289</v>
      </c>
    </row>
    <row r="251" spans="1:23" ht="21" customHeight="1" x14ac:dyDescent="0.15">
      <c r="A251" s="104">
        <f t="shared" si="3"/>
        <v>250</v>
      </c>
      <c r="B251" s="105" t="s">
        <v>268</v>
      </c>
      <c r="C251" s="106" t="s">
        <v>840</v>
      </c>
      <c r="D251" s="107" t="s">
        <v>841</v>
      </c>
      <c r="E251" s="108" t="s">
        <v>709</v>
      </c>
      <c r="F251" s="108" t="s">
        <v>724</v>
      </c>
      <c r="G251" s="108" t="s">
        <v>725</v>
      </c>
      <c r="H251" s="105" t="s">
        <v>274</v>
      </c>
      <c r="I251" s="109">
        <v>3</v>
      </c>
      <c r="J251" s="109" t="s">
        <v>805</v>
      </c>
      <c r="K251" s="105" t="s">
        <v>286</v>
      </c>
      <c r="L251" s="107" t="str">
        <f ca="1">VLOOKUP($K251,OFFSET([1]character_type_i18n!$A$1,0,0,COUNTA([1]character_type_i18n!$A:$A),MATCH(L$1,[1]character_type_i18n!$1:$1,0)-MATCH($K$1,[1]character_type_i18n!$1:$1,0)+1),MATCH(L$1,[1]character_type_i18n!$1:$1,0)-MATCH($K$1,[1]character_type_i18n!$1:$1,0)+1,FALSE)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51" s="105" t="s">
        <v>517</v>
      </c>
      <c r="N251" s="107" t="str">
        <f>VLOOKUP(M251,[1]character_tribe_i18n!A:C,3,FALSE)</f>
        <v>ゴッド</v>
      </c>
      <c r="O251" s="105" t="s">
        <v>278</v>
      </c>
      <c r="P251" s="107" t="str">
        <f>VLOOKUP(O251,[1]character_tribe_i18n!A:C,3,FALSE)</f>
        <v>種族なし</v>
      </c>
      <c r="Q251" s="117" t="s">
        <v>707</v>
      </c>
      <c r="R251" s="111">
        <v>3</v>
      </c>
      <c r="S251" s="108" t="s">
        <v>280</v>
      </c>
      <c r="T251" s="108" t="s">
        <v>281</v>
      </c>
      <c r="U251" s="108" t="s">
        <v>280</v>
      </c>
      <c r="V251" s="108" t="s">
        <v>280</v>
      </c>
      <c r="W251" s="108" t="s">
        <v>280</v>
      </c>
    </row>
    <row r="252" spans="1:23" ht="21" customHeight="1" x14ac:dyDescent="0.15">
      <c r="A252" s="104">
        <f t="shared" si="3"/>
        <v>251</v>
      </c>
      <c r="B252" s="105" t="s">
        <v>268</v>
      </c>
      <c r="C252" s="106" t="s">
        <v>842</v>
      </c>
      <c r="D252" s="107" t="s">
        <v>841</v>
      </c>
      <c r="E252" s="108" t="s">
        <v>709</v>
      </c>
      <c r="F252" s="108" t="s">
        <v>724</v>
      </c>
      <c r="G252" s="108" t="s">
        <v>725</v>
      </c>
      <c r="H252" s="105" t="s">
        <v>274</v>
      </c>
      <c r="I252" s="109">
        <v>4</v>
      </c>
      <c r="J252" s="109" t="s">
        <v>805</v>
      </c>
      <c r="K252" s="105" t="s">
        <v>286</v>
      </c>
      <c r="L252" s="107" t="str">
        <f ca="1">VLOOKUP($K252,OFFSET([1]character_type_i18n!$A$1,0,0,COUNTA([1]character_type_i18n!$A:$A),MATCH(L$1,[1]character_type_i18n!$1:$1,0)-MATCH($K$1,[1]character_type_i18n!$1:$1,0)+1),MATCH(L$1,[1]character_type_i18n!$1:$1,0)-MATCH($K$1,[1]character_type_i18n!$1:$1,0)+1,FALSE)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52" s="105" t="s">
        <v>517</v>
      </c>
      <c r="N252" s="107" t="str">
        <f>VLOOKUP(M252,[1]character_tribe_i18n!A:C,3,FALSE)</f>
        <v>ゴッド</v>
      </c>
      <c r="O252" s="105" t="s">
        <v>278</v>
      </c>
      <c r="P252" s="107" t="str">
        <f>VLOOKUP(O252,[1]character_tribe_i18n!A:C,3,FALSE)</f>
        <v>種族なし</v>
      </c>
      <c r="Q252" s="117" t="s">
        <v>707</v>
      </c>
      <c r="R252" s="111">
        <v>3</v>
      </c>
      <c r="S252" s="108" t="s">
        <v>280</v>
      </c>
      <c r="T252" s="108" t="s">
        <v>281</v>
      </c>
      <c r="U252" s="108" t="s">
        <v>280</v>
      </c>
      <c r="V252" s="108" t="s">
        <v>280</v>
      </c>
      <c r="W252" s="108" t="s">
        <v>280</v>
      </c>
    </row>
    <row r="253" spans="1:23" ht="21" customHeight="1" x14ac:dyDescent="0.15">
      <c r="A253" s="104">
        <f t="shared" si="3"/>
        <v>252</v>
      </c>
      <c r="B253" s="105" t="s">
        <v>268</v>
      </c>
      <c r="C253" s="106" t="s">
        <v>843</v>
      </c>
      <c r="D253" s="107" t="s">
        <v>841</v>
      </c>
      <c r="E253" s="108" t="s">
        <v>709</v>
      </c>
      <c r="F253" s="108" t="s">
        <v>724</v>
      </c>
      <c r="G253" s="108" t="s">
        <v>725</v>
      </c>
      <c r="H253" s="105" t="s">
        <v>274</v>
      </c>
      <c r="I253" s="109">
        <v>5</v>
      </c>
      <c r="J253" s="109" t="s">
        <v>805</v>
      </c>
      <c r="K253" s="105" t="s">
        <v>286</v>
      </c>
      <c r="L253" s="107" t="str">
        <f ca="1">VLOOKUP($K253,OFFSET([1]character_type_i18n!$A$1,0,0,COUNTA([1]character_type_i18n!$A:$A),MATCH(L$1,[1]character_type_i18n!$1:$1,0)-MATCH($K$1,[1]character_type_i18n!$1:$1,0)+1),MATCH(L$1,[1]character_type_i18n!$1:$1,0)-MATCH($K$1,[1]character_type_i18n!$1:$1,0)+1,FALSE)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53" s="105" t="s">
        <v>517</v>
      </c>
      <c r="N253" s="107" t="str">
        <f>VLOOKUP(M253,[1]character_tribe_i18n!A:C,3,FALSE)</f>
        <v>ゴッド</v>
      </c>
      <c r="O253" s="105" t="s">
        <v>278</v>
      </c>
      <c r="P253" s="107" t="str">
        <f>VLOOKUP(O253,[1]character_tribe_i18n!A:C,3,FALSE)</f>
        <v>種族なし</v>
      </c>
      <c r="Q253" s="117" t="s">
        <v>707</v>
      </c>
      <c r="R253" s="111">
        <v>3</v>
      </c>
      <c r="S253" s="108" t="s">
        <v>280</v>
      </c>
      <c r="T253" s="108" t="s">
        <v>281</v>
      </c>
      <c r="U253" s="108" t="s">
        <v>280</v>
      </c>
      <c r="V253" s="108" t="s">
        <v>280</v>
      </c>
      <c r="W253" s="108" t="s">
        <v>280</v>
      </c>
    </row>
    <row r="254" spans="1:23" ht="21" customHeight="1" x14ac:dyDescent="0.15">
      <c r="A254" s="104">
        <f t="shared" si="3"/>
        <v>253</v>
      </c>
      <c r="B254" s="105" t="s">
        <v>268</v>
      </c>
      <c r="C254" s="106" t="s">
        <v>844</v>
      </c>
      <c r="D254" s="107" t="s">
        <v>841</v>
      </c>
      <c r="E254" s="108" t="s">
        <v>709</v>
      </c>
      <c r="F254" s="108" t="s">
        <v>662</v>
      </c>
      <c r="G254" s="108" t="s">
        <v>725</v>
      </c>
      <c r="H254" s="105" t="s">
        <v>285</v>
      </c>
      <c r="I254" s="109">
        <v>3</v>
      </c>
      <c r="J254" s="109" t="s">
        <v>805</v>
      </c>
      <c r="K254" s="105" t="s">
        <v>377</v>
      </c>
      <c r="L254" s="107" t="str">
        <f ca="1">VLOOKUP($K254,OFFSET([1]character_type_i18n!$A$1,0,0,COUNTA([1]character_type_i18n!$A:$A),MATCH(L$1,[1]character_type_i18n!$1:$1,0)-MATCH($K$1,[1]character_type_i18n!$1:$1,0)+1),MATCH(L$1,[1]character_type_i18n!$1:$1,0)-MATCH($K$1,[1]character_type_i18n!$1:$1,0)+1,FALSE)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54" s="105" t="s">
        <v>517</v>
      </c>
      <c r="N254" s="107" t="str">
        <f>VLOOKUP(M254,[1]character_tribe_i18n!A:C,3,FALSE)</f>
        <v>ゴッド</v>
      </c>
      <c r="O254" s="105" t="s">
        <v>278</v>
      </c>
      <c r="P254" s="107" t="str">
        <f>VLOOKUP(O254,[1]character_tribe_i18n!A:C,3,FALSE)</f>
        <v>種族なし</v>
      </c>
      <c r="Q254" s="117" t="s">
        <v>672</v>
      </c>
      <c r="R254" s="111">
        <v>3</v>
      </c>
      <c r="S254" s="108" t="s">
        <v>280</v>
      </c>
      <c r="T254" s="108" t="s">
        <v>281</v>
      </c>
      <c r="U254" s="108" t="s">
        <v>280</v>
      </c>
      <c r="V254" s="108" t="s">
        <v>280</v>
      </c>
      <c r="W254" s="108" t="s">
        <v>280</v>
      </c>
    </row>
    <row r="255" spans="1:23" ht="21" customHeight="1" x14ac:dyDescent="0.15">
      <c r="A255" s="104">
        <f t="shared" si="3"/>
        <v>254</v>
      </c>
      <c r="B255" s="105" t="s">
        <v>268</v>
      </c>
      <c r="C255" s="106" t="s">
        <v>845</v>
      </c>
      <c r="D255" s="107" t="s">
        <v>841</v>
      </c>
      <c r="E255" s="108" t="s">
        <v>709</v>
      </c>
      <c r="F255" s="108" t="s">
        <v>662</v>
      </c>
      <c r="G255" s="108" t="s">
        <v>725</v>
      </c>
      <c r="H255" s="105" t="s">
        <v>285</v>
      </c>
      <c r="I255" s="109">
        <v>4</v>
      </c>
      <c r="J255" s="109" t="s">
        <v>805</v>
      </c>
      <c r="K255" s="105" t="s">
        <v>377</v>
      </c>
      <c r="L255" s="107" t="str">
        <f ca="1">VLOOKUP($K255,OFFSET([1]character_type_i18n!$A$1,0,0,COUNTA([1]character_type_i18n!$A:$A),MATCH(L$1,[1]character_type_i18n!$1:$1,0)-MATCH($K$1,[1]character_type_i18n!$1:$1,0)+1),MATCH(L$1,[1]character_type_i18n!$1:$1,0)-MATCH($K$1,[1]character_type_i18n!$1:$1,0)+1,FALSE)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55" s="105" t="s">
        <v>517</v>
      </c>
      <c r="N255" s="107" t="str">
        <f>VLOOKUP(M255,[1]character_tribe_i18n!A:C,3,FALSE)</f>
        <v>ゴッド</v>
      </c>
      <c r="O255" s="105" t="s">
        <v>278</v>
      </c>
      <c r="P255" s="107" t="str">
        <f>VLOOKUP(O255,[1]character_tribe_i18n!A:C,3,FALSE)</f>
        <v>種族なし</v>
      </c>
      <c r="Q255" s="117" t="s">
        <v>672</v>
      </c>
      <c r="R255" s="111">
        <v>3</v>
      </c>
      <c r="S255" s="108" t="s">
        <v>280</v>
      </c>
      <c r="T255" s="108" t="s">
        <v>281</v>
      </c>
      <c r="U255" s="108" t="s">
        <v>280</v>
      </c>
      <c r="V255" s="108" t="s">
        <v>280</v>
      </c>
      <c r="W255" s="108" t="s">
        <v>280</v>
      </c>
    </row>
    <row r="256" spans="1:23" ht="21" customHeight="1" x14ac:dyDescent="0.15">
      <c r="A256" s="104">
        <f t="shared" si="3"/>
        <v>255</v>
      </c>
      <c r="B256" s="105" t="s">
        <v>268</v>
      </c>
      <c r="C256" s="106" t="s">
        <v>846</v>
      </c>
      <c r="D256" s="107" t="s">
        <v>841</v>
      </c>
      <c r="E256" s="108" t="s">
        <v>709</v>
      </c>
      <c r="F256" s="108" t="s">
        <v>662</v>
      </c>
      <c r="G256" s="108" t="s">
        <v>725</v>
      </c>
      <c r="H256" s="105" t="s">
        <v>285</v>
      </c>
      <c r="I256" s="109">
        <v>5</v>
      </c>
      <c r="J256" s="109" t="s">
        <v>805</v>
      </c>
      <c r="K256" s="105" t="s">
        <v>377</v>
      </c>
      <c r="L256" s="107" t="str">
        <f ca="1">VLOOKUP($K256,OFFSET([1]character_type_i18n!$A$1,0,0,COUNTA([1]character_type_i18n!$A:$A),MATCH(L$1,[1]character_type_i18n!$1:$1,0)-MATCH($K$1,[1]character_type_i18n!$1:$1,0)+1),MATCH(L$1,[1]character_type_i18n!$1:$1,0)-MATCH($K$1,[1]character_type_i18n!$1:$1,0)+1,FALSE)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56" s="105" t="s">
        <v>517</v>
      </c>
      <c r="N256" s="107" t="str">
        <f>VLOOKUP(M256,[1]character_tribe_i18n!A:C,3,FALSE)</f>
        <v>ゴッド</v>
      </c>
      <c r="O256" s="105" t="s">
        <v>278</v>
      </c>
      <c r="P256" s="107" t="str">
        <f>VLOOKUP(O256,[1]character_tribe_i18n!A:C,3,FALSE)</f>
        <v>種族なし</v>
      </c>
      <c r="Q256" s="117" t="s">
        <v>672</v>
      </c>
      <c r="R256" s="111">
        <v>3</v>
      </c>
      <c r="S256" s="108" t="s">
        <v>280</v>
      </c>
      <c r="T256" s="108" t="s">
        <v>281</v>
      </c>
      <c r="U256" s="108" t="s">
        <v>280</v>
      </c>
      <c r="V256" s="108" t="s">
        <v>280</v>
      </c>
      <c r="W256" s="108" t="s">
        <v>280</v>
      </c>
    </row>
    <row r="257" spans="1:23" ht="21" customHeight="1" x14ac:dyDescent="0.15">
      <c r="A257" s="104">
        <f t="shared" si="3"/>
        <v>256</v>
      </c>
      <c r="B257" s="105" t="s">
        <v>292</v>
      </c>
      <c r="C257" s="106" t="s">
        <v>847</v>
      </c>
      <c r="D257" s="107" t="s">
        <v>841</v>
      </c>
      <c r="E257" s="108" t="s">
        <v>848</v>
      </c>
      <c r="F257" s="108" t="s">
        <v>849</v>
      </c>
      <c r="G257" s="108" t="s">
        <v>838</v>
      </c>
      <c r="H257" s="105" t="s">
        <v>295</v>
      </c>
      <c r="I257" s="109">
        <v>3</v>
      </c>
      <c r="J257" s="109" t="s">
        <v>805</v>
      </c>
      <c r="K257" s="105" t="s">
        <v>276</v>
      </c>
      <c r="L257" s="107" t="str">
        <f ca="1">VLOOKUP($K257,OFFSET([1]character_type_i18n!$A$1,0,0,COUNTA([1]character_type_i18n!$A:$A),MATCH(L$1,[1]character_type_i18n!$1:$1,0)-MATCH($K$1,[1]character_type_i18n!$1:$1,0)+1),MATCH(L$1,[1]character_type_i18n!$1:$1,0)-MATCH($K$1,[1]character_type_i18n!$1:$1,0)+1,FALSE)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57" s="105" t="s">
        <v>517</v>
      </c>
      <c r="N257" s="107" t="str">
        <f>VLOOKUP(M257,[1]character_tribe_i18n!A:C,3,FALSE)</f>
        <v>ゴッド</v>
      </c>
      <c r="O257" s="105" t="s">
        <v>278</v>
      </c>
      <c r="P257" s="107" t="str">
        <f>VLOOKUP(O257,[1]character_tribe_i18n!A:C,3,FALSE)</f>
        <v>種族なし</v>
      </c>
      <c r="Q257" s="110" t="s">
        <v>279</v>
      </c>
      <c r="R257" s="111">
        <v>3</v>
      </c>
      <c r="S257" s="108" t="s">
        <v>280</v>
      </c>
      <c r="T257" s="108" t="s">
        <v>281</v>
      </c>
      <c r="U257" s="108" t="s">
        <v>280</v>
      </c>
      <c r="V257" s="108" t="s">
        <v>280</v>
      </c>
      <c r="W257" s="108" t="s">
        <v>280</v>
      </c>
    </row>
    <row r="258" spans="1:23" ht="21" customHeight="1" x14ac:dyDescent="0.15">
      <c r="A258" s="104">
        <f t="shared" si="3"/>
        <v>257</v>
      </c>
      <c r="B258" s="105" t="s">
        <v>268</v>
      </c>
      <c r="C258" s="106" t="s">
        <v>850</v>
      </c>
      <c r="D258" s="107" t="s">
        <v>841</v>
      </c>
      <c r="E258" s="108" t="s">
        <v>709</v>
      </c>
      <c r="F258" s="108" t="s">
        <v>724</v>
      </c>
      <c r="G258" s="108" t="s">
        <v>725</v>
      </c>
      <c r="H258" s="105" t="s">
        <v>295</v>
      </c>
      <c r="I258" s="109">
        <v>4</v>
      </c>
      <c r="J258" s="109" t="s">
        <v>805</v>
      </c>
      <c r="K258" s="105" t="s">
        <v>276</v>
      </c>
      <c r="L258" s="107" t="str">
        <f ca="1">VLOOKUP($K258,OFFSET([1]character_type_i18n!$A$1,0,0,COUNTA([1]character_type_i18n!$A:$A),MATCH(L$1,[1]character_type_i18n!$1:$1,0)-MATCH($K$1,[1]character_type_i18n!$1:$1,0)+1),MATCH(L$1,[1]character_type_i18n!$1:$1,0)-MATCH($K$1,[1]character_type_i18n!$1:$1,0)+1,FALSE)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58" s="105" t="s">
        <v>517</v>
      </c>
      <c r="N258" s="107" t="str">
        <f>VLOOKUP(M258,[1]character_tribe_i18n!A:C,3,FALSE)</f>
        <v>ゴッド</v>
      </c>
      <c r="O258" s="105" t="s">
        <v>278</v>
      </c>
      <c r="P258" s="107" t="str">
        <f>VLOOKUP(O258,[1]character_tribe_i18n!A:C,3,FALSE)</f>
        <v>種族なし</v>
      </c>
      <c r="Q258" s="110" t="s">
        <v>279</v>
      </c>
      <c r="R258" s="111">
        <v>3</v>
      </c>
      <c r="S258" s="108" t="s">
        <v>280</v>
      </c>
      <c r="T258" s="108" t="s">
        <v>281</v>
      </c>
      <c r="U258" s="108" t="s">
        <v>280</v>
      </c>
      <c r="V258" s="108" t="s">
        <v>280</v>
      </c>
      <c r="W258" s="108" t="s">
        <v>280</v>
      </c>
    </row>
    <row r="259" spans="1:23" ht="21" customHeight="1" x14ac:dyDescent="0.15">
      <c r="A259" s="104">
        <f t="shared" ref="A259:A322" si="4">ROW()-1</f>
        <v>258</v>
      </c>
      <c r="B259" s="105" t="s">
        <v>268</v>
      </c>
      <c r="C259" s="106" t="s">
        <v>851</v>
      </c>
      <c r="D259" s="107" t="s">
        <v>841</v>
      </c>
      <c r="E259" s="108" t="s">
        <v>709</v>
      </c>
      <c r="F259" s="108" t="s">
        <v>724</v>
      </c>
      <c r="G259" s="108" t="s">
        <v>725</v>
      </c>
      <c r="H259" s="105" t="s">
        <v>295</v>
      </c>
      <c r="I259" s="109">
        <v>5</v>
      </c>
      <c r="J259" s="109" t="s">
        <v>805</v>
      </c>
      <c r="K259" s="105" t="s">
        <v>276</v>
      </c>
      <c r="L259" s="107" t="str">
        <f ca="1">VLOOKUP($K259,OFFSET([1]character_type_i18n!$A$1,0,0,COUNTA([1]character_type_i18n!$A:$A),MATCH(L$1,[1]character_type_i18n!$1:$1,0)-MATCH($K$1,[1]character_type_i18n!$1:$1,0)+1),MATCH(L$1,[1]character_type_i18n!$1:$1,0)-MATCH($K$1,[1]character_type_i18n!$1:$1,0)+1,FALSE)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59" s="105" t="s">
        <v>517</v>
      </c>
      <c r="N259" s="107" t="str">
        <f>VLOOKUP(M259,[1]character_tribe_i18n!A:C,3,FALSE)</f>
        <v>ゴッド</v>
      </c>
      <c r="O259" s="105" t="s">
        <v>278</v>
      </c>
      <c r="P259" s="107" t="str">
        <f>VLOOKUP(O259,[1]character_tribe_i18n!A:C,3,FALSE)</f>
        <v>種族なし</v>
      </c>
      <c r="Q259" s="110" t="s">
        <v>279</v>
      </c>
      <c r="R259" s="111">
        <v>3</v>
      </c>
      <c r="S259" s="108" t="s">
        <v>280</v>
      </c>
      <c r="T259" s="108" t="s">
        <v>281</v>
      </c>
      <c r="U259" s="108" t="s">
        <v>280</v>
      </c>
      <c r="V259" s="108" t="s">
        <v>280</v>
      </c>
      <c r="W259" s="108" t="s">
        <v>280</v>
      </c>
    </row>
    <row r="260" spans="1:23" ht="21" customHeight="1" x14ac:dyDescent="0.15">
      <c r="A260" s="104">
        <f t="shared" si="4"/>
        <v>259</v>
      </c>
      <c r="B260" s="105" t="s">
        <v>268</v>
      </c>
      <c r="C260" s="106" t="s">
        <v>852</v>
      </c>
      <c r="D260" s="107" t="s">
        <v>841</v>
      </c>
      <c r="E260" s="108" t="s">
        <v>709</v>
      </c>
      <c r="F260" s="108" t="s">
        <v>532</v>
      </c>
      <c r="G260" s="108" t="s">
        <v>853</v>
      </c>
      <c r="H260" s="105" t="s">
        <v>300</v>
      </c>
      <c r="I260" s="109">
        <v>3</v>
      </c>
      <c r="J260" s="109" t="s">
        <v>805</v>
      </c>
      <c r="K260" s="105" t="s">
        <v>286</v>
      </c>
      <c r="L260" s="107" t="str">
        <f ca="1">VLOOKUP($K260,OFFSET([1]character_type_i18n!$A$1,0,0,COUNTA([1]character_type_i18n!$A:$A),MATCH(L$1,[1]character_type_i18n!$1:$1,0)-MATCH($K$1,[1]character_type_i18n!$1:$1,0)+1),MATCH(L$1,[1]character_type_i18n!$1:$1,0)-MATCH($K$1,[1]character_type_i18n!$1:$1,0)+1,FALSE)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60" s="105" t="s">
        <v>854</v>
      </c>
      <c r="N260" s="107" t="str">
        <f>VLOOKUP(M260,[1]character_tribe_i18n!A:C,3,FALSE)</f>
        <v>ドラゴン</v>
      </c>
      <c r="O260" s="105" t="s">
        <v>278</v>
      </c>
      <c r="P260" s="107" t="str">
        <f>VLOOKUP(O260,[1]character_tribe_i18n!A:C,3,FALSE)</f>
        <v>種族なし</v>
      </c>
      <c r="Q260" s="110" t="s">
        <v>279</v>
      </c>
      <c r="R260" s="111">
        <v>3</v>
      </c>
      <c r="S260" s="108" t="s">
        <v>280</v>
      </c>
      <c r="T260" s="108" t="s">
        <v>281</v>
      </c>
      <c r="U260" s="108" t="s">
        <v>280</v>
      </c>
      <c r="V260" s="108" t="s">
        <v>280</v>
      </c>
      <c r="W260" s="108" t="s">
        <v>280</v>
      </c>
    </row>
    <row r="261" spans="1:23" ht="21" customHeight="1" x14ac:dyDescent="0.15">
      <c r="A261" s="104">
        <f t="shared" si="4"/>
        <v>260</v>
      </c>
      <c r="B261" s="105" t="s">
        <v>855</v>
      </c>
      <c r="C261" s="106" t="s">
        <v>856</v>
      </c>
      <c r="D261" s="107" t="s">
        <v>841</v>
      </c>
      <c r="E261" s="108" t="s">
        <v>709</v>
      </c>
      <c r="F261" s="108" t="s">
        <v>857</v>
      </c>
      <c r="G261" s="108" t="s">
        <v>853</v>
      </c>
      <c r="H261" s="105" t="s">
        <v>300</v>
      </c>
      <c r="I261" s="109">
        <v>4</v>
      </c>
      <c r="J261" s="109" t="s">
        <v>805</v>
      </c>
      <c r="K261" s="105" t="s">
        <v>286</v>
      </c>
      <c r="L261" s="107" t="str">
        <f ca="1">VLOOKUP($K261,OFFSET([1]character_type_i18n!$A$1,0,0,COUNTA([1]character_type_i18n!$A:$A),MATCH(L$1,[1]character_type_i18n!$1:$1,0)-MATCH($K$1,[1]character_type_i18n!$1:$1,0)+1),MATCH(L$1,[1]character_type_i18n!$1:$1,0)-MATCH($K$1,[1]character_type_i18n!$1:$1,0)+1,FALSE)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61" s="105" t="s">
        <v>854</v>
      </c>
      <c r="N261" s="107" t="str">
        <f>VLOOKUP(M261,[1]character_tribe_i18n!A:C,3,FALSE)</f>
        <v>ドラゴン</v>
      </c>
      <c r="O261" s="105" t="s">
        <v>278</v>
      </c>
      <c r="P261" s="107" t="str">
        <f>VLOOKUP(O261,[1]character_tribe_i18n!A:C,3,FALSE)</f>
        <v>種族なし</v>
      </c>
      <c r="Q261" s="110" t="s">
        <v>279</v>
      </c>
      <c r="R261" s="111">
        <v>3</v>
      </c>
      <c r="S261" s="108" t="s">
        <v>280</v>
      </c>
      <c r="T261" s="108" t="s">
        <v>281</v>
      </c>
      <c r="U261" s="108" t="s">
        <v>280</v>
      </c>
      <c r="V261" s="108" t="s">
        <v>280</v>
      </c>
      <c r="W261" s="108" t="s">
        <v>280</v>
      </c>
    </row>
    <row r="262" spans="1:23" ht="21" customHeight="1" x14ac:dyDescent="0.15">
      <c r="A262" s="104">
        <f t="shared" si="4"/>
        <v>261</v>
      </c>
      <c r="B262" s="105" t="s">
        <v>268</v>
      </c>
      <c r="C262" s="106" t="s">
        <v>858</v>
      </c>
      <c r="D262" s="107" t="s">
        <v>841</v>
      </c>
      <c r="E262" s="108" t="s">
        <v>709</v>
      </c>
      <c r="F262" s="108" t="s">
        <v>532</v>
      </c>
      <c r="G262" s="108" t="s">
        <v>853</v>
      </c>
      <c r="H262" s="105" t="s">
        <v>300</v>
      </c>
      <c r="I262" s="109">
        <v>5</v>
      </c>
      <c r="J262" s="109" t="s">
        <v>805</v>
      </c>
      <c r="K262" s="105" t="s">
        <v>286</v>
      </c>
      <c r="L262" s="107" t="str">
        <f ca="1">VLOOKUP($K262,OFFSET([1]character_type_i18n!$A$1,0,0,COUNTA([1]character_type_i18n!$A:$A),MATCH(L$1,[1]character_type_i18n!$1:$1,0)-MATCH($K$1,[1]character_type_i18n!$1:$1,0)+1),MATCH(L$1,[1]character_type_i18n!$1:$1,0)-MATCH($K$1,[1]character_type_i18n!$1:$1,0)+1,FALSE)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62" s="105" t="s">
        <v>854</v>
      </c>
      <c r="N262" s="107" t="str">
        <f>VLOOKUP(M262,[1]character_tribe_i18n!A:C,3,FALSE)</f>
        <v>ドラゴン</v>
      </c>
      <c r="O262" s="105" t="s">
        <v>278</v>
      </c>
      <c r="P262" s="107" t="str">
        <f>VLOOKUP(O262,[1]character_tribe_i18n!A:C,3,FALSE)</f>
        <v>種族なし</v>
      </c>
      <c r="Q262" s="110" t="s">
        <v>279</v>
      </c>
      <c r="R262" s="111">
        <v>3</v>
      </c>
      <c r="S262" s="108" t="s">
        <v>280</v>
      </c>
      <c r="T262" s="108" t="s">
        <v>281</v>
      </c>
      <c r="U262" s="108" t="s">
        <v>280</v>
      </c>
      <c r="V262" s="108" t="s">
        <v>280</v>
      </c>
      <c r="W262" s="108" t="s">
        <v>280</v>
      </c>
    </row>
    <row r="263" spans="1:23" ht="21" customHeight="1" x14ac:dyDescent="0.15">
      <c r="A263" s="104">
        <f t="shared" si="4"/>
        <v>262</v>
      </c>
      <c r="B263" s="105" t="s">
        <v>268</v>
      </c>
      <c r="C263" s="106" t="s">
        <v>859</v>
      </c>
      <c r="D263" s="107" t="s">
        <v>860</v>
      </c>
      <c r="E263" s="108" t="s">
        <v>271</v>
      </c>
      <c r="F263" s="108" t="s">
        <v>532</v>
      </c>
      <c r="G263" s="108" t="s">
        <v>861</v>
      </c>
      <c r="H263" s="119" t="s">
        <v>274</v>
      </c>
      <c r="I263" s="109">
        <v>3</v>
      </c>
      <c r="J263" s="109" t="s">
        <v>862</v>
      </c>
      <c r="K263" s="105" t="s">
        <v>276</v>
      </c>
      <c r="L263" s="107" t="str">
        <f ca="1">VLOOKUP($K263,OFFSET([1]character_type_i18n!$A$1,0,0,COUNTA([1]character_type_i18n!$A:$A),MATCH(L$1,[1]character_type_i18n!$1:$1,0)-MATCH($K$1,[1]character_type_i18n!$1:$1,0)+1),MATCH(L$1,[1]character_type_i18n!$1:$1,0)-MATCH($K$1,[1]character_type_i18n!$1:$1,0)+1,FALSE)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63" s="105" t="s">
        <v>318</v>
      </c>
      <c r="N263" s="107" t="str">
        <f>VLOOKUP(M263,[1]character_tribe_i18n!A:C,3,FALSE)</f>
        <v>アニマル</v>
      </c>
      <c r="O263" s="105" t="s">
        <v>278</v>
      </c>
      <c r="P263" s="107" t="str">
        <f>VLOOKUP(O263,[1]character_tribe_i18n!A:C,3,FALSE)</f>
        <v>種族なし</v>
      </c>
      <c r="Q263" s="117"/>
      <c r="R263" s="111">
        <v>3</v>
      </c>
      <c r="S263" s="108" t="s">
        <v>280</v>
      </c>
      <c r="T263" s="108" t="s">
        <v>281</v>
      </c>
      <c r="U263" s="108" t="s">
        <v>280</v>
      </c>
      <c r="V263" s="108" t="s">
        <v>280</v>
      </c>
      <c r="W263" s="108" t="s">
        <v>280</v>
      </c>
    </row>
    <row r="264" spans="1:23" ht="21" customHeight="1" x14ac:dyDescent="0.15">
      <c r="A264" s="104">
        <f t="shared" si="4"/>
        <v>263</v>
      </c>
      <c r="B264" s="105" t="s">
        <v>268</v>
      </c>
      <c r="C264" s="106" t="s">
        <v>863</v>
      </c>
      <c r="D264" s="107" t="s">
        <v>860</v>
      </c>
      <c r="E264" s="108" t="s">
        <v>271</v>
      </c>
      <c r="F264" s="108" t="s">
        <v>532</v>
      </c>
      <c r="G264" s="108" t="s">
        <v>861</v>
      </c>
      <c r="H264" s="120" t="s">
        <v>274</v>
      </c>
      <c r="I264" s="109">
        <v>4</v>
      </c>
      <c r="J264" s="109" t="s">
        <v>862</v>
      </c>
      <c r="K264" s="105" t="s">
        <v>276</v>
      </c>
      <c r="L264" s="107" t="str">
        <f ca="1">VLOOKUP($K264,OFFSET([1]character_type_i18n!$A$1,0,0,COUNTA([1]character_type_i18n!$A:$A),MATCH(L$1,[1]character_type_i18n!$1:$1,0)-MATCH($K$1,[1]character_type_i18n!$1:$1,0)+1),MATCH(L$1,[1]character_type_i18n!$1:$1,0)-MATCH($K$1,[1]character_type_i18n!$1:$1,0)+1,FALSE)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64" s="105" t="s">
        <v>318</v>
      </c>
      <c r="N264" s="107" t="str">
        <f>VLOOKUP(M264,[1]character_tribe_i18n!A:C,3,FALSE)</f>
        <v>アニマル</v>
      </c>
      <c r="O264" s="105" t="s">
        <v>278</v>
      </c>
      <c r="P264" s="107" t="str">
        <f>VLOOKUP(O264,[1]character_tribe_i18n!A:C,3,FALSE)</f>
        <v>種族なし</v>
      </c>
      <c r="Q264" s="117"/>
      <c r="R264" s="111">
        <v>3</v>
      </c>
      <c r="S264" s="108" t="s">
        <v>280</v>
      </c>
      <c r="T264" s="108" t="s">
        <v>281</v>
      </c>
      <c r="U264" s="108" t="s">
        <v>280</v>
      </c>
      <c r="V264" s="108" t="s">
        <v>280</v>
      </c>
      <c r="W264" s="108" t="s">
        <v>280</v>
      </c>
    </row>
    <row r="265" spans="1:23" ht="21" customHeight="1" x14ac:dyDescent="0.15">
      <c r="A265" s="104">
        <f t="shared" si="4"/>
        <v>264</v>
      </c>
      <c r="B265" s="105" t="s">
        <v>268</v>
      </c>
      <c r="C265" s="106" t="s">
        <v>864</v>
      </c>
      <c r="D265" s="107" t="s">
        <v>860</v>
      </c>
      <c r="E265" s="108" t="s">
        <v>271</v>
      </c>
      <c r="F265" s="108" t="s">
        <v>532</v>
      </c>
      <c r="G265" s="108" t="s">
        <v>865</v>
      </c>
      <c r="H265" s="120" t="s">
        <v>285</v>
      </c>
      <c r="I265" s="109">
        <v>3</v>
      </c>
      <c r="J265" s="109" t="s">
        <v>862</v>
      </c>
      <c r="K265" s="105" t="s">
        <v>347</v>
      </c>
      <c r="L265" s="107" t="str">
        <f ca="1">VLOOKUP($K265,OFFSET([1]character_type_i18n!$A$1,0,0,COUNTA([1]character_type_i18n!$A:$A),MATCH(L$1,[1]character_type_i18n!$1:$1,0)-MATCH($K$1,[1]character_type_i18n!$1:$1,0)+1),MATCH(L$1,[1]character_type_i18n!$1:$1,0)-MATCH($K$1,[1]character_type_i18n!$1:$1,0)+1,FALSE)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65" s="105" t="s">
        <v>318</v>
      </c>
      <c r="N265" s="107" t="str">
        <f>VLOOKUP(M265,[1]character_tribe_i18n!A:C,3,FALSE)</f>
        <v>アニマル</v>
      </c>
      <c r="O265" s="105" t="s">
        <v>278</v>
      </c>
      <c r="P265" s="107" t="str">
        <f>VLOOKUP(O265,[1]character_tribe_i18n!A:C,3,FALSE)</f>
        <v>種族なし</v>
      </c>
      <c r="Q265" s="117" t="s">
        <v>866</v>
      </c>
      <c r="R265" s="111">
        <v>3</v>
      </c>
      <c r="S265" s="108" t="s">
        <v>280</v>
      </c>
      <c r="T265" s="108" t="s">
        <v>281</v>
      </c>
      <c r="U265" s="108" t="s">
        <v>280</v>
      </c>
      <c r="V265" s="108" t="s">
        <v>280</v>
      </c>
      <c r="W265" s="108" t="s">
        <v>280</v>
      </c>
    </row>
    <row r="266" spans="1:23" ht="21" customHeight="1" x14ac:dyDescent="0.15">
      <c r="A266" s="104">
        <f t="shared" si="4"/>
        <v>265</v>
      </c>
      <c r="B266" s="105" t="s">
        <v>268</v>
      </c>
      <c r="C266" s="106" t="s">
        <v>867</v>
      </c>
      <c r="D266" s="107" t="s">
        <v>860</v>
      </c>
      <c r="E266" s="108" t="s">
        <v>271</v>
      </c>
      <c r="F266" s="108" t="s">
        <v>532</v>
      </c>
      <c r="G266" s="108" t="s">
        <v>865</v>
      </c>
      <c r="H266" s="120" t="s">
        <v>285</v>
      </c>
      <c r="I266" s="109">
        <v>4</v>
      </c>
      <c r="J266" s="109" t="s">
        <v>862</v>
      </c>
      <c r="K266" s="105" t="s">
        <v>347</v>
      </c>
      <c r="L266" s="107" t="str">
        <f ca="1">VLOOKUP($K266,OFFSET([1]character_type_i18n!$A$1,0,0,COUNTA([1]character_type_i18n!$A:$A),MATCH(L$1,[1]character_type_i18n!$1:$1,0)-MATCH($K$1,[1]character_type_i18n!$1:$1,0)+1),MATCH(L$1,[1]character_type_i18n!$1:$1,0)-MATCH($K$1,[1]character_type_i18n!$1:$1,0)+1,FALSE)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66" s="105" t="s">
        <v>318</v>
      </c>
      <c r="N266" s="107" t="str">
        <f>VLOOKUP(M266,[1]character_tribe_i18n!A:C,3,FALSE)</f>
        <v>アニマル</v>
      </c>
      <c r="O266" s="105" t="s">
        <v>278</v>
      </c>
      <c r="P266" s="107" t="str">
        <f>VLOOKUP(O266,[1]character_tribe_i18n!A:C,3,FALSE)</f>
        <v>種族なし</v>
      </c>
      <c r="Q266" s="117" t="s">
        <v>868</v>
      </c>
      <c r="R266" s="111">
        <v>3</v>
      </c>
      <c r="S266" s="108" t="s">
        <v>289</v>
      </c>
      <c r="T266" s="108" t="s">
        <v>288</v>
      </c>
      <c r="U266" s="108" t="s">
        <v>289</v>
      </c>
      <c r="V266" s="108" t="s">
        <v>289</v>
      </c>
      <c r="W266" s="108" t="s">
        <v>289</v>
      </c>
    </row>
    <row r="267" spans="1:23" ht="21" customHeight="1" x14ac:dyDescent="0.15">
      <c r="A267" s="104">
        <f t="shared" si="4"/>
        <v>266</v>
      </c>
      <c r="B267" s="105" t="s">
        <v>292</v>
      </c>
      <c r="C267" s="106" t="s">
        <v>869</v>
      </c>
      <c r="D267" s="107" t="s">
        <v>860</v>
      </c>
      <c r="E267" s="108" t="s">
        <v>294</v>
      </c>
      <c r="F267" s="108" t="s">
        <v>870</v>
      </c>
      <c r="G267" s="108" t="s">
        <v>861</v>
      </c>
      <c r="H267" s="120" t="s">
        <v>295</v>
      </c>
      <c r="I267" s="109">
        <v>3</v>
      </c>
      <c r="J267" s="109" t="s">
        <v>862</v>
      </c>
      <c r="K267" s="105" t="s">
        <v>286</v>
      </c>
      <c r="L267" s="107" t="str">
        <f ca="1">VLOOKUP($K267,OFFSET([1]character_type_i18n!$A$1,0,0,COUNTA([1]character_type_i18n!$A:$A),MATCH(L$1,[1]character_type_i18n!$1:$1,0)-MATCH($K$1,[1]character_type_i18n!$1:$1,0)+1),MATCH(L$1,[1]character_type_i18n!$1:$1,0)-MATCH($K$1,[1]character_type_i18n!$1:$1,0)+1,FALSE)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67" s="105" t="s">
        <v>318</v>
      </c>
      <c r="N267" s="107" t="str">
        <f>VLOOKUP(M267,[1]character_tribe_i18n!A:C,3,FALSE)</f>
        <v>アニマル</v>
      </c>
      <c r="O267" s="105" t="s">
        <v>278</v>
      </c>
      <c r="P267" s="107" t="str">
        <f>VLOOKUP(O267,[1]character_tribe_i18n!A:C,3,FALSE)</f>
        <v>種族なし</v>
      </c>
      <c r="Q267" s="117"/>
      <c r="R267" s="111">
        <v>3</v>
      </c>
      <c r="S267" s="108" t="s">
        <v>280</v>
      </c>
      <c r="T267" s="108" t="s">
        <v>281</v>
      </c>
      <c r="U267" s="108" t="s">
        <v>280</v>
      </c>
      <c r="V267" s="108" t="s">
        <v>280</v>
      </c>
      <c r="W267" s="108" t="s">
        <v>280</v>
      </c>
    </row>
    <row r="268" spans="1:23" ht="21" customHeight="1" x14ac:dyDescent="0.15">
      <c r="A268" s="104">
        <f t="shared" si="4"/>
        <v>267</v>
      </c>
      <c r="B268" s="105" t="s">
        <v>268</v>
      </c>
      <c r="C268" s="106" t="s">
        <v>871</v>
      </c>
      <c r="D268" s="107" t="s">
        <v>860</v>
      </c>
      <c r="E268" s="108" t="s">
        <v>271</v>
      </c>
      <c r="F268" s="108" t="s">
        <v>870</v>
      </c>
      <c r="G268" s="108" t="s">
        <v>861</v>
      </c>
      <c r="H268" s="120" t="s">
        <v>295</v>
      </c>
      <c r="I268" s="109">
        <v>4</v>
      </c>
      <c r="J268" s="109" t="s">
        <v>862</v>
      </c>
      <c r="K268" s="105" t="s">
        <v>286</v>
      </c>
      <c r="L268" s="107" t="str">
        <f ca="1">VLOOKUP($K268,OFFSET([1]character_type_i18n!$A$1,0,0,COUNTA([1]character_type_i18n!$A:$A),MATCH(L$1,[1]character_type_i18n!$1:$1,0)-MATCH($K$1,[1]character_type_i18n!$1:$1,0)+1),MATCH(L$1,[1]character_type_i18n!$1:$1,0)-MATCH($K$1,[1]character_type_i18n!$1:$1,0)+1,FALSE)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68" s="105" t="s">
        <v>318</v>
      </c>
      <c r="N268" s="107" t="str">
        <f>VLOOKUP(M268,[1]character_tribe_i18n!A:C,3,FALSE)</f>
        <v>アニマル</v>
      </c>
      <c r="O268" s="105" t="s">
        <v>278</v>
      </c>
      <c r="P268" s="107" t="str">
        <f>VLOOKUP(O268,[1]character_tribe_i18n!A:C,3,FALSE)</f>
        <v>種族なし</v>
      </c>
      <c r="Q268" s="117"/>
      <c r="R268" s="111">
        <v>3</v>
      </c>
      <c r="S268" s="108" t="s">
        <v>280</v>
      </c>
      <c r="T268" s="108" t="s">
        <v>281</v>
      </c>
      <c r="U268" s="108" t="s">
        <v>280</v>
      </c>
      <c r="V268" s="108" t="s">
        <v>280</v>
      </c>
      <c r="W268" s="108" t="s">
        <v>280</v>
      </c>
    </row>
    <row r="269" spans="1:23" ht="21" customHeight="1" x14ac:dyDescent="0.15">
      <c r="A269" s="104">
        <f t="shared" si="4"/>
        <v>268</v>
      </c>
      <c r="B269" s="105" t="s">
        <v>268</v>
      </c>
      <c r="C269" s="106" t="s">
        <v>872</v>
      </c>
      <c r="D269" s="107" t="s">
        <v>860</v>
      </c>
      <c r="E269" s="108" t="s">
        <v>271</v>
      </c>
      <c r="F269" s="108" t="s">
        <v>532</v>
      </c>
      <c r="G269" s="108" t="s">
        <v>873</v>
      </c>
      <c r="H269" s="120" t="s">
        <v>300</v>
      </c>
      <c r="I269" s="109">
        <v>3</v>
      </c>
      <c r="J269" s="109" t="s">
        <v>862</v>
      </c>
      <c r="K269" s="105" t="s">
        <v>377</v>
      </c>
      <c r="L269" s="107" t="str">
        <f ca="1">VLOOKUP($K269,OFFSET([1]character_type_i18n!$A$1,0,0,COUNTA([1]character_type_i18n!$A:$A),MATCH(L$1,[1]character_type_i18n!$1:$1,0)-MATCH($K$1,[1]character_type_i18n!$1:$1,0)+1),MATCH(L$1,[1]character_type_i18n!$1:$1,0)-MATCH($K$1,[1]character_type_i18n!$1:$1,0)+1,FALSE)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69" s="105" t="s">
        <v>318</v>
      </c>
      <c r="N269" s="107" t="str">
        <f>VLOOKUP(M269,[1]character_tribe_i18n!A:C,3,FALSE)</f>
        <v>アニマル</v>
      </c>
      <c r="O269" s="105" t="s">
        <v>278</v>
      </c>
      <c r="P269" s="107" t="str">
        <f>VLOOKUP(O269,[1]character_tribe_i18n!A:C,3,FALSE)</f>
        <v>種族なし</v>
      </c>
      <c r="Q269" s="117" t="s">
        <v>657</v>
      </c>
      <c r="R269" s="111">
        <v>3</v>
      </c>
      <c r="S269" s="108" t="s">
        <v>280</v>
      </c>
      <c r="T269" s="108" t="s">
        <v>281</v>
      </c>
      <c r="U269" s="108" t="s">
        <v>280</v>
      </c>
      <c r="V269" s="108" t="s">
        <v>280</v>
      </c>
      <c r="W269" s="108" t="s">
        <v>280</v>
      </c>
    </row>
    <row r="270" spans="1:23" ht="21" customHeight="1" x14ac:dyDescent="0.15">
      <c r="A270" s="104">
        <f t="shared" si="4"/>
        <v>269</v>
      </c>
      <c r="B270" s="105" t="s">
        <v>268</v>
      </c>
      <c r="C270" s="106" t="s">
        <v>874</v>
      </c>
      <c r="D270" s="107" t="s">
        <v>860</v>
      </c>
      <c r="E270" s="108" t="s">
        <v>271</v>
      </c>
      <c r="F270" s="108" t="s">
        <v>532</v>
      </c>
      <c r="G270" s="108" t="s">
        <v>873</v>
      </c>
      <c r="H270" s="120" t="s">
        <v>300</v>
      </c>
      <c r="I270" s="109">
        <v>4</v>
      </c>
      <c r="J270" s="109" t="s">
        <v>862</v>
      </c>
      <c r="K270" s="105" t="s">
        <v>377</v>
      </c>
      <c r="L270" s="107" t="str">
        <f ca="1">VLOOKUP($K270,OFFSET([1]character_type_i18n!$A$1,0,0,COUNTA([1]character_type_i18n!$A:$A),MATCH(L$1,[1]character_type_i18n!$1:$1,0)-MATCH($K$1,[1]character_type_i18n!$1:$1,0)+1),MATCH(L$1,[1]character_type_i18n!$1:$1,0)-MATCH($K$1,[1]character_type_i18n!$1:$1,0)+1,FALSE)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70" s="105" t="s">
        <v>318</v>
      </c>
      <c r="N270" s="107" t="str">
        <f>VLOOKUP(M270,[1]character_tribe_i18n!A:C,3,FALSE)</f>
        <v>アニマル</v>
      </c>
      <c r="O270" s="105" t="s">
        <v>278</v>
      </c>
      <c r="P270" s="107" t="str">
        <f>VLOOKUP(O270,[1]character_tribe_i18n!A:C,3,FALSE)</f>
        <v>種族なし</v>
      </c>
      <c r="Q270" s="117" t="s">
        <v>657</v>
      </c>
      <c r="R270" s="111">
        <v>3</v>
      </c>
      <c r="S270" s="108" t="s">
        <v>280</v>
      </c>
      <c r="T270" s="108" t="s">
        <v>281</v>
      </c>
      <c r="U270" s="108" t="s">
        <v>280</v>
      </c>
      <c r="V270" s="108" t="s">
        <v>875</v>
      </c>
      <c r="W270" s="108" t="s">
        <v>875</v>
      </c>
    </row>
    <row r="271" spans="1:23" ht="21" customHeight="1" x14ac:dyDescent="0.15">
      <c r="A271" s="104">
        <f t="shared" si="4"/>
        <v>270</v>
      </c>
      <c r="B271" s="105" t="s">
        <v>268</v>
      </c>
      <c r="C271" s="106" t="s">
        <v>876</v>
      </c>
      <c r="D271" s="107" t="s">
        <v>877</v>
      </c>
      <c r="E271" s="108" t="s">
        <v>878</v>
      </c>
      <c r="F271" s="108" t="s">
        <v>724</v>
      </c>
      <c r="G271" s="108" t="s">
        <v>725</v>
      </c>
      <c r="H271" s="120" t="s">
        <v>285</v>
      </c>
      <c r="I271" s="109">
        <v>4</v>
      </c>
      <c r="J271" s="109" t="s">
        <v>516</v>
      </c>
      <c r="K271" s="105" t="s">
        <v>276</v>
      </c>
      <c r="L271" s="107" t="str">
        <f ca="1">VLOOKUP($K271,OFFSET([1]character_type_i18n!$A$1,0,0,COUNTA([1]character_type_i18n!$A:$A),MATCH(L$1,[1]character_type_i18n!$1:$1,0)-MATCH($K$1,[1]character_type_i18n!$1:$1,0)+1),MATCH(L$1,[1]character_type_i18n!$1:$1,0)-MATCH($K$1,[1]character_type_i18n!$1:$1,0)+1,FALSE)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71" s="105" t="s">
        <v>332</v>
      </c>
      <c r="N271" s="107" t="str">
        <f>VLOOKUP(M271,[1]character_tribe_i18n!A:C,3,FALSE)</f>
        <v>ヒューマン</v>
      </c>
      <c r="O271" s="105" t="s">
        <v>318</v>
      </c>
      <c r="P271" s="107" t="str">
        <f>VLOOKUP(O271,[1]character_tribe_i18n!A:C,3,FALSE)</f>
        <v>アニマル</v>
      </c>
      <c r="Q271" s="117" t="s">
        <v>879</v>
      </c>
      <c r="R271" s="111">
        <v>3</v>
      </c>
      <c r="S271" s="108" t="s">
        <v>880</v>
      </c>
      <c r="T271" s="108" t="s">
        <v>281</v>
      </c>
      <c r="U271" s="108" t="s">
        <v>280</v>
      </c>
      <c r="V271" s="108" t="s">
        <v>880</v>
      </c>
      <c r="W271" s="108" t="s">
        <v>880</v>
      </c>
    </row>
    <row r="272" spans="1:23" ht="21" customHeight="1" x14ac:dyDescent="0.15">
      <c r="A272" s="104">
        <f t="shared" si="4"/>
        <v>271</v>
      </c>
      <c r="B272" s="105" t="s">
        <v>268</v>
      </c>
      <c r="C272" s="106" t="s">
        <v>881</v>
      </c>
      <c r="D272" s="107" t="s">
        <v>877</v>
      </c>
      <c r="E272" s="108" t="s">
        <v>878</v>
      </c>
      <c r="F272" s="108" t="s">
        <v>882</v>
      </c>
      <c r="G272" s="108" t="s">
        <v>883</v>
      </c>
      <c r="H272" s="120" t="s">
        <v>285</v>
      </c>
      <c r="I272" s="109">
        <v>5</v>
      </c>
      <c r="J272" s="109" t="s">
        <v>516</v>
      </c>
      <c r="K272" s="105" t="s">
        <v>276</v>
      </c>
      <c r="L272" s="107" t="str">
        <f ca="1">VLOOKUP($K272,OFFSET([1]character_type_i18n!$A$1,0,0,COUNTA([1]character_type_i18n!$A:$A),MATCH(L$1,[1]character_type_i18n!$1:$1,0)-MATCH($K$1,[1]character_type_i18n!$1:$1,0)+1),MATCH(L$1,[1]character_type_i18n!$1:$1,0)-MATCH($K$1,[1]character_type_i18n!$1:$1,0)+1,FALSE)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72" s="105" t="s">
        <v>332</v>
      </c>
      <c r="N272" s="107" t="str">
        <f>VLOOKUP(M272,[1]character_tribe_i18n!A:C,3,FALSE)</f>
        <v>ヒューマン</v>
      </c>
      <c r="O272" s="105" t="s">
        <v>318</v>
      </c>
      <c r="P272" s="107" t="str">
        <f>VLOOKUP(O272,[1]character_tribe_i18n!A:C,3,FALSE)</f>
        <v>アニマル</v>
      </c>
      <c r="Q272" s="117" t="s">
        <v>884</v>
      </c>
      <c r="R272" s="111">
        <v>3</v>
      </c>
      <c r="S272" s="108" t="s">
        <v>885</v>
      </c>
      <c r="T272" s="108" t="s">
        <v>886</v>
      </c>
      <c r="U272" s="108" t="s">
        <v>887</v>
      </c>
      <c r="V272" s="108" t="s">
        <v>887</v>
      </c>
      <c r="W272" s="108" t="s">
        <v>887</v>
      </c>
    </row>
    <row r="273" spans="1:23" ht="21" customHeight="1" x14ac:dyDescent="0.15">
      <c r="A273" s="104">
        <f t="shared" si="4"/>
        <v>272</v>
      </c>
      <c r="B273" s="105" t="s">
        <v>888</v>
      </c>
      <c r="C273" s="106" t="s">
        <v>889</v>
      </c>
      <c r="D273" s="107" t="s">
        <v>877</v>
      </c>
      <c r="E273" s="108" t="s">
        <v>878</v>
      </c>
      <c r="F273" s="108" t="s">
        <v>890</v>
      </c>
      <c r="G273" s="108" t="s">
        <v>873</v>
      </c>
      <c r="H273" s="120" t="s">
        <v>295</v>
      </c>
      <c r="I273" s="109">
        <v>4</v>
      </c>
      <c r="J273" s="109" t="s">
        <v>516</v>
      </c>
      <c r="K273" s="105" t="s">
        <v>377</v>
      </c>
      <c r="L273" s="107" t="str">
        <f ca="1">VLOOKUP($K273,OFFSET([1]character_type_i18n!$A$1,0,0,COUNTA([1]character_type_i18n!$A:$A),MATCH(L$1,[1]character_type_i18n!$1:$1,0)-MATCH($K$1,[1]character_type_i18n!$1:$1,0)+1),MATCH(L$1,[1]character_type_i18n!$1:$1,0)-MATCH($K$1,[1]character_type_i18n!$1:$1,0)+1,FALSE)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73" s="105" t="s">
        <v>332</v>
      </c>
      <c r="N273" s="107" t="str">
        <f>VLOOKUP(M273,[1]character_tribe_i18n!A:C,3,FALSE)</f>
        <v>ヒューマン</v>
      </c>
      <c r="O273" s="105" t="s">
        <v>278</v>
      </c>
      <c r="P273" s="107" t="str">
        <f>VLOOKUP(O273,[1]character_tribe_i18n!A:C,3,FALSE)</f>
        <v>種族なし</v>
      </c>
      <c r="Q273" s="117" t="s">
        <v>891</v>
      </c>
      <c r="R273" s="111">
        <v>3</v>
      </c>
      <c r="S273" s="108" t="s">
        <v>892</v>
      </c>
      <c r="T273" s="108" t="s">
        <v>893</v>
      </c>
      <c r="U273" s="108" t="s">
        <v>880</v>
      </c>
      <c r="V273" s="108" t="s">
        <v>894</v>
      </c>
      <c r="W273" s="108" t="s">
        <v>894</v>
      </c>
    </row>
    <row r="274" spans="1:23" ht="21" customHeight="1" x14ac:dyDescent="0.15">
      <c r="A274" s="104">
        <f t="shared" si="4"/>
        <v>273</v>
      </c>
      <c r="B274" s="105" t="s">
        <v>268</v>
      </c>
      <c r="C274" s="106" t="s">
        <v>895</v>
      </c>
      <c r="D274" s="107" t="s">
        <v>877</v>
      </c>
      <c r="E274" s="108" t="s">
        <v>878</v>
      </c>
      <c r="F274" s="108" t="s">
        <v>896</v>
      </c>
      <c r="G274" s="108" t="s">
        <v>873</v>
      </c>
      <c r="H274" s="120" t="s">
        <v>295</v>
      </c>
      <c r="I274" s="109">
        <v>5</v>
      </c>
      <c r="J274" s="109" t="s">
        <v>516</v>
      </c>
      <c r="K274" s="105" t="s">
        <v>377</v>
      </c>
      <c r="L274" s="107" t="str">
        <f ca="1">VLOOKUP($K274,OFFSET([1]character_type_i18n!$A$1,0,0,COUNTA([1]character_type_i18n!$A:$A),MATCH(L$1,[1]character_type_i18n!$1:$1,0)-MATCH($K$1,[1]character_type_i18n!$1:$1,0)+1),MATCH(L$1,[1]character_type_i18n!$1:$1,0)-MATCH($K$1,[1]character_type_i18n!$1:$1,0)+1,FALSE)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74" s="105" t="s">
        <v>332</v>
      </c>
      <c r="N274" s="107" t="str">
        <f>VLOOKUP(M274,[1]character_tribe_i18n!A:C,3,FALSE)</f>
        <v>ヒューマン</v>
      </c>
      <c r="O274" s="105" t="s">
        <v>278</v>
      </c>
      <c r="P274" s="107" t="str">
        <f>VLOOKUP(O274,[1]character_tribe_i18n!A:C,3,FALSE)</f>
        <v>種族なし</v>
      </c>
      <c r="Q274" s="117" t="s">
        <v>897</v>
      </c>
      <c r="R274" s="111">
        <v>3</v>
      </c>
      <c r="S274" s="108" t="s">
        <v>898</v>
      </c>
      <c r="T274" s="108" t="s">
        <v>899</v>
      </c>
      <c r="U274" s="108" t="s">
        <v>900</v>
      </c>
      <c r="V274" s="108" t="s">
        <v>894</v>
      </c>
      <c r="W274" s="108" t="s">
        <v>894</v>
      </c>
    </row>
    <row r="275" spans="1:23" ht="21" customHeight="1" x14ac:dyDescent="0.15">
      <c r="A275" s="104">
        <f t="shared" si="4"/>
        <v>274</v>
      </c>
      <c r="B275" s="105" t="s">
        <v>901</v>
      </c>
      <c r="C275" s="106" t="s">
        <v>902</v>
      </c>
      <c r="D275" s="107" t="s">
        <v>877</v>
      </c>
      <c r="E275" s="108" t="s">
        <v>878</v>
      </c>
      <c r="F275" s="108" t="s">
        <v>903</v>
      </c>
      <c r="G275" s="108" t="s">
        <v>873</v>
      </c>
      <c r="H275" s="120" t="s">
        <v>300</v>
      </c>
      <c r="I275" s="109">
        <v>4</v>
      </c>
      <c r="J275" s="109" t="s">
        <v>516</v>
      </c>
      <c r="K275" s="105" t="s">
        <v>276</v>
      </c>
      <c r="L275" s="107" t="str">
        <f ca="1">VLOOKUP($K275,OFFSET([1]character_type_i18n!$A$1,0,0,COUNTA([1]character_type_i18n!$A:$A),MATCH(L$1,[1]character_type_i18n!$1:$1,0)-MATCH($K$1,[1]character_type_i18n!$1:$1,0)+1),MATCH(L$1,[1]character_type_i18n!$1:$1,0)-MATCH($K$1,[1]character_type_i18n!$1:$1,0)+1,FALSE)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75" s="105" t="s">
        <v>332</v>
      </c>
      <c r="N275" s="107" t="str">
        <f>VLOOKUP(M275,[1]character_tribe_i18n!A:C,3,FALSE)</f>
        <v>ヒューマン</v>
      </c>
      <c r="O275" s="105" t="s">
        <v>318</v>
      </c>
      <c r="P275" s="107" t="str">
        <f>VLOOKUP(O275,[1]character_tribe_i18n!A:C,3,FALSE)</f>
        <v>アニマル</v>
      </c>
      <c r="Q275" s="117" t="s">
        <v>654</v>
      </c>
      <c r="R275" s="111">
        <v>3</v>
      </c>
      <c r="S275" s="108" t="s">
        <v>280</v>
      </c>
      <c r="T275" s="108" t="s">
        <v>281</v>
      </c>
      <c r="U275" s="108" t="s">
        <v>280</v>
      </c>
      <c r="V275" s="108" t="s">
        <v>894</v>
      </c>
      <c r="W275" s="108" t="s">
        <v>894</v>
      </c>
    </row>
    <row r="276" spans="1:23" ht="21" customHeight="1" x14ac:dyDescent="0.15">
      <c r="A276" s="104">
        <f t="shared" si="4"/>
        <v>275</v>
      </c>
      <c r="B276" s="105" t="s">
        <v>904</v>
      </c>
      <c r="C276" s="106" t="s">
        <v>905</v>
      </c>
      <c r="D276" s="107" t="s">
        <v>877</v>
      </c>
      <c r="E276" s="108" t="s">
        <v>878</v>
      </c>
      <c r="F276" s="108" t="s">
        <v>903</v>
      </c>
      <c r="G276" s="108" t="s">
        <v>873</v>
      </c>
      <c r="H276" s="120" t="s">
        <v>300</v>
      </c>
      <c r="I276" s="109">
        <v>5</v>
      </c>
      <c r="J276" s="109" t="s">
        <v>516</v>
      </c>
      <c r="K276" s="105" t="s">
        <v>276</v>
      </c>
      <c r="L276" s="107" t="str">
        <f ca="1">VLOOKUP($K276,OFFSET([1]character_type_i18n!$A$1,0,0,COUNTA([1]character_type_i18n!$A:$A),MATCH(L$1,[1]character_type_i18n!$1:$1,0)-MATCH($K$1,[1]character_type_i18n!$1:$1,0)+1),MATCH(L$1,[1]character_type_i18n!$1:$1,0)-MATCH($K$1,[1]character_type_i18n!$1:$1,0)+1,FALSE)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76" s="105" t="s">
        <v>332</v>
      </c>
      <c r="N276" s="107" t="str">
        <f>VLOOKUP(M276,[1]character_tribe_i18n!A:C,3,FALSE)</f>
        <v>ヒューマン</v>
      </c>
      <c r="O276" s="105" t="s">
        <v>318</v>
      </c>
      <c r="P276" s="107" t="str">
        <f>VLOOKUP(O276,[1]character_tribe_i18n!A:C,3,FALSE)</f>
        <v>アニマル</v>
      </c>
      <c r="Q276" s="117" t="s">
        <v>897</v>
      </c>
      <c r="R276" s="111">
        <v>3</v>
      </c>
      <c r="S276" s="108" t="s">
        <v>898</v>
      </c>
      <c r="T276" s="108" t="s">
        <v>281</v>
      </c>
      <c r="U276" s="108" t="s">
        <v>280</v>
      </c>
      <c r="V276" s="108" t="s">
        <v>894</v>
      </c>
      <c r="W276" s="108" t="s">
        <v>894</v>
      </c>
    </row>
    <row r="277" spans="1:23" ht="21" customHeight="1" x14ac:dyDescent="0.15">
      <c r="A277" s="104">
        <f t="shared" si="4"/>
        <v>276</v>
      </c>
      <c r="B277" s="105" t="s">
        <v>268</v>
      </c>
      <c r="C277" s="106" t="s">
        <v>906</v>
      </c>
      <c r="D277" s="107" t="s">
        <v>877</v>
      </c>
      <c r="E277" s="108" t="s">
        <v>878</v>
      </c>
      <c r="F277" s="108" t="s">
        <v>907</v>
      </c>
      <c r="G277" s="108" t="s">
        <v>861</v>
      </c>
      <c r="H277" s="120" t="s">
        <v>274</v>
      </c>
      <c r="I277" s="109">
        <v>4</v>
      </c>
      <c r="J277" s="109" t="s">
        <v>516</v>
      </c>
      <c r="K277" s="105" t="s">
        <v>286</v>
      </c>
      <c r="L277" s="107" t="str">
        <f ca="1">VLOOKUP($K277,OFFSET([1]character_type_i18n!$A$1,0,0,COUNTA([1]character_type_i18n!$A:$A),MATCH(L$1,[1]character_type_i18n!$1:$1,0)-MATCH($K$1,[1]character_type_i18n!$1:$1,0)+1),MATCH(L$1,[1]character_type_i18n!$1:$1,0)-MATCH($K$1,[1]character_type_i18n!$1:$1,0)+1,FALSE)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77" s="105" t="s">
        <v>332</v>
      </c>
      <c r="N277" s="107" t="str">
        <f>VLOOKUP(M277,[1]character_tribe_i18n!A:C,3,FALSE)</f>
        <v>ヒューマン</v>
      </c>
      <c r="O277" s="105" t="s">
        <v>338</v>
      </c>
      <c r="P277" s="107" t="str">
        <f>VLOOKUP(O277,[1]character_tribe_i18n!A:C,3,FALSE)</f>
        <v>マシン</v>
      </c>
      <c r="Q277" s="117" t="s">
        <v>908</v>
      </c>
      <c r="R277" s="111">
        <v>3</v>
      </c>
      <c r="S277" s="108" t="s">
        <v>909</v>
      </c>
      <c r="T277" s="108" t="s">
        <v>910</v>
      </c>
      <c r="U277" s="108" t="s">
        <v>911</v>
      </c>
      <c r="V277" s="108" t="s">
        <v>912</v>
      </c>
      <c r="W277" s="108" t="s">
        <v>912</v>
      </c>
    </row>
    <row r="278" spans="1:23" ht="21" customHeight="1" x14ac:dyDescent="0.15">
      <c r="A278" s="104">
        <f t="shared" si="4"/>
        <v>277</v>
      </c>
      <c r="B278" s="105" t="s">
        <v>913</v>
      </c>
      <c r="C278" s="106" t="s">
        <v>914</v>
      </c>
      <c r="D278" s="107" t="s">
        <v>877</v>
      </c>
      <c r="E278" s="108" t="s">
        <v>878</v>
      </c>
      <c r="F278" s="108" t="s">
        <v>907</v>
      </c>
      <c r="G278" s="108" t="s">
        <v>861</v>
      </c>
      <c r="H278" s="120" t="s">
        <v>274</v>
      </c>
      <c r="I278" s="109">
        <v>5</v>
      </c>
      <c r="J278" s="109" t="s">
        <v>516</v>
      </c>
      <c r="K278" s="105" t="s">
        <v>286</v>
      </c>
      <c r="L278" s="107" t="str">
        <f ca="1">VLOOKUP($K278,OFFSET([1]character_type_i18n!$A$1,0,0,COUNTA([1]character_type_i18n!$A:$A),MATCH(L$1,[1]character_type_i18n!$1:$1,0)-MATCH($K$1,[1]character_type_i18n!$1:$1,0)+1),MATCH(L$1,[1]character_type_i18n!$1:$1,0)-MATCH($K$1,[1]character_type_i18n!$1:$1,0)+1,FALSE)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78" s="105" t="s">
        <v>332</v>
      </c>
      <c r="N278" s="107" t="str">
        <f>VLOOKUP(M278,[1]character_tribe_i18n!A:C,3,FALSE)</f>
        <v>ヒューマン</v>
      </c>
      <c r="O278" s="105" t="s">
        <v>338</v>
      </c>
      <c r="P278" s="107" t="str">
        <f>VLOOKUP(O278,[1]character_tribe_i18n!A:C,3,FALSE)</f>
        <v>マシン</v>
      </c>
      <c r="Q278" s="117" t="s">
        <v>879</v>
      </c>
      <c r="R278" s="111">
        <v>3</v>
      </c>
      <c r="S278" s="108" t="s">
        <v>880</v>
      </c>
      <c r="T278" s="108" t="s">
        <v>915</v>
      </c>
      <c r="U278" s="108" t="s">
        <v>880</v>
      </c>
      <c r="V278" s="108" t="s">
        <v>880</v>
      </c>
      <c r="W278" s="108" t="s">
        <v>880</v>
      </c>
    </row>
    <row r="279" spans="1:23" ht="21" customHeight="1" x14ac:dyDescent="0.15">
      <c r="A279" s="104">
        <f t="shared" si="4"/>
        <v>278</v>
      </c>
      <c r="B279" s="105" t="s">
        <v>913</v>
      </c>
      <c r="C279" s="106" t="s">
        <v>916</v>
      </c>
      <c r="D279" s="107" t="s">
        <v>917</v>
      </c>
      <c r="E279" s="108" t="s">
        <v>918</v>
      </c>
      <c r="F279" s="108" t="s">
        <v>919</v>
      </c>
      <c r="G279" s="108" t="s">
        <v>920</v>
      </c>
      <c r="H279" s="120" t="s">
        <v>274</v>
      </c>
      <c r="I279" s="109">
        <v>4</v>
      </c>
      <c r="J279" s="109" t="s">
        <v>921</v>
      </c>
      <c r="K279" s="105" t="s">
        <v>276</v>
      </c>
      <c r="L279" s="107" t="str">
        <f ca="1">VLOOKUP($K279,OFFSET([1]character_type_i18n!$A$1,0,0,COUNTA([1]character_type_i18n!$A:$A),MATCH(L$1,[1]character_type_i18n!$1:$1,0)-MATCH($K$1,[1]character_type_i18n!$1:$1,0)+1),MATCH(L$1,[1]character_type_i18n!$1:$1,0)-MATCH($K$1,[1]character_type_i18n!$1:$1,0)+1,FALSE)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79" s="105" t="s">
        <v>517</v>
      </c>
      <c r="N279" s="107" t="str">
        <f>VLOOKUP(M279,[1]character_tribe_i18n!A:C,3,FALSE)</f>
        <v>ゴッド</v>
      </c>
      <c r="O279" s="105" t="s">
        <v>278</v>
      </c>
      <c r="P279" s="107" t="str">
        <f>VLOOKUP(O279,[1]character_tribe_i18n!A:C,3,FALSE)</f>
        <v>種族なし</v>
      </c>
      <c r="Q279" s="117" t="s">
        <v>707</v>
      </c>
      <c r="R279" s="111">
        <v>3</v>
      </c>
      <c r="S279" s="108" t="s">
        <v>280</v>
      </c>
      <c r="T279" s="108" t="s">
        <v>281</v>
      </c>
      <c r="U279" s="108" t="s">
        <v>280</v>
      </c>
      <c r="V279" s="108" t="s">
        <v>280</v>
      </c>
      <c r="W279" s="108" t="s">
        <v>280</v>
      </c>
    </row>
    <row r="280" spans="1:23" ht="21" customHeight="1" x14ac:dyDescent="0.15">
      <c r="A280" s="104">
        <f t="shared" si="4"/>
        <v>279</v>
      </c>
      <c r="B280" s="105" t="s">
        <v>268</v>
      </c>
      <c r="C280" s="106" t="s">
        <v>922</v>
      </c>
      <c r="D280" s="107" t="s">
        <v>917</v>
      </c>
      <c r="E280" s="108" t="s">
        <v>918</v>
      </c>
      <c r="F280" s="108" t="s">
        <v>919</v>
      </c>
      <c r="G280" s="108" t="s">
        <v>725</v>
      </c>
      <c r="H280" s="120" t="s">
        <v>274</v>
      </c>
      <c r="I280" s="109">
        <v>5</v>
      </c>
      <c r="J280" s="109" t="s">
        <v>921</v>
      </c>
      <c r="K280" s="105" t="s">
        <v>276</v>
      </c>
      <c r="L280" s="107" t="str">
        <f ca="1">VLOOKUP($K280,OFFSET([1]character_type_i18n!$A$1,0,0,COUNTA([1]character_type_i18n!$A:$A),MATCH(L$1,[1]character_type_i18n!$1:$1,0)-MATCH($K$1,[1]character_type_i18n!$1:$1,0)+1),MATCH(L$1,[1]character_type_i18n!$1:$1,0)-MATCH($K$1,[1]character_type_i18n!$1:$1,0)+1,FALSE)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80" s="105" t="s">
        <v>517</v>
      </c>
      <c r="N280" s="107" t="str">
        <f>VLOOKUP(M280,[1]character_tribe_i18n!A:C,3,FALSE)</f>
        <v>ゴッド</v>
      </c>
      <c r="O280" s="105" t="s">
        <v>278</v>
      </c>
      <c r="P280" s="107" t="str">
        <f>VLOOKUP(O280,[1]character_tribe_i18n!A:C,3,FALSE)</f>
        <v>種族なし</v>
      </c>
      <c r="Q280" s="117" t="s">
        <v>923</v>
      </c>
      <c r="R280" s="111">
        <v>3</v>
      </c>
      <c r="S280" s="108" t="s">
        <v>924</v>
      </c>
      <c r="T280" s="108" t="s">
        <v>281</v>
      </c>
      <c r="U280" s="108" t="s">
        <v>280</v>
      </c>
      <c r="V280" s="108" t="s">
        <v>924</v>
      </c>
      <c r="W280" s="108" t="s">
        <v>924</v>
      </c>
    </row>
    <row r="281" spans="1:23" ht="21" customHeight="1" x14ac:dyDescent="0.15">
      <c r="A281" s="104">
        <f t="shared" si="4"/>
        <v>280</v>
      </c>
      <c r="B281" s="105" t="s">
        <v>268</v>
      </c>
      <c r="C281" s="106" t="s">
        <v>925</v>
      </c>
      <c r="D281" s="107" t="s">
        <v>926</v>
      </c>
      <c r="E281" s="108" t="s">
        <v>271</v>
      </c>
      <c r="F281" s="108" t="s">
        <v>532</v>
      </c>
      <c r="G281" s="108" t="s">
        <v>865</v>
      </c>
      <c r="H281" s="120" t="s">
        <v>285</v>
      </c>
      <c r="I281" s="109">
        <v>3</v>
      </c>
      <c r="J281" s="109" t="s">
        <v>927</v>
      </c>
      <c r="K281" s="105" t="s">
        <v>276</v>
      </c>
      <c r="L281" s="107" t="str">
        <f ca="1">VLOOKUP($K281,OFFSET([1]character_type_i18n!$A$1,0,0,COUNTA([1]character_type_i18n!$A:$A),MATCH(L$1,[1]character_type_i18n!$1:$1,0)-MATCH($K$1,[1]character_type_i18n!$1:$1,0)+1),MATCH(L$1,[1]character_type_i18n!$1:$1,0)-MATCH($K$1,[1]character_type_i18n!$1:$1,0)+1,FALSE)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81" s="105" t="s">
        <v>348</v>
      </c>
      <c r="N281" s="107" t="str">
        <f>VLOOKUP(M281,[1]character_tribe_i18n!A:C,3,FALSE)</f>
        <v>ドラゴン</v>
      </c>
      <c r="O281" s="105" t="s">
        <v>338</v>
      </c>
      <c r="P281" s="107" t="str">
        <f>VLOOKUP(O281,[1]character_tribe_i18n!A:C,3,FALSE)</f>
        <v>マシン</v>
      </c>
      <c r="Q281" s="117"/>
      <c r="R281" s="111">
        <v>3</v>
      </c>
      <c r="S281" s="108" t="s">
        <v>280</v>
      </c>
      <c r="T281" s="108" t="s">
        <v>281</v>
      </c>
      <c r="U281" s="108" t="s">
        <v>280</v>
      </c>
      <c r="V281" s="108" t="s">
        <v>280</v>
      </c>
      <c r="W281" s="108" t="s">
        <v>280</v>
      </c>
    </row>
    <row r="282" spans="1:23" ht="21" customHeight="1" x14ac:dyDescent="0.15">
      <c r="A282" s="104">
        <f t="shared" si="4"/>
        <v>281</v>
      </c>
      <c r="B282" s="105" t="s">
        <v>268</v>
      </c>
      <c r="C282" s="106" t="s">
        <v>928</v>
      </c>
      <c r="D282" s="107" t="s">
        <v>926</v>
      </c>
      <c r="E282" s="108" t="s">
        <v>271</v>
      </c>
      <c r="F282" s="108" t="s">
        <v>532</v>
      </c>
      <c r="G282" s="108" t="s">
        <v>865</v>
      </c>
      <c r="H282" s="120" t="s">
        <v>285</v>
      </c>
      <c r="I282" s="109">
        <v>4</v>
      </c>
      <c r="J282" s="109" t="s">
        <v>929</v>
      </c>
      <c r="K282" s="105" t="s">
        <v>276</v>
      </c>
      <c r="L282" s="107" t="str">
        <f ca="1">VLOOKUP($K282,OFFSET([1]character_type_i18n!$A$1,0,0,COUNTA([1]character_type_i18n!$A:$A),MATCH(L$1,[1]character_type_i18n!$1:$1,0)-MATCH($K$1,[1]character_type_i18n!$1:$1,0)+1),MATCH(L$1,[1]character_type_i18n!$1:$1,0)-MATCH($K$1,[1]character_type_i18n!$1:$1,0)+1,FALSE)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82" s="105" t="s">
        <v>348</v>
      </c>
      <c r="N282" s="107" t="str">
        <f>VLOOKUP(M282,[1]character_tribe_i18n!A:C,3,FALSE)</f>
        <v>ドラゴン</v>
      </c>
      <c r="O282" s="105" t="s">
        <v>338</v>
      </c>
      <c r="P282" s="107" t="str">
        <f>VLOOKUP(O282,[1]character_tribe_i18n!A:C,3,FALSE)</f>
        <v>マシン</v>
      </c>
      <c r="Q282" s="117"/>
      <c r="R282" s="111">
        <v>3</v>
      </c>
      <c r="S282" s="108" t="s">
        <v>280</v>
      </c>
      <c r="T282" s="108" t="s">
        <v>281</v>
      </c>
      <c r="U282" s="108" t="s">
        <v>280</v>
      </c>
      <c r="V282" s="108" t="s">
        <v>280</v>
      </c>
      <c r="W282" s="108" t="s">
        <v>280</v>
      </c>
    </row>
    <row r="283" spans="1:23" ht="21" customHeight="1" x14ac:dyDescent="0.15">
      <c r="A283" s="104">
        <f t="shared" si="4"/>
        <v>282</v>
      </c>
      <c r="B283" s="105" t="s">
        <v>930</v>
      </c>
      <c r="C283" s="106" t="s">
        <v>931</v>
      </c>
      <c r="D283" s="107" t="s">
        <v>926</v>
      </c>
      <c r="E283" s="108" t="s">
        <v>932</v>
      </c>
      <c r="F283" s="108" t="s">
        <v>933</v>
      </c>
      <c r="G283" s="108" t="s">
        <v>865</v>
      </c>
      <c r="H283" s="120" t="s">
        <v>295</v>
      </c>
      <c r="I283" s="109">
        <v>3</v>
      </c>
      <c r="J283" s="109" t="s">
        <v>934</v>
      </c>
      <c r="K283" s="105" t="s">
        <v>286</v>
      </c>
      <c r="L283" s="107" t="str">
        <f ca="1">VLOOKUP($K283,OFFSET([1]character_type_i18n!$A$1,0,0,COUNTA([1]character_type_i18n!$A:$A),MATCH(L$1,[1]character_type_i18n!$1:$1,0)-MATCH($K$1,[1]character_type_i18n!$1:$1,0)+1),MATCH(L$1,[1]character_type_i18n!$1:$1,0)-MATCH($K$1,[1]character_type_i18n!$1:$1,0)+1,FALSE)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83" s="105" t="s">
        <v>348</v>
      </c>
      <c r="N283" s="107" t="str">
        <f>VLOOKUP(M283,[1]character_tribe_i18n!A:C,3,FALSE)</f>
        <v>ドラゴン</v>
      </c>
      <c r="O283" s="105" t="s">
        <v>338</v>
      </c>
      <c r="P283" s="107" t="str">
        <f>VLOOKUP(O283,[1]character_tribe_i18n!A:C,3,FALSE)</f>
        <v>マシン</v>
      </c>
      <c r="Q283" s="117" t="s">
        <v>935</v>
      </c>
      <c r="R283" s="111">
        <v>3</v>
      </c>
      <c r="S283" s="108" t="s">
        <v>633</v>
      </c>
      <c r="T283" s="108" t="s">
        <v>634</v>
      </c>
      <c r="U283" s="108" t="s">
        <v>633</v>
      </c>
      <c r="V283" s="108" t="s">
        <v>633</v>
      </c>
      <c r="W283" s="108" t="s">
        <v>633</v>
      </c>
    </row>
    <row r="284" spans="1:23" ht="21" customHeight="1" x14ac:dyDescent="0.15">
      <c r="A284" s="104">
        <f t="shared" si="4"/>
        <v>283</v>
      </c>
      <c r="B284" s="105" t="s">
        <v>268</v>
      </c>
      <c r="C284" s="106" t="s">
        <v>936</v>
      </c>
      <c r="D284" s="107" t="s">
        <v>926</v>
      </c>
      <c r="E284" s="108" t="s">
        <v>271</v>
      </c>
      <c r="F284" s="108" t="s">
        <v>532</v>
      </c>
      <c r="G284" s="108" t="s">
        <v>865</v>
      </c>
      <c r="H284" s="120" t="s">
        <v>295</v>
      </c>
      <c r="I284" s="109">
        <v>4</v>
      </c>
      <c r="J284" s="109" t="s">
        <v>929</v>
      </c>
      <c r="K284" s="105" t="s">
        <v>286</v>
      </c>
      <c r="L284" s="107" t="str">
        <f ca="1">VLOOKUP($K284,OFFSET([1]character_type_i18n!$A$1,0,0,COUNTA([1]character_type_i18n!$A:$A),MATCH(L$1,[1]character_type_i18n!$1:$1,0)-MATCH($K$1,[1]character_type_i18n!$1:$1,0)+1),MATCH(L$1,[1]character_type_i18n!$1:$1,0)-MATCH($K$1,[1]character_type_i18n!$1:$1,0)+1,FALSE)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84" s="105" t="s">
        <v>348</v>
      </c>
      <c r="N284" s="107" t="str">
        <f>VLOOKUP(M284,[1]character_tribe_i18n!A:C,3,FALSE)</f>
        <v>ドラゴン</v>
      </c>
      <c r="O284" s="105" t="s">
        <v>338</v>
      </c>
      <c r="P284" s="107" t="str">
        <f>VLOOKUP(O284,[1]character_tribe_i18n!A:C,3,FALSE)</f>
        <v>マシン</v>
      </c>
      <c r="Q284" s="117" t="s">
        <v>937</v>
      </c>
      <c r="R284" s="111">
        <v>3</v>
      </c>
      <c r="S284" s="108" t="s">
        <v>280</v>
      </c>
      <c r="T284" s="108" t="s">
        <v>281</v>
      </c>
      <c r="U284" s="108" t="s">
        <v>280</v>
      </c>
      <c r="V284" s="108" t="s">
        <v>280</v>
      </c>
      <c r="W284" s="108" t="s">
        <v>280</v>
      </c>
    </row>
    <row r="285" spans="1:23" ht="21" customHeight="1" x14ac:dyDescent="0.15">
      <c r="A285" s="104">
        <f t="shared" si="4"/>
        <v>284</v>
      </c>
      <c r="B285" s="105" t="s">
        <v>268</v>
      </c>
      <c r="C285" s="106" t="s">
        <v>938</v>
      </c>
      <c r="D285" s="107" t="s">
        <v>926</v>
      </c>
      <c r="E285" s="108" t="s">
        <v>271</v>
      </c>
      <c r="F285" s="108" t="s">
        <v>532</v>
      </c>
      <c r="G285" s="108" t="s">
        <v>865</v>
      </c>
      <c r="H285" s="120" t="s">
        <v>300</v>
      </c>
      <c r="I285" s="109">
        <v>3</v>
      </c>
      <c r="J285" s="109" t="s">
        <v>927</v>
      </c>
      <c r="K285" s="105" t="s">
        <v>377</v>
      </c>
      <c r="L285" s="107" t="str">
        <f ca="1">VLOOKUP($K285,OFFSET([1]character_type_i18n!$A$1,0,0,COUNTA([1]character_type_i18n!$A:$A),MATCH(L$1,[1]character_type_i18n!$1:$1,0)-MATCH($K$1,[1]character_type_i18n!$1:$1,0)+1),MATCH(L$1,[1]character_type_i18n!$1:$1,0)-MATCH($K$1,[1]character_type_i18n!$1:$1,0)+1,FALSE)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85" s="105" t="s">
        <v>348</v>
      </c>
      <c r="N285" s="107" t="str">
        <f>VLOOKUP(M285,[1]character_tribe_i18n!A:C,3,FALSE)</f>
        <v>ドラゴン</v>
      </c>
      <c r="O285" s="105" t="s">
        <v>338</v>
      </c>
      <c r="P285" s="107" t="str">
        <f>VLOOKUP(O285,[1]character_tribe_i18n!A:C,3,FALSE)</f>
        <v>マシン</v>
      </c>
      <c r="Q285" s="117" t="s">
        <v>654</v>
      </c>
      <c r="R285" s="111">
        <v>3</v>
      </c>
      <c r="S285" s="108" t="s">
        <v>280</v>
      </c>
      <c r="T285" s="108" t="s">
        <v>281</v>
      </c>
      <c r="U285" s="108" t="s">
        <v>280</v>
      </c>
      <c r="V285" s="108" t="s">
        <v>280</v>
      </c>
      <c r="W285" s="108" t="s">
        <v>280</v>
      </c>
    </row>
    <row r="286" spans="1:23" ht="21" customHeight="1" x14ac:dyDescent="0.15">
      <c r="A286" s="104">
        <f t="shared" si="4"/>
        <v>285</v>
      </c>
      <c r="B286" s="105" t="s">
        <v>268</v>
      </c>
      <c r="C286" s="106" t="s">
        <v>939</v>
      </c>
      <c r="D286" s="107" t="s">
        <v>926</v>
      </c>
      <c r="E286" s="108" t="s">
        <v>271</v>
      </c>
      <c r="F286" s="108" t="s">
        <v>532</v>
      </c>
      <c r="G286" s="108" t="s">
        <v>865</v>
      </c>
      <c r="H286" s="120" t="s">
        <v>300</v>
      </c>
      <c r="I286" s="109">
        <v>4</v>
      </c>
      <c r="J286" s="109" t="s">
        <v>929</v>
      </c>
      <c r="K286" s="105" t="s">
        <v>377</v>
      </c>
      <c r="L286" s="107" t="str">
        <f ca="1">VLOOKUP($K286,OFFSET([1]character_type_i18n!$A$1,0,0,COUNTA([1]character_type_i18n!$A:$A),MATCH(L$1,[1]character_type_i18n!$1:$1,0)-MATCH($K$1,[1]character_type_i18n!$1:$1,0)+1),MATCH(L$1,[1]character_type_i18n!$1:$1,0)-MATCH($K$1,[1]character_type_i18n!$1:$1,0)+1,FALSE)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86" s="105" t="s">
        <v>348</v>
      </c>
      <c r="N286" s="107" t="str">
        <f>VLOOKUP(M286,[1]character_tribe_i18n!A:C,3,FALSE)</f>
        <v>ドラゴン</v>
      </c>
      <c r="O286" s="105" t="s">
        <v>338</v>
      </c>
      <c r="P286" s="107" t="str">
        <f>VLOOKUP(O286,[1]character_tribe_i18n!A:C,3,FALSE)</f>
        <v>マシン</v>
      </c>
      <c r="Q286" s="117" t="s">
        <v>654</v>
      </c>
      <c r="R286" s="111">
        <v>3</v>
      </c>
      <c r="S286" s="108" t="s">
        <v>280</v>
      </c>
      <c r="T286" s="108" t="s">
        <v>281</v>
      </c>
      <c r="U286" s="108" t="s">
        <v>280</v>
      </c>
      <c r="V286" s="108" t="s">
        <v>280</v>
      </c>
      <c r="W286" s="108" t="s">
        <v>280</v>
      </c>
    </row>
    <row r="287" spans="1:23" ht="21" customHeight="1" x14ac:dyDescent="0.15">
      <c r="A287" s="104">
        <f t="shared" si="4"/>
        <v>286</v>
      </c>
      <c r="B287" s="105" t="s">
        <v>268</v>
      </c>
      <c r="C287" s="106" t="s">
        <v>940</v>
      </c>
      <c r="D287" s="107" t="s">
        <v>926</v>
      </c>
      <c r="E287" s="108" t="s">
        <v>271</v>
      </c>
      <c r="F287" s="108" t="s">
        <v>532</v>
      </c>
      <c r="G287" s="108" t="s">
        <v>865</v>
      </c>
      <c r="H287" s="120" t="s">
        <v>274</v>
      </c>
      <c r="I287" s="109">
        <v>3</v>
      </c>
      <c r="J287" s="109" t="s">
        <v>927</v>
      </c>
      <c r="K287" s="105" t="s">
        <v>276</v>
      </c>
      <c r="L287" s="107" t="str">
        <f ca="1">VLOOKUP($K287,OFFSET([1]character_type_i18n!$A$1,0,0,COUNTA([1]character_type_i18n!$A:$A),MATCH(L$1,[1]character_type_i18n!$1:$1,0)-MATCH($K$1,[1]character_type_i18n!$1:$1,0)+1),MATCH(L$1,[1]character_type_i18n!$1:$1,0)-MATCH($K$1,[1]character_type_i18n!$1:$1,0)+1,FALSE)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87" s="105" t="s">
        <v>348</v>
      </c>
      <c r="N287" s="107" t="str">
        <f>VLOOKUP(M287,[1]character_tribe_i18n!A:C,3,FALSE)</f>
        <v>ドラゴン</v>
      </c>
      <c r="O287" s="105" t="s">
        <v>338</v>
      </c>
      <c r="P287" s="107" t="str">
        <f>VLOOKUP(O287,[1]character_tribe_i18n!A:C,3,FALSE)</f>
        <v>マシン</v>
      </c>
      <c r="Q287" s="117"/>
      <c r="R287" s="111">
        <v>3</v>
      </c>
      <c r="S287" s="108" t="s">
        <v>280</v>
      </c>
      <c r="T287" s="108" t="s">
        <v>281</v>
      </c>
      <c r="U287" s="108" t="s">
        <v>280</v>
      </c>
      <c r="V287" s="108" t="s">
        <v>280</v>
      </c>
      <c r="W287" s="108" t="s">
        <v>280</v>
      </c>
    </row>
    <row r="288" spans="1:23" ht="21" customHeight="1" x14ac:dyDescent="0.15">
      <c r="A288" s="104">
        <f t="shared" si="4"/>
        <v>287</v>
      </c>
      <c r="B288" s="105" t="s">
        <v>268</v>
      </c>
      <c r="C288" s="106" t="s">
        <v>941</v>
      </c>
      <c r="D288" s="107" t="s">
        <v>926</v>
      </c>
      <c r="E288" s="108" t="s">
        <v>271</v>
      </c>
      <c r="F288" s="108" t="s">
        <v>532</v>
      </c>
      <c r="G288" s="108" t="s">
        <v>865</v>
      </c>
      <c r="H288" s="120" t="s">
        <v>274</v>
      </c>
      <c r="I288" s="109">
        <v>4</v>
      </c>
      <c r="J288" s="109" t="s">
        <v>942</v>
      </c>
      <c r="K288" s="105" t="s">
        <v>276</v>
      </c>
      <c r="L288" s="107" t="str">
        <f ca="1">VLOOKUP($K288,OFFSET([1]character_type_i18n!$A$1,0,0,COUNTA([1]character_type_i18n!$A:$A),MATCH(L$1,[1]character_type_i18n!$1:$1,0)-MATCH($K$1,[1]character_type_i18n!$1:$1,0)+1),MATCH(L$1,[1]character_type_i18n!$1:$1,0)-MATCH($K$1,[1]character_type_i18n!$1:$1,0)+1,FALSE)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88" s="105" t="s">
        <v>348</v>
      </c>
      <c r="N288" s="107" t="str">
        <f>VLOOKUP(M288,[1]character_tribe_i18n!A:C,3,FALSE)</f>
        <v>ドラゴン</v>
      </c>
      <c r="O288" s="105" t="s">
        <v>338</v>
      </c>
      <c r="P288" s="107" t="str">
        <f>VLOOKUP(O288,[1]character_tribe_i18n!A:C,3,FALSE)</f>
        <v>マシン</v>
      </c>
      <c r="Q288" s="117"/>
      <c r="R288" s="111">
        <v>3</v>
      </c>
      <c r="S288" s="108" t="s">
        <v>943</v>
      </c>
      <c r="T288" s="108" t="s">
        <v>944</v>
      </c>
      <c r="U288" s="108" t="s">
        <v>943</v>
      </c>
      <c r="V288" s="108" t="s">
        <v>943</v>
      </c>
      <c r="W288" s="108" t="s">
        <v>943</v>
      </c>
    </row>
    <row r="289" spans="1:23" ht="21" customHeight="1" x14ac:dyDescent="0.15">
      <c r="A289" s="104">
        <f t="shared" si="4"/>
        <v>288</v>
      </c>
      <c r="B289" s="105" t="s">
        <v>945</v>
      </c>
      <c r="C289" s="106" t="s">
        <v>946</v>
      </c>
      <c r="D289" s="107" t="s">
        <v>947</v>
      </c>
      <c r="E289" s="108" t="s">
        <v>948</v>
      </c>
      <c r="F289" s="108" t="s">
        <v>949</v>
      </c>
      <c r="G289" s="108" t="s">
        <v>873</v>
      </c>
      <c r="H289" s="120" t="s">
        <v>300</v>
      </c>
      <c r="I289" s="109">
        <v>4</v>
      </c>
      <c r="J289" s="109" t="s">
        <v>516</v>
      </c>
      <c r="K289" s="105" t="s">
        <v>286</v>
      </c>
      <c r="L289" s="107" t="str">
        <f ca="1">VLOOKUP($K289,OFFSET([1]character_type_i18n!$A$1,0,0,COUNTA([1]character_type_i18n!$A:$A),MATCH(L$1,[1]character_type_i18n!$1:$1,0)-MATCH($K$1,[1]character_type_i18n!$1:$1,0)+1),MATCH(L$1,[1]character_type_i18n!$1:$1,0)-MATCH($K$1,[1]character_type_i18n!$1:$1,0)+1,FALSE)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89" s="105" t="s">
        <v>332</v>
      </c>
      <c r="N289" s="107" t="str">
        <f>VLOOKUP(M289,[1]character_tribe_i18n!A:C,3,FALSE)</f>
        <v>ヒューマン</v>
      </c>
      <c r="O289" s="105" t="s">
        <v>278</v>
      </c>
      <c r="P289" s="107" t="str">
        <f>VLOOKUP(O289,[1]character_tribe_i18n!A:C,3,FALSE)</f>
        <v>種族なし</v>
      </c>
      <c r="Q289" s="117" t="s">
        <v>950</v>
      </c>
      <c r="R289" s="111">
        <v>3</v>
      </c>
      <c r="S289" s="108" t="s">
        <v>943</v>
      </c>
      <c r="T289" s="108" t="s">
        <v>944</v>
      </c>
      <c r="U289" s="108" t="s">
        <v>943</v>
      </c>
      <c r="V289" s="108" t="s">
        <v>943</v>
      </c>
      <c r="W289" s="108" t="s">
        <v>943</v>
      </c>
    </row>
    <row r="290" spans="1:23" ht="21" customHeight="1" x14ac:dyDescent="0.15">
      <c r="A290" s="104">
        <f t="shared" si="4"/>
        <v>289</v>
      </c>
      <c r="B290" s="105" t="s">
        <v>268</v>
      </c>
      <c r="C290" s="106" t="s">
        <v>951</v>
      </c>
      <c r="D290" s="107" t="s">
        <v>947</v>
      </c>
      <c r="E290" s="108" t="s">
        <v>948</v>
      </c>
      <c r="F290" s="108" t="s">
        <v>949</v>
      </c>
      <c r="G290" s="108" t="s">
        <v>873</v>
      </c>
      <c r="H290" s="120" t="s">
        <v>300</v>
      </c>
      <c r="I290" s="109">
        <v>5</v>
      </c>
      <c r="J290" s="109" t="s">
        <v>516</v>
      </c>
      <c r="K290" s="105" t="s">
        <v>286</v>
      </c>
      <c r="L290" s="107" t="str">
        <f ca="1">VLOOKUP($K290,OFFSET([1]character_type_i18n!$A$1,0,0,COUNTA([1]character_type_i18n!$A:$A),MATCH(L$1,[1]character_type_i18n!$1:$1,0)-MATCH($K$1,[1]character_type_i18n!$1:$1,0)+1),MATCH(L$1,[1]character_type_i18n!$1:$1,0)-MATCH($K$1,[1]character_type_i18n!$1:$1,0)+1,FALSE)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90" s="105" t="s">
        <v>332</v>
      </c>
      <c r="N290" s="107" t="str">
        <f>VLOOKUP(M290,[1]character_tribe_i18n!A:C,3,FALSE)</f>
        <v>ヒューマン</v>
      </c>
      <c r="O290" s="105" t="s">
        <v>278</v>
      </c>
      <c r="P290" s="107" t="str">
        <f>VLOOKUP(O290,[1]character_tribe_i18n!A:C,3,FALSE)</f>
        <v>種族なし</v>
      </c>
      <c r="Q290" s="117" t="s">
        <v>707</v>
      </c>
      <c r="R290" s="111">
        <v>3</v>
      </c>
      <c r="S290" s="108" t="s">
        <v>280</v>
      </c>
      <c r="T290" s="108" t="s">
        <v>281</v>
      </c>
      <c r="U290" s="108" t="s">
        <v>280</v>
      </c>
      <c r="V290" s="108" t="s">
        <v>280</v>
      </c>
      <c r="W290" s="108" t="s">
        <v>280</v>
      </c>
    </row>
    <row r="291" spans="1:23" ht="21" customHeight="1" x14ac:dyDescent="0.15">
      <c r="A291" s="104">
        <f t="shared" si="4"/>
        <v>290</v>
      </c>
      <c r="B291" s="105" t="s">
        <v>268</v>
      </c>
      <c r="C291" s="106" t="s">
        <v>952</v>
      </c>
      <c r="D291" s="107" t="s">
        <v>947</v>
      </c>
      <c r="E291" s="108" t="s">
        <v>643</v>
      </c>
      <c r="F291" s="108" t="s">
        <v>907</v>
      </c>
      <c r="G291" s="108" t="s">
        <v>861</v>
      </c>
      <c r="H291" s="120" t="s">
        <v>274</v>
      </c>
      <c r="I291" s="109">
        <v>4</v>
      </c>
      <c r="J291" s="109" t="s">
        <v>516</v>
      </c>
      <c r="K291" s="105" t="s">
        <v>377</v>
      </c>
      <c r="L291" s="107" t="str">
        <f ca="1">VLOOKUP($K291,OFFSET([1]character_type_i18n!$A$1,0,0,COUNTA([1]character_type_i18n!$A:$A),MATCH(L$1,[1]character_type_i18n!$1:$1,0)-MATCH($K$1,[1]character_type_i18n!$1:$1,0)+1),MATCH(L$1,[1]character_type_i18n!$1:$1,0)-MATCH($K$1,[1]character_type_i18n!$1:$1,0)+1,FALSE)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91" s="105" t="s">
        <v>332</v>
      </c>
      <c r="N291" s="107" t="str">
        <f>VLOOKUP(M291,[1]character_tribe_i18n!A:C,3,FALSE)</f>
        <v>ヒューマン</v>
      </c>
      <c r="O291" s="105" t="s">
        <v>278</v>
      </c>
      <c r="P291" s="107" t="str">
        <f>VLOOKUP(O291,[1]character_tribe_i18n!A:C,3,FALSE)</f>
        <v>種族なし</v>
      </c>
      <c r="Q291" s="117" t="s">
        <v>707</v>
      </c>
      <c r="R291" s="111">
        <v>3</v>
      </c>
      <c r="S291" s="108" t="s">
        <v>280</v>
      </c>
      <c r="T291" s="108" t="s">
        <v>281</v>
      </c>
      <c r="U291" s="108" t="s">
        <v>280</v>
      </c>
      <c r="V291" s="108" t="s">
        <v>280</v>
      </c>
      <c r="W291" s="108" t="s">
        <v>280</v>
      </c>
    </row>
    <row r="292" spans="1:23" ht="21" customHeight="1" x14ac:dyDescent="0.15">
      <c r="A292" s="104">
        <f t="shared" si="4"/>
        <v>291</v>
      </c>
      <c r="B292" s="105" t="s">
        <v>268</v>
      </c>
      <c r="C292" s="106" t="s">
        <v>953</v>
      </c>
      <c r="D292" s="107" t="s">
        <v>947</v>
      </c>
      <c r="E292" s="108" t="s">
        <v>954</v>
      </c>
      <c r="F292" s="108" t="s">
        <v>907</v>
      </c>
      <c r="G292" s="108" t="s">
        <v>861</v>
      </c>
      <c r="H292" s="120" t="s">
        <v>274</v>
      </c>
      <c r="I292" s="109">
        <v>5</v>
      </c>
      <c r="J292" s="109" t="s">
        <v>516</v>
      </c>
      <c r="K292" s="105" t="s">
        <v>377</v>
      </c>
      <c r="L292" s="107" t="str">
        <f ca="1">VLOOKUP($K292,OFFSET([1]character_type_i18n!$A$1,0,0,COUNTA([1]character_type_i18n!$A:$A),MATCH(L$1,[1]character_type_i18n!$1:$1,0)-MATCH($K$1,[1]character_type_i18n!$1:$1,0)+1),MATCH(L$1,[1]character_type_i18n!$1:$1,0)-MATCH($K$1,[1]character_type_i18n!$1:$1,0)+1,FALSE)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92" s="105" t="s">
        <v>332</v>
      </c>
      <c r="N292" s="107" t="str">
        <f>VLOOKUP(M292,[1]character_tribe_i18n!A:C,3,FALSE)</f>
        <v>ヒューマン</v>
      </c>
      <c r="O292" s="105" t="s">
        <v>278</v>
      </c>
      <c r="P292" s="107" t="str">
        <f>VLOOKUP(O292,[1]character_tribe_i18n!A:C,3,FALSE)</f>
        <v>種族なし</v>
      </c>
      <c r="Q292" s="117" t="s">
        <v>955</v>
      </c>
      <c r="R292" s="111">
        <v>3</v>
      </c>
      <c r="S292" s="108" t="s">
        <v>302</v>
      </c>
      <c r="T292" s="108" t="s">
        <v>281</v>
      </c>
      <c r="U292" s="108" t="s">
        <v>280</v>
      </c>
      <c r="V292" s="108" t="s">
        <v>302</v>
      </c>
      <c r="W292" s="108" t="s">
        <v>302</v>
      </c>
    </row>
    <row r="293" spans="1:23" ht="21" customHeight="1" x14ac:dyDescent="0.15">
      <c r="A293" s="104">
        <f t="shared" si="4"/>
        <v>292</v>
      </c>
      <c r="B293" s="105" t="s">
        <v>268</v>
      </c>
      <c r="C293" s="106" t="s">
        <v>956</v>
      </c>
      <c r="D293" s="107" t="s">
        <v>947</v>
      </c>
      <c r="E293" s="108" t="s">
        <v>643</v>
      </c>
      <c r="F293" s="108" t="s">
        <v>724</v>
      </c>
      <c r="G293" s="108" t="s">
        <v>725</v>
      </c>
      <c r="H293" s="120" t="s">
        <v>295</v>
      </c>
      <c r="I293" s="109">
        <v>4</v>
      </c>
      <c r="J293" s="109" t="s">
        <v>516</v>
      </c>
      <c r="K293" s="105" t="s">
        <v>286</v>
      </c>
      <c r="L293" s="107" t="str">
        <f ca="1">VLOOKUP($K293,OFFSET([1]character_type_i18n!$A$1,0,0,COUNTA([1]character_type_i18n!$A:$A),MATCH(L$1,[1]character_type_i18n!$1:$1,0)-MATCH($K$1,[1]character_type_i18n!$1:$1,0)+1),MATCH(L$1,[1]character_type_i18n!$1:$1,0)-MATCH($K$1,[1]character_type_i18n!$1:$1,0)+1,FALSE)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93" s="105" t="s">
        <v>332</v>
      </c>
      <c r="N293" s="107" t="str">
        <f>VLOOKUP(M293,[1]character_tribe_i18n!A:C,3,FALSE)</f>
        <v>ヒューマン</v>
      </c>
      <c r="O293" s="105" t="s">
        <v>278</v>
      </c>
      <c r="P293" s="107" t="str">
        <f>VLOOKUP(O293,[1]character_tribe_i18n!A:C,3,FALSE)</f>
        <v>種族なし</v>
      </c>
      <c r="Q293" s="117" t="s">
        <v>707</v>
      </c>
      <c r="R293" s="111">
        <v>3</v>
      </c>
      <c r="S293" s="108" t="s">
        <v>280</v>
      </c>
      <c r="T293" s="108" t="s">
        <v>281</v>
      </c>
      <c r="U293" s="108" t="s">
        <v>280</v>
      </c>
      <c r="V293" s="108" t="s">
        <v>280</v>
      </c>
      <c r="W293" s="108" t="s">
        <v>280</v>
      </c>
    </row>
    <row r="294" spans="1:23" ht="21" customHeight="1" x14ac:dyDescent="0.15">
      <c r="A294" s="104">
        <f t="shared" si="4"/>
        <v>293</v>
      </c>
      <c r="B294" s="105" t="s">
        <v>268</v>
      </c>
      <c r="C294" s="106" t="s">
        <v>957</v>
      </c>
      <c r="D294" s="107" t="s">
        <v>947</v>
      </c>
      <c r="E294" s="108" t="s">
        <v>643</v>
      </c>
      <c r="F294" s="108" t="s">
        <v>724</v>
      </c>
      <c r="G294" s="108" t="s">
        <v>725</v>
      </c>
      <c r="H294" s="120" t="s">
        <v>295</v>
      </c>
      <c r="I294" s="109">
        <v>5</v>
      </c>
      <c r="J294" s="109" t="s">
        <v>516</v>
      </c>
      <c r="K294" s="105" t="s">
        <v>286</v>
      </c>
      <c r="L294" s="107" t="str">
        <f ca="1">VLOOKUP($K294,OFFSET([1]character_type_i18n!$A$1,0,0,COUNTA([1]character_type_i18n!$A:$A),MATCH(L$1,[1]character_type_i18n!$1:$1,0)-MATCH($K$1,[1]character_type_i18n!$1:$1,0)+1),MATCH(L$1,[1]character_type_i18n!$1:$1,0)-MATCH($K$1,[1]character_type_i18n!$1:$1,0)+1,FALSE)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94" s="105" t="s">
        <v>332</v>
      </c>
      <c r="N294" s="107" t="str">
        <f>VLOOKUP(M294,[1]character_tribe_i18n!A:C,3,FALSE)</f>
        <v>ヒューマン</v>
      </c>
      <c r="O294" s="105" t="s">
        <v>278</v>
      </c>
      <c r="P294" s="107" t="str">
        <f>VLOOKUP(O294,[1]character_tribe_i18n!A:C,3,FALSE)</f>
        <v>種族なし</v>
      </c>
      <c r="Q294" s="117" t="s">
        <v>707</v>
      </c>
      <c r="R294" s="111">
        <v>3</v>
      </c>
      <c r="S294" s="108" t="s">
        <v>280</v>
      </c>
      <c r="T294" s="108" t="s">
        <v>281</v>
      </c>
      <c r="U294" s="108" t="s">
        <v>280</v>
      </c>
      <c r="V294" s="108" t="s">
        <v>280</v>
      </c>
      <c r="W294" s="108" t="s">
        <v>280</v>
      </c>
    </row>
    <row r="295" spans="1:23" ht="21" customHeight="1" x14ac:dyDescent="0.15">
      <c r="A295" s="104">
        <f t="shared" si="4"/>
        <v>294</v>
      </c>
      <c r="B295" s="105" t="s">
        <v>268</v>
      </c>
      <c r="C295" s="106" t="s">
        <v>958</v>
      </c>
      <c r="D295" s="107" t="s">
        <v>947</v>
      </c>
      <c r="E295" s="108" t="s">
        <v>643</v>
      </c>
      <c r="F295" s="108" t="s">
        <v>532</v>
      </c>
      <c r="G295" s="108" t="s">
        <v>873</v>
      </c>
      <c r="H295" s="120" t="s">
        <v>285</v>
      </c>
      <c r="I295" s="109">
        <v>4</v>
      </c>
      <c r="J295" s="109" t="s">
        <v>516</v>
      </c>
      <c r="K295" s="105" t="s">
        <v>276</v>
      </c>
      <c r="L295" s="107" t="str">
        <f ca="1">VLOOKUP($K295,OFFSET([1]character_type_i18n!$A$1,0,0,COUNTA([1]character_type_i18n!$A:$A),MATCH(L$1,[1]character_type_i18n!$1:$1,0)-MATCH($K$1,[1]character_type_i18n!$1:$1,0)+1),MATCH(L$1,[1]character_type_i18n!$1:$1,0)-MATCH($K$1,[1]character_type_i18n!$1:$1,0)+1,FALSE)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95" s="105" t="s">
        <v>318</v>
      </c>
      <c r="N295" s="107" t="str">
        <f>VLOOKUP(M295,[1]character_tribe_i18n!A:C,3,FALSE)</f>
        <v>アニマル</v>
      </c>
      <c r="O295" s="105" t="s">
        <v>278</v>
      </c>
      <c r="P295" s="107" t="str">
        <f>VLOOKUP(O295,[1]character_tribe_i18n!A:C,3,FALSE)</f>
        <v>種族なし</v>
      </c>
      <c r="Q295" s="117" t="s">
        <v>707</v>
      </c>
      <c r="R295" s="111">
        <v>3</v>
      </c>
      <c r="S295" s="108" t="s">
        <v>280</v>
      </c>
      <c r="T295" s="108" t="s">
        <v>281</v>
      </c>
      <c r="U295" s="108" t="s">
        <v>280</v>
      </c>
      <c r="V295" s="108" t="s">
        <v>280</v>
      </c>
      <c r="W295" s="108" t="s">
        <v>280</v>
      </c>
    </row>
    <row r="296" spans="1:23" ht="21" customHeight="1" x14ac:dyDescent="0.15">
      <c r="A296" s="104">
        <f t="shared" si="4"/>
        <v>295</v>
      </c>
      <c r="B296" s="105" t="s">
        <v>268</v>
      </c>
      <c r="C296" s="106" t="s">
        <v>959</v>
      </c>
      <c r="D296" s="107" t="s">
        <v>947</v>
      </c>
      <c r="E296" s="108" t="s">
        <v>643</v>
      </c>
      <c r="F296" s="108" t="s">
        <v>532</v>
      </c>
      <c r="G296" s="108" t="s">
        <v>873</v>
      </c>
      <c r="H296" s="120" t="s">
        <v>285</v>
      </c>
      <c r="I296" s="109">
        <v>5</v>
      </c>
      <c r="J296" s="109" t="s">
        <v>516</v>
      </c>
      <c r="K296" s="105" t="s">
        <v>276</v>
      </c>
      <c r="L296" s="107" t="str">
        <f ca="1">VLOOKUP($K296,OFFSET([1]character_type_i18n!$A$1,0,0,COUNTA([1]character_type_i18n!$A:$A),MATCH(L$1,[1]character_type_i18n!$1:$1,0)-MATCH($K$1,[1]character_type_i18n!$1:$1,0)+1),MATCH(L$1,[1]character_type_i18n!$1:$1,0)-MATCH($K$1,[1]character_type_i18n!$1:$1,0)+1,FALSE)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96" s="105" t="s">
        <v>318</v>
      </c>
      <c r="N296" s="107" t="str">
        <f>VLOOKUP(M296,[1]character_tribe_i18n!A:C,3,FALSE)</f>
        <v>アニマル</v>
      </c>
      <c r="O296" s="105" t="s">
        <v>278</v>
      </c>
      <c r="P296" s="107" t="str">
        <f>VLOOKUP(O296,[1]character_tribe_i18n!A:C,3,FALSE)</f>
        <v>種族なし</v>
      </c>
      <c r="Q296" s="117" t="s">
        <v>707</v>
      </c>
      <c r="R296" s="111">
        <v>3</v>
      </c>
      <c r="S296" s="108" t="s">
        <v>280</v>
      </c>
      <c r="T296" s="108" t="s">
        <v>281</v>
      </c>
      <c r="U296" s="108" t="s">
        <v>280</v>
      </c>
      <c r="V296" s="108" t="s">
        <v>280</v>
      </c>
      <c r="W296" s="108" t="s">
        <v>280</v>
      </c>
    </row>
    <row r="297" spans="1:23" ht="21" customHeight="1" x14ac:dyDescent="0.15">
      <c r="A297" s="104">
        <f t="shared" si="4"/>
        <v>296</v>
      </c>
      <c r="B297" s="105" t="s">
        <v>268</v>
      </c>
      <c r="C297" s="106" t="s">
        <v>960</v>
      </c>
      <c r="D297" s="107" t="s">
        <v>917</v>
      </c>
      <c r="E297" s="108" t="s">
        <v>961</v>
      </c>
      <c r="F297" s="108" t="s">
        <v>532</v>
      </c>
      <c r="G297" s="108" t="s">
        <v>873</v>
      </c>
      <c r="H297" s="120" t="s">
        <v>285</v>
      </c>
      <c r="I297" s="109">
        <v>4</v>
      </c>
      <c r="J297" s="109" t="s">
        <v>921</v>
      </c>
      <c r="K297" s="105" t="s">
        <v>377</v>
      </c>
      <c r="L297" s="107" t="str">
        <f ca="1">VLOOKUP($K297,OFFSET([1]character_type_i18n!$A$1,0,0,COUNTA([1]character_type_i18n!$A:$A),MATCH(L$1,[1]character_type_i18n!$1:$1,0)-MATCH($K$1,[1]character_type_i18n!$1:$1,0)+1),MATCH(L$1,[1]character_type_i18n!$1:$1,0)-MATCH($K$1,[1]character_type_i18n!$1:$1,0)+1,FALSE)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97" s="105" t="s">
        <v>517</v>
      </c>
      <c r="N297" s="107" t="str">
        <f>VLOOKUP(M297,[1]character_tribe_i18n!A:C,3,FALSE)</f>
        <v>ゴッド</v>
      </c>
      <c r="O297" s="105" t="s">
        <v>278</v>
      </c>
      <c r="P297" s="107" t="str">
        <f>VLOOKUP(O297,[1]character_tribe_i18n!A:C,3,FALSE)</f>
        <v>種族なし</v>
      </c>
      <c r="Q297" s="117"/>
      <c r="R297" s="111">
        <v>3</v>
      </c>
      <c r="S297" s="108" t="s">
        <v>280</v>
      </c>
      <c r="T297" s="108" t="s">
        <v>281</v>
      </c>
      <c r="U297" s="108" t="s">
        <v>280</v>
      </c>
      <c r="V297" s="108" t="s">
        <v>280</v>
      </c>
      <c r="W297" s="108" t="s">
        <v>280</v>
      </c>
    </row>
    <row r="298" spans="1:23" ht="21" customHeight="1" x14ac:dyDescent="0.15">
      <c r="A298" s="104">
        <f t="shared" si="4"/>
        <v>297</v>
      </c>
      <c r="B298" s="105" t="s">
        <v>268</v>
      </c>
      <c r="C298" s="106" t="s">
        <v>962</v>
      </c>
      <c r="D298" s="107" t="s">
        <v>917</v>
      </c>
      <c r="E298" s="108" t="s">
        <v>961</v>
      </c>
      <c r="F298" s="108" t="s">
        <v>532</v>
      </c>
      <c r="G298" s="108" t="s">
        <v>873</v>
      </c>
      <c r="H298" s="120" t="s">
        <v>285</v>
      </c>
      <c r="I298" s="109">
        <v>5</v>
      </c>
      <c r="J298" s="109" t="s">
        <v>921</v>
      </c>
      <c r="K298" s="105" t="s">
        <v>377</v>
      </c>
      <c r="L298" s="107" t="str">
        <f ca="1">VLOOKUP($K298,OFFSET([1]character_type_i18n!$A$1,0,0,COUNTA([1]character_type_i18n!$A:$A),MATCH(L$1,[1]character_type_i18n!$1:$1,0)-MATCH($K$1,[1]character_type_i18n!$1:$1,0)+1),MATCH(L$1,[1]character_type_i18n!$1:$1,0)-MATCH($K$1,[1]character_type_i18n!$1:$1,0)+1,FALSE)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98" s="105" t="s">
        <v>517</v>
      </c>
      <c r="N298" s="107" t="str">
        <f>VLOOKUP(M298,[1]character_tribe_i18n!A:C,3,FALSE)</f>
        <v>ゴッド</v>
      </c>
      <c r="O298" s="105" t="s">
        <v>278</v>
      </c>
      <c r="P298" s="107" t="str">
        <f>VLOOKUP(O298,[1]character_tribe_i18n!A:C,3,FALSE)</f>
        <v>種族なし</v>
      </c>
      <c r="Q298" s="117"/>
      <c r="R298" s="111">
        <v>3</v>
      </c>
      <c r="S298" s="108" t="s">
        <v>280</v>
      </c>
      <c r="T298" s="108" t="s">
        <v>281</v>
      </c>
      <c r="U298" s="108" t="s">
        <v>280</v>
      </c>
      <c r="V298" s="108" t="s">
        <v>280</v>
      </c>
      <c r="W298" s="108" t="s">
        <v>280</v>
      </c>
    </row>
    <row r="299" spans="1:23" ht="21" customHeight="1" x14ac:dyDescent="0.15">
      <c r="A299" s="104">
        <f t="shared" si="4"/>
        <v>298</v>
      </c>
      <c r="B299" s="105" t="s">
        <v>268</v>
      </c>
      <c r="C299" s="114" t="s">
        <v>963</v>
      </c>
      <c r="D299" s="107" t="s">
        <v>964</v>
      </c>
      <c r="E299" s="108" t="s">
        <v>965</v>
      </c>
      <c r="F299" s="108" t="s">
        <v>966</v>
      </c>
      <c r="G299" s="108" t="s">
        <v>861</v>
      </c>
      <c r="H299" s="120" t="s">
        <v>274</v>
      </c>
      <c r="I299" s="109">
        <v>3</v>
      </c>
      <c r="J299" s="109" t="s">
        <v>862</v>
      </c>
      <c r="K299" s="105" t="s">
        <v>967</v>
      </c>
      <c r="L299" s="107" t="str">
        <f ca="1">VLOOKUP($K299,OFFSET([1]character_type_i18n!$A$1,0,0,COUNTA([1]character_type_i18n!$A:$A),MATCH(L$1,[1]character_type_i18n!$1:$1,0)-MATCH($K$1,[1]character_type_i18n!$1:$1,0)+1),MATCH(L$1,[1]character_type_i18n!$1:$1,0)-MATCH($K$1,[1]character_type_i18n!$1:$1,0)+1,FALSE)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99" s="105" t="s">
        <v>332</v>
      </c>
      <c r="N299" s="107" t="str">
        <f>VLOOKUP(M299,[1]character_tribe_i18n!A:C,3,FALSE)</f>
        <v>ヒューマン</v>
      </c>
      <c r="O299" s="105" t="s">
        <v>278</v>
      </c>
      <c r="P299" s="107" t="str">
        <f>VLOOKUP(O299,[1]character_tribe_i18n!A:C,3,FALSE)</f>
        <v>種族なし</v>
      </c>
      <c r="Q299" s="121" t="s">
        <v>707</v>
      </c>
      <c r="R299" s="111">
        <v>3</v>
      </c>
      <c r="S299" s="108" t="s">
        <v>280</v>
      </c>
      <c r="T299" s="108" t="s">
        <v>281</v>
      </c>
      <c r="U299" s="108" t="s">
        <v>280</v>
      </c>
      <c r="V299" s="108" t="s">
        <v>280</v>
      </c>
      <c r="W299" s="108" t="s">
        <v>280</v>
      </c>
    </row>
    <row r="300" spans="1:23" ht="21" customHeight="1" x14ac:dyDescent="0.15">
      <c r="A300" s="104">
        <f t="shared" si="4"/>
        <v>299</v>
      </c>
      <c r="B300" s="105" t="s">
        <v>268</v>
      </c>
      <c r="C300" s="114" t="s">
        <v>968</v>
      </c>
      <c r="D300" s="107" t="s">
        <v>964</v>
      </c>
      <c r="E300" s="108" t="s">
        <v>965</v>
      </c>
      <c r="F300" s="108" t="s">
        <v>966</v>
      </c>
      <c r="G300" s="108" t="s">
        <v>861</v>
      </c>
      <c r="H300" s="120" t="s">
        <v>274</v>
      </c>
      <c r="I300" s="109">
        <v>4</v>
      </c>
      <c r="J300" s="109" t="s">
        <v>862</v>
      </c>
      <c r="K300" s="105" t="s">
        <v>967</v>
      </c>
      <c r="L300" s="107" t="str">
        <f ca="1">VLOOKUP($K300,OFFSET([1]character_type_i18n!$A$1,0,0,COUNTA([1]character_type_i18n!$A:$A),MATCH(L$1,[1]character_type_i18n!$1:$1,0)-MATCH($K$1,[1]character_type_i18n!$1:$1,0)+1),MATCH(L$1,[1]character_type_i18n!$1:$1,0)-MATCH($K$1,[1]character_type_i18n!$1:$1,0)+1,FALSE)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00" s="105" t="s">
        <v>332</v>
      </c>
      <c r="N300" s="107" t="str">
        <f>VLOOKUP(M300,[1]character_tribe_i18n!A:C,3,FALSE)</f>
        <v>ヒューマン</v>
      </c>
      <c r="O300" s="105" t="s">
        <v>278</v>
      </c>
      <c r="P300" s="107" t="str">
        <f>VLOOKUP(O300,[1]character_tribe_i18n!A:C,3,FALSE)</f>
        <v>種族なし</v>
      </c>
      <c r="Q300" s="121" t="s">
        <v>707</v>
      </c>
      <c r="R300" s="111">
        <v>3</v>
      </c>
      <c r="S300" s="108" t="s">
        <v>280</v>
      </c>
      <c r="T300" s="108" t="s">
        <v>281</v>
      </c>
      <c r="U300" s="108" t="s">
        <v>280</v>
      </c>
      <c r="V300" s="108" t="s">
        <v>280</v>
      </c>
      <c r="W300" s="108" t="s">
        <v>280</v>
      </c>
    </row>
    <row r="301" spans="1:23" ht="21" customHeight="1" x14ac:dyDescent="0.15">
      <c r="A301" s="104">
        <f t="shared" si="4"/>
        <v>300</v>
      </c>
      <c r="B301" s="105" t="s">
        <v>268</v>
      </c>
      <c r="C301" s="114" t="s">
        <v>969</v>
      </c>
      <c r="D301" s="107" t="s">
        <v>964</v>
      </c>
      <c r="E301" s="108" t="s">
        <v>965</v>
      </c>
      <c r="F301" s="108" t="s">
        <v>907</v>
      </c>
      <c r="G301" s="108" t="s">
        <v>861</v>
      </c>
      <c r="H301" s="120" t="s">
        <v>285</v>
      </c>
      <c r="I301" s="109">
        <v>3</v>
      </c>
      <c r="J301" s="109" t="s">
        <v>862</v>
      </c>
      <c r="K301" s="105" t="s">
        <v>286</v>
      </c>
      <c r="L301" s="107" t="str">
        <f ca="1">VLOOKUP($K301,OFFSET([1]character_type_i18n!$A$1,0,0,COUNTA([1]character_type_i18n!$A:$A),MATCH(L$1,[1]character_type_i18n!$1:$1,0)-MATCH($K$1,[1]character_type_i18n!$1:$1,0)+1),MATCH(L$1,[1]character_type_i18n!$1:$1,0)-MATCH($K$1,[1]character_type_i18n!$1:$1,0)+1,FALSE)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01" s="105" t="s">
        <v>332</v>
      </c>
      <c r="N301" s="107" t="str">
        <f>VLOOKUP(M301,[1]character_tribe_i18n!A:C,3,FALSE)</f>
        <v>ヒューマン</v>
      </c>
      <c r="O301" s="105" t="s">
        <v>278</v>
      </c>
      <c r="P301" s="107" t="str">
        <f>VLOOKUP(O301,[1]character_tribe_i18n!A:C,3,FALSE)</f>
        <v>種族なし</v>
      </c>
      <c r="Q301" s="110" t="s">
        <v>677</v>
      </c>
      <c r="R301" s="111">
        <v>3</v>
      </c>
      <c r="S301" s="108" t="s">
        <v>280</v>
      </c>
      <c r="T301" s="108" t="s">
        <v>281</v>
      </c>
      <c r="U301" s="108" t="s">
        <v>280</v>
      </c>
      <c r="V301" s="108" t="s">
        <v>280</v>
      </c>
      <c r="W301" s="108" t="s">
        <v>280</v>
      </c>
    </row>
    <row r="302" spans="1:23" ht="21" customHeight="1" x14ac:dyDescent="0.15">
      <c r="A302" s="104">
        <f t="shared" si="4"/>
        <v>301</v>
      </c>
      <c r="B302" s="105" t="s">
        <v>268</v>
      </c>
      <c r="C302" s="114" t="s">
        <v>970</v>
      </c>
      <c r="D302" s="107" t="s">
        <v>964</v>
      </c>
      <c r="E302" s="108" t="s">
        <v>971</v>
      </c>
      <c r="F302" s="108" t="s">
        <v>907</v>
      </c>
      <c r="G302" s="108" t="s">
        <v>861</v>
      </c>
      <c r="H302" s="120" t="s">
        <v>285</v>
      </c>
      <c r="I302" s="109">
        <v>4</v>
      </c>
      <c r="J302" s="109" t="s">
        <v>862</v>
      </c>
      <c r="K302" s="105" t="s">
        <v>286</v>
      </c>
      <c r="L302" s="107" t="str">
        <f ca="1">VLOOKUP($K302,OFFSET([1]character_type_i18n!$A$1,0,0,COUNTA([1]character_type_i18n!$A:$A),MATCH(L$1,[1]character_type_i18n!$1:$1,0)-MATCH($K$1,[1]character_type_i18n!$1:$1,0)+1),MATCH(L$1,[1]character_type_i18n!$1:$1,0)-MATCH($K$1,[1]character_type_i18n!$1:$1,0)+1,FALSE)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02" s="105" t="s">
        <v>332</v>
      </c>
      <c r="N302" s="107" t="str">
        <f>VLOOKUP(M302,[1]character_tribe_i18n!A:C,3,FALSE)</f>
        <v>ヒューマン</v>
      </c>
      <c r="O302" s="105" t="s">
        <v>278</v>
      </c>
      <c r="P302" s="107" t="str">
        <f>VLOOKUP(O302,[1]character_tribe_i18n!A:C,3,FALSE)</f>
        <v>種族なし</v>
      </c>
      <c r="Q302" s="110" t="s">
        <v>677</v>
      </c>
      <c r="R302" s="111">
        <v>3</v>
      </c>
      <c r="S302" s="108" t="s">
        <v>280</v>
      </c>
      <c r="T302" s="108" t="s">
        <v>281</v>
      </c>
      <c r="U302" s="108" t="s">
        <v>280</v>
      </c>
      <c r="V302" s="108" t="s">
        <v>280</v>
      </c>
      <c r="W302" s="108" t="s">
        <v>280</v>
      </c>
    </row>
    <row r="303" spans="1:23" ht="21" customHeight="1" x14ac:dyDescent="0.15">
      <c r="A303" s="104">
        <f t="shared" si="4"/>
        <v>302</v>
      </c>
      <c r="B303" s="105" t="s">
        <v>268</v>
      </c>
      <c r="C303" s="114" t="s">
        <v>972</v>
      </c>
      <c r="D303" s="107" t="s">
        <v>964</v>
      </c>
      <c r="E303" s="108" t="s">
        <v>965</v>
      </c>
      <c r="F303" s="108" t="s">
        <v>966</v>
      </c>
      <c r="G303" s="108" t="s">
        <v>861</v>
      </c>
      <c r="H303" s="120" t="s">
        <v>295</v>
      </c>
      <c r="I303" s="109">
        <v>3</v>
      </c>
      <c r="J303" s="109" t="s">
        <v>862</v>
      </c>
      <c r="K303" s="105" t="s">
        <v>296</v>
      </c>
      <c r="L303" s="107" t="str">
        <f ca="1">VLOOKUP($K303,OFFSET([1]character_type_i18n!$A$1,0,0,COUNTA([1]character_type_i18n!$A:$A),MATCH(L$1,[1]character_type_i18n!$1:$1,0)-MATCH($K$1,[1]character_type_i18n!$1:$1,0)+1),MATCH(L$1,[1]character_type_i18n!$1:$1,0)-MATCH($K$1,[1]character_type_i18n!$1:$1,0)+1,FALSE)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03" s="105" t="s">
        <v>332</v>
      </c>
      <c r="N303" s="107" t="str">
        <f>VLOOKUP(M303,[1]character_tribe_i18n!A:C,3,FALSE)</f>
        <v>ヒューマン</v>
      </c>
      <c r="O303" s="105" t="s">
        <v>278</v>
      </c>
      <c r="P303" s="107" t="str">
        <f>VLOOKUP(O303,[1]character_tribe_i18n!A:C,3,FALSE)</f>
        <v>種族なし</v>
      </c>
      <c r="Q303" s="121" t="s">
        <v>707</v>
      </c>
      <c r="R303" s="111">
        <v>3</v>
      </c>
      <c r="S303" s="108" t="s">
        <v>280</v>
      </c>
      <c r="T303" s="108" t="s">
        <v>281</v>
      </c>
      <c r="U303" s="108" t="s">
        <v>280</v>
      </c>
      <c r="V303" s="108" t="s">
        <v>280</v>
      </c>
      <c r="W303" s="108" t="s">
        <v>280</v>
      </c>
    </row>
    <row r="304" spans="1:23" ht="21" customHeight="1" x14ac:dyDescent="0.15">
      <c r="A304" s="104">
        <f t="shared" si="4"/>
        <v>303</v>
      </c>
      <c r="B304" s="105" t="s">
        <v>268</v>
      </c>
      <c r="C304" s="114" t="s">
        <v>973</v>
      </c>
      <c r="D304" s="107" t="s">
        <v>964</v>
      </c>
      <c r="E304" s="108" t="s">
        <v>965</v>
      </c>
      <c r="F304" s="108" t="s">
        <v>966</v>
      </c>
      <c r="G304" s="108" t="s">
        <v>861</v>
      </c>
      <c r="H304" s="120" t="s">
        <v>295</v>
      </c>
      <c r="I304" s="109">
        <v>4</v>
      </c>
      <c r="J304" s="109" t="s">
        <v>862</v>
      </c>
      <c r="K304" s="105" t="s">
        <v>296</v>
      </c>
      <c r="L304" s="107" t="str">
        <f ca="1">VLOOKUP($K304,OFFSET([1]character_type_i18n!$A$1,0,0,COUNTA([1]character_type_i18n!$A:$A),MATCH(L$1,[1]character_type_i18n!$1:$1,0)-MATCH($K$1,[1]character_type_i18n!$1:$1,0)+1),MATCH(L$1,[1]character_type_i18n!$1:$1,0)-MATCH($K$1,[1]character_type_i18n!$1:$1,0)+1,FALSE)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04" s="105" t="s">
        <v>332</v>
      </c>
      <c r="N304" s="107" t="str">
        <f>VLOOKUP(M304,[1]character_tribe_i18n!A:C,3,FALSE)</f>
        <v>ヒューマン</v>
      </c>
      <c r="O304" s="105" t="s">
        <v>278</v>
      </c>
      <c r="P304" s="107" t="str">
        <f>VLOOKUP(O304,[1]character_tribe_i18n!A:C,3,FALSE)</f>
        <v>種族なし</v>
      </c>
      <c r="Q304" s="121" t="s">
        <v>707</v>
      </c>
      <c r="R304" s="111">
        <v>3</v>
      </c>
      <c r="S304" s="108" t="s">
        <v>280</v>
      </c>
      <c r="T304" s="108" t="s">
        <v>281</v>
      </c>
      <c r="U304" s="108" t="s">
        <v>280</v>
      </c>
      <c r="V304" s="108" t="s">
        <v>280</v>
      </c>
      <c r="W304" s="108" t="s">
        <v>280</v>
      </c>
    </row>
    <row r="305" spans="1:23" ht="21" customHeight="1" x14ac:dyDescent="0.15">
      <c r="A305" s="104">
        <f t="shared" si="4"/>
        <v>304</v>
      </c>
      <c r="B305" s="105" t="s">
        <v>268</v>
      </c>
      <c r="C305" s="114" t="s">
        <v>974</v>
      </c>
      <c r="D305" s="107" t="s">
        <v>964</v>
      </c>
      <c r="E305" s="108" t="s">
        <v>965</v>
      </c>
      <c r="F305" s="108" t="s">
        <v>966</v>
      </c>
      <c r="G305" s="108" t="s">
        <v>861</v>
      </c>
      <c r="H305" s="120" t="s">
        <v>300</v>
      </c>
      <c r="I305" s="109">
        <v>3</v>
      </c>
      <c r="J305" s="109" t="s">
        <v>862</v>
      </c>
      <c r="K305" s="105" t="s">
        <v>276</v>
      </c>
      <c r="L305" s="107" t="str">
        <f ca="1">VLOOKUP($K305,OFFSET([1]character_type_i18n!$A$1,0,0,COUNTA([1]character_type_i18n!$A:$A),MATCH(L$1,[1]character_type_i18n!$1:$1,0)-MATCH($K$1,[1]character_type_i18n!$1:$1,0)+1),MATCH(L$1,[1]character_type_i18n!$1:$1,0)-MATCH($K$1,[1]character_type_i18n!$1:$1,0)+1,FALSE)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05" s="105" t="s">
        <v>332</v>
      </c>
      <c r="N305" s="107" t="str">
        <f>VLOOKUP(M305,[1]character_tribe_i18n!A:C,3,FALSE)</f>
        <v>ヒューマン</v>
      </c>
      <c r="O305" s="105" t="s">
        <v>278</v>
      </c>
      <c r="P305" s="107" t="str">
        <f>VLOOKUP(O305,[1]character_tribe_i18n!A:C,3,FALSE)</f>
        <v>種族なし</v>
      </c>
      <c r="Q305" s="121" t="s">
        <v>707</v>
      </c>
      <c r="R305" s="111">
        <v>3</v>
      </c>
      <c r="S305" s="108" t="s">
        <v>280</v>
      </c>
      <c r="T305" s="108" t="s">
        <v>281</v>
      </c>
      <c r="U305" s="108" t="s">
        <v>280</v>
      </c>
      <c r="V305" s="108" t="s">
        <v>280</v>
      </c>
      <c r="W305" s="108" t="s">
        <v>280</v>
      </c>
    </row>
    <row r="306" spans="1:23" ht="21" customHeight="1" x14ac:dyDescent="0.15">
      <c r="A306" s="104">
        <f t="shared" si="4"/>
        <v>305</v>
      </c>
      <c r="B306" s="105" t="s">
        <v>268</v>
      </c>
      <c r="C306" s="114" t="s">
        <v>975</v>
      </c>
      <c r="D306" s="107" t="s">
        <v>964</v>
      </c>
      <c r="E306" s="108" t="s">
        <v>976</v>
      </c>
      <c r="F306" s="108" t="s">
        <v>966</v>
      </c>
      <c r="G306" s="108" t="s">
        <v>861</v>
      </c>
      <c r="H306" s="120" t="s">
        <v>300</v>
      </c>
      <c r="I306" s="109">
        <v>4</v>
      </c>
      <c r="J306" s="109" t="s">
        <v>862</v>
      </c>
      <c r="K306" s="105" t="s">
        <v>276</v>
      </c>
      <c r="L306" s="107" t="str">
        <f ca="1">VLOOKUP($K306,OFFSET([1]character_type_i18n!$A$1,0,0,COUNTA([1]character_type_i18n!$A:$A),MATCH(L$1,[1]character_type_i18n!$1:$1,0)-MATCH($K$1,[1]character_type_i18n!$1:$1,0)+1),MATCH(L$1,[1]character_type_i18n!$1:$1,0)-MATCH($K$1,[1]character_type_i18n!$1:$1,0)+1,FALSE)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06" s="105" t="s">
        <v>332</v>
      </c>
      <c r="N306" s="107" t="str">
        <f>VLOOKUP(M306,[1]character_tribe_i18n!A:C,3,FALSE)</f>
        <v>ヒューマン</v>
      </c>
      <c r="O306" s="105" t="s">
        <v>278</v>
      </c>
      <c r="P306" s="107" t="str">
        <f>VLOOKUP(O306,[1]character_tribe_i18n!A:C,3,FALSE)</f>
        <v>種族なし</v>
      </c>
      <c r="Q306" s="121" t="s">
        <v>707</v>
      </c>
      <c r="R306" s="111">
        <v>3</v>
      </c>
      <c r="S306" s="108" t="s">
        <v>280</v>
      </c>
      <c r="T306" s="108" t="s">
        <v>281</v>
      </c>
      <c r="U306" s="108" t="s">
        <v>280</v>
      </c>
      <c r="V306" s="108" t="s">
        <v>280</v>
      </c>
      <c r="W306" s="108" t="s">
        <v>280</v>
      </c>
    </row>
    <row r="307" spans="1:23" ht="21" customHeight="1" x14ac:dyDescent="0.15">
      <c r="A307" s="104">
        <f t="shared" si="4"/>
        <v>306</v>
      </c>
      <c r="B307" s="105" t="s">
        <v>268</v>
      </c>
      <c r="C307" s="114" t="s">
        <v>977</v>
      </c>
      <c r="D307" s="107" t="s">
        <v>978</v>
      </c>
      <c r="E307" s="108" t="s">
        <v>643</v>
      </c>
      <c r="F307" s="108" t="s">
        <v>979</v>
      </c>
      <c r="G307" s="108" t="s">
        <v>861</v>
      </c>
      <c r="H307" s="120" t="s">
        <v>274</v>
      </c>
      <c r="I307" s="109">
        <v>4</v>
      </c>
      <c r="J307" s="109" t="s">
        <v>516</v>
      </c>
      <c r="K307" s="105" t="s">
        <v>276</v>
      </c>
      <c r="L307" s="107" t="str">
        <f ca="1">VLOOKUP($K307,OFFSET([1]character_type_i18n!$A$1,0,0,COUNTA([1]character_type_i18n!$A:$A),MATCH(L$1,[1]character_type_i18n!$1:$1,0)-MATCH($K$1,[1]character_type_i18n!$1:$1,0)+1),MATCH(L$1,[1]character_type_i18n!$1:$1,0)-MATCH($K$1,[1]character_type_i18n!$1:$1,0)+1,FALSE)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07" s="105" t="s">
        <v>318</v>
      </c>
      <c r="N307" s="107" t="str">
        <f>VLOOKUP(M307,[1]character_tribe_i18n!A:C,3,FALSE)</f>
        <v>アニマル</v>
      </c>
      <c r="O307" s="105" t="s">
        <v>278</v>
      </c>
      <c r="P307" s="107" t="str">
        <f>VLOOKUP(O307,[1]character_tribe_i18n!A:C,3,FALSE)</f>
        <v>種族なし</v>
      </c>
      <c r="Q307" s="121" t="s">
        <v>707</v>
      </c>
      <c r="R307" s="111">
        <v>3</v>
      </c>
      <c r="S307" s="108" t="s">
        <v>280</v>
      </c>
      <c r="T307" s="108" t="s">
        <v>281</v>
      </c>
      <c r="U307" s="108" t="s">
        <v>280</v>
      </c>
      <c r="V307" s="108" t="s">
        <v>280</v>
      </c>
      <c r="W307" s="108" t="s">
        <v>280</v>
      </c>
    </row>
    <row r="308" spans="1:23" ht="21" customHeight="1" x14ac:dyDescent="0.15">
      <c r="A308" s="104">
        <f t="shared" si="4"/>
        <v>307</v>
      </c>
      <c r="B308" s="105" t="s">
        <v>268</v>
      </c>
      <c r="C308" s="114" t="s">
        <v>980</v>
      </c>
      <c r="D308" s="107" t="s">
        <v>978</v>
      </c>
      <c r="E308" s="108" t="s">
        <v>643</v>
      </c>
      <c r="F308" s="108" t="s">
        <v>979</v>
      </c>
      <c r="G308" s="108" t="s">
        <v>861</v>
      </c>
      <c r="H308" s="120" t="s">
        <v>274</v>
      </c>
      <c r="I308" s="109">
        <v>5</v>
      </c>
      <c r="J308" s="109" t="s">
        <v>516</v>
      </c>
      <c r="K308" s="105" t="s">
        <v>276</v>
      </c>
      <c r="L308" s="107" t="str">
        <f ca="1">VLOOKUP($K308,OFFSET([1]character_type_i18n!$A$1,0,0,COUNTA([1]character_type_i18n!$A:$A),MATCH(L$1,[1]character_type_i18n!$1:$1,0)-MATCH($K$1,[1]character_type_i18n!$1:$1,0)+1),MATCH(L$1,[1]character_type_i18n!$1:$1,0)-MATCH($K$1,[1]character_type_i18n!$1:$1,0)+1,FALSE)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08" s="105" t="s">
        <v>318</v>
      </c>
      <c r="N308" s="107" t="str">
        <f>VLOOKUP(M308,[1]character_tribe_i18n!A:C,3,FALSE)</f>
        <v>アニマル</v>
      </c>
      <c r="O308" s="105" t="s">
        <v>278</v>
      </c>
      <c r="P308" s="107" t="str">
        <f>VLOOKUP(O308,[1]character_tribe_i18n!A:C,3,FALSE)</f>
        <v>種族なし</v>
      </c>
      <c r="Q308" s="121" t="s">
        <v>707</v>
      </c>
      <c r="R308" s="111">
        <v>3</v>
      </c>
      <c r="S308" s="108" t="s">
        <v>280</v>
      </c>
      <c r="T308" s="108" t="s">
        <v>281</v>
      </c>
      <c r="U308" s="108" t="s">
        <v>280</v>
      </c>
      <c r="V308" s="108" t="s">
        <v>280</v>
      </c>
      <c r="W308" s="108" t="s">
        <v>280</v>
      </c>
    </row>
    <row r="309" spans="1:23" ht="21" customHeight="1" x14ac:dyDescent="0.15">
      <c r="A309" s="104">
        <f t="shared" si="4"/>
        <v>308</v>
      </c>
      <c r="B309" s="105" t="s">
        <v>268</v>
      </c>
      <c r="C309" s="114" t="s">
        <v>981</v>
      </c>
      <c r="D309" s="107" t="s">
        <v>978</v>
      </c>
      <c r="E309" s="108" t="s">
        <v>643</v>
      </c>
      <c r="F309" s="108" t="s">
        <v>907</v>
      </c>
      <c r="G309" s="108" t="s">
        <v>861</v>
      </c>
      <c r="H309" s="120" t="s">
        <v>285</v>
      </c>
      <c r="I309" s="109">
        <v>4</v>
      </c>
      <c r="J309" s="109" t="s">
        <v>516</v>
      </c>
      <c r="K309" s="105" t="s">
        <v>347</v>
      </c>
      <c r="L309" s="107" t="str">
        <f ca="1">VLOOKUP($K309,OFFSET([1]character_type_i18n!$A$1,0,0,COUNTA([1]character_type_i18n!$A:$A),MATCH(L$1,[1]character_type_i18n!$1:$1,0)-MATCH($K$1,[1]character_type_i18n!$1:$1,0)+1),MATCH(L$1,[1]character_type_i18n!$1:$1,0)-MATCH($K$1,[1]character_type_i18n!$1:$1,0)+1,FALSE)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09" s="105" t="s">
        <v>318</v>
      </c>
      <c r="N309" s="107" t="str">
        <f>VLOOKUP(M309,[1]character_tribe_i18n!A:C,3,FALSE)</f>
        <v>アニマル</v>
      </c>
      <c r="O309" s="105" t="s">
        <v>278</v>
      </c>
      <c r="P309" s="107" t="str">
        <f>VLOOKUP(O309,[1]character_tribe_i18n!A:C,3,FALSE)</f>
        <v>種族なし</v>
      </c>
      <c r="Q309" s="117" t="s">
        <v>654</v>
      </c>
      <c r="R309" s="111">
        <v>3</v>
      </c>
      <c r="S309" s="108" t="s">
        <v>280</v>
      </c>
      <c r="T309" s="108" t="s">
        <v>281</v>
      </c>
      <c r="U309" s="108" t="s">
        <v>280</v>
      </c>
      <c r="V309" s="108" t="s">
        <v>280</v>
      </c>
      <c r="W309" s="108" t="s">
        <v>280</v>
      </c>
    </row>
    <row r="310" spans="1:23" ht="21" customHeight="1" x14ac:dyDescent="0.15">
      <c r="A310" s="104">
        <f t="shared" si="4"/>
        <v>309</v>
      </c>
      <c r="B310" s="105" t="s">
        <v>268</v>
      </c>
      <c r="C310" s="114" t="s">
        <v>982</v>
      </c>
      <c r="D310" s="107" t="s">
        <v>978</v>
      </c>
      <c r="E310" s="108" t="s">
        <v>643</v>
      </c>
      <c r="F310" s="108" t="s">
        <v>907</v>
      </c>
      <c r="G310" s="108" t="s">
        <v>861</v>
      </c>
      <c r="H310" s="120" t="s">
        <v>285</v>
      </c>
      <c r="I310" s="109">
        <v>5</v>
      </c>
      <c r="J310" s="109" t="s">
        <v>516</v>
      </c>
      <c r="K310" s="105" t="s">
        <v>347</v>
      </c>
      <c r="L310" s="107" t="str">
        <f ca="1">VLOOKUP($K310,OFFSET([1]character_type_i18n!$A$1,0,0,COUNTA([1]character_type_i18n!$A:$A),MATCH(L$1,[1]character_type_i18n!$1:$1,0)-MATCH($K$1,[1]character_type_i18n!$1:$1,0)+1),MATCH(L$1,[1]character_type_i18n!$1:$1,0)-MATCH($K$1,[1]character_type_i18n!$1:$1,0)+1,FALSE)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10" s="105" t="s">
        <v>318</v>
      </c>
      <c r="N310" s="107" t="str">
        <f>VLOOKUP(M310,[1]character_tribe_i18n!A:C,3,FALSE)</f>
        <v>アニマル</v>
      </c>
      <c r="O310" s="105" t="s">
        <v>278</v>
      </c>
      <c r="P310" s="107" t="str">
        <f>VLOOKUP(O310,[1]character_tribe_i18n!A:C,3,FALSE)</f>
        <v>種族なし</v>
      </c>
      <c r="Q310" s="117" t="s">
        <v>654</v>
      </c>
      <c r="R310" s="111">
        <v>3</v>
      </c>
      <c r="S310" s="108" t="s">
        <v>280</v>
      </c>
      <c r="T310" s="108" t="s">
        <v>281</v>
      </c>
      <c r="U310" s="108" t="s">
        <v>280</v>
      </c>
      <c r="V310" s="108" t="s">
        <v>280</v>
      </c>
      <c r="W310" s="108" t="s">
        <v>280</v>
      </c>
    </row>
    <row r="311" spans="1:23" ht="21" customHeight="1" x14ac:dyDescent="0.15">
      <c r="A311" s="104">
        <f t="shared" si="4"/>
        <v>310</v>
      </c>
      <c r="B311" s="105" t="s">
        <v>268</v>
      </c>
      <c r="C311" s="114" t="s">
        <v>983</v>
      </c>
      <c r="D311" s="107" t="s">
        <v>978</v>
      </c>
      <c r="E311" s="108" t="s">
        <v>643</v>
      </c>
      <c r="F311" s="108" t="s">
        <v>966</v>
      </c>
      <c r="G311" s="108" t="s">
        <v>861</v>
      </c>
      <c r="H311" s="120" t="s">
        <v>295</v>
      </c>
      <c r="I311" s="109">
        <v>4</v>
      </c>
      <c r="J311" s="109" t="s">
        <v>516</v>
      </c>
      <c r="K311" s="105" t="s">
        <v>296</v>
      </c>
      <c r="L311" s="107" t="str">
        <f ca="1">VLOOKUP($K311,OFFSET([1]character_type_i18n!$A$1,0,0,COUNTA([1]character_type_i18n!$A:$A),MATCH(L$1,[1]character_type_i18n!$1:$1,0)-MATCH($K$1,[1]character_type_i18n!$1:$1,0)+1),MATCH(L$1,[1]character_type_i18n!$1:$1,0)-MATCH($K$1,[1]character_type_i18n!$1:$1,0)+1,FALSE)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1" s="105" t="s">
        <v>318</v>
      </c>
      <c r="N311" s="107" t="str">
        <f>VLOOKUP(M311,[1]character_tribe_i18n!A:C,3,FALSE)</f>
        <v>アニマル</v>
      </c>
      <c r="O311" s="105" t="s">
        <v>278</v>
      </c>
      <c r="P311" s="107" t="str">
        <f>VLOOKUP(O311,[1]character_tribe_i18n!A:C,3,FALSE)</f>
        <v>種族なし</v>
      </c>
      <c r="Q311" s="117" t="s">
        <v>866</v>
      </c>
      <c r="R311" s="111">
        <v>3</v>
      </c>
      <c r="S311" s="108" t="s">
        <v>280</v>
      </c>
      <c r="T311" s="108" t="s">
        <v>281</v>
      </c>
      <c r="U311" s="108" t="s">
        <v>280</v>
      </c>
      <c r="V311" s="108" t="s">
        <v>280</v>
      </c>
      <c r="W311" s="108" t="s">
        <v>280</v>
      </c>
    </row>
    <row r="312" spans="1:23" ht="21" customHeight="1" x14ac:dyDescent="0.15">
      <c r="A312" s="104">
        <f t="shared" si="4"/>
        <v>311</v>
      </c>
      <c r="B312" s="105" t="s">
        <v>268</v>
      </c>
      <c r="C312" s="114" t="s">
        <v>984</v>
      </c>
      <c r="D312" s="107" t="s">
        <v>978</v>
      </c>
      <c r="E312" s="108" t="s">
        <v>643</v>
      </c>
      <c r="F312" s="108" t="s">
        <v>966</v>
      </c>
      <c r="G312" s="108" t="s">
        <v>861</v>
      </c>
      <c r="H312" s="120" t="s">
        <v>295</v>
      </c>
      <c r="I312" s="109">
        <v>5</v>
      </c>
      <c r="J312" s="109" t="s">
        <v>516</v>
      </c>
      <c r="K312" s="105" t="s">
        <v>296</v>
      </c>
      <c r="L312" s="107" t="str">
        <f ca="1">VLOOKUP($K312,OFFSET([1]character_type_i18n!$A$1,0,0,COUNTA([1]character_type_i18n!$A:$A),MATCH(L$1,[1]character_type_i18n!$1:$1,0)-MATCH($K$1,[1]character_type_i18n!$1:$1,0)+1),MATCH(L$1,[1]character_type_i18n!$1:$1,0)-MATCH($K$1,[1]character_type_i18n!$1:$1,0)+1,FALSE)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2" s="105" t="s">
        <v>318</v>
      </c>
      <c r="N312" s="107" t="str">
        <f>VLOOKUP(M312,[1]character_tribe_i18n!A:C,3,FALSE)</f>
        <v>アニマル</v>
      </c>
      <c r="O312" s="105" t="s">
        <v>278</v>
      </c>
      <c r="P312" s="107" t="str">
        <f>VLOOKUP(O312,[1]character_tribe_i18n!A:C,3,FALSE)</f>
        <v>種族なし</v>
      </c>
      <c r="Q312" s="117" t="s">
        <v>866</v>
      </c>
      <c r="R312" s="111">
        <v>3</v>
      </c>
      <c r="S312" s="108" t="s">
        <v>280</v>
      </c>
      <c r="T312" s="108" t="s">
        <v>281</v>
      </c>
      <c r="U312" s="108" t="s">
        <v>280</v>
      </c>
      <c r="V312" s="108" t="s">
        <v>280</v>
      </c>
      <c r="W312" s="108" t="s">
        <v>280</v>
      </c>
    </row>
    <row r="313" spans="1:23" ht="21" customHeight="1" x14ac:dyDescent="0.15">
      <c r="A313" s="104">
        <f t="shared" si="4"/>
        <v>312</v>
      </c>
      <c r="B313" s="105" t="s">
        <v>268</v>
      </c>
      <c r="C313" s="114" t="s">
        <v>985</v>
      </c>
      <c r="D313" s="107" t="s">
        <v>978</v>
      </c>
      <c r="E313" s="108" t="s">
        <v>643</v>
      </c>
      <c r="F313" s="108" t="s">
        <v>907</v>
      </c>
      <c r="G313" s="108" t="s">
        <v>861</v>
      </c>
      <c r="H313" s="120" t="s">
        <v>300</v>
      </c>
      <c r="I313" s="109">
        <v>4</v>
      </c>
      <c r="J313" s="109" t="s">
        <v>516</v>
      </c>
      <c r="K313" s="105" t="s">
        <v>286</v>
      </c>
      <c r="L313" s="107" t="str">
        <f ca="1">VLOOKUP($K313,OFFSET([1]character_type_i18n!$A$1,0,0,COUNTA([1]character_type_i18n!$A:$A),MATCH(L$1,[1]character_type_i18n!$1:$1,0)-MATCH($K$1,[1]character_type_i18n!$1:$1,0)+1),MATCH(L$1,[1]character_type_i18n!$1:$1,0)-MATCH($K$1,[1]character_type_i18n!$1:$1,0)+1,FALSE)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13" s="105" t="s">
        <v>318</v>
      </c>
      <c r="N313" s="107" t="str">
        <f>VLOOKUP(M313,[1]character_tribe_i18n!A:C,3,FALSE)</f>
        <v>アニマル</v>
      </c>
      <c r="O313" s="105" t="s">
        <v>278</v>
      </c>
      <c r="P313" s="107" t="str">
        <f>VLOOKUP(O313,[1]character_tribe_i18n!A:C,3,FALSE)</f>
        <v>種族なし</v>
      </c>
      <c r="Q313" s="117" t="s">
        <v>654</v>
      </c>
      <c r="R313" s="111">
        <v>3</v>
      </c>
      <c r="S313" s="108" t="s">
        <v>280</v>
      </c>
      <c r="T313" s="108" t="s">
        <v>281</v>
      </c>
      <c r="U313" s="108" t="s">
        <v>280</v>
      </c>
      <c r="V313" s="108" t="s">
        <v>280</v>
      </c>
      <c r="W313" s="108" t="s">
        <v>280</v>
      </c>
    </row>
    <row r="314" spans="1:23" ht="21" customHeight="1" x14ac:dyDescent="0.15">
      <c r="A314" s="104">
        <f t="shared" si="4"/>
        <v>313</v>
      </c>
      <c r="B314" s="105" t="s">
        <v>268</v>
      </c>
      <c r="C314" s="114" t="s">
        <v>986</v>
      </c>
      <c r="D314" s="107" t="s">
        <v>978</v>
      </c>
      <c r="E314" s="108" t="s">
        <v>643</v>
      </c>
      <c r="F314" s="108" t="s">
        <v>907</v>
      </c>
      <c r="G314" s="108" t="s">
        <v>861</v>
      </c>
      <c r="H314" s="120" t="s">
        <v>300</v>
      </c>
      <c r="I314" s="109">
        <v>5</v>
      </c>
      <c r="J314" s="109" t="s">
        <v>516</v>
      </c>
      <c r="K314" s="105" t="s">
        <v>286</v>
      </c>
      <c r="L314" s="107" t="str">
        <f ca="1">VLOOKUP($K314,OFFSET([1]character_type_i18n!$A$1,0,0,COUNTA([1]character_type_i18n!$A:$A),MATCH(L$1,[1]character_type_i18n!$1:$1,0)-MATCH($K$1,[1]character_type_i18n!$1:$1,0)+1),MATCH(L$1,[1]character_type_i18n!$1:$1,0)-MATCH($K$1,[1]character_type_i18n!$1:$1,0)+1,FALSE)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14" s="105" t="s">
        <v>318</v>
      </c>
      <c r="N314" s="107" t="str">
        <f>VLOOKUP(M314,[1]character_tribe_i18n!A:C,3,FALSE)</f>
        <v>アニマル</v>
      </c>
      <c r="O314" s="105" t="s">
        <v>278</v>
      </c>
      <c r="P314" s="107" t="str">
        <f>VLOOKUP(O314,[1]character_tribe_i18n!A:C,3,FALSE)</f>
        <v>種族なし</v>
      </c>
      <c r="Q314" s="117" t="s">
        <v>654</v>
      </c>
      <c r="R314" s="111">
        <v>3</v>
      </c>
      <c r="S314" s="108" t="s">
        <v>280</v>
      </c>
      <c r="T314" s="108" t="s">
        <v>281</v>
      </c>
      <c r="U314" s="108" t="s">
        <v>280</v>
      </c>
      <c r="V314" s="108" t="s">
        <v>280</v>
      </c>
      <c r="W314" s="108" t="s">
        <v>280</v>
      </c>
    </row>
    <row r="315" spans="1:23" ht="21" customHeight="1" x14ac:dyDescent="0.15">
      <c r="A315" s="104">
        <f t="shared" si="4"/>
        <v>314</v>
      </c>
      <c r="B315" s="105" t="s">
        <v>268</v>
      </c>
      <c r="C315" s="106" t="s">
        <v>987</v>
      </c>
      <c r="D315" s="107" t="s">
        <v>917</v>
      </c>
      <c r="E315" s="108" t="s">
        <v>988</v>
      </c>
      <c r="F315" s="108" t="s">
        <v>966</v>
      </c>
      <c r="G315" s="108" t="s">
        <v>861</v>
      </c>
      <c r="H315" s="120" t="s">
        <v>768</v>
      </c>
      <c r="I315" s="109">
        <v>4</v>
      </c>
      <c r="J315" s="109" t="s">
        <v>921</v>
      </c>
      <c r="K315" s="105" t="s">
        <v>989</v>
      </c>
      <c r="L315" s="107" t="str">
        <f ca="1">VLOOKUP($K315,OFFSET([1]character_type_i18n!$A$1,0,0,COUNTA([1]character_type_i18n!$A:$A),MATCH(L$1,[1]character_type_i18n!$1:$1,0)-MATCH($K$1,[1]character_type_i18n!$1:$1,0)+1),MATCH(L$1,[1]character_type_i18n!$1:$1,0)-MATCH($K$1,[1]character_type_i18n!$1:$1,0)+1,FALSE)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5" s="105" t="s">
        <v>332</v>
      </c>
      <c r="N315" s="107" t="str">
        <f>VLOOKUP(M315,[1]character_tribe_i18n!A:C,3,FALSE)</f>
        <v>ヒューマン</v>
      </c>
      <c r="O315" s="105" t="s">
        <v>278</v>
      </c>
      <c r="P315" s="107" t="str">
        <f>VLOOKUP(O315,[1]character_tribe_i18n!A:C,3,FALSE)</f>
        <v>種族なし</v>
      </c>
      <c r="Q315" s="117"/>
      <c r="R315" s="111">
        <v>3</v>
      </c>
      <c r="S315" s="108" t="s">
        <v>280</v>
      </c>
      <c r="T315" s="108" t="s">
        <v>281</v>
      </c>
      <c r="U315" s="108" t="s">
        <v>280</v>
      </c>
      <c r="V315" s="108" t="s">
        <v>280</v>
      </c>
      <c r="W315" s="108" t="s">
        <v>280</v>
      </c>
    </row>
    <row r="316" spans="1:23" ht="21" customHeight="1" x14ac:dyDescent="0.15">
      <c r="A316" s="104">
        <f t="shared" si="4"/>
        <v>315</v>
      </c>
      <c r="B316" s="105" t="s">
        <v>268</v>
      </c>
      <c r="C316" s="106" t="s">
        <v>990</v>
      </c>
      <c r="D316" s="107" t="s">
        <v>917</v>
      </c>
      <c r="E316" s="108" t="s">
        <v>988</v>
      </c>
      <c r="F316" s="108" t="s">
        <v>966</v>
      </c>
      <c r="G316" s="108" t="s">
        <v>861</v>
      </c>
      <c r="H316" s="120" t="s">
        <v>768</v>
      </c>
      <c r="I316" s="109">
        <v>5</v>
      </c>
      <c r="J316" s="109" t="s">
        <v>921</v>
      </c>
      <c r="K316" s="105" t="s">
        <v>989</v>
      </c>
      <c r="L316" s="107" t="str">
        <f ca="1">VLOOKUP($K316,OFFSET([1]character_type_i18n!$A$1,0,0,COUNTA([1]character_type_i18n!$A:$A),MATCH(L$1,[1]character_type_i18n!$1:$1,0)-MATCH($K$1,[1]character_type_i18n!$1:$1,0)+1),MATCH(L$1,[1]character_type_i18n!$1:$1,0)-MATCH($K$1,[1]character_type_i18n!$1:$1,0)+1,FALSE)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6" s="105" t="s">
        <v>332</v>
      </c>
      <c r="N316" s="107" t="str">
        <f>VLOOKUP(M316,[1]character_tribe_i18n!A:C,3,FALSE)</f>
        <v>ヒューマン</v>
      </c>
      <c r="O316" s="105" t="s">
        <v>278</v>
      </c>
      <c r="P316" s="107" t="str">
        <f>VLOOKUP(O316,[1]character_tribe_i18n!A:C,3,FALSE)</f>
        <v>種族なし</v>
      </c>
      <c r="Q316" s="117"/>
      <c r="R316" s="111">
        <v>3</v>
      </c>
      <c r="S316" s="108" t="s">
        <v>280</v>
      </c>
      <c r="T316" s="108" t="s">
        <v>281</v>
      </c>
      <c r="U316" s="108" t="s">
        <v>280</v>
      </c>
      <c r="V316" s="108" t="s">
        <v>280</v>
      </c>
      <c r="W316" s="108" t="s">
        <v>280</v>
      </c>
    </row>
    <row r="317" spans="1:23" ht="21" customHeight="1" x14ac:dyDescent="0.15">
      <c r="A317" s="104">
        <f t="shared" si="4"/>
        <v>316</v>
      </c>
      <c r="B317" s="105" t="s">
        <v>268</v>
      </c>
      <c r="C317" s="106" t="s">
        <v>991</v>
      </c>
      <c r="D317" s="107" t="s">
        <v>992</v>
      </c>
      <c r="E317" s="108" t="s">
        <v>988</v>
      </c>
      <c r="F317" s="108" t="s">
        <v>907</v>
      </c>
      <c r="G317" s="108" t="s">
        <v>861</v>
      </c>
      <c r="H317" s="120" t="s">
        <v>300</v>
      </c>
      <c r="I317" s="109">
        <v>4</v>
      </c>
      <c r="J317" s="109" t="s">
        <v>993</v>
      </c>
      <c r="K317" s="122" t="s">
        <v>286</v>
      </c>
      <c r="L317" s="107" t="str">
        <f ca="1">VLOOKUP($K317,OFFSET([1]character_type_i18n!$A$1,0,0,COUNTA([1]character_type_i18n!$A:$A),MATCH(L$1,[1]character_type_i18n!$1:$1,0)-MATCH($K$1,[1]character_type_i18n!$1:$1,0)+1),MATCH(L$1,[1]character_type_i18n!$1:$1,0)-MATCH($K$1,[1]character_type_i18n!$1:$1,0)+1,FALSE)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17" s="105" t="s">
        <v>332</v>
      </c>
      <c r="N317" s="107" t="str">
        <f>VLOOKUP(M317,[1]character_tribe_i18n!A:C,3,FALSE)</f>
        <v>ヒューマン</v>
      </c>
      <c r="O317" s="105" t="s">
        <v>278</v>
      </c>
      <c r="P317" s="107" t="str">
        <f>VLOOKUP(O317,[1]character_tribe_i18n!A:C,3,FALSE)</f>
        <v>種族なし</v>
      </c>
      <c r="Q317" s="117"/>
      <c r="R317" s="111">
        <v>3</v>
      </c>
      <c r="S317" s="108" t="s">
        <v>280</v>
      </c>
      <c r="T317" s="108" t="s">
        <v>281</v>
      </c>
      <c r="U317" s="108" t="s">
        <v>280</v>
      </c>
      <c r="V317" s="108" t="s">
        <v>280</v>
      </c>
      <c r="W317" s="108" t="s">
        <v>280</v>
      </c>
    </row>
    <row r="318" spans="1:23" ht="21" customHeight="1" x14ac:dyDescent="0.15">
      <c r="A318" s="104">
        <f t="shared" si="4"/>
        <v>317</v>
      </c>
      <c r="B318" s="105" t="s">
        <v>268</v>
      </c>
      <c r="C318" s="106" t="s">
        <v>994</v>
      </c>
      <c r="D318" s="107" t="s">
        <v>995</v>
      </c>
      <c r="E318" s="108" t="s">
        <v>988</v>
      </c>
      <c r="F318" s="108" t="s">
        <v>907</v>
      </c>
      <c r="G318" s="108" t="s">
        <v>861</v>
      </c>
      <c r="H318" s="120" t="s">
        <v>300</v>
      </c>
      <c r="I318" s="109">
        <v>5</v>
      </c>
      <c r="J318" s="109" t="s">
        <v>993</v>
      </c>
      <c r="K318" s="122" t="s">
        <v>286</v>
      </c>
      <c r="L318" s="107" t="str">
        <f ca="1">VLOOKUP($K318,OFFSET([1]character_type_i18n!$A$1,0,0,COUNTA([1]character_type_i18n!$A:$A),MATCH(L$1,[1]character_type_i18n!$1:$1,0)-MATCH($K$1,[1]character_type_i18n!$1:$1,0)+1),MATCH(L$1,[1]character_type_i18n!$1:$1,0)-MATCH($K$1,[1]character_type_i18n!$1:$1,0)+1,FALSE)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18" s="105" t="s">
        <v>332</v>
      </c>
      <c r="N318" s="107" t="str">
        <f>VLOOKUP(M318,[1]character_tribe_i18n!A:C,3,FALSE)</f>
        <v>ヒューマン</v>
      </c>
      <c r="O318" s="105" t="s">
        <v>278</v>
      </c>
      <c r="P318" s="107" t="str">
        <f>VLOOKUP(O318,[1]character_tribe_i18n!A:C,3,FALSE)</f>
        <v>種族なし</v>
      </c>
      <c r="Q318" s="117"/>
      <c r="R318" s="111">
        <v>3</v>
      </c>
      <c r="S318" s="108" t="s">
        <v>280</v>
      </c>
      <c r="T318" s="108" t="s">
        <v>281</v>
      </c>
      <c r="U318" s="108" t="s">
        <v>280</v>
      </c>
      <c r="V318" s="108" t="s">
        <v>280</v>
      </c>
      <c r="W318" s="108" t="s">
        <v>280</v>
      </c>
    </row>
    <row r="319" spans="1:23" ht="21" customHeight="1" x14ac:dyDescent="0.15">
      <c r="A319" s="104">
        <f t="shared" si="4"/>
        <v>318</v>
      </c>
      <c r="B319" s="105" t="s">
        <v>268</v>
      </c>
      <c r="C319" s="106" t="s">
        <v>996</v>
      </c>
      <c r="D319" s="107" t="s">
        <v>992</v>
      </c>
      <c r="E319" s="108" t="s">
        <v>988</v>
      </c>
      <c r="F319" s="108" t="s">
        <v>966</v>
      </c>
      <c r="G319" s="108" t="s">
        <v>861</v>
      </c>
      <c r="H319" s="120" t="s">
        <v>768</v>
      </c>
      <c r="I319" s="109">
        <v>4</v>
      </c>
      <c r="J319" s="109" t="s">
        <v>993</v>
      </c>
      <c r="K319" s="105" t="s">
        <v>296</v>
      </c>
      <c r="L319" s="107" t="str">
        <f ca="1">VLOOKUP($K319,OFFSET([1]character_type_i18n!$A$1,0,0,COUNTA([1]character_type_i18n!$A:$A),MATCH(L$1,[1]character_type_i18n!$1:$1,0)-MATCH($K$1,[1]character_type_i18n!$1:$1,0)+1),MATCH(L$1,[1]character_type_i18n!$1:$1,0)-MATCH($K$1,[1]character_type_i18n!$1:$1,0)+1,FALSE)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9" s="105" t="s">
        <v>332</v>
      </c>
      <c r="N319" s="107" t="str">
        <f>VLOOKUP(M319,[1]character_tribe_i18n!A:C,3,FALSE)</f>
        <v>ヒューマン</v>
      </c>
      <c r="O319" s="105" t="s">
        <v>278</v>
      </c>
      <c r="P319" s="107" t="str">
        <f>VLOOKUP(O319,[1]character_tribe_i18n!A:C,3,FALSE)</f>
        <v>種族なし</v>
      </c>
      <c r="Q319" s="117" t="s">
        <v>866</v>
      </c>
      <c r="R319" s="111">
        <v>3</v>
      </c>
      <c r="S319" s="108" t="s">
        <v>280</v>
      </c>
      <c r="T319" s="108" t="s">
        <v>281</v>
      </c>
      <c r="U319" s="108" t="s">
        <v>280</v>
      </c>
      <c r="V319" s="108" t="s">
        <v>280</v>
      </c>
      <c r="W319" s="108" t="s">
        <v>280</v>
      </c>
    </row>
    <row r="320" spans="1:23" ht="21" customHeight="1" x14ac:dyDescent="0.15">
      <c r="A320" s="104">
        <f t="shared" si="4"/>
        <v>319</v>
      </c>
      <c r="B320" s="105" t="s">
        <v>268</v>
      </c>
      <c r="C320" s="106" t="s">
        <v>997</v>
      </c>
      <c r="D320" s="107" t="s">
        <v>992</v>
      </c>
      <c r="E320" s="108" t="s">
        <v>988</v>
      </c>
      <c r="F320" s="108" t="s">
        <v>966</v>
      </c>
      <c r="G320" s="108" t="s">
        <v>861</v>
      </c>
      <c r="H320" s="120" t="s">
        <v>768</v>
      </c>
      <c r="I320" s="109">
        <v>5</v>
      </c>
      <c r="J320" s="109" t="s">
        <v>993</v>
      </c>
      <c r="K320" s="105" t="s">
        <v>296</v>
      </c>
      <c r="L320" s="107" t="str">
        <f ca="1">VLOOKUP($K320,OFFSET([1]character_type_i18n!$A$1,0,0,COUNTA([1]character_type_i18n!$A:$A),MATCH(L$1,[1]character_type_i18n!$1:$1,0)-MATCH($K$1,[1]character_type_i18n!$1:$1,0)+1),MATCH(L$1,[1]character_type_i18n!$1:$1,0)-MATCH($K$1,[1]character_type_i18n!$1:$1,0)+1,FALSE)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20" s="105" t="s">
        <v>332</v>
      </c>
      <c r="N320" s="107" t="str">
        <f>VLOOKUP(M320,[1]character_tribe_i18n!A:C,3,FALSE)</f>
        <v>ヒューマン</v>
      </c>
      <c r="O320" s="105" t="s">
        <v>278</v>
      </c>
      <c r="P320" s="107" t="str">
        <f>VLOOKUP(O320,[1]character_tribe_i18n!A:C,3,FALSE)</f>
        <v>種族なし</v>
      </c>
      <c r="Q320" s="117" t="s">
        <v>866</v>
      </c>
      <c r="R320" s="111">
        <v>3</v>
      </c>
      <c r="S320" s="108" t="s">
        <v>280</v>
      </c>
      <c r="T320" s="108" t="s">
        <v>281</v>
      </c>
      <c r="U320" s="108" t="s">
        <v>280</v>
      </c>
      <c r="V320" s="108" t="s">
        <v>280</v>
      </c>
      <c r="W320" s="108" t="s">
        <v>280</v>
      </c>
    </row>
    <row r="321" spans="1:23" ht="21" customHeight="1" x14ac:dyDescent="0.15">
      <c r="A321" s="104">
        <f t="shared" si="4"/>
        <v>320</v>
      </c>
      <c r="B321" s="105" t="s">
        <v>268</v>
      </c>
      <c r="C321" s="106" t="s">
        <v>998</v>
      </c>
      <c r="D321" s="107" t="s">
        <v>999</v>
      </c>
      <c r="E321" s="108" t="s">
        <v>1000</v>
      </c>
      <c r="F321" s="108" t="s">
        <v>979</v>
      </c>
      <c r="G321" s="108" t="s">
        <v>873</v>
      </c>
      <c r="H321" s="120" t="s">
        <v>274</v>
      </c>
      <c r="I321" s="109">
        <v>4</v>
      </c>
      <c r="J321" s="109" t="s">
        <v>1001</v>
      </c>
      <c r="K321" s="105" t="s">
        <v>967</v>
      </c>
      <c r="L321" s="107" t="str">
        <f ca="1">VLOOKUP($K321,OFFSET([1]character_type_i18n!$A$1,0,0,COUNTA([1]character_type_i18n!$A:$A),MATCH(L$1,[1]character_type_i18n!$1:$1,0)-MATCH($K$1,[1]character_type_i18n!$1:$1,0)+1),MATCH(L$1,[1]character_type_i18n!$1:$1,0)-MATCH($K$1,[1]character_type_i18n!$1:$1,0)+1,FALSE)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21" s="105" t="s">
        <v>332</v>
      </c>
      <c r="N321" s="107" t="str">
        <f>VLOOKUP(M321,[1]character_tribe_i18n!A:C,3,FALSE)</f>
        <v>ヒューマン</v>
      </c>
      <c r="O321" s="105" t="s">
        <v>278</v>
      </c>
      <c r="P321" s="107" t="str">
        <f>VLOOKUP(O321,[1]character_tribe_i18n!A:C,3,FALSE)</f>
        <v>種族なし</v>
      </c>
      <c r="Q321" s="117"/>
      <c r="R321" s="111">
        <v>3</v>
      </c>
      <c r="S321" s="108" t="s">
        <v>280</v>
      </c>
      <c r="T321" s="108" t="s">
        <v>281</v>
      </c>
      <c r="U321" s="108" t="s">
        <v>280</v>
      </c>
      <c r="V321" s="108" t="s">
        <v>280</v>
      </c>
      <c r="W321" s="108" t="s">
        <v>280</v>
      </c>
    </row>
    <row r="322" spans="1:23" ht="21" customHeight="1" x14ac:dyDescent="0.15">
      <c r="A322" s="104">
        <f t="shared" si="4"/>
        <v>321</v>
      </c>
      <c r="B322" s="105" t="s">
        <v>268</v>
      </c>
      <c r="C322" s="106" t="s">
        <v>1002</v>
      </c>
      <c r="D322" s="107" t="s">
        <v>999</v>
      </c>
      <c r="E322" s="108" t="s">
        <v>1000</v>
      </c>
      <c r="F322" s="108" t="s">
        <v>979</v>
      </c>
      <c r="G322" s="108" t="s">
        <v>873</v>
      </c>
      <c r="H322" s="120" t="s">
        <v>274</v>
      </c>
      <c r="I322" s="109">
        <v>5</v>
      </c>
      <c r="J322" s="109" t="s">
        <v>1001</v>
      </c>
      <c r="K322" s="105" t="s">
        <v>1003</v>
      </c>
      <c r="L322" s="107" t="str">
        <f ca="1">VLOOKUP($K322,OFFSET([1]character_type_i18n!$A$1,0,0,COUNTA([1]character_type_i18n!$A:$A),MATCH(L$1,[1]character_type_i18n!$1:$1,0)-MATCH($K$1,[1]character_type_i18n!$1:$1,0)+1),MATCH(L$1,[1]character_type_i18n!$1:$1,0)-MATCH($K$1,[1]character_type_i18n!$1:$1,0)+1,FALSE)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22" s="105" t="s">
        <v>332</v>
      </c>
      <c r="N322" s="107" t="str">
        <f>VLOOKUP(M322,[1]character_tribe_i18n!A:C,3,FALSE)</f>
        <v>ヒューマン</v>
      </c>
      <c r="O322" s="105" t="s">
        <v>278</v>
      </c>
      <c r="P322" s="107" t="str">
        <f>VLOOKUP(O322,[1]character_tribe_i18n!A:C,3,FALSE)</f>
        <v>種族なし</v>
      </c>
      <c r="Q322" s="117"/>
      <c r="R322" s="111">
        <v>3</v>
      </c>
      <c r="S322" s="108" t="s">
        <v>280</v>
      </c>
      <c r="T322" s="108" t="s">
        <v>281</v>
      </c>
      <c r="U322" s="108" t="s">
        <v>280</v>
      </c>
      <c r="V322" s="108" t="s">
        <v>280</v>
      </c>
      <c r="W322" s="108" t="s">
        <v>280</v>
      </c>
    </row>
    <row r="323" spans="1:23" ht="21" customHeight="1" x14ac:dyDescent="0.15">
      <c r="A323" s="104">
        <f t="shared" ref="A323:A386" si="5">ROW()-1</f>
        <v>322</v>
      </c>
      <c r="B323" s="105" t="s">
        <v>268</v>
      </c>
      <c r="C323" s="106" t="s">
        <v>1004</v>
      </c>
      <c r="D323" s="107" t="s">
        <v>999</v>
      </c>
      <c r="E323" s="108" t="s">
        <v>1000</v>
      </c>
      <c r="F323" s="108" t="s">
        <v>966</v>
      </c>
      <c r="G323" s="108" t="s">
        <v>861</v>
      </c>
      <c r="H323" s="120" t="s">
        <v>285</v>
      </c>
      <c r="I323" s="109">
        <v>4</v>
      </c>
      <c r="J323" s="109" t="s">
        <v>1001</v>
      </c>
      <c r="K323" s="105" t="s">
        <v>1005</v>
      </c>
      <c r="L323" s="107" t="str">
        <f ca="1">VLOOKUP($K323,OFFSET([1]character_type_i18n!$A$1,0,0,COUNTA([1]character_type_i18n!$A:$A),MATCH(L$1,[1]character_type_i18n!$1:$1,0)-MATCH($K$1,[1]character_type_i18n!$1:$1,0)+1),MATCH(L$1,[1]character_type_i18n!$1:$1,0)-MATCH($K$1,[1]character_type_i18n!$1:$1,0)+1,FALSE)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23" s="105" t="s">
        <v>332</v>
      </c>
      <c r="N323" s="107" t="str">
        <f>VLOOKUP(M323,[1]character_tribe_i18n!A:C,3,FALSE)</f>
        <v>ヒューマン</v>
      </c>
      <c r="O323" s="105" t="s">
        <v>278</v>
      </c>
      <c r="P323" s="107" t="str">
        <f>VLOOKUP(O323,[1]character_tribe_i18n!A:C,3,FALSE)</f>
        <v>種族なし</v>
      </c>
      <c r="Q323" s="117"/>
      <c r="R323" s="111">
        <v>3</v>
      </c>
      <c r="S323" s="108" t="s">
        <v>280</v>
      </c>
      <c r="T323" s="108" t="s">
        <v>281</v>
      </c>
      <c r="U323" s="108" t="s">
        <v>280</v>
      </c>
      <c r="V323" s="108" t="s">
        <v>280</v>
      </c>
      <c r="W323" s="108" t="s">
        <v>280</v>
      </c>
    </row>
    <row r="324" spans="1:23" ht="21" customHeight="1" x14ac:dyDescent="0.15">
      <c r="A324" s="104">
        <f t="shared" si="5"/>
        <v>323</v>
      </c>
      <c r="B324" s="105" t="s">
        <v>268</v>
      </c>
      <c r="C324" s="106" t="s">
        <v>1006</v>
      </c>
      <c r="D324" s="107" t="s">
        <v>999</v>
      </c>
      <c r="E324" s="108" t="s">
        <v>1000</v>
      </c>
      <c r="F324" s="108" t="s">
        <v>966</v>
      </c>
      <c r="G324" s="108" t="s">
        <v>861</v>
      </c>
      <c r="H324" s="120" t="s">
        <v>285</v>
      </c>
      <c r="I324" s="109">
        <v>5</v>
      </c>
      <c r="J324" s="109" t="s">
        <v>1001</v>
      </c>
      <c r="K324" s="105" t="s">
        <v>1005</v>
      </c>
      <c r="L324" s="107" t="str">
        <f ca="1">VLOOKUP($K324,OFFSET([1]character_type_i18n!$A$1,0,0,COUNTA([1]character_type_i18n!$A:$A),MATCH(L$1,[1]character_type_i18n!$1:$1,0)-MATCH($K$1,[1]character_type_i18n!$1:$1,0)+1),MATCH(L$1,[1]character_type_i18n!$1:$1,0)-MATCH($K$1,[1]character_type_i18n!$1:$1,0)+1,FALSE)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24" s="105" t="s">
        <v>332</v>
      </c>
      <c r="N324" s="107" t="str">
        <f>VLOOKUP(M324,[1]character_tribe_i18n!A:C,3,FALSE)</f>
        <v>ヒューマン</v>
      </c>
      <c r="O324" s="105" t="s">
        <v>278</v>
      </c>
      <c r="P324" s="107" t="str">
        <f>VLOOKUP(O324,[1]character_tribe_i18n!A:C,3,FALSE)</f>
        <v>種族なし</v>
      </c>
      <c r="Q324" s="117"/>
      <c r="R324" s="111">
        <v>3</v>
      </c>
      <c r="S324" s="108" t="s">
        <v>280</v>
      </c>
      <c r="T324" s="108" t="s">
        <v>281</v>
      </c>
      <c r="U324" s="108" t="s">
        <v>280</v>
      </c>
      <c r="V324" s="108" t="s">
        <v>280</v>
      </c>
      <c r="W324" s="108" t="s">
        <v>280</v>
      </c>
    </row>
    <row r="325" spans="1:23" ht="21" customHeight="1" x14ac:dyDescent="0.15">
      <c r="A325" s="104">
        <f t="shared" si="5"/>
        <v>324</v>
      </c>
      <c r="B325" s="105" t="s">
        <v>268</v>
      </c>
      <c r="C325" s="106" t="s">
        <v>1007</v>
      </c>
      <c r="D325" s="107" t="s">
        <v>999</v>
      </c>
      <c r="E325" s="108" t="s">
        <v>1000</v>
      </c>
      <c r="F325" s="108" t="s">
        <v>907</v>
      </c>
      <c r="G325" s="108" t="s">
        <v>861</v>
      </c>
      <c r="H325" s="120" t="s">
        <v>295</v>
      </c>
      <c r="I325" s="109">
        <v>4</v>
      </c>
      <c r="J325" s="109" t="s">
        <v>1001</v>
      </c>
      <c r="K325" s="122" t="s">
        <v>1008</v>
      </c>
      <c r="L325" s="107" t="str">
        <f ca="1">VLOOKUP($K325,OFFSET([1]character_type_i18n!$A$1,0,0,COUNTA([1]character_type_i18n!$A:$A),MATCH(L$1,[1]character_type_i18n!$1:$1,0)-MATCH($K$1,[1]character_type_i18n!$1:$1,0)+1),MATCH(L$1,[1]character_type_i18n!$1:$1,0)-MATCH($K$1,[1]character_type_i18n!$1:$1,0)+1,FALSE)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25" s="105" t="s">
        <v>332</v>
      </c>
      <c r="N325" s="107" t="str">
        <f>VLOOKUP(M325,[1]character_tribe_i18n!A:C,3,FALSE)</f>
        <v>ヒューマン</v>
      </c>
      <c r="O325" s="105" t="s">
        <v>278</v>
      </c>
      <c r="P325" s="107" t="str">
        <f>VLOOKUP(O325,[1]character_tribe_i18n!A:C,3,FALSE)</f>
        <v>種族なし</v>
      </c>
      <c r="Q325" s="121" t="s">
        <v>707</v>
      </c>
      <c r="R325" s="111">
        <v>3</v>
      </c>
      <c r="S325" s="108" t="s">
        <v>280</v>
      </c>
      <c r="T325" s="108" t="s">
        <v>281</v>
      </c>
      <c r="U325" s="108" t="s">
        <v>280</v>
      </c>
      <c r="V325" s="108" t="s">
        <v>280</v>
      </c>
      <c r="W325" s="108" t="s">
        <v>280</v>
      </c>
    </row>
    <row r="326" spans="1:23" ht="21" customHeight="1" x14ac:dyDescent="0.15">
      <c r="A326" s="104">
        <f t="shared" si="5"/>
        <v>325</v>
      </c>
      <c r="B326" s="105" t="s">
        <v>268</v>
      </c>
      <c r="C326" s="106" t="s">
        <v>1009</v>
      </c>
      <c r="D326" s="107" t="s">
        <v>999</v>
      </c>
      <c r="E326" s="108" t="s">
        <v>1000</v>
      </c>
      <c r="F326" s="108" t="s">
        <v>907</v>
      </c>
      <c r="G326" s="108" t="s">
        <v>861</v>
      </c>
      <c r="H326" s="120" t="s">
        <v>295</v>
      </c>
      <c r="I326" s="109">
        <v>5</v>
      </c>
      <c r="J326" s="109" t="s">
        <v>1001</v>
      </c>
      <c r="K326" s="122" t="s">
        <v>1008</v>
      </c>
      <c r="L326" s="107" t="str">
        <f ca="1">VLOOKUP($K326,OFFSET([1]character_type_i18n!$A$1,0,0,COUNTA([1]character_type_i18n!$A:$A),MATCH(L$1,[1]character_type_i18n!$1:$1,0)-MATCH($K$1,[1]character_type_i18n!$1:$1,0)+1),MATCH(L$1,[1]character_type_i18n!$1:$1,0)-MATCH($K$1,[1]character_type_i18n!$1:$1,0)+1,FALSE)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26" s="105" t="s">
        <v>332</v>
      </c>
      <c r="N326" s="107" t="str">
        <f>VLOOKUP(M326,[1]character_tribe_i18n!A:C,3,FALSE)</f>
        <v>ヒューマン</v>
      </c>
      <c r="O326" s="105" t="s">
        <v>278</v>
      </c>
      <c r="P326" s="107" t="str">
        <f>VLOOKUP(O326,[1]character_tribe_i18n!A:C,3,FALSE)</f>
        <v>種族なし</v>
      </c>
      <c r="Q326" s="121" t="s">
        <v>707</v>
      </c>
      <c r="R326" s="111">
        <v>3</v>
      </c>
      <c r="S326" s="108" t="s">
        <v>280</v>
      </c>
      <c r="T326" s="108" t="s">
        <v>281</v>
      </c>
      <c r="U326" s="108" t="s">
        <v>280</v>
      </c>
      <c r="V326" s="108" t="s">
        <v>280</v>
      </c>
      <c r="W326" s="108" t="s">
        <v>280</v>
      </c>
    </row>
    <row r="327" spans="1:23" ht="21" customHeight="1" x14ac:dyDescent="0.15">
      <c r="A327" s="104">
        <f t="shared" si="5"/>
        <v>326</v>
      </c>
      <c r="B327" s="105" t="s">
        <v>268</v>
      </c>
      <c r="C327" s="106" t="s">
        <v>1010</v>
      </c>
      <c r="D327" s="107" t="s">
        <v>999</v>
      </c>
      <c r="E327" s="108" t="s">
        <v>1000</v>
      </c>
      <c r="F327" s="108" t="s">
        <v>966</v>
      </c>
      <c r="G327" s="108" t="s">
        <v>861</v>
      </c>
      <c r="H327" s="120" t="s">
        <v>300</v>
      </c>
      <c r="I327" s="109">
        <v>4</v>
      </c>
      <c r="J327" s="109" t="s">
        <v>1001</v>
      </c>
      <c r="K327" s="105" t="s">
        <v>377</v>
      </c>
      <c r="L327" s="107" t="str">
        <f ca="1">VLOOKUP($K327,OFFSET([1]character_type_i18n!$A$1,0,0,COUNTA([1]character_type_i18n!$A:$A),MATCH(L$1,[1]character_type_i18n!$1:$1,0)-MATCH($K$1,[1]character_type_i18n!$1:$1,0)+1),MATCH(L$1,[1]character_type_i18n!$1:$1,0)-MATCH($K$1,[1]character_type_i18n!$1:$1,0)+1,FALSE)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27" s="105" t="s">
        <v>1011</v>
      </c>
      <c r="N327" s="107" t="str">
        <f>VLOOKUP(M327,[1]character_tribe_i18n!A:C,3,FALSE)</f>
        <v>ヒューマン</v>
      </c>
      <c r="O327" s="105" t="s">
        <v>278</v>
      </c>
      <c r="P327" s="107" t="str">
        <f>VLOOKUP(O327,[1]character_tribe_i18n!A:C,3,FALSE)</f>
        <v>種族なし</v>
      </c>
      <c r="Q327" s="117"/>
      <c r="R327" s="111">
        <v>3</v>
      </c>
      <c r="S327" s="108" t="s">
        <v>280</v>
      </c>
      <c r="T327" s="108" t="s">
        <v>281</v>
      </c>
      <c r="U327" s="108" t="s">
        <v>280</v>
      </c>
      <c r="V327" s="108" t="s">
        <v>280</v>
      </c>
      <c r="W327" s="108" t="s">
        <v>280</v>
      </c>
    </row>
    <row r="328" spans="1:23" ht="21" customHeight="1" x14ac:dyDescent="0.15">
      <c r="A328" s="104">
        <f t="shared" si="5"/>
        <v>327</v>
      </c>
      <c r="B328" s="105" t="s">
        <v>268</v>
      </c>
      <c r="C328" s="106" t="s">
        <v>1012</v>
      </c>
      <c r="D328" s="107" t="s">
        <v>999</v>
      </c>
      <c r="E328" s="108" t="s">
        <v>1000</v>
      </c>
      <c r="F328" s="108" t="s">
        <v>966</v>
      </c>
      <c r="G328" s="108" t="s">
        <v>861</v>
      </c>
      <c r="H328" s="120" t="s">
        <v>300</v>
      </c>
      <c r="I328" s="109">
        <v>5</v>
      </c>
      <c r="J328" s="109" t="s">
        <v>1001</v>
      </c>
      <c r="K328" s="105" t="s">
        <v>377</v>
      </c>
      <c r="L328" s="107" t="str">
        <f ca="1">VLOOKUP($K328,OFFSET([1]character_type_i18n!$A$1,0,0,COUNTA([1]character_type_i18n!$A:$A),MATCH(L$1,[1]character_type_i18n!$1:$1,0)-MATCH($K$1,[1]character_type_i18n!$1:$1,0)+1),MATCH(L$1,[1]character_type_i18n!$1:$1,0)-MATCH($K$1,[1]character_type_i18n!$1:$1,0)+1,FALSE)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28" s="105" t="s">
        <v>332</v>
      </c>
      <c r="N328" s="107" t="str">
        <f>VLOOKUP(M328,[1]character_tribe_i18n!A:C,3,FALSE)</f>
        <v>ヒューマン</v>
      </c>
      <c r="O328" s="105" t="s">
        <v>278</v>
      </c>
      <c r="P328" s="107" t="str">
        <f>VLOOKUP(O328,[1]character_tribe_i18n!A:C,3,FALSE)</f>
        <v>種族なし</v>
      </c>
      <c r="Q328" s="117"/>
      <c r="R328" s="111">
        <v>3</v>
      </c>
      <c r="S328" s="108" t="s">
        <v>280</v>
      </c>
      <c r="T328" s="108" t="s">
        <v>281</v>
      </c>
      <c r="U328" s="108" t="s">
        <v>280</v>
      </c>
      <c r="V328" s="108" t="s">
        <v>280</v>
      </c>
      <c r="W328" s="108" t="s">
        <v>280</v>
      </c>
    </row>
    <row r="329" spans="1:23" ht="21" customHeight="1" x14ac:dyDescent="0.15">
      <c r="A329" s="104">
        <f t="shared" si="5"/>
        <v>328</v>
      </c>
      <c r="B329" s="105" t="s">
        <v>268</v>
      </c>
      <c r="C329" s="106" t="s">
        <v>1013</v>
      </c>
      <c r="D329" s="107" t="s">
        <v>1014</v>
      </c>
      <c r="E329" s="108"/>
      <c r="F329" s="108"/>
      <c r="G329" s="108"/>
      <c r="H329" s="120" t="s">
        <v>300</v>
      </c>
      <c r="I329" s="109">
        <v>4</v>
      </c>
      <c r="J329" s="109" t="s">
        <v>805</v>
      </c>
      <c r="K329" s="105" t="s">
        <v>278</v>
      </c>
      <c r="L329" s="107" t="str">
        <f ca="1">VLOOKUP($K329,OFFSET([1]character_type_i18n!$A$1,0,0,COUNTA([1]character_type_i18n!$A:$A),MATCH(L$1,[1]character_type_i18n!$1:$1,0)-MATCH($K$1,[1]character_type_i18n!$1:$1,0)+1),MATCH(L$1,[1]character_type_i18n!$1:$1,0)-MATCH($K$1,[1]character_type_i18n!$1:$1,0)+1,FALSE)</f>
        <v>タイプなし</v>
      </c>
      <c r="M329" s="105" t="s">
        <v>332</v>
      </c>
      <c r="N329" s="107" t="str">
        <f>VLOOKUP(M329,[1]character_tribe_i18n!A:C,3,FALSE)</f>
        <v>ヒューマン</v>
      </c>
      <c r="O329" s="105" t="s">
        <v>278</v>
      </c>
      <c r="P329" s="107" t="str">
        <f>VLOOKUP(O329,[1]character_tribe_i18n!A:C,3,FALSE)</f>
        <v>種族なし</v>
      </c>
      <c r="Q329" s="117"/>
      <c r="R329" s="111">
        <v>3</v>
      </c>
      <c r="S329" s="108" t="s">
        <v>280</v>
      </c>
      <c r="T329" s="108" t="s">
        <v>281</v>
      </c>
      <c r="U329" s="108" t="s">
        <v>280</v>
      </c>
      <c r="V329" s="108" t="s">
        <v>280</v>
      </c>
      <c r="W329" s="108" t="s">
        <v>280</v>
      </c>
    </row>
    <row r="330" spans="1:23" ht="21" customHeight="1" x14ac:dyDescent="0.15">
      <c r="A330" s="104">
        <f t="shared" si="5"/>
        <v>329</v>
      </c>
      <c r="B330" s="105" t="s">
        <v>268</v>
      </c>
      <c r="C330" s="106" t="s">
        <v>1013</v>
      </c>
      <c r="D330" s="107" t="s">
        <v>1014</v>
      </c>
      <c r="E330" s="108"/>
      <c r="F330" s="108"/>
      <c r="G330" s="108"/>
      <c r="H330" s="120" t="s">
        <v>300</v>
      </c>
      <c r="I330" s="109">
        <v>5</v>
      </c>
      <c r="J330" s="109" t="s">
        <v>805</v>
      </c>
      <c r="K330" s="105" t="s">
        <v>278</v>
      </c>
      <c r="L330" s="107" t="str">
        <f ca="1">VLOOKUP($K330,OFFSET([1]character_type_i18n!$A$1,0,0,COUNTA([1]character_type_i18n!$A:$A),MATCH(L$1,[1]character_type_i18n!$1:$1,0)-MATCH($K$1,[1]character_type_i18n!$1:$1,0)+1),MATCH(L$1,[1]character_type_i18n!$1:$1,0)-MATCH($K$1,[1]character_type_i18n!$1:$1,0)+1,FALSE)</f>
        <v>タイプなし</v>
      </c>
      <c r="M330" s="105" t="s">
        <v>332</v>
      </c>
      <c r="N330" s="107" t="str">
        <f>VLOOKUP(M330,[1]character_tribe_i18n!A:C,3,FALSE)</f>
        <v>ヒューマン</v>
      </c>
      <c r="O330" s="105" t="s">
        <v>278</v>
      </c>
      <c r="P330" s="107" t="str">
        <f>VLOOKUP(O330,[1]character_tribe_i18n!A:C,3,FALSE)</f>
        <v>種族なし</v>
      </c>
      <c r="Q330" s="117"/>
      <c r="R330" s="111">
        <v>1</v>
      </c>
      <c r="S330" s="108" t="s">
        <v>280</v>
      </c>
      <c r="T330" s="108" t="s">
        <v>281</v>
      </c>
      <c r="U330" s="108" t="s">
        <v>280</v>
      </c>
      <c r="V330" s="108" t="s">
        <v>280</v>
      </c>
      <c r="W330" s="108" t="s">
        <v>280</v>
      </c>
    </row>
    <row r="331" spans="1:23" ht="21" customHeight="1" x14ac:dyDescent="0.15">
      <c r="A331" s="104">
        <f t="shared" si="5"/>
        <v>330</v>
      </c>
      <c r="B331" s="105" t="s">
        <v>268</v>
      </c>
      <c r="C331" s="106" t="s">
        <v>1015</v>
      </c>
      <c r="D331" s="107" t="s">
        <v>1014</v>
      </c>
      <c r="E331" s="108"/>
      <c r="F331" s="108"/>
      <c r="G331" s="108"/>
      <c r="H331" s="120" t="s">
        <v>768</v>
      </c>
      <c r="I331" s="109">
        <v>4</v>
      </c>
      <c r="J331" s="109" t="s">
        <v>1016</v>
      </c>
      <c r="K331" s="105" t="s">
        <v>1008</v>
      </c>
      <c r="L331" s="107" t="str">
        <f ca="1">VLOOKUP($K331,OFFSET([1]character_type_i18n!$A$1,0,0,COUNTA([1]character_type_i18n!$A:$A),MATCH(L$1,[1]character_type_i18n!$1:$1,0)-MATCH($K$1,[1]character_type_i18n!$1:$1,0)+1),MATCH(L$1,[1]character_type_i18n!$1:$1,0)-MATCH($K$1,[1]character_type_i18n!$1:$1,0)+1,FALSE)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31" s="105" t="s">
        <v>1017</v>
      </c>
      <c r="N331" s="107" t="str">
        <f>VLOOKUP(M331,[1]character_tribe_i18n!A:C,3,FALSE)</f>
        <v>マシン</v>
      </c>
      <c r="O331" s="105" t="s">
        <v>1018</v>
      </c>
      <c r="P331" s="107" t="str">
        <f>VLOOKUP(O331,[1]character_tribe_i18n!A:C,3,FALSE)</f>
        <v>ゴッド</v>
      </c>
      <c r="Q331" s="117"/>
      <c r="R331" s="111">
        <v>3</v>
      </c>
      <c r="S331" s="108" t="s">
        <v>280</v>
      </c>
      <c r="T331" s="108" t="s">
        <v>281</v>
      </c>
      <c r="U331" s="108" t="s">
        <v>280</v>
      </c>
      <c r="V331" s="108" t="s">
        <v>280</v>
      </c>
      <c r="W331" s="108" t="s">
        <v>280</v>
      </c>
    </row>
    <row r="332" spans="1:23" ht="21" customHeight="1" x14ac:dyDescent="0.15">
      <c r="A332" s="104">
        <f t="shared" si="5"/>
        <v>331</v>
      </c>
      <c r="B332" s="105" t="s">
        <v>268</v>
      </c>
      <c r="C332" s="106" t="s">
        <v>1019</v>
      </c>
      <c r="D332" s="107" t="s">
        <v>1014</v>
      </c>
      <c r="E332" s="108"/>
      <c r="F332" s="108"/>
      <c r="G332" s="108"/>
      <c r="H332" s="120" t="s">
        <v>1020</v>
      </c>
      <c r="I332" s="109">
        <v>5</v>
      </c>
      <c r="J332" s="109" t="s">
        <v>1021</v>
      </c>
      <c r="K332" s="105" t="s">
        <v>278</v>
      </c>
      <c r="L332" s="107" t="str">
        <f ca="1">VLOOKUP($K332,OFFSET([1]character_type_i18n!$A$1,0,0,COUNTA([1]character_type_i18n!$A:$A),MATCH(L$1,[1]character_type_i18n!$1:$1,0)-MATCH($K$1,[1]character_type_i18n!$1:$1,0)+1),MATCH(L$1,[1]character_type_i18n!$1:$1,0)-MATCH($K$1,[1]character_type_i18n!$1:$1,0)+1,FALSE)</f>
        <v>タイプなし</v>
      </c>
      <c r="M332" s="105" t="s">
        <v>277</v>
      </c>
      <c r="N332" s="107" t="str">
        <f>VLOOKUP(M332,[1]character_tribe_i18n!A:C,3,FALSE)</f>
        <v>Unknown</v>
      </c>
      <c r="O332" s="105" t="s">
        <v>278</v>
      </c>
      <c r="P332" s="107" t="str">
        <f>VLOOKUP(O332,[1]character_tribe_i18n!A:C,3,FALSE)</f>
        <v>種族なし</v>
      </c>
      <c r="Q332" s="117"/>
      <c r="R332" s="111">
        <v>3</v>
      </c>
      <c r="S332" s="108" t="s">
        <v>280</v>
      </c>
      <c r="T332" s="108" t="s">
        <v>281</v>
      </c>
      <c r="U332" s="108" t="s">
        <v>280</v>
      </c>
      <c r="V332" s="108" t="s">
        <v>280</v>
      </c>
      <c r="W332" s="108" t="s">
        <v>280</v>
      </c>
    </row>
    <row r="333" spans="1:23" ht="21" customHeight="1" x14ac:dyDescent="0.15">
      <c r="A333" s="104">
        <f t="shared" si="5"/>
        <v>332</v>
      </c>
      <c r="B333" s="105" t="s">
        <v>268</v>
      </c>
      <c r="C333" s="106" t="s">
        <v>1022</v>
      </c>
      <c r="D333" s="107" t="s">
        <v>1023</v>
      </c>
      <c r="E333" s="108" t="s">
        <v>554</v>
      </c>
      <c r="F333" s="108" t="s">
        <v>272</v>
      </c>
      <c r="G333" s="108" t="s">
        <v>273</v>
      </c>
      <c r="H333" s="120" t="s">
        <v>274</v>
      </c>
      <c r="I333" s="109">
        <v>3</v>
      </c>
      <c r="J333" s="109" t="s">
        <v>537</v>
      </c>
      <c r="K333" s="105" t="s">
        <v>538</v>
      </c>
      <c r="L333" s="107" t="str">
        <f ca="1">VLOOKUP($K333,OFFSET([1]character_type_i18n!$A$1,0,0,COUNTA([1]character_type_i18n!$A:$A),MATCH(L$1,[1]character_type_i18n!$1:$1,0)-MATCH($K$1,[1]character_type_i18n!$1:$1,0)+1),MATCH(L$1,[1]character_type_i18n!$1:$1,0)-MATCH($K$1,[1]character_type_i18n!$1:$1,0)+1,FALSE)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3" s="105" t="s">
        <v>277</v>
      </c>
      <c r="N333" s="107" t="str">
        <f>VLOOKUP(M333,[1]character_tribe_i18n!A:C,3,FALSE)</f>
        <v>Unknown</v>
      </c>
      <c r="O333" s="105" t="s">
        <v>278</v>
      </c>
      <c r="P333" s="107" t="str">
        <f>VLOOKUP(O333,[1]character_tribe_i18n!A:C,3,FALSE)</f>
        <v>種族なし</v>
      </c>
      <c r="Q333" s="110" t="s">
        <v>1024</v>
      </c>
      <c r="R333" s="111">
        <v>3</v>
      </c>
      <c r="S333" s="108" t="s">
        <v>280</v>
      </c>
      <c r="T333" s="108" t="s">
        <v>281</v>
      </c>
      <c r="U333" s="108" t="s">
        <v>280</v>
      </c>
      <c r="V333" s="108" t="s">
        <v>280</v>
      </c>
      <c r="W333" s="108" t="s">
        <v>280</v>
      </c>
    </row>
    <row r="334" spans="1:23" ht="21" customHeight="1" x14ac:dyDescent="0.15">
      <c r="A334" s="104">
        <f t="shared" si="5"/>
        <v>333</v>
      </c>
      <c r="B334" s="105" t="s">
        <v>308</v>
      </c>
      <c r="C334" s="106" t="s">
        <v>1025</v>
      </c>
      <c r="D334" s="107" t="s">
        <v>1026</v>
      </c>
      <c r="E334" s="108" t="s">
        <v>554</v>
      </c>
      <c r="F334" s="108" t="s">
        <v>272</v>
      </c>
      <c r="G334" s="108" t="s">
        <v>273</v>
      </c>
      <c r="H334" s="120" t="s">
        <v>274</v>
      </c>
      <c r="I334" s="109">
        <v>4</v>
      </c>
      <c r="J334" s="109" t="s">
        <v>537</v>
      </c>
      <c r="K334" s="105" t="s">
        <v>538</v>
      </c>
      <c r="L334" s="107" t="str">
        <f ca="1">VLOOKUP($K334,OFFSET([1]character_type_i18n!$A$1,0,0,COUNTA([1]character_type_i18n!$A:$A),MATCH(L$1,[1]character_type_i18n!$1:$1,0)-MATCH($K$1,[1]character_type_i18n!$1:$1,0)+1),MATCH(L$1,[1]character_type_i18n!$1:$1,0)-MATCH($K$1,[1]character_type_i18n!$1:$1,0)+1,FALSE)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4" s="105" t="s">
        <v>277</v>
      </c>
      <c r="N334" s="107" t="str">
        <f>VLOOKUP(M334,[1]character_tribe_i18n!A:C,3,FALSE)</f>
        <v>Unknown</v>
      </c>
      <c r="O334" s="105" t="s">
        <v>278</v>
      </c>
      <c r="P334" s="107" t="str">
        <f>VLOOKUP(O334,[1]character_tribe_i18n!A:C,3,FALSE)</f>
        <v>種族なし</v>
      </c>
      <c r="Q334" s="110" t="s">
        <v>1024</v>
      </c>
      <c r="R334" s="111">
        <v>3</v>
      </c>
      <c r="S334" s="108" t="s">
        <v>280</v>
      </c>
      <c r="T334" s="108" t="s">
        <v>281</v>
      </c>
      <c r="U334" s="108" t="s">
        <v>280</v>
      </c>
      <c r="V334" s="108" t="s">
        <v>280</v>
      </c>
      <c r="W334" s="108" t="s">
        <v>280</v>
      </c>
    </row>
    <row r="335" spans="1:23" ht="21" customHeight="1" x14ac:dyDescent="0.15">
      <c r="A335" s="104">
        <f t="shared" si="5"/>
        <v>334</v>
      </c>
      <c r="B335" s="105" t="s">
        <v>268</v>
      </c>
      <c r="C335" s="106" t="s">
        <v>1027</v>
      </c>
      <c r="D335" s="107" t="s">
        <v>1028</v>
      </c>
      <c r="E335" s="108" t="s">
        <v>1029</v>
      </c>
      <c r="F335" s="108" t="s">
        <v>272</v>
      </c>
      <c r="G335" s="108" t="s">
        <v>273</v>
      </c>
      <c r="H335" s="120" t="s">
        <v>274</v>
      </c>
      <c r="I335" s="109">
        <v>5</v>
      </c>
      <c r="J335" s="109" t="s">
        <v>537</v>
      </c>
      <c r="K335" s="105" t="s">
        <v>538</v>
      </c>
      <c r="L335" s="107" t="str">
        <f ca="1">VLOOKUP($K335,OFFSET([1]character_type_i18n!$A$1,0,0,COUNTA([1]character_type_i18n!$A:$A),MATCH(L$1,[1]character_type_i18n!$1:$1,0)-MATCH($K$1,[1]character_type_i18n!$1:$1,0)+1),MATCH(L$1,[1]character_type_i18n!$1:$1,0)-MATCH($K$1,[1]character_type_i18n!$1:$1,0)+1,FALSE)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5" s="105" t="s">
        <v>277</v>
      </c>
      <c r="N335" s="107" t="str">
        <f>VLOOKUP(M335,[1]character_tribe_i18n!A:C,3,FALSE)</f>
        <v>Unknown</v>
      </c>
      <c r="O335" s="105" t="s">
        <v>278</v>
      </c>
      <c r="P335" s="107" t="str">
        <f>VLOOKUP(O335,[1]character_tribe_i18n!A:C,3,FALSE)</f>
        <v>種族なし</v>
      </c>
      <c r="Q335" s="110" t="s">
        <v>1024</v>
      </c>
      <c r="R335" s="111">
        <v>3</v>
      </c>
      <c r="S335" s="108" t="s">
        <v>280</v>
      </c>
      <c r="T335" s="108" t="s">
        <v>281</v>
      </c>
      <c r="U335" s="108" t="s">
        <v>280</v>
      </c>
      <c r="V335" s="108" t="s">
        <v>280</v>
      </c>
      <c r="W335" s="108" t="s">
        <v>280</v>
      </c>
    </row>
    <row r="336" spans="1:23" ht="21" customHeight="1" x14ac:dyDescent="0.15">
      <c r="A336" s="104">
        <f t="shared" si="5"/>
        <v>335</v>
      </c>
      <c r="B336" s="105" t="s">
        <v>268</v>
      </c>
      <c r="C336" s="106" t="s">
        <v>1030</v>
      </c>
      <c r="D336" s="107" t="s">
        <v>1031</v>
      </c>
      <c r="E336" s="108" t="s">
        <v>554</v>
      </c>
      <c r="F336" s="108" t="s">
        <v>272</v>
      </c>
      <c r="G336" s="108" t="s">
        <v>273</v>
      </c>
      <c r="H336" s="120" t="s">
        <v>274</v>
      </c>
      <c r="I336" s="109">
        <v>6</v>
      </c>
      <c r="J336" s="109" t="s">
        <v>537</v>
      </c>
      <c r="K336" s="105" t="s">
        <v>538</v>
      </c>
      <c r="L336" s="107" t="str">
        <f ca="1">VLOOKUP($K336,OFFSET([1]character_type_i18n!$A$1,0,0,COUNTA([1]character_type_i18n!$A:$A),MATCH(L$1,[1]character_type_i18n!$1:$1,0)-MATCH($K$1,[1]character_type_i18n!$1:$1,0)+1),MATCH(L$1,[1]character_type_i18n!$1:$1,0)-MATCH($K$1,[1]character_type_i18n!$1:$1,0)+1,FALSE)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6" s="105" t="s">
        <v>277</v>
      </c>
      <c r="N336" s="107" t="str">
        <f>VLOOKUP(M336,[1]character_tribe_i18n!A:C,3,FALSE)</f>
        <v>Unknown</v>
      </c>
      <c r="O336" s="105" t="s">
        <v>278</v>
      </c>
      <c r="P336" s="107" t="str">
        <f>VLOOKUP(O336,[1]character_tribe_i18n!A:C,3,FALSE)</f>
        <v>種族なし</v>
      </c>
      <c r="Q336" s="110" t="s">
        <v>1024</v>
      </c>
      <c r="R336" s="111">
        <v>3</v>
      </c>
      <c r="S336" s="108" t="s">
        <v>280</v>
      </c>
      <c r="T336" s="108" t="s">
        <v>281</v>
      </c>
      <c r="U336" s="108" t="s">
        <v>280</v>
      </c>
      <c r="V336" s="108" t="s">
        <v>280</v>
      </c>
      <c r="W336" s="108" t="s">
        <v>280</v>
      </c>
    </row>
    <row r="337" spans="1:23" ht="21" customHeight="1" x14ac:dyDescent="0.15">
      <c r="A337" s="104">
        <f t="shared" si="5"/>
        <v>336</v>
      </c>
      <c r="B337" s="105" t="s">
        <v>268</v>
      </c>
      <c r="C337" s="106" t="s">
        <v>1032</v>
      </c>
      <c r="D337" s="107" t="s">
        <v>1033</v>
      </c>
      <c r="E337" s="108" t="s">
        <v>554</v>
      </c>
      <c r="F337" s="108" t="s">
        <v>272</v>
      </c>
      <c r="G337" s="108" t="s">
        <v>273</v>
      </c>
      <c r="H337" s="120" t="s">
        <v>285</v>
      </c>
      <c r="I337" s="109">
        <v>3</v>
      </c>
      <c r="J337" s="109" t="s">
        <v>537</v>
      </c>
      <c r="K337" s="105" t="s">
        <v>538</v>
      </c>
      <c r="L337" s="107" t="str">
        <f ca="1">VLOOKUP($K337,OFFSET([1]character_type_i18n!$A$1,0,0,COUNTA([1]character_type_i18n!$A:$A),MATCH(L$1,[1]character_type_i18n!$1:$1,0)-MATCH($K$1,[1]character_type_i18n!$1:$1,0)+1),MATCH(L$1,[1]character_type_i18n!$1:$1,0)-MATCH($K$1,[1]character_type_i18n!$1:$1,0)+1,FALSE)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7" s="105" t="s">
        <v>277</v>
      </c>
      <c r="N337" s="107" t="str">
        <f>VLOOKUP(M337,[1]character_tribe_i18n!A:C,3,FALSE)</f>
        <v>Unknown</v>
      </c>
      <c r="O337" s="105" t="s">
        <v>278</v>
      </c>
      <c r="P337" s="107" t="str">
        <f>VLOOKUP(O337,[1]character_tribe_i18n!A:C,3,FALSE)</f>
        <v>種族なし</v>
      </c>
      <c r="Q337" s="110" t="s">
        <v>1024</v>
      </c>
      <c r="R337" s="111">
        <v>3</v>
      </c>
      <c r="S337" s="108" t="s">
        <v>280</v>
      </c>
      <c r="T337" s="108" t="s">
        <v>281</v>
      </c>
      <c r="U337" s="108" t="s">
        <v>280</v>
      </c>
      <c r="V337" s="108" t="s">
        <v>280</v>
      </c>
      <c r="W337" s="108" t="s">
        <v>280</v>
      </c>
    </row>
    <row r="338" spans="1:23" ht="21" customHeight="1" x14ac:dyDescent="0.15">
      <c r="A338" s="104">
        <f t="shared" si="5"/>
        <v>337</v>
      </c>
      <c r="B338" s="105" t="s">
        <v>268</v>
      </c>
      <c r="C338" s="106" t="s">
        <v>1034</v>
      </c>
      <c r="D338" s="107" t="s">
        <v>1035</v>
      </c>
      <c r="E338" s="108" t="s">
        <v>554</v>
      </c>
      <c r="F338" s="108" t="s">
        <v>272</v>
      </c>
      <c r="G338" s="108" t="s">
        <v>273</v>
      </c>
      <c r="H338" s="120" t="s">
        <v>285</v>
      </c>
      <c r="I338" s="109">
        <v>4</v>
      </c>
      <c r="J338" s="109" t="s">
        <v>537</v>
      </c>
      <c r="K338" s="105" t="s">
        <v>538</v>
      </c>
      <c r="L338" s="107" t="str">
        <f ca="1">VLOOKUP($K338,OFFSET([1]character_type_i18n!$A$1,0,0,COUNTA([1]character_type_i18n!$A:$A),MATCH(L$1,[1]character_type_i18n!$1:$1,0)-MATCH($K$1,[1]character_type_i18n!$1:$1,0)+1),MATCH(L$1,[1]character_type_i18n!$1:$1,0)-MATCH($K$1,[1]character_type_i18n!$1:$1,0)+1,FALSE)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8" s="105" t="s">
        <v>277</v>
      </c>
      <c r="N338" s="107" t="str">
        <f>VLOOKUP(M338,[1]character_tribe_i18n!A:C,3,FALSE)</f>
        <v>Unknown</v>
      </c>
      <c r="O338" s="105" t="s">
        <v>278</v>
      </c>
      <c r="P338" s="107" t="str">
        <f>VLOOKUP(O338,[1]character_tribe_i18n!A:C,3,FALSE)</f>
        <v>種族なし</v>
      </c>
      <c r="Q338" s="110" t="s">
        <v>1024</v>
      </c>
      <c r="R338" s="111">
        <v>3</v>
      </c>
      <c r="S338" s="108" t="s">
        <v>280</v>
      </c>
      <c r="T338" s="108" t="s">
        <v>281</v>
      </c>
      <c r="U338" s="108" t="s">
        <v>280</v>
      </c>
      <c r="V338" s="108" t="s">
        <v>280</v>
      </c>
      <c r="W338" s="108" t="s">
        <v>280</v>
      </c>
    </row>
    <row r="339" spans="1:23" ht="21" customHeight="1" x14ac:dyDescent="0.15">
      <c r="A339" s="104">
        <f t="shared" si="5"/>
        <v>338</v>
      </c>
      <c r="B339" s="105" t="s">
        <v>268</v>
      </c>
      <c r="C339" s="106" t="s">
        <v>1036</v>
      </c>
      <c r="D339" s="107" t="s">
        <v>1037</v>
      </c>
      <c r="E339" s="108" t="s">
        <v>554</v>
      </c>
      <c r="F339" s="108" t="s">
        <v>272</v>
      </c>
      <c r="G339" s="108" t="s">
        <v>273</v>
      </c>
      <c r="H339" s="120" t="s">
        <v>285</v>
      </c>
      <c r="I339" s="109">
        <v>5</v>
      </c>
      <c r="J339" s="109" t="s">
        <v>537</v>
      </c>
      <c r="K339" s="105" t="s">
        <v>538</v>
      </c>
      <c r="L339" s="107" t="str">
        <f ca="1">VLOOKUP($K339,OFFSET([1]character_type_i18n!$A$1,0,0,COUNTA([1]character_type_i18n!$A:$A),MATCH(L$1,[1]character_type_i18n!$1:$1,0)-MATCH($K$1,[1]character_type_i18n!$1:$1,0)+1),MATCH(L$1,[1]character_type_i18n!$1:$1,0)-MATCH($K$1,[1]character_type_i18n!$1:$1,0)+1,FALSE)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9" s="105" t="s">
        <v>277</v>
      </c>
      <c r="N339" s="107" t="str">
        <f>VLOOKUP(M339,[1]character_tribe_i18n!A:C,3,FALSE)</f>
        <v>Unknown</v>
      </c>
      <c r="O339" s="105" t="s">
        <v>278</v>
      </c>
      <c r="P339" s="107" t="str">
        <f>VLOOKUP(O339,[1]character_tribe_i18n!A:C,3,FALSE)</f>
        <v>種族なし</v>
      </c>
      <c r="Q339" s="110" t="s">
        <v>1024</v>
      </c>
      <c r="R339" s="111">
        <v>3</v>
      </c>
      <c r="S339" s="108" t="s">
        <v>280</v>
      </c>
      <c r="T339" s="108" t="s">
        <v>281</v>
      </c>
      <c r="U339" s="108" t="s">
        <v>280</v>
      </c>
      <c r="V339" s="108" t="s">
        <v>280</v>
      </c>
      <c r="W339" s="108" t="s">
        <v>280</v>
      </c>
    </row>
    <row r="340" spans="1:23" ht="21" customHeight="1" x14ac:dyDescent="0.15">
      <c r="A340" s="104">
        <f t="shared" si="5"/>
        <v>339</v>
      </c>
      <c r="B340" s="105" t="s">
        <v>268</v>
      </c>
      <c r="C340" s="106" t="s">
        <v>1038</v>
      </c>
      <c r="D340" s="107" t="s">
        <v>1039</v>
      </c>
      <c r="E340" s="108" t="s">
        <v>554</v>
      </c>
      <c r="F340" s="108" t="s">
        <v>272</v>
      </c>
      <c r="G340" s="108" t="s">
        <v>273</v>
      </c>
      <c r="H340" s="120" t="s">
        <v>285</v>
      </c>
      <c r="I340" s="109">
        <v>6</v>
      </c>
      <c r="J340" s="109" t="s">
        <v>537</v>
      </c>
      <c r="K340" s="105" t="s">
        <v>538</v>
      </c>
      <c r="L340" s="107" t="str">
        <f ca="1">VLOOKUP($K340,OFFSET([1]character_type_i18n!$A$1,0,0,COUNTA([1]character_type_i18n!$A:$A),MATCH(L$1,[1]character_type_i18n!$1:$1,0)-MATCH($K$1,[1]character_type_i18n!$1:$1,0)+1),MATCH(L$1,[1]character_type_i18n!$1:$1,0)-MATCH($K$1,[1]character_type_i18n!$1:$1,0)+1,FALSE)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0" s="105" t="s">
        <v>277</v>
      </c>
      <c r="N340" s="107" t="str">
        <f>VLOOKUP(M340,[1]character_tribe_i18n!A:C,3,FALSE)</f>
        <v>Unknown</v>
      </c>
      <c r="O340" s="105" t="s">
        <v>278</v>
      </c>
      <c r="P340" s="107" t="str">
        <f>VLOOKUP(O340,[1]character_tribe_i18n!A:C,3,FALSE)</f>
        <v>種族なし</v>
      </c>
      <c r="Q340" s="110" t="s">
        <v>1024</v>
      </c>
      <c r="R340" s="111">
        <v>3</v>
      </c>
      <c r="S340" s="108" t="s">
        <v>280</v>
      </c>
      <c r="T340" s="108" t="s">
        <v>281</v>
      </c>
      <c r="U340" s="108" t="s">
        <v>280</v>
      </c>
      <c r="V340" s="108" t="s">
        <v>280</v>
      </c>
      <c r="W340" s="108" t="s">
        <v>280</v>
      </c>
    </row>
    <row r="341" spans="1:23" ht="21" customHeight="1" x14ac:dyDescent="0.15">
      <c r="A341" s="104">
        <f t="shared" si="5"/>
        <v>340</v>
      </c>
      <c r="B341" s="105" t="s">
        <v>268</v>
      </c>
      <c r="C341" s="106" t="s">
        <v>1040</v>
      </c>
      <c r="D341" s="107" t="s">
        <v>1041</v>
      </c>
      <c r="E341" s="108" t="s">
        <v>554</v>
      </c>
      <c r="F341" s="108" t="s">
        <v>272</v>
      </c>
      <c r="G341" s="108" t="s">
        <v>273</v>
      </c>
      <c r="H341" s="120" t="s">
        <v>295</v>
      </c>
      <c r="I341" s="109">
        <v>3</v>
      </c>
      <c r="J341" s="109" t="s">
        <v>537</v>
      </c>
      <c r="K341" s="105" t="s">
        <v>538</v>
      </c>
      <c r="L341" s="107" t="str">
        <f ca="1">VLOOKUP($K341,OFFSET([1]character_type_i18n!$A$1,0,0,COUNTA([1]character_type_i18n!$A:$A),MATCH(L$1,[1]character_type_i18n!$1:$1,0)-MATCH($K$1,[1]character_type_i18n!$1:$1,0)+1),MATCH(L$1,[1]character_type_i18n!$1:$1,0)-MATCH($K$1,[1]character_type_i18n!$1:$1,0)+1,FALSE)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1" s="105" t="s">
        <v>277</v>
      </c>
      <c r="N341" s="107" t="str">
        <f>VLOOKUP(M341,[1]character_tribe_i18n!A:C,3,FALSE)</f>
        <v>Unknown</v>
      </c>
      <c r="O341" s="105" t="s">
        <v>278</v>
      </c>
      <c r="P341" s="107" t="str">
        <f>VLOOKUP(O341,[1]character_tribe_i18n!A:C,3,FALSE)</f>
        <v>種族なし</v>
      </c>
      <c r="Q341" s="110" t="s">
        <v>1024</v>
      </c>
      <c r="R341" s="111">
        <v>3</v>
      </c>
      <c r="S341" s="108" t="s">
        <v>280</v>
      </c>
      <c r="T341" s="108" t="s">
        <v>281</v>
      </c>
      <c r="U341" s="108" t="s">
        <v>280</v>
      </c>
      <c r="V341" s="108" t="s">
        <v>280</v>
      </c>
      <c r="W341" s="108" t="s">
        <v>280</v>
      </c>
    </row>
    <row r="342" spans="1:23" ht="21" customHeight="1" x14ac:dyDescent="0.15">
      <c r="A342" s="104">
        <f t="shared" si="5"/>
        <v>341</v>
      </c>
      <c r="B342" s="105" t="s">
        <v>268</v>
      </c>
      <c r="C342" s="106" t="s">
        <v>1042</v>
      </c>
      <c r="D342" s="107" t="s">
        <v>1043</v>
      </c>
      <c r="E342" s="108" t="s">
        <v>554</v>
      </c>
      <c r="F342" s="108" t="s">
        <v>272</v>
      </c>
      <c r="G342" s="108" t="s">
        <v>273</v>
      </c>
      <c r="H342" s="120" t="s">
        <v>295</v>
      </c>
      <c r="I342" s="109">
        <v>4</v>
      </c>
      <c r="J342" s="109" t="s">
        <v>537</v>
      </c>
      <c r="K342" s="105" t="s">
        <v>538</v>
      </c>
      <c r="L342" s="107" t="str">
        <f ca="1">VLOOKUP($K342,OFFSET([1]character_type_i18n!$A$1,0,0,COUNTA([1]character_type_i18n!$A:$A),MATCH(L$1,[1]character_type_i18n!$1:$1,0)-MATCH($K$1,[1]character_type_i18n!$1:$1,0)+1),MATCH(L$1,[1]character_type_i18n!$1:$1,0)-MATCH($K$1,[1]character_type_i18n!$1:$1,0)+1,FALSE)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2" s="105" t="s">
        <v>277</v>
      </c>
      <c r="N342" s="107" t="str">
        <f>VLOOKUP(M342,[1]character_tribe_i18n!A:C,3,FALSE)</f>
        <v>Unknown</v>
      </c>
      <c r="O342" s="105" t="s">
        <v>278</v>
      </c>
      <c r="P342" s="107" t="str">
        <f>VLOOKUP(O342,[1]character_tribe_i18n!A:C,3,FALSE)</f>
        <v>種族なし</v>
      </c>
      <c r="Q342" s="110" t="s">
        <v>1024</v>
      </c>
      <c r="R342" s="111">
        <v>3</v>
      </c>
      <c r="S342" s="108" t="s">
        <v>280</v>
      </c>
      <c r="T342" s="108" t="s">
        <v>281</v>
      </c>
      <c r="U342" s="108" t="s">
        <v>280</v>
      </c>
      <c r="V342" s="108" t="s">
        <v>280</v>
      </c>
      <c r="W342" s="108" t="s">
        <v>280</v>
      </c>
    </row>
    <row r="343" spans="1:23" ht="21" customHeight="1" x14ac:dyDescent="0.15">
      <c r="A343" s="104">
        <f t="shared" si="5"/>
        <v>342</v>
      </c>
      <c r="B343" s="105" t="s">
        <v>268</v>
      </c>
      <c r="C343" s="106" t="s">
        <v>1044</v>
      </c>
      <c r="D343" s="107" t="s">
        <v>1045</v>
      </c>
      <c r="E343" s="108" t="s">
        <v>554</v>
      </c>
      <c r="F343" s="108" t="s">
        <v>272</v>
      </c>
      <c r="G343" s="108" t="s">
        <v>273</v>
      </c>
      <c r="H343" s="120" t="s">
        <v>295</v>
      </c>
      <c r="I343" s="109">
        <v>5</v>
      </c>
      <c r="J343" s="109" t="s">
        <v>537</v>
      </c>
      <c r="K343" s="105" t="s">
        <v>538</v>
      </c>
      <c r="L343" s="107" t="str">
        <f ca="1">VLOOKUP($K343,OFFSET([1]character_type_i18n!$A$1,0,0,COUNTA([1]character_type_i18n!$A:$A),MATCH(L$1,[1]character_type_i18n!$1:$1,0)-MATCH($K$1,[1]character_type_i18n!$1:$1,0)+1),MATCH(L$1,[1]character_type_i18n!$1:$1,0)-MATCH($K$1,[1]character_type_i18n!$1:$1,0)+1,FALSE)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3" s="105" t="s">
        <v>277</v>
      </c>
      <c r="N343" s="107" t="str">
        <f>VLOOKUP(M343,[1]character_tribe_i18n!A:C,3,FALSE)</f>
        <v>Unknown</v>
      </c>
      <c r="O343" s="105" t="s">
        <v>278</v>
      </c>
      <c r="P343" s="107" t="str">
        <f>VLOOKUP(O343,[1]character_tribe_i18n!A:C,3,FALSE)</f>
        <v>種族なし</v>
      </c>
      <c r="Q343" s="110" t="s">
        <v>1024</v>
      </c>
      <c r="R343" s="111">
        <v>3</v>
      </c>
      <c r="S343" s="108" t="s">
        <v>1046</v>
      </c>
      <c r="T343" s="108" t="s">
        <v>1047</v>
      </c>
      <c r="U343" s="108" t="s">
        <v>875</v>
      </c>
      <c r="V343" s="108" t="s">
        <v>1046</v>
      </c>
      <c r="W343" s="108" t="s">
        <v>1046</v>
      </c>
    </row>
    <row r="344" spans="1:23" ht="21" customHeight="1" x14ac:dyDescent="0.15">
      <c r="A344" s="104">
        <f t="shared" si="5"/>
        <v>343</v>
      </c>
      <c r="B344" s="105" t="s">
        <v>1048</v>
      </c>
      <c r="C344" s="106" t="s">
        <v>1049</v>
      </c>
      <c r="D344" s="107" t="s">
        <v>1050</v>
      </c>
      <c r="E344" s="108" t="s">
        <v>1051</v>
      </c>
      <c r="F344" s="108" t="s">
        <v>272</v>
      </c>
      <c r="G344" s="108" t="s">
        <v>273</v>
      </c>
      <c r="H344" s="120" t="s">
        <v>295</v>
      </c>
      <c r="I344" s="109">
        <v>6</v>
      </c>
      <c r="J344" s="109" t="s">
        <v>537</v>
      </c>
      <c r="K344" s="105" t="s">
        <v>538</v>
      </c>
      <c r="L344" s="107" t="str">
        <f ca="1">VLOOKUP($K344,OFFSET([1]character_type_i18n!$A$1,0,0,COUNTA([1]character_type_i18n!$A:$A),MATCH(L$1,[1]character_type_i18n!$1:$1,0)-MATCH($K$1,[1]character_type_i18n!$1:$1,0)+1),MATCH(L$1,[1]character_type_i18n!$1:$1,0)-MATCH($K$1,[1]character_type_i18n!$1:$1,0)+1,FALSE)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4" s="105" t="s">
        <v>277</v>
      </c>
      <c r="N344" s="107" t="str">
        <f>VLOOKUP(M344,[1]character_tribe_i18n!A:C,3,FALSE)</f>
        <v>Unknown</v>
      </c>
      <c r="O344" s="105" t="s">
        <v>278</v>
      </c>
      <c r="P344" s="107" t="str">
        <f>VLOOKUP(O344,[1]character_tribe_i18n!A:C,3,FALSE)</f>
        <v>種族なし</v>
      </c>
      <c r="Q344" s="110" t="s">
        <v>1024</v>
      </c>
      <c r="R344" s="111">
        <v>3</v>
      </c>
      <c r="S344" s="108" t="s">
        <v>280</v>
      </c>
      <c r="T344" s="108" t="s">
        <v>1052</v>
      </c>
      <c r="U344" s="108" t="s">
        <v>280</v>
      </c>
      <c r="V344" s="108" t="s">
        <v>280</v>
      </c>
      <c r="W344" s="108" t="s">
        <v>280</v>
      </c>
    </row>
    <row r="345" spans="1:23" ht="21" customHeight="1" x14ac:dyDescent="0.15">
      <c r="A345" s="104">
        <f t="shared" si="5"/>
        <v>344</v>
      </c>
      <c r="B345" s="105" t="s">
        <v>268</v>
      </c>
      <c r="C345" s="106" t="s">
        <v>1053</v>
      </c>
      <c r="D345" s="107" t="s">
        <v>1054</v>
      </c>
      <c r="E345" s="108" t="s">
        <v>1055</v>
      </c>
      <c r="F345" s="108" t="s">
        <v>272</v>
      </c>
      <c r="G345" s="108" t="s">
        <v>273</v>
      </c>
      <c r="H345" s="120" t="s">
        <v>300</v>
      </c>
      <c r="I345" s="109">
        <v>3</v>
      </c>
      <c r="J345" s="109" t="s">
        <v>537</v>
      </c>
      <c r="K345" s="105" t="s">
        <v>538</v>
      </c>
      <c r="L345" s="107" t="str">
        <f ca="1">VLOOKUP($K345,OFFSET([1]character_type_i18n!$A$1,0,0,COUNTA([1]character_type_i18n!$A:$A),MATCH(L$1,[1]character_type_i18n!$1:$1,0)-MATCH($K$1,[1]character_type_i18n!$1:$1,0)+1),MATCH(L$1,[1]character_type_i18n!$1:$1,0)-MATCH($K$1,[1]character_type_i18n!$1:$1,0)+1,FALSE)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5" s="105" t="s">
        <v>277</v>
      </c>
      <c r="N345" s="107" t="str">
        <f>VLOOKUP(M345,[1]character_tribe_i18n!A:C,3,FALSE)</f>
        <v>Unknown</v>
      </c>
      <c r="O345" s="105" t="s">
        <v>278</v>
      </c>
      <c r="P345" s="107" t="str">
        <f>VLOOKUP(O345,[1]character_tribe_i18n!A:C,3,FALSE)</f>
        <v>種族なし</v>
      </c>
      <c r="Q345" s="110" t="s">
        <v>1024</v>
      </c>
      <c r="R345" s="111">
        <v>3</v>
      </c>
      <c r="S345" s="108" t="s">
        <v>1056</v>
      </c>
      <c r="T345" s="108" t="s">
        <v>281</v>
      </c>
      <c r="U345" s="108" t="s">
        <v>280</v>
      </c>
      <c r="V345" s="108" t="s">
        <v>1057</v>
      </c>
      <c r="W345" s="108" t="s">
        <v>1057</v>
      </c>
    </row>
    <row r="346" spans="1:23" ht="21" customHeight="1" x14ac:dyDescent="0.15">
      <c r="A346" s="104">
        <f t="shared" si="5"/>
        <v>345</v>
      </c>
      <c r="B346" s="105" t="s">
        <v>1058</v>
      </c>
      <c r="C346" s="106" t="s">
        <v>1059</v>
      </c>
      <c r="D346" s="107" t="s">
        <v>1060</v>
      </c>
      <c r="E346" s="108" t="s">
        <v>554</v>
      </c>
      <c r="F346" s="108" t="s">
        <v>272</v>
      </c>
      <c r="G346" s="108" t="s">
        <v>273</v>
      </c>
      <c r="H346" s="120" t="s">
        <v>300</v>
      </c>
      <c r="I346" s="109">
        <v>4</v>
      </c>
      <c r="J346" s="109" t="s">
        <v>537</v>
      </c>
      <c r="K346" s="105" t="s">
        <v>538</v>
      </c>
      <c r="L346" s="107" t="str">
        <f ca="1">VLOOKUP($K346,OFFSET([1]character_type_i18n!$A$1,0,0,COUNTA([1]character_type_i18n!$A:$A),MATCH(L$1,[1]character_type_i18n!$1:$1,0)-MATCH($K$1,[1]character_type_i18n!$1:$1,0)+1),MATCH(L$1,[1]character_type_i18n!$1:$1,0)-MATCH($K$1,[1]character_type_i18n!$1:$1,0)+1,FALSE)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6" s="105" t="s">
        <v>277</v>
      </c>
      <c r="N346" s="107" t="str">
        <f>VLOOKUP(M346,[1]character_tribe_i18n!A:C,3,FALSE)</f>
        <v>Unknown</v>
      </c>
      <c r="O346" s="105" t="s">
        <v>278</v>
      </c>
      <c r="P346" s="107" t="str">
        <f>VLOOKUP(O346,[1]character_tribe_i18n!A:C,3,FALSE)</f>
        <v>種族なし</v>
      </c>
      <c r="Q346" s="110" t="s">
        <v>1024</v>
      </c>
      <c r="R346" s="111">
        <v>3</v>
      </c>
      <c r="S346" s="108" t="s">
        <v>302</v>
      </c>
      <c r="T346" s="108" t="s">
        <v>375</v>
      </c>
      <c r="U346" s="108" t="s">
        <v>280</v>
      </c>
      <c r="V346" s="108" t="s">
        <v>280</v>
      </c>
      <c r="W346" s="108" t="s">
        <v>280</v>
      </c>
    </row>
    <row r="347" spans="1:23" ht="21" customHeight="1" x14ac:dyDescent="0.15">
      <c r="A347" s="104">
        <f t="shared" si="5"/>
        <v>346</v>
      </c>
      <c r="B347" s="105" t="s">
        <v>268</v>
      </c>
      <c r="C347" s="106" t="s">
        <v>1061</v>
      </c>
      <c r="D347" s="107" t="s">
        <v>1062</v>
      </c>
      <c r="E347" s="108" t="s">
        <v>1063</v>
      </c>
      <c r="F347" s="108" t="s">
        <v>272</v>
      </c>
      <c r="G347" s="108" t="s">
        <v>273</v>
      </c>
      <c r="H347" s="120" t="s">
        <v>300</v>
      </c>
      <c r="I347" s="109">
        <v>5</v>
      </c>
      <c r="J347" s="109" t="s">
        <v>537</v>
      </c>
      <c r="K347" s="105" t="s">
        <v>538</v>
      </c>
      <c r="L347" s="107" t="str">
        <f ca="1">VLOOKUP($K347,OFFSET([1]character_type_i18n!$A$1,0,0,COUNTA([1]character_type_i18n!$A:$A),MATCH(L$1,[1]character_type_i18n!$1:$1,0)-MATCH($K$1,[1]character_type_i18n!$1:$1,0)+1),MATCH(L$1,[1]character_type_i18n!$1:$1,0)-MATCH($K$1,[1]character_type_i18n!$1:$1,0)+1,FALSE)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7" s="105" t="s">
        <v>277</v>
      </c>
      <c r="N347" s="107" t="str">
        <f>VLOOKUP(M347,[1]character_tribe_i18n!A:C,3,FALSE)</f>
        <v>Unknown</v>
      </c>
      <c r="O347" s="105" t="s">
        <v>278</v>
      </c>
      <c r="P347" s="107" t="str">
        <f>VLOOKUP(O347,[1]character_tribe_i18n!A:C,3,FALSE)</f>
        <v>種族なし</v>
      </c>
      <c r="Q347" s="110" t="s">
        <v>1024</v>
      </c>
      <c r="R347" s="111">
        <v>3</v>
      </c>
      <c r="S347" s="108" t="s">
        <v>1064</v>
      </c>
      <c r="T347" s="108" t="s">
        <v>1047</v>
      </c>
      <c r="U347" s="108" t="s">
        <v>875</v>
      </c>
      <c r="V347" s="108" t="s">
        <v>1065</v>
      </c>
      <c r="W347" s="108" t="s">
        <v>1065</v>
      </c>
    </row>
    <row r="348" spans="1:23" ht="21" customHeight="1" x14ac:dyDescent="0.15">
      <c r="A348" s="104">
        <f t="shared" si="5"/>
        <v>347</v>
      </c>
      <c r="B348" s="105" t="s">
        <v>268</v>
      </c>
      <c r="C348" s="106" t="s">
        <v>1066</v>
      </c>
      <c r="D348" s="107" t="s">
        <v>1067</v>
      </c>
      <c r="E348" s="108" t="s">
        <v>1068</v>
      </c>
      <c r="F348" s="108" t="s">
        <v>272</v>
      </c>
      <c r="G348" s="108" t="s">
        <v>273</v>
      </c>
      <c r="H348" s="120" t="s">
        <v>300</v>
      </c>
      <c r="I348" s="109">
        <v>6</v>
      </c>
      <c r="J348" s="109" t="s">
        <v>537</v>
      </c>
      <c r="K348" s="105" t="s">
        <v>538</v>
      </c>
      <c r="L348" s="107" t="str">
        <f ca="1">VLOOKUP($K348,OFFSET([1]character_type_i18n!$A$1,0,0,COUNTA([1]character_type_i18n!$A:$A),MATCH(L$1,[1]character_type_i18n!$1:$1,0)-MATCH($K$1,[1]character_type_i18n!$1:$1,0)+1),MATCH(L$1,[1]character_type_i18n!$1:$1,0)-MATCH($K$1,[1]character_type_i18n!$1:$1,0)+1,FALSE)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8" s="105" t="s">
        <v>277</v>
      </c>
      <c r="N348" s="107" t="str">
        <f>VLOOKUP(M348,[1]character_tribe_i18n!A:C,3,FALSE)</f>
        <v>Unknown</v>
      </c>
      <c r="O348" s="105" t="s">
        <v>278</v>
      </c>
      <c r="P348" s="107" t="str">
        <f>VLOOKUP(O348,[1]character_tribe_i18n!A:C,3,FALSE)</f>
        <v>種族なし</v>
      </c>
      <c r="Q348" s="110" t="s">
        <v>1024</v>
      </c>
      <c r="R348" s="111">
        <v>3</v>
      </c>
      <c r="S348" s="108" t="s">
        <v>1069</v>
      </c>
      <c r="T348" s="108" t="s">
        <v>1070</v>
      </c>
      <c r="U348" s="108" t="s">
        <v>1069</v>
      </c>
      <c r="V348" s="108" t="s">
        <v>1069</v>
      </c>
      <c r="W348" s="108" t="s">
        <v>1069</v>
      </c>
    </row>
    <row r="349" spans="1:23" ht="21" customHeight="1" x14ac:dyDescent="0.15">
      <c r="A349" s="104">
        <f t="shared" si="5"/>
        <v>348</v>
      </c>
      <c r="B349" s="105" t="s">
        <v>1071</v>
      </c>
      <c r="C349" s="121" t="s">
        <v>1072</v>
      </c>
      <c r="D349" s="107" t="s">
        <v>1073</v>
      </c>
      <c r="E349" s="108" t="s">
        <v>1074</v>
      </c>
      <c r="F349" s="108" t="s">
        <v>272</v>
      </c>
      <c r="G349" s="108" t="s">
        <v>273</v>
      </c>
      <c r="H349" s="120" t="s">
        <v>274</v>
      </c>
      <c r="I349" s="111">
        <v>2</v>
      </c>
      <c r="J349" s="109" t="s">
        <v>537</v>
      </c>
      <c r="K349" s="105" t="s">
        <v>538</v>
      </c>
      <c r="L349" s="107" t="str">
        <f ca="1">VLOOKUP($K349,OFFSET([1]character_type_i18n!$A$1,0,0,COUNTA([1]character_type_i18n!$A:$A),MATCH(L$1,[1]character_type_i18n!$1:$1,0)-MATCH($K$1,[1]character_type_i18n!$1:$1,0)+1),MATCH(L$1,[1]character_type_i18n!$1:$1,0)-MATCH($K$1,[1]character_type_i18n!$1:$1,0)+1,FALSE)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9" s="105" t="s">
        <v>277</v>
      </c>
      <c r="N349" s="107" t="str">
        <f>VLOOKUP(M349,[1]character_tribe_i18n!A:C,3,FALSE)</f>
        <v>Unknown</v>
      </c>
      <c r="O349" s="105" t="s">
        <v>278</v>
      </c>
      <c r="P349" s="107" t="str">
        <f>VLOOKUP(O349,[1]character_tribe_i18n!A:C,3,FALSE)</f>
        <v>種族なし</v>
      </c>
      <c r="Q349" s="110" t="s">
        <v>1024</v>
      </c>
      <c r="R349" s="111">
        <v>3</v>
      </c>
      <c r="S349" s="108" t="s">
        <v>280</v>
      </c>
      <c r="T349" s="108" t="s">
        <v>573</v>
      </c>
      <c r="U349" s="108" t="s">
        <v>574</v>
      </c>
      <c r="V349" s="108" t="s">
        <v>280</v>
      </c>
      <c r="W349" s="108" t="s">
        <v>280</v>
      </c>
    </row>
    <row r="350" spans="1:23" ht="21" customHeight="1" x14ac:dyDescent="0.15">
      <c r="A350" s="104">
        <f t="shared" si="5"/>
        <v>349</v>
      </c>
      <c r="B350" s="105" t="s">
        <v>268</v>
      </c>
      <c r="C350" s="121" t="s">
        <v>1075</v>
      </c>
      <c r="D350" s="107" t="s">
        <v>1026</v>
      </c>
      <c r="E350" s="108" t="s">
        <v>554</v>
      </c>
      <c r="F350" s="108" t="s">
        <v>272</v>
      </c>
      <c r="G350" s="108" t="s">
        <v>273</v>
      </c>
      <c r="H350" s="120" t="s">
        <v>274</v>
      </c>
      <c r="I350" s="111">
        <v>4</v>
      </c>
      <c r="J350" s="109" t="s">
        <v>537</v>
      </c>
      <c r="K350" s="105" t="s">
        <v>538</v>
      </c>
      <c r="L350" s="107" t="str">
        <f ca="1">VLOOKUP($K350,OFFSET([1]character_type_i18n!$A$1,0,0,COUNTA([1]character_type_i18n!$A:$A),MATCH(L$1,[1]character_type_i18n!$1:$1,0)-MATCH($K$1,[1]character_type_i18n!$1:$1,0)+1),MATCH(L$1,[1]character_type_i18n!$1:$1,0)-MATCH($K$1,[1]character_type_i18n!$1:$1,0)+1,FALSE)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0" s="105" t="s">
        <v>277</v>
      </c>
      <c r="N350" s="107" t="str">
        <f>VLOOKUP(M350,[1]character_tribe_i18n!A:C,3,FALSE)</f>
        <v>Unknown</v>
      </c>
      <c r="O350" s="105" t="s">
        <v>278</v>
      </c>
      <c r="P350" s="107" t="str">
        <f>VLOOKUP(O350,[1]character_tribe_i18n!A:C,3,FALSE)</f>
        <v>種族なし</v>
      </c>
      <c r="Q350" s="110" t="s">
        <v>1024</v>
      </c>
      <c r="R350" s="111">
        <v>3</v>
      </c>
      <c r="S350" s="108" t="s">
        <v>280</v>
      </c>
      <c r="T350" s="108" t="s">
        <v>1047</v>
      </c>
      <c r="U350" s="108" t="s">
        <v>875</v>
      </c>
      <c r="V350" s="108" t="s">
        <v>280</v>
      </c>
      <c r="W350" s="108" t="s">
        <v>280</v>
      </c>
    </row>
    <row r="351" spans="1:23" ht="21" customHeight="1" x14ac:dyDescent="0.15">
      <c r="A351" s="104">
        <f t="shared" si="5"/>
        <v>350</v>
      </c>
      <c r="B351" s="105" t="s">
        <v>303</v>
      </c>
      <c r="C351" s="121" t="s">
        <v>1076</v>
      </c>
      <c r="D351" s="107" t="s">
        <v>1077</v>
      </c>
      <c r="E351" s="108" t="s">
        <v>1078</v>
      </c>
      <c r="F351" s="108" t="s">
        <v>272</v>
      </c>
      <c r="G351" s="108" t="s">
        <v>273</v>
      </c>
      <c r="H351" s="120" t="s">
        <v>285</v>
      </c>
      <c r="I351" s="111">
        <v>2</v>
      </c>
      <c r="J351" s="109" t="s">
        <v>537</v>
      </c>
      <c r="K351" s="105" t="s">
        <v>538</v>
      </c>
      <c r="L351" s="107" t="str">
        <f ca="1">VLOOKUP($K351,OFFSET([1]character_type_i18n!$A$1,0,0,COUNTA([1]character_type_i18n!$A:$A),MATCH(L$1,[1]character_type_i18n!$1:$1,0)-MATCH($K$1,[1]character_type_i18n!$1:$1,0)+1),MATCH(L$1,[1]character_type_i18n!$1:$1,0)-MATCH($K$1,[1]character_type_i18n!$1:$1,0)+1,FALSE)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1" s="105" t="s">
        <v>277</v>
      </c>
      <c r="N351" s="107" t="str">
        <f>VLOOKUP(M351,[1]character_tribe_i18n!A:C,3,FALSE)</f>
        <v>Unknown</v>
      </c>
      <c r="O351" s="105" t="s">
        <v>278</v>
      </c>
      <c r="P351" s="107" t="str">
        <f>VLOOKUP(O351,[1]character_tribe_i18n!A:C,3,FALSE)</f>
        <v>種族なし</v>
      </c>
      <c r="Q351" s="110" t="s">
        <v>1024</v>
      </c>
      <c r="R351" s="111">
        <v>3</v>
      </c>
      <c r="S351" s="108" t="s">
        <v>280</v>
      </c>
      <c r="T351" s="108" t="s">
        <v>1047</v>
      </c>
      <c r="U351" s="108" t="s">
        <v>875</v>
      </c>
      <c r="V351" s="108" t="s">
        <v>280</v>
      </c>
      <c r="W351" s="108" t="s">
        <v>280</v>
      </c>
    </row>
    <row r="352" spans="1:23" ht="21" customHeight="1" x14ac:dyDescent="0.15">
      <c r="A352" s="104">
        <f t="shared" si="5"/>
        <v>351</v>
      </c>
      <c r="B352" s="105" t="s">
        <v>1079</v>
      </c>
      <c r="C352" s="121" t="s">
        <v>1080</v>
      </c>
      <c r="D352" s="107" t="s">
        <v>1081</v>
      </c>
      <c r="E352" s="108" t="s">
        <v>1082</v>
      </c>
      <c r="F352" s="108" t="s">
        <v>272</v>
      </c>
      <c r="G352" s="108" t="s">
        <v>273</v>
      </c>
      <c r="H352" s="120" t="s">
        <v>285</v>
      </c>
      <c r="I352" s="111">
        <v>4</v>
      </c>
      <c r="J352" s="109" t="s">
        <v>537</v>
      </c>
      <c r="K352" s="105" t="s">
        <v>538</v>
      </c>
      <c r="L352" s="107" t="str">
        <f ca="1">VLOOKUP($K352,OFFSET([1]character_type_i18n!$A$1,0,0,COUNTA([1]character_type_i18n!$A:$A),MATCH(L$1,[1]character_type_i18n!$1:$1,0)-MATCH($K$1,[1]character_type_i18n!$1:$1,0)+1),MATCH(L$1,[1]character_type_i18n!$1:$1,0)-MATCH($K$1,[1]character_type_i18n!$1:$1,0)+1,FALSE)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2" s="105" t="s">
        <v>277</v>
      </c>
      <c r="N352" s="107" t="str">
        <f>VLOOKUP(M352,[1]character_tribe_i18n!A:C,3,FALSE)</f>
        <v>Unknown</v>
      </c>
      <c r="O352" s="105" t="s">
        <v>278</v>
      </c>
      <c r="P352" s="107" t="str">
        <f>VLOOKUP(O352,[1]character_tribe_i18n!A:C,3,FALSE)</f>
        <v>種族なし</v>
      </c>
      <c r="Q352" s="110" t="s">
        <v>1024</v>
      </c>
      <c r="R352" s="111">
        <v>3</v>
      </c>
      <c r="S352" s="108" t="s">
        <v>280</v>
      </c>
      <c r="T352" s="108" t="s">
        <v>281</v>
      </c>
      <c r="U352" s="108" t="s">
        <v>280</v>
      </c>
      <c r="V352" s="108" t="s">
        <v>280</v>
      </c>
      <c r="W352" s="108" t="s">
        <v>280</v>
      </c>
    </row>
    <row r="353" spans="1:23" ht="21" customHeight="1" x14ac:dyDescent="0.15">
      <c r="A353" s="104">
        <f t="shared" si="5"/>
        <v>352</v>
      </c>
      <c r="B353" s="105" t="s">
        <v>268</v>
      </c>
      <c r="C353" s="121" t="s">
        <v>1083</v>
      </c>
      <c r="D353" s="107" t="s">
        <v>1084</v>
      </c>
      <c r="E353" s="108" t="s">
        <v>554</v>
      </c>
      <c r="F353" s="108" t="s">
        <v>272</v>
      </c>
      <c r="G353" s="108" t="s">
        <v>273</v>
      </c>
      <c r="H353" s="120" t="s">
        <v>295</v>
      </c>
      <c r="I353" s="111">
        <v>2</v>
      </c>
      <c r="J353" s="109" t="s">
        <v>537</v>
      </c>
      <c r="K353" s="105" t="s">
        <v>538</v>
      </c>
      <c r="L353" s="107" t="str">
        <f ca="1">VLOOKUP($K353,OFFSET([1]character_type_i18n!$A$1,0,0,COUNTA([1]character_type_i18n!$A:$A),MATCH(L$1,[1]character_type_i18n!$1:$1,0)-MATCH($K$1,[1]character_type_i18n!$1:$1,0)+1),MATCH(L$1,[1]character_type_i18n!$1:$1,0)-MATCH($K$1,[1]character_type_i18n!$1:$1,0)+1,FALSE)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3" s="105" t="s">
        <v>277</v>
      </c>
      <c r="N353" s="107" t="str">
        <f>VLOOKUP(M353,[1]character_tribe_i18n!A:C,3,FALSE)</f>
        <v>Unknown</v>
      </c>
      <c r="O353" s="105" t="s">
        <v>278</v>
      </c>
      <c r="P353" s="107" t="str">
        <f>VLOOKUP(O353,[1]character_tribe_i18n!A:C,3,FALSE)</f>
        <v>種族なし</v>
      </c>
      <c r="Q353" s="110" t="s">
        <v>1024</v>
      </c>
      <c r="R353" s="111">
        <v>3</v>
      </c>
      <c r="S353" s="108" t="s">
        <v>1085</v>
      </c>
      <c r="T353" s="108" t="s">
        <v>1086</v>
      </c>
      <c r="U353" s="108" t="s">
        <v>1085</v>
      </c>
      <c r="V353" s="108" t="s">
        <v>1085</v>
      </c>
      <c r="W353" s="108" t="s">
        <v>1085</v>
      </c>
    </row>
    <row r="354" spans="1:23" ht="21" customHeight="1" x14ac:dyDescent="0.15">
      <c r="A354" s="104">
        <f t="shared" si="5"/>
        <v>353</v>
      </c>
      <c r="B354" s="105" t="s">
        <v>1087</v>
      </c>
      <c r="C354" s="121" t="s">
        <v>1088</v>
      </c>
      <c r="D354" s="107" t="s">
        <v>1089</v>
      </c>
      <c r="E354" s="108" t="s">
        <v>554</v>
      </c>
      <c r="F354" s="108" t="s">
        <v>272</v>
      </c>
      <c r="G354" s="108" t="s">
        <v>273</v>
      </c>
      <c r="H354" s="120" t="s">
        <v>295</v>
      </c>
      <c r="I354" s="111">
        <v>4</v>
      </c>
      <c r="J354" s="109" t="s">
        <v>537</v>
      </c>
      <c r="K354" s="105" t="s">
        <v>538</v>
      </c>
      <c r="L354" s="107" t="str">
        <f ca="1">VLOOKUP($K354,OFFSET([1]character_type_i18n!$A$1,0,0,COUNTA([1]character_type_i18n!$A:$A),MATCH(L$1,[1]character_type_i18n!$1:$1,0)-MATCH($K$1,[1]character_type_i18n!$1:$1,0)+1),MATCH(L$1,[1]character_type_i18n!$1:$1,0)-MATCH($K$1,[1]character_type_i18n!$1:$1,0)+1,FALSE)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4" s="105" t="s">
        <v>277</v>
      </c>
      <c r="N354" s="107" t="str">
        <f>VLOOKUP(M354,[1]character_tribe_i18n!A:C,3,FALSE)</f>
        <v>Unknown</v>
      </c>
      <c r="O354" s="105" t="s">
        <v>278</v>
      </c>
      <c r="P354" s="107" t="str">
        <f>VLOOKUP(O354,[1]character_tribe_i18n!A:C,3,FALSE)</f>
        <v>種族なし</v>
      </c>
      <c r="Q354" s="110" t="s">
        <v>1024</v>
      </c>
      <c r="R354" s="111">
        <v>3</v>
      </c>
      <c r="S354" s="108" t="s">
        <v>280</v>
      </c>
      <c r="T354" s="108" t="s">
        <v>281</v>
      </c>
      <c r="U354" s="108" t="s">
        <v>280</v>
      </c>
      <c r="V354" s="108" t="s">
        <v>280</v>
      </c>
      <c r="W354" s="108" t="s">
        <v>280</v>
      </c>
    </row>
    <row r="355" spans="1:23" ht="21" customHeight="1" x14ac:dyDescent="0.15">
      <c r="A355" s="104">
        <f t="shared" si="5"/>
        <v>354</v>
      </c>
      <c r="B355" s="105" t="s">
        <v>268</v>
      </c>
      <c r="C355" s="121" t="s">
        <v>1090</v>
      </c>
      <c r="D355" s="107" t="s">
        <v>1091</v>
      </c>
      <c r="E355" s="108" t="s">
        <v>1092</v>
      </c>
      <c r="F355" s="108" t="s">
        <v>272</v>
      </c>
      <c r="G355" s="108" t="s">
        <v>273</v>
      </c>
      <c r="H355" s="120" t="s">
        <v>300</v>
      </c>
      <c r="I355" s="111">
        <v>2</v>
      </c>
      <c r="J355" s="109" t="s">
        <v>537</v>
      </c>
      <c r="K355" s="105" t="s">
        <v>538</v>
      </c>
      <c r="L355" s="107" t="str">
        <f ca="1">VLOOKUP($K355,OFFSET([1]character_type_i18n!$A$1,0,0,COUNTA([1]character_type_i18n!$A:$A),MATCH(L$1,[1]character_type_i18n!$1:$1,0)-MATCH($K$1,[1]character_type_i18n!$1:$1,0)+1),MATCH(L$1,[1]character_type_i18n!$1:$1,0)-MATCH($K$1,[1]character_type_i18n!$1:$1,0)+1,FALSE)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5" s="105" t="s">
        <v>277</v>
      </c>
      <c r="N355" s="107" t="str">
        <f>VLOOKUP(M355,[1]character_tribe_i18n!A:C,3,FALSE)</f>
        <v>Unknown</v>
      </c>
      <c r="O355" s="105" t="s">
        <v>278</v>
      </c>
      <c r="P355" s="107" t="str">
        <f>VLOOKUP(O355,[1]character_tribe_i18n!A:C,3,FALSE)</f>
        <v>種族なし</v>
      </c>
      <c r="Q355" s="110" t="s">
        <v>1024</v>
      </c>
      <c r="R355" s="111">
        <v>3</v>
      </c>
      <c r="S355" s="108" t="s">
        <v>280</v>
      </c>
      <c r="T355" s="108" t="s">
        <v>281</v>
      </c>
      <c r="U355" s="108" t="s">
        <v>280</v>
      </c>
      <c r="V355" s="108" t="s">
        <v>280</v>
      </c>
      <c r="W355" s="108" t="s">
        <v>280</v>
      </c>
    </row>
    <row r="356" spans="1:23" ht="21" customHeight="1" x14ac:dyDescent="0.15">
      <c r="A356" s="104">
        <f t="shared" si="5"/>
        <v>355</v>
      </c>
      <c r="B356" s="105" t="s">
        <v>268</v>
      </c>
      <c r="C356" s="121" t="s">
        <v>1093</v>
      </c>
      <c r="D356" s="107" t="s">
        <v>1094</v>
      </c>
      <c r="E356" s="108" t="s">
        <v>554</v>
      </c>
      <c r="F356" s="108" t="s">
        <v>272</v>
      </c>
      <c r="G356" s="108" t="s">
        <v>273</v>
      </c>
      <c r="H356" s="120" t="s">
        <v>300</v>
      </c>
      <c r="I356" s="111">
        <v>4</v>
      </c>
      <c r="J356" s="109" t="s">
        <v>537</v>
      </c>
      <c r="K356" s="105" t="s">
        <v>538</v>
      </c>
      <c r="L356" s="107" t="str">
        <f ca="1">VLOOKUP($K356,OFFSET([1]character_type_i18n!$A$1,0,0,COUNTA([1]character_type_i18n!$A:$A),MATCH(L$1,[1]character_type_i18n!$1:$1,0)-MATCH($K$1,[1]character_type_i18n!$1:$1,0)+1),MATCH(L$1,[1]character_type_i18n!$1:$1,0)-MATCH($K$1,[1]character_type_i18n!$1:$1,0)+1,FALSE)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6" s="105" t="s">
        <v>277</v>
      </c>
      <c r="N356" s="107" t="str">
        <f>VLOOKUP(M356,[1]character_tribe_i18n!A:C,3,FALSE)</f>
        <v>Unknown</v>
      </c>
      <c r="O356" s="105" t="s">
        <v>278</v>
      </c>
      <c r="P356" s="107" t="str">
        <f>VLOOKUP(O356,[1]character_tribe_i18n!A:C,3,FALSE)</f>
        <v>種族なし</v>
      </c>
      <c r="Q356" s="110" t="s">
        <v>1024</v>
      </c>
      <c r="R356" s="111">
        <v>3</v>
      </c>
      <c r="S356" s="108" t="s">
        <v>1064</v>
      </c>
      <c r="T356" s="108" t="s">
        <v>1095</v>
      </c>
      <c r="U356" s="108" t="s">
        <v>1064</v>
      </c>
      <c r="V356" s="108" t="s">
        <v>1064</v>
      </c>
      <c r="W356" s="108" t="s">
        <v>1064</v>
      </c>
    </row>
    <row r="357" spans="1:23" ht="21" customHeight="1" x14ac:dyDescent="0.15">
      <c r="A357" s="104">
        <f t="shared" si="5"/>
        <v>356</v>
      </c>
      <c r="B357" s="105" t="s">
        <v>268</v>
      </c>
      <c r="C357" s="121" t="s">
        <v>1096</v>
      </c>
      <c r="D357" s="123" t="s">
        <v>1097</v>
      </c>
      <c r="E357" s="108"/>
      <c r="F357" s="108" t="s">
        <v>272</v>
      </c>
      <c r="G357" s="108" t="s">
        <v>273</v>
      </c>
      <c r="H357" s="111" t="s">
        <v>536</v>
      </c>
      <c r="I357" s="108">
        <v>5</v>
      </c>
      <c r="J357" s="109" t="s">
        <v>537</v>
      </c>
      <c r="K357" s="105" t="s">
        <v>560</v>
      </c>
      <c r="L357" s="107" t="str">
        <f ca="1">VLOOKUP($K357,OFFSET([1]character_type_i18n!$A$1,0,0,COUNTA([1]character_type_i18n!$A:$A),MATCH(L$1,[1]character_type_i18n!$1:$1,0)-MATCH($K$1,[1]character_type_i18n!$1:$1,0)+1),MATCH(L$1,[1]character_type_i18n!$1:$1,0)-MATCH($K$1,[1]character_type_i18n!$1:$1,0)+1,FALSE)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357" s="105" t="s">
        <v>277</v>
      </c>
      <c r="N357" s="107" t="str">
        <f>VLOOKUP(M357,[1]character_tribe_i18n!A:C,3,FALSE)</f>
        <v>Unknown</v>
      </c>
      <c r="O357" s="105" t="s">
        <v>278</v>
      </c>
      <c r="P357" s="107" t="str">
        <f>VLOOKUP(O357,[1]character_tribe_i18n!A:C,3,FALSE)</f>
        <v>種族なし</v>
      </c>
      <c r="Q357" s="110" t="s">
        <v>556</v>
      </c>
      <c r="R357" s="111">
        <v>3</v>
      </c>
      <c r="S357" s="108" t="s">
        <v>280</v>
      </c>
      <c r="T357" s="108" t="s">
        <v>281</v>
      </c>
      <c r="U357" s="108" t="s">
        <v>280</v>
      </c>
      <c r="V357" s="108" t="s">
        <v>280</v>
      </c>
      <c r="W357" s="108" t="s">
        <v>280</v>
      </c>
    </row>
    <row r="358" spans="1:23" ht="21" customHeight="1" x14ac:dyDescent="0.15">
      <c r="A358" s="104">
        <f t="shared" si="5"/>
        <v>357</v>
      </c>
      <c r="B358" s="105" t="s">
        <v>268</v>
      </c>
      <c r="C358" s="121" t="s">
        <v>1098</v>
      </c>
      <c r="D358" s="123" t="s">
        <v>1099</v>
      </c>
      <c r="E358" s="108"/>
      <c r="F358" s="108" t="s">
        <v>272</v>
      </c>
      <c r="G358" s="108" t="s">
        <v>273</v>
      </c>
      <c r="H358" s="111" t="s">
        <v>545</v>
      </c>
      <c r="I358" s="108">
        <v>5</v>
      </c>
      <c r="J358" s="109" t="s">
        <v>537</v>
      </c>
      <c r="K358" s="105" t="s">
        <v>560</v>
      </c>
      <c r="L358" s="107" t="str">
        <f ca="1">VLOOKUP($K358,OFFSET([1]character_type_i18n!$A$1,0,0,COUNTA([1]character_type_i18n!$A:$A),MATCH(L$1,[1]character_type_i18n!$1:$1,0)-MATCH($K$1,[1]character_type_i18n!$1:$1,0)+1),MATCH(L$1,[1]character_type_i18n!$1:$1,0)-MATCH($K$1,[1]character_type_i18n!$1:$1,0)+1,FALSE)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358" s="105" t="s">
        <v>277</v>
      </c>
      <c r="N358" s="107" t="str">
        <f>VLOOKUP(M358,[1]character_tribe_i18n!A:C,3,FALSE)</f>
        <v>Unknown</v>
      </c>
      <c r="O358" s="105" t="s">
        <v>278</v>
      </c>
      <c r="P358" s="107" t="str">
        <f>VLOOKUP(O358,[1]character_tribe_i18n!A:C,3,FALSE)</f>
        <v>種族なし</v>
      </c>
      <c r="Q358" s="110" t="s">
        <v>556</v>
      </c>
      <c r="R358" s="111">
        <v>3</v>
      </c>
      <c r="S358" s="108" t="s">
        <v>280</v>
      </c>
      <c r="T358" s="108" t="s">
        <v>281</v>
      </c>
      <c r="U358" s="108" t="s">
        <v>280</v>
      </c>
      <c r="V358" s="108" t="s">
        <v>280</v>
      </c>
      <c r="W358" s="108" t="s">
        <v>280</v>
      </c>
    </row>
    <row r="359" spans="1:23" ht="21" customHeight="1" x14ac:dyDescent="0.15">
      <c r="A359" s="104">
        <f t="shared" si="5"/>
        <v>358</v>
      </c>
      <c r="B359" s="105" t="s">
        <v>268</v>
      </c>
      <c r="C359" s="121" t="s">
        <v>1100</v>
      </c>
      <c r="D359" s="123" t="s">
        <v>1101</v>
      </c>
      <c r="E359" s="108"/>
      <c r="F359" s="108" t="s">
        <v>272</v>
      </c>
      <c r="G359" s="108" t="s">
        <v>273</v>
      </c>
      <c r="H359" s="111" t="s">
        <v>618</v>
      </c>
      <c r="I359" s="108">
        <v>5</v>
      </c>
      <c r="J359" s="109" t="s">
        <v>537</v>
      </c>
      <c r="K359" s="105" t="s">
        <v>560</v>
      </c>
      <c r="L359" s="107" t="str">
        <f ca="1">VLOOKUP($K359,OFFSET([1]character_type_i18n!$A$1,0,0,COUNTA([1]character_type_i18n!$A:$A),MATCH(L$1,[1]character_type_i18n!$1:$1,0)-MATCH($K$1,[1]character_type_i18n!$1:$1,0)+1),MATCH(L$1,[1]character_type_i18n!$1:$1,0)-MATCH($K$1,[1]character_type_i18n!$1:$1,0)+1,FALSE)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359" s="105" t="s">
        <v>277</v>
      </c>
      <c r="N359" s="107" t="str">
        <f>VLOOKUP(M359,[1]character_tribe_i18n!A:C,3,FALSE)</f>
        <v>Unknown</v>
      </c>
      <c r="O359" s="105" t="s">
        <v>278</v>
      </c>
      <c r="P359" s="107" t="str">
        <f>VLOOKUP(O359,[1]character_tribe_i18n!A:C,3,FALSE)</f>
        <v>種族なし</v>
      </c>
      <c r="Q359" s="110" t="s">
        <v>556</v>
      </c>
      <c r="R359" s="111">
        <v>3</v>
      </c>
      <c r="S359" s="108" t="s">
        <v>1102</v>
      </c>
      <c r="T359" s="108" t="s">
        <v>1103</v>
      </c>
      <c r="U359" s="108" t="s">
        <v>280</v>
      </c>
      <c r="V359" s="108" t="s">
        <v>280</v>
      </c>
      <c r="W359" s="108" t="s">
        <v>280</v>
      </c>
    </row>
    <row r="360" spans="1:23" ht="21" customHeight="1" x14ac:dyDescent="0.15">
      <c r="A360" s="104">
        <f t="shared" si="5"/>
        <v>359</v>
      </c>
      <c r="B360" s="105" t="s">
        <v>268</v>
      </c>
      <c r="C360" s="121" t="s">
        <v>1104</v>
      </c>
      <c r="D360" s="123" t="s">
        <v>1105</v>
      </c>
      <c r="E360" s="108"/>
      <c r="F360" s="108" t="s">
        <v>272</v>
      </c>
      <c r="G360" s="108" t="s">
        <v>273</v>
      </c>
      <c r="H360" s="111" t="s">
        <v>1106</v>
      </c>
      <c r="I360" s="108">
        <v>5</v>
      </c>
      <c r="J360" s="109" t="s">
        <v>537</v>
      </c>
      <c r="K360" s="105" t="s">
        <v>560</v>
      </c>
      <c r="L360" s="107" t="str">
        <f ca="1">VLOOKUP($K360,OFFSET([1]character_type_i18n!$A$1,0,0,COUNTA([1]character_type_i18n!$A:$A),MATCH(L$1,[1]character_type_i18n!$1:$1,0)-MATCH($K$1,[1]character_type_i18n!$1:$1,0)+1),MATCH(L$1,[1]character_type_i18n!$1:$1,0)-MATCH($K$1,[1]character_type_i18n!$1:$1,0)+1,FALSE)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360" s="105" t="s">
        <v>277</v>
      </c>
      <c r="N360" s="107" t="str">
        <f>VLOOKUP(M360,[1]character_tribe_i18n!A:C,3,FALSE)</f>
        <v>Unknown</v>
      </c>
      <c r="O360" s="105" t="s">
        <v>278</v>
      </c>
      <c r="P360" s="107" t="str">
        <f>VLOOKUP(O360,[1]character_tribe_i18n!A:C,3,FALSE)</f>
        <v>種族なし</v>
      </c>
      <c r="Q360" s="110" t="s">
        <v>556</v>
      </c>
      <c r="R360" s="111">
        <v>3</v>
      </c>
      <c r="S360" s="108" t="s">
        <v>1107</v>
      </c>
      <c r="T360" s="108" t="s">
        <v>1108</v>
      </c>
      <c r="U360" s="108" t="s">
        <v>1107</v>
      </c>
      <c r="V360" s="108" t="s">
        <v>1107</v>
      </c>
      <c r="W360" s="108" t="s">
        <v>1107</v>
      </c>
    </row>
    <row r="361" spans="1:23" ht="21" customHeight="1" x14ac:dyDescent="0.15">
      <c r="A361" s="104">
        <f t="shared" si="5"/>
        <v>360</v>
      </c>
      <c r="B361" s="105" t="s">
        <v>1109</v>
      </c>
      <c r="C361" s="121" t="s">
        <v>1110</v>
      </c>
      <c r="D361" s="123" t="s">
        <v>1111</v>
      </c>
      <c r="E361" s="124" t="s">
        <v>1112</v>
      </c>
      <c r="F361" s="125" t="s">
        <v>1113</v>
      </c>
      <c r="G361" s="125" t="s">
        <v>1114</v>
      </c>
      <c r="H361" s="120" t="s">
        <v>274</v>
      </c>
      <c r="I361" s="111">
        <v>2</v>
      </c>
      <c r="J361" s="117" t="s">
        <v>384</v>
      </c>
      <c r="K361" s="105" t="s">
        <v>1115</v>
      </c>
      <c r="L361" s="107" t="str">
        <f ca="1">VLOOKUP($K361,OFFSET([1]character_type_i18n!$A$1,0,0,COUNTA([1]character_type_i18n!$A:$A),MATCH(L$1,[1]character_type_i18n!$1:$1,0)-MATCH($K$1,[1]character_type_i18n!$1:$1,0)+1),MATCH(L$1,[1]character_type_i18n!$1:$1,0)-MATCH($K$1,[1]character_type_i18n!$1:$1,0)+1,FALSE)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61" s="105" t="s">
        <v>318</v>
      </c>
      <c r="N361" s="107" t="str">
        <f>VLOOKUP(M361,[1]character_tribe_i18n!A:C,3,FALSE)</f>
        <v>アニマル</v>
      </c>
      <c r="O361" s="105" t="s">
        <v>278</v>
      </c>
      <c r="P361" s="107" t="str">
        <f>VLOOKUP(O361,[1]character_tribe_i18n!A:C,3,FALSE)</f>
        <v>種族なし</v>
      </c>
      <c r="Q361" s="110"/>
      <c r="R361" s="111">
        <v>3</v>
      </c>
      <c r="S361" s="108" t="s">
        <v>1116</v>
      </c>
      <c r="T361" s="108" t="s">
        <v>1117</v>
      </c>
      <c r="U361" s="108" t="s">
        <v>1116</v>
      </c>
      <c r="V361" s="108" t="s">
        <v>1116</v>
      </c>
      <c r="W361" s="108" t="s">
        <v>1116</v>
      </c>
    </row>
    <row r="362" spans="1:23" ht="21" customHeight="1" x14ac:dyDescent="0.15">
      <c r="A362" s="104">
        <f t="shared" si="5"/>
        <v>361</v>
      </c>
      <c r="B362" s="105" t="s">
        <v>1118</v>
      </c>
      <c r="C362" s="121" t="s">
        <v>1119</v>
      </c>
      <c r="D362" s="123" t="s">
        <v>1120</v>
      </c>
      <c r="E362" s="124" t="s">
        <v>1112</v>
      </c>
      <c r="F362" s="125" t="s">
        <v>1113</v>
      </c>
      <c r="G362" s="125" t="s">
        <v>1114</v>
      </c>
      <c r="H362" s="120" t="s">
        <v>274</v>
      </c>
      <c r="I362" s="111">
        <v>3</v>
      </c>
      <c r="J362" s="117" t="s">
        <v>384</v>
      </c>
      <c r="K362" s="105" t="s">
        <v>967</v>
      </c>
      <c r="L362" s="107" t="str">
        <f ca="1">VLOOKUP($K362,OFFSET([1]character_type_i18n!$A$1,0,0,COUNTA([1]character_type_i18n!$A:$A),MATCH(L$1,[1]character_type_i18n!$1:$1,0)-MATCH($K$1,[1]character_type_i18n!$1:$1,0)+1),MATCH(L$1,[1]character_type_i18n!$1:$1,0)-MATCH($K$1,[1]character_type_i18n!$1:$1,0)+1,FALSE)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62" s="105" t="s">
        <v>318</v>
      </c>
      <c r="N362" s="107" t="str">
        <f>VLOOKUP(M362,[1]character_tribe_i18n!A:C,3,FALSE)</f>
        <v>アニマル</v>
      </c>
      <c r="O362" s="105" t="s">
        <v>278</v>
      </c>
      <c r="P362" s="107" t="str">
        <f>VLOOKUP(O362,[1]character_tribe_i18n!A:C,3,FALSE)</f>
        <v>種族なし</v>
      </c>
      <c r="Q362" s="110"/>
      <c r="R362" s="111">
        <v>3</v>
      </c>
      <c r="S362" s="108" t="s">
        <v>280</v>
      </c>
      <c r="T362" s="108" t="s">
        <v>281</v>
      </c>
      <c r="U362" s="108" t="s">
        <v>280</v>
      </c>
      <c r="V362" s="108" t="s">
        <v>280</v>
      </c>
      <c r="W362" s="108" t="s">
        <v>280</v>
      </c>
    </row>
    <row r="363" spans="1:23" ht="21" customHeight="1" x14ac:dyDescent="0.15">
      <c r="A363" s="104">
        <f t="shared" si="5"/>
        <v>362</v>
      </c>
      <c r="B363" s="105" t="s">
        <v>268</v>
      </c>
      <c r="C363" s="121" t="s">
        <v>1121</v>
      </c>
      <c r="D363" s="123" t="s">
        <v>1122</v>
      </c>
      <c r="E363" s="124" t="s">
        <v>1112</v>
      </c>
      <c r="F363" s="125" t="s">
        <v>1113</v>
      </c>
      <c r="G363" s="125" t="s">
        <v>1114</v>
      </c>
      <c r="H363" s="120" t="s">
        <v>285</v>
      </c>
      <c r="I363" s="111">
        <v>2</v>
      </c>
      <c r="J363" s="117" t="s">
        <v>384</v>
      </c>
      <c r="K363" s="105" t="s">
        <v>377</v>
      </c>
      <c r="L363" s="107" t="str">
        <f ca="1">VLOOKUP($K363,OFFSET([1]character_type_i18n!$A$1,0,0,COUNTA([1]character_type_i18n!$A:$A),MATCH(L$1,[1]character_type_i18n!$1:$1,0)-MATCH($K$1,[1]character_type_i18n!$1:$1,0)+1),MATCH(L$1,[1]character_type_i18n!$1:$1,0)-MATCH($K$1,[1]character_type_i18n!$1:$1,0)+1,FALSE)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63" s="105" t="s">
        <v>318</v>
      </c>
      <c r="N363" s="107" t="str">
        <f>VLOOKUP(M363,[1]character_tribe_i18n!A:C,3,FALSE)</f>
        <v>アニマル</v>
      </c>
      <c r="O363" s="126" t="s">
        <v>332</v>
      </c>
      <c r="P363" s="107" t="str">
        <f>VLOOKUP(O363,[1]character_tribe_i18n!A:C,3,FALSE)</f>
        <v>ヒューマン</v>
      </c>
      <c r="Q363" s="110"/>
      <c r="R363" s="111">
        <v>3</v>
      </c>
      <c r="S363" s="108" t="s">
        <v>1123</v>
      </c>
      <c r="T363" s="108" t="s">
        <v>1124</v>
      </c>
      <c r="U363" s="108" t="s">
        <v>1123</v>
      </c>
      <c r="V363" s="108" t="s">
        <v>1123</v>
      </c>
      <c r="W363" s="108" t="s">
        <v>1123</v>
      </c>
    </row>
    <row r="364" spans="1:23" ht="21" customHeight="1" x14ac:dyDescent="0.15">
      <c r="A364" s="104">
        <f t="shared" si="5"/>
        <v>363</v>
      </c>
      <c r="B364" s="105" t="s">
        <v>1125</v>
      </c>
      <c r="C364" s="121" t="s">
        <v>1126</v>
      </c>
      <c r="D364" s="123" t="s">
        <v>1120</v>
      </c>
      <c r="E364" s="124" t="s">
        <v>1112</v>
      </c>
      <c r="F364" s="125" t="s">
        <v>1113</v>
      </c>
      <c r="G364" s="125" t="s">
        <v>1114</v>
      </c>
      <c r="H364" s="120" t="s">
        <v>285</v>
      </c>
      <c r="I364" s="111">
        <v>3</v>
      </c>
      <c r="J364" s="117" t="s">
        <v>384</v>
      </c>
      <c r="K364" s="105" t="s">
        <v>377</v>
      </c>
      <c r="L364" s="107" t="str">
        <f ca="1">VLOOKUP($K364,OFFSET([1]character_type_i18n!$A$1,0,0,COUNTA([1]character_type_i18n!$A:$A),MATCH(L$1,[1]character_type_i18n!$1:$1,0)-MATCH($K$1,[1]character_type_i18n!$1:$1,0)+1),MATCH(L$1,[1]character_type_i18n!$1:$1,0)-MATCH($K$1,[1]character_type_i18n!$1:$1,0)+1,FALSE)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64" s="105" t="s">
        <v>318</v>
      </c>
      <c r="N364" s="107" t="str">
        <f>VLOOKUP(M364,[1]character_tribe_i18n!A:C,3,FALSE)</f>
        <v>アニマル</v>
      </c>
      <c r="O364" s="126" t="s">
        <v>332</v>
      </c>
      <c r="P364" s="107" t="str">
        <f>VLOOKUP(O364,[1]character_tribe_i18n!A:C,3,FALSE)</f>
        <v>ヒューマン</v>
      </c>
      <c r="Q364" s="110"/>
      <c r="R364" s="111">
        <v>3</v>
      </c>
      <c r="S364" s="108" t="s">
        <v>1123</v>
      </c>
      <c r="T364" s="108" t="s">
        <v>1124</v>
      </c>
      <c r="U364" s="108" t="s">
        <v>1123</v>
      </c>
      <c r="V364" s="108" t="s">
        <v>1123</v>
      </c>
      <c r="W364" s="108" t="s">
        <v>280</v>
      </c>
    </row>
    <row r="365" spans="1:23" ht="21" customHeight="1" x14ac:dyDescent="0.15">
      <c r="A365" s="104">
        <f t="shared" si="5"/>
        <v>364</v>
      </c>
      <c r="B365" s="105" t="s">
        <v>268</v>
      </c>
      <c r="C365" s="121" t="s">
        <v>1127</v>
      </c>
      <c r="D365" s="123" t="s">
        <v>1122</v>
      </c>
      <c r="E365" s="124" t="s">
        <v>1112</v>
      </c>
      <c r="F365" s="125" t="s">
        <v>1113</v>
      </c>
      <c r="G365" s="125" t="s">
        <v>1114</v>
      </c>
      <c r="H365" s="120" t="s">
        <v>295</v>
      </c>
      <c r="I365" s="111">
        <v>2</v>
      </c>
      <c r="J365" s="117" t="s">
        <v>384</v>
      </c>
      <c r="K365" s="105" t="s">
        <v>276</v>
      </c>
      <c r="L365" s="107" t="str">
        <f ca="1">VLOOKUP($K365,OFFSET([1]character_type_i18n!$A$1,0,0,COUNTA([1]character_type_i18n!$A:$A),MATCH(L$1,[1]character_type_i18n!$1:$1,0)-MATCH($K$1,[1]character_type_i18n!$1:$1,0)+1),MATCH(L$1,[1]character_type_i18n!$1:$1,0)-MATCH($K$1,[1]character_type_i18n!$1:$1,0)+1,FALSE)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65" s="105" t="s">
        <v>318</v>
      </c>
      <c r="N365" s="107" t="str">
        <f>VLOOKUP(M365,[1]character_tribe_i18n!A:C,3,FALSE)</f>
        <v>アニマル</v>
      </c>
      <c r="O365" s="105" t="s">
        <v>278</v>
      </c>
      <c r="P365" s="107" t="str">
        <f>VLOOKUP(O365,[1]character_tribe_i18n!A:C,3,FALSE)</f>
        <v>種族なし</v>
      </c>
      <c r="Q365" s="110"/>
      <c r="R365" s="111">
        <v>3</v>
      </c>
      <c r="S365" s="108" t="s">
        <v>1128</v>
      </c>
      <c r="T365" s="108" t="s">
        <v>1129</v>
      </c>
      <c r="U365" s="108" t="s">
        <v>1128</v>
      </c>
      <c r="V365" s="108" t="s">
        <v>1128</v>
      </c>
      <c r="W365" s="108" t="s">
        <v>1128</v>
      </c>
    </row>
    <row r="366" spans="1:23" ht="21" customHeight="1" x14ac:dyDescent="0.15">
      <c r="A366" s="104">
        <f t="shared" si="5"/>
        <v>365</v>
      </c>
      <c r="B366" s="105" t="s">
        <v>1130</v>
      </c>
      <c r="C366" s="121" t="s">
        <v>1131</v>
      </c>
      <c r="D366" s="123" t="s">
        <v>1120</v>
      </c>
      <c r="E366" s="124" t="s">
        <v>1112</v>
      </c>
      <c r="F366" s="125" t="s">
        <v>1113</v>
      </c>
      <c r="G366" s="125" t="s">
        <v>1114</v>
      </c>
      <c r="H366" s="120" t="s">
        <v>295</v>
      </c>
      <c r="I366" s="111">
        <v>3</v>
      </c>
      <c r="J366" s="117" t="s">
        <v>384</v>
      </c>
      <c r="K366" s="105" t="s">
        <v>276</v>
      </c>
      <c r="L366" s="107" t="str">
        <f ca="1">VLOOKUP($K366,OFFSET([1]character_type_i18n!$A$1,0,0,COUNTA([1]character_type_i18n!$A:$A),MATCH(L$1,[1]character_type_i18n!$1:$1,0)-MATCH($K$1,[1]character_type_i18n!$1:$1,0)+1),MATCH(L$1,[1]character_type_i18n!$1:$1,0)-MATCH($K$1,[1]character_type_i18n!$1:$1,0)+1,FALSE)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66" s="105" t="s">
        <v>318</v>
      </c>
      <c r="N366" s="107" t="str">
        <f>VLOOKUP(M366,[1]character_tribe_i18n!A:C,3,FALSE)</f>
        <v>アニマル</v>
      </c>
      <c r="O366" s="105" t="s">
        <v>278</v>
      </c>
      <c r="P366" s="107" t="str">
        <f>VLOOKUP(O366,[1]character_tribe_i18n!A:C,3,FALSE)</f>
        <v>種族なし</v>
      </c>
      <c r="Q366" s="110"/>
      <c r="R366" s="111">
        <v>3</v>
      </c>
      <c r="S366" s="108" t="s">
        <v>1132</v>
      </c>
      <c r="T366" s="108" t="s">
        <v>281</v>
      </c>
      <c r="U366" s="108" t="s">
        <v>1132</v>
      </c>
      <c r="V366" s="108" t="s">
        <v>1132</v>
      </c>
      <c r="W366" s="108" t="s">
        <v>1132</v>
      </c>
    </row>
    <row r="367" spans="1:23" ht="21" customHeight="1" x14ac:dyDescent="0.15">
      <c r="A367" s="104">
        <f t="shared" si="5"/>
        <v>366</v>
      </c>
      <c r="B367" s="105" t="s">
        <v>1133</v>
      </c>
      <c r="C367" s="121" t="s">
        <v>1134</v>
      </c>
      <c r="D367" s="123" t="s">
        <v>1135</v>
      </c>
      <c r="E367" s="124" t="s">
        <v>1112</v>
      </c>
      <c r="F367" s="125" t="s">
        <v>1113</v>
      </c>
      <c r="G367" s="125" t="s">
        <v>1114</v>
      </c>
      <c r="H367" s="120" t="s">
        <v>300</v>
      </c>
      <c r="I367" s="111">
        <v>2</v>
      </c>
      <c r="J367" s="117" t="s">
        <v>384</v>
      </c>
      <c r="K367" s="105" t="s">
        <v>286</v>
      </c>
      <c r="L367" s="107" t="str">
        <f ca="1">VLOOKUP($K367,OFFSET([1]character_type_i18n!$A$1,0,0,COUNTA([1]character_type_i18n!$A:$A),MATCH(L$1,[1]character_type_i18n!$1:$1,0)-MATCH($K$1,[1]character_type_i18n!$1:$1,0)+1),MATCH(L$1,[1]character_type_i18n!$1:$1,0)-MATCH($K$1,[1]character_type_i18n!$1:$1,0)+1,FALSE)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67" s="105" t="s">
        <v>318</v>
      </c>
      <c r="N367" s="107" t="str">
        <f>VLOOKUP(M367,[1]character_tribe_i18n!A:C,3,FALSE)</f>
        <v>アニマル</v>
      </c>
      <c r="O367" s="105" t="s">
        <v>278</v>
      </c>
      <c r="P367" s="107" t="str">
        <f>VLOOKUP(O367,[1]character_tribe_i18n!A:C,3,FALSE)</f>
        <v>種族なし</v>
      </c>
      <c r="Q367" s="110"/>
      <c r="R367" s="111">
        <v>3</v>
      </c>
      <c r="S367" s="108" t="s">
        <v>1116</v>
      </c>
      <c r="T367" s="108" t="s">
        <v>1117</v>
      </c>
      <c r="U367" s="108" t="s">
        <v>1116</v>
      </c>
      <c r="V367" s="108" t="s">
        <v>1116</v>
      </c>
      <c r="W367" s="108" t="s">
        <v>1116</v>
      </c>
    </row>
    <row r="368" spans="1:23" ht="21" customHeight="1" x14ac:dyDescent="0.15">
      <c r="A368" s="104">
        <f t="shared" si="5"/>
        <v>367</v>
      </c>
      <c r="B368" s="105" t="s">
        <v>1136</v>
      </c>
      <c r="C368" s="121" t="s">
        <v>1137</v>
      </c>
      <c r="D368" s="123" t="s">
        <v>1138</v>
      </c>
      <c r="E368" s="124" t="s">
        <v>1112</v>
      </c>
      <c r="F368" s="125" t="s">
        <v>1113</v>
      </c>
      <c r="G368" s="125" t="s">
        <v>1114</v>
      </c>
      <c r="H368" s="120" t="s">
        <v>300</v>
      </c>
      <c r="I368" s="111">
        <v>3</v>
      </c>
      <c r="J368" s="117" t="s">
        <v>384</v>
      </c>
      <c r="K368" s="105" t="s">
        <v>286</v>
      </c>
      <c r="L368" s="107" t="str">
        <f ca="1">VLOOKUP($K368,OFFSET([1]character_type_i18n!$A$1,0,0,COUNTA([1]character_type_i18n!$A:$A),MATCH(L$1,[1]character_type_i18n!$1:$1,0)-MATCH($K$1,[1]character_type_i18n!$1:$1,0)+1),MATCH(L$1,[1]character_type_i18n!$1:$1,0)-MATCH($K$1,[1]character_type_i18n!$1:$1,0)+1,FALSE)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68" s="105" t="s">
        <v>318</v>
      </c>
      <c r="N368" s="107" t="str">
        <f>VLOOKUP(M368,[1]character_tribe_i18n!A:C,3,FALSE)</f>
        <v>アニマル</v>
      </c>
      <c r="O368" s="105" t="s">
        <v>278</v>
      </c>
      <c r="P368" s="107" t="str">
        <f>VLOOKUP(O368,[1]character_tribe_i18n!A:C,3,FALSE)</f>
        <v>種族なし</v>
      </c>
      <c r="Q368" s="110"/>
      <c r="R368" s="111">
        <v>3</v>
      </c>
      <c r="S368" s="108" t="s">
        <v>280</v>
      </c>
      <c r="T368" s="108" t="s">
        <v>281</v>
      </c>
      <c r="U368" s="108" t="s">
        <v>280</v>
      </c>
      <c r="V368" s="108" t="s">
        <v>280</v>
      </c>
      <c r="W368" s="108" t="s">
        <v>280</v>
      </c>
    </row>
    <row r="369" spans="1:23" ht="21" customHeight="1" x14ac:dyDescent="0.15">
      <c r="A369" s="104">
        <f t="shared" si="5"/>
        <v>368</v>
      </c>
      <c r="B369" s="105" t="s">
        <v>268</v>
      </c>
      <c r="C369" s="127" t="s">
        <v>1139</v>
      </c>
      <c r="D369" s="123" t="s">
        <v>1140</v>
      </c>
      <c r="E369" s="108" t="s">
        <v>988</v>
      </c>
      <c r="F369" s="108" t="s">
        <v>966</v>
      </c>
      <c r="G369" s="108" t="s">
        <v>861</v>
      </c>
      <c r="H369" s="128" t="s">
        <v>1141</v>
      </c>
      <c r="I369" s="109">
        <v>4</v>
      </c>
      <c r="J369" s="109" t="s">
        <v>993</v>
      </c>
      <c r="K369" s="105" t="s">
        <v>377</v>
      </c>
      <c r="L369" s="107" t="str">
        <f ca="1">VLOOKUP($K369,OFFSET([1]character_type_i18n!$A$1,0,0,COUNTA([1]character_type_i18n!$A:$A),MATCH(L$1,[1]character_type_i18n!$1:$1,0)-MATCH($K$1,[1]character_type_i18n!$1:$1,0)+1),MATCH(L$1,[1]character_type_i18n!$1:$1,0)-MATCH($K$1,[1]character_type_i18n!$1:$1,0)+1,FALSE)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69" s="105" t="s">
        <v>332</v>
      </c>
      <c r="N369" s="107" t="str">
        <f>VLOOKUP(M369,[1]character_tribe_i18n!A:C,3,FALSE)</f>
        <v>ヒューマン</v>
      </c>
      <c r="O369" s="105" t="s">
        <v>1017</v>
      </c>
      <c r="P369" s="107" t="str">
        <f>VLOOKUP(O369,[1]character_tribe_i18n!A:C,3,FALSE)</f>
        <v>マシン</v>
      </c>
      <c r="Q369" s="110"/>
      <c r="R369" s="111">
        <v>3</v>
      </c>
      <c r="S369" s="108" t="s">
        <v>280</v>
      </c>
      <c r="T369" s="108" t="s">
        <v>281</v>
      </c>
      <c r="U369" s="108" t="s">
        <v>280</v>
      </c>
      <c r="V369" s="108" t="s">
        <v>280</v>
      </c>
      <c r="W369" s="108" t="s">
        <v>280</v>
      </c>
    </row>
    <row r="370" spans="1:23" ht="21" customHeight="1" x14ac:dyDescent="0.15">
      <c r="A370" s="104">
        <f t="shared" si="5"/>
        <v>369</v>
      </c>
      <c r="B370" s="105" t="s">
        <v>1142</v>
      </c>
      <c r="C370" s="121" t="s">
        <v>1143</v>
      </c>
      <c r="D370" s="123" t="s">
        <v>1144</v>
      </c>
      <c r="E370" s="108" t="s">
        <v>988</v>
      </c>
      <c r="F370" s="108" t="s">
        <v>966</v>
      </c>
      <c r="G370" s="108" t="s">
        <v>861</v>
      </c>
      <c r="H370" s="120" t="s">
        <v>1145</v>
      </c>
      <c r="I370" s="109">
        <v>5</v>
      </c>
      <c r="J370" s="109" t="s">
        <v>1146</v>
      </c>
      <c r="K370" s="105" t="s">
        <v>377</v>
      </c>
      <c r="L370" s="107" t="str">
        <f ca="1">VLOOKUP($K370,OFFSET([1]character_type_i18n!$A$1,0,0,COUNTA([1]character_type_i18n!$A:$A),MATCH(L$1,[1]character_type_i18n!$1:$1,0)-MATCH($K$1,[1]character_type_i18n!$1:$1,0)+1),MATCH(L$1,[1]character_type_i18n!$1:$1,0)-MATCH($K$1,[1]character_type_i18n!$1:$1,0)+1,FALSE)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0" s="105" t="s">
        <v>332</v>
      </c>
      <c r="N370" s="107" t="str">
        <f>VLOOKUP(M370,[1]character_tribe_i18n!A:C,3,FALSE)</f>
        <v>ヒューマン</v>
      </c>
      <c r="O370" s="105" t="s">
        <v>1147</v>
      </c>
      <c r="P370" s="107" t="str">
        <f>VLOOKUP(O370,[1]character_tribe_i18n!A:C,3,FALSE)</f>
        <v>マシン</v>
      </c>
      <c r="Q370" s="110"/>
      <c r="R370" s="111">
        <v>3</v>
      </c>
      <c r="S370" s="108" t="s">
        <v>1132</v>
      </c>
      <c r="T370" s="108" t="s">
        <v>1148</v>
      </c>
      <c r="U370" s="108" t="s">
        <v>1132</v>
      </c>
      <c r="V370" s="108" t="s">
        <v>1132</v>
      </c>
      <c r="W370" s="108" t="s">
        <v>1132</v>
      </c>
    </row>
    <row r="371" spans="1:23" ht="21" customHeight="1" x14ac:dyDescent="0.15">
      <c r="A371" s="104">
        <f t="shared" si="5"/>
        <v>370</v>
      </c>
      <c r="B371" s="105" t="s">
        <v>1133</v>
      </c>
      <c r="C371" s="127" t="s">
        <v>1149</v>
      </c>
      <c r="D371" s="123" t="s">
        <v>1135</v>
      </c>
      <c r="E371" s="108" t="s">
        <v>988</v>
      </c>
      <c r="F371" s="108" t="s">
        <v>966</v>
      </c>
      <c r="G371" s="108" t="s">
        <v>1150</v>
      </c>
      <c r="H371" s="128" t="s">
        <v>1141</v>
      </c>
      <c r="I371" s="109">
        <v>2</v>
      </c>
      <c r="J371" s="109" t="s">
        <v>1151</v>
      </c>
      <c r="K371" s="105" t="s">
        <v>1005</v>
      </c>
      <c r="L371" s="107" t="str">
        <f ca="1">VLOOKUP($K371,OFFSET([1]character_type_i18n!$A$1,0,0,COUNTA([1]character_type_i18n!$A:$A),MATCH(L$1,[1]character_type_i18n!$1:$1,0)-MATCH($K$1,[1]character_type_i18n!$1:$1,0)+1),MATCH(L$1,[1]character_type_i18n!$1:$1,0)-MATCH($K$1,[1]character_type_i18n!$1:$1,0)+1,FALSE)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71" s="105" t="s">
        <v>1152</v>
      </c>
      <c r="N371" s="107" t="str">
        <f>VLOOKUP(M371,[1]character_tribe_i18n!A:C,3,FALSE)</f>
        <v>Unknown</v>
      </c>
      <c r="O371" s="105" t="s">
        <v>278</v>
      </c>
      <c r="P371" s="107" t="str">
        <f>VLOOKUP(O371,[1]character_tribe_i18n!A:C,3,FALSE)</f>
        <v>種族なし</v>
      </c>
      <c r="Q371" s="110"/>
      <c r="R371" s="111">
        <v>3</v>
      </c>
      <c r="S371" s="108" t="s">
        <v>1153</v>
      </c>
      <c r="T371" s="108" t="s">
        <v>1154</v>
      </c>
      <c r="U371" s="108" t="s">
        <v>1153</v>
      </c>
      <c r="V371" s="108" t="s">
        <v>1153</v>
      </c>
      <c r="W371" s="108" t="s">
        <v>1153</v>
      </c>
    </row>
    <row r="372" spans="1:23" ht="21" customHeight="1" x14ac:dyDescent="0.15">
      <c r="A372" s="104">
        <f t="shared" si="5"/>
        <v>371</v>
      </c>
      <c r="B372" s="105" t="s">
        <v>1155</v>
      </c>
      <c r="C372" s="127" t="s">
        <v>1156</v>
      </c>
      <c r="D372" s="123" t="s">
        <v>1157</v>
      </c>
      <c r="E372" s="108" t="s">
        <v>988</v>
      </c>
      <c r="F372" s="108" t="s">
        <v>966</v>
      </c>
      <c r="G372" s="108" t="s">
        <v>1150</v>
      </c>
      <c r="H372" s="120" t="s">
        <v>1158</v>
      </c>
      <c r="I372" s="109">
        <v>3</v>
      </c>
      <c r="J372" s="109" t="s">
        <v>1159</v>
      </c>
      <c r="K372" s="105" t="s">
        <v>1160</v>
      </c>
      <c r="L372" s="107" t="str">
        <f ca="1">VLOOKUP($K372,OFFSET([1]character_type_i18n!$A$1,0,0,COUNTA([1]character_type_i18n!$A:$A),MATCH(L$1,[1]character_type_i18n!$1:$1,0)-MATCH($K$1,[1]character_type_i18n!$1:$1,0)+1),MATCH(L$1,[1]character_type_i18n!$1:$1,0)-MATCH($K$1,[1]character_type_i18n!$1:$1,0)+1,FALSE)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72" s="105" t="s">
        <v>1161</v>
      </c>
      <c r="N372" s="107" t="str">
        <f>VLOOKUP(M372,[1]character_tribe_i18n!A:C,3,FALSE)</f>
        <v>Unknown</v>
      </c>
      <c r="O372" s="105" t="s">
        <v>278</v>
      </c>
      <c r="P372" s="107" t="str">
        <f>VLOOKUP(O372,[1]character_tribe_i18n!A:C,3,FALSE)</f>
        <v>種族なし</v>
      </c>
      <c r="Q372" s="110"/>
      <c r="R372" s="111">
        <v>3</v>
      </c>
      <c r="S372" s="108" t="s">
        <v>1153</v>
      </c>
      <c r="T372" s="108" t="s">
        <v>1154</v>
      </c>
      <c r="U372" s="108" t="s">
        <v>1153</v>
      </c>
      <c r="V372" s="108" t="s">
        <v>1153</v>
      </c>
      <c r="W372" s="108" t="s">
        <v>1153</v>
      </c>
    </row>
    <row r="373" spans="1:23" ht="21" customHeight="1" x14ac:dyDescent="0.15">
      <c r="A373" s="104">
        <f t="shared" si="5"/>
        <v>372</v>
      </c>
      <c r="B373" s="105" t="s">
        <v>1155</v>
      </c>
      <c r="C373" s="127" t="s">
        <v>1162</v>
      </c>
      <c r="D373" s="123" t="s">
        <v>1157</v>
      </c>
      <c r="E373" s="108" t="s">
        <v>988</v>
      </c>
      <c r="F373" s="108" t="s">
        <v>966</v>
      </c>
      <c r="G373" s="108" t="s">
        <v>1150</v>
      </c>
      <c r="H373" s="128" t="s">
        <v>545</v>
      </c>
      <c r="I373" s="109">
        <v>2</v>
      </c>
      <c r="J373" s="109" t="s">
        <v>384</v>
      </c>
      <c r="K373" s="105" t="s">
        <v>286</v>
      </c>
      <c r="L373" s="107" t="str">
        <f ca="1">VLOOKUP($K373,OFFSET([1]character_type_i18n!$A$1,0,0,COUNTA([1]character_type_i18n!$A:$A),MATCH(L$1,[1]character_type_i18n!$1:$1,0)-MATCH($K$1,[1]character_type_i18n!$1:$1,0)+1),MATCH(L$1,[1]character_type_i18n!$1:$1,0)-MATCH($K$1,[1]character_type_i18n!$1:$1,0)+1,FALSE)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73" s="105" t="s">
        <v>1152</v>
      </c>
      <c r="N373" s="107" t="str">
        <f>VLOOKUP(M373,[1]character_tribe_i18n!A:C,3,FALSE)</f>
        <v>Unknown</v>
      </c>
      <c r="O373" s="105" t="s">
        <v>278</v>
      </c>
      <c r="P373" s="107" t="str">
        <f>VLOOKUP(O373,[1]character_tribe_i18n!A:C,3,FALSE)</f>
        <v>種族なし</v>
      </c>
      <c r="Q373" s="110"/>
      <c r="R373" s="111">
        <v>3</v>
      </c>
      <c r="S373" s="108" t="s">
        <v>280</v>
      </c>
      <c r="T373" s="108" t="s">
        <v>281</v>
      </c>
      <c r="U373" s="108" t="s">
        <v>280</v>
      </c>
      <c r="V373" s="108" t="s">
        <v>280</v>
      </c>
      <c r="W373" s="108" t="s">
        <v>280</v>
      </c>
    </row>
    <row r="374" spans="1:23" ht="21" customHeight="1" x14ac:dyDescent="0.15">
      <c r="A374" s="104">
        <f t="shared" si="5"/>
        <v>373</v>
      </c>
      <c r="B374" s="105" t="s">
        <v>268</v>
      </c>
      <c r="C374" s="127" t="s">
        <v>1163</v>
      </c>
      <c r="D374" s="123" t="s">
        <v>1122</v>
      </c>
      <c r="E374" s="108" t="s">
        <v>988</v>
      </c>
      <c r="F374" s="108" t="s">
        <v>966</v>
      </c>
      <c r="G374" s="108" t="s">
        <v>1150</v>
      </c>
      <c r="H374" s="128" t="s">
        <v>545</v>
      </c>
      <c r="I374" s="109">
        <v>3</v>
      </c>
      <c r="J374" s="109" t="s">
        <v>384</v>
      </c>
      <c r="K374" s="105" t="s">
        <v>286</v>
      </c>
      <c r="L374" s="107" t="str">
        <f ca="1">VLOOKUP($K374,OFFSET([1]character_type_i18n!$A$1,0,0,COUNTA([1]character_type_i18n!$A:$A),MATCH(L$1,[1]character_type_i18n!$1:$1,0)-MATCH($K$1,[1]character_type_i18n!$1:$1,0)+1),MATCH(L$1,[1]character_type_i18n!$1:$1,0)-MATCH($K$1,[1]character_type_i18n!$1:$1,0)+1,FALSE)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74" s="105" t="s">
        <v>1164</v>
      </c>
      <c r="N374" s="107" t="str">
        <f>VLOOKUP(M374,[1]character_tribe_i18n!A:C,3,FALSE)</f>
        <v>Unknown</v>
      </c>
      <c r="O374" s="105" t="s">
        <v>278</v>
      </c>
      <c r="P374" s="107" t="str">
        <f>VLOOKUP(O374,[1]character_tribe_i18n!A:C,3,FALSE)</f>
        <v>種族なし</v>
      </c>
      <c r="Q374" s="110"/>
      <c r="R374" s="111">
        <v>3</v>
      </c>
      <c r="S374" s="108" t="s">
        <v>280</v>
      </c>
      <c r="T374" s="108" t="s">
        <v>281</v>
      </c>
      <c r="U374" s="108" t="s">
        <v>280</v>
      </c>
      <c r="V374" s="108" t="s">
        <v>280</v>
      </c>
      <c r="W374" s="108" t="s">
        <v>280</v>
      </c>
    </row>
    <row r="375" spans="1:23" ht="21" customHeight="1" x14ac:dyDescent="0.15">
      <c r="A375" s="104">
        <f t="shared" si="5"/>
        <v>374</v>
      </c>
      <c r="B375" s="105" t="s">
        <v>268</v>
      </c>
      <c r="C375" s="127" t="s">
        <v>1165</v>
      </c>
      <c r="D375" s="123" t="s">
        <v>1122</v>
      </c>
      <c r="E375" s="108" t="s">
        <v>988</v>
      </c>
      <c r="F375" s="108" t="s">
        <v>966</v>
      </c>
      <c r="G375" s="108" t="s">
        <v>1150</v>
      </c>
      <c r="H375" s="128" t="s">
        <v>618</v>
      </c>
      <c r="I375" s="109">
        <v>2</v>
      </c>
      <c r="J375" s="109" t="s">
        <v>384</v>
      </c>
      <c r="K375" s="105" t="s">
        <v>1166</v>
      </c>
      <c r="L375" s="107" t="str">
        <f ca="1">VLOOKUP($K375,OFFSET([1]character_type_i18n!$A$1,0,0,COUNTA([1]character_type_i18n!$A:$A),MATCH(L$1,[1]character_type_i18n!$1:$1,0)-MATCH($K$1,[1]character_type_i18n!$1:$1,0)+1),MATCH(L$1,[1]character_type_i18n!$1:$1,0)-MATCH($K$1,[1]character_type_i18n!$1:$1,0)+1,FALSE)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5" s="105" t="s">
        <v>1167</v>
      </c>
      <c r="N375" s="107" t="str">
        <f>VLOOKUP(M375,[1]character_tribe_i18n!A:C,3,FALSE)</f>
        <v>アニマル</v>
      </c>
      <c r="O375" s="105" t="s">
        <v>278</v>
      </c>
      <c r="P375" s="107" t="str">
        <f>VLOOKUP(O375,[1]character_tribe_i18n!A:C,3,FALSE)</f>
        <v>種族なし</v>
      </c>
      <c r="Q375" s="110"/>
      <c r="R375" s="111">
        <v>3</v>
      </c>
      <c r="S375" s="108" t="s">
        <v>289</v>
      </c>
      <c r="T375" s="108" t="s">
        <v>288</v>
      </c>
      <c r="U375" s="108" t="s">
        <v>289</v>
      </c>
      <c r="V375" s="108" t="s">
        <v>289</v>
      </c>
      <c r="W375" s="108" t="s">
        <v>289</v>
      </c>
    </row>
    <row r="376" spans="1:23" ht="21" customHeight="1" x14ac:dyDescent="0.15">
      <c r="A376" s="104">
        <f t="shared" si="5"/>
        <v>375</v>
      </c>
      <c r="B376" s="105" t="s">
        <v>292</v>
      </c>
      <c r="C376" s="127" t="s">
        <v>1168</v>
      </c>
      <c r="D376" s="123" t="s">
        <v>1169</v>
      </c>
      <c r="E376" s="108" t="s">
        <v>988</v>
      </c>
      <c r="F376" s="108" t="s">
        <v>966</v>
      </c>
      <c r="G376" s="108" t="s">
        <v>1150</v>
      </c>
      <c r="H376" s="120" t="s">
        <v>1170</v>
      </c>
      <c r="I376" s="109">
        <v>3</v>
      </c>
      <c r="J376" s="109" t="s">
        <v>384</v>
      </c>
      <c r="K376" s="105" t="s">
        <v>1171</v>
      </c>
      <c r="L376" s="107" t="str">
        <f ca="1">VLOOKUP($K376,OFFSET([1]character_type_i18n!$A$1,0,0,COUNTA([1]character_type_i18n!$A:$A),MATCH(L$1,[1]character_type_i18n!$1:$1,0)-MATCH($K$1,[1]character_type_i18n!$1:$1,0)+1),MATCH(L$1,[1]character_type_i18n!$1:$1,0)-MATCH($K$1,[1]character_type_i18n!$1:$1,0)+1,FALSE)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6" s="105" t="s">
        <v>1172</v>
      </c>
      <c r="N376" s="107" t="str">
        <f>VLOOKUP(M376,[1]character_tribe_i18n!A:C,3,FALSE)</f>
        <v>アニマル</v>
      </c>
      <c r="O376" s="105" t="s">
        <v>278</v>
      </c>
      <c r="P376" s="107" t="str">
        <f>VLOOKUP(O376,[1]character_tribe_i18n!A:C,3,FALSE)</f>
        <v>種族なし</v>
      </c>
      <c r="Q376" s="110"/>
      <c r="R376" s="111">
        <v>3</v>
      </c>
      <c r="S376" s="108" t="s">
        <v>1173</v>
      </c>
      <c r="T376" s="108" t="s">
        <v>1174</v>
      </c>
      <c r="U376" s="108" t="s">
        <v>1173</v>
      </c>
      <c r="V376" s="108" t="s">
        <v>1173</v>
      </c>
      <c r="W376" s="108" t="s">
        <v>1173</v>
      </c>
    </row>
    <row r="377" spans="1:23" ht="21" customHeight="1" x14ac:dyDescent="0.15">
      <c r="A377" s="104">
        <f t="shared" si="5"/>
        <v>376</v>
      </c>
      <c r="B377" s="105" t="s">
        <v>292</v>
      </c>
      <c r="C377" s="127" t="s">
        <v>1175</v>
      </c>
      <c r="D377" s="123" t="s">
        <v>1176</v>
      </c>
      <c r="E377" s="108" t="s">
        <v>988</v>
      </c>
      <c r="F377" s="108" t="s">
        <v>966</v>
      </c>
      <c r="G377" s="108" t="s">
        <v>1150</v>
      </c>
      <c r="H377" s="128" t="s">
        <v>1106</v>
      </c>
      <c r="I377" s="109">
        <v>3</v>
      </c>
      <c r="J377" s="109" t="s">
        <v>384</v>
      </c>
      <c r="K377" s="105" t="s">
        <v>1166</v>
      </c>
      <c r="L377" s="107" t="str">
        <f ca="1">VLOOKUP($K377,OFFSET([1]character_type_i18n!$A$1,0,0,COUNTA([1]character_type_i18n!$A:$A),MATCH(L$1,[1]character_type_i18n!$1:$1,0)-MATCH($K$1,[1]character_type_i18n!$1:$1,0)+1),MATCH(L$1,[1]character_type_i18n!$1:$1,0)-MATCH($K$1,[1]character_type_i18n!$1:$1,0)+1,FALSE)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7" s="105" t="s">
        <v>1167</v>
      </c>
      <c r="N377" s="107" t="str">
        <f>VLOOKUP(M377,[1]character_tribe_i18n!A:C,3,FALSE)</f>
        <v>アニマル</v>
      </c>
      <c r="O377" s="105" t="s">
        <v>278</v>
      </c>
      <c r="P377" s="107" t="str">
        <f>VLOOKUP(O377,[1]character_tribe_i18n!A:C,3,FALSE)</f>
        <v>種族なし</v>
      </c>
      <c r="Q377" s="110"/>
      <c r="R377" s="111">
        <v>3</v>
      </c>
      <c r="S377" s="108" t="s">
        <v>280</v>
      </c>
      <c r="T377" s="108" t="s">
        <v>281</v>
      </c>
      <c r="U377" s="108" t="s">
        <v>280</v>
      </c>
      <c r="V377" s="108" t="s">
        <v>280</v>
      </c>
      <c r="W377" s="108" t="s">
        <v>280</v>
      </c>
    </row>
    <row r="378" spans="1:23" ht="21" customHeight="1" x14ac:dyDescent="0.15">
      <c r="A378" s="104">
        <f t="shared" si="5"/>
        <v>377</v>
      </c>
      <c r="B378" s="105" t="s">
        <v>268</v>
      </c>
      <c r="C378" s="127" t="s">
        <v>1177</v>
      </c>
      <c r="D378" s="123" t="s">
        <v>1176</v>
      </c>
      <c r="E378" s="108" t="s">
        <v>988</v>
      </c>
      <c r="F378" s="108" t="s">
        <v>966</v>
      </c>
      <c r="G378" s="108" t="s">
        <v>1150</v>
      </c>
      <c r="H378" s="120" t="s">
        <v>1106</v>
      </c>
      <c r="I378" s="109">
        <v>4</v>
      </c>
      <c r="J378" s="109" t="s">
        <v>384</v>
      </c>
      <c r="K378" s="105" t="s">
        <v>1166</v>
      </c>
      <c r="L378" s="107" t="str">
        <f ca="1">VLOOKUP($K378,OFFSET([1]character_type_i18n!$A$1,0,0,COUNTA([1]character_type_i18n!$A:$A),MATCH(L$1,[1]character_type_i18n!$1:$1,0)-MATCH($K$1,[1]character_type_i18n!$1:$1,0)+1),MATCH(L$1,[1]character_type_i18n!$1:$1,0)-MATCH($K$1,[1]character_type_i18n!$1:$1,0)+1,FALSE)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8" s="105" t="s">
        <v>1167</v>
      </c>
      <c r="N378" s="107" t="str">
        <f>VLOOKUP(M378,[1]character_tribe_i18n!A:C,3,FALSE)</f>
        <v>アニマル</v>
      </c>
      <c r="O378" s="105" t="s">
        <v>278</v>
      </c>
      <c r="P378" s="107" t="str">
        <f>VLOOKUP(O378,[1]character_tribe_i18n!A:C,3,FALSE)</f>
        <v>種族なし</v>
      </c>
      <c r="Q378" s="110"/>
      <c r="R378" s="111">
        <v>3</v>
      </c>
      <c r="S378" s="108" t="s">
        <v>280</v>
      </c>
      <c r="T378" s="108" t="s">
        <v>281</v>
      </c>
      <c r="U378" s="108" t="s">
        <v>280</v>
      </c>
      <c r="V378" s="108" t="s">
        <v>280</v>
      </c>
      <c r="W378" s="108" t="s">
        <v>280</v>
      </c>
    </row>
    <row r="379" spans="1:23" ht="21" customHeight="1" x14ac:dyDescent="0.15">
      <c r="A379" s="104">
        <f t="shared" si="5"/>
        <v>378</v>
      </c>
      <c r="B379" s="105" t="s">
        <v>268</v>
      </c>
      <c r="C379" s="121" t="s">
        <v>1178</v>
      </c>
      <c r="D379" s="123" t="s">
        <v>1179</v>
      </c>
      <c r="E379" s="108" t="s">
        <v>988</v>
      </c>
      <c r="F379" s="108" t="s">
        <v>966</v>
      </c>
      <c r="G379" s="108" t="s">
        <v>861</v>
      </c>
      <c r="H379" s="128" t="s">
        <v>614</v>
      </c>
      <c r="I379" s="109">
        <v>4</v>
      </c>
      <c r="J379" s="109" t="s">
        <v>1180</v>
      </c>
      <c r="K379" s="105" t="s">
        <v>286</v>
      </c>
      <c r="L379" s="107" t="str">
        <f ca="1">VLOOKUP($K379,OFFSET([1]character_type_i18n!$A$1,0,0,COUNTA([1]character_type_i18n!$A:$A),MATCH(L$1,[1]character_type_i18n!$1:$1,0)-MATCH($K$1,[1]character_type_i18n!$1:$1,0)+1),MATCH(L$1,[1]character_type_i18n!$1:$1,0)-MATCH($K$1,[1]character_type_i18n!$1:$1,0)+1,FALSE)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79" s="105" t="s">
        <v>332</v>
      </c>
      <c r="N379" s="107" t="str">
        <f>VLOOKUP(M379,[1]character_tribe_i18n!A:C,3,FALSE)</f>
        <v>ヒューマン</v>
      </c>
      <c r="O379" s="105" t="s">
        <v>278</v>
      </c>
      <c r="P379" s="107" t="str">
        <f>VLOOKUP(O379,[1]character_tribe_i18n!A:C,3,FALSE)</f>
        <v>種族なし</v>
      </c>
      <c r="Q379" s="110"/>
      <c r="R379" s="111">
        <v>3</v>
      </c>
      <c r="S379" s="108" t="s">
        <v>280</v>
      </c>
      <c r="T379" s="108" t="s">
        <v>281</v>
      </c>
      <c r="U379" s="108" t="s">
        <v>280</v>
      </c>
      <c r="V379" s="108" t="s">
        <v>280</v>
      </c>
      <c r="W379" s="108" t="s">
        <v>280</v>
      </c>
    </row>
    <row r="380" spans="1:23" ht="21" customHeight="1" x14ac:dyDescent="0.15">
      <c r="A380" s="104">
        <f t="shared" si="5"/>
        <v>379</v>
      </c>
      <c r="B380" s="105" t="s">
        <v>268</v>
      </c>
      <c r="C380" s="121" t="s">
        <v>1181</v>
      </c>
      <c r="D380" s="123" t="s">
        <v>1179</v>
      </c>
      <c r="E380" s="108" t="s">
        <v>988</v>
      </c>
      <c r="F380" s="108" t="s">
        <v>966</v>
      </c>
      <c r="G380" s="108" t="s">
        <v>861</v>
      </c>
      <c r="H380" s="128" t="s">
        <v>614</v>
      </c>
      <c r="I380" s="109">
        <v>5</v>
      </c>
      <c r="J380" s="109" t="s">
        <v>1180</v>
      </c>
      <c r="K380" s="105" t="s">
        <v>286</v>
      </c>
      <c r="L380" s="107" t="str">
        <f ca="1">VLOOKUP($K380,OFFSET([1]character_type_i18n!$A$1,0,0,COUNTA([1]character_type_i18n!$A:$A),MATCH(L$1,[1]character_type_i18n!$1:$1,0)-MATCH($K$1,[1]character_type_i18n!$1:$1,0)+1),MATCH(L$1,[1]character_type_i18n!$1:$1,0)-MATCH($K$1,[1]character_type_i18n!$1:$1,0)+1,FALSE)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80" s="105" t="s">
        <v>332</v>
      </c>
      <c r="N380" s="107" t="str">
        <f>VLOOKUP(M380,[1]character_tribe_i18n!A:C,3,FALSE)</f>
        <v>ヒューマン</v>
      </c>
      <c r="O380" s="105" t="s">
        <v>278</v>
      </c>
      <c r="P380" s="107" t="str">
        <f>VLOOKUP(O380,[1]character_tribe_i18n!A:C,3,FALSE)</f>
        <v>種族なし</v>
      </c>
      <c r="Q380" s="110"/>
      <c r="R380" s="111">
        <v>3</v>
      </c>
      <c r="S380" s="108" t="s">
        <v>280</v>
      </c>
      <c r="T380" s="108" t="s">
        <v>281</v>
      </c>
      <c r="U380" s="108" t="s">
        <v>280</v>
      </c>
      <c r="V380" s="108" t="s">
        <v>280</v>
      </c>
      <c r="W380" s="108" t="s">
        <v>280</v>
      </c>
    </row>
    <row r="381" spans="1:23" ht="21" customHeight="1" x14ac:dyDescent="0.15">
      <c r="A381" s="104">
        <f t="shared" si="5"/>
        <v>380</v>
      </c>
      <c r="B381" s="105" t="s">
        <v>268</v>
      </c>
      <c r="C381" s="121" t="s">
        <v>1182</v>
      </c>
      <c r="D381" s="123" t="s">
        <v>1183</v>
      </c>
      <c r="E381" s="108"/>
      <c r="F381" s="108"/>
      <c r="G381" s="108" t="s">
        <v>1184</v>
      </c>
      <c r="H381" s="120" t="s">
        <v>1185</v>
      </c>
      <c r="I381" s="109">
        <v>3</v>
      </c>
      <c r="J381" s="109" t="s">
        <v>805</v>
      </c>
      <c r="K381" s="105" t="s">
        <v>377</v>
      </c>
      <c r="L381" s="107" t="str">
        <f ca="1">VLOOKUP($K381,OFFSET([1]character_type_i18n!$A$1,0,0,COUNTA([1]character_type_i18n!$A:$A),MATCH(L$1,[1]character_type_i18n!$1:$1,0)-MATCH($K$1,[1]character_type_i18n!$1:$1,0)+1),MATCH(L$1,[1]character_type_i18n!$1:$1,0)-MATCH($K$1,[1]character_type_i18n!$1:$1,0)+1,FALSE)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81" s="105" t="s">
        <v>1186</v>
      </c>
      <c r="N381" s="107" t="str">
        <f>VLOOKUP(M381,[1]character_tribe_i18n!A:C,3,FALSE)</f>
        <v>ドラゴン</v>
      </c>
      <c r="O381" s="105" t="s">
        <v>278</v>
      </c>
      <c r="P381" s="107" t="str">
        <f>VLOOKUP(O381,[1]character_tribe_i18n!A:C,3,FALSE)</f>
        <v>種族なし</v>
      </c>
      <c r="Q381" s="110"/>
      <c r="R381" s="111">
        <v>3</v>
      </c>
      <c r="S381" s="108" t="s">
        <v>280</v>
      </c>
      <c r="T381" s="108" t="s">
        <v>281</v>
      </c>
      <c r="U381" s="108" t="s">
        <v>280</v>
      </c>
      <c r="V381" s="108" t="s">
        <v>280</v>
      </c>
      <c r="W381" s="108" t="s">
        <v>280</v>
      </c>
    </row>
    <row r="382" spans="1:23" ht="21" customHeight="1" x14ac:dyDescent="0.15">
      <c r="A382" s="104">
        <f t="shared" si="5"/>
        <v>381</v>
      </c>
      <c r="B382" s="105" t="s">
        <v>268</v>
      </c>
      <c r="C382" s="121" t="s">
        <v>1187</v>
      </c>
      <c r="D382" s="123" t="s">
        <v>1183</v>
      </c>
      <c r="E382" s="108" t="s">
        <v>988</v>
      </c>
      <c r="F382" s="108" t="s">
        <v>966</v>
      </c>
      <c r="G382" s="108" t="s">
        <v>861</v>
      </c>
      <c r="H382" s="120" t="s">
        <v>1141</v>
      </c>
      <c r="I382" s="109">
        <v>4</v>
      </c>
      <c r="J382" s="109" t="s">
        <v>805</v>
      </c>
      <c r="K382" s="105" t="s">
        <v>377</v>
      </c>
      <c r="L382" s="107" t="str">
        <f ca="1">VLOOKUP($K382,OFFSET([1]character_type_i18n!$A$1,0,0,COUNTA([1]character_type_i18n!$A:$A),MATCH(L$1,[1]character_type_i18n!$1:$1,0)-MATCH($K$1,[1]character_type_i18n!$1:$1,0)+1),MATCH(L$1,[1]character_type_i18n!$1:$1,0)-MATCH($K$1,[1]character_type_i18n!$1:$1,0)+1,FALSE)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82" s="105" t="s">
        <v>1188</v>
      </c>
      <c r="N382" s="107" t="str">
        <f>VLOOKUP(M382,[1]character_tribe_i18n!A:C,3,FALSE)</f>
        <v>ドラゴン</v>
      </c>
      <c r="O382" s="105" t="s">
        <v>278</v>
      </c>
      <c r="P382" s="107" t="str">
        <f>VLOOKUP(O382,[1]character_tribe_i18n!A:C,3,FALSE)</f>
        <v>種族なし</v>
      </c>
      <c r="Q382" s="110"/>
      <c r="R382" s="111">
        <v>3</v>
      </c>
      <c r="S382" s="108" t="s">
        <v>289</v>
      </c>
      <c r="T382" s="108" t="s">
        <v>288</v>
      </c>
      <c r="U382" s="108" t="s">
        <v>289</v>
      </c>
      <c r="V382" s="108" t="s">
        <v>289</v>
      </c>
      <c r="W382" s="108" t="s">
        <v>289</v>
      </c>
    </row>
    <row r="383" spans="1:23" ht="21" customHeight="1" x14ac:dyDescent="0.15">
      <c r="A383" s="104">
        <f t="shared" si="5"/>
        <v>382</v>
      </c>
      <c r="B383" s="105" t="s">
        <v>292</v>
      </c>
      <c r="C383" s="121" t="s">
        <v>1189</v>
      </c>
      <c r="D383" s="123" t="s">
        <v>1183</v>
      </c>
      <c r="E383" s="108" t="s">
        <v>988</v>
      </c>
      <c r="F383" s="108" t="s">
        <v>966</v>
      </c>
      <c r="G383" s="108" t="s">
        <v>861</v>
      </c>
      <c r="H383" s="128" t="s">
        <v>1190</v>
      </c>
      <c r="I383" s="109">
        <v>5</v>
      </c>
      <c r="J383" s="109" t="s">
        <v>805</v>
      </c>
      <c r="K383" s="105" t="s">
        <v>377</v>
      </c>
      <c r="L383" s="107" t="str">
        <f ca="1">VLOOKUP($K383,OFFSET([1]character_type_i18n!$A$1,0,0,COUNTA([1]character_type_i18n!$A:$A),MATCH(L$1,[1]character_type_i18n!$1:$1,0)-MATCH($K$1,[1]character_type_i18n!$1:$1,0)+1),MATCH(L$1,[1]character_type_i18n!$1:$1,0)-MATCH($K$1,[1]character_type_i18n!$1:$1,0)+1,FALSE)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83" s="105" t="s">
        <v>1191</v>
      </c>
      <c r="N383" s="107" t="str">
        <f>VLOOKUP(M383,[1]character_tribe_i18n!A:C,3,FALSE)</f>
        <v>ドラゴン</v>
      </c>
      <c r="O383" s="105" t="s">
        <v>278</v>
      </c>
      <c r="P383" s="107" t="str">
        <f>VLOOKUP(O383,[1]character_tribe_i18n!A:C,3,FALSE)</f>
        <v>種族なし</v>
      </c>
      <c r="Q383" s="110"/>
      <c r="R383" s="111">
        <v>3</v>
      </c>
      <c r="S383" s="108" t="s">
        <v>1173</v>
      </c>
      <c r="T383" s="108" t="s">
        <v>1174</v>
      </c>
      <c r="U383" s="108" t="s">
        <v>1173</v>
      </c>
      <c r="V383" s="108" t="s">
        <v>1173</v>
      </c>
      <c r="W383" s="108" t="s">
        <v>1173</v>
      </c>
    </row>
    <row r="384" spans="1:23" ht="21" customHeight="1" x14ac:dyDescent="0.15">
      <c r="A384" s="104">
        <f t="shared" si="5"/>
        <v>383</v>
      </c>
      <c r="B384" s="105" t="s">
        <v>855</v>
      </c>
      <c r="C384" s="121" t="s">
        <v>1192</v>
      </c>
      <c r="D384" s="123" t="s">
        <v>1183</v>
      </c>
      <c r="E384" s="108" t="s">
        <v>988</v>
      </c>
      <c r="F384" s="108" t="s">
        <v>966</v>
      </c>
      <c r="G384" s="108" t="s">
        <v>861</v>
      </c>
      <c r="H384" s="128" t="s">
        <v>1193</v>
      </c>
      <c r="I384" s="109">
        <v>4</v>
      </c>
      <c r="J384" s="109" t="s">
        <v>1194</v>
      </c>
      <c r="K384" s="105" t="s">
        <v>1195</v>
      </c>
      <c r="L384" s="107" t="str">
        <f ca="1">VLOOKUP($K384,OFFSET([1]character_type_i18n!$A$1,0,0,COUNTA([1]character_type_i18n!$A:$A),MATCH(L$1,[1]character_type_i18n!$1:$1,0)-MATCH($K$1,[1]character_type_i18n!$1:$1,0)+1),MATCH(L$1,[1]character_type_i18n!$1:$1,0)-MATCH($K$1,[1]character_type_i18n!$1:$1,0)+1,FALSE)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84" s="105" t="s">
        <v>1196</v>
      </c>
      <c r="N384" s="107" t="str">
        <f>VLOOKUP(M384,[1]character_tribe_i18n!A:C,3,FALSE)</f>
        <v>ドラゴン</v>
      </c>
      <c r="O384" s="105" t="s">
        <v>278</v>
      </c>
      <c r="P384" s="107" t="str">
        <f>VLOOKUP(O384,[1]character_tribe_i18n!A:C,3,FALSE)</f>
        <v>種族なし</v>
      </c>
      <c r="Q384" s="110"/>
      <c r="R384" s="111">
        <v>3</v>
      </c>
      <c r="S384" s="108" t="s">
        <v>1173</v>
      </c>
      <c r="T384" s="108" t="s">
        <v>1174</v>
      </c>
      <c r="U384" s="108" t="s">
        <v>1173</v>
      </c>
      <c r="V384" s="108" t="s">
        <v>1173</v>
      </c>
      <c r="W384" s="108" t="s">
        <v>1173</v>
      </c>
    </row>
    <row r="385" spans="1:23" ht="21" customHeight="1" x14ac:dyDescent="0.15">
      <c r="A385" s="104">
        <f t="shared" si="5"/>
        <v>384</v>
      </c>
      <c r="B385" s="105" t="s">
        <v>855</v>
      </c>
      <c r="C385" s="121" t="s">
        <v>1197</v>
      </c>
      <c r="D385" s="123" t="s">
        <v>1183</v>
      </c>
      <c r="E385" s="108" t="s">
        <v>988</v>
      </c>
      <c r="F385" s="108" t="s">
        <v>966</v>
      </c>
      <c r="G385" s="108" t="s">
        <v>861</v>
      </c>
      <c r="H385" s="128" t="s">
        <v>1193</v>
      </c>
      <c r="I385" s="109">
        <v>5</v>
      </c>
      <c r="J385" s="109" t="s">
        <v>1194</v>
      </c>
      <c r="K385" s="105" t="s">
        <v>1195</v>
      </c>
      <c r="L385" s="107" t="str">
        <f ca="1">VLOOKUP($K385,OFFSET([1]character_type_i18n!$A$1,0,0,COUNTA([1]character_type_i18n!$A:$A),MATCH(L$1,[1]character_type_i18n!$1:$1,0)-MATCH($K$1,[1]character_type_i18n!$1:$1,0)+1),MATCH(L$1,[1]character_type_i18n!$1:$1,0)-MATCH($K$1,[1]character_type_i18n!$1:$1,0)+1,FALSE)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85" s="105" t="s">
        <v>1196</v>
      </c>
      <c r="N385" s="107" t="str">
        <f>VLOOKUP(M385,[1]character_tribe_i18n!A:C,3,FALSE)</f>
        <v>ドラゴン</v>
      </c>
      <c r="O385" s="105" t="s">
        <v>278</v>
      </c>
      <c r="P385" s="107" t="str">
        <f>VLOOKUP(O385,[1]character_tribe_i18n!A:C,3,FALSE)</f>
        <v>種族なし</v>
      </c>
      <c r="Q385" s="110"/>
      <c r="R385" s="111">
        <v>3</v>
      </c>
      <c r="S385" s="108" t="s">
        <v>1173</v>
      </c>
      <c r="T385" s="108" t="s">
        <v>1174</v>
      </c>
      <c r="U385" s="108" t="s">
        <v>1173</v>
      </c>
      <c r="V385" s="108" t="s">
        <v>1173</v>
      </c>
      <c r="W385" s="108" t="s">
        <v>1173</v>
      </c>
    </row>
    <row r="386" spans="1:23" ht="21" customHeight="1" x14ac:dyDescent="0.15">
      <c r="A386" s="104">
        <f t="shared" si="5"/>
        <v>385</v>
      </c>
      <c r="B386" s="105" t="s">
        <v>1198</v>
      </c>
      <c r="C386" s="121" t="s">
        <v>1199</v>
      </c>
      <c r="D386" s="123" t="s">
        <v>1183</v>
      </c>
      <c r="E386" s="108" t="s">
        <v>988</v>
      </c>
      <c r="F386" s="108" t="s">
        <v>966</v>
      </c>
      <c r="G386" s="108" t="s">
        <v>861</v>
      </c>
      <c r="H386" s="120" t="s">
        <v>1200</v>
      </c>
      <c r="I386" s="109">
        <v>4</v>
      </c>
      <c r="J386" s="109" t="s">
        <v>1201</v>
      </c>
      <c r="K386" s="105" t="s">
        <v>286</v>
      </c>
      <c r="L386" s="107" t="str">
        <f ca="1">VLOOKUP($K386,OFFSET([1]character_type_i18n!$A$1,0,0,COUNTA([1]character_type_i18n!$A:$A),MATCH(L$1,[1]character_type_i18n!$1:$1,0)-MATCH($K$1,[1]character_type_i18n!$1:$1,0)+1),MATCH(L$1,[1]character_type_i18n!$1:$1,0)-MATCH($K$1,[1]character_type_i18n!$1:$1,0)+1,FALSE)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86" s="105" t="s">
        <v>1196</v>
      </c>
      <c r="N386" s="107" t="str">
        <f>VLOOKUP(M386,[1]character_tribe_i18n!A:C,3,FALSE)</f>
        <v>ドラゴン</v>
      </c>
      <c r="O386" s="105" t="s">
        <v>278</v>
      </c>
      <c r="P386" s="107" t="str">
        <f>VLOOKUP(O386,[1]character_tribe_i18n!A:C,3,FALSE)</f>
        <v>種族なし</v>
      </c>
      <c r="Q386" s="110"/>
      <c r="R386" s="111">
        <v>3</v>
      </c>
      <c r="S386" s="108" t="s">
        <v>1173</v>
      </c>
      <c r="T386" s="108" t="s">
        <v>1174</v>
      </c>
      <c r="U386" s="108" t="s">
        <v>1173</v>
      </c>
      <c r="V386" s="108" t="s">
        <v>1173</v>
      </c>
      <c r="W386" s="108" t="s">
        <v>1173</v>
      </c>
    </row>
    <row r="387" spans="1:23" ht="21" customHeight="1" x14ac:dyDescent="0.15">
      <c r="A387" s="104">
        <f t="shared" ref="A387:A450" si="6">ROW()-1</f>
        <v>386</v>
      </c>
      <c r="B387" s="105" t="s">
        <v>855</v>
      </c>
      <c r="C387" s="121" t="s">
        <v>1202</v>
      </c>
      <c r="D387" s="123" t="s">
        <v>1183</v>
      </c>
      <c r="E387" s="108" t="s">
        <v>988</v>
      </c>
      <c r="F387" s="108" t="s">
        <v>966</v>
      </c>
      <c r="G387" s="108" t="s">
        <v>861</v>
      </c>
      <c r="H387" s="120" t="s">
        <v>1203</v>
      </c>
      <c r="I387" s="109">
        <v>5</v>
      </c>
      <c r="J387" s="109" t="s">
        <v>1204</v>
      </c>
      <c r="K387" s="105" t="s">
        <v>286</v>
      </c>
      <c r="L387" s="107" t="str">
        <f ca="1">VLOOKUP($K387,OFFSET([1]character_type_i18n!$A$1,0,0,COUNTA([1]character_type_i18n!$A:$A),MATCH(L$1,[1]character_type_i18n!$1:$1,0)-MATCH($K$1,[1]character_type_i18n!$1:$1,0)+1),MATCH(L$1,[1]character_type_i18n!$1:$1,0)-MATCH($K$1,[1]character_type_i18n!$1:$1,0)+1,FALSE)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87" s="105" t="s">
        <v>1196</v>
      </c>
      <c r="N387" s="107" t="str">
        <f>VLOOKUP(M387,[1]character_tribe_i18n!A:C,3,FALSE)</f>
        <v>ドラゴン</v>
      </c>
      <c r="O387" s="105" t="s">
        <v>278</v>
      </c>
      <c r="P387" s="107" t="str">
        <f>VLOOKUP(O387,[1]character_tribe_i18n!A:C,3,FALSE)</f>
        <v>種族なし</v>
      </c>
      <c r="Q387" s="110"/>
      <c r="R387" s="111">
        <v>3</v>
      </c>
      <c r="S387" s="108" t="s">
        <v>1205</v>
      </c>
      <c r="T387" s="108" t="s">
        <v>1206</v>
      </c>
      <c r="U387" s="108" t="s">
        <v>1205</v>
      </c>
      <c r="V387" s="108" t="s">
        <v>1205</v>
      </c>
      <c r="W387" s="108" t="s">
        <v>1205</v>
      </c>
    </row>
    <row r="388" spans="1:23" ht="21" customHeight="1" x14ac:dyDescent="0.15">
      <c r="A388" s="104">
        <f t="shared" si="6"/>
        <v>387</v>
      </c>
      <c r="B388" s="105" t="s">
        <v>1198</v>
      </c>
      <c r="C388" s="121" t="s">
        <v>1207</v>
      </c>
      <c r="D388" s="123" t="s">
        <v>1183</v>
      </c>
      <c r="E388" s="108"/>
      <c r="F388" s="108"/>
      <c r="G388" s="108" t="s">
        <v>1184</v>
      </c>
      <c r="H388" s="105" t="s">
        <v>300</v>
      </c>
      <c r="I388" s="109">
        <v>3</v>
      </c>
      <c r="J388" s="109" t="s">
        <v>805</v>
      </c>
      <c r="K388" s="105" t="s">
        <v>296</v>
      </c>
      <c r="L388" s="107" t="str">
        <f ca="1">VLOOKUP($K388,OFFSET([1]character_type_i18n!$A$1,0,0,COUNTA([1]character_type_i18n!$A:$A),MATCH(L$1,[1]character_type_i18n!$1:$1,0)-MATCH($K$1,[1]character_type_i18n!$1:$1,0)+1),MATCH(L$1,[1]character_type_i18n!$1:$1,0)-MATCH($K$1,[1]character_type_i18n!$1:$1,0)+1,FALSE)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88" s="105" t="s">
        <v>1208</v>
      </c>
      <c r="N388" s="107" t="str">
        <f>VLOOKUP(M388,[1]character_tribe_i18n!A:C,3,FALSE)</f>
        <v>アニマル</v>
      </c>
      <c r="O388" s="105" t="s">
        <v>278</v>
      </c>
      <c r="P388" s="107" t="str">
        <f>VLOOKUP(O388,[1]character_tribe_i18n!A:C,3,FALSE)</f>
        <v>種族なし</v>
      </c>
      <c r="Q388" s="110"/>
      <c r="R388" s="111">
        <v>3</v>
      </c>
      <c r="S388" s="108" t="s">
        <v>1205</v>
      </c>
      <c r="T388" s="108" t="s">
        <v>1206</v>
      </c>
      <c r="U388" s="108" t="s">
        <v>1205</v>
      </c>
      <c r="V388" s="108" t="s">
        <v>1205</v>
      </c>
      <c r="W388" s="108" t="s">
        <v>1205</v>
      </c>
    </row>
    <row r="389" spans="1:23" ht="21" customHeight="1" x14ac:dyDescent="0.15">
      <c r="A389" s="104">
        <f t="shared" si="6"/>
        <v>388</v>
      </c>
      <c r="B389" s="105" t="s">
        <v>1198</v>
      </c>
      <c r="C389" s="127" t="s">
        <v>1209</v>
      </c>
      <c r="D389" s="123" t="s">
        <v>1183</v>
      </c>
      <c r="E389" s="108" t="s">
        <v>1210</v>
      </c>
      <c r="F389" s="108" t="s">
        <v>1211</v>
      </c>
      <c r="G389" s="108" t="s">
        <v>853</v>
      </c>
      <c r="H389" s="105" t="s">
        <v>300</v>
      </c>
      <c r="I389" s="109">
        <v>4</v>
      </c>
      <c r="J389" s="109" t="s">
        <v>805</v>
      </c>
      <c r="K389" s="105" t="s">
        <v>296</v>
      </c>
      <c r="L389" s="107" t="str">
        <f ca="1">VLOOKUP($K389,OFFSET([1]character_type_i18n!$A$1,0,0,COUNTA([1]character_type_i18n!$A:$A),MATCH(L$1,[1]character_type_i18n!$1:$1,0)-MATCH($K$1,[1]character_type_i18n!$1:$1,0)+1),MATCH(L$1,[1]character_type_i18n!$1:$1,0)-MATCH($K$1,[1]character_type_i18n!$1:$1,0)+1,FALSE)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89" s="105" t="s">
        <v>1212</v>
      </c>
      <c r="N389" s="107" t="str">
        <f>VLOOKUP(M389,[1]character_tribe_i18n!A:C,3,FALSE)</f>
        <v>アニマル</v>
      </c>
      <c r="O389" s="105" t="s">
        <v>278</v>
      </c>
      <c r="P389" s="107" t="str">
        <f>VLOOKUP(O389,[1]character_tribe_i18n!A:C,3,FALSE)</f>
        <v>種族なし</v>
      </c>
      <c r="Q389" s="110" t="s">
        <v>1213</v>
      </c>
      <c r="R389" s="111">
        <v>3</v>
      </c>
      <c r="S389" s="108" t="s">
        <v>1069</v>
      </c>
      <c r="T389" s="108" t="s">
        <v>1070</v>
      </c>
      <c r="U389" s="108" t="s">
        <v>1069</v>
      </c>
      <c r="V389" s="108" t="s">
        <v>1069</v>
      </c>
      <c r="W389" s="108" t="s">
        <v>1069</v>
      </c>
    </row>
    <row r="390" spans="1:23" ht="21" customHeight="1" x14ac:dyDescent="0.15">
      <c r="A390" s="104">
        <f t="shared" si="6"/>
        <v>389</v>
      </c>
      <c r="B390" s="105" t="s">
        <v>1071</v>
      </c>
      <c r="C390" s="127" t="s">
        <v>1214</v>
      </c>
      <c r="D390" s="123" t="s">
        <v>1183</v>
      </c>
      <c r="E390" s="108" t="s">
        <v>1215</v>
      </c>
      <c r="F390" s="108" t="s">
        <v>1216</v>
      </c>
      <c r="G390" s="108" t="s">
        <v>853</v>
      </c>
      <c r="H390" s="105" t="s">
        <v>300</v>
      </c>
      <c r="I390" s="109">
        <v>5</v>
      </c>
      <c r="J390" s="109" t="s">
        <v>805</v>
      </c>
      <c r="K390" s="105" t="s">
        <v>296</v>
      </c>
      <c r="L390" s="107" t="str">
        <f ca="1">VLOOKUP($K390,OFFSET([1]character_type_i18n!$A$1,0,0,COUNTA([1]character_type_i18n!$A:$A),MATCH(L$1,[1]character_type_i18n!$1:$1,0)-MATCH($K$1,[1]character_type_i18n!$1:$1,0)+1),MATCH(L$1,[1]character_type_i18n!$1:$1,0)-MATCH($K$1,[1]character_type_i18n!$1:$1,0)+1,FALSE)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90" s="105" t="s">
        <v>1217</v>
      </c>
      <c r="N390" s="107" t="str">
        <f>VLOOKUP(M390,[1]character_tribe_i18n!A:C,3,FALSE)</f>
        <v>アニマル</v>
      </c>
      <c r="O390" s="105" t="s">
        <v>278</v>
      </c>
      <c r="P390" s="107" t="str">
        <f>VLOOKUP(O390,[1]character_tribe_i18n!A:C,3,FALSE)</f>
        <v>種族なし</v>
      </c>
      <c r="Q390" s="110" t="s">
        <v>1213</v>
      </c>
      <c r="R390" s="111">
        <v>3</v>
      </c>
      <c r="S390" s="108" t="s">
        <v>1069</v>
      </c>
      <c r="T390" s="108" t="s">
        <v>1070</v>
      </c>
      <c r="U390" s="108" t="s">
        <v>1069</v>
      </c>
      <c r="V390" s="108" t="s">
        <v>1069</v>
      </c>
      <c r="W390" s="108" t="s">
        <v>1069</v>
      </c>
    </row>
    <row r="391" spans="1:23" ht="21" customHeight="1" x14ac:dyDescent="0.15">
      <c r="A391" s="104">
        <f t="shared" si="6"/>
        <v>390</v>
      </c>
      <c r="B391" s="105" t="s">
        <v>1071</v>
      </c>
      <c r="C391" s="127" t="s">
        <v>1218</v>
      </c>
      <c r="D391" s="107" t="s">
        <v>1219</v>
      </c>
      <c r="E391" s="108" t="s">
        <v>1215</v>
      </c>
      <c r="F391" s="108" t="s">
        <v>1216</v>
      </c>
      <c r="G391" s="108" t="s">
        <v>853</v>
      </c>
      <c r="H391" s="105" t="s">
        <v>1185</v>
      </c>
      <c r="I391" s="109">
        <v>4</v>
      </c>
      <c r="J391" s="109" t="s">
        <v>1220</v>
      </c>
      <c r="K391" s="105" t="s">
        <v>1221</v>
      </c>
      <c r="L391" s="107" t="str">
        <f ca="1">VLOOKUP($K391,OFFSET([1]character_type_i18n!$A$1,0,0,COUNTA([1]character_type_i18n!$A:$A),MATCH(L$1,[1]character_type_i18n!$1:$1,0)-MATCH($K$1,[1]character_type_i18n!$1:$1,0)+1),MATCH(L$1,[1]character_type_i18n!$1:$1,0)-MATCH($K$1,[1]character_type_i18n!$1:$1,0)+1,FALSE)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91" s="105" t="s">
        <v>1222</v>
      </c>
      <c r="N391" s="107" t="str">
        <f>VLOOKUP(M391,[1]character_tribe_i18n!A:C,3,FALSE)</f>
        <v>ヒューマン</v>
      </c>
      <c r="O391" s="105" t="s">
        <v>1223</v>
      </c>
      <c r="P391" s="107" t="str">
        <f>VLOOKUP(O391,[1]character_tribe_i18n!A:C,3,FALSE)</f>
        <v>マシン</v>
      </c>
      <c r="Q391" s="110" t="s">
        <v>1224</v>
      </c>
      <c r="R391" s="111">
        <v>3</v>
      </c>
      <c r="S391" s="108" t="s">
        <v>1205</v>
      </c>
      <c r="T391" s="108" t="s">
        <v>1206</v>
      </c>
      <c r="U391" s="108" t="s">
        <v>1205</v>
      </c>
      <c r="V391" s="108" t="s">
        <v>1205</v>
      </c>
      <c r="W391" s="108" t="s">
        <v>1205</v>
      </c>
    </row>
    <row r="392" spans="1:23" ht="21" customHeight="1" x14ac:dyDescent="0.15">
      <c r="A392" s="104">
        <f t="shared" si="6"/>
        <v>391</v>
      </c>
      <c r="B392" s="105" t="s">
        <v>1198</v>
      </c>
      <c r="C392" s="127" t="s">
        <v>1225</v>
      </c>
      <c r="D392" s="107" t="s">
        <v>1219</v>
      </c>
      <c r="E392" s="108" t="s">
        <v>1210</v>
      </c>
      <c r="F392" s="108" t="s">
        <v>1211</v>
      </c>
      <c r="G392" s="108" t="s">
        <v>853</v>
      </c>
      <c r="H392" s="105" t="s">
        <v>1185</v>
      </c>
      <c r="I392" s="109">
        <v>5</v>
      </c>
      <c r="J392" s="109" t="s">
        <v>1220</v>
      </c>
      <c r="K392" s="105" t="s">
        <v>1221</v>
      </c>
      <c r="L392" s="107" t="str">
        <f ca="1">VLOOKUP($K392,OFFSET([1]character_type_i18n!$A$1,0,0,COUNTA([1]character_type_i18n!$A:$A),MATCH(L$1,[1]character_type_i18n!$1:$1,0)-MATCH($K$1,[1]character_type_i18n!$1:$1,0)+1),MATCH(L$1,[1]character_type_i18n!$1:$1,0)-MATCH($K$1,[1]character_type_i18n!$1:$1,0)+1,FALSE)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92" s="105" t="s">
        <v>1226</v>
      </c>
      <c r="N392" s="107" t="str">
        <f>VLOOKUP(M392,[1]character_tribe_i18n!A:C,3,FALSE)</f>
        <v>ヒューマン</v>
      </c>
      <c r="O392" s="105" t="s">
        <v>1227</v>
      </c>
      <c r="P392" s="107" t="str">
        <f>VLOOKUP(O392,[1]character_tribe_i18n!A:C,3,FALSE)</f>
        <v>マシン</v>
      </c>
      <c r="Q392" s="110" t="s">
        <v>1228</v>
      </c>
      <c r="R392" s="111">
        <v>3</v>
      </c>
      <c r="S392" s="108" t="s">
        <v>1229</v>
      </c>
      <c r="T392" s="108" t="s">
        <v>1230</v>
      </c>
      <c r="U392" s="108" t="s">
        <v>1229</v>
      </c>
      <c r="V392" s="108" t="s">
        <v>1229</v>
      </c>
      <c r="W392" s="108" t="s">
        <v>1229</v>
      </c>
    </row>
    <row r="393" spans="1:23" ht="21" customHeight="1" x14ac:dyDescent="0.15">
      <c r="A393" s="104">
        <f t="shared" si="6"/>
        <v>392</v>
      </c>
      <c r="B393" s="105" t="s">
        <v>1231</v>
      </c>
      <c r="C393" s="127" t="s">
        <v>1232</v>
      </c>
      <c r="D393" s="107" t="s">
        <v>1219</v>
      </c>
      <c r="E393" s="108" t="s">
        <v>1233</v>
      </c>
      <c r="F393" s="108" t="s">
        <v>1234</v>
      </c>
      <c r="G393" s="108" t="s">
        <v>1235</v>
      </c>
      <c r="H393" s="105" t="s">
        <v>285</v>
      </c>
      <c r="I393" s="109">
        <v>3</v>
      </c>
      <c r="J393" s="109" t="s">
        <v>805</v>
      </c>
      <c r="K393" s="105" t="s">
        <v>276</v>
      </c>
      <c r="L393" s="107" t="str">
        <f ca="1">VLOOKUP($K393,OFFSET([1]character_type_i18n!$A$1,0,0,COUNTA([1]character_type_i18n!$A:$A),MATCH(L$1,[1]character_type_i18n!$1:$1,0)-MATCH($K$1,[1]character_type_i18n!$1:$1,0)+1),MATCH(L$1,[1]character_type_i18n!$1:$1,0)-MATCH($K$1,[1]character_type_i18n!$1:$1,0)+1,FALSE)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93" s="105" t="s">
        <v>1236</v>
      </c>
      <c r="N393" s="107" t="str">
        <f>VLOOKUP(M393,[1]character_tribe_i18n!A:C,3,FALSE)</f>
        <v>ヒューマン</v>
      </c>
      <c r="O393" s="105" t="s">
        <v>1237</v>
      </c>
      <c r="P393" s="107" t="str">
        <f>VLOOKUP(O393,[1]character_tribe_i18n!A:C,3,FALSE)</f>
        <v>マシン</v>
      </c>
      <c r="Q393" s="110" t="s">
        <v>1238</v>
      </c>
      <c r="R393" s="111">
        <v>3</v>
      </c>
      <c r="S393" s="108" t="s">
        <v>1239</v>
      </c>
      <c r="T393" s="108" t="s">
        <v>1240</v>
      </c>
      <c r="U393" s="108" t="s">
        <v>1239</v>
      </c>
      <c r="V393" s="108" t="s">
        <v>1239</v>
      </c>
      <c r="W393" s="108" t="s">
        <v>1239</v>
      </c>
    </row>
    <row r="394" spans="1:23" ht="21" customHeight="1" x14ac:dyDescent="0.15">
      <c r="A394" s="104">
        <f t="shared" si="6"/>
        <v>393</v>
      </c>
      <c r="B394" s="105" t="s">
        <v>1241</v>
      </c>
      <c r="C394" s="127" t="s">
        <v>1242</v>
      </c>
      <c r="D394" s="107" t="s">
        <v>1219</v>
      </c>
      <c r="E394" s="108" t="s">
        <v>1243</v>
      </c>
      <c r="F394" s="108" t="s">
        <v>1244</v>
      </c>
      <c r="G394" s="108" t="s">
        <v>1245</v>
      </c>
      <c r="H394" s="105" t="s">
        <v>285</v>
      </c>
      <c r="I394" s="109">
        <v>4</v>
      </c>
      <c r="J394" s="109" t="s">
        <v>805</v>
      </c>
      <c r="K394" s="105" t="s">
        <v>276</v>
      </c>
      <c r="L394" s="107" t="str">
        <f ca="1">VLOOKUP($K394,OFFSET([1]character_type_i18n!$A$1,0,0,COUNTA([1]character_type_i18n!$A:$A),MATCH(L$1,[1]character_type_i18n!$1:$1,0)-MATCH($K$1,[1]character_type_i18n!$1:$1,0)+1),MATCH(L$1,[1]character_type_i18n!$1:$1,0)-MATCH($K$1,[1]character_type_i18n!$1:$1,0)+1,FALSE)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94" s="105" t="s">
        <v>1236</v>
      </c>
      <c r="N394" s="107" t="str">
        <f>VLOOKUP(M394,[1]character_tribe_i18n!A:C,3,FALSE)</f>
        <v>ヒューマン</v>
      </c>
      <c r="O394" s="105" t="s">
        <v>1246</v>
      </c>
      <c r="P394" s="107" t="str">
        <f>VLOOKUP(O394,[1]character_tribe_i18n!A:C,3,FALSE)</f>
        <v>マシン</v>
      </c>
      <c r="Q394" s="110" t="s">
        <v>1213</v>
      </c>
      <c r="R394" s="111">
        <v>3</v>
      </c>
      <c r="S394" s="108" t="s">
        <v>1069</v>
      </c>
      <c r="T394" s="108" t="s">
        <v>1070</v>
      </c>
      <c r="U394" s="108" t="s">
        <v>1069</v>
      </c>
      <c r="V394" s="108" t="s">
        <v>1069</v>
      </c>
      <c r="W394" s="108" t="s">
        <v>1069</v>
      </c>
    </row>
    <row r="395" spans="1:23" ht="21" customHeight="1" x14ac:dyDescent="0.15">
      <c r="A395" s="104">
        <f t="shared" si="6"/>
        <v>394</v>
      </c>
      <c r="B395" s="105" t="s">
        <v>1071</v>
      </c>
      <c r="C395" s="127" t="s">
        <v>1247</v>
      </c>
      <c r="D395" s="107" t="s">
        <v>1219</v>
      </c>
      <c r="E395" s="108" t="s">
        <v>1215</v>
      </c>
      <c r="F395" s="108" t="s">
        <v>1216</v>
      </c>
      <c r="G395" s="108" t="s">
        <v>1248</v>
      </c>
      <c r="H395" s="105" t="s">
        <v>285</v>
      </c>
      <c r="I395" s="109">
        <v>5</v>
      </c>
      <c r="J395" s="109" t="s">
        <v>805</v>
      </c>
      <c r="K395" s="105" t="s">
        <v>276</v>
      </c>
      <c r="L395" s="107" t="str">
        <f ca="1">VLOOKUP($K395,OFFSET([1]character_type_i18n!$A$1,0,0,COUNTA([1]character_type_i18n!$A:$A),MATCH(L$1,[1]character_type_i18n!$1:$1,0)-MATCH($K$1,[1]character_type_i18n!$1:$1,0)+1),MATCH(L$1,[1]character_type_i18n!$1:$1,0)-MATCH($K$1,[1]character_type_i18n!$1:$1,0)+1,FALSE)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95" s="105" t="s">
        <v>1249</v>
      </c>
      <c r="N395" s="107" t="str">
        <f>VLOOKUP(M395,[1]character_tribe_i18n!A:C,3,FALSE)</f>
        <v>ヒューマン</v>
      </c>
      <c r="O395" s="105" t="s">
        <v>1250</v>
      </c>
      <c r="P395" s="107" t="str">
        <f>VLOOKUP(O395,[1]character_tribe_i18n!A:C,3,FALSE)</f>
        <v>マシン</v>
      </c>
      <c r="Q395" s="110" t="s">
        <v>1213</v>
      </c>
      <c r="R395" s="111">
        <v>3</v>
      </c>
      <c r="S395" s="108" t="s">
        <v>1069</v>
      </c>
      <c r="T395" s="108" t="s">
        <v>1070</v>
      </c>
      <c r="U395" s="108" t="s">
        <v>1069</v>
      </c>
      <c r="V395" s="108" t="s">
        <v>1069</v>
      </c>
      <c r="W395" s="108" t="s">
        <v>1069</v>
      </c>
    </row>
    <row r="396" spans="1:23" ht="21" customHeight="1" x14ac:dyDescent="0.15">
      <c r="A396" s="104">
        <f t="shared" si="6"/>
        <v>395</v>
      </c>
      <c r="B396" s="105" t="s">
        <v>1071</v>
      </c>
      <c r="C396" s="127" t="s">
        <v>1251</v>
      </c>
      <c r="D396" s="107" t="s">
        <v>1219</v>
      </c>
      <c r="E396" s="108" t="s">
        <v>1215</v>
      </c>
      <c r="F396" s="108" t="s">
        <v>1216</v>
      </c>
      <c r="G396" s="108" t="s">
        <v>853</v>
      </c>
      <c r="H396" s="105" t="s">
        <v>295</v>
      </c>
      <c r="I396" s="109">
        <v>3</v>
      </c>
      <c r="J396" s="109" t="s">
        <v>805</v>
      </c>
      <c r="K396" s="105" t="s">
        <v>1252</v>
      </c>
      <c r="L396" s="107" t="str">
        <f ca="1">VLOOKUP($K396,OFFSET([1]character_type_i18n!$A$1,0,0,COUNTA([1]character_type_i18n!$A:$A),MATCH(L$1,[1]character_type_i18n!$1:$1,0)-MATCH($K$1,[1]character_type_i18n!$1:$1,0)+1),MATCH(L$1,[1]character_type_i18n!$1:$1,0)-MATCH($K$1,[1]character_type_i18n!$1:$1,0)+1,FALSE)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96" s="105" t="s">
        <v>1253</v>
      </c>
      <c r="N396" s="107" t="str">
        <f>VLOOKUP(M396,[1]character_tribe_i18n!A:C,3,FALSE)</f>
        <v>ヒューマン</v>
      </c>
      <c r="O396" s="105" t="s">
        <v>1250</v>
      </c>
      <c r="P396" s="107" t="str">
        <f>VLOOKUP(O396,[1]character_tribe_i18n!A:C,3,FALSE)</f>
        <v>マシン</v>
      </c>
      <c r="Q396" s="110" t="s">
        <v>1213</v>
      </c>
      <c r="R396" s="111">
        <v>3</v>
      </c>
      <c r="S396" s="108" t="s">
        <v>1069</v>
      </c>
      <c r="T396" s="108" t="s">
        <v>1070</v>
      </c>
      <c r="U396" s="108" t="s">
        <v>1069</v>
      </c>
      <c r="V396" s="108" t="s">
        <v>1069</v>
      </c>
      <c r="W396" s="108" t="s">
        <v>1069</v>
      </c>
    </row>
    <row r="397" spans="1:23" ht="21" customHeight="1" x14ac:dyDescent="0.15">
      <c r="A397" s="104">
        <f t="shared" si="6"/>
        <v>396</v>
      </c>
      <c r="B397" s="105" t="s">
        <v>1071</v>
      </c>
      <c r="C397" s="127" t="s">
        <v>1254</v>
      </c>
      <c r="D397" s="107" t="s">
        <v>1219</v>
      </c>
      <c r="E397" s="108" t="s">
        <v>1215</v>
      </c>
      <c r="F397" s="108" t="s">
        <v>1216</v>
      </c>
      <c r="G397" s="108" t="s">
        <v>853</v>
      </c>
      <c r="H397" s="105" t="s">
        <v>295</v>
      </c>
      <c r="I397" s="109">
        <v>4</v>
      </c>
      <c r="J397" s="109" t="s">
        <v>805</v>
      </c>
      <c r="K397" s="105" t="s">
        <v>1252</v>
      </c>
      <c r="L397" s="107" t="str">
        <f ca="1">VLOOKUP($K397,OFFSET([1]character_type_i18n!$A$1,0,0,COUNTA([1]character_type_i18n!$A:$A),MATCH(L$1,[1]character_type_i18n!$1:$1,0)-MATCH($K$1,[1]character_type_i18n!$1:$1,0)+1),MATCH(L$1,[1]character_type_i18n!$1:$1,0)-MATCH($K$1,[1]character_type_i18n!$1:$1,0)+1,FALSE)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97" s="105" t="s">
        <v>1253</v>
      </c>
      <c r="N397" s="107" t="str">
        <f>VLOOKUP(M397,[1]character_tribe_i18n!A:C,3,FALSE)</f>
        <v>ヒューマン</v>
      </c>
      <c r="O397" s="105" t="s">
        <v>1250</v>
      </c>
      <c r="P397" s="107" t="str">
        <f>VLOOKUP(O397,[1]character_tribe_i18n!A:C,3,FALSE)</f>
        <v>マシン</v>
      </c>
      <c r="Q397" s="110" t="s">
        <v>1213</v>
      </c>
      <c r="R397" s="111">
        <v>3</v>
      </c>
      <c r="S397" s="108" t="s">
        <v>1069</v>
      </c>
      <c r="T397" s="108" t="s">
        <v>1070</v>
      </c>
      <c r="U397" s="108" t="s">
        <v>1069</v>
      </c>
      <c r="V397" s="108" t="s">
        <v>1069</v>
      </c>
      <c r="W397" s="108" t="s">
        <v>1069</v>
      </c>
    </row>
    <row r="398" spans="1:23" ht="21" customHeight="1" x14ac:dyDescent="0.15">
      <c r="A398" s="104">
        <f t="shared" si="6"/>
        <v>397</v>
      </c>
      <c r="B398" s="105" t="s">
        <v>1071</v>
      </c>
      <c r="C398" s="127" t="s">
        <v>1255</v>
      </c>
      <c r="D398" s="107" t="s">
        <v>1219</v>
      </c>
      <c r="E398" s="108" t="s">
        <v>1215</v>
      </c>
      <c r="F398" s="108" t="s">
        <v>1216</v>
      </c>
      <c r="G398" s="108" t="s">
        <v>853</v>
      </c>
      <c r="H398" s="105" t="s">
        <v>295</v>
      </c>
      <c r="I398" s="109">
        <v>5</v>
      </c>
      <c r="J398" s="109" t="s">
        <v>805</v>
      </c>
      <c r="K398" s="105" t="s">
        <v>1252</v>
      </c>
      <c r="L398" s="107" t="str">
        <f ca="1">VLOOKUP($K398,OFFSET([1]character_type_i18n!$A$1,0,0,COUNTA([1]character_type_i18n!$A:$A),MATCH(L$1,[1]character_type_i18n!$1:$1,0)-MATCH($K$1,[1]character_type_i18n!$1:$1,0)+1),MATCH(L$1,[1]character_type_i18n!$1:$1,0)-MATCH($K$1,[1]character_type_i18n!$1:$1,0)+1,FALSE)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98" s="105" t="s">
        <v>1253</v>
      </c>
      <c r="N398" s="107" t="str">
        <f>VLOOKUP(M398,[1]character_tribe_i18n!A:C,3,FALSE)</f>
        <v>ヒューマン</v>
      </c>
      <c r="O398" s="105" t="s">
        <v>1250</v>
      </c>
      <c r="P398" s="107" t="str">
        <f>VLOOKUP(O398,[1]character_tribe_i18n!A:C,3,FALSE)</f>
        <v>マシン</v>
      </c>
      <c r="Q398" s="110" t="s">
        <v>1213</v>
      </c>
      <c r="R398" s="111">
        <v>3</v>
      </c>
      <c r="S398" s="108" t="s">
        <v>1069</v>
      </c>
      <c r="T398" s="108" t="s">
        <v>1070</v>
      </c>
      <c r="U398" s="108" t="s">
        <v>1069</v>
      </c>
      <c r="V398" s="108" t="s">
        <v>1069</v>
      </c>
      <c r="W398" s="108" t="s">
        <v>1069</v>
      </c>
    </row>
    <row r="399" spans="1:23" ht="21" customHeight="1" x14ac:dyDescent="0.15">
      <c r="A399" s="104">
        <f t="shared" si="6"/>
        <v>398</v>
      </c>
      <c r="B399" s="105" t="s">
        <v>1071</v>
      </c>
      <c r="C399" s="127" t="s">
        <v>1256</v>
      </c>
      <c r="D399" s="107" t="s">
        <v>1219</v>
      </c>
      <c r="E399" s="108" t="s">
        <v>1215</v>
      </c>
      <c r="F399" s="108" t="s">
        <v>1216</v>
      </c>
      <c r="G399" s="108" t="s">
        <v>853</v>
      </c>
      <c r="H399" s="105" t="s">
        <v>300</v>
      </c>
      <c r="I399" s="109">
        <v>4</v>
      </c>
      <c r="J399" s="109" t="s">
        <v>1220</v>
      </c>
      <c r="K399" s="105" t="s">
        <v>286</v>
      </c>
      <c r="L399" s="107" t="str">
        <f ca="1">VLOOKUP($K399,OFFSET([1]character_type_i18n!$A$1,0,0,COUNTA([1]character_type_i18n!$A:$A),MATCH(L$1,[1]character_type_i18n!$1:$1,0)-MATCH($K$1,[1]character_type_i18n!$1:$1,0)+1),MATCH(L$1,[1]character_type_i18n!$1:$1,0)-MATCH($K$1,[1]character_type_i18n!$1:$1,0)+1,FALSE)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99" s="105" t="s">
        <v>1257</v>
      </c>
      <c r="N399" s="107" t="str">
        <f>VLOOKUP(M399,[1]character_tribe_i18n!A:C,3,FALSE)</f>
        <v>ヒューマン</v>
      </c>
      <c r="O399" s="105" t="s">
        <v>1258</v>
      </c>
      <c r="P399" s="107" t="str">
        <f>VLOOKUP(O399,[1]character_tribe_i18n!A:C,3,FALSE)</f>
        <v>マシン</v>
      </c>
      <c r="Q399" s="110" t="s">
        <v>1259</v>
      </c>
      <c r="R399" s="111">
        <v>3</v>
      </c>
      <c r="S399" s="108" t="s">
        <v>1260</v>
      </c>
      <c r="T399" s="108" t="s">
        <v>281</v>
      </c>
      <c r="U399" s="108" t="s">
        <v>280</v>
      </c>
      <c r="V399" s="108" t="s">
        <v>894</v>
      </c>
      <c r="W399" s="108" t="s">
        <v>894</v>
      </c>
    </row>
    <row r="400" spans="1:23" ht="21" customHeight="1" x14ac:dyDescent="0.15">
      <c r="A400" s="104">
        <f t="shared" si="6"/>
        <v>399</v>
      </c>
      <c r="B400" s="105" t="s">
        <v>1261</v>
      </c>
      <c r="C400" s="127" t="s">
        <v>1262</v>
      </c>
      <c r="D400" s="107" t="s">
        <v>1219</v>
      </c>
      <c r="E400" s="108" t="s">
        <v>709</v>
      </c>
      <c r="F400" s="108" t="s">
        <v>532</v>
      </c>
      <c r="G400" s="108" t="s">
        <v>853</v>
      </c>
      <c r="H400" s="105" t="s">
        <v>300</v>
      </c>
      <c r="I400" s="109">
        <v>5</v>
      </c>
      <c r="J400" s="109" t="s">
        <v>1263</v>
      </c>
      <c r="K400" s="129" t="s">
        <v>286</v>
      </c>
      <c r="L400" s="107" t="str">
        <f ca="1">VLOOKUP($K400,OFFSET([1]character_type_i18n!$A$1,0,0,COUNTA([1]character_type_i18n!$A:$A),MATCH(L$1,[1]character_type_i18n!$1:$1,0)-MATCH($K$1,[1]character_type_i18n!$1:$1,0)+1),MATCH(L$1,[1]character_type_i18n!$1:$1,0)-MATCH($K$1,[1]character_type_i18n!$1:$1,0)+1,FALSE)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00" s="105" t="s">
        <v>1264</v>
      </c>
      <c r="N400" s="107" t="str">
        <f>VLOOKUP(M400,[1]character_tribe_i18n!A:C,3,FALSE)</f>
        <v>ヒューマン</v>
      </c>
      <c r="O400" s="105" t="s">
        <v>1265</v>
      </c>
      <c r="P400" s="107" t="str">
        <f>VLOOKUP(O400,[1]character_tribe_i18n!A:C,3,FALSE)</f>
        <v>マシン</v>
      </c>
      <c r="Q400" s="110" t="s">
        <v>1266</v>
      </c>
      <c r="R400" s="111">
        <v>3</v>
      </c>
      <c r="S400" s="108" t="s">
        <v>633</v>
      </c>
      <c r="T400" s="108" t="s">
        <v>1267</v>
      </c>
      <c r="U400" s="108" t="s">
        <v>1268</v>
      </c>
      <c r="V400" s="108" t="s">
        <v>894</v>
      </c>
      <c r="W400" s="108" t="s">
        <v>894</v>
      </c>
    </row>
    <row r="401" spans="1:23" ht="21" customHeight="1" x14ac:dyDescent="0.15">
      <c r="A401" s="104">
        <f t="shared" si="6"/>
        <v>400</v>
      </c>
      <c r="B401" s="105" t="s">
        <v>1261</v>
      </c>
      <c r="C401" s="127" t="s">
        <v>1269</v>
      </c>
      <c r="D401" s="123" t="s">
        <v>1270</v>
      </c>
      <c r="E401" s="108" t="s">
        <v>1271</v>
      </c>
      <c r="F401" s="108" t="s">
        <v>1272</v>
      </c>
      <c r="G401" s="108" t="s">
        <v>853</v>
      </c>
      <c r="H401" s="105" t="s">
        <v>274</v>
      </c>
      <c r="I401" s="109">
        <v>3</v>
      </c>
      <c r="J401" s="109" t="s">
        <v>805</v>
      </c>
      <c r="K401" s="105" t="s">
        <v>1273</v>
      </c>
      <c r="L401" s="107" t="str">
        <f ca="1">VLOOKUP($K401,OFFSET([1]character_type_i18n!$A$1,0,0,COUNTA([1]character_type_i18n!$A:$A),MATCH(L$1,[1]character_type_i18n!$1:$1,0)-MATCH($K$1,[1]character_type_i18n!$1:$1,0)+1),MATCH(L$1,[1]character_type_i18n!$1:$1,0)-MATCH($K$1,[1]character_type_i18n!$1:$1,0)+1,FALSE)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01" s="105" t="s">
        <v>313</v>
      </c>
      <c r="N401" s="107" t="str">
        <f>VLOOKUP(M401,[1]character_tribe_i18n!A:C,3,FALSE)</f>
        <v>アニマル</v>
      </c>
      <c r="O401" s="105" t="s">
        <v>278</v>
      </c>
      <c r="P401" s="107" t="str">
        <f>VLOOKUP(O401,[1]character_tribe_i18n!A:C,3,FALSE)</f>
        <v>種族なし</v>
      </c>
      <c r="Q401" s="110" t="s">
        <v>279</v>
      </c>
      <c r="R401" s="111">
        <v>3</v>
      </c>
      <c r="S401" s="108" t="s">
        <v>280</v>
      </c>
      <c r="T401" s="108" t="s">
        <v>1274</v>
      </c>
      <c r="U401" s="108" t="s">
        <v>1275</v>
      </c>
      <c r="V401" s="108" t="s">
        <v>894</v>
      </c>
      <c r="W401" s="108" t="s">
        <v>894</v>
      </c>
    </row>
    <row r="402" spans="1:23" ht="21" customHeight="1" x14ac:dyDescent="0.15">
      <c r="A402" s="104">
        <f t="shared" si="6"/>
        <v>401</v>
      </c>
      <c r="B402" s="105" t="s">
        <v>1261</v>
      </c>
      <c r="C402" s="127" t="s">
        <v>1276</v>
      </c>
      <c r="D402" s="123" t="s">
        <v>1270</v>
      </c>
      <c r="E402" s="108" t="s">
        <v>1277</v>
      </c>
      <c r="F402" s="108" t="s">
        <v>1278</v>
      </c>
      <c r="G402" s="108" t="s">
        <v>853</v>
      </c>
      <c r="H402" s="105" t="s">
        <v>274</v>
      </c>
      <c r="I402" s="109">
        <v>4</v>
      </c>
      <c r="J402" s="109" t="s">
        <v>805</v>
      </c>
      <c r="K402" s="105" t="s">
        <v>1279</v>
      </c>
      <c r="L402" s="107" t="str">
        <f ca="1">VLOOKUP($K402,OFFSET([1]character_type_i18n!$A$1,0,0,COUNTA([1]character_type_i18n!$A:$A),MATCH(L$1,[1]character_type_i18n!$1:$1,0)-MATCH($K$1,[1]character_type_i18n!$1:$1,0)+1),MATCH(L$1,[1]character_type_i18n!$1:$1,0)-MATCH($K$1,[1]character_type_i18n!$1:$1,0)+1,FALSE)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02" s="105" t="s">
        <v>1280</v>
      </c>
      <c r="N402" s="107" t="str">
        <f>VLOOKUP(M402,[1]character_tribe_i18n!A:C,3,FALSE)</f>
        <v>アニマル</v>
      </c>
      <c r="O402" s="105" t="s">
        <v>278</v>
      </c>
      <c r="P402" s="107" t="str">
        <f>VLOOKUP(O402,[1]character_tribe_i18n!A:C,3,FALSE)</f>
        <v>種族なし</v>
      </c>
      <c r="Q402" s="110" t="s">
        <v>1281</v>
      </c>
      <c r="R402" s="111">
        <v>3</v>
      </c>
      <c r="S402" s="108" t="s">
        <v>1275</v>
      </c>
      <c r="T402" s="108" t="s">
        <v>281</v>
      </c>
      <c r="U402" s="108" t="s">
        <v>280</v>
      </c>
      <c r="V402" s="108" t="s">
        <v>894</v>
      </c>
      <c r="W402" s="108" t="s">
        <v>894</v>
      </c>
    </row>
    <row r="403" spans="1:23" ht="21" customHeight="1" x14ac:dyDescent="0.15">
      <c r="A403" s="104">
        <f t="shared" si="6"/>
        <v>402</v>
      </c>
      <c r="B403" s="105" t="s">
        <v>1261</v>
      </c>
      <c r="C403" s="127" t="s">
        <v>1282</v>
      </c>
      <c r="D403" s="123" t="s">
        <v>1270</v>
      </c>
      <c r="E403" s="108" t="s">
        <v>1277</v>
      </c>
      <c r="F403" s="108" t="s">
        <v>890</v>
      </c>
      <c r="G403" s="108" t="s">
        <v>853</v>
      </c>
      <c r="H403" s="105" t="s">
        <v>274</v>
      </c>
      <c r="I403" s="109">
        <v>5</v>
      </c>
      <c r="J403" s="109" t="s">
        <v>805</v>
      </c>
      <c r="K403" s="105" t="s">
        <v>1283</v>
      </c>
      <c r="L403" s="107" t="str">
        <f ca="1">VLOOKUP($K403,OFFSET([1]character_type_i18n!$A$1,0,0,COUNTA([1]character_type_i18n!$A:$A),MATCH(L$1,[1]character_type_i18n!$1:$1,0)-MATCH($K$1,[1]character_type_i18n!$1:$1,0)+1),MATCH(L$1,[1]character_type_i18n!$1:$1,0)-MATCH($K$1,[1]character_type_i18n!$1:$1,0)+1,FALSE)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03" s="105" t="s">
        <v>1284</v>
      </c>
      <c r="N403" s="107" t="str">
        <f>VLOOKUP(M403,[1]character_tribe_i18n!A:C,3,FALSE)</f>
        <v>アニマル</v>
      </c>
      <c r="O403" s="105" t="s">
        <v>278</v>
      </c>
      <c r="P403" s="107" t="str">
        <f>VLOOKUP(O403,[1]character_tribe_i18n!A:C,3,FALSE)</f>
        <v>種族なし</v>
      </c>
      <c r="Q403" s="110" t="s">
        <v>1285</v>
      </c>
      <c r="R403" s="111">
        <v>3</v>
      </c>
      <c r="S403" s="108" t="s">
        <v>1286</v>
      </c>
      <c r="T403" s="108" t="s">
        <v>1287</v>
      </c>
      <c r="U403" s="108" t="s">
        <v>887</v>
      </c>
      <c r="V403" s="108" t="s">
        <v>887</v>
      </c>
      <c r="W403" s="108" t="s">
        <v>887</v>
      </c>
    </row>
    <row r="404" spans="1:23" ht="21" customHeight="1" x14ac:dyDescent="0.15">
      <c r="A404" s="104">
        <f t="shared" si="6"/>
        <v>403</v>
      </c>
      <c r="B404" s="105" t="s">
        <v>1288</v>
      </c>
      <c r="C404" s="127" t="s">
        <v>1289</v>
      </c>
      <c r="D404" s="123" t="s">
        <v>1270</v>
      </c>
      <c r="E404" s="108" t="s">
        <v>1290</v>
      </c>
      <c r="F404" s="108" t="s">
        <v>1291</v>
      </c>
      <c r="G404" s="108" t="s">
        <v>853</v>
      </c>
      <c r="H404" s="105" t="s">
        <v>285</v>
      </c>
      <c r="I404" s="109">
        <v>4</v>
      </c>
      <c r="J404" s="109" t="s">
        <v>1263</v>
      </c>
      <c r="K404" s="105" t="s">
        <v>1292</v>
      </c>
      <c r="L404" s="107" t="str">
        <f ca="1">VLOOKUP($K404,OFFSET([1]character_type_i18n!$A$1,0,0,COUNTA([1]character_type_i18n!$A:$A),MATCH(L$1,[1]character_type_i18n!$1:$1,0)-MATCH($K$1,[1]character_type_i18n!$1:$1,0)+1),MATCH(L$1,[1]character_type_i18n!$1:$1,0)-MATCH($K$1,[1]character_type_i18n!$1:$1,0)+1,FALSE)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04" s="105" t="s">
        <v>1293</v>
      </c>
      <c r="N404" s="107" t="str">
        <f>VLOOKUP(M404,[1]character_tribe_i18n!A:C,3,FALSE)</f>
        <v>アニマル</v>
      </c>
      <c r="O404" s="105" t="s">
        <v>278</v>
      </c>
      <c r="P404" s="107" t="str">
        <f>VLOOKUP(O404,[1]character_tribe_i18n!A:C,3,FALSE)</f>
        <v>種族なし</v>
      </c>
      <c r="Q404" s="110" t="s">
        <v>1294</v>
      </c>
      <c r="R404" s="111">
        <v>3</v>
      </c>
      <c r="S404" s="108" t="s">
        <v>1295</v>
      </c>
      <c r="T404" s="108" t="s">
        <v>1296</v>
      </c>
      <c r="U404" s="108" t="s">
        <v>1295</v>
      </c>
      <c r="V404" s="108" t="s">
        <v>1295</v>
      </c>
      <c r="W404" s="108" t="s">
        <v>1295</v>
      </c>
    </row>
    <row r="405" spans="1:23" ht="21" customHeight="1" x14ac:dyDescent="0.15">
      <c r="A405" s="104">
        <f t="shared" si="6"/>
        <v>404</v>
      </c>
      <c r="B405" s="105" t="s">
        <v>1297</v>
      </c>
      <c r="C405" s="127" t="s">
        <v>1298</v>
      </c>
      <c r="D405" s="123" t="s">
        <v>1270</v>
      </c>
      <c r="E405" s="108" t="s">
        <v>709</v>
      </c>
      <c r="F405" s="108" t="s">
        <v>1299</v>
      </c>
      <c r="G405" s="108" t="s">
        <v>853</v>
      </c>
      <c r="H405" s="105" t="s">
        <v>285</v>
      </c>
      <c r="I405" s="109">
        <v>5</v>
      </c>
      <c r="J405" s="109" t="s">
        <v>1263</v>
      </c>
      <c r="K405" s="105" t="s">
        <v>1300</v>
      </c>
      <c r="L405" s="107" t="str">
        <f ca="1">VLOOKUP($K405,OFFSET([1]character_type_i18n!$A$1,0,0,COUNTA([1]character_type_i18n!$A:$A),MATCH(L$1,[1]character_type_i18n!$1:$1,0)-MATCH($K$1,[1]character_type_i18n!$1:$1,0)+1),MATCH(L$1,[1]character_type_i18n!$1:$1,0)-MATCH($K$1,[1]character_type_i18n!$1:$1,0)+1,FALSE)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05" s="105" t="s">
        <v>1280</v>
      </c>
      <c r="N405" s="107" t="str">
        <f>VLOOKUP(M405,[1]character_tribe_i18n!A:C,3,FALSE)</f>
        <v>アニマル</v>
      </c>
      <c r="O405" s="105" t="s">
        <v>278</v>
      </c>
      <c r="P405" s="107" t="str">
        <f>VLOOKUP(O405,[1]character_tribe_i18n!A:C,3,FALSE)</f>
        <v>種族なし</v>
      </c>
      <c r="Q405" s="110" t="s">
        <v>1301</v>
      </c>
      <c r="R405" s="111">
        <v>3</v>
      </c>
      <c r="S405" s="108" t="s">
        <v>1173</v>
      </c>
      <c r="T405" s="108" t="s">
        <v>281</v>
      </c>
      <c r="U405" s="108" t="s">
        <v>280</v>
      </c>
      <c r="V405" s="108" t="s">
        <v>894</v>
      </c>
      <c r="W405" s="108" t="s">
        <v>894</v>
      </c>
    </row>
    <row r="406" spans="1:23" ht="21" customHeight="1" x14ac:dyDescent="0.15">
      <c r="A406" s="104">
        <f t="shared" si="6"/>
        <v>405</v>
      </c>
      <c r="B406" s="105" t="s">
        <v>1261</v>
      </c>
      <c r="C406" s="127" t="s">
        <v>1302</v>
      </c>
      <c r="D406" s="123" t="s">
        <v>1270</v>
      </c>
      <c r="E406" s="108" t="s">
        <v>1271</v>
      </c>
      <c r="F406" s="108" t="s">
        <v>1272</v>
      </c>
      <c r="G406" s="108" t="s">
        <v>853</v>
      </c>
      <c r="H406" s="105" t="s">
        <v>295</v>
      </c>
      <c r="I406" s="109">
        <v>3</v>
      </c>
      <c r="J406" s="109" t="s">
        <v>805</v>
      </c>
      <c r="K406" s="105" t="s">
        <v>1303</v>
      </c>
      <c r="L406" s="107" t="str">
        <f ca="1">VLOOKUP($K406,OFFSET([1]character_type_i18n!$A$1,0,0,COUNTA([1]character_type_i18n!$A:$A),MATCH(L$1,[1]character_type_i18n!$1:$1,0)-MATCH($K$1,[1]character_type_i18n!$1:$1,0)+1),MATCH(L$1,[1]character_type_i18n!$1:$1,0)-MATCH($K$1,[1]character_type_i18n!$1:$1,0)+1,FALSE)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06" s="105" t="s">
        <v>313</v>
      </c>
      <c r="N406" s="107" t="str">
        <f>VLOOKUP(M406,[1]character_tribe_i18n!A:C,3,FALSE)</f>
        <v>アニマル</v>
      </c>
      <c r="O406" s="105" t="s">
        <v>278</v>
      </c>
      <c r="P406" s="107" t="str">
        <f>VLOOKUP(O406,[1]character_tribe_i18n!A:C,3,FALSE)</f>
        <v>種族なし</v>
      </c>
      <c r="Q406" s="110" t="s">
        <v>1266</v>
      </c>
      <c r="R406" s="111">
        <v>3</v>
      </c>
      <c r="S406" s="108" t="s">
        <v>633</v>
      </c>
      <c r="T406" s="108" t="s">
        <v>281</v>
      </c>
      <c r="U406" s="108" t="s">
        <v>280</v>
      </c>
      <c r="V406" s="108" t="s">
        <v>894</v>
      </c>
      <c r="W406" s="108" t="s">
        <v>894</v>
      </c>
    </row>
    <row r="407" spans="1:23" ht="21" customHeight="1" x14ac:dyDescent="0.15">
      <c r="A407" s="104">
        <f t="shared" si="6"/>
        <v>406</v>
      </c>
      <c r="B407" s="105" t="s">
        <v>1261</v>
      </c>
      <c r="C407" s="127" t="s">
        <v>1304</v>
      </c>
      <c r="D407" s="123" t="s">
        <v>1270</v>
      </c>
      <c r="E407" s="108" t="s">
        <v>1305</v>
      </c>
      <c r="F407" s="108" t="s">
        <v>1291</v>
      </c>
      <c r="G407" s="108" t="s">
        <v>853</v>
      </c>
      <c r="H407" s="105" t="s">
        <v>295</v>
      </c>
      <c r="I407" s="109">
        <v>4</v>
      </c>
      <c r="J407" s="109" t="s">
        <v>805</v>
      </c>
      <c r="K407" s="105" t="s">
        <v>1306</v>
      </c>
      <c r="L407" s="107" t="str">
        <f ca="1">VLOOKUP($K407,OFFSET([1]character_type_i18n!$A$1,0,0,COUNTA([1]character_type_i18n!$A:$A),MATCH(L$1,[1]character_type_i18n!$1:$1,0)-MATCH($K$1,[1]character_type_i18n!$1:$1,0)+1),MATCH(L$1,[1]character_type_i18n!$1:$1,0)-MATCH($K$1,[1]character_type_i18n!$1:$1,0)+1,FALSE)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07" s="105" t="s">
        <v>1293</v>
      </c>
      <c r="N407" s="107" t="str">
        <f>VLOOKUP(M407,[1]character_tribe_i18n!A:C,3,FALSE)</f>
        <v>アニマル</v>
      </c>
      <c r="O407" s="105" t="s">
        <v>278</v>
      </c>
      <c r="P407" s="107" t="str">
        <f>VLOOKUP(O407,[1]character_tribe_i18n!A:C,3,FALSE)</f>
        <v>種族なし</v>
      </c>
      <c r="Q407" s="110" t="s">
        <v>1294</v>
      </c>
      <c r="R407" s="111">
        <v>3</v>
      </c>
      <c r="S407" s="108" t="s">
        <v>1295</v>
      </c>
      <c r="T407" s="108" t="s">
        <v>1307</v>
      </c>
      <c r="U407" s="108" t="s">
        <v>1308</v>
      </c>
      <c r="V407" s="108" t="s">
        <v>894</v>
      </c>
      <c r="W407" s="108" t="s">
        <v>894</v>
      </c>
    </row>
    <row r="408" spans="1:23" ht="21" customHeight="1" x14ac:dyDescent="0.15">
      <c r="A408" s="104">
        <f t="shared" si="6"/>
        <v>407</v>
      </c>
      <c r="B408" s="105" t="s">
        <v>1261</v>
      </c>
      <c r="C408" s="127" t="s">
        <v>1309</v>
      </c>
      <c r="D408" s="123" t="s">
        <v>1270</v>
      </c>
      <c r="E408" s="108" t="s">
        <v>1305</v>
      </c>
      <c r="F408" s="108" t="s">
        <v>1310</v>
      </c>
      <c r="G408" s="108" t="s">
        <v>853</v>
      </c>
      <c r="H408" s="105" t="s">
        <v>295</v>
      </c>
      <c r="I408" s="109">
        <v>5</v>
      </c>
      <c r="J408" s="109" t="s">
        <v>805</v>
      </c>
      <c r="K408" s="105" t="s">
        <v>1311</v>
      </c>
      <c r="L408" s="107" t="str">
        <f ca="1">VLOOKUP($K408,OFFSET([1]character_type_i18n!$A$1,0,0,COUNTA([1]character_type_i18n!$A:$A),MATCH(L$1,[1]character_type_i18n!$1:$1,0)-MATCH($K$1,[1]character_type_i18n!$1:$1,0)+1),MATCH(L$1,[1]character_type_i18n!$1:$1,0)-MATCH($K$1,[1]character_type_i18n!$1:$1,0)+1,FALSE)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08" s="105" t="s">
        <v>1280</v>
      </c>
      <c r="N408" s="107" t="str">
        <f>VLOOKUP(M408,[1]character_tribe_i18n!A:C,3,FALSE)</f>
        <v>アニマル</v>
      </c>
      <c r="O408" s="105" t="s">
        <v>278</v>
      </c>
      <c r="P408" s="107" t="str">
        <f>VLOOKUP(O408,[1]character_tribe_i18n!A:C,3,FALSE)</f>
        <v>種族なし</v>
      </c>
      <c r="Q408" s="110" t="s">
        <v>1312</v>
      </c>
      <c r="R408" s="111">
        <v>3</v>
      </c>
      <c r="S408" s="108" t="s">
        <v>1313</v>
      </c>
      <c r="T408" s="108" t="s">
        <v>1314</v>
      </c>
      <c r="U408" s="108" t="s">
        <v>1313</v>
      </c>
      <c r="V408" s="108" t="s">
        <v>894</v>
      </c>
      <c r="W408" s="108" t="s">
        <v>894</v>
      </c>
    </row>
    <row r="409" spans="1:23" ht="21" customHeight="1" x14ac:dyDescent="0.15">
      <c r="A409" s="104">
        <f t="shared" si="6"/>
        <v>408</v>
      </c>
      <c r="B409" s="105" t="s">
        <v>1261</v>
      </c>
      <c r="C409" s="106" t="s">
        <v>1315</v>
      </c>
      <c r="D409" s="123" t="s">
        <v>1270</v>
      </c>
      <c r="E409" s="108" t="s">
        <v>709</v>
      </c>
      <c r="F409" s="108" t="s">
        <v>532</v>
      </c>
      <c r="G409" s="108" t="s">
        <v>710</v>
      </c>
      <c r="H409" s="105" t="s">
        <v>300</v>
      </c>
      <c r="I409" s="109">
        <v>4</v>
      </c>
      <c r="J409" s="109" t="s">
        <v>1001</v>
      </c>
      <c r="K409" s="105" t="s">
        <v>1273</v>
      </c>
      <c r="L409" s="107" t="str">
        <f ca="1">VLOOKUP($K409,OFFSET([1]character_type_i18n!$A$1,0,0,COUNTA([1]character_type_i18n!$A:$A),MATCH(L$1,[1]character_type_i18n!$1:$1,0)-MATCH($K$1,[1]character_type_i18n!$1:$1,0)+1),MATCH(L$1,[1]character_type_i18n!$1:$1,0)-MATCH($K$1,[1]character_type_i18n!$1:$1,0)+1,FALSE)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09" s="105" t="s">
        <v>517</v>
      </c>
      <c r="N409" s="107" t="str">
        <f>VLOOKUP(M409,[1]character_tribe_i18n!A:C,3,FALSE)</f>
        <v>ゴッド</v>
      </c>
      <c r="O409" s="105" t="s">
        <v>278</v>
      </c>
      <c r="P409" s="107" t="str">
        <f>VLOOKUP(O409,[1]character_tribe_i18n!A:C,3,FALSE)</f>
        <v>種族なし</v>
      </c>
      <c r="Q409" s="110" t="s">
        <v>1316</v>
      </c>
      <c r="R409" s="111">
        <v>3</v>
      </c>
      <c r="S409" s="108" t="s">
        <v>807</v>
      </c>
      <c r="T409" s="108" t="s">
        <v>1317</v>
      </c>
      <c r="U409" s="108" t="s">
        <v>1318</v>
      </c>
      <c r="V409" s="108" t="s">
        <v>894</v>
      </c>
      <c r="W409" s="108" t="s">
        <v>894</v>
      </c>
    </row>
    <row r="410" spans="1:23" ht="21" customHeight="1" x14ac:dyDescent="0.15">
      <c r="A410" s="104">
        <f t="shared" si="6"/>
        <v>409</v>
      </c>
      <c r="B410" s="105" t="s">
        <v>1319</v>
      </c>
      <c r="C410" s="106" t="s">
        <v>1320</v>
      </c>
      <c r="D410" s="123" t="s">
        <v>1270</v>
      </c>
      <c r="E410" s="108" t="s">
        <v>1321</v>
      </c>
      <c r="F410" s="108" t="s">
        <v>1322</v>
      </c>
      <c r="G410" s="108" t="s">
        <v>1323</v>
      </c>
      <c r="H410" s="105" t="s">
        <v>300</v>
      </c>
      <c r="I410" s="109">
        <v>5</v>
      </c>
      <c r="J410" s="109" t="s">
        <v>1324</v>
      </c>
      <c r="K410" s="105" t="s">
        <v>1325</v>
      </c>
      <c r="L410" s="107" t="str">
        <f ca="1">VLOOKUP($K410,OFFSET([1]character_type_i18n!$A$1,0,0,COUNTA([1]character_type_i18n!$A:$A),MATCH(L$1,[1]character_type_i18n!$1:$1,0)-MATCH($K$1,[1]character_type_i18n!$1:$1,0)+1),MATCH(L$1,[1]character_type_i18n!$1:$1,0)-MATCH($K$1,[1]character_type_i18n!$1:$1,0)+1,FALSE)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10" s="105" t="s">
        <v>517</v>
      </c>
      <c r="N410" s="107" t="str">
        <f>VLOOKUP(M410,[1]character_tribe_i18n!A:C,3,FALSE)</f>
        <v>ゴッド</v>
      </c>
      <c r="O410" s="105" t="s">
        <v>278</v>
      </c>
      <c r="P410" s="107" t="str">
        <f>VLOOKUP(O410,[1]character_tribe_i18n!A:C,3,FALSE)</f>
        <v>種族なし</v>
      </c>
      <c r="Q410" s="110" t="s">
        <v>1312</v>
      </c>
      <c r="R410" s="111">
        <v>3</v>
      </c>
      <c r="S410" s="108" t="s">
        <v>1313</v>
      </c>
      <c r="T410" s="108" t="s">
        <v>1314</v>
      </c>
      <c r="U410" s="108" t="s">
        <v>1313</v>
      </c>
      <c r="V410" s="108" t="s">
        <v>894</v>
      </c>
      <c r="W410" s="108" t="s">
        <v>894</v>
      </c>
    </row>
    <row r="411" spans="1:23" ht="21" customHeight="1" x14ac:dyDescent="0.15">
      <c r="A411" s="104">
        <f t="shared" si="6"/>
        <v>410</v>
      </c>
      <c r="B411" s="105" t="s">
        <v>1125</v>
      </c>
      <c r="C411" s="121" t="s">
        <v>1326</v>
      </c>
      <c r="D411" s="107" t="s">
        <v>1327</v>
      </c>
      <c r="E411" s="108" t="s">
        <v>709</v>
      </c>
      <c r="F411" s="108" t="s">
        <v>532</v>
      </c>
      <c r="G411" s="108" t="s">
        <v>853</v>
      </c>
      <c r="H411" s="105" t="s">
        <v>300</v>
      </c>
      <c r="I411" s="109">
        <v>4</v>
      </c>
      <c r="J411" s="109" t="s">
        <v>1328</v>
      </c>
      <c r="K411" s="105" t="s">
        <v>1329</v>
      </c>
      <c r="L411" s="107" t="str">
        <f ca="1">VLOOKUP($K411,OFFSET([1]character_type_i18n!$A$1,0,0,COUNTA([1]character_type_i18n!$A:$A),MATCH(L$1,[1]character_type_i18n!$1:$1,0)-MATCH($K$1,[1]character_type_i18n!$1:$1,0)+1),MATCH(L$1,[1]character_type_i18n!$1:$1,0)-MATCH($K$1,[1]character_type_i18n!$1:$1,0)+1,FALSE)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11" s="105" t="s">
        <v>1330</v>
      </c>
      <c r="N411" s="107" t="str">
        <f>VLOOKUP(M411,[1]character_tribe_i18n!A:C,3,FALSE)</f>
        <v>ヒューマン</v>
      </c>
      <c r="O411" s="105" t="s">
        <v>1331</v>
      </c>
      <c r="P411" s="107" t="str">
        <f>VLOOKUP(O411,[1]character_tribe_i18n!A:C,3,FALSE)</f>
        <v>種族なし</v>
      </c>
      <c r="Q411" s="110" t="s">
        <v>1332</v>
      </c>
      <c r="R411" s="111">
        <v>3</v>
      </c>
      <c r="S411" s="108" t="s">
        <v>1333</v>
      </c>
      <c r="T411" s="108" t="s">
        <v>281</v>
      </c>
      <c r="U411" s="108" t="s">
        <v>280</v>
      </c>
      <c r="V411" s="108" t="s">
        <v>1333</v>
      </c>
      <c r="W411" s="108" t="s">
        <v>1333</v>
      </c>
    </row>
    <row r="412" spans="1:23" ht="21" customHeight="1" x14ac:dyDescent="0.15">
      <c r="A412" s="104">
        <f t="shared" si="6"/>
        <v>411</v>
      </c>
      <c r="B412" s="105" t="s">
        <v>1334</v>
      </c>
      <c r="C412" s="121" t="s">
        <v>1335</v>
      </c>
      <c r="D412" s="107" t="s">
        <v>1336</v>
      </c>
      <c r="E412" s="108" t="s">
        <v>1337</v>
      </c>
      <c r="F412" s="108" t="s">
        <v>1338</v>
      </c>
      <c r="G412" s="108" t="s">
        <v>853</v>
      </c>
      <c r="H412" s="105" t="s">
        <v>300</v>
      </c>
      <c r="I412" s="109">
        <v>5</v>
      </c>
      <c r="J412" s="109" t="s">
        <v>1180</v>
      </c>
      <c r="K412" s="105" t="s">
        <v>1008</v>
      </c>
      <c r="L412" s="107" t="str">
        <f ca="1">VLOOKUP($K412,OFFSET([1]character_type_i18n!$A$1,0,0,COUNTA([1]character_type_i18n!$A:$A),MATCH(L$1,[1]character_type_i18n!$1:$1,0)-MATCH($K$1,[1]character_type_i18n!$1:$1,0)+1),MATCH(L$1,[1]character_type_i18n!$1:$1,0)-MATCH($K$1,[1]character_type_i18n!$1:$1,0)+1,FALSE)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12" s="105" t="s">
        <v>1339</v>
      </c>
      <c r="N412" s="107" t="str">
        <f>VLOOKUP(M412,[1]character_tribe_i18n!A:C,3,FALSE)</f>
        <v>ヒューマン</v>
      </c>
      <c r="O412" s="105" t="s">
        <v>1331</v>
      </c>
      <c r="P412" s="107" t="str">
        <f>VLOOKUP(O412,[1]character_tribe_i18n!A:C,3,FALSE)</f>
        <v>種族なし</v>
      </c>
      <c r="Q412" s="110" t="s">
        <v>1340</v>
      </c>
      <c r="R412" s="111">
        <v>3</v>
      </c>
      <c r="S412" s="108" t="s">
        <v>1057</v>
      </c>
      <c r="T412" s="108" t="s">
        <v>1052</v>
      </c>
      <c r="U412" s="108" t="s">
        <v>1057</v>
      </c>
      <c r="V412" s="108" t="s">
        <v>1057</v>
      </c>
      <c r="W412" s="108" t="s">
        <v>1341</v>
      </c>
    </row>
    <row r="413" spans="1:23" ht="21" customHeight="1" x14ac:dyDescent="0.15">
      <c r="A413" s="104">
        <f t="shared" si="6"/>
        <v>412</v>
      </c>
      <c r="B413" s="105" t="s">
        <v>1342</v>
      </c>
      <c r="C413" s="121" t="s">
        <v>1343</v>
      </c>
      <c r="D413" s="107" t="s">
        <v>1344</v>
      </c>
      <c r="E413" s="108" t="s">
        <v>1345</v>
      </c>
      <c r="F413" s="108" t="s">
        <v>1346</v>
      </c>
      <c r="G413" s="108" t="s">
        <v>1347</v>
      </c>
      <c r="H413" s="105" t="s">
        <v>1106</v>
      </c>
      <c r="I413" s="109">
        <v>2</v>
      </c>
      <c r="J413" s="130" t="s">
        <v>384</v>
      </c>
      <c r="K413" s="105" t="s">
        <v>1348</v>
      </c>
      <c r="L413" s="107" t="str">
        <f ca="1">VLOOKUP($K413,OFFSET([1]character_type_i18n!$A$1,0,0,COUNTA([1]character_type_i18n!$A:$A),MATCH(L$1,[1]character_type_i18n!$1:$1,0)-MATCH($K$1,[1]character_type_i18n!$1:$1,0)+1),MATCH(L$1,[1]character_type_i18n!$1:$1,0)-MATCH($K$1,[1]character_type_i18n!$1:$1,0)+1,FALSE)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13" s="105" t="s">
        <v>1152</v>
      </c>
      <c r="N413" s="107" t="str">
        <f>VLOOKUP(M413,[1]character_tribe_i18n!A:C,3,FALSE)</f>
        <v>Unknown</v>
      </c>
      <c r="O413" s="105" t="s">
        <v>278</v>
      </c>
      <c r="P413" s="107" t="str">
        <f>VLOOKUP(O413,[1]character_tribe_i18n!A:C,3,FALSE)</f>
        <v>種族なし</v>
      </c>
      <c r="Q413" s="110" t="s">
        <v>1349</v>
      </c>
      <c r="R413" s="111">
        <v>3</v>
      </c>
      <c r="S413" s="108" t="s">
        <v>1350</v>
      </c>
      <c r="T413" s="108" t="s">
        <v>1351</v>
      </c>
      <c r="U413" s="108" t="s">
        <v>1350</v>
      </c>
      <c r="V413" s="108" t="s">
        <v>1350</v>
      </c>
      <c r="W413" s="108" t="s">
        <v>1350</v>
      </c>
    </row>
    <row r="414" spans="1:23" ht="21" customHeight="1" x14ac:dyDescent="0.15">
      <c r="A414" s="104">
        <f t="shared" si="6"/>
        <v>413</v>
      </c>
      <c r="B414" s="105" t="s">
        <v>1352</v>
      </c>
      <c r="C414" s="121" t="s">
        <v>1353</v>
      </c>
      <c r="D414" s="107" t="s">
        <v>1354</v>
      </c>
      <c r="E414" s="108" t="s">
        <v>1355</v>
      </c>
      <c r="F414" s="108" t="s">
        <v>1356</v>
      </c>
      <c r="G414" s="108" t="s">
        <v>1347</v>
      </c>
      <c r="H414" s="105" t="s">
        <v>1106</v>
      </c>
      <c r="I414" s="109">
        <v>3</v>
      </c>
      <c r="J414" s="130" t="s">
        <v>384</v>
      </c>
      <c r="K414" s="105" t="s">
        <v>1348</v>
      </c>
      <c r="L414" s="107" t="str">
        <f ca="1">VLOOKUP($K414,OFFSET([1]character_type_i18n!$A$1,0,0,COUNTA([1]character_type_i18n!$A:$A),MATCH(L$1,[1]character_type_i18n!$1:$1,0)-MATCH($K$1,[1]character_type_i18n!$1:$1,0)+1),MATCH(L$1,[1]character_type_i18n!$1:$1,0)-MATCH($K$1,[1]character_type_i18n!$1:$1,0)+1,FALSE)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14" s="105" t="s">
        <v>1357</v>
      </c>
      <c r="N414" s="107" t="str">
        <f>VLOOKUP(M414,[1]character_tribe_i18n!A:C,3,FALSE)</f>
        <v>Unknown</v>
      </c>
      <c r="O414" s="105" t="s">
        <v>278</v>
      </c>
      <c r="P414" s="107" t="str">
        <f>VLOOKUP(O414,[1]character_tribe_i18n!A:C,3,FALSE)</f>
        <v>種族なし</v>
      </c>
      <c r="Q414" s="110" t="s">
        <v>1358</v>
      </c>
      <c r="R414" s="111">
        <v>3</v>
      </c>
      <c r="S414" s="108" t="s">
        <v>1359</v>
      </c>
      <c r="T414" s="108" t="s">
        <v>1360</v>
      </c>
      <c r="U414" s="108" t="s">
        <v>1359</v>
      </c>
      <c r="V414" s="108" t="s">
        <v>1359</v>
      </c>
      <c r="W414" s="108" t="s">
        <v>1359</v>
      </c>
    </row>
    <row r="415" spans="1:23" ht="21" customHeight="1" x14ac:dyDescent="0.15">
      <c r="A415" s="104">
        <f t="shared" si="6"/>
        <v>414</v>
      </c>
      <c r="B415" s="105" t="s">
        <v>1361</v>
      </c>
      <c r="C415" s="121" t="s">
        <v>1362</v>
      </c>
      <c r="D415" s="107" t="s">
        <v>534</v>
      </c>
      <c r="E415" s="108" t="s">
        <v>1363</v>
      </c>
      <c r="F415" s="114" t="s">
        <v>272</v>
      </c>
      <c r="G415" s="114" t="s">
        <v>273</v>
      </c>
      <c r="H415" s="105" t="s">
        <v>1364</v>
      </c>
      <c r="I415" s="115">
        <v>6</v>
      </c>
      <c r="J415" s="115" t="s">
        <v>537</v>
      </c>
      <c r="K415" s="105" t="s">
        <v>538</v>
      </c>
      <c r="L415" s="107" t="str">
        <f ca="1">VLOOKUP($K415,OFFSET([1]character_type_i18n!$A$1,0,0,COUNTA([1]character_type_i18n!$A:$A),MATCH(L$1,[1]character_type_i18n!$1:$1,0)-MATCH($K$1,[1]character_type_i18n!$1:$1,0)+1),MATCH(L$1,[1]character_type_i18n!$1:$1,0)-MATCH($K$1,[1]character_type_i18n!$1:$1,0)+1,FALSE)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15" s="105" t="s">
        <v>277</v>
      </c>
      <c r="N415" s="107" t="str">
        <f>VLOOKUP(M415,[1]character_tribe_i18n!A:C,3,FALSE)</f>
        <v>Unknown</v>
      </c>
      <c r="O415" s="105" t="s">
        <v>278</v>
      </c>
      <c r="P415" s="107" t="str">
        <f>VLOOKUP(O415,[1]character_tribe_i18n!A:C,3,FALSE)</f>
        <v>種族なし</v>
      </c>
      <c r="Q415" s="110" t="s">
        <v>539</v>
      </c>
      <c r="R415" s="111">
        <v>3</v>
      </c>
      <c r="S415" s="108" t="s">
        <v>280</v>
      </c>
      <c r="T415" s="108" t="s">
        <v>281</v>
      </c>
      <c r="U415" s="108" t="s">
        <v>280</v>
      </c>
      <c r="V415" s="108" t="s">
        <v>280</v>
      </c>
      <c r="W415" s="108" t="s">
        <v>280</v>
      </c>
    </row>
    <row r="416" spans="1:23" ht="21" customHeight="1" x14ac:dyDescent="0.15">
      <c r="A416" s="104">
        <f t="shared" si="6"/>
        <v>415</v>
      </c>
      <c r="B416" s="105" t="s">
        <v>268</v>
      </c>
      <c r="C416" s="121" t="s">
        <v>1365</v>
      </c>
      <c r="D416" s="107" t="s">
        <v>534</v>
      </c>
      <c r="E416" s="108" t="s">
        <v>554</v>
      </c>
      <c r="F416" s="114" t="s">
        <v>272</v>
      </c>
      <c r="G416" s="114" t="s">
        <v>273</v>
      </c>
      <c r="H416" s="105" t="s">
        <v>545</v>
      </c>
      <c r="I416" s="115">
        <v>6</v>
      </c>
      <c r="J416" s="115" t="s">
        <v>537</v>
      </c>
      <c r="K416" s="105" t="s">
        <v>538</v>
      </c>
      <c r="L416" s="107" t="str">
        <f ca="1">VLOOKUP($K416,OFFSET([1]character_type_i18n!$A$1,0,0,COUNTA([1]character_type_i18n!$A:$A),MATCH(L$1,[1]character_type_i18n!$1:$1,0)-MATCH($K$1,[1]character_type_i18n!$1:$1,0)+1),MATCH(L$1,[1]character_type_i18n!$1:$1,0)-MATCH($K$1,[1]character_type_i18n!$1:$1,0)+1,FALSE)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16" s="105" t="s">
        <v>277</v>
      </c>
      <c r="N416" s="107" t="str">
        <f>VLOOKUP(M416,[1]character_tribe_i18n!A:C,3,FALSE)</f>
        <v>Unknown</v>
      </c>
      <c r="O416" s="105" t="s">
        <v>278</v>
      </c>
      <c r="P416" s="107" t="str">
        <f>VLOOKUP(O416,[1]character_tribe_i18n!A:C,3,FALSE)</f>
        <v>種族なし</v>
      </c>
      <c r="Q416" s="110" t="s">
        <v>539</v>
      </c>
      <c r="R416" s="111">
        <v>3</v>
      </c>
      <c r="S416" s="108" t="s">
        <v>1366</v>
      </c>
      <c r="T416" s="108" t="s">
        <v>281</v>
      </c>
      <c r="U416" s="108" t="s">
        <v>280</v>
      </c>
      <c r="V416" s="108" t="s">
        <v>280</v>
      </c>
      <c r="W416" s="108" t="s">
        <v>280</v>
      </c>
    </row>
    <row r="417" spans="1:23" ht="21" customHeight="1" x14ac:dyDescent="0.15">
      <c r="A417" s="104">
        <f t="shared" si="6"/>
        <v>416</v>
      </c>
      <c r="B417" s="105" t="s">
        <v>268</v>
      </c>
      <c r="C417" s="121" t="s">
        <v>1367</v>
      </c>
      <c r="D417" s="107" t="s">
        <v>534</v>
      </c>
      <c r="E417" s="108" t="s">
        <v>1368</v>
      </c>
      <c r="F417" s="114" t="s">
        <v>272</v>
      </c>
      <c r="G417" s="114" t="s">
        <v>273</v>
      </c>
      <c r="H417" s="105" t="s">
        <v>618</v>
      </c>
      <c r="I417" s="115">
        <v>6</v>
      </c>
      <c r="J417" s="115" t="s">
        <v>537</v>
      </c>
      <c r="K417" s="105" t="s">
        <v>538</v>
      </c>
      <c r="L417" s="107" t="str">
        <f ca="1">VLOOKUP($K417,OFFSET([1]character_type_i18n!$A$1,0,0,COUNTA([1]character_type_i18n!$A:$A),MATCH(L$1,[1]character_type_i18n!$1:$1,0)-MATCH($K$1,[1]character_type_i18n!$1:$1,0)+1),MATCH(L$1,[1]character_type_i18n!$1:$1,0)-MATCH($K$1,[1]character_type_i18n!$1:$1,0)+1,FALSE)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17" s="105" t="s">
        <v>277</v>
      </c>
      <c r="N417" s="107" t="str">
        <f>VLOOKUP(M417,[1]character_tribe_i18n!A:C,3,FALSE)</f>
        <v>Unknown</v>
      </c>
      <c r="O417" s="105" t="s">
        <v>278</v>
      </c>
      <c r="P417" s="107" t="str">
        <f>VLOOKUP(O417,[1]character_tribe_i18n!A:C,3,FALSE)</f>
        <v>種族なし</v>
      </c>
      <c r="Q417" s="110" t="s">
        <v>539</v>
      </c>
      <c r="R417" s="111">
        <v>3</v>
      </c>
      <c r="S417" s="108" t="s">
        <v>280</v>
      </c>
      <c r="T417" s="108" t="s">
        <v>281</v>
      </c>
      <c r="U417" s="108" t="s">
        <v>280</v>
      </c>
      <c r="V417" s="108" t="s">
        <v>280</v>
      </c>
      <c r="W417" s="108" t="s">
        <v>280</v>
      </c>
    </row>
    <row r="418" spans="1:23" ht="21" customHeight="1" x14ac:dyDescent="0.15">
      <c r="A418" s="104">
        <f t="shared" si="6"/>
        <v>417</v>
      </c>
      <c r="B418" s="105" t="s">
        <v>268</v>
      </c>
      <c r="C418" s="121" t="s">
        <v>1369</v>
      </c>
      <c r="D418" s="107" t="s">
        <v>534</v>
      </c>
      <c r="E418" s="108" t="s">
        <v>554</v>
      </c>
      <c r="F418" s="114" t="s">
        <v>272</v>
      </c>
      <c r="G418" s="114" t="s">
        <v>273</v>
      </c>
      <c r="H418" s="105" t="s">
        <v>1106</v>
      </c>
      <c r="I418" s="115">
        <v>6</v>
      </c>
      <c r="J418" s="115" t="s">
        <v>537</v>
      </c>
      <c r="K418" s="105" t="s">
        <v>538</v>
      </c>
      <c r="L418" s="107" t="str">
        <f ca="1">VLOOKUP($K418,OFFSET([1]character_type_i18n!$A$1,0,0,COUNTA([1]character_type_i18n!$A:$A),MATCH(L$1,[1]character_type_i18n!$1:$1,0)-MATCH($K$1,[1]character_type_i18n!$1:$1,0)+1),MATCH(L$1,[1]character_type_i18n!$1:$1,0)-MATCH($K$1,[1]character_type_i18n!$1:$1,0)+1,FALSE)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18" s="105" t="s">
        <v>277</v>
      </c>
      <c r="N418" s="107" t="str">
        <f>VLOOKUP(M418,[1]character_tribe_i18n!A:C,3,FALSE)</f>
        <v>Unknown</v>
      </c>
      <c r="O418" s="105" t="s">
        <v>278</v>
      </c>
      <c r="P418" s="107" t="str">
        <f>VLOOKUP(O418,[1]character_tribe_i18n!A:C,3,FALSE)</f>
        <v>種族なし</v>
      </c>
      <c r="Q418" s="110" t="s">
        <v>539</v>
      </c>
      <c r="R418" s="111">
        <v>3</v>
      </c>
      <c r="S418" s="108" t="s">
        <v>280</v>
      </c>
      <c r="T418" s="108" t="s">
        <v>281</v>
      </c>
      <c r="U418" s="108" t="s">
        <v>280</v>
      </c>
      <c r="V418" s="108" t="s">
        <v>280</v>
      </c>
      <c r="W418" s="108" t="s">
        <v>280</v>
      </c>
    </row>
    <row r="419" spans="1:23" ht="21" customHeight="1" x14ac:dyDescent="0.15">
      <c r="A419" s="104">
        <f t="shared" si="6"/>
        <v>418</v>
      </c>
      <c r="B419" s="105" t="s">
        <v>268</v>
      </c>
      <c r="C419" s="121" t="s">
        <v>1370</v>
      </c>
      <c r="D419" s="107" t="s">
        <v>1371</v>
      </c>
      <c r="E419" s="108" t="s">
        <v>709</v>
      </c>
      <c r="F419" s="108" t="s">
        <v>532</v>
      </c>
      <c r="G419" s="108" t="s">
        <v>710</v>
      </c>
      <c r="H419" s="105" t="s">
        <v>274</v>
      </c>
      <c r="I419" s="109">
        <v>4</v>
      </c>
      <c r="J419" s="109" t="s">
        <v>1372</v>
      </c>
      <c r="K419" s="105" t="s">
        <v>967</v>
      </c>
      <c r="L419" s="107" t="str">
        <f ca="1">VLOOKUP($K419,OFFSET([1]character_type_i18n!$A$1,0,0,COUNTA([1]character_type_i18n!$A:$A),MATCH(L$1,[1]character_type_i18n!$1:$1,0)-MATCH($K$1,[1]character_type_i18n!$1:$1,0)+1),MATCH(L$1,[1]character_type_i18n!$1:$1,0)-MATCH($K$1,[1]character_type_i18n!$1:$1,0)+1,FALSE)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19" s="105" t="s">
        <v>1373</v>
      </c>
      <c r="N419" s="107" t="str">
        <f>VLOOKUP(M419,[1]character_tribe_i18n!A:C,3,FALSE)</f>
        <v>ヒューマン</v>
      </c>
      <c r="O419" s="105" t="s">
        <v>278</v>
      </c>
      <c r="P419" s="107" t="str">
        <f>VLOOKUP(O419,[1]character_tribe_i18n!A:C,3,FALSE)</f>
        <v>種族なし</v>
      </c>
      <c r="Q419" s="110" t="s">
        <v>279</v>
      </c>
      <c r="R419" s="111">
        <v>3</v>
      </c>
      <c r="S419" s="108" t="s">
        <v>280</v>
      </c>
      <c r="T419" s="108" t="s">
        <v>281</v>
      </c>
      <c r="U419" s="108" t="s">
        <v>280</v>
      </c>
      <c r="V419" s="108" t="s">
        <v>280</v>
      </c>
      <c r="W419" s="108" t="s">
        <v>280</v>
      </c>
    </row>
    <row r="420" spans="1:23" ht="21" customHeight="1" x14ac:dyDescent="0.15">
      <c r="A420" s="104">
        <f t="shared" si="6"/>
        <v>419</v>
      </c>
      <c r="B420" s="105" t="s">
        <v>268</v>
      </c>
      <c r="C420" s="121" t="s">
        <v>1374</v>
      </c>
      <c r="D420" s="107" t="s">
        <v>1371</v>
      </c>
      <c r="E420" s="108" t="s">
        <v>709</v>
      </c>
      <c r="F420" s="108" t="s">
        <v>532</v>
      </c>
      <c r="G420" s="108" t="s">
        <v>710</v>
      </c>
      <c r="H420" s="105" t="s">
        <v>274</v>
      </c>
      <c r="I420" s="109">
        <v>5</v>
      </c>
      <c r="J420" s="109" t="s">
        <v>1372</v>
      </c>
      <c r="K420" s="105" t="s">
        <v>967</v>
      </c>
      <c r="L420" s="107" t="str">
        <f ca="1">VLOOKUP($K420,OFFSET([1]character_type_i18n!$A$1,0,0,COUNTA([1]character_type_i18n!$A:$A),MATCH(L$1,[1]character_type_i18n!$1:$1,0)-MATCH($K$1,[1]character_type_i18n!$1:$1,0)+1),MATCH(L$1,[1]character_type_i18n!$1:$1,0)-MATCH($K$1,[1]character_type_i18n!$1:$1,0)+1,FALSE)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20" s="105" t="s">
        <v>1011</v>
      </c>
      <c r="N420" s="107" t="str">
        <f>VLOOKUP(M420,[1]character_tribe_i18n!A:C,3,FALSE)</f>
        <v>ヒューマン</v>
      </c>
      <c r="O420" s="105" t="s">
        <v>278</v>
      </c>
      <c r="P420" s="107" t="str">
        <f>VLOOKUP(O420,[1]character_tribe_i18n!A:C,3,FALSE)</f>
        <v>種族なし</v>
      </c>
      <c r="Q420" s="110" t="s">
        <v>1375</v>
      </c>
      <c r="R420" s="111">
        <v>3</v>
      </c>
      <c r="S420" s="108" t="s">
        <v>1366</v>
      </c>
      <c r="T420" s="108" t="s">
        <v>1376</v>
      </c>
      <c r="U420" s="108" t="s">
        <v>1366</v>
      </c>
      <c r="V420" s="108" t="s">
        <v>1366</v>
      </c>
      <c r="W420" s="108" t="s">
        <v>1366</v>
      </c>
    </row>
    <row r="421" spans="1:23" ht="21" customHeight="1" x14ac:dyDescent="0.15">
      <c r="A421" s="104">
        <f t="shared" si="6"/>
        <v>420</v>
      </c>
      <c r="B421" s="105" t="s">
        <v>1377</v>
      </c>
      <c r="C421" s="121" t="s">
        <v>1378</v>
      </c>
      <c r="D421" s="107" t="s">
        <v>1371</v>
      </c>
      <c r="E421" s="108" t="s">
        <v>1379</v>
      </c>
      <c r="F421" s="108" t="s">
        <v>1380</v>
      </c>
      <c r="G421" s="108" t="s">
        <v>1381</v>
      </c>
      <c r="H421" s="105" t="s">
        <v>285</v>
      </c>
      <c r="I421" s="109">
        <v>4</v>
      </c>
      <c r="J421" s="109" t="s">
        <v>516</v>
      </c>
      <c r="K421" s="105" t="s">
        <v>1382</v>
      </c>
      <c r="L421" s="107" t="str">
        <f ca="1">VLOOKUP($K421,OFFSET([1]character_type_i18n!$A$1,0,0,COUNTA([1]character_type_i18n!$A:$A),MATCH(L$1,[1]character_type_i18n!$1:$1,0)-MATCH($K$1,[1]character_type_i18n!$1:$1,0)+1),MATCH(L$1,[1]character_type_i18n!$1:$1,0)-MATCH($K$1,[1]character_type_i18n!$1:$1,0)+1,FALSE)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21" s="105" t="s">
        <v>1373</v>
      </c>
      <c r="N421" s="107" t="str">
        <f>VLOOKUP(M421,[1]character_tribe_i18n!A:C,3,FALSE)</f>
        <v>ヒューマン</v>
      </c>
      <c r="O421" s="105" t="s">
        <v>278</v>
      </c>
      <c r="P421" s="107" t="str">
        <f>VLOOKUP(O421,[1]character_tribe_i18n!A:C,3,FALSE)</f>
        <v>種族なし</v>
      </c>
      <c r="Q421" s="110" t="s">
        <v>1375</v>
      </c>
      <c r="R421" s="111">
        <v>3</v>
      </c>
      <c r="S421" s="108" t="s">
        <v>1366</v>
      </c>
      <c r="T421" s="108" t="s">
        <v>1376</v>
      </c>
      <c r="U421" s="108" t="s">
        <v>1366</v>
      </c>
      <c r="V421" s="108" t="s">
        <v>1366</v>
      </c>
      <c r="W421" s="108" t="s">
        <v>1366</v>
      </c>
    </row>
    <row r="422" spans="1:23" ht="21" customHeight="1" x14ac:dyDescent="0.15">
      <c r="A422" s="104">
        <f t="shared" si="6"/>
        <v>421</v>
      </c>
      <c r="B422" s="105" t="s">
        <v>1377</v>
      </c>
      <c r="C422" s="121" t="s">
        <v>1383</v>
      </c>
      <c r="D422" s="107" t="s">
        <v>1371</v>
      </c>
      <c r="E422" s="108" t="s">
        <v>1379</v>
      </c>
      <c r="F422" s="108" t="s">
        <v>1380</v>
      </c>
      <c r="G422" s="108" t="s">
        <v>1381</v>
      </c>
      <c r="H422" s="105" t="s">
        <v>285</v>
      </c>
      <c r="I422" s="109">
        <v>5</v>
      </c>
      <c r="J422" s="109" t="s">
        <v>516</v>
      </c>
      <c r="K422" s="105" t="s">
        <v>1382</v>
      </c>
      <c r="L422" s="107" t="str">
        <f ca="1">VLOOKUP($K422,OFFSET([1]character_type_i18n!$A$1,0,0,COUNTA([1]character_type_i18n!$A:$A),MATCH(L$1,[1]character_type_i18n!$1:$1,0)-MATCH($K$1,[1]character_type_i18n!$1:$1,0)+1),MATCH(L$1,[1]character_type_i18n!$1:$1,0)-MATCH($K$1,[1]character_type_i18n!$1:$1,0)+1,FALSE)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22" s="105" t="s">
        <v>1373</v>
      </c>
      <c r="N422" s="107" t="str">
        <f>VLOOKUP(M422,[1]character_tribe_i18n!A:C,3,FALSE)</f>
        <v>ヒューマン</v>
      </c>
      <c r="O422" s="105" t="s">
        <v>278</v>
      </c>
      <c r="P422" s="107" t="str">
        <f>VLOOKUP(O422,[1]character_tribe_i18n!A:C,3,FALSE)</f>
        <v>種族なし</v>
      </c>
      <c r="Q422" s="110" t="s">
        <v>1384</v>
      </c>
      <c r="R422" s="111">
        <v>3</v>
      </c>
      <c r="S422" s="108" t="s">
        <v>645</v>
      </c>
      <c r="T422" s="108" t="s">
        <v>646</v>
      </c>
      <c r="U422" s="108" t="s">
        <v>645</v>
      </c>
      <c r="V422" s="108" t="s">
        <v>645</v>
      </c>
      <c r="W422" s="108" t="s">
        <v>645</v>
      </c>
    </row>
    <row r="423" spans="1:23" ht="21" customHeight="1" x14ac:dyDescent="0.15">
      <c r="A423" s="104">
        <f t="shared" si="6"/>
        <v>422</v>
      </c>
      <c r="B423" s="105" t="s">
        <v>647</v>
      </c>
      <c r="C423" s="121" t="s">
        <v>1385</v>
      </c>
      <c r="D423" s="107" t="s">
        <v>1371</v>
      </c>
      <c r="E423" s="108" t="s">
        <v>1386</v>
      </c>
      <c r="F423" s="108" t="s">
        <v>1387</v>
      </c>
      <c r="G423" s="108" t="s">
        <v>853</v>
      </c>
      <c r="H423" s="105" t="s">
        <v>295</v>
      </c>
      <c r="I423" s="109">
        <v>4</v>
      </c>
      <c r="J423" s="109" t="s">
        <v>516</v>
      </c>
      <c r="K423" s="105" t="s">
        <v>1388</v>
      </c>
      <c r="L423" s="107" t="str">
        <f ca="1">VLOOKUP($K423,OFFSET([1]character_type_i18n!$A$1,0,0,COUNTA([1]character_type_i18n!$A:$A),MATCH(L$1,[1]character_type_i18n!$1:$1,0)-MATCH($K$1,[1]character_type_i18n!$1:$1,0)+1),MATCH(L$1,[1]character_type_i18n!$1:$1,0)-MATCH($K$1,[1]character_type_i18n!$1:$1,0)+1,FALSE)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23" s="105" t="s">
        <v>1389</v>
      </c>
      <c r="N423" s="107" t="str">
        <f>VLOOKUP(M423,[1]character_tribe_i18n!A:C,3,FALSE)</f>
        <v>ヒューマン</v>
      </c>
      <c r="O423" s="105" t="s">
        <v>278</v>
      </c>
      <c r="P423" s="107" t="str">
        <f>VLOOKUP(O423,[1]character_tribe_i18n!A:C,3,FALSE)</f>
        <v>種族なし</v>
      </c>
      <c r="Q423" s="110" t="s">
        <v>279</v>
      </c>
      <c r="R423" s="111">
        <v>3</v>
      </c>
      <c r="S423" s="108" t="s">
        <v>280</v>
      </c>
      <c r="T423" s="108" t="s">
        <v>281</v>
      </c>
      <c r="U423" s="108" t="s">
        <v>280</v>
      </c>
      <c r="V423" s="108" t="s">
        <v>280</v>
      </c>
      <c r="W423" s="108" t="s">
        <v>280</v>
      </c>
    </row>
    <row r="424" spans="1:23" ht="21" customHeight="1" x14ac:dyDescent="0.15">
      <c r="A424" s="104">
        <f t="shared" si="6"/>
        <v>423</v>
      </c>
      <c r="B424" s="105" t="s">
        <v>268</v>
      </c>
      <c r="C424" s="121" t="s">
        <v>1390</v>
      </c>
      <c r="D424" s="107" t="s">
        <v>1371</v>
      </c>
      <c r="E424" s="108" t="s">
        <v>709</v>
      </c>
      <c r="F424" s="108" t="s">
        <v>532</v>
      </c>
      <c r="G424" s="108" t="s">
        <v>853</v>
      </c>
      <c r="H424" s="105" t="s">
        <v>295</v>
      </c>
      <c r="I424" s="109">
        <v>5</v>
      </c>
      <c r="J424" s="109" t="s">
        <v>516</v>
      </c>
      <c r="K424" s="105" t="s">
        <v>286</v>
      </c>
      <c r="L424" s="107" t="str">
        <f ca="1">VLOOKUP($K424,OFFSET([1]character_type_i18n!$A$1,0,0,COUNTA([1]character_type_i18n!$A:$A),MATCH(L$1,[1]character_type_i18n!$1:$1,0)-MATCH($K$1,[1]character_type_i18n!$1:$1,0)+1),MATCH(L$1,[1]character_type_i18n!$1:$1,0)-MATCH($K$1,[1]character_type_i18n!$1:$1,0)+1,FALSE)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24" s="105" t="s">
        <v>1011</v>
      </c>
      <c r="N424" s="107" t="str">
        <f>VLOOKUP(M424,[1]character_tribe_i18n!A:C,3,FALSE)</f>
        <v>ヒューマン</v>
      </c>
      <c r="O424" s="105" t="s">
        <v>278</v>
      </c>
      <c r="P424" s="107" t="str">
        <f>VLOOKUP(O424,[1]character_tribe_i18n!A:C,3,FALSE)</f>
        <v>種族なし</v>
      </c>
      <c r="Q424" s="110" t="s">
        <v>279</v>
      </c>
      <c r="R424" s="111">
        <v>3</v>
      </c>
      <c r="S424" s="108" t="s">
        <v>280</v>
      </c>
      <c r="T424" s="108" t="s">
        <v>281</v>
      </c>
      <c r="U424" s="108" t="s">
        <v>280</v>
      </c>
      <c r="V424" s="108" t="s">
        <v>280</v>
      </c>
      <c r="W424" s="108" t="s">
        <v>280</v>
      </c>
    </row>
    <row r="425" spans="1:23" ht="21" customHeight="1" x14ac:dyDescent="0.15">
      <c r="A425" s="104">
        <f t="shared" si="6"/>
        <v>424</v>
      </c>
      <c r="B425" s="105" t="s">
        <v>268</v>
      </c>
      <c r="C425" s="121" t="s">
        <v>1391</v>
      </c>
      <c r="D425" s="107" t="s">
        <v>1371</v>
      </c>
      <c r="E425" s="108" t="s">
        <v>709</v>
      </c>
      <c r="F425" s="108" t="s">
        <v>532</v>
      </c>
      <c r="G425" s="108" t="s">
        <v>853</v>
      </c>
      <c r="H425" s="105" t="s">
        <v>300</v>
      </c>
      <c r="I425" s="109">
        <v>4</v>
      </c>
      <c r="J425" s="109" t="s">
        <v>516</v>
      </c>
      <c r="K425" s="105" t="s">
        <v>1392</v>
      </c>
      <c r="L425" s="107" t="str">
        <f ca="1">VLOOKUP($K425,OFFSET([1]character_type_i18n!$A$1,0,0,COUNTA([1]character_type_i18n!$A:$A),MATCH(L$1,[1]character_type_i18n!$1:$1,0)-MATCH($K$1,[1]character_type_i18n!$1:$1,0)+1),MATCH(L$1,[1]character_type_i18n!$1:$1,0)-MATCH($K$1,[1]character_type_i18n!$1:$1,0)+1,FALSE)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25" s="105" t="s">
        <v>1011</v>
      </c>
      <c r="N425" s="107" t="str">
        <f>VLOOKUP(M425,[1]character_tribe_i18n!A:C,3,FALSE)</f>
        <v>ヒューマン</v>
      </c>
      <c r="O425" s="105" t="s">
        <v>278</v>
      </c>
      <c r="P425" s="107" t="str">
        <f>VLOOKUP(O425,[1]character_tribe_i18n!A:C,3,FALSE)</f>
        <v>種族なし</v>
      </c>
      <c r="Q425" s="110" t="s">
        <v>279</v>
      </c>
      <c r="R425" s="111">
        <v>3</v>
      </c>
      <c r="S425" s="108" t="s">
        <v>280</v>
      </c>
      <c r="T425" s="108" t="s">
        <v>281</v>
      </c>
      <c r="U425" s="108" t="s">
        <v>280</v>
      </c>
      <c r="V425" s="108" t="s">
        <v>280</v>
      </c>
      <c r="W425" s="108" t="s">
        <v>280</v>
      </c>
    </row>
    <row r="426" spans="1:23" ht="21" customHeight="1" x14ac:dyDescent="0.15">
      <c r="A426" s="104">
        <f t="shared" si="6"/>
        <v>425</v>
      </c>
      <c r="B426" s="105" t="s">
        <v>268</v>
      </c>
      <c r="C426" s="121" t="s">
        <v>1393</v>
      </c>
      <c r="D426" s="107" t="s">
        <v>1371</v>
      </c>
      <c r="E426" s="108" t="s">
        <v>709</v>
      </c>
      <c r="F426" s="108" t="s">
        <v>532</v>
      </c>
      <c r="G426" s="108" t="s">
        <v>853</v>
      </c>
      <c r="H426" s="105" t="s">
        <v>300</v>
      </c>
      <c r="I426" s="109">
        <v>5</v>
      </c>
      <c r="J426" s="109" t="s">
        <v>516</v>
      </c>
      <c r="K426" s="105" t="s">
        <v>1392</v>
      </c>
      <c r="L426" s="107" t="str">
        <f ca="1">VLOOKUP($K426,OFFSET([1]character_type_i18n!$A$1,0,0,COUNTA([1]character_type_i18n!$A:$A),MATCH(L$1,[1]character_type_i18n!$1:$1,0)-MATCH($K$1,[1]character_type_i18n!$1:$1,0)+1),MATCH(L$1,[1]character_type_i18n!$1:$1,0)-MATCH($K$1,[1]character_type_i18n!$1:$1,0)+1,FALSE)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26" s="105" t="s">
        <v>1394</v>
      </c>
      <c r="N426" s="107" t="str">
        <f>VLOOKUP(M426,[1]character_tribe_i18n!A:C,3,FALSE)</f>
        <v>ヒューマン</v>
      </c>
      <c r="O426" s="105" t="s">
        <v>278</v>
      </c>
      <c r="P426" s="107" t="str">
        <f>VLOOKUP(O426,[1]character_tribe_i18n!A:C,3,FALSE)</f>
        <v>種族なし</v>
      </c>
      <c r="Q426" s="110" t="s">
        <v>305</v>
      </c>
      <c r="R426" s="111">
        <v>3</v>
      </c>
      <c r="S426" s="108" t="s">
        <v>306</v>
      </c>
      <c r="T426" s="108" t="s">
        <v>307</v>
      </c>
      <c r="U426" s="108" t="s">
        <v>306</v>
      </c>
      <c r="V426" s="108" t="s">
        <v>306</v>
      </c>
      <c r="W426" s="108" t="s">
        <v>306</v>
      </c>
    </row>
    <row r="427" spans="1:23" ht="21" customHeight="1" x14ac:dyDescent="0.15">
      <c r="A427" s="104">
        <f t="shared" si="6"/>
        <v>426</v>
      </c>
      <c r="B427" s="105" t="s">
        <v>314</v>
      </c>
      <c r="C427" s="121" t="s">
        <v>1395</v>
      </c>
      <c r="D427" s="107" t="s">
        <v>917</v>
      </c>
      <c r="E427" s="108" t="s">
        <v>1396</v>
      </c>
      <c r="F427" s="108" t="s">
        <v>1397</v>
      </c>
      <c r="G427" s="108" t="s">
        <v>1398</v>
      </c>
      <c r="H427" s="105" t="s">
        <v>300</v>
      </c>
      <c r="I427" s="109">
        <v>4</v>
      </c>
      <c r="J427" s="130" t="s">
        <v>1399</v>
      </c>
      <c r="K427" s="105" t="s">
        <v>1400</v>
      </c>
      <c r="L427" s="107" t="str">
        <f ca="1">VLOOKUP($K427,OFFSET([1]character_type_i18n!$A$1,0,0,COUNTA([1]character_type_i18n!$A:$A),MATCH(L$1,[1]character_type_i18n!$1:$1,0)-MATCH($K$1,[1]character_type_i18n!$1:$1,0)+1),MATCH(L$1,[1]character_type_i18n!$1:$1,0)-MATCH($K$1,[1]character_type_i18n!$1:$1,0)+1,FALSE)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27" s="105" t="s">
        <v>1401</v>
      </c>
      <c r="N427" s="107" t="str">
        <f>VLOOKUP(M427,[1]character_tribe_i18n!A:C,3,FALSE)</f>
        <v>ヒューマン</v>
      </c>
      <c r="O427" s="105" t="s">
        <v>278</v>
      </c>
      <c r="P427" s="107" t="str">
        <f>VLOOKUP(O427,[1]character_tribe_i18n!A:C,3,FALSE)</f>
        <v>種族なし</v>
      </c>
      <c r="Q427" s="110" t="s">
        <v>305</v>
      </c>
      <c r="R427" s="111">
        <v>3</v>
      </c>
      <c r="S427" s="108" t="s">
        <v>306</v>
      </c>
      <c r="T427" s="108" t="s">
        <v>307</v>
      </c>
      <c r="U427" s="108" t="s">
        <v>306</v>
      </c>
      <c r="V427" s="108" t="s">
        <v>306</v>
      </c>
      <c r="W427" s="108" t="s">
        <v>306</v>
      </c>
    </row>
    <row r="428" spans="1:23" ht="21" customHeight="1" x14ac:dyDescent="0.15">
      <c r="A428" s="104">
        <f t="shared" si="6"/>
        <v>427</v>
      </c>
      <c r="B428" s="105" t="s">
        <v>314</v>
      </c>
      <c r="C428" s="121" t="s">
        <v>1402</v>
      </c>
      <c r="D428" s="107" t="s">
        <v>917</v>
      </c>
      <c r="E428" s="108" t="s">
        <v>1396</v>
      </c>
      <c r="F428" s="108" t="s">
        <v>1397</v>
      </c>
      <c r="G428" s="108" t="s">
        <v>1398</v>
      </c>
      <c r="H428" s="105" t="s">
        <v>300</v>
      </c>
      <c r="I428" s="109">
        <v>5</v>
      </c>
      <c r="J428" s="130" t="s">
        <v>1399</v>
      </c>
      <c r="K428" s="105" t="s">
        <v>1400</v>
      </c>
      <c r="L428" s="107" t="str">
        <f ca="1">VLOOKUP($K428,OFFSET([1]character_type_i18n!$A$1,0,0,COUNTA([1]character_type_i18n!$A:$A),MATCH(L$1,[1]character_type_i18n!$1:$1,0)-MATCH($K$1,[1]character_type_i18n!$1:$1,0)+1),MATCH(L$1,[1]character_type_i18n!$1:$1,0)-MATCH($K$1,[1]character_type_i18n!$1:$1,0)+1,FALSE)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28" s="105" t="s">
        <v>1401</v>
      </c>
      <c r="N428" s="107" t="str">
        <f>VLOOKUP(M428,[1]character_tribe_i18n!A:C,3,FALSE)</f>
        <v>ヒューマン</v>
      </c>
      <c r="O428" s="105" t="s">
        <v>278</v>
      </c>
      <c r="P428" s="107" t="str">
        <f>VLOOKUP(O428,[1]character_tribe_i18n!A:C,3,FALSE)</f>
        <v>種族なし</v>
      </c>
      <c r="Q428" s="110" t="s">
        <v>305</v>
      </c>
      <c r="R428" s="111">
        <v>3</v>
      </c>
      <c r="S428" s="108" t="s">
        <v>306</v>
      </c>
      <c r="T428" s="108" t="s">
        <v>307</v>
      </c>
      <c r="U428" s="108" t="s">
        <v>306</v>
      </c>
      <c r="V428" s="108" t="s">
        <v>306</v>
      </c>
      <c r="W428" s="108" t="s">
        <v>306</v>
      </c>
    </row>
    <row r="429" spans="1:23" ht="21" customHeight="1" x14ac:dyDescent="0.15">
      <c r="A429" s="104">
        <f t="shared" si="6"/>
        <v>428</v>
      </c>
      <c r="B429" s="105" t="s">
        <v>314</v>
      </c>
      <c r="C429" s="121" t="s">
        <v>1403</v>
      </c>
      <c r="D429" s="107" t="s">
        <v>1404</v>
      </c>
      <c r="E429" s="108" t="s">
        <v>1405</v>
      </c>
      <c r="F429" s="108" t="s">
        <v>1406</v>
      </c>
      <c r="G429" s="108" t="s">
        <v>1347</v>
      </c>
      <c r="H429" s="105" t="s">
        <v>536</v>
      </c>
      <c r="I429" s="109">
        <v>5</v>
      </c>
      <c r="J429" s="109" t="s">
        <v>1407</v>
      </c>
      <c r="K429" s="105" t="s">
        <v>560</v>
      </c>
      <c r="L429" s="107" t="str">
        <f ca="1">VLOOKUP($K429,OFFSET([1]character_type_i18n!$A$1,0,0,COUNTA([1]character_type_i18n!$A:$A),MATCH(L$1,[1]character_type_i18n!$1:$1,0)-MATCH($K$1,[1]character_type_i18n!$1:$1,0)+1),MATCH(L$1,[1]character_type_i18n!$1:$1,0)-MATCH($K$1,[1]character_type_i18n!$1:$1,0)+1,FALSE)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429" s="105" t="s">
        <v>1408</v>
      </c>
      <c r="N429" s="107" t="str">
        <f>VLOOKUP(M429,[1]character_tribe_i18n!A:C,3,FALSE)</f>
        <v>Unknown</v>
      </c>
      <c r="O429" s="105" t="s">
        <v>278</v>
      </c>
      <c r="P429" s="107" t="str">
        <f>VLOOKUP(O429,[1]character_tribe_i18n!A:C,3,FALSE)</f>
        <v>種族なし</v>
      </c>
      <c r="Q429" s="110" t="s">
        <v>305</v>
      </c>
      <c r="R429" s="111">
        <v>1</v>
      </c>
      <c r="S429" s="108" t="s">
        <v>306</v>
      </c>
      <c r="T429" s="108" t="s">
        <v>307</v>
      </c>
      <c r="U429" s="108" t="s">
        <v>306</v>
      </c>
      <c r="V429" s="108" t="s">
        <v>306</v>
      </c>
      <c r="W429" s="108" t="s">
        <v>306</v>
      </c>
    </row>
    <row r="430" spans="1:23" ht="21" customHeight="1" x14ac:dyDescent="0.15">
      <c r="A430" s="104">
        <f t="shared" si="6"/>
        <v>429</v>
      </c>
      <c r="B430" s="105" t="s">
        <v>314</v>
      </c>
      <c r="C430" s="121" t="s">
        <v>1409</v>
      </c>
      <c r="D430" s="107" t="s">
        <v>1410</v>
      </c>
      <c r="E430" s="108" t="s">
        <v>1405</v>
      </c>
      <c r="F430" s="108" t="s">
        <v>1406</v>
      </c>
      <c r="G430" s="108" t="s">
        <v>1347</v>
      </c>
      <c r="H430" s="105" t="s">
        <v>618</v>
      </c>
      <c r="I430" s="109">
        <v>5</v>
      </c>
      <c r="J430" s="109" t="s">
        <v>537</v>
      </c>
      <c r="K430" s="105" t="s">
        <v>560</v>
      </c>
      <c r="L430" s="107" t="str">
        <f ca="1">VLOOKUP($K430,OFFSET([1]character_type_i18n!$A$1,0,0,COUNTA([1]character_type_i18n!$A:$A),MATCH(L$1,[1]character_type_i18n!$1:$1,0)-MATCH($K$1,[1]character_type_i18n!$1:$1,0)+1),MATCH(L$1,[1]character_type_i18n!$1:$1,0)-MATCH($K$1,[1]character_type_i18n!$1:$1,0)+1,FALSE)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430" s="105" t="s">
        <v>1411</v>
      </c>
      <c r="N430" s="107" t="str">
        <f>VLOOKUP(M430,[1]character_tribe_i18n!A:C,3,FALSE)</f>
        <v>Unknown</v>
      </c>
      <c r="O430" s="105" t="s">
        <v>278</v>
      </c>
      <c r="P430" s="107" t="str">
        <f>VLOOKUP(O430,[1]character_tribe_i18n!A:C,3,FALSE)</f>
        <v>種族なし</v>
      </c>
      <c r="Q430" s="110" t="s">
        <v>362</v>
      </c>
      <c r="R430" s="111">
        <v>1</v>
      </c>
      <c r="S430" s="108" t="s">
        <v>289</v>
      </c>
      <c r="T430" s="108" t="s">
        <v>288</v>
      </c>
      <c r="U430" s="108" t="s">
        <v>289</v>
      </c>
      <c r="V430" s="108" t="s">
        <v>289</v>
      </c>
      <c r="W430" s="108" t="s">
        <v>289</v>
      </c>
    </row>
    <row r="431" spans="1:23" ht="21" customHeight="1" x14ac:dyDescent="0.15">
      <c r="A431" s="104">
        <f t="shared" si="6"/>
        <v>430</v>
      </c>
      <c r="B431" s="105" t="s">
        <v>292</v>
      </c>
      <c r="C431" s="121" t="s">
        <v>1412</v>
      </c>
      <c r="D431" s="107" t="s">
        <v>1404</v>
      </c>
      <c r="E431" s="108" t="s">
        <v>1405</v>
      </c>
      <c r="F431" s="108" t="s">
        <v>1406</v>
      </c>
      <c r="G431" s="108" t="s">
        <v>1347</v>
      </c>
      <c r="H431" s="105" t="s">
        <v>545</v>
      </c>
      <c r="I431" s="109">
        <v>5</v>
      </c>
      <c r="J431" s="109" t="s">
        <v>1407</v>
      </c>
      <c r="K431" s="105" t="s">
        <v>560</v>
      </c>
      <c r="L431" s="107" t="str">
        <f ca="1">VLOOKUP($K431,OFFSET([1]character_type_i18n!$A$1,0,0,COUNTA([1]character_type_i18n!$A:$A),MATCH(L$1,[1]character_type_i18n!$1:$1,0)-MATCH($K$1,[1]character_type_i18n!$1:$1,0)+1),MATCH(L$1,[1]character_type_i18n!$1:$1,0)-MATCH($K$1,[1]character_type_i18n!$1:$1,0)+1,FALSE)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431" s="105" t="s">
        <v>1413</v>
      </c>
      <c r="N431" s="107" t="str">
        <f>VLOOKUP(M431,[1]character_tribe_i18n!A:C,3,FALSE)</f>
        <v>Unknown</v>
      </c>
      <c r="O431" s="105" t="s">
        <v>278</v>
      </c>
      <c r="P431" s="107" t="str">
        <f>VLOOKUP(O431,[1]character_tribe_i18n!A:C,3,FALSE)</f>
        <v>種族なし</v>
      </c>
      <c r="Q431" s="110" t="s">
        <v>362</v>
      </c>
      <c r="R431" s="111">
        <v>3</v>
      </c>
      <c r="S431" s="108" t="s">
        <v>289</v>
      </c>
      <c r="T431" s="108" t="s">
        <v>288</v>
      </c>
      <c r="U431" s="108" t="s">
        <v>289</v>
      </c>
      <c r="V431" s="108" t="s">
        <v>289</v>
      </c>
      <c r="W431" s="108" t="s">
        <v>289</v>
      </c>
    </row>
    <row r="432" spans="1:23" ht="21" customHeight="1" x14ac:dyDescent="0.15">
      <c r="A432" s="104">
        <f t="shared" si="6"/>
        <v>431</v>
      </c>
      <c r="B432" s="105" t="s">
        <v>292</v>
      </c>
      <c r="C432" s="121" t="s">
        <v>1414</v>
      </c>
      <c r="D432" s="107" t="s">
        <v>1410</v>
      </c>
      <c r="E432" s="108" t="s">
        <v>1405</v>
      </c>
      <c r="F432" s="108" t="s">
        <v>1406</v>
      </c>
      <c r="G432" s="108" t="s">
        <v>1347</v>
      </c>
      <c r="H432" s="105" t="s">
        <v>300</v>
      </c>
      <c r="I432" s="109">
        <v>5</v>
      </c>
      <c r="J432" s="109" t="s">
        <v>537</v>
      </c>
      <c r="K432" s="105" t="s">
        <v>560</v>
      </c>
      <c r="L432" s="107" t="str">
        <f ca="1">VLOOKUP($K432,OFFSET([1]character_type_i18n!$A$1,0,0,COUNTA([1]character_type_i18n!$A:$A),MATCH(L$1,[1]character_type_i18n!$1:$1,0)-MATCH($K$1,[1]character_type_i18n!$1:$1,0)+1),MATCH(L$1,[1]character_type_i18n!$1:$1,0)-MATCH($K$1,[1]character_type_i18n!$1:$1,0)+1,FALSE)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432" s="105" t="s">
        <v>1413</v>
      </c>
      <c r="N432" s="107" t="str">
        <f>VLOOKUP(M432,[1]character_tribe_i18n!A:C,3,FALSE)</f>
        <v>Unknown</v>
      </c>
      <c r="O432" s="105" t="s">
        <v>278</v>
      </c>
      <c r="P432" s="107" t="str">
        <f>VLOOKUP(O432,[1]character_tribe_i18n!A:C,3,FALSE)</f>
        <v>種族なし</v>
      </c>
      <c r="Q432" s="110" t="s">
        <v>362</v>
      </c>
      <c r="R432" s="111">
        <v>3</v>
      </c>
      <c r="S432" s="108" t="s">
        <v>289</v>
      </c>
      <c r="T432" s="108" t="s">
        <v>288</v>
      </c>
      <c r="U432" s="108" t="s">
        <v>289</v>
      </c>
      <c r="V432" s="108" t="s">
        <v>289</v>
      </c>
      <c r="W432" s="108" t="s">
        <v>289</v>
      </c>
    </row>
    <row r="433" spans="1:23" ht="21" customHeight="1" x14ac:dyDescent="0.15">
      <c r="A433" s="104">
        <f t="shared" si="6"/>
        <v>432</v>
      </c>
      <c r="B433" s="105" t="s">
        <v>292</v>
      </c>
      <c r="C433" s="121" t="s">
        <v>1415</v>
      </c>
      <c r="D433" s="107" t="s">
        <v>1416</v>
      </c>
      <c r="E433" s="108" t="s">
        <v>1417</v>
      </c>
      <c r="F433" s="108" t="s">
        <v>1418</v>
      </c>
      <c r="G433" s="108" t="s">
        <v>853</v>
      </c>
      <c r="H433" s="105" t="s">
        <v>300</v>
      </c>
      <c r="I433" s="109">
        <v>4</v>
      </c>
      <c r="J433" s="130" t="s">
        <v>1419</v>
      </c>
      <c r="K433" s="105" t="s">
        <v>286</v>
      </c>
      <c r="L433" s="107" t="str">
        <f ca="1">VLOOKUP($K433,OFFSET([1]character_type_i18n!$A$1,0,0,COUNTA([1]character_type_i18n!$A:$A),MATCH(L$1,[1]character_type_i18n!$1:$1,0)-MATCH($K$1,[1]character_type_i18n!$1:$1,0)+1),MATCH(L$1,[1]character_type_i18n!$1:$1,0)-MATCH($K$1,[1]character_type_i18n!$1:$1,0)+1,FALSE)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33" s="105" t="s">
        <v>517</v>
      </c>
      <c r="N433" s="107" t="str">
        <f>VLOOKUP(M433,[1]character_tribe_i18n!A:C,3,FALSE)</f>
        <v>ゴッド</v>
      </c>
      <c r="O433" s="105" t="s">
        <v>1420</v>
      </c>
      <c r="P433" s="107" t="str">
        <f>VLOOKUP(O433,[1]character_tribe_i18n!A:C,3,FALSE)</f>
        <v>種族なし</v>
      </c>
      <c r="Q433" s="110" t="s">
        <v>362</v>
      </c>
      <c r="R433" s="111">
        <v>3</v>
      </c>
      <c r="S433" s="108" t="s">
        <v>289</v>
      </c>
      <c r="T433" s="108" t="s">
        <v>288</v>
      </c>
      <c r="U433" s="108" t="s">
        <v>289</v>
      </c>
      <c r="V433" s="108" t="s">
        <v>289</v>
      </c>
      <c r="W433" s="108" t="s">
        <v>289</v>
      </c>
    </row>
    <row r="434" spans="1:23" ht="21" customHeight="1" x14ac:dyDescent="0.15">
      <c r="A434" s="104">
        <f t="shared" si="6"/>
        <v>433</v>
      </c>
      <c r="B434" s="105" t="s">
        <v>292</v>
      </c>
      <c r="C434" s="121" t="s">
        <v>1421</v>
      </c>
      <c r="D434" s="107" t="s">
        <v>1416</v>
      </c>
      <c r="E434" s="108" t="s">
        <v>848</v>
      </c>
      <c r="F434" s="108" t="s">
        <v>1422</v>
      </c>
      <c r="G434" s="108" t="s">
        <v>853</v>
      </c>
      <c r="H434" s="131" t="s">
        <v>300</v>
      </c>
      <c r="I434" s="109">
        <v>5</v>
      </c>
      <c r="J434" s="130" t="s">
        <v>1419</v>
      </c>
      <c r="K434" s="105" t="s">
        <v>286</v>
      </c>
      <c r="L434" s="107" t="str">
        <f ca="1">VLOOKUP($K434,OFFSET([1]character_type_i18n!$A$1,0,0,COUNTA([1]character_type_i18n!$A:$A),MATCH(L$1,[1]character_type_i18n!$1:$1,0)-MATCH($K$1,[1]character_type_i18n!$1:$1,0)+1),MATCH(L$1,[1]character_type_i18n!$1:$1,0)-MATCH($K$1,[1]character_type_i18n!$1:$1,0)+1,FALSE)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34" s="105" t="s">
        <v>517</v>
      </c>
      <c r="N434" s="107" t="str">
        <f>VLOOKUP(M434,[1]character_tribe_i18n!A:C,3,FALSE)</f>
        <v>ゴッド</v>
      </c>
      <c r="O434" s="105" t="s">
        <v>1423</v>
      </c>
      <c r="P434" s="107" t="str">
        <f>VLOOKUP(O434,[1]character_tribe_i18n!A:C,3,FALSE)</f>
        <v>種族なし</v>
      </c>
      <c r="Q434" s="110" t="s">
        <v>397</v>
      </c>
      <c r="R434" s="111">
        <v>3</v>
      </c>
      <c r="S434" s="108" t="s">
        <v>398</v>
      </c>
      <c r="T434" s="108" t="s">
        <v>399</v>
      </c>
      <c r="U434" s="108" t="s">
        <v>398</v>
      </c>
      <c r="V434" s="108" t="s">
        <v>398</v>
      </c>
      <c r="W434" s="108" t="s">
        <v>398</v>
      </c>
    </row>
    <row r="435" spans="1:23" ht="21" customHeight="1" x14ac:dyDescent="0.15">
      <c r="A435" s="104">
        <f t="shared" si="6"/>
        <v>434</v>
      </c>
      <c r="B435" s="105" t="s">
        <v>400</v>
      </c>
      <c r="C435" s="127" t="s">
        <v>1424</v>
      </c>
      <c r="D435" s="107" t="s">
        <v>1425</v>
      </c>
      <c r="E435" s="108" t="s">
        <v>1426</v>
      </c>
      <c r="F435" s="108" t="s">
        <v>515</v>
      </c>
      <c r="G435" s="108" t="s">
        <v>853</v>
      </c>
      <c r="H435" s="131" t="s">
        <v>274</v>
      </c>
      <c r="I435" s="109">
        <v>4</v>
      </c>
      <c r="J435" s="109" t="s">
        <v>1220</v>
      </c>
      <c r="K435" s="105" t="s">
        <v>286</v>
      </c>
      <c r="L435" s="107" t="str">
        <f ca="1">VLOOKUP($K435,OFFSET([1]character_type_i18n!$A$1,0,0,COUNTA([1]character_type_i18n!$A:$A),MATCH(L$1,[1]character_type_i18n!$1:$1,0)-MATCH($K$1,[1]character_type_i18n!$1:$1,0)+1),MATCH(L$1,[1]character_type_i18n!$1:$1,0)-MATCH($K$1,[1]character_type_i18n!$1:$1,0)+1,FALSE)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35" s="105" t="s">
        <v>1427</v>
      </c>
      <c r="N435" s="107" t="str">
        <f>VLOOKUP(M435,[1]character_tribe_i18n!A:C,3,FALSE)</f>
        <v>ヒューマン</v>
      </c>
      <c r="O435" s="105" t="s">
        <v>278</v>
      </c>
      <c r="P435" s="107" t="str">
        <f>VLOOKUP(O435,[1]character_tribe_i18n!A:C,3,FALSE)</f>
        <v>種族なし</v>
      </c>
      <c r="Q435" s="110" t="s">
        <v>397</v>
      </c>
      <c r="R435" s="111">
        <v>3</v>
      </c>
      <c r="S435" s="108" t="s">
        <v>398</v>
      </c>
      <c r="T435" s="108" t="s">
        <v>399</v>
      </c>
      <c r="U435" s="108" t="s">
        <v>398</v>
      </c>
      <c r="V435" s="108" t="s">
        <v>398</v>
      </c>
      <c r="W435" s="108" t="s">
        <v>398</v>
      </c>
    </row>
    <row r="436" spans="1:23" ht="21" customHeight="1" x14ac:dyDescent="0.15">
      <c r="A436" s="104">
        <f t="shared" si="6"/>
        <v>435</v>
      </c>
      <c r="B436" s="105" t="s">
        <v>400</v>
      </c>
      <c r="C436" s="127" t="s">
        <v>1428</v>
      </c>
      <c r="D436" s="107" t="s">
        <v>1425</v>
      </c>
      <c r="E436" s="108" t="s">
        <v>1426</v>
      </c>
      <c r="F436" s="108" t="s">
        <v>515</v>
      </c>
      <c r="G436" s="108" t="s">
        <v>853</v>
      </c>
      <c r="H436" s="131" t="s">
        <v>274</v>
      </c>
      <c r="I436" s="109">
        <v>5</v>
      </c>
      <c r="J436" s="109" t="s">
        <v>1220</v>
      </c>
      <c r="K436" s="105" t="s">
        <v>286</v>
      </c>
      <c r="L436" s="107" t="str">
        <f ca="1">VLOOKUP($K436,OFFSET([1]character_type_i18n!$A$1,0,0,COUNTA([1]character_type_i18n!$A:$A),MATCH(L$1,[1]character_type_i18n!$1:$1,0)-MATCH($K$1,[1]character_type_i18n!$1:$1,0)+1),MATCH(L$1,[1]character_type_i18n!$1:$1,0)-MATCH($K$1,[1]character_type_i18n!$1:$1,0)+1,FALSE)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36" s="105" t="s">
        <v>1427</v>
      </c>
      <c r="N436" s="107" t="str">
        <f>VLOOKUP(M436,[1]character_tribe_i18n!A:C,3,FALSE)</f>
        <v>ヒューマン</v>
      </c>
      <c r="O436" s="105" t="s">
        <v>278</v>
      </c>
      <c r="P436" s="107" t="str">
        <f>VLOOKUP(O436,[1]character_tribe_i18n!A:C,3,FALSE)</f>
        <v>種族なし</v>
      </c>
      <c r="Q436" s="110" t="s">
        <v>397</v>
      </c>
      <c r="R436" s="111">
        <v>3</v>
      </c>
      <c r="S436" s="108" t="s">
        <v>398</v>
      </c>
      <c r="T436" s="108" t="s">
        <v>399</v>
      </c>
      <c r="U436" s="108" t="s">
        <v>398</v>
      </c>
      <c r="V436" s="108" t="s">
        <v>398</v>
      </c>
      <c r="W436" s="108" t="s">
        <v>398</v>
      </c>
    </row>
    <row r="437" spans="1:23" ht="21" customHeight="1" x14ac:dyDescent="0.15">
      <c r="A437" s="104">
        <f t="shared" si="6"/>
        <v>436</v>
      </c>
      <c r="B437" s="105" t="s">
        <v>400</v>
      </c>
      <c r="C437" s="127" t="s">
        <v>1429</v>
      </c>
      <c r="D437" s="107" t="s">
        <v>1430</v>
      </c>
      <c r="E437" s="108" t="s">
        <v>1426</v>
      </c>
      <c r="F437" s="108" t="s">
        <v>515</v>
      </c>
      <c r="G437" s="108" t="s">
        <v>1431</v>
      </c>
      <c r="H437" s="131" t="s">
        <v>285</v>
      </c>
      <c r="I437" s="109">
        <v>3</v>
      </c>
      <c r="J437" s="109" t="s">
        <v>805</v>
      </c>
      <c r="K437" s="105" t="s">
        <v>1432</v>
      </c>
      <c r="L437" s="107" t="str">
        <f ca="1">VLOOKUP($K437,OFFSET([1]character_type_i18n!$A$1,0,0,COUNTA([1]character_type_i18n!$A:$A),MATCH(L$1,[1]character_type_i18n!$1:$1,0)-MATCH($K$1,[1]character_type_i18n!$1:$1,0)+1),MATCH(L$1,[1]character_type_i18n!$1:$1,0)-MATCH($K$1,[1]character_type_i18n!$1:$1,0)+1,FALSE)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37" s="105" t="s">
        <v>1427</v>
      </c>
      <c r="N437" s="107" t="str">
        <f>VLOOKUP(M437,[1]character_tribe_i18n!A:C,3,FALSE)</f>
        <v>ヒューマン</v>
      </c>
      <c r="O437" s="105" t="s">
        <v>1433</v>
      </c>
      <c r="P437" s="107" t="str">
        <f>VLOOKUP(O437,[1]character_tribe_i18n!A:C,3,FALSE)</f>
        <v>マシン</v>
      </c>
      <c r="Q437" s="110" t="s">
        <v>397</v>
      </c>
      <c r="R437" s="111">
        <v>3</v>
      </c>
      <c r="S437" s="108" t="s">
        <v>398</v>
      </c>
      <c r="T437" s="108" t="s">
        <v>399</v>
      </c>
      <c r="U437" s="108" t="s">
        <v>398</v>
      </c>
      <c r="V437" s="108" t="s">
        <v>398</v>
      </c>
      <c r="W437" s="108" t="s">
        <v>398</v>
      </c>
    </row>
    <row r="438" spans="1:23" ht="21" customHeight="1" x14ac:dyDescent="0.15">
      <c r="A438" s="104">
        <f t="shared" si="6"/>
        <v>437</v>
      </c>
      <c r="B438" s="105" t="s">
        <v>400</v>
      </c>
      <c r="C438" s="127" t="s">
        <v>1434</v>
      </c>
      <c r="D438" s="107" t="s">
        <v>1430</v>
      </c>
      <c r="E438" s="108" t="s">
        <v>1426</v>
      </c>
      <c r="F438" s="108" t="s">
        <v>515</v>
      </c>
      <c r="G438" s="108" t="s">
        <v>1431</v>
      </c>
      <c r="H438" s="131" t="s">
        <v>285</v>
      </c>
      <c r="I438" s="109">
        <v>4</v>
      </c>
      <c r="J438" s="109" t="s">
        <v>805</v>
      </c>
      <c r="K438" s="105" t="s">
        <v>1432</v>
      </c>
      <c r="L438" s="107" t="str">
        <f ca="1">VLOOKUP($K438,OFFSET([1]character_type_i18n!$A$1,0,0,COUNTA([1]character_type_i18n!$A:$A),MATCH(L$1,[1]character_type_i18n!$1:$1,0)-MATCH($K$1,[1]character_type_i18n!$1:$1,0)+1),MATCH(L$1,[1]character_type_i18n!$1:$1,0)-MATCH($K$1,[1]character_type_i18n!$1:$1,0)+1,FALSE)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38" s="105" t="s">
        <v>1427</v>
      </c>
      <c r="N438" s="107" t="str">
        <f>VLOOKUP(M438,[1]character_tribe_i18n!A:C,3,FALSE)</f>
        <v>ヒューマン</v>
      </c>
      <c r="O438" s="105" t="s">
        <v>1433</v>
      </c>
      <c r="P438" s="107" t="str">
        <f>VLOOKUP(O438,[1]character_tribe_i18n!A:C,3,FALSE)</f>
        <v>マシン</v>
      </c>
      <c r="Q438" s="110" t="s">
        <v>397</v>
      </c>
      <c r="R438" s="111">
        <v>3</v>
      </c>
      <c r="S438" s="108" t="s">
        <v>398</v>
      </c>
      <c r="T438" s="108" t="s">
        <v>399</v>
      </c>
      <c r="U438" s="108" t="s">
        <v>398</v>
      </c>
      <c r="V438" s="108" t="s">
        <v>398</v>
      </c>
      <c r="W438" s="108" t="s">
        <v>398</v>
      </c>
    </row>
    <row r="439" spans="1:23" ht="21" customHeight="1" x14ac:dyDescent="0.15">
      <c r="A439" s="104">
        <f t="shared" si="6"/>
        <v>438</v>
      </c>
      <c r="B439" s="105" t="s">
        <v>400</v>
      </c>
      <c r="C439" s="127" t="s">
        <v>1435</v>
      </c>
      <c r="D439" s="107" t="s">
        <v>1430</v>
      </c>
      <c r="E439" s="108" t="s">
        <v>1426</v>
      </c>
      <c r="F439" s="108" t="s">
        <v>515</v>
      </c>
      <c r="G439" s="108" t="s">
        <v>1431</v>
      </c>
      <c r="H439" s="131" t="s">
        <v>285</v>
      </c>
      <c r="I439" s="109">
        <v>5</v>
      </c>
      <c r="J439" s="109" t="s">
        <v>805</v>
      </c>
      <c r="K439" s="105" t="s">
        <v>1432</v>
      </c>
      <c r="L439" s="107" t="str">
        <f ca="1">VLOOKUP($K439,OFFSET([1]character_type_i18n!$A$1,0,0,COUNTA([1]character_type_i18n!$A:$A),MATCH(L$1,[1]character_type_i18n!$1:$1,0)-MATCH($K$1,[1]character_type_i18n!$1:$1,0)+1),MATCH(L$1,[1]character_type_i18n!$1:$1,0)-MATCH($K$1,[1]character_type_i18n!$1:$1,0)+1,FALSE)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39" s="105" t="s">
        <v>1427</v>
      </c>
      <c r="N439" s="107" t="str">
        <f>VLOOKUP(M439,[1]character_tribe_i18n!A:C,3,FALSE)</f>
        <v>ヒューマン</v>
      </c>
      <c r="O439" s="105" t="s">
        <v>1436</v>
      </c>
      <c r="P439" s="107" t="str">
        <f>VLOOKUP(O439,[1]character_tribe_i18n!A:C,3,FALSE)</f>
        <v>マシン</v>
      </c>
      <c r="Q439" s="110" t="s">
        <v>1437</v>
      </c>
      <c r="R439" s="111">
        <v>3</v>
      </c>
      <c r="S439" s="108" t="s">
        <v>426</v>
      </c>
      <c r="T439" s="108" t="s">
        <v>427</v>
      </c>
      <c r="U439" s="108" t="s">
        <v>426</v>
      </c>
      <c r="V439" s="108" t="s">
        <v>426</v>
      </c>
      <c r="W439" s="108" t="s">
        <v>426</v>
      </c>
    </row>
    <row r="440" spans="1:23" ht="21" customHeight="1" x14ac:dyDescent="0.15">
      <c r="A440" s="104">
        <f t="shared" si="6"/>
        <v>439</v>
      </c>
      <c r="B440" s="105" t="s">
        <v>431</v>
      </c>
      <c r="C440" s="121" t="s">
        <v>1438</v>
      </c>
      <c r="D440" s="107" t="s">
        <v>1430</v>
      </c>
      <c r="E440" s="108" t="s">
        <v>1439</v>
      </c>
      <c r="F440" s="108" t="s">
        <v>1440</v>
      </c>
      <c r="G440" s="108" t="s">
        <v>1347</v>
      </c>
      <c r="H440" s="131" t="s">
        <v>295</v>
      </c>
      <c r="I440" s="109">
        <v>3</v>
      </c>
      <c r="J440" s="109" t="s">
        <v>805</v>
      </c>
      <c r="K440" s="105" t="s">
        <v>1441</v>
      </c>
      <c r="L440" s="107" t="str">
        <f ca="1">VLOOKUP($K440,OFFSET([1]character_type_i18n!$A$1,0,0,COUNTA([1]character_type_i18n!$A:$A),MATCH(L$1,[1]character_type_i18n!$1:$1,0)-MATCH($K$1,[1]character_type_i18n!$1:$1,0)+1),MATCH(L$1,[1]character_type_i18n!$1:$1,0)-MATCH($K$1,[1]character_type_i18n!$1:$1,0)+1,FALSE)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40" s="105" t="s">
        <v>1436</v>
      </c>
      <c r="N440" s="107" t="str">
        <f>VLOOKUP(M440,[1]character_tribe_i18n!A:C,3,FALSE)</f>
        <v>マシン</v>
      </c>
      <c r="O440" s="105" t="s">
        <v>278</v>
      </c>
      <c r="P440" s="107" t="str">
        <f>VLOOKUP(O440,[1]character_tribe_i18n!A:C,3,FALSE)</f>
        <v>種族なし</v>
      </c>
      <c r="Q440" s="110" t="s">
        <v>397</v>
      </c>
      <c r="R440" s="111">
        <v>3</v>
      </c>
      <c r="S440" s="108" t="s">
        <v>398</v>
      </c>
      <c r="T440" s="108" t="s">
        <v>399</v>
      </c>
      <c r="U440" s="108" t="s">
        <v>398</v>
      </c>
      <c r="V440" s="108" t="s">
        <v>398</v>
      </c>
      <c r="W440" s="108" t="s">
        <v>398</v>
      </c>
    </row>
    <row r="441" spans="1:23" ht="21" customHeight="1" x14ac:dyDescent="0.15">
      <c r="A441" s="104">
        <f t="shared" si="6"/>
        <v>440</v>
      </c>
      <c r="B441" s="105" t="s">
        <v>400</v>
      </c>
      <c r="C441" s="121" t="s">
        <v>1442</v>
      </c>
      <c r="D441" s="107" t="s">
        <v>1430</v>
      </c>
      <c r="E441" s="108" t="s">
        <v>1426</v>
      </c>
      <c r="F441" s="108" t="s">
        <v>515</v>
      </c>
      <c r="G441" s="108" t="s">
        <v>1347</v>
      </c>
      <c r="H441" s="131" t="s">
        <v>295</v>
      </c>
      <c r="I441" s="109">
        <v>4</v>
      </c>
      <c r="J441" s="109" t="s">
        <v>805</v>
      </c>
      <c r="K441" s="105" t="s">
        <v>1441</v>
      </c>
      <c r="L441" s="107" t="str">
        <f ca="1">VLOOKUP($K441,OFFSET([1]character_type_i18n!$A$1,0,0,COUNTA([1]character_type_i18n!$A:$A),MATCH(L$1,[1]character_type_i18n!$1:$1,0)-MATCH($K$1,[1]character_type_i18n!$1:$1,0)+1),MATCH(L$1,[1]character_type_i18n!$1:$1,0)-MATCH($K$1,[1]character_type_i18n!$1:$1,0)+1,FALSE)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41" s="105" t="s">
        <v>1433</v>
      </c>
      <c r="N441" s="107" t="str">
        <f>VLOOKUP(M441,[1]character_tribe_i18n!A:C,3,FALSE)</f>
        <v>マシン</v>
      </c>
      <c r="O441" s="105" t="s">
        <v>278</v>
      </c>
      <c r="P441" s="107" t="str">
        <f>VLOOKUP(O441,[1]character_tribe_i18n!A:C,3,FALSE)</f>
        <v>種族なし</v>
      </c>
      <c r="Q441" s="110" t="s">
        <v>397</v>
      </c>
      <c r="R441" s="111">
        <v>3</v>
      </c>
      <c r="S441" s="108" t="s">
        <v>398</v>
      </c>
      <c r="T441" s="108" t="s">
        <v>399</v>
      </c>
      <c r="U441" s="108" t="s">
        <v>398</v>
      </c>
      <c r="V441" s="108" t="s">
        <v>398</v>
      </c>
      <c r="W441" s="108" t="s">
        <v>398</v>
      </c>
    </row>
    <row r="442" spans="1:23" ht="21" customHeight="1" x14ac:dyDescent="0.15">
      <c r="A442" s="104">
        <f t="shared" si="6"/>
        <v>441</v>
      </c>
      <c r="B442" s="105" t="s">
        <v>400</v>
      </c>
      <c r="C442" s="121" t="s">
        <v>1443</v>
      </c>
      <c r="D442" s="107" t="s">
        <v>1430</v>
      </c>
      <c r="E442" s="108" t="s">
        <v>1426</v>
      </c>
      <c r="F442" s="108" t="s">
        <v>515</v>
      </c>
      <c r="G442" s="108" t="s">
        <v>1347</v>
      </c>
      <c r="H442" s="131" t="s">
        <v>295</v>
      </c>
      <c r="I442" s="109">
        <v>5</v>
      </c>
      <c r="J442" s="109" t="s">
        <v>805</v>
      </c>
      <c r="K442" s="105" t="s">
        <v>1441</v>
      </c>
      <c r="L442" s="107" t="str">
        <f ca="1">VLOOKUP($K442,OFFSET([1]character_type_i18n!$A$1,0,0,COUNTA([1]character_type_i18n!$A:$A),MATCH(L$1,[1]character_type_i18n!$1:$1,0)-MATCH($K$1,[1]character_type_i18n!$1:$1,0)+1),MATCH(L$1,[1]character_type_i18n!$1:$1,0)-MATCH($K$1,[1]character_type_i18n!$1:$1,0)+1,FALSE)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42" s="105" t="s">
        <v>1433</v>
      </c>
      <c r="N442" s="107" t="str">
        <f>VLOOKUP(M442,[1]character_tribe_i18n!A:C,3,FALSE)</f>
        <v>マシン</v>
      </c>
      <c r="O442" s="105" t="s">
        <v>278</v>
      </c>
      <c r="P442" s="107" t="str">
        <f>VLOOKUP(O442,[1]character_tribe_i18n!A:C,3,FALSE)</f>
        <v>種族なし</v>
      </c>
      <c r="Q442" s="110" t="s">
        <v>412</v>
      </c>
      <c r="R442" s="111">
        <v>3</v>
      </c>
      <c r="S442" s="108" t="s">
        <v>413</v>
      </c>
      <c r="T442" s="108" t="s">
        <v>414</v>
      </c>
      <c r="U442" s="108" t="s">
        <v>413</v>
      </c>
      <c r="V442" s="108" t="s">
        <v>413</v>
      </c>
      <c r="W442" s="108" t="s">
        <v>413</v>
      </c>
    </row>
    <row r="443" spans="1:23" ht="21" customHeight="1" x14ac:dyDescent="0.15">
      <c r="A443" s="104">
        <f t="shared" si="6"/>
        <v>442</v>
      </c>
      <c r="B443" s="105" t="s">
        <v>416</v>
      </c>
      <c r="C443" s="132" t="s">
        <v>1444</v>
      </c>
      <c r="D443" s="107" t="s">
        <v>1430</v>
      </c>
      <c r="E443" s="108" t="s">
        <v>1445</v>
      </c>
      <c r="F443" s="108" t="s">
        <v>1380</v>
      </c>
      <c r="G443" s="108" t="s">
        <v>1347</v>
      </c>
      <c r="H443" s="131" t="s">
        <v>300</v>
      </c>
      <c r="I443" s="109">
        <v>4</v>
      </c>
      <c r="J443" s="109" t="s">
        <v>1446</v>
      </c>
      <c r="K443" s="105" t="s">
        <v>1447</v>
      </c>
      <c r="L443" s="107" t="str">
        <f ca="1">VLOOKUP($K443,OFFSET([1]character_type_i18n!$A$1,0,0,COUNTA([1]character_type_i18n!$A:$A),MATCH(L$1,[1]character_type_i18n!$1:$1,0)-MATCH($K$1,[1]character_type_i18n!$1:$1,0)+1),MATCH(L$1,[1]character_type_i18n!$1:$1,0)-MATCH($K$1,[1]character_type_i18n!$1:$1,0)+1,FALSE)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43" s="105" t="s">
        <v>1448</v>
      </c>
      <c r="N443" s="107" t="str">
        <f>VLOOKUP(M443,[1]character_tribe_i18n!A:C,3,FALSE)</f>
        <v>アニマル</v>
      </c>
      <c r="O443" s="105" t="s">
        <v>278</v>
      </c>
      <c r="P443" s="107" t="str">
        <f>VLOOKUP(O443,[1]character_tribe_i18n!A:C,3,FALSE)</f>
        <v>種族なし</v>
      </c>
      <c r="Q443" s="110" t="s">
        <v>1449</v>
      </c>
      <c r="R443" s="111">
        <v>3</v>
      </c>
      <c r="S443" s="108" t="s">
        <v>1450</v>
      </c>
      <c r="T443" s="108" t="s">
        <v>281</v>
      </c>
      <c r="U443" s="108" t="s">
        <v>280</v>
      </c>
      <c r="V443" s="108" t="s">
        <v>280</v>
      </c>
      <c r="W443" s="108" t="s">
        <v>280</v>
      </c>
    </row>
    <row r="444" spans="1:23" ht="21" customHeight="1" x14ac:dyDescent="0.15">
      <c r="A444" s="104">
        <f t="shared" si="6"/>
        <v>443</v>
      </c>
      <c r="B444" s="105" t="s">
        <v>268</v>
      </c>
      <c r="C444" s="121" t="s">
        <v>1451</v>
      </c>
      <c r="D444" s="107" t="s">
        <v>1430</v>
      </c>
      <c r="E444" s="108" t="s">
        <v>709</v>
      </c>
      <c r="F444" s="108" t="s">
        <v>532</v>
      </c>
      <c r="G444" s="108" t="s">
        <v>1347</v>
      </c>
      <c r="H444" s="131" t="s">
        <v>300</v>
      </c>
      <c r="I444" s="109">
        <v>5</v>
      </c>
      <c r="J444" s="109" t="s">
        <v>1452</v>
      </c>
      <c r="K444" s="105" t="s">
        <v>1453</v>
      </c>
      <c r="L444" s="107" t="str">
        <f ca="1">VLOOKUP($K444,OFFSET([1]character_type_i18n!$A$1,0,0,COUNTA([1]character_type_i18n!$A:$A),MATCH(L$1,[1]character_type_i18n!$1:$1,0)-MATCH($K$1,[1]character_type_i18n!$1:$1,0)+1),MATCH(L$1,[1]character_type_i18n!$1:$1,0)-MATCH($K$1,[1]character_type_i18n!$1:$1,0)+1,FALSE)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44" s="105" t="s">
        <v>1448</v>
      </c>
      <c r="N444" s="107" t="str">
        <f>VLOOKUP(M444,[1]character_tribe_i18n!A:C,3,FALSE)</f>
        <v>アニマル</v>
      </c>
      <c r="O444" s="105" t="s">
        <v>278</v>
      </c>
      <c r="P444" s="107" t="str">
        <f>VLOOKUP(O444,[1]character_tribe_i18n!A:C,3,FALSE)</f>
        <v>種族なし</v>
      </c>
      <c r="Q444" s="110" t="s">
        <v>279</v>
      </c>
      <c r="R444" s="111">
        <v>3</v>
      </c>
      <c r="S444" s="108" t="s">
        <v>280</v>
      </c>
      <c r="T444" s="108" t="s">
        <v>1454</v>
      </c>
      <c r="U444" s="108" t="s">
        <v>1450</v>
      </c>
      <c r="V444" s="108" t="s">
        <v>280</v>
      </c>
      <c r="W444" s="108" t="s">
        <v>280</v>
      </c>
    </row>
    <row r="445" spans="1:23" ht="21" customHeight="1" x14ac:dyDescent="0.15">
      <c r="A445" s="104">
        <f t="shared" si="6"/>
        <v>444</v>
      </c>
      <c r="B445" s="105" t="s">
        <v>268</v>
      </c>
      <c r="C445" s="133" t="s">
        <v>1455</v>
      </c>
      <c r="D445" s="107" t="s">
        <v>1404</v>
      </c>
      <c r="E445" s="108" t="s">
        <v>709</v>
      </c>
      <c r="F445" s="108" t="s">
        <v>532</v>
      </c>
      <c r="G445" s="108" t="s">
        <v>1347</v>
      </c>
      <c r="H445" s="105" t="s">
        <v>536</v>
      </c>
      <c r="I445" s="115">
        <v>6</v>
      </c>
      <c r="J445" s="115" t="s">
        <v>537</v>
      </c>
      <c r="K445" s="105" t="s">
        <v>538</v>
      </c>
      <c r="L445" s="107" t="str">
        <f ca="1">VLOOKUP($K445,OFFSET([1]character_type_i18n!$A$1,0,0,COUNTA([1]character_type_i18n!$A:$A),MATCH(L$1,[1]character_type_i18n!$1:$1,0)-MATCH($K$1,[1]character_type_i18n!$1:$1,0)+1),MATCH(L$1,[1]character_type_i18n!$1:$1,0)-MATCH($K$1,[1]character_type_i18n!$1:$1,0)+1,FALSE)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45" s="105" t="s">
        <v>277</v>
      </c>
      <c r="N445" s="107" t="str">
        <f>VLOOKUP(M445,[1]character_tribe_i18n!A:C,3,FALSE)</f>
        <v>Unknown</v>
      </c>
      <c r="O445" s="105" t="s">
        <v>278</v>
      </c>
      <c r="P445" s="107" t="str">
        <f>VLOOKUP(O445,[1]character_tribe_i18n!A:C,3,FALSE)</f>
        <v>種族なし</v>
      </c>
      <c r="Q445" s="110" t="s">
        <v>539</v>
      </c>
      <c r="R445" s="111">
        <v>3</v>
      </c>
      <c r="S445" s="108" t="s">
        <v>280</v>
      </c>
      <c r="T445" s="108" t="s">
        <v>281</v>
      </c>
      <c r="U445" s="108" t="s">
        <v>280</v>
      </c>
      <c r="V445" s="108" t="s">
        <v>280</v>
      </c>
      <c r="W445" s="108" t="s">
        <v>280</v>
      </c>
    </row>
    <row r="446" spans="1:23" ht="21" customHeight="1" x14ac:dyDescent="0.15">
      <c r="A446" s="104">
        <f t="shared" si="6"/>
        <v>445</v>
      </c>
      <c r="B446" s="105" t="s">
        <v>268</v>
      </c>
      <c r="C446" s="133" t="s">
        <v>1456</v>
      </c>
      <c r="D446" s="107" t="s">
        <v>1410</v>
      </c>
      <c r="E446" s="108" t="s">
        <v>1405</v>
      </c>
      <c r="F446" s="108" t="s">
        <v>1406</v>
      </c>
      <c r="G446" s="108" t="s">
        <v>1347</v>
      </c>
      <c r="H446" s="105" t="s">
        <v>545</v>
      </c>
      <c r="I446" s="115">
        <v>6</v>
      </c>
      <c r="J446" s="115" t="s">
        <v>537</v>
      </c>
      <c r="K446" s="105" t="s">
        <v>538</v>
      </c>
      <c r="L446" s="107" t="str">
        <f ca="1">VLOOKUP($K446,OFFSET([1]character_type_i18n!$A$1,0,0,COUNTA([1]character_type_i18n!$A:$A),MATCH(L$1,[1]character_type_i18n!$1:$1,0)-MATCH($K$1,[1]character_type_i18n!$1:$1,0)+1),MATCH(L$1,[1]character_type_i18n!$1:$1,0)-MATCH($K$1,[1]character_type_i18n!$1:$1,0)+1,FALSE)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46" s="105" t="s">
        <v>277</v>
      </c>
      <c r="N446" s="107" t="str">
        <f>VLOOKUP(M446,[1]character_tribe_i18n!A:C,3,FALSE)</f>
        <v>Unknown</v>
      </c>
      <c r="O446" s="105" t="s">
        <v>278</v>
      </c>
      <c r="P446" s="107" t="str">
        <f>VLOOKUP(O446,[1]character_tribe_i18n!A:C,3,FALSE)</f>
        <v>種族なし</v>
      </c>
      <c r="Q446" s="110" t="s">
        <v>539</v>
      </c>
      <c r="R446" s="111">
        <v>3</v>
      </c>
      <c r="S446" s="108" t="s">
        <v>280</v>
      </c>
      <c r="T446" s="108" t="s">
        <v>281</v>
      </c>
      <c r="U446" s="108" t="s">
        <v>280</v>
      </c>
      <c r="V446" s="108" t="s">
        <v>280</v>
      </c>
      <c r="W446" s="108" t="s">
        <v>280</v>
      </c>
    </row>
    <row r="447" spans="1:23" ht="21" customHeight="1" x14ac:dyDescent="0.15">
      <c r="A447" s="104">
        <f t="shared" si="6"/>
        <v>446</v>
      </c>
      <c r="B447" s="105" t="s">
        <v>268</v>
      </c>
      <c r="C447" s="133" t="s">
        <v>1457</v>
      </c>
      <c r="D447" s="107" t="s">
        <v>1410</v>
      </c>
      <c r="E447" s="108" t="s">
        <v>1405</v>
      </c>
      <c r="F447" s="108" t="s">
        <v>1406</v>
      </c>
      <c r="G447" s="108" t="s">
        <v>1347</v>
      </c>
      <c r="H447" s="105" t="s">
        <v>618</v>
      </c>
      <c r="I447" s="115">
        <v>6</v>
      </c>
      <c r="J447" s="115" t="s">
        <v>537</v>
      </c>
      <c r="K447" s="105" t="s">
        <v>538</v>
      </c>
      <c r="L447" s="107" t="str">
        <f ca="1">VLOOKUP($K447,OFFSET([1]character_type_i18n!$A$1,0,0,COUNTA([1]character_type_i18n!$A:$A),MATCH(L$1,[1]character_type_i18n!$1:$1,0)-MATCH($K$1,[1]character_type_i18n!$1:$1,0)+1),MATCH(L$1,[1]character_type_i18n!$1:$1,0)-MATCH($K$1,[1]character_type_i18n!$1:$1,0)+1,FALSE)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47" s="105" t="s">
        <v>277</v>
      </c>
      <c r="N447" s="107" t="str">
        <f>VLOOKUP(M447,[1]character_tribe_i18n!A:C,3,FALSE)</f>
        <v>Unknown</v>
      </c>
      <c r="O447" s="105" t="s">
        <v>278</v>
      </c>
      <c r="P447" s="107" t="str">
        <f>VLOOKUP(O447,[1]character_tribe_i18n!A:C,3,FALSE)</f>
        <v>種族なし</v>
      </c>
      <c r="Q447" s="110" t="s">
        <v>539</v>
      </c>
      <c r="R447" s="111">
        <v>3</v>
      </c>
      <c r="S447" s="108" t="s">
        <v>280</v>
      </c>
      <c r="T447" s="108" t="s">
        <v>281</v>
      </c>
      <c r="U447" s="108" t="s">
        <v>280</v>
      </c>
      <c r="V447" s="108" t="s">
        <v>280</v>
      </c>
      <c r="W447" s="108" t="s">
        <v>280</v>
      </c>
    </row>
    <row r="448" spans="1:23" ht="21" customHeight="1" x14ac:dyDescent="0.15">
      <c r="A448" s="104">
        <f t="shared" si="6"/>
        <v>447</v>
      </c>
      <c r="B448" s="105" t="s">
        <v>268</v>
      </c>
      <c r="C448" s="133" t="s">
        <v>1458</v>
      </c>
      <c r="D448" s="107" t="s">
        <v>1410</v>
      </c>
      <c r="E448" s="108" t="s">
        <v>1405</v>
      </c>
      <c r="F448" s="108" t="s">
        <v>1406</v>
      </c>
      <c r="G448" s="108" t="s">
        <v>1347</v>
      </c>
      <c r="H448" s="105" t="s">
        <v>1106</v>
      </c>
      <c r="I448" s="115">
        <v>6</v>
      </c>
      <c r="J448" s="115" t="s">
        <v>537</v>
      </c>
      <c r="K448" s="105" t="s">
        <v>538</v>
      </c>
      <c r="L448" s="107" t="str">
        <f ca="1">VLOOKUP($K448,OFFSET([1]character_type_i18n!$A$1,0,0,COUNTA([1]character_type_i18n!$A:$A),MATCH(L$1,[1]character_type_i18n!$1:$1,0)-MATCH($K$1,[1]character_type_i18n!$1:$1,0)+1),MATCH(L$1,[1]character_type_i18n!$1:$1,0)-MATCH($K$1,[1]character_type_i18n!$1:$1,0)+1,FALSE)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48" s="105" t="s">
        <v>277</v>
      </c>
      <c r="N448" s="107" t="str">
        <f>VLOOKUP(M448,[1]character_tribe_i18n!A:C,3,FALSE)</f>
        <v>Unknown</v>
      </c>
      <c r="O448" s="105" t="s">
        <v>278</v>
      </c>
      <c r="P448" s="107" t="str">
        <f>VLOOKUP(O448,[1]character_tribe_i18n!A:C,3,FALSE)</f>
        <v>種族なし</v>
      </c>
      <c r="Q448" s="110" t="s">
        <v>539</v>
      </c>
      <c r="R448" s="111">
        <v>3</v>
      </c>
      <c r="S448" s="108" t="s">
        <v>1459</v>
      </c>
      <c r="T448" s="108" t="s">
        <v>1460</v>
      </c>
      <c r="U448" s="108" t="s">
        <v>1459</v>
      </c>
      <c r="V448" s="108" t="s">
        <v>1459</v>
      </c>
      <c r="W448" s="108" t="s">
        <v>1459</v>
      </c>
    </row>
    <row r="449" spans="1:23" ht="21" customHeight="1" x14ac:dyDescent="0.15">
      <c r="A449" s="104">
        <f t="shared" si="6"/>
        <v>448</v>
      </c>
      <c r="B449" s="105" t="s">
        <v>1461</v>
      </c>
      <c r="C449" s="134" t="s">
        <v>1462</v>
      </c>
      <c r="D449" s="107" t="s">
        <v>1410</v>
      </c>
      <c r="E449" s="108" t="s">
        <v>1463</v>
      </c>
      <c r="F449" s="108" t="s">
        <v>1464</v>
      </c>
      <c r="G449" s="108" t="s">
        <v>1347</v>
      </c>
      <c r="H449" s="131" t="s">
        <v>295</v>
      </c>
      <c r="I449" s="109">
        <v>4</v>
      </c>
      <c r="J449" s="109" t="s">
        <v>1465</v>
      </c>
      <c r="K449" s="105" t="s">
        <v>286</v>
      </c>
      <c r="L449" s="107" t="str">
        <f ca="1">VLOOKUP($K449,OFFSET([1]character_type_i18n!$A$1,0,0,COUNTA([1]character_type_i18n!$A:$A),MATCH(L$1,[1]character_type_i18n!$1:$1,0)-MATCH($K$1,[1]character_type_i18n!$1:$1,0)+1),MATCH(L$1,[1]character_type_i18n!$1:$1,0)-MATCH($K$1,[1]character_type_i18n!$1:$1,0)+1,FALSE)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49" s="105" t="s">
        <v>1466</v>
      </c>
      <c r="N449" s="107" t="str">
        <f>VLOOKUP(M449,[1]character_tribe_i18n!A:C,3,FALSE)</f>
        <v>ヒューマン</v>
      </c>
      <c r="O449" s="105" t="s">
        <v>278</v>
      </c>
      <c r="P449" s="107" t="str">
        <f>VLOOKUP(O449,[1]character_tribe_i18n!A:C,3,FALSE)</f>
        <v>種族なし</v>
      </c>
      <c r="Q449" s="110" t="s">
        <v>279</v>
      </c>
      <c r="R449" s="111">
        <v>1</v>
      </c>
      <c r="S449" s="108" t="s">
        <v>280</v>
      </c>
      <c r="T449" s="108" t="s">
        <v>281</v>
      </c>
      <c r="U449" s="108" t="s">
        <v>280</v>
      </c>
      <c r="V449" s="108" t="s">
        <v>280</v>
      </c>
      <c r="W449" s="108" t="s">
        <v>280</v>
      </c>
    </row>
    <row r="450" spans="1:23" ht="21" customHeight="1" x14ac:dyDescent="0.15">
      <c r="A450" s="104">
        <f t="shared" si="6"/>
        <v>449</v>
      </c>
      <c r="B450" s="105" t="s">
        <v>268</v>
      </c>
      <c r="C450" s="134" t="s">
        <v>1467</v>
      </c>
      <c r="D450" s="107" t="s">
        <v>1410</v>
      </c>
      <c r="E450" s="108" t="s">
        <v>1468</v>
      </c>
      <c r="F450" s="108" t="s">
        <v>1469</v>
      </c>
      <c r="G450" s="108" t="s">
        <v>1347</v>
      </c>
      <c r="H450" s="131" t="s">
        <v>295</v>
      </c>
      <c r="I450" s="109">
        <v>5</v>
      </c>
      <c r="J450" s="109" t="s">
        <v>1470</v>
      </c>
      <c r="K450" s="105" t="s">
        <v>286</v>
      </c>
      <c r="L450" s="107" t="str">
        <f ca="1">VLOOKUP($K450,OFFSET([1]character_type_i18n!$A$1,0,0,COUNTA([1]character_type_i18n!$A:$A),MATCH(L$1,[1]character_type_i18n!$1:$1,0)-MATCH($K$1,[1]character_type_i18n!$1:$1,0)+1),MATCH(L$1,[1]character_type_i18n!$1:$1,0)-MATCH($K$1,[1]character_type_i18n!$1:$1,0)+1,FALSE)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50" s="105" t="s">
        <v>1257</v>
      </c>
      <c r="N450" s="107" t="str">
        <f>VLOOKUP(M450,[1]character_tribe_i18n!A:C,3,FALSE)</f>
        <v>ヒューマン</v>
      </c>
      <c r="O450" s="105" t="s">
        <v>278</v>
      </c>
      <c r="P450" s="107" t="str">
        <f>VLOOKUP(O450,[1]character_tribe_i18n!A:C,3,FALSE)</f>
        <v>種族なし</v>
      </c>
      <c r="Q450" s="110" t="s">
        <v>1471</v>
      </c>
      <c r="R450" s="111">
        <v>1</v>
      </c>
      <c r="S450" s="108" t="s">
        <v>574</v>
      </c>
      <c r="T450" s="108" t="s">
        <v>573</v>
      </c>
      <c r="U450" s="108" t="s">
        <v>574</v>
      </c>
      <c r="V450" s="108" t="s">
        <v>574</v>
      </c>
      <c r="W450" s="108" t="s">
        <v>574</v>
      </c>
    </row>
    <row r="451" spans="1:23" ht="21" customHeight="1" x14ac:dyDescent="0.15">
      <c r="A451" s="104">
        <f t="shared" ref="A451:A514" si="7">ROW()-1</f>
        <v>450</v>
      </c>
      <c r="B451" s="105" t="s">
        <v>303</v>
      </c>
      <c r="C451" s="121" t="s">
        <v>1472</v>
      </c>
      <c r="D451" s="107" t="s">
        <v>1410</v>
      </c>
      <c r="E451" s="108" t="s">
        <v>1463</v>
      </c>
      <c r="F451" s="108" t="s">
        <v>1464</v>
      </c>
      <c r="G451" s="108" t="s">
        <v>1347</v>
      </c>
      <c r="H451" s="131" t="s">
        <v>300</v>
      </c>
      <c r="I451" s="109">
        <v>4</v>
      </c>
      <c r="J451" s="109" t="s">
        <v>1465</v>
      </c>
      <c r="K451" s="105" t="s">
        <v>286</v>
      </c>
      <c r="L451" s="107" t="str">
        <f ca="1">VLOOKUP($K451,OFFSET([1]character_type_i18n!$A$1,0,0,COUNTA([1]character_type_i18n!$A:$A),MATCH(L$1,[1]character_type_i18n!$1:$1,0)-MATCH($K$1,[1]character_type_i18n!$1:$1,0)+1),MATCH(L$1,[1]character_type_i18n!$1:$1,0)-MATCH($K$1,[1]character_type_i18n!$1:$1,0)+1,FALSE)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51" s="105" t="s">
        <v>1466</v>
      </c>
      <c r="N451" s="107" t="str">
        <f>VLOOKUP(M451,[1]character_tribe_i18n!A:C,3,FALSE)</f>
        <v>ヒューマン</v>
      </c>
      <c r="O451" s="105" t="s">
        <v>278</v>
      </c>
      <c r="P451" s="107" t="str">
        <f>VLOOKUP(O451,[1]character_tribe_i18n!A:C,3,FALSE)</f>
        <v>種族なし</v>
      </c>
      <c r="Q451" s="110" t="s">
        <v>412</v>
      </c>
      <c r="R451" s="111">
        <v>1</v>
      </c>
      <c r="S451" s="108" t="s">
        <v>413</v>
      </c>
      <c r="T451" s="108" t="s">
        <v>414</v>
      </c>
      <c r="U451" s="108" t="s">
        <v>413</v>
      </c>
      <c r="V451" s="108" t="s">
        <v>413</v>
      </c>
      <c r="W451" s="108" t="s">
        <v>413</v>
      </c>
    </row>
    <row r="452" spans="1:23" ht="21" customHeight="1" x14ac:dyDescent="0.15">
      <c r="A452" s="104">
        <f t="shared" si="7"/>
        <v>451</v>
      </c>
      <c r="B452" s="105" t="s">
        <v>416</v>
      </c>
      <c r="C452" s="121" t="s">
        <v>1473</v>
      </c>
      <c r="D452" s="107" t="s">
        <v>1410</v>
      </c>
      <c r="E452" s="108" t="s">
        <v>1445</v>
      </c>
      <c r="F452" s="108" t="s">
        <v>1474</v>
      </c>
      <c r="G452" s="108" t="s">
        <v>1347</v>
      </c>
      <c r="H452" s="131" t="s">
        <v>618</v>
      </c>
      <c r="I452" s="109">
        <v>5</v>
      </c>
      <c r="J452" s="109" t="s">
        <v>1475</v>
      </c>
      <c r="K452" s="105" t="s">
        <v>286</v>
      </c>
      <c r="L452" s="107" t="str">
        <f ca="1">VLOOKUP($K452,OFFSET([1]character_type_i18n!$A$1,0,0,COUNTA([1]character_type_i18n!$A:$A),MATCH(L$1,[1]character_type_i18n!$1:$1,0)-MATCH($K$1,[1]character_type_i18n!$1:$1,0)+1),MATCH(L$1,[1]character_type_i18n!$1:$1,0)-MATCH($K$1,[1]character_type_i18n!$1:$1,0)+1,FALSE)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52" s="105" t="s">
        <v>1476</v>
      </c>
      <c r="N452" s="107" t="str">
        <f>VLOOKUP(M452,[1]character_tribe_i18n!A:C,3,FALSE)</f>
        <v>ヒューマン</v>
      </c>
      <c r="O452" s="105" t="s">
        <v>278</v>
      </c>
      <c r="P452" s="107" t="str">
        <f>VLOOKUP(O452,[1]character_tribe_i18n!A:C,3,FALSE)</f>
        <v>種族なし</v>
      </c>
      <c r="Q452" s="110" t="s">
        <v>1477</v>
      </c>
      <c r="R452" s="111">
        <v>3</v>
      </c>
      <c r="S452" s="108" t="s">
        <v>386</v>
      </c>
      <c r="T452" s="108" t="s">
        <v>391</v>
      </c>
      <c r="U452" s="108" t="s">
        <v>386</v>
      </c>
      <c r="V452" s="108" t="s">
        <v>386</v>
      </c>
      <c r="W452" s="108" t="s">
        <v>386</v>
      </c>
    </row>
    <row r="453" spans="1:23" ht="21" customHeight="1" x14ac:dyDescent="0.15">
      <c r="A453" s="104">
        <f t="shared" si="7"/>
        <v>452</v>
      </c>
      <c r="B453" s="105" t="s">
        <v>387</v>
      </c>
      <c r="C453" s="121" t="s">
        <v>1478</v>
      </c>
      <c r="D453" s="107" t="s">
        <v>1479</v>
      </c>
      <c r="E453" s="108" t="s">
        <v>1480</v>
      </c>
      <c r="F453" s="108" t="s">
        <v>1481</v>
      </c>
      <c r="G453" s="108" t="s">
        <v>1482</v>
      </c>
      <c r="H453" s="131" t="s">
        <v>274</v>
      </c>
      <c r="I453" s="109">
        <v>4</v>
      </c>
      <c r="J453" s="109" t="s">
        <v>516</v>
      </c>
      <c r="K453" s="105" t="s">
        <v>1483</v>
      </c>
      <c r="L453" s="107" t="str">
        <f ca="1">VLOOKUP($K453,OFFSET([1]character_type_i18n!$A$1,0,0,COUNTA([1]character_type_i18n!$A:$A),MATCH(L$1,[1]character_type_i18n!$1:$1,0)-MATCH($K$1,[1]character_type_i18n!$1:$1,0)+1),MATCH(L$1,[1]character_type_i18n!$1:$1,0)-MATCH($K$1,[1]character_type_i18n!$1:$1,0)+1,FALSE)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53" s="105" t="s">
        <v>1484</v>
      </c>
      <c r="N453" s="107" t="str">
        <f>VLOOKUP(M453,[1]character_tribe_i18n!A:C,3,FALSE)</f>
        <v>アニマル</v>
      </c>
      <c r="O453" s="105" t="s">
        <v>278</v>
      </c>
      <c r="P453" s="107" t="str">
        <f>VLOOKUP(O453,[1]character_tribe_i18n!A:C,3,FALSE)</f>
        <v>種族なし</v>
      </c>
      <c r="Q453" s="110" t="s">
        <v>1485</v>
      </c>
      <c r="R453" s="111">
        <v>3</v>
      </c>
      <c r="S453" s="108" t="s">
        <v>1486</v>
      </c>
      <c r="T453" s="108" t="s">
        <v>1487</v>
      </c>
      <c r="U453" s="108" t="s">
        <v>1486</v>
      </c>
      <c r="V453" s="108" t="s">
        <v>1486</v>
      </c>
      <c r="W453" s="108" t="s">
        <v>1486</v>
      </c>
    </row>
    <row r="454" spans="1:23" ht="21" customHeight="1" x14ac:dyDescent="0.15">
      <c r="A454" s="104">
        <f t="shared" si="7"/>
        <v>453</v>
      </c>
      <c r="B454" s="105" t="s">
        <v>1488</v>
      </c>
      <c r="C454" s="121" t="s">
        <v>1489</v>
      </c>
      <c r="D454" s="107" t="s">
        <v>1490</v>
      </c>
      <c r="E454" s="108" t="s">
        <v>1491</v>
      </c>
      <c r="F454" s="108" t="s">
        <v>1492</v>
      </c>
      <c r="G454" s="108" t="s">
        <v>1493</v>
      </c>
      <c r="H454" s="131" t="s">
        <v>274</v>
      </c>
      <c r="I454" s="109">
        <v>5</v>
      </c>
      <c r="J454" s="109" t="s">
        <v>516</v>
      </c>
      <c r="K454" s="105" t="s">
        <v>286</v>
      </c>
      <c r="L454" s="107" t="str">
        <f ca="1">VLOOKUP($K454,OFFSET([1]character_type_i18n!$A$1,0,0,COUNTA([1]character_type_i18n!$A:$A),MATCH(L$1,[1]character_type_i18n!$1:$1,0)-MATCH($K$1,[1]character_type_i18n!$1:$1,0)+1),MATCH(L$1,[1]character_type_i18n!$1:$1,0)-MATCH($K$1,[1]character_type_i18n!$1:$1,0)+1,FALSE)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54" s="105" t="s">
        <v>1494</v>
      </c>
      <c r="N454" s="107" t="str">
        <f>VLOOKUP(M454,[1]character_tribe_i18n!A:C,3,FALSE)</f>
        <v>アニマル</v>
      </c>
      <c r="O454" s="105" t="s">
        <v>278</v>
      </c>
      <c r="P454" s="107" t="str">
        <f>VLOOKUP(O454,[1]character_tribe_i18n!A:C,3,FALSE)</f>
        <v>種族なし</v>
      </c>
      <c r="Q454" s="110" t="s">
        <v>279</v>
      </c>
      <c r="R454" s="111">
        <v>3</v>
      </c>
      <c r="S454" s="108" t="s">
        <v>280</v>
      </c>
      <c r="T454" s="108" t="s">
        <v>281</v>
      </c>
      <c r="U454" s="108" t="s">
        <v>280</v>
      </c>
      <c r="V454" s="108" t="s">
        <v>280</v>
      </c>
      <c r="W454" s="108" t="s">
        <v>280</v>
      </c>
    </row>
    <row r="455" spans="1:23" ht="21" customHeight="1" x14ac:dyDescent="0.15">
      <c r="A455" s="104">
        <f t="shared" si="7"/>
        <v>454</v>
      </c>
      <c r="B455" s="105" t="s">
        <v>268</v>
      </c>
      <c r="C455" s="121" t="s">
        <v>1495</v>
      </c>
      <c r="D455" s="107" t="s">
        <v>1496</v>
      </c>
      <c r="E455" s="108" t="s">
        <v>709</v>
      </c>
      <c r="F455" s="108" t="s">
        <v>532</v>
      </c>
      <c r="G455" s="108" t="s">
        <v>710</v>
      </c>
      <c r="H455" s="131" t="s">
        <v>285</v>
      </c>
      <c r="I455" s="109">
        <v>4</v>
      </c>
      <c r="J455" s="109" t="s">
        <v>516</v>
      </c>
      <c r="K455" s="105" t="s">
        <v>967</v>
      </c>
      <c r="L455" s="107" t="str">
        <f ca="1">VLOOKUP($K455,OFFSET([1]character_type_i18n!$A$1,0,0,COUNTA([1]character_type_i18n!$A:$A),MATCH(L$1,[1]character_type_i18n!$1:$1,0)-MATCH($K$1,[1]character_type_i18n!$1:$1,0)+1),MATCH(L$1,[1]character_type_i18n!$1:$1,0)-MATCH($K$1,[1]character_type_i18n!$1:$1,0)+1,FALSE)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55" s="105" t="s">
        <v>1011</v>
      </c>
      <c r="N455" s="107" t="str">
        <f>VLOOKUP(M455,[1]character_tribe_i18n!A:C,3,FALSE)</f>
        <v>ヒューマン</v>
      </c>
      <c r="O455" s="105" t="s">
        <v>1017</v>
      </c>
      <c r="P455" s="107" t="str">
        <f>VLOOKUP(O455,[1]character_tribe_i18n!A:C,3,FALSE)</f>
        <v>マシン</v>
      </c>
      <c r="Q455" s="110" t="s">
        <v>279</v>
      </c>
      <c r="R455" s="111">
        <v>3</v>
      </c>
      <c r="S455" s="108" t="s">
        <v>280</v>
      </c>
      <c r="T455" s="108" t="s">
        <v>281</v>
      </c>
      <c r="U455" s="108" t="s">
        <v>280</v>
      </c>
      <c r="V455" s="108" t="s">
        <v>280</v>
      </c>
      <c r="W455" s="108" t="s">
        <v>280</v>
      </c>
    </row>
    <row r="456" spans="1:23" ht="21" customHeight="1" x14ac:dyDescent="0.15">
      <c r="A456" s="104">
        <f t="shared" si="7"/>
        <v>455</v>
      </c>
      <c r="B456" s="105" t="s">
        <v>268</v>
      </c>
      <c r="C456" s="121" t="s">
        <v>1497</v>
      </c>
      <c r="D456" s="107" t="s">
        <v>1496</v>
      </c>
      <c r="E456" s="108" t="s">
        <v>709</v>
      </c>
      <c r="F456" s="108" t="s">
        <v>532</v>
      </c>
      <c r="G456" s="108" t="s">
        <v>710</v>
      </c>
      <c r="H456" s="131" t="s">
        <v>285</v>
      </c>
      <c r="I456" s="109">
        <v>5</v>
      </c>
      <c r="J456" s="109" t="s">
        <v>516</v>
      </c>
      <c r="K456" s="105" t="s">
        <v>967</v>
      </c>
      <c r="L456" s="107" t="str">
        <f ca="1">VLOOKUP($K456,OFFSET([1]character_type_i18n!$A$1,0,0,COUNTA([1]character_type_i18n!$A:$A),MATCH(L$1,[1]character_type_i18n!$1:$1,0)-MATCH($K$1,[1]character_type_i18n!$1:$1,0)+1),MATCH(L$1,[1]character_type_i18n!$1:$1,0)-MATCH($K$1,[1]character_type_i18n!$1:$1,0)+1,FALSE)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56" s="105" t="s">
        <v>1011</v>
      </c>
      <c r="N456" s="107" t="str">
        <f>VLOOKUP(M456,[1]character_tribe_i18n!A:C,3,FALSE)</f>
        <v>ヒューマン</v>
      </c>
      <c r="O456" s="105" t="s">
        <v>1017</v>
      </c>
      <c r="P456" s="107" t="str">
        <f>VLOOKUP(O456,[1]character_tribe_i18n!A:C,3,FALSE)</f>
        <v>マシン</v>
      </c>
      <c r="Q456" s="110" t="s">
        <v>279</v>
      </c>
      <c r="R456" s="111">
        <v>3</v>
      </c>
      <c r="S456" s="108" t="s">
        <v>280</v>
      </c>
      <c r="T456" s="108" t="s">
        <v>281</v>
      </c>
      <c r="U456" s="108" t="s">
        <v>280</v>
      </c>
      <c r="V456" s="108" t="s">
        <v>280</v>
      </c>
      <c r="W456" s="108" t="s">
        <v>280</v>
      </c>
    </row>
    <row r="457" spans="1:23" ht="21" customHeight="1" x14ac:dyDescent="0.15">
      <c r="A457" s="104">
        <f t="shared" si="7"/>
        <v>456</v>
      </c>
      <c r="B457" s="105" t="s">
        <v>268</v>
      </c>
      <c r="C457" s="121" t="s">
        <v>1498</v>
      </c>
      <c r="D457" s="107" t="s">
        <v>1496</v>
      </c>
      <c r="E457" s="108" t="s">
        <v>709</v>
      </c>
      <c r="F457" s="108" t="s">
        <v>532</v>
      </c>
      <c r="G457" s="108" t="s">
        <v>853</v>
      </c>
      <c r="H457" s="131" t="s">
        <v>295</v>
      </c>
      <c r="I457" s="109">
        <v>4</v>
      </c>
      <c r="J457" s="109" t="s">
        <v>516</v>
      </c>
      <c r="K457" s="105" t="s">
        <v>1311</v>
      </c>
      <c r="L457" s="107" t="str">
        <f ca="1">VLOOKUP($K457,OFFSET([1]character_type_i18n!$A$1,0,0,COUNTA([1]character_type_i18n!$A:$A),MATCH(L$1,[1]character_type_i18n!$1:$1,0)-MATCH($K$1,[1]character_type_i18n!$1:$1,0)+1),MATCH(L$1,[1]character_type_i18n!$1:$1,0)-MATCH($K$1,[1]character_type_i18n!$1:$1,0)+1,FALSE)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57" s="105" t="s">
        <v>1339</v>
      </c>
      <c r="N457" s="107" t="str">
        <f>VLOOKUP(M457,[1]character_tribe_i18n!A:C,3,FALSE)</f>
        <v>ヒューマン</v>
      </c>
      <c r="O457" s="105" t="s">
        <v>278</v>
      </c>
      <c r="P457" s="107" t="str">
        <f>VLOOKUP(O457,[1]character_tribe_i18n!A:C,3,FALSE)</f>
        <v>種族なし</v>
      </c>
      <c r="Q457" s="110" t="s">
        <v>279</v>
      </c>
      <c r="R457" s="111">
        <v>3</v>
      </c>
      <c r="S457" s="108" t="s">
        <v>280</v>
      </c>
      <c r="T457" s="108" t="s">
        <v>281</v>
      </c>
      <c r="U457" s="108" t="s">
        <v>280</v>
      </c>
      <c r="V457" s="108" t="s">
        <v>280</v>
      </c>
      <c r="W457" s="108" t="s">
        <v>280</v>
      </c>
    </row>
    <row r="458" spans="1:23" ht="21" customHeight="1" x14ac:dyDescent="0.15">
      <c r="A458" s="104">
        <f t="shared" si="7"/>
        <v>457</v>
      </c>
      <c r="B458" s="105" t="s">
        <v>268</v>
      </c>
      <c r="C458" s="121" t="s">
        <v>1499</v>
      </c>
      <c r="D458" s="107" t="s">
        <v>1496</v>
      </c>
      <c r="E458" s="108" t="s">
        <v>709</v>
      </c>
      <c r="F458" s="108" t="s">
        <v>532</v>
      </c>
      <c r="G458" s="108" t="s">
        <v>853</v>
      </c>
      <c r="H458" s="131" t="s">
        <v>295</v>
      </c>
      <c r="I458" s="109">
        <v>5</v>
      </c>
      <c r="J458" s="109" t="s">
        <v>516</v>
      </c>
      <c r="K458" s="105" t="s">
        <v>1500</v>
      </c>
      <c r="L458" s="107" t="str">
        <f ca="1">VLOOKUP($K458,OFFSET([1]character_type_i18n!$A$1,0,0,COUNTA([1]character_type_i18n!$A:$A),MATCH(L$1,[1]character_type_i18n!$1:$1,0)-MATCH($K$1,[1]character_type_i18n!$1:$1,0)+1),MATCH(L$1,[1]character_type_i18n!$1:$1,0)-MATCH($K$1,[1]character_type_i18n!$1:$1,0)+1,FALSE)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58" s="105" t="s">
        <v>1339</v>
      </c>
      <c r="N458" s="107" t="str">
        <f>VLOOKUP(M458,[1]character_tribe_i18n!A:C,3,FALSE)</f>
        <v>ヒューマン</v>
      </c>
      <c r="O458" s="105" t="s">
        <v>278</v>
      </c>
      <c r="P458" s="107" t="str">
        <f>VLOOKUP(O458,[1]character_tribe_i18n!A:C,3,FALSE)</f>
        <v>種族なし</v>
      </c>
      <c r="Q458" s="110" t="s">
        <v>279</v>
      </c>
      <c r="R458" s="111">
        <v>3</v>
      </c>
      <c r="S458" s="108" t="s">
        <v>280</v>
      </c>
      <c r="T458" s="108" t="s">
        <v>281</v>
      </c>
      <c r="U458" s="108" t="s">
        <v>280</v>
      </c>
      <c r="V458" s="108" t="s">
        <v>280</v>
      </c>
      <c r="W458" s="108" t="s">
        <v>280</v>
      </c>
    </row>
    <row r="459" spans="1:23" ht="21" customHeight="1" x14ac:dyDescent="0.15">
      <c r="A459" s="104">
        <f t="shared" si="7"/>
        <v>458</v>
      </c>
      <c r="B459" s="105" t="s">
        <v>268</v>
      </c>
      <c r="C459" s="121" t="s">
        <v>1501</v>
      </c>
      <c r="D459" s="107" t="s">
        <v>1496</v>
      </c>
      <c r="E459" s="108" t="s">
        <v>709</v>
      </c>
      <c r="F459" s="108" t="s">
        <v>532</v>
      </c>
      <c r="G459" s="108" t="s">
        <v>710</v>
      </c>
      <c r="H459" s="131" t="s">
        <v>300</v>
      </c>
      <c r="I459" s="109">
        <v>4</v>
      </c>
      <c r="J459" s="109" t="s">
        <v>516</v>
      </c>
      <c r="K459" s="105" t="s">
        <v>967</v>
      </c>
      <c r="L459" s="107" t="str">
        <f ca="1">VLOOKUP($K459,OFFSET([1]character_type_i18n!$A$1,0,0,COUNTA([1]character_type_i18n!$A:$A),MATCH(L$1,[1]character_type_i18n!$1:$1,0)-MATCH($K$1,[1]character_type_i18n!$1:$1,0)+1),MATCH(L$1,[1]character_type_i18n!$1:$1,0)-MATCH($K$1,[1]character_type_i18n!$1:$1,0)+1,FALSE)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59" s="105" t="s">
        <v>854</v>
      </c>
      <c r="N459" s="107" t="str">
        <f>VLOOKUP(M459,[1]character_tribe_i18n!A:C,3,FALSE)</f>
        <v>ドラゴン</v>
      </c>
      <c r="O459" s="105" t="s">
        <v>278</v>
      </c>
      <c r="P459" s="107" t="str">
        <f>VLOOKUP(O459,[1]character_tribe_i18n!A:C,3,FALSE)</f>
        <v>種族なし</v>
      </c>
      <c r="Q459" s="110" t="s">
        <v>279</v>
      </c>
      <c r="R459" s="111">
        <v>3</v>
      </c>
      <c r="S459" s="108" t="s">
        <v>280</v>
      </c>
      <c r="T459" s="108" t="s">
        <v>281</v>
      </c>
      <c r="U459" s="108" t="s">
        <v>280</v>
      </c>
      <c r="V459" s="108" t="s">
        <v>280</v>
      </c>
      <c r="W459" s="108" t="s">
        <v>280</v>
      </c>
    </row>
    <row r="460" spans="1:23" ht="21" customHeight="1" x14ac:dyDescent="0.15">
      <c r="A460" s="104">
        <f t="shared" si="7"/>
        <v>459</v>
      </c>
      <c r="B460" s="105" t="s">
        <v>268</v>
      </c>
      <c r="C460" s="121" t="s">
        <v>1502</v>
      </c>
      <c r="D460" s="107" t="s">
        <v>1496</v>
      </c>
      <c r="E460" s="108" t="s">
        <v>709</v>
      </c>
      <c r="F460" s="108" t="s">
        <v>532</v>
      </c>
      <c r="G460" s="108" t="s">
        <v>710</v>
      </c>
      <c r="H460" s="131" t="s">
        <v>300</v>
      </c>
      <c r="I460" s="109">
        <v>5</v>
      </c>
      <c r="J460" s="109" t="s">
        <v>516</v>
      </c>
      <c r="K460" s="105" t="s">
        <v>967</v>
      </c>
      <c r="L460" s="107" t="str">
        <f ca="1">VLOOKUP($K460,OFFSET([1]character_type_i18n!$A$1,0,0,COUNTA([1]character_type_i18n!$A:$A),MATCH(L$1,[1]character_type_i18n!$1:$1,0)-MATCH($K$1,[1]character_type_i18n!$1:$1,0)+1),MATCH(L$1,[1]character_type_i18n!$1:$1,0)-MATCH($K$1,[1]character_type_i18n!$1:$1,0)+1,FALSE)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60" s="105" t="s">
        <v>854</v>
      </c>
      <c r="N460" s="107" t="str">
        <f>VLOOKUP(M460,[1]character_tribe_i18n!A:C,3,FALSE)</f>
        <v>ドラゴン</v>
      </c>
      <c r="O460" s="105" t="s">
        <v>278</v>
      </c>
      <c r="P460" s="107" t="str">
        <f>VLOOKUP(O460,[1]character_tribe_i18n!A:C,3,FALSE)</f>
        <v>種族なし</v>
      </c>
      <c r="Q460" s="110" t="s">
        <v>279</v>
      </c>
      <c r="R460" s="111">
        <v>3</v>
      </c>
      <c r="S460" s="108" t="s">
        <v>280</v>
      </c>
      <c r="T460" s="108" t="s">
        <v>281</v>
      </c>
      <c r="U460" s="108" t="s">
        <v>280</v>
      </c>
      <c r="V460" s="108" t="s">
        <v>280</v>
      </c>
      <c r="W460" s="108" t="s">
        <v>280</v>
      </c>
    </row>
    <row r="461" spans="1:23" ht="21" customHeight="1" x14ac:dyDescent="0.15">
      <c r="A461" s="104">
        <f t="shared" si="7"/>
        <v>460</v>
      </c>
      <c r="B461" s="105" t="s">
        <v>268</v>
      </c>
      <c r="C461" s="121" t="s">
        <v>1503</v>
      </c>
      <c r="D461" s="107" t="s">
        <v>917</v>
      </c>
      <c r="E461" s="108" t="s">
        <v>709</v>
      </c>
      <c r="F461" s="108" t="s">
        <v>532</v>
      </c>
      <c r="G461" s="108" t="s">
        <v>710</v>
      </c>
      <c r="H461" s="131" t="s">
        <v>285</v>
      </c>
      <c r="I461" s="109">
        <v>4</v>
      </c>
      <c r="J461" s="130" t="s">
        <v>1504</v>
      </c>
      <c r="K461" s="105" t="s">
        <v>1505</v>
      </c>
      <c r="L461" s="107" t="str">
        <f ca="1">VLOOKUP($K461,OFFSET([1]character_type_i18n!$A$1,0,0,COUNTA([1]character_type_i18n!$A:$A),MATCH(L$1,[1]character_type_i18n!$1:$1,0)-MATCH($K$1,[1]character_type_i18n!$1:$1,0)+1),MATCH(L$1,[1]character_type_i18n!$1:$1,0)-MATCH($K$1,[1]character_type_i18n!$1:$1,0)+1,FALSE)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61" s="105" t="s">
        <v>1011</v>
      </c>
      <c r="N461" s="107" t="str">
        <f>VLOOKUP(M461,[1]character_tribe_i18n!A:C,3,FALSE)</f>
        <v>ヒューマン</v>
      </c>
      <c r="O461" s="105" t="s">
        <v>1423</v>
      </c>
      <c r="P461" s="107" t="str">
        <f>VLOOKUP(O461,[1]character_tribe_i18n!A:C,3,FALSE)</f>
        <v>種族なし</v>
      </c>
      <c r="Q461" s="110" t="s">
        <v>279</v>
      </c>
      <c r="R461" s="111">
        <v>3</v>
      </c>
      <c r="S461" s="108" t="s">
        <v>302</v>
      </c>
      <c r="T461" s="108" t="s">
        <v>375</v>
      </c>
      <c r="U461" s="108" t="s">
        <v>1506</v>
      </c>
      <c r="V461" s="108" t="s">
        <v>1506</v>
      </c>
      <c r="W461" s="108" t="s">
        <v>1506</v>
      </c>
    </row>
    <row r="462" spans="1:23" ht="21" customHeight="1" x14ac:dyDescent="0.15">
      <c r="A462" s="104">
        <f t="shared" si="7"/>
        <v>461</v>
      </c>
      <c r="B462" s="105" t="s">
        <v>1507</v>
      </c>
      <c r="C462" s="121" t="s">
        <v>1508</v>
      </c>
      <c r="D462" s="107" t="s">
        <v>917</v>
      </c>
      <c r="E462" s="108" t="s">
        <v>1379</v>
      </c>
      <c r="F462" s="108" t="s">
        <v>1380</v>
      </c>
      <c r="G462" s="108" t="s">
        <v>1381</v>
      </c>
      <c r="H462" s="131" t="s">
        <v>1509</v>
      </c>
      <c r="I462" s="109">
        <v>5</v>
      </c>
      <c r="J462" s="130" t="s">
        <v>1510</v>
      </c>
      <c r="K462" s="105" t="s">
        <v>1511</v>
      </c>
      <c r="L462" s="107" t="str">
        <f ca="1">VLOOKUP($K462,OFFSET([1]character_type_i18n!$A$1,0,0,COUNTA([1]character_type_i18n!$A:$A),MATCH(L$1,[1]character_type_i18n!$1:$1,0)-MATCH($K$1,[1]character_type_i18n!$1:$1,0)+1),MATCH(L$1,[1]character_type_i18n!$1:$1,0)-MATCH($K$1,[1]character_type_i18n!$1:$1,0)+1,FALSE)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62" s="105" t="s">
        <v>1011</v>
      </c>
      <c r="N462" s="107" t="str">
        <f>VLOOKUP(M462,[1]character_tribe_i18n!A:C,3,FALSE)</f>
        <v>ヒューマン</v>
      </c>
      <c r="O462" s="105" t="s">
        <v>1512</v>
      </c>
      <c r="P462" s="107" t="str">
        <f>VLOOKUP(O462,[1]character_tribe_i18n!A:C,3,FALSE)</f>
        <v>種族なし</v>
      </c>
      <c r="Q462" s="110" t="s">
        <v>1513</v>
      </c>
      <c r="R462" s="111">
        <v>3</v>
      </c>
      <c r="S462" s="108" t="s">
        <v>1514</v>
      </c>
      <c r="T462" s="108" t="s">
        <v>1515</v>
      </c>
      <c r="U462" s="108" t="s">
        <v>887</v>
      </c>
      <c r="V462" s="108" t="s">
        <v>887</v>
      </c>
      <c r="W462" s="108" t="s">
        <v>887</v>
      </c>
    </row>
    <row r="463" spans="1:23" ht="21" customHeight="1" x14ac:dyDescent="0.15">
      <c r="A463" s="104">
        <f t="shared" si="7"/>
        <v>462</v>
      </c>
      <c r="B463" s="105" t="s">
        <v>1288</v>
      </c>
      <c r="C463" s="121" t="s">
        <v>1516</v>
      </c>
      <c r="D463" s="107" t="s">
        <v>1517</v>
      </c>
      <c r="E463" s="108" t="s">
        <v>1518</v>
      </c>
      <c r="F463" s="108" t="s">
        <v>1519</v>
      </c>
      <c r="G463" s="108" t="s">
        <v>1520</v>
      </c>
      <c r="H463" s="131" t="s">
        <v>274</v>
      </c>
      <c r="I463" s="109">
        <v>3</v>
      </c>
      <c r="J463" s="109" t="s">
        <v>805</v>
      </c>
      <c r="K463" s="105" t="s">
        <v>1521</v>
      </c>
      <c r="L463" s="107" t="str">
        <f ca="1">VLOOKUP($K463,OFFSET([1]character_type_i18n!$A$1,0,0,COUNTA([1]character_type_i18n!$A:$A),MATCH(L$1,[1]character_type_i18n!$1:$1,0)-MATCH($K$1,[1]character_type_i18n!$1:$1,0)+1),MATCH(L$1,[1]character_type_i18n!$1:$1,0)-MATCH($K$1,[1]character_type_i18n!$1:$1,0)+1,FALSE)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63" s="105" t="s">
        <v>1011</v>
      </c>
      <c r="N463" s="107" t="str">
        <f>VLOOKUP(M463,[1]character_tribe_i18n!A:C,3,FALSE)</f>
        <v>ヒューマン</v>
      </c>
      <c r="O463" s="105" t="s">
        <v>278</v>
      </c>
      <c r="P463" s="107" t="str">
        <f>VLOOKUP(O463,[1]character_tribe_i18n!A:C,3,FALSE)</f>
        <v>種族なし</v>
      </c>
      <c r="Q463" s="110" t="s">
        <v>279</v>
      </c>
      <c r="R463" s="111">
        <v>3</v>
      </c>
      <c r="S463" s="108" t="s">
        <v>280</v>
      </c>
      <c r="T463" s="108" t="s">
        <v>281</v>
      </c>
      <c r="U463" s="108" t="s">
        <v>280</v>
      </c>
      <c r="V463" s="108" t="s">
        <v>280</v>
      </c>
      <c r="W463" s="108" t="s">
        <v>280</v>
      </c>
    </row>
    <row r="464" spans="1:23" ht="21" customHeight="1" x14ac:dyDescent="0.15">
      <c r="A464" s="104">
        <f t="shared" si="7"/>
        <v>463</v>
      </c>
      <c r="B464" s="105" t="s">
        <v>268</v>
      </c>
      <c r="C464" s="121" t="s">
        <v>1522</v>
      </c>
      <c r="D464" s="107" t="s">
        <v>1517</v>
      </c>
      <c r="E464" s="108" t="s">
        <v>709</v>
      </c>
      <c r="F464" s="108" t="s">
        <v>532</v>
      </c>
      <c r="G464" s="108" t="s">
        <v>710</v>
      </c>
      <c r="H464" s="131" t="s">
        <v>274</v>
      </c>
      <c r="I464" s="109">
        <v>4</v>
      </c>
      <c r="J464" s="109" t="s">
        <v>805</v>
      </c>
      <c r="K464" s="105" t="s">
        <v>967</v>
      </c>
      <c r="L464" s="107" t="str">
        <f ca="1">VLOOKUP($K464,OFFSET([1]character_type_i18n!$A$1,0,0,COUNTA([1]character_type_i18n!$A:$A),MATCH(L$1,[1]character_type_i18n!$1:$1,0)-MATCH($K$1,[1]character_type_i18n!$1:$1,0)+1),MATCH(L$1,[1]character_type_i18n!$1:$1,0)-MATCH($K$1,[1]character_type_i18n!$1:$1,0)+1,FALSE)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64" s="105" t="s">
        <v>1011</v>
      </c>
      <c r="N464" s="107" t="str">
        <f>VLOOKUP(M464,[1]character_tribe_i18n!A:C,3,FALSE)</f>
        <v>ヒューマン</v>
      </c>
      <c r="O464" s="105" t="s">
        <v>278</v>
      </c>
      <c r="P464" s="107" t="str">
        <f>VLOOKUP(O464,[1]character_tribe_i18n!A:C,3,FALSE)</f>
        <v>種族なし</v>
      </c>
      <c r="Q464" s="110" t="s">
        <v>279</v>
      </c>
      <c r="R464" s="111">
        <v>3</v>
      </c>
      <c r="S464" s="108" t="s">
        <v>280</v>
      </c>
      <c r="T464" s="108" t="s">
        <v>281</v>
      </c>
      <c r="U464" s="108" t="s">
        <v>887</v>
      </c>
      <c r="V464" s="108" t="s">
        <v>887</v>
      </c>
      <c r="W464" s="108" t="s">
        <v>887</v>
      </c>
    </row>
    <row r="465" spans="1:23" ht="21" customHeight="1" x14ac:dyDescent="0.15">
      <c r="A465" s="104">
        <f t="shared" si="7"/>
        <v>464</v>
      </c>
      <c r="B465" s="105" t="s">
        <v>1288</v>
      </c>
      <c r="C465" s="121" t="s">
        <v>1523</v>
      </c>
      <c r="D465" s="107" t="s">
        <v>1517</v>
      </c>
      <c r="E465" s="108" t="s">
        <v>709</v>
      </c>
      <c r="F465" s="108" t="s">
        <v>1519</v>
      </c>
      <c r="G465" s="108" t="s">
        <v>1520</v>
      </c>
      <c r="H465" s="131" t="s">
        <v>274</v>
      </c>
      <c r="I465" s="109">
        <v>5</v>
      </c>
      <c r="J465" s="109" t="s">
        <v>805</v>
      </c>
      <c r="K465" s="105" t="s">
        <v>1521</v>
      </c>
      <c r="L465" s="107" t="str">
        <f ca="1">VLOOKUP($K465,OFFSET([1]character_type_i18n!$A$1,0,0,COUNTA([1]character_type_i18n!$A:$A),MATCH(L$1,[1]character_type_i18n!$1:$1,0)-MATCH($K$1,[1]character_type_i18n!$1:$1,0)+1),MATCH(L$1,[1]character_type_i18n!$1:$1,0)-MATCH($K$1,[1]character_type_i18n!$1:$1,0)+1,FALSE)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65" s="105" t="s">
        <v>1011</v>
      </c>
      <c r="N465" s="107" t="str">
        <f>VLOOKUP(M465,[1]character_tribe_i18n!A:C,3,FALSE)</f>
        <v>ヒューマン</v>
      </c>
      <c r="O465" s="105" t="s">
        <v>278</v>
      </c>
      <c r="P465" s="107" t="str">
        <f>VLOOKUP(O465,[1]character_tribe_i18n!A:C,3,FALSE)</f>
        <v>種族なし</v>
      </c>
      <c r="Q465" s="110" t="s">
        <v>366</v>
      </c>
      <c r="R465" s="111">
        <v>3</v>
      </c>
      <c r="S465" s="108" t="s">
        <v>367</v>
      </c>
      <c r="T465" s="108" t="s">
        <v>368</v>
      </c>
      <c r="U465" s="108" t="s">
        <v>367</v>
      </c>
      <c r="V465" s="108" t="s">
        <v>367</v>
      </c>
      <c r="W465" s="108" t="s">
        <v>367</v>
      </c>
    </row>
    <row r="466" spans="1:23" ht="21" customHeight="1" x14ac:dyDescent="0.15">
      <c r="A466" s="104">
        <f t="shared" si="7"/>
        <v>465</v>
      </c>
      <c r="B466" s="105" t="s">
        <v>369</v>
      </c>
      <c r="C466" s="121" t="s">
        <v>1524</v>
      </c>
      <c r="D466" s="107" t="s">
        <v>1517</v>
      </c>
      <c r="E466" s="108" t="s">
        <v>709</v>
      </c>
      <c r="F466" s="108" t="s">
        <v>532</v>
      </c>
      <c r="G466" s="108" t="s">
        <v>710</v>
      </c>
      <c r="H466" s="131" t="s">
        <v>285</v>
      </c>
      <c r="I466" s="109">
        <v>4</v>
      </c>
      <c r="J466" s="109" t="s">
        <v>1001</v>
      </c>
      <c r="K466" s="105" t="s">
        <v>286</v>
      </c>
      <c r="L466" s="107" t="str">
        <f ca="1">VLOOKUP($K466,OFFSET([1]character_type_i18n!$A$1,0,0,COUNTA([1]character_type_i18n!$A:$A),MATCH(L$1,[1]character_type_i18n!$1:$1,0)-MATCH($K$1,[1]character_type_i18n!$1:$1,0)+1),MATCH(L$1,[1]character_type_i18n!$1:$1,0)-MATCH($K$1,[1]character_type_i18n!$1:$1,0)+1,FALSE)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66" s="105" t="s">
        <v>1011</v>
      </c>
      <c r="N466" s="107" t="str">
        <f>VLOOKUP(M466,[1]character_tribe_i18n!A:C,3,FALSE)</f>
        <v>ヒューマン</v>
      </c>
      <c r="O466" s="105" t="s">
        <v>278</v>
      </c>
      <c r="P466" s="107" t="str">
        <f>VLOOKUP(O466,[1]character_tribe_i18n!A:C,3,FALSE)</f>
        <v>種族なし</v>
      </c>
      <c r="Q466" s="110" t="s">
        <v>1525</v>
      </c>
      <c r="R466" s="111">
        <v>3</v>
      </c>
      <c r="S466" s="108" t="s">
        <v>1526</v>
      </c>
      <c r="T466" s="108" t="s">
        <v>1527</v>
      </c>
      <c r="U466" s="108" t="s">
        <v>887</v>
      </c>
      <c r="V466" s="108" t="s">
        <v>887</v>
      </c>
      <c r="W466" s="108" t="s">
        <v>887</v>
      </c>
    </row>
    <row r="467" spans="1:23" ht="21" customHeight="1" x14ac:dyDescent="0.15">
      <c r="A467" s="104">
        <f t="shared" si="7"/>
        <v>466</v>
      </c>
      <c r="B467" s="105" t="s">
        <v>1288</v>
      </c>
      <c r="C467" s="121" t="s">
        <v>1528</v>
      </c>
      <c r="D467" s="107" t="s">
        <v>1517</v>
      </c>
      <c r="E467" s="108" t="s">
        <v>709</v>
      </c>
      <c r="F467" s="108" t="s">
        <v>532</v>
      </c>
      <c r="G467" s="108" t="s">
        <v>710</v>
      </c>
      <c r="H467" s="131" t="s">
        <v>285</v>
      </c>
      <c r="I467" s="109">
        <v>5</v>
      </c>
      <c r="J467" s="109" t="s">
        <v>1001</v>
      </c>
      <c r="K467" s="105" t="s">
        <v>286</v>
      </c>
      <c r="L467" s="107" t="str">
        <f ca="1">VLOOKUP($K467,OFFSET([1]character_type_i18n!$A$1,0,0,COUNTA([1]character_type_i18n!$A:$A),MATCH(L$1,[1]character_type_i18n!$1:$1,0)-MATCH($K$1,[1]character_type_i18n!$1:$1,0)+1),MATCH(L$1,[1]character_type_i18n!$1:$1,0)-MATCH($K$1,[1]character_type_i18n!$1:$1,0)+1,FALSE)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67" s="105" t="s">
        <v>1011</v>
      </c>
      <c r="N467" s="107" t="str">
        <f>VLOOKUP(M467,[1]character_tribe_i18n!A:C,3,FALSE)</f>
        <v>ヒューマン</v>
      </c>
      <c r="O467" s="105" t="s">
        <v>278</v>
      </c>
      <c r="P467" s="107" t="str">
        <f>VLOOKUP(O467,[1]character_tribe_i18n!A:C,3,FALSE)</f>
        <v>種族なし</v>
      </c>
      <c r="Q467" s="110" t="s">
        <v>1529</v>
      </c>
      <c r="R467" s="111">
        <v>3</v>
      </c>
      <c r="S467" s="108" t="s">
        <v>1530</v>
      </c>
      <c r="T467" s="108" t="s">
        <v>1531</v>
      </c>
      <c r="U467" s="108" t="s">
        <v>1530</v>
      </c>
      <c r="V467" s="108" t="s">
        <v>1530</v>
      </c>
      <c r="W467" s="108" t="s">
        <v>1530</v>
      </c>
    </row>
    <row r="468" spans="1:23" ht="21" customHeight="1" x14ac:dyDescent="0.15">
      <c r="A468" s="104">
        <f t="shared" si="7"/>
        <v>467</v>
      </c>
      <c r="B468" s="105" t="s">
        <v>1532</v>
      </c>
      <c r="C468" s="121" t="s">
        <v>1533</v>
      </c>
      <c r="D468" s="107" t="s">
        <v>1517</v>
      </c>
      <c r="E468" s="108" t="s">
        <v>709</v>
      </c>
      <c r="F468" s="108" t="s">
        <v>532</v>
      </c>
      <c r="G468" s="108" t="s">
        <v>853</v>
      </c>
      <c r="H468" s="131" t="s">
        <v>295</v>
      </c>
      <c r="I468" s="109">
        <v>4</v>
      </c>
      <c r="J468" s="109" t="s">
        <v>1001</v>
      </c>
      <c r="K468" s="105" t="s">
        <v>1505</v>
      </c>
      <c r="L468" s="107" t="str">
        <f ca="1">VLOOKUP($K468,OFFSET([1]character_type_i18n!$A$1,0,0,COUNTA([1]character_type_i18n!$A:$A),MATCH(L$1,[1]character_type_i18n!$1:$1,0)-MATCH($K$1,[1]character_type_i18n!$1:$1,0)+1),MATCH(L$1,[1]character_type_i18n!$1:$1,0)-MATCH($K$1,[1]character_type_i18n!$1:$1,0)+1,FALSE)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68" s="105" t="s">
        <v>1257</v>
      </c>
      <c r="N468" s="107" t="str">
        <f>VLOOKUP(M468,[1]character_tribe_i18n!A:C,3,FALSE)</f>
        <v>ヒューマン</v>
      </c>
      <c r="O468" s="105" t="s">
        <v>278</v>
      </c>
      <c r="P468" s="107" t="str">
        <f>VLOOKUP(O468,[1]character_tribe_i18n!A:C,3,FALSE)</f>
        <v>種族なし</v>
      </c>
      <c r="Q468" s="110" t="s">
        <v>279</v>
      </c>
      <c r="R468" s="111">
        <v>3</v>
      </c>
      <c r="S468" s="108" t="s">
        <v>280</v>
      </c>
      <c r="T468" s="108" t="s">
        <v>893</v>
      </c>
      <c r="U468" s="108" t="s">
        <v>898</v>
      </c>
      <c r="V468" s="108" t="s">
        <v>894</v>
      </c>
      <c r="W468" s="108" t="s">
        <v>894</v>
      </c>
    </row>
    <row r="469" spans="1:23" ht="21" customHeight="1" x14ac:dyDescent="0.15">
      <c r="A469" s="104">
        <f t="shared" si="7"/>
        <v>468</v>
      </c>
      <c r="B469" s="105" t="s">
        <v>1261</v>
      </c>
      <c r="C469" s="121" t="s">
        <v>1534</v>
      </c>
      <c r="D469" s="107" t="s">
        <v>1517</v>
      </c>
      <c r="E469" s="108" t="s">
        <v>1535</v>
      </c>
      <c r="F469" s="108" t="s">
        <v>1536</v>
      </c>
      <c r="G469" s="108" t="s">
        <v>853</v>
      </c>
      <c r="H469" s="131" t="s">
        <v>295</v>
      </c>
      <c r="I469" s="109">
        <v>5</v>
      </c>
      <c r="J469" s="109" t="s">
        <v>1537</v>
      </c>
      <c r="K469" s="105" t="s">
        <v>1538</v>
      </c>
      <c r="L469" s="107" t="str">
        <f ca="1">VLOOKUP($K469,OFFSET([1]character_type_i18n!$A$1,0,0,COUNTA([1]character_type_i18n!$A:$A),MATCH(L$1,[1]character_type_i18n!$1:$1,0)-MATCH($K$1,[1]character_type_i18n!$1:$1,0)+1),MATCH(L$1,[1]character_type_i18n!$1:$1,0)-MATCH($K$1,[1]character_type_i18n!$1:$1,0)+1,FALSE)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69" s="105" t="s">
        <v>1257</v>
      </c>
      <c r="N469" s="107" t="str">
        <f>VLOOKUP(M469,[1]character_tribe_i18n!A:C,3,FALSE)</f>
        <v>ヒューマン</v>
      </c>
      <c r="O469" s="105" t="s">
        <v>278</v>
      </c>
      <c r="P469" s="107" t="str">
        <f>VLOOKUP(O469,[1]character_tribe_i18n!A:C,3,FALSE)</f>
        <v>種族なし</v>
      </c>
      <c r="Q469" s="110" t="s">
        <v>1539</v>
      </c>
      <c r="R469" s="111">
        <v>3</v>
      </c>
      <c r="S469" s="108" t="s">
        <v>1540</v>
      </c>
      <c r="T469" s="108" t="s">
        <v>1541</v>
      </c>
      <c r="U469" s="108" t="s">
        <v>1542</v>
      </c>
      <c r="V469" s="108" t="s">
        <v>894</v>
      </c>
      <c r="W469" s="108" t="s">
        <v>894</v>
      </c>
    </row>
    <row r="470" spans="1:23" ht="21" customHeight="1" x14ac:dyDescent="0.15">
      <c r="A470" s="104">
        <f t="shared" si="7"/>
        <v>469</v>
      </c>
      <c r="B470" s="105" t="s">
        <v>1261</v>
      </c>
      <c r="C470" s="121" t="s">
        <v>1543</v>
      </c>
      <c r="D470" s="107" t="s">
        <v>1517</v>
      </c>
      <c r="E470" s="108" t="s">
        <v>1271</v>
      </c>
      <c r="F470" s="108" t="s">
        <v>1272</v>
      </c>
      <c r="G470" s="108" t="s">
        <v>1544</v>
      </c>
      <c r="H470" s="131" t="s">
        <v>300</v>
      </c>
      <c r="I470" s="109">
        <v>3</v>
      </c>
      <c r="J470" s="109" t="s">
        <v>805</v>
      </c>
      <c r="K470" s="105" t="s">
        <v>1279</v>
      </c>
      <c r="L470" s="107" t="str">
        <f ca="1">VLOOKUP($K470,OFFSET([1]character_type_i18n!$A$1,0,0,COUNTA([1]character_type_i18n!$A:$A),MATCH(L$1,[1]character_type_i18n!$1:$1,0)-MATCH($K$1,[1]character_type_i18n!$1:$1,0)+1),MATCH(L$1,[1]character_type_i18n!$1:$1,0)-MATCH($K$1,[1]character_type_i18n!$1:$1,0)+1,FALSE)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70" s="105" t="s">
        <v>1011</v>
      </c>
      <c r="N470" s="107" t="str">
        <f>VLOOKUP(M470,[1]character_tribe_i18n!A:C,3,FALSE)</f>
        <v>ヒューマン</v>
      </c>
      <c r="O470" s="105" t="s">
        <v>278</v>
      </c>
      <c r="P470" s="107" t="str">
        <f>VLOOKUP(O470,[1]character_tribe_i18n!A:C,3,FALSE)</f>
        <v>種族なし</v>
      </c>
      <c r="Q470" s="110" t="s">
        <v>279</v>
      </c>
      <c r="R470" s="111">
        <v>3</v>
      </c>
      <c r="S470" s="108" t="s">
        <v>280</v>
      </c>
      <c r="T470" s="108" t="s">
        <v>1052</v>
      </c>
      <c r="U470" s="108" t="s">
        <v>1057</v>
      </c>
      <c r="V470" s="108" t="s">
        <v>894</v>
      </c>
      <c r="W470" s="108" t="s">
        <v>894</v>
      </c>
    </row>
    <row r="471" spans="1:23" ht="21" customHeight="1" x14ac:dyDescent="0.15">
      <c r="A471" s="104">
        <f t="shared" si="7"/>
        <v>470</v>
      </c>
      <c r="B471" s="105" t="s">
        <v>1261</v>
      </c>
      <c r="C471" s="121" t="s">
        <v>1545</v>
      </c>
      <c r="D471" s="107" t="s">
        <v>1517</v>
      </c>
      <c r="E471" s="108" t="s">
        <v>1535</v>
      </c>
      <c r="F471" s="108" t="s">
        <v>1536</v>
      </c>
      <c r="G471" s="108" t="s">
        <v>1546</v>
      </c>
      <c r="H471" s="131" t="s">
        <v>300</v>
      </c>
      <c r="I471" s="109">
        <v>4</v>
      </c>
      <c r="J471" s="109" t="s">
        <v>805</v>
      </c>
      <c r="K471" s="105" t="s">
        <v>1547</v>
      </c>
      <c r="L471" s="107" t="str">
        <f ca="1">VLOOKUP($K471,OFFSET([1]character_type_i18n!$A$1,0,0,COUNTA([1]character_type_i18n!$A:$A),MATCH(L$1,[1]character_type_i18n!$1:$1,0)-MATCH($K$1,[1]character_type_i18n!$1:$1,0)+1),MATCH(L$1,[1]character_type_i18n!$1:$1,0)-MATCH($K$1,[1]character_type_i18n!$1:$1,0)+1,FALSE)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71" s="105" t="s">
        <v>1011</v>
      </c>
      <c r="N471" s="107" t="str">
        <f>VLOOKUP(M471,[1]character_tribe_i18n!A:C,3,FALSE)</f>
        <v>ヒューマン</v>
      </c>
      <c r="O471" s="105" t="s">
        <v>278</v>
      </c>
      <c r="P471" s="107" t="str">
        <f>VLOOKUP(O471,[1]character_tribe_i18n!A:C,3,FALSE)</f>
        <v>種族なし</v>
      </c>
      <c r="Q471" s="110" t="s">
        <v>1548</v>
      </c>
      <c r="R471" s="111">
        <v>3</v>
      </c>
      <c r="S471" s="108" t="s">
        <v>1540</v>
      </c>
      <c r="T471" s="108" t="s">
        <v>1549</v>
      </c>
      <c r="U471" s="108" t="s">
        <v>1550</v>
      </c>
      <c r="V471" s="108" t="s">
        <v>894</v>
      </c>
      <c r="W471" s="108" t="s">
        <v>894</v>
      </c>
    </row>
    <row r="472" spans="1:23" ht="21" customHeight="1" x14ac:dyDescent="0.15">
      <c r="A472" s="104">
        <f t="shared" si="7"/>
        <v>471</v>
      </c>
      <c r="B472" s="105" t="s">
        <v>1261</v>
      </c>
      <c r="C472" s="121" t="s">
        <v>1551</v>
      </c>
      <c r="D472" s="107" t="s">
        <v>1517</v>
      </c>
      <c r="E472" s="108" t="s">
        <v>1552</v>
      </c>
      <c r="F472" s="108" t="s">
        <v>532</v>
      </c>
      <c r="G472" s="108" t="s">
        <v>710</v>
      </c>
      <c r="H472" s="131" t="s">
        <v>1553</v>
      </c>
      <c r="I472" s="109">
        <v>5</v>
      </c>
      <c r="J472" s="109" t="s">
        <v>805</v>
      </c>
      <c r="K472" s="105" t="s">
        <v>1554</v>
      </c>
      <c r="L472" s="107" t="str">
        <f ca="1">VLOOKUP($K472,OFFSET([1]character_type_i18n!$A$1,0,0,COUNTA([1]character_type_i18n!$A:$A),MATCH(L$1,[1]character_type_i18n!$1:$1,0)-MATCH($K$1,[1]character_type_i18n!$1:$1,0)+1),MATCH(L$1,[1]character_type_i18n!$1:$1,0)-MATCH($K$1,[1]character_type_i18n!$1:$1,0)+1,FALSE)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72" s="105" t="s">
        <v>1011</v>
      </c>
      <c r="N472" s="107" t="str">
        <f>VLOOKUP(M472,[1]character_tribe_i18n!A:C,3,FALSE)</f>
        <v>ヒューマン</v>
      </c>
      <c r="O472" s="105" t="s">
        <v>278</v>
      </c>
      <c r="P472" s="107" t="str">
        <f>VLOOKUP(O472,[1]character_tribe_i18n!A:C,3,FALSE)</f>
        <v>種族なし</v>
      </c>
      <c r="Q472" s="110" t="s">
        <v>279</v>
      </c>
      <c r="R472" s="111">
        <v>3</v>
      </c>
      <c r="S472" s="108" t="s">
        <v>280</v>
      </c>
      <c r="T472" s="108" t="s">
        <v>281</v>
      </c>
      <c r="U472" s="108" t="s">
        <v>280</v>
      </c>
      <c r="V472" s="108" t="s">
        <v>280</v>
      </c>
      <c r="W472" s="108" t="s">
        <v>280</v>
      </c>
    </row>
    <row r="473" spans="1:23" ht="21" customHeight="1" x14ac:dyDescent="0.15">
      <c r="A473" s="104">
        <f t="shared" si="7"/>
        <v>472</v>
      </c>
      <c r="B473" s="105" t="s">
        <v>268</v>
      </c>
      <c r="C473" s="121" t="s">
        <v>1555</v>
      </c>
      <c r="D473" s="107" t="s">
        <v>917</v>
      </c>
      <c r="E473" s="108" t="s">
        <v>709</v>
      </c>
      <c r="F473" s="108" t="s">
        <v>532</v>
      </c>
      <c r="G473" s="108" t="s">
        <v>710</v>
      </c>
      <c r="H473" s="131" t="s">
        <v>274</v>
      </c>
      <c r="I473" s="109">
        <v>4</v>
      </c>
      <c r="J473" s="130" t="s">
        <v>1504</v>
      </c>
      <c r="K473" s="105" t="s">
        <v>286</v>
      </c>
      <c r="L473" s="107" t="str">
        <f ca="1">VLOOKUP($K473,OFFSET([1]character_type_i18n!$A$1,0,0,COUNTA([1]character_type_i18n!$A:$A),MATCH(L$1,[1]character_type_i18n!$1:$1,0)-MATCH($K$1,[1]character_type_i18n!$1:$1,0)+1),MATCH(L$1,[1]character_type_i18n!$1:$1,0)-MATCH($K$1,[1]character_type_i18n!$1:$1,0)+1,FALSE)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73" s="105" t="s">
        <v>1011</v>
      </c>
      <c r="N473" s="107" t="str">
        <f>VLOOKUP(M473,[1]character_tribe_i18n!A:C,3,FALSE)</f>
        <v>ヒューマン</v>
      </c>
      <c r="O473" s="105" t="s">
        <v>278</v>
      </c>
      <c r="P473" s="107" t="str">
        <f>VLOOKUP(O473,[1]character_tribe_i18n!A:C,3,FALSE)</f>
        <v>種族なし</v>
      </c>
      <c r="Q473" s="110" t="s">
        <v>279</v>
      </c>
      <c r="R473" s="111">
        <v>3</v>
      </c>
      <c r="S473" s="108" t="s">
        <v>280</v>
      </c>
      <c r="T473" s="108" t="s">
        <v>281</v>
      </c>
      <c r="U473" s="108" t="s">
        <v>280</v>
      </c>
      <c r="V473" s="108" t="s">
        <v>280</v>
      </c>
      <c r="W473" s="108" t="s">
        <v>280</v>
      </c>
    </row>
    <row r="474" spans="1:23" ht="21" customHeight="1" x14ac:dyDescent="0.15">
      <c r="A474" s="104">
        <f t="shared" si="7"/>
        <v>473</v>
      </c>
      <c r="B474" s="105" t="s">
        <v>268</v>
      </c>
      <c r="C474" s="121" t="s">
        <v>1556</v>
      </c>
      <c r="D474" s="107" t="s">
        <v>917</v>
      </c>
      <c r="E474" s="108" t="s">
        <v>709</v>
      </c>
      <c r="F474" s="108" t="s">
        <v>532</v>
      </c>
      <c r="G474" s="108" t="s">
        <v>710</v>
      </c>
      <c r="H474" s="131" t="s">
        <v>274</v>
      </c>
      <c r="I474" s="109">
        <v>5</v>
      </c>
      <c r="J474" s="130" t="s">
        <v>1504</v>
      </c>
      <c r="K474" s="105" t="s">
        <v>286</v>
      </c>
      <c r="L474" s="107" t="str">
        <f ca="1">VLOOKUP($K474,OFFSET([1]character_type_i18n!$A$1,0,0,COUNTA([1]character_type_i18n!$A:$A),MATCH(L$1,[1]character_type_i18n!$1:$1,0)-MATCH($K$1,[1]character_type_i18n!$1:$1,0)+1),MATCH(L$1,[1]character_type_i18n!$1:$1,0)-MATCH($K$1,[1]character_type_i18n!$1:$1,0)+1,FALSE)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74" s="105" t="s">
        <v>1011</v>
      </c>
      <c r="N474" s="107" t="str">
        <f>VLOOKUP(M474,[1]character_tribe_i18n!A:C,3,FALSE)</f>
        <v>ヒューマン</v>
      </c>
      <c r="O474" s="105" t="s">
        <v>278</v>
      </c>
      <c r="P474" s="107" t="str">
        <f>VLOOKUP(O474,[1]character_tribe_i18n!A:C,3,FALSE)</f>
        <v>種族なし</v>
      </c>
      <c r="Q474" s="110" t="s">
        <v>1557</v>
      </c>
      <c r="R474" s="111">
        <v>3</v>
      </c>
      <c r="S474" s="108" t="s">
        <v>1558</v>
      </c>
      <c r="T474" s="108" t="s">
        <v>1559</v>
      </c>
      <c r="U474" s="108" t="s">
        <v>1560</v>
      </c>
      <c r="V474" s="108" t="s">
        <v>1558</v>
      </c>
      <c r="W474" s="108" t="s">
        <v>1558</v>
      </c>
    </row>
    <row r="475" spans="1:23" ht="21" customHeight="1" x14ac:dyDescent="0.15">
      <c r="A475" s="104">
        <v>474</v>
      </c>
      <c r="B475" s="105" t="s">
        <v>1561</v>
      </c>
      <c r="C475" s="135" t="s">
        <v>1562</v>
      </c>
      <c r="D475" s="107" t="s">
        <v>1563</v>
      </c>
      <c r="E475" s="108" t="s">
        <v>1564</v>
      </c>
      <c r="F475" s="108" t="s">
        <v>1565</v>
      </c>
      <c r="G475" s="108" t="s">
        <v>1347</v>
      </c>
      <c r="H475" s="131" t="s">
        <v>274</v>
      </c>
      <c r="I475" s="109">
        <v>4</v>
      </c>
      <c r="J475" s="109" t="s">
        <v>1452</v>
      </c>
      <c r="K475" s="105" t="s">
        <v>1441</v>
      </c>
      <c r="L475" s="107" t="str">
        <f ca="1">VLOOKUP($K475,OFFSET([1]character_type_i18n!$A$1,0,0,COUNTA([1]character_type_i18n!$A:$A),MATCH(L$1,[1]character_type_i18n!$1:$1,0)-MATCH($K$1,[1]character_type_i18n!$1:$1,0)+1),MATCH(L$1,[1]character_type_i18n!$1:$1,0)-MATCH($K$1,[1]character_type_i18n!$1:$1,0)+1,FALSE)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75" s="105" t="s">
        <v>1191</v>
      </c>
      <c r="N475" s="107" t="str">
        <f>VLOOKUP(M475,[1]character_tribe_i18n!A:C,3,FALSE)</f>
        <v>ドラゴン</v>
      </c>
      <c r="O475" s="105" t="s">
        <v>278</v>
      </c>
      <c r="P475" s="107" t="str">
        <f>VLOOKUP(O475,[1]character_tribe_i18n!A:C,3,FALSE)</f>
        <v>種族なし</v>
      </c>
      <c r="Q475" s="110" t="s">
        <v>305</v>
      </c>
      <c r="R475" s="111">
        <v>3</v>
      </c>
      <c r="S475" s="108" t="s">
        <v>306</v>
      </c>
      <c r="T475" s="108" t="s">
        <v>307</v>
      </c>
      <c r="U475" s="108" t="s">
        <v>306</v>
      </c>
      <c r="V475" s="108" t="s">
        <v>306</v>
      </c>
      <c r="W475" s="108" t="s">
        <v>306</v>
      </c>
    </row>
    <row r="476" spans="1:23" ht="21" customHeight="1" x14ac:dyDescent="0.15">
      <c r="A476" s="104">
        <v>475</v>
      </c>
      <c r="B476" s="105" t="s">
        <v>314</v>
      </c>
      <c r="C476" s="135" t="s">
        <v>1566</v>
      </c>
      <c r="D476" s="107" t="s">
        <v>1567</v>
      </c>
      <c r="E476" s="108" t="s">
        <v>1396</v>
      </c>
      <c r="F476" s="108" t="s">
        <v>1397</v>
      </c>
      <c r="G476" s="108" t="s">
        <v>1347</v>
      </c>
      <c r="H476" s="131" t="s">
        <v>274</v>
      </c>
      <c r="I476" s="109">
        <v>5</v>
      </c>
      <c r="J476" s="109" t="s">
        <v>1452</v>
      </c>
      <c r="K476" s="105" t="s">
        <v>1441</v>
      </c>
      <c r="L476" s="107" t="str">
        <f ca="1">VLOOKUP($K476,OFFSET([1]character_type_i18n!$A$1,0,0,COUNTA([1]character_type_i18n!$A:$A),MATCH(L$1,[1]character_type_i18n!$1:$1,0)-MATCH($K$1,[1]character_type_i18n!$1:$1,0)+1),MATCH(L$1,[1]character_type_i18n!$1:$1,0)-MATCH($K$1,[1]character_type_i18n!$1:$1,0)+1,FALSE)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76" s="105" t="s">
        <v>1568</v>
      </c>
      <c r="N476" s="107" t="str">
        <f>VLOOKUP(M476,[1]character_tribe_i18n!A:C,3,FALSE)</f>
        <v>ドラゴン</v>
      </c>
      <c r="O476" s="105" t="s">
        <v>278</v>
      </c>
      <c r="P476" s="107" t="str">
        <f>VLOOKUP(O476,[1]character_tribe_i18n!A:C,3,FALSE)</f>
        <v>種族なし</v>
      </c>
      <c r="Q476" s="110" t="s">
        <v>305</v>
      </c>
      <c r="R476" s="111">
        <v>3</v>
      </c>
      <c r="S476" s="108" t="s">
        <v>306</v>
      </c>
      <c r="T476" s="108" t="s">
        <v>307</v>
      </c>
      <c r="U476" s="108" t="s">
        <v>306</v>
      </c>
      <c r="V476" s="108" t="s">
        <v>306</v>
      </c>
      <c r="W476" s="108" t="s">
        <v>306</v>
      </c>
    </row>
    <row r="477" spans="1:23" ht="21" customHeight="1" x14ac:dyDescent="0.15">
      <c r="A477" s="104">
        <v>476</v>
      </c>
      <c r="B477" s="105" t="s">
        <v>314</v>
      </c>
      <c r="C477" s="127" t="s">
        <v>1569</v>
      </c>
      <c r="D477" s="107" t="s">
        <v>1567</v>
      </c>
      <c r="E477" s="108" t="s">
        <v>1396</v>
      </c>
      <c r="F477" s="108" t="s">
        <v>1397</v>
      </c>
      <c r="G477" s="108" t="s">
        <v>853</v>
      </c>
      <c r="H477" s="131" t="s">
        <v>285</v>
      </c>
      <c r="I477" s="109">
        <v>3</v>
      </c>
      <c r="J477" s="109" t="s">
        <v>805</v>
      </c>
      <c r="K477" s="105" t="s">
        <v>1221</v>
      </c>
      <c r="L477" s="107" t="str">
        <f ca="1">VLOOKUP($K477,OFFSET([1]character_type_i18n!$A$1,0,0,COUNTA([1]character_type_i18n!$A:$A),MATCH(L$1,[1]character_type_i18n!$1:$1,0)-MATCH($K$1,[1]character_type_i18n!$1:$1,0)+1),MATCH(L$1,[1]character_type_i18n!$1:$1,0)-MATCH($K$1,[1]character_type_i18n!$1:$1,0)+1,FALSE)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77" s="105" t="s">
        <v>1408</v>
      </c>
      <c r="N477" s="107" t="str">
        <f>VLOOKUP(M477,[1]character_tribe_i18n!A:C,3,FALSE)</f>
        <v>Unknown</v>
      </c>
      <c r="O477" s="105" t="s">
        <v>278</v>
      </c>
      <c r="P477" s="107" t="str">
        <f>VLOOKUP(O477,[1]character_tribe_i18n!A:C,3,FALSE)</f>
        <v>種族なし</v>
      </c>
      <c r="Q477" s="110" t="s">
        <v>305</v>
      </c>
      <c r="R477" s="111">
        <v>3</v>
      </c>
      <c r="S477" s="108" t="s">
        <v>306</v>
      </c>
      <c r="T477" s="108" t="s">
        <v>307</v>
      </c>
      <c r="U477" s="108" t="s">
        <v>306</v>
      </c>
      <c r="V477" s="108" t="s">
        <v>306</v>
      </c>
      <c r="W477" s="108" t="s">
        <v>306</v>
      </c>
    </row>
    <row r="478" spans="1:23" ht="21" customHeight="1" x14ac:dyDescent="0.15">
      <c r="A478" s="104">
        <v>477</v>
      </c>
      <c r="B478" s="105" t="s">
        <v>314</v>
      </c>
      <c r="C478" s="127" t="s">
        <v>1570</v>
      </c>
      <c r="D478" s="107" t="s">
        <v>1567</v>
      </c>
      <c r="E478" s="108" t="s">
        <v>1396</v>
      </c>
      <c r="F478" s="108" t="s">
        <v>1397</v>
      </c>
      <c r="G478" s="108" t="s">
        <v>853</v>
      </c>
      <c r="H478" s="131" t="s">
        <v>285</v>
      </c>
      <c r="I478" s="109">
        <v>4</v>
      </c>
      <c r="J478" s="109" t="s">
        <v>805</v>
      </c>
      <c r="K478" s="105" t="s">
        <v>1221</v>
      </c>
      <c r="L478" s="107" t="str">
        <f ca="1">VLOOKUP($K478,OFFSET([1]character_type_i18n!$A$1,0,0,COUNTA([1]character_type_i18n!$A:$A),MATCH(L$1,[1]character_type_i18n!$1:$1,0)-MATCH($K$1,[1]character_type_i18n!$1:$1,0)+1),MATCH(L$1,[1]character_type_i18n!$1:$1,0)-MATCH($K$1,[1]character_type_i18n!$1:$1,0)+1,FALSE)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78" s="105" t="s">
        <v>1408</v>
      </c>
      <c r="N478" s="107" t="str">
        <f>VLOOKUP(M478,[1]character_tribe_i18n!A:C,3,FALSE)</f>
        <v>Unknown</v>
      </c>
      <c r="O478" s="105" t="s">
        <v>278</v>
      </c>
      <c r="P478" s="107" t="str">
        <f>VLOOKUP(O478,[1]character_tribe_i18n!A:C,3,FALSE)</f>
        <v>種族なし</v>
      </c>
      <c r="Q478" s="110" t="s">
        <v>279</v>
      </c>
      <c r="R478" s="111">
        <v>3</v>
      </c>
      <c r="S478" s="108" t="s">
        <v>280</v>
      </c>
      <c r="T478" s="108" t="s">
        <v>281</v>
      </c>
      <c r="U478" s="108" t="s">
        <v>280</v>
      </c>
      <c r="V478" s="108" t="s">
        <v>280</v>
      </c>
      <c r="W478" s="108" t="s">
        <v>280</v>
      </c>
    </row>
    <row r="479" spans="1:23" ht="21" customHeight="1" x14ac:dyDescent="0.15">
      <c r="A479" s="104">
        <v>478</v>
      </c>
      <c r="B479" s="105" t="s">
        <v>268</v>
      </c>
      <c r="C479" s="127" t="s">
        <v>1571</v>
      </c>
      <c r="D479" s="107" t="s">
        <v>1572</v>
      </c>
      <c r="E479" s="108" t="s">
        <v>709</v>
      </c>
      <c r="F479" s="108" t="s">
        <v>532</v>
      </c>
      <c r="G479" s="108" t="s">
        <v>853</v>
      </c>
      <c r="H479" s="131" t="s">
        <v>285</v>
      </c>
      <c r="I479" s="109">
        <v>5</v>
      </c>
      <c r="J479" s="109" t="s">
        <v>1573</v>
      </c>
      <c r="K479" s="105" t="s">
        <v>1221</v>
      </c>
      <c r="L479" s="107" t="str">
        <f ca="1">VLOOKUP($K479,OFFSET([1]character_type_i18n!$A$1,0,0,COUNTA([1]character_type_i18n!$A:$A),MATCH(L$1,[1]character_type_i18n!$1:$1,0)-MATCH($K$1,[1]character_type_i18n!$1:$1,0)+1),MATCH(L$1,[1]character_type_i18n!$1:$1,0)-MATCH($K$1,[1]character_type_i18n!$1:$1,0)+1,FALSE)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79" s="105" t="s">
        <v>1164</v>
      </c>
      <c r="N479" s="107" t="str">
        <f>VLOOKUP(M479,[1]character_tribe_i18n!A:C,3,FALSE)</f>
        <v>Unknown</v>
      </c>
      <c r="O479" s="105" t="s">
        <v>278</v>
      </c>
      <c r="P479" s="107" t="str">
        <f>VLOOKUP(O479,[1]character_tribe_i18n!A:C,3,FALSE)</f>
        <v>種族なし</v>
      </c>
      <c r="Q479" s="110" t="s">
        <v>279</v>
      </c>
      <c r="R479" s="111">
        <v>3</v>
      </c>
      <c r="S479" s="108" t="s">
        <v>280</v>
      </c>
      <c r="T479" s="108" t="s">
        <v>281</v>
      </c>
      <c r="U479" s="108" t="s">
        <v>280</v>
      </c>
      <c r="V479" s="108" t="s">
        <v>280</v>
      </c>
      <c r="W479" s="108" t="s">
        <v>280</v>
      </c>
    </row>
    <row r="480" spans="1:23" ht="21" customHeight="1" x14ac:dyDescent="0.15">
      <c r="A480" s="104">
        <v>479</v>
      </c>
      <c r="B480" s="105" t="s">
        <v>268</v>
      </c>
      <c r="C480" s="127" t="s">
        <v>1574</v>
      </c>
      <c r="D480" s="107" t="s">
        <v>1575</v>
      </c>
      <c r="E480" s="108" t="s">
        <v>1576</v>
      </c>
      <c r="F480" s="108" t="s">
        <v>1577</v>
      </c>
      <c r="G480" s="108" t="s">
        <v>1578</v>
      </c>
      <c r="H480" s="131" t="s">
        <v>295</v>
      </c>
      <c r="I480" s="109">
        <v>4</v>
      </c>
      <c r="J480" s="109" t="s">
        <v>1579</v>
      </c>
      <c r="K480" s="105" t="s">
        <v>1580</v>
      </c>
      <c r="L480" s="107" t="str">
        <f ca="1">VLOOKUP($K480,OFFSET([1]character_type_i18n!$A$1,0,0,COUNTA([1]character_type_i18n!$A:$A),MATCH(L$1,[1]character_type_i18n!$1:$1,0)-MATCH($K$1,[1]character_type_i18n!$1:$1,0)+1),MATCH(L$1,[1]character_type_i18n!$1:$1,0)-MATCH($K$1,[1]character_type_i18n!$1:$1,0)+1,FALSE)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80" s="105" t="s">
        <v>517</v>
      </c>
      <c r="N480" s="107" t="str">
        <f>VLOOKUP(M480,[1]character_tribe_i18n!A:C,3,FALSE)</f>
        <v>ゴッド</v>
      </c>
      <c r="O480" s="105" t="s">
        <v>278</v>
      </c>
      <c r="P480" s="107" t="str">
        <f>VLOOKUP(O480,[1]character_tribe_i18n!A:C,3,FALSE)</f>
        <v>種族なし</v>
      </c>
      <c r="Q480" s="110" t="s">
        <v>305</v>
      </c>
      <c r="R480" s="111">
        <v>3</v>
      </c>
      <c r="S480" s="108" t="s">
        <v>306</v>
      </c>
      <c r="T480" s="108" t="s">
        <v>307</v>
      </c>
      <c r="U480" s="108" t="s">
        <v>306</v>
      </c>
      <c r="V480" s="108" t="s">
        <v>306</v>
      </c>
      <c r="W480" s="108" t="s">
        <v>306</v>
      </c>
    </row>
    <row r="481" spans="1:23" ht="21" customHeight="1" x14ac:dyDescent="0.15">
      <c r="A481" s="104">
        <v>480</v>
      </c>
      <c r="B481" s="105" t="s">
        <v>314</v>
      </c>
      <c r="C481" s="127" t="s">
        <v>1581</v>
      </c>
      <c r="D481" s="107" t="s">
        <v>1567</v>
      </c>
      <c r="E481" s="108" t="s">
        <v>1396</v>
      </c>
      <c r="F481" s="108" t="s">
        <v>1397</v>
      </c>
      <c r="G481" s="108" t="s">
        <v>1398</v>
      </c>
      <c r="H481" s="131" t="s">
        <v>295</v>
      </c>
      <c r="I481" s="109">
        <v>5</v>
      </c>
      <c r="J481" s="109" t="s">
        <v>1582</v>
      </c>
      <c r="K481" s="105" t="s">
        <v>1580</v>
      </c>
      <c r="L481" s="107" t="str">
        <f ca="1">VLOOKUP($K481,OFFSET([1]character_type_i18n!$A$1,0,0,COUNTA([1]character_type_i18n!$A:$A),MATCH(L$1,[1]character_type_i18n!$1:$1,0)-MATCH($K$1,[1]character_type_i18n!$1:$1,0)+1),MATCH(L$1,[1]character_type_i18n!$1:$1,0)-MATCH($K$1,[1]character_type_i18n!$1:$1,0)+1,FALSE)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81" s="105" t="s">
        <v>517</v>
      </c>
      <c r="N481" s="107" t="str">
        <f>VLOOKUP(M481,[1]character_tribe_i18n!A:C,3,FALSE)</f>
        <v>ゴッド</v>
      </c>
      <c r="O481" s="105" t="s">
        <v>278</v>
      </c>
      <c r="P481" s="107" t="str">
        <f>VLOOKUP(O481,[1]character_tribe_i18n!A:C,3,FALSE)</f>
        <v>種族なし</v>
      </c>
      <c r="Q481" s="110" t="s">
        <v>305</v>
      </c>
      <c r="R481" s="111">
        <v>3</v>
      </c>
      <c r="S481" s="108" t="s">
        <v>306</v>
      </c>
      <c r="T481" s="108" t="s">
        <v>307</v>
      </c>
      <c r="U481" s="108" t="s">
        <v>306</v>
      </c>
      <c r="V481" s="108" t="s">
        <v>306</v>
      </c>
      <c r="W481" s="108" t="s">
        <v>306</v>
      </c>
    </row>
    <row r="482" spans="1:23" ht="21" customHeight="1" x14ac:dyDescent="0.15">
      <c r="A482" s="104">
        <v>481</v>
      </c>
      <c r="B482" s="105" t="s">
        <v>314</v>
      </c>
      <c r="C482" s="135" t="s">
        <v>1583</v>
      </c>
      <c r="D482" s="107" t="s">
        <v>1567</v>
      </c>
      <c r="E482" s="108" t="s">
        <v>1396</v>
      </c>
      <c r="F482" s="108" t="s">
        <v>1397</v>
      </c>
      <c r="G482" s="108" t="s">
        <v>1398</v>
      </c>
      <c r="H482" s="131" t="s">
        <v>300</v>
      </c>
      <c r="I482" s="109">
        <v>3</v>
      </c>
      <c r="J482" s="109" t="s">
        <v>805</v>
      </c>
      <c r="K482" s="105" t="s">
        <v>1584</v>
      </c>
      <c r="L482" s="107" t="str">
        <f ca="1">VLOOKUP($K482,OFFSET([1]character_type_i18n!$A$1,0,0,COUNTA([1]character_type_i18n!$A:$A),MATCH(L$1,[1]character_type_i18n!$1:$1,0)-MATCH($K$1,[1]character_type_i18n!$1:$1,0)+1),MATCH(L$1,[1]character_type_i18n!$1:$1,0)-MATCH($K$1,[1]character_type_i18n!$1:$1,0)+1,FALSE)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82" s="105" t="s">
        <v>1394</v>
      </c>
      <c r="N482" s="107" t="str">
        <f>VLOOKUP(M482,[1]character_tribe_i18n!A:C,3,FALSE)</f>
        <v>ヒューマン</v>
      </c>
      <c r="O482" s="105" t="s">
        <v>278</v>
      </c>
      <c r="P482" s="107" t="str">
        <f>VLOOKUP(O482,[1]character_tribe_i18n!A:C,3,FALSE)</f>
        <v>種族なし</v>
      </c>
      <c r="Q482" s="110" t="s">
        <v>362</v>
      </c>
      <c r="R482" s="111">
        <v>3</v>
      </c>
      <c r="S482" s="108" t="s">
        <v>289</v>
      </c>
      <c r="T482" s="108" t="s">
        <v>288</v>
      </c>
      <c r="U482" s="108" t="s">
        <v>289</v>
      </c>
      <c r="V482" s="108" t="s">
        <v>289</v>
      </c>
      <c r="W482" s="108" t="s">
        <v>289</v>
      </c>
    </row>
    <row r="483" spans="1:23" ht="21" customHeight="1" x14ac:dyDescent="0.15">
      <c r="A483" s="104">
        <v>482</v>
      </c>
      <c r="B483" s="105" t="s">
        <v>292</v>
      </c>
      <c r="C483" s="135" t="s">
        <v>1585</v>
      </c>
      <c r="D483" s="107" t="s">
        <v>1586</v>
      </c>
      <c r="E483" s="108" t="s">
        <v>848</v>
      </c>
      <c r="F483" s="108" t="s">
        <v>1422</v>
      </c>
      <c r="G483" s="108" t="s">
        <v>1587</v>
      </c>
      <c r="H483" s="131" t="s">
        <v>300</v>
      </c>
      <c r="I483" s="109">
        <v>4</v>
      </c>
      <c r="J483" s="109" t="s">
        <v>805</v>
      </c>
      <c r="K483" s="105" t="s">
        <v>1588</v>
      </c>
      <c r="L483" s="107" t="str">
        <f ca="1">VLOOKUP($K483,OFFSET([1]character_type_i18n!$A$1,0,0,COUNTA([1]character_type_i18n!$A:$A),MATCH(L$1,[1]character_type_i18n!$1:$1,0)-MATCH($K$1,[1]character_type_i18n!$1:$1,0)+1),MATCH(L$1,[1]character_type_i18n!$1:$1,0)-MATCH($K$1,[1]character_type_i18n!$1:$1,0)+1,FALSE)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83" s="105" t="s">
        <v>1394</v>
      </c>
      <c r="N483" s="107" t="str">
        <f>VLOOKUP(M483,[1]character_tribe_i18n!A:C,3,FALSE)</f>
        <v>ヒューマン</v>
      </c>
      <c r="O483" s="105" t="s">
        <v>278</v>
      </c>
      <c r="P483" s="107" t="str">
        <f>VLOOKUP(O483,[1]character_tribe_i18n!A:C,3,FALSE)</f>
        <v>種族なし</v>
      </c>
      <c r="Q483" s="110" t="s">
        <v>362</v>
      </c>
      <c r="R483" s="111">
        <v>3</v>
      </c>
      <c r="S483" s="108" t="s">
        <v>289</v>
      </c>
      <c r="T483" s="108" t="s">
        <v>288</v>
      </c>
      <c r="U483" s="108" t="s">
        <v>289</v>
      </c>
      <c r="V483" s="108" t="s">
        <v>289</v>
      </c>
      <c r="W483" s="108" t="s">
        <v>289</v>
      </c>
    </row>
    <row r="484" spans="1:23" ht="21" customHeight="1" x14ac:dyDescent="0.15">
      <c r="A484" s="104">
        <v>483</v>
      </c>
      <c r="B484" s="105" t="s">
        <v>292</v>
      </c>
      <c r="C484" s="135" t="s">
        <v>1589</v>
      </c>
      <c r="D484" s="107" t="s">
        <v>1586</v>
      </c>
      <c r="E484" s="108" t="s">
        <v>848</v>
      </c>
      <c r="F484" s="108" t="s">
        <v>1422</v>
      </c>
      <c r="G484" s="108" t="s">
        <v>1587</v>
      </c>
      <c r="H484" s="131" t="s">
        <v>300</v>
      </c>
      <c r="I484" s="109">
        <v>5</v>
      </c>
      <c r="J484" s="109" t="s">
        <v>805</v>
      </c>
      <c r="K484" s="105" t="s">
        <v>1588</v>
      </c>
      <c r="L484" s="107" t="str">
        <f ca="1">VLOOKUP($K484,OFFSET([1]character_type_i18n!$A$1,0,0,COUNTA([1]character_type_i18n!$A:$A),MATCH(L$1,[1]character_type_i18n!$1:$1,0)-MATCH($K$1,[1]character_type_i18n!$1:$1,0)+1),MATCH(L$1,[1]character_type_i18n!$1:$1,0)-MATCH($K$1,[1]character_type_i18n!$1:$1,0)+1,FALSE)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84" s="105" t="s">
        <v>1394</v>
      </c>
      <c r="N484" s="107" t="str">
        <f>VLOOKUP(M484,[1]character_tribe_i18n!A:C,3,FALSE)</f>
        <v>ヒューマン</v>
      </c>
      <c r="O484" s="105" t="s">
        <v>278</v>
      </c>
      <c r="P484" s="107" t="str">
        <f>VLOOKUP(O484,[1]character_tribe_i18n!A:C,3,FALSE)</f>
        <v>種族なし</v>
      </c>
      <c r="Q484" s="110" t="s">
        <v>362</v>
      </c>
      <c r="R484" s="111">
        <v>3</v>
      </c>
      <c r="S484" s="108" t="s">
        <v>289</v>
      </c>
      <c r="T484" s="108" t="s">
        <v>288</v>
      </c>
      <c r="U484" s="108" t="s">
        <v>289</v>
      </c>
      <c r="V484" s="108" t="s">
        <v>289</v>
      </c>
      <c r="W484" s="108" t="s">
        <v>289</v>
      </c>
    </row>
    <row r="485" spans="1:23" ht="21" customHeight="1" x14ac:dyDescent="0.15">
      <c r="A485" s="104">
        <v>484</v>
      </c>
      <c r="B485" s="105" t="s">
        <v>292</v>
      </c>
      <c r="C485" s="121" t="s">
        <v>1590</v>
      </c>
      <c r="D485" s="107" t="s">
        <v>1591</v>
      </c>
      <c r="E485" s="108" t="s">
        <v>848</v>
      </c>
      <c r="F485" s="108" t="s">
        <v>1422</v>
      </c>
      <c r="G485" s="108" t="s">
        <v>853</v>
      </c>
      <c r="H485" s="131" t="s">
        <v>274</v>
      </c>
      <c r="I485" s="109">
        <v>4</v>
      </c>
      <c r="J485" s="109" t="s">
        <v>1592</v>
      </c>
      <c r="K485" s="105" t="s">
        <v>1311</v>
      </c>
      <c r="L485" s="107" t="str">
        <f ca="1">VLOOKUP($K485,OFFSET([1]character_type_i18n!$A$1,0,0,COUNTA([1]character_type_i18n!$A:$A),MATCH(L$1,[1]character_type_i18n!$1:$1,0)-MATCH($K$1,[1]character_type_i18n!$1:$1,0)+1),MATCH(L$1,[1]character_type_i18n!$1:$1,0)-MATCH($K$1,[1]character_type_i18n!$1:$1,0)+1,FALSE)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85" s="105" t="s">
        <v>1339</v>
      </c>
      <c r="N485" s="107" t="str">
        <f>VLOOKUP(M485,[1]character_tribe_i18n!A:C,3,FALSE)</f>
        <v>ヒューマン</v>
      </c>
      <c r="O485" s="105" t="s">
        <v>278</v>
      </c>
      <c r="P485" s="107" t="str">
        <f>VLOOKUP(O485,[1]character_tribe_i18n!A:C,3,FALSE)</f>
        <v>種族なし</v>
      </c>
      <c r="Q485" s="110" t="s">
        <v>362</v>
      </c>
      <c r="R485" s="111">
        <v>3</v>
      </c>
      <c r="S485" s="108" t="s">
        <v>289</v>
      </c>
      <c r="T485" s="108" t="s">
        <v>288</v>
      </c>
      <c r="U485" s="108" t="s">
        <v>289</v>
      </c>
      <c r="V485" s="108" t="s">
        <v>289</v>
      </c>
      <c r="W485" s="108" t="s">
        <v>289</v>
      </c>
    </row>
    <row r="486" spans="1:23" ht="21" customHeight="1" x14ac:dyDescent="0.15">
      <c r="A486" s="104">
        <v>485</v>
      </c>
      <c r="B486" s="105" t="s">
        <v>292</v>
      </c>
      <c r="C486" s="121" t="s">
        <v>1593</v>
      </c>
      <c r="D486" s="107" t="s">
        <v>1591</v>
      </c>
      <c r="E486" s="108" t="s">
        <v>848</v>
      </c>
      <c r="F486" s="108" t="s">
        <v>1422</v>
      </c>
      <c r="G486" s="108" t="s">
        <v>853</v>
      </c>
      <c r="H486" s="131" t="s">
        <v>274</v>
      </c>
      <c r="I486" s="109">
        <v>5</v>
      </c>
      <c r="J486" s="109" t="s">
        <v>1592</v>
      </c>
      <c r="K486" s="105" t="s">
        <v>1311</v>
      </c>
      <c r="L486" s="107" t="str">
        <f ca="1">VLOOKUP($K486,OFFSET([1]character_type_i18n!$A$1,0,0,COUNTA([1]character_type_i18n!$A:$A),MATCH(L$1,[1]character_type_i18n!$1:$1,0)-MATCH($K$1,[1]character_type_i18n!$1:$1,0)+1),MATCH(L$1,[1]character_type_i18n!$1:$1,0)-MATCH($K$1,[1]character_type_i18n!$1:$1,0)+1,FALSE)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86" s="105" t="s">
        <v>1339</v>
      </c>
      <c r="N486" s="107" t="str">
        <f>VLOOKUP(M486,[1]character_tribe_i18n!A:C,3,FALSE)</f>
        <v>ヒューマン</v>
      </c>
      <c r="O486" s="105" t="s">
        <v>278</v>
      </c>
      <c r="P486" s="107" t="str">
        <f>VLOOKUP(O486,[1]character_tribe_i18n!A:C,3,FALSE)</f>
        <v>種族なし</v>
      </c>
      <c r="Q486" s="110" t="s">
        <v>362</v>
      </c>
      <c r="R486" s="111">
        <v>3</v>
      </c>
      <c r="S486" s="108" t="s">
        <v>289</v>
      </c>
      <c r="T486" s="108" t="s">
        <v>281</v>
      </c>
      <c r="U486" s="108" t="s">
        <v>280</v>
      </c>
      <c r="V486" s="108" t="s">
        <v>289</v>
      </c>
      <c r="W486" s="108" t="s">
        <v>289</v>
      </c>
    </row>
    <row r="487" spans="1:23" ht="21" customHeight="1" x14ac:dyDescent="0.15">
      <c r="A487" s="104">
        <v>486</v>
      </c>
      <c r="B487" s="105" t="s">
        <v>292</v>
      </c>
      <c r="C487" s="121" t="s">
        <v>1594</v>
      </c>
      <c r="D487" s="107" t="s">
        <v>1595</v>
      </c>
      <c r="E487" s="108" t="s">
        <v>848</v>
      </c>
      <c r="F487" s="108" t="s">
        <v>1422</v>
      </c>
      <c r="G487" s="108" t="s">
        <v>1587</v>
      </c>
      <c r="H487" s="131" t="s">
        <v>274</v>
      </c>
      <c r="I487" s="109">
        <v>5</v>
      </c>
      <c r="J487" s="109" t="s">
        <v>1180</v>
      </c>
      <c r="K487" s="105" t="s">
        <v>286</v>
      </c>
      <c r="L487" s="107" t="str">
        <f ca="1">VLOOKUP($K487,OFFSET([1]character_type_i18n!$A$1,0,0,COUNTA([1]character_type_i18n!$A:$A),MATCH(L$1,[1]character_type_i18n!$1:$1,0)-MATCH($K$1,[1]character_type_i18n!$1:$1,0)+1),MATCH(L$1,[1]character_type_i18n!$1:$1,0)-MATCH($K$1,[1]character_type_i18n!$1:$1,0)+1,FALSE)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87" s="105" t="s">
        <v>1172</v>
      </c>
      <c r="N487" s="107" t="str">
        <f>VLOOKUP(M487,[1]character_tribe_i18n!A:C,3,FALSE)</f>
        <v>アニマル</v>
      </c>
      <c r="O487" s="105" t="s">
        <v>1596</v>
      </c>
      <c r="P487" s="107" t="str">
        <f>VLOOKUP(O487,[1]character_tribe_i18n!A:C,3,FALSE)</f>
        <v>種族なし</v>
      </c>
      <c r="Q487" s="110" t="s">
        <v>362</v>
      </c>
      <c r="R487" s="111">
        <v>3</v>
      </c>
      <c r="S487" s="108" t="s">
        <v>289</v>
      </c>
      <c r="T487" s="108" t="s">
        <v>288</v>
      </c>
      <c r="U487" s="108" t="s">
        <v>289</v>
      </c>
      <c r="V487" s="108" t="s">
        <v>289</v>
      </c>
      <c r="W487" s="108" t="s">
        <v>289</v>
      </c>
    </row>
    <row r="488" spans="1:23" ht="21" customHeight="1" x14ac:dyDescent="0.15">
      <c r="A488" s="104">
        <v>487</v>
      </c>
      <c r="B488" s="105" t="s">
        <v>292</v>
      </c>
      <c r="C488" s="121" t="s">
        <v>1597</v>
      </c>
      <c r="D488" s="107" t="s">
        <v>1598</v>
      </c>
      <c r="E488" s="108" t="s">
        <v>848</v>
      </c>
      <c r="F488" s="108" t="s">
        <v>1422</v>
      </c>
      <c r="G488" s="108" t="s">
        <v>853</v>
      </c>
      <c r="H488" s="131" t="s">
        <v>285</v>
      </c>
      <c r="I488" s="109">
        <v>5</v>
      </c>
      <c r="J488" s="109" t="s">
        <v>1592</v>
      </c>
      <c r="K488" s="105" t="s">
        <v>1252</v>
      </c>
      <c r="L488" s="107" t="str">
        <f ca="1">VLOOKUP($K488,OFFSET([1]character_type_i18n!$A$1,0,0,COUNTA([1]character_type_i18n!$A:$A),MATCH(L$1,[1]character_type_i18n!$1:$1,0)-MATCH($K$1,[1]character_type_i18n!$1:$1,0)+1),MATCH(L$1,[1]character_type_i18n!$1:$1,0)-MATCH($K$1,[1]character_type_i18n!$1:$1,0)+1,FALSE)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88" s="105" t="s">
        <v>1394</v>
      </c>
      <c r="N488" s="107" t="str">
        <f>VLOOKUP(M488,[1]character_tribe_i18n!A:C,3,FALSE)</f>
        <v>ヒューマン</v>
      </c>
      <c r="O488" s="105" t="s">
        <v>1599</v>
      </c>
      <c r="P488" s="107" t="str">
        <f>VLOOKUP(O488,[1]character_tribe_i18n!A:C,3,FALSE)</f>
        <v>マシン</v>
      </c>
      <c r="Q488" s="110" t="s">
        <v>362</v>
      </c>
      <c r="R488" s="111">
        <v>3</v>
      </c>
      <c r="S488" s="108" t="s">
        <v>289</v>
      </c>
      <c r="T488" s="108" t="s">
        <v>288</v>
      </c>
      <c r="U488" s="108" t="s">
        <v>289</v>
      </c>
      <c r="V488" s="108" t="s">
        <v>289</v>
      </c>
      <c r="W488" s="108" t="s">
        <v>289</v>
      </c>
    </row>
    <row r="489" spans="1:23" ht="21" customHeight="1" x14ac:dyDescent="0.15">
      <c r="A489" s="104">
        <v>488</v>
      </c>
      <c r="B489" s="105" t="s">
        <v>292</v>
      </c>
      <c r="C489" s="121" t="s">
        <v>1600</v>
      </c>
      <c r="D489" s="107" t="s">
        <v>1601</v>
      </c>
      <c r="E489" s="108" t="s">
        <v>848</v>
      </c>
      <c r="F489" s="108" t="s">
        <v>1422</v>
      </c>
      <c r="G489" s="108" t="s">
        <v>1587</v>
      </c>
      <c r="H489" s="131" t="s">
        <v>295</v>
      </c>
      <c r="I489" s="109">
        <v>5</v>
      </c>
      <c r="J489" s="109" t="s">
        <v>1602</v>
      </c>
      <c r="K489" s="105" t="s">
        <v>1171</v>
      </c>
      <c r="L489" s="107" t="str">
        <f ca="1">VLOOKUP($K489,OFFSET([1]character_type_i18n!$A$1,0,0,COUNTA([1]character_type_i18n!$A:$A),MATCH(L$1,[1]character_type_i18n!$1:$1,0)-MATCH($K$1,[1]character_type_i18n!$1:$1,0)+1),MATCH(L$1,[1]character_type_i18n!$1:$1,0)-MATCH($K$1,[1]character_type_i18n!$1:$1,0)+1,FALSE)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89" s="105" t="s">
        <v>1394</v>
      </c>
      <c r="N489" s="107" t="str">
        <f>VLOOKUP(M489,[1]character_tribe_i18n!A:C,3,FALSE)</f>
        <v>ヒューマン</v>
      </c>
      <c r="O489" s="105" t="s">
        <v>1420</v>
      </c>
      <c r="P489" s="107" t="str">
        <f>VLOOKUP(O489,[1]character_tribe_i18n!A:C,3,FALSE)</f>
        <v>種族なし</v>
      </c>
      <c r="Q489" s="110" t="s">
        <v>305</v>
      </c>
      <c r="R489" s="111">
        <v>3</v>
      </c>
      <c r="S489" s="108" t="s">
        <v>306</v>
      </c>
      <c r="T489" s="108" t="s">
        <v>610</v>
      </c>
      <c r="U489" s="108" t="s">
        <v>611</v>
      </c>
      <c r="V489" s="108" t="s">
        <v>306</v>
      </c>
      <c r="W489" s="108" t="s">
        <v>306</v>
      </c>
    </row>
    <row r="490" spans="1:23" ht="21" customHeight="1" x14ac:dyDescent="0.15">
      <c r="A490" s="104">
        <v>489</v>
      </c>
      <c r="B490" s="105" t="s">
        <v>314</v>
      </c>
      <c r="C490" s="121" t="s">
        <v>1603</v>
      </c>
      <c r="D490" s="107" t="s">
        <v>1604</v>
      </c>
      <c r="E490" s="108" t="s">
        <v>848</v>
      </c>
      <c r="F490" s="108" t="s">
        <v>1397</v>
      </c>
      <c r="G490" s="108" t="s">
        <v>853</v>
      </c>
      <c r="H490" s="131" t="s">
        <v>1605</v>
      </c>
      <c r="I490" s="109">
        <v>5</v>
      </c>
      <c r="J490" s="109" t="s">
        <v>1606</v>
      </c>
      <c r="K490" s="105" t="s">
        <v>1607</v>
      </c>
      <c r="L490" s="107" t="str">
        <f ca="1">VLOOKUP($K490,OFFSET([1]character_type_i18n!$A$1,0,0,COUNTA([1]character_type_i18n!$A:$A),MATCH(L$1,[1]character_type_i18n!$1:$1,0)-MATCH($K$1,[1]character_type_i18n!$1:$1,0)+1),MATCH(L$1,[1]character_type_i18n!$1:$1,0)-MATCH($K$1,[1]character_type_i18n!$1:$1,0)+1,FALSE)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90" s="105" t="s">
        <v>1608</v>
      </c>
      <c r="N490" s="107" t="str">
        <f>VLOOKUP(M490,[1]character_tribe_i18n!A:C,3,FALSE)</f>
        <v>ヒューマン</v>
      </c>
      <c r="O490" s="105" t="s">
        <v>1609</v>
      </c>
      <c r="P490" s="107" t="str">
        <f>VLOOKUP(O490,[1]character_tribe_i18n!A:C,3,FALSE)</f>
        <v>種族なし</v>
      </c>
      <c r="Q490" s="110" t="s">
        <v>1349</v>
      </c>
      <c r="R490" s="111">
        <v>3</v>
      </c>
      <c r="S490" s="108" t="s">
        <v>1350</v>
      </c>
      <c r="T490" s="108" t="s">
        <v>1351</v>
      </c>
      <c r="U490" s="108" t="s">
        <v>1350</v>
      </c>
      <c r="V490" s="108" t="s">
        <v>1350</v>
      </c>
      <c r="W490" s="108" t="s">
        <v>1350</v>
      </c>
    </row>
    <row r="491" spans="1:23" ht="21" customHeight="1" x14ac:dyDescent="0.15">
      <c r="A491" s="104">
        <f t="shared" si="7"/>
        <v>490</v>
      </c>
      <c r="B491" s="105" t="s">
        <v>1352</v>
      </c>
      <c r="C491" s="121" t="s">
        <v>1610</v>
      </c>
      <c r="D491" s="107" t="s">
        <v>1611</v>
      </c>
      <c r="E491" s="108" t="s">
        <v>709</v>
      </c>
      <c r="F491" s="108" t="s">
        <v>532</v>
      </c>
      <c r="G491" s="108" t="s">
        <v>710</v>
      </c>
      <c r="H491" s="131" t="s">
        <v>614</v>
      </c>
      <c r="I491" s="109">
        <v>4</v>
      </c>
      <c r="J491" s="130" t="s">
        <v>1504</v>
      </c>
      <c r="K491" s="105" t="s">
        <v>1008</v>
      </c>
      <c r="L491" s="107" t="str">
        <f ca="1">VLOOKUP($K491,OFFSET([1]character_type_i18n!$A$1,0,0,COUNTA([1]character_type_i18n!$A:$A),MATCH(L$1,[1]character_type_i18n!$1:$1,0)-MATCH($K$1,[1]character_type_i18n!$1:$1,0)+1),MATCH(L$1,[1]character_type_i18n!$1:$1,0)-MATCH($K$1,[1]character_type_i18n!$1:$1,0)+1,FALSE)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91" s="105" t="s">
        <v>1339</v>
      </c>
      <c r="N491" s="107" t="str">
        <f>VLOOKUP(M491,[1]character_tribe_i18n!A:C,3,FALSE)</f>
        <v>ヒューマン</v>
      </c>
      <c r="O491" s="105" t="s">
        <v>1612</v>
      </c>
      <c r="P491" s="107" t="str">
        <f>VLOOKUP(O491,[1]character_tribe_i18n!A:C,3,FALSE)</f>
        <v>Unknown</v>
      </c>
      <c r="Q491" s="110" t="s">
        <v>1349</v>
      </c>
      <c r="R491" s="111">
        <v>3</v>
      </c>
      <c r="S491" s="108" t="s">
        <v>1350</v>
      </c>
      <c r="T491" s="108" t="s">
        <v>1351</v>
      </c>
      <c r="U491" s="108" t="s">
        <v>1350</v>
      </c>
      <c r="V491" s="108" t="s">
        <v>1350</v>
      </c>
      <c r="W491" s="108" t="s">
        <v>1350</v>
      </c>
    </row>
    <row r="492" spans="1:23" ht="21" customHeight="1" x14ac:dyDescent="0.15">
      <c r="A492" s="104">
        <f t="shared" si="7"/>
        <v>491</v>
      </c>
      <c r="B492" s="105" t="s">
        <v>1352</v>
      </c>
      <c r="C492" s="121" t="s">
        <v>1613</v>
      </c>
      <c r="D492" s="107" t="s">
        <v>917</v>
      </c>
      <c r="E492" s="108" t="s">
        <v>1614</v>
      </c>
      <c r="F492" s="108" t="s">
        <v>1615</v>
      </c>
      <c r="G492" s="108" t="s">
        <v>1616</v>
      </c>
      <c r="H492" s="131" t="s">
        <v>1617</v>
      </c>
      <c r="I492" s="109">
        <v>5</v>
      </c>
      <c r="J492" s="130" t="s">
        <v>1618</v>
      </c>
      <c r="K492" s="105" t="s">
        <v>1619</v>
      </c>
      <c r="L492" s="107" t="str">
        <f ca="1">VLOOKUP($K492,OFFSET([1]character_type_i18n!$A$1,0,0,COUNTA([1]character_type_i18n!$A:$A),MATCH(L$1,[1]character_type_i18n!$1:$1,0)-MATCH($K$1,[1]character_type_i18n!$1:$1,0)+1),MATCH(L$1,[1]character_type_i18n!$1:$1,0)-MATCH($K$1,[1]character_type_i18n!$1:$1,0)+1,FALSE)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92" s="105" t="s">
        <v>1339</v>
      </c>
      <c r="N492" s="107" t="str">
        <f>VLOOKUP(M492,[1]character_tribe_i18n!A:C,3,FALSE)</f>
        <v>ヒューマン</v>
      </c>
      <c r="O492" s="105" t="s">
        <v>1164</v>
      </c>
      <c r="P492" s="107" t="str">
        <f>VLOOKUP(O492,[1]character_tribe_i18n!A:C,3,FALSE)</f>
        <v>Unknown</v>
      </c>
      <c r="Q492" s="110" t="s">
        <v>279</v>
      </c>
      <c r="R492" s="111">
        <v>3</v>
      </c>
      <c r="S492" s="108" t="s">
        <v>280</v>
      </c>
      <c r="T492" s="108" t="s">
        <v>1620</v>
      </c>
      <c r="U492" s="108" t="s">
        <v>1621</v>
      </c>
      <c r="V492" s="108" t="s">
        <v>280</v>
      </c>
      <c r="W492" s="108" t="s">
        <v>280</v>
      </c>
    </row>
    <row r="493" spans="1:23" ht="21" customHeight="1" x14ac:dyDescent="0.15">
      <c r="A493" s="104">
        <f t="shared" si="7"/>
        <v>492</v>
      </c>
      <c r="B493" s="105" t="s">
        <v>268</v>
      </c>
      <c r="C493" s="121" t="s">
        <v>1622</v>
      </c>
      <c r="D493" s="107" t="s">
        <v>1623</v>
      </c>
      <c r="E493" s="108" t="s">
        <v>1624</v>
      </c>
      <c r="F493" s="108" t="s">
        <v>1625</v>
      </c>
      <c r="G493" s="108" t="s">
        <v>1347</v>
      </c>
      <c r="H493" s="131" t="s">
        <v>536</v>
      </c>
      <c r="I493" s="109">
        <v>4</v>
      </c>
      <c r="J493" s="109" t="s">
        <v>1452</v>
      </c>
      <c r="K493" s="105" t="s">
        <v>1453</v>
      </c>
      <c r="L493" s="107" t="str">
        <f ca="1">VLOOKUP($K493,OFFSET([1]character_type_i18n!$A$1,0,0,COUNTA([1]character_type_i18n!$A:$A),MATCH(L$1,[1]character_type_i18n!$1:$1,0)-MATCH($K$1,[1]character_type_i18n!$1:$1,0)+1),MATCH(L$1,[1]character_type_i18n!$1:$1,0)-MATCH($K$1,[1]character_type_i18n!$1:$1,0)+1,FALSE)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93" s="105" t="s">
        <v>313</v>
      </c>
      <c r="N493" s="107" t="str">
        <f>VLOOKUP(M493,[1]character_tribe_i18n!A:C,3,FALSE)</f>
        <v>アニマル</v>
      </c>
      <c r="O493" s="105" t="s">
        <v>1626</v>
      </c>
      <c r="P493" s="107" t="str">
        <f>VLOOKUP(O493,[1]character_tribe_i18n!A:C,3,FALSE)</f>
        <v>マシン</v>
      </c>
      <c r="Q493" s="110" t="s">
        <v>301</v>
      </c>
      <c r="R493" s="111">
        <v>3</v>
      </c>
      <c r="S493" s="108" t="s">
        <v>302</v>
      </c>
      <c r="T493" s="108" t="s">
        <v>375</v>
      </c>
      <c r="U493" s="108" t="s">
        <v>302</v>
      </c>
      <c r="V493" s="108" t="s">
        <v>302</v>
      </c>
      <c r="W493" s="108" t="s">
        <v>302</v>
      </c>
    </row>
    <row r="494" spans="1:23" ht="21" customHeight="1" x14ac:dyDescent="0.15">
      <c r="A494" s="104">
        <f t="shared" si="7"/>
        <v>493</v>
      </c>
      <c r="B494" s="105" t="s">
        <v>303</v>
      </c>
      <c r="C494" s="121" t="s">
        <v>1627</v>
      </c>
      <c r="D494" s="107" t="s">
        <v>1623</v>
      </c>
      <c r="E494" s="108" t="s">
        <v>1628</v>
      </c>
      <c r="F494" s="108" t="s">
        <v>1629</v>
      </c>
      <c r="G494" s="108" t="s">
        <v>1347</v>
      </c>
      <c r="H494" s="131" t="s">
        <v>536</v>
      </c>
      <c r="I494" s="109">
        <v>5</v>
      </c>
      <c r="J494" s="109" t="s">
        <v>1452</v>
      </c>
      <c r="K494" s="105" t="s">
        <v>1453</v>
      </c>
      <c r="L494" s="107" t="str">
        <f ca="1">VLOOKUP($K494,OFFSET([1]character_type_i18n!$A$1,0,0,COUNTA([1]character_type_i18n!$A:$A),MATCH(L$1,[1]character_type_i18n!$1:$1,0)-MATCH($K$1,[1]character_type_i18n!$1:$1,0)+1),MATCH(L$1,[1]character_type_i18n!$1:$1,0)-MATCH($K$1,[1]character_type_i18n!$1:$1,0)+1,FALSE)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94" s="105" t="s">
        <v>1167</v>
      </c>
      <c r="N494" s="107" t="str">
        <f>VLOOKUP(M494,[1]character_tribe_i18n!A:C,3,FALSE)</f>
        <v>アニマル</v>
      </c>
      <c r="O494" s="105" t="s">
        <v>1017</v>
      </c>
      <c r="P494" s="107" t="str">
        <f>VLOOKUP(O494,[1]character_tribe_i18n!A:C,3,FALSE)</f>
        <v>マシン</v>
      </c>
      <c r="Q494" s="110" t="s">
        <v>1630</v>
      </c>
      <c r="R494" s="111">
        <v>3</v>
      </c>
      <c r="S494" s="108" t="s">
        <v>1631</v>
      </c>
      <c r="T494" s="108" t="s">
        <v>1632</v>
      </c>
      <c r="U494" s="108" t="s">
        <v>280</v>
      </c>
      <c r="V494" s="108" t="s">
        <v>280</v>
      </c>
      <c r="W494" s="108" t="s">
        <v>280</v>
      </c>
    </row>
    <row r="495" spans="1:23" ht="21" customHeight="1" x14ac:dyDescent="0.15">
      <c r="A495" s="104">
        <f t="shared" si="7"/>
        <v>494</v>
      </c>
      <c r="B495" s="105" t="s">
        <v>268</v>
      </c>
      <c r="C495" s="121" t="s">
        <v>1633</v>
      </c>
      <c r="D495" s="107" t="s">
        <v>1623</v>
      </c>
      <c r="E495" s="108" t="s">
        <v>709</v>
      </c>
      <c r="F495" s="108" t="s">
        <v>532</v>
      </c>
      <c r="G495" s="108" t="s">
        <v>710</v>
      </c>
      <c r="H495" s="131" t="s">
        <v>614</v>
      </c>
      <c r="I495" s="109">
        <v>4</v>
      </c>
      <c r="J495" s="109" t="s">
        <v>1001</v>
      </c>
      <c r="K495" s="105" t="s">
        <v>1505</v>
      </c>
      <c r="L495" s="107" t="str">
        <f ca="1">VLOOKUP($K495,OFFSET([1]character_type_i18n!$A$1,0,0,COUNTA([1]character_type_i18n!$A:$A),MATCH(L$1,[1]character_type_i18n!$1:$1,0)-MATCH($K$1,[1]character_type_i18n!$1:$1,0)+1),MATCH(L$1,[1]character_type_i18n!$1:$1,0)-MATCH($K$1,[1]character_type_i18n!$1:$1,0)+1,FALSE)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95" s="105" t="s">
        <v>1011</v>
      </c>
      <c r="N495" s="107" t="str">
        <f>VLOOKUP(M495,[1]character_tribe_i18n!A:C,3,FALSE)</f>
        <v>ヒューマン</v>
      </c>
      <c r="O495" s="105" t="s">
        <v>278</v>
      </c>
      <c r="P495" s="107" t="str">
        <f>VLOOKUP(O495,[1]character_tribe_i18n!A:C,3,FALSE)</f>
        <v>種族なし</v>
      </c>
      <c r="Q495" s="110" t="s">
        <v>1634</v>
      </c>
      <c r="R495" s="111">
        <v>3</v>
      </c>
      <c r="S495" s="108" t="s">
        <v>1635</v>
      </c>
      <c r="T495" s="108" t="s">
        <v>1620</v>
      </c>
      <c r="U495" s="108" t="s">
        <v>1621</v>
      </c>
      <c r="V495" s="108" t="s">
        <v>894</v>
      </c>
      <c r="W495" s="108" t="s">
        <v>894</v>
      </c>
    </row>
    <row r="496" spans="1:23" ht="21" customHeight="1" x14ac:dyDescent="0.15">
      <c r="A496" s="104">
        <f t="shared" si="7"/>
        <v>495</v>
      </c>
      <c r="B496" s="105" t="s">
        <v>1261</v>
      </c>
      <c r="C496" s="121" t="s">
        <v>1636</v>
      </c>
      <c r="D496" s="107" t="s">
        <v>1623</v>
      </c>
      <c r="E496" s="108" t="s">
        <v>709</v>
      </c>
      <c r="F496" s="108" t="s">
        <v>532</v>
      </c>
      <c r="G496" s="108" t="s">
        <v>710</v>
      </c>
      <c r="H496" s="131" t="s">
        <v>614</v>
      </c>
      <c r="I496" s="109">
        <v>5</v>
      </c>
      <c r="J496" s="109" t="s">
        <v>1637</v>
      </c>
      <c r="K496" s="105" t="s">
        <v>1638</v>
      </c>
      <c r="L496" s="107" t="str">
        <f ca="1">VLOOKUP($K496,OFFSET([1]character_type_i18n!$A$1,0,0,COUNTA([1]character_type_i18n!$A:$A),MATCH(L$1,[1]character_type_i18n!$1:$1,0)-MATCH($K$1,[1]character_type_i18n!$1:$1,0)+1),MATCH(L$1,[1]character_type_i18n!$1:$1,0)-MATCH($K$1,[1]character_type_i18n!$1:$1,0)+1,FALSE)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96" s="105" t="s">
        <v>1639</v>
      </c>
      <c r="N496" s="107" t="str">
        <f>VLOOKUP(M496,[1]character_tribe_i18n!A:C,3,FALSE)</f>
        <v>ヒューマン</v>
      </c>
      <c r="O496" s="105" t="s">
        <v>278</v>
      </c>
      <c r="P496" s="107" t="str">
        <f>VLOOKUP(O496,[1]character_tribe_i18n!A:C,3,FALSE)</f>
        <v>種族なし</v>
      </c>
      <c r="Q496" s="110" t="s">
        <v>1630</v>
      </c>
      <c r="R496" s="111">
        <v>3</v>
      </c>
      <c r="S496" s="108" t="s">
        <v>1631</v>
      </c>
      <c r="T496" s="108" t="s">
        <v>1640</v>
      </c>
      <c r="U496" s="108" t="s">
        <v>1641</v>
      </c>
      <c r="V496" s="108" t="s">
        <v>894</v>
      </c>
      <c r="W496" s="108" t="s">
        <v>894</v>
      </c>
    </row>
    <row r="497" spans="1:23" ht="21" customHeight="1" x14ac:dyDescent="0.15">
      <c r="A497" s="104">
        <f t="shared" si="7"/>
        <v>496</v>
      </c>
      <c r="B497" s="105" t="s">
        <v>1261</v>
      </c>
      <c r="C497" s="121" t="s">
        <v>1642</v>
      </c>
      <c r="D497" s="107" t="s">
        <v>1623</v>
      </c>
      <c r="E497" s="108" t="s">
        <v>1271</v>
      </c>
      <c r="F497" s="108" t="s">
        <v>1272</v>
      </c>
      <c r="G497" s="108" t="s">
        <v>1544</v>
      </c>
      <c r="H497" s="131" t="s">
        <v>1643</v>
      </c>
      <c r="I497" s="109">
        <v>3</v>
      </c>
      <c r="J497" s="109" t="s">
        <v>805</v>
      </c>
      <c r="K497" s="105" t="s">
        <v>1644</v>
      </c>
      <c r="L497" s="107" t="str">
        <f ca="1">VLOOKUP($K497,OFFSET([1]character_type_i18n!$A$1,0,0,COUNTA([1]character_type_i18n!$A:$A),MATCH(L$1,[1]character_type_i18n!$1:$1,0)-MATCH($K$1,[1]character_type_i18n!$1:$1,0)+1),MATCH(L$1,[1]character_type_i18n!$1:$1,0)-MATCH($K$1,[1]character_type_i18n!$1:$1,0)+1,FALSE)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97" s="105" t="s">
        <v>1394</v>
      </c>
      <c r="N497" s="107" t="str">
        <f>VLOOKUP(M497,[1]character_tribe_i18n!A:C,3,FALSE)</f>
        <v>ヒューマン</v>
      </c>
      <c r="O497" s="105" t="s">
        <v>313</v>
      </c>
      <c r="P497" s="107" t="str">
        <f>VLOOKUP(O497,[1]character_tribe_i18n!A:C,3,FALSE)</f>
        <v>アニマル</v>
      </c>
      <c r="Q497" s="110" t="s">
        <v>1645</v>
      </c>
      <c r="R497" s="111">
        <v>3</v>
      </c>
      <c r="S497" s="108" t="s">
        <v>1646</v>
      </c>
      <c r="T497" s="108" t="s">
        <v>281</v>
      </c>
      <c r="U497" s="108" t="s">
        <v>280</v>
      </c>
      <c r="V497" s="108" t="s">
        <v>894</v>
      </c>
      <c r="W497" s="108" t="s">
        <v>894</v>
      </c>
    </row>
    <row r="498" spans="1:23" ht="21" customHeight="1" x14ac:dyDescent="0.15">
      <c r="A498" s="104">
        <f t="shared" si="7"/>
        <v>497</v>
      </c>
      <c r="B498" s="105" t="s">
        <v>1261</v>
      </c>
      <c r="C498" s="121" t="s">
        <v>1647</v>
      </c>
      <c r="D498" s="107" t="s">
        <v>1623</v>
      </c>
      <c r="E498" s="108" t="s">
        <v>1305</v>
      </c>
      <c r="F498" s="108" t="s">
        <v>1310</v>
      </c>
      <c r="G498" s="108" t="s">
        <v>1648</v>
      </c>
      <c r="H498" s="131" t="s">
        <v>1649</v>
      </c>
      <c r="I498" s="109">
        <v>4</v>
      </c>
      <c r="J498" s="109" t="s">
        <v>805</v>
      </c>
      <c r="K498" s="105" t="s">
        <v>1279</v>
      </c>
      <c r="L498" s="107" t="str">
        <f ca="1">VLOOKUP($K498,OFFSET([1]character_type_i18n!$A$1,0,0,COUNTA([1]character_type_i18n!$A:$A),MATCH(L$1,[1]character_type_i18n!$1:$1,0)-MATCH($K$1,[1]character_type_i18n!$1:$1,0)+1),MATCH(L$1,[1]character_type_i18n!$1:$1,0)-MATCH($K$1,[1]character_type_i18n!$1:$1,0)+1,FALSE)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98" s="105" t="s">
        <v>1011</v>
      </c>
      <c r="N498" s="107" t="str">
        <f>VLOOKUP(M498,[1]character_tribe_i18n!A:C,3,FALSE)</f>
        <v>ヒューマン</v>
      </c>
      <c r="O498" s="105" t="s">
        <v>1172</v>
      </c>
      <c r="P498" s="107" t="str">
        <f>VLOOKUP(O498,[1]character_tribe_i18n!A:C,3,FALSE)</f>
        <v>アニマル</v>
      </c>
      <c r="Q498" s="110" t="s">
        <v>279</v>
      </c>
      <c r="R498" s="111">
        <v>3</v>
      </c>
      <c r="S498" s="108" t="s">
        <v>280</v>
      </c>
      <c r="T498" s="108" t="s">
        <v>281</v>
      </c>
      <c r="U498" s="108" t="s">
        <v>280</v>
      </c>
      <c r="V498" s="108" t="s">
        <v>280</v>
      </c>
      <c r="W498" s="108" t="s">
        <v>280</v>
      </c>
    </row>
    <row r="499" spans="1:23" ht="21" customHeight="1" x14ac:dyDescent="0.15">
      <c r="A499" s="104">
        <f t="shared" si="7"/>
        <v>498</v>
      </c>
      <c r="B499" s="105" t="s">
        <v>268</v>
      </c>
      <c r="C499" s="121" t="s">
        <v>1650</v>
      </c>
      <c r="D499" s="107" t="s">
        <v>1623</v>
      </c>
      <c r="E499" s="108" t="s">
        <v>709</v>
      </c>
      <c r="F499" s="108" t="s">
        <v>532</v>
      </c>
      <c r="G499" s="108" t="s">
        <v>710</v>
      </c>
      <c r="H499" s="131" t="s">
        <v>768</v>
      </c>
      <c r="I499" s="109">
        <v>5</v>
      </c>
      <c r="J499" s="109" t="s">
        <v>805</v>
      </c>
      <c r="K499" s="105" t="s">
        <v>1005</v>
      </c>
      <c r="L499" s="107" t="str">
        <f ca="1">VLOOKUP($K499,OFFSET([1]character_type_i18n!$A$1,0,0,COUNTA([1]character_type_i18n!$A:$A),MATCH(L$1,[1]character_type_i18n!$1:$1,0)-MATCH($K$1,[1]character_type_i18n!$1:$1,0)+1),MATCH(L$1,[1]character_type_i18n!$1:$1,0)-MATCH($K$1,[1]character_type_i18n!$1:$1,0)+1,FALSE)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99" s="105" t="s">
        <v>1651</v>
      </c>
      <c r="N499" s="107" t="str">
        <f>VLOOKUP(M499,[1]character_tribe_i18n!A:C,3,FALSE)</f>
        <v>ヒューマン</v>
      </c>
      <c r="O499" s="105" t="s">
        <v>313</v>
      </c>
      <c r="P499" s="107" t="str">
        <f>VLOOKUP(O499,[1]character_tribe_i18n!A:C,3,FALSE)</f>
        <v>アニマル</v>
      </c>
      <c r="Q499" s="110" t="s">
        <v>279</v>
      </c>
      <c r="R499" s="111">
        <v>3</v>
      </c>
      <c r="S499" s="108" t="s">
        <v>280</v>
      </c>
      <c r="T499" s="108" t="s">
        <v>281</v>
      </c>
      <c r="U499" s="108" t="s">
        <v>280</v>
      </c>
      <c r="V499" s="108" t="s">
        <v>894</v>
      </c>
      <c r="W499" s="108" t="s">
        <v>894</v>
      </c>
    </row>
    <row r="500" spans="1:23" ht="21" customHeight="1" x14ac:dyDescent="0.15">
      <c r="A500" s="104">
        <f t="shared" si="7"/>
        <v>499</v>
      </c>
      <c r="B500" s="105" t="s">
        <v>1261</v>
      </c>
      <c r="C500" s="121" t="s">
        <v>1652</v>
      </c>
      <c r="D500" s="107" t="s">
        <v>1623</v>
      </c>
      <c r="E500" s="108" t="s">
        <v>709</v>
      </c>
      <c r="F500" s="108" t="s">
        <v>532</v>
      </c>
      <c r="G500" s="108" t="s">
        <v>853</v>
      </c>
      <c r="H500" s="131" t="s">
        <v>300</v>
      </c>
      <c r="I500" s="109">
        <v>4</v>
      </c>
      <c r="J500" s="109" t="s">
        <v>1263</v>
      </c>
      <c r="K500" s="105" t="s">
        <v>1292</v>
      </c>
      <c r="L500" s="107" t="str">
        <f ca="1">VLOOKUP($K500,OFFSET([1]character_type_i18n!$A$1,0,0,COUNTA([1]character_type_i18n!$A:$A),MATCH(L$1,[1]character_type_i18n!$1:$1,0)-MATCH($K$1,[1]character_type_i18n!$1:$1,0)+1),MATCH(L$1,[1]character_type_i18n!$1:$1,0)-MATCH($K$1,[1]character_type_i18n!$1:$1,0)+1,FALSE)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00" s="105" t="s">
        <v>1011</v>
      </c>
      <c r="N500" s="107" t="str">
        <f>VLOOKUP(M500,[1]character_tribe_i18n!A:C,3,FALSE)</f>
        <v>ヒューマン</v>
      </c>
      <c r="O500" s="105" t="s">
        <v>278</v>
      </c>
      <c r="P500" s="107" t="str">
        <f>VLOOKUP(O500,[1]character_tribe_i18n!A:C,3,FALSE)</f>
        <v>種族なし</v>
      </c>
      <c r="Q500" s="110" t="s">
        <v>362</v>
      </c>
      <c r="R500" s="111">
        <v>3</v>
      </c>
      <c r="S500" s="108" t="s">
        <v>289</v>
      </c>
      <c r="T500" s="108" t="s">
        <v>281</v>
      </c>
      <c r="U500" s="108" t="s">
        <v>280</v>
      </c>
      <c r="V500" s="108" t="s">
        <v>894</v>
      </c>
      <c r="W500" s="108" t="s">
        <v>894</v>
      </c>
    </row>
    <row r="501" spans="1:23" ht="21" customHeight="1" x14ac:dyDescent="0.15">
      <c r="A501" s="104">
        <f t="shared" si="7"/>
        <v>500</v>
      </c>
      <c r="B501" s="105" t="s">
        <v>1261</v>
      </c>
      <c r="C501" s="121" t="s">
        <v>1653</v>
      </c>
      <c r="D501" s="107" t="s">
        <v>1623</v>
      </c>
      <c r="E501" s="108" t="s">
        <v>709</v>
      </c>
      <c r="F501" s="108" t="s">
        <v>532</v>
      </c>
      <c r="G501" s="108" t="s">
        <v>853</v>
      </c>
      <c r="H501" s="131" t="s">
        <v>300</v>
      </c>
      <c r="I501" s="109">
        <v>5</v>
      </c>
      <c r="J501" s="109" t="s">
        <v>1654</v>
      </c>
      <c r="K501" s="105" t="s">
        <v>1388</v>
      </c>
      <c r="L501" s="107" t="str">
        <f ca="1">VLOOKUP($K501,OFFSET([1]character_type_i18n!$A$1,0,0,COUNTA([1]character_type_i18n!$A:$A),MATCH(L$1,[1]character_type_i18n!$1:$1,0)-MATCH($K$1,[1]character_type_i18n!$1:$1,0)+1),MATCH(L$1,[1]character_type_i18n!$1:$1,0)-MATCH($K$1,[1]character_type_i18n!$1:$1,0)+1,FALSE)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01" s="105" t="s">
        <v>1655</v>
      </c>
      <c r="N501" s="107" t="str">
        <f>VLOOKUP(M501,[1]character_tribe_i18n!A:C,3,FALSE)</f>
        <v>ヒューマン</v>
      </c>
      <c r="O501" s="105" t="s">
        <v>278</v>
      </c>
      <c r="P501" s="107" t="str">
        <f>VLOOKUP(O501,[1]character_tribe_i18n!A:C,3,FALSE)</f>
        <v>種族なし</v>
      </c>
      <c r="Q501" s="110" t="s">
        <v>1656</v>
      </c>
      <c r="R501" s="111">
        <v>3</v>
      </c>
      <c r="S501" s="108" t="s">
        <v>911</v>
      </c>
      <c r="T501" s="108" t="s">
        <v>281</v>
      </c>
      <c r="U501" s="108" t="s">
        <v>280</v>
      </c>
      <c r="V501" s="108" t="s">
        <v>894</v>
      </c>
      <c r="W501" s="108" t="s">
        <v>894</v>
      </c>
    </row>
    <row r="502" spans="1:23" ht="21" customHeight="1" x14ac:dyDescent="0.15">
      <c r="A502" s="104">
        <f t="shared" si="7"/>
        <v>501</v>
      </c>
      <c r="B502" s="105" t="s">
        <v>1261</v>
      </c>
      <c r="C502" s="121" t="s">
        <v>1657</v>
      </c>
      <c r="D502" s="107" t="s">
        <v>1404</v>
      </c>
      <c r="E502" s="108" t="s">
        <v>1463</v>
      </c>
      <c r="F502" s="108" t="s">
        <v>1464</v>
      </c>
      <c r="G502" s="108" t="s">
        <v>1404</v>
      </c>
      <c r="H502" s="131" t="s">
        <v>300</v>
      </c>
      <c r="I502" s="109">
        <v>5</v>
      </c>
      <c r="J502" s="109" t="s">
        <v>1001</v>
      </c>
      <c r="K502" s="105" t="s">
        <v>1292</v>
      </c>
      <c r="L502" s="107" t="str">
        <f ca="1">VLOOKUP($K502,OFFSET([1]character_type_i18n!$A$1,0,0,COUNTA([1]character_type_i18n!$A:$A),MATCH(L$1,[1]character_type_i18n!$1:$1,0)-MATCH($K$1,[1]character_type_i18n!$1:$1,0)+1),MATCH(L$1,[1]character_type_i18n!$1:$1,0)-MATCH($K$1,[1]character_type_i18n!$1:$1,0)+1,FALSE)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02" s="105" t="s">
        <v>1011</v>
      </c>
      <c r="N502" s="107" t="str">
        <f>VLOOKUP(M502,[1]character_tribe_i18n!A:C,3,FALSE)</f>
        <v>ヒューマン</v>
      </c>
      <c r="O502" s="105" t="s">
        <v>278</v>
      </c>
      <c r="P502" s="107" t="str">
        <f>VLOOKUP(O502,[1]character_tribe_i18n!A:C,3,FALSE)</f>
        <v>種族なし</v>
      </c>
      <c r="Q502" s="110" t="s">
        <v>1658</v>
      </c>
      <c r="R502" s="111">
        <v>0</v>
      </c>
      <c r="S502" s="108" t="s">
        <v>1659</v>
      </c>
      <c r="T502" s="108" t="s">
        <v>281</v>
      </c>
      <c r="U502" s="108" t="s">
        <v>280</v>
      </c>
      <c r="V502" s="108" t="s">
        <v>894</v>
      </c>
      <c r="W502" s="108" t="s">
        <v>894</v>
      </c>
    </row>
    <row r="503" spans="1:23" ht="21" customHeight="1" x14ac:dyDescent="0.15">
      <c r="A503" s="104">
        <f t="shared" si="7"/>
        <v>502</v>
      </c>
      <c r="B503" s="105" t="s">
        <v>1261</v>
      </c>
      <c r="C503" s="121" t="s">
        <v>1660</v>
      </c>
      <c r="D503" s="107" t="s">
        <v>1661</v>
      </c>
      <c r="E503" s="108" t="s">
        <v>1662</v>
      </c>
      <c r="F503" s="108" t="s">
        <v>1291</v>
      </c>
      <c r="G503" s="108" t="s">
        <v>853</v>
      </c>
      <c r="H503" s="131" t="s">
        <v>1663</v>
      </c>
      <c r="I503" s="109">
        <v>4</v>
      </c>
      <c r="J503" s="109" t="s">
        <v>516</v>
      </c>
      <c r="K503" s="105" t="s">
        <v>1273</v>
      </c>
      <c r="L503" s="107" t="str">
        <f ca="1">VLOOKUP($K503,OFFSET([1]character_type_i18n!$A$1,0,0,COUNTA([1]character_type_i18n!$A:$A),MATCH(L$1,[1]character_type_i18n!$1:$1,0)-MATCH($K$1,[1]character_type_i18n!$1:$1,0)+1),MATCH(L$1,[1]character_type_i18n!$1:$1,0)-MATCH($K$1,[1]character_type_i18n!$1:$1,0)+1,FALSE)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03" s="105" t="s">
        <v>1664</v>
      </c>
      <c r="N503" s="107" t="str">
        <f>VLOOKUP(M503,[1]character_tribe_i18n!A:C,3,FALSE)</f>
        <v>ヒューマン</v>
      </c>
      <c r="O503" s="105" t="s">
        <v>1665</v>
      </c>
      <c r="P503" s="107" t="str">
        <f>VLOOKUP(O503,[1]character_tribe_i18n!A:C,3,FALSE)</f>
        <v>マシン</v>
      </c>
      <c r="Q503" s="110" t="s">
        <v>1666</v>
      </c>
      <c r="R503" s="111">
        <v>3</v>
      </c>
      <c r="S503" s="108" t="s">
        <v>1667</v>
      </c>
      <c r="T503" s="108" t="s">
        <v>1668</v>
      </c>
      <c r="U503" s="108" t="s">
        <v>1667</v>
      </c>
      <c r="V503" s="108" t="s">
        <v>1667</v>
      </c>
      <c r="W503" s="108" t="s">
        <v>1667</v>
      </c>
    </row>
    <row r="504" spans="1:23" ht="21" customHeight="1" x14ac:dyDescent="0.15">
      <c r="A504" s="104">
        <f t="shared" si="7"/>
        <v>503</v>
      </c>
      <c r="B504" s="105" t="s">
        <v>1669</v>
      </c>
      <c r="C504" s="121" t="s">
        <v>1670</v>
      </c>
      <c r="D504" s="107" t="s">
        <v>1671</v>
      </c>
      <c r="E504" s="108" t="s">
        <v>1672</v>
      </c>
      <c r="F504" s="108" t="s">
        <v>1673</v>
      </c>
      <c r="G504" s="108" t="s">
        <v>853</v>
      </c>
      <c r="H504" s="131" t="s">
        <v>1663</v>
      </c>
      <c r="I504" s="109">
        <v>5</v>
      </c>
      <c r="J504" s="109" t="s">
        <v>516</v>
      </c>
      <c r="K504" s="105" t="s">
        <v>1005</v>
      </c>
      <c r="L504" s="107" t="str">
        <f ca="1">VLOOKUP($K504,OFFSET([1]character_type_i18n!$A$1,0,0,COUNTA([1]character_type_i18n!$A:$A),MATCH(L$1,[1]character_type_i18n!$1:$1,0)-MATCH($K$1,[1]character_type_i18n!$1:$1,0)+1),MATCH(L$1,[1]character_type_i18n!$1:$1,0)-MATCH($K$1,[1]character_type_i18n!$1:$1,0)+1,FALSE)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04" s="105" t="s">
        <v>1011</v>
      </c>
      <c r="N504" s="107" t="str">
        <f>VLOOKUP(M504,[1]character_tribe_i18n!A:C,3,FALSE)</f>
        <v>ヒューマン</v>
      </c>
      <c r="O504" s="105" t="s">
        <v>1674</v>
      </c>
      <c r="P504" s="107" t="str">
        <f>VLOOKUP(O504,[1]character_tribe_i18n!A:C,3,FALSE)</f>
        <v>マシン</v>
      </c>
      <c r="Q504" s="110" t="s">
        <v>279</v>
      </c>
      <c r="R504" s="111">
        <v>3</v>
      </c>
      <c r="S504" s="108" t="s">
        <v>280</v>
      </c>
      <c r="T504" s="108" t="s">
        <v>281</v>
      </c>
      <c r="U504" s="108" t="s">
        <v>280</v>
      </c>
      <c r="V504" s="108" t="s">
        <v>280</v>
      </c>
      <c r="W504" s="108" t="s">
        <v>280</v>
      </c>
    </row>
    <row r="505" spans="1:23" ht="21" customHeight="1" x14ac:dyDescent="0.15">
      <c r="A505" s="104">
        <f t="shared" si="7"/>
        <v>504</v>
      </c>
      <c r="B505" s="105" t="s">
        <v>268</v>
      </c>
      <c r="C505" s="121" t="s">
        <v>1675</v>
      </c>
      <c r="D505" s="107" t="s">
        <v>1661</v>
      </c>
      <c r="E505" s="108" t="s">
        <v>1676</v>
      </c>
      <c r="F505" s="108" t="s">
        <v>1677</v>
      </c>
      <c r="G505" s="108" t="s">
        <v>1347</v>
      </c>
      <c r="H505" s="131" t="s">
        <v>1678</v>
      </c>
      <c r="I505" s="109">
        <v>4</v>
      </c>
      <c r="J505" s="109" t="s">
        <v>516</v>
      </c>
      <c r="K505" s="105" t="s">
        <v>1679</v>
      </c>
      <c r="L505" s="107" t="str">
        <f ca="1">VLOOKUP($K505,OFFSET([1]character_type_i18n!$A$1,0,0,COUNTA([1]character_type_i18n!$A:$A),MATCH(L$1,[1]character_type_i18n!$1:$1,0)-MATCH($K$1,[1]character_type_i18n!$1:$1,0)+1),MATCH(L$1,[1]character_type_i18n!$1:$1,0)-MATCH($K$1,[1]character_type_i18n!$1:$1,0)+1,FALSE)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05" s="105" t="s">
        <v>1680</v>
      </c>
      <c r="N505" s="107" t="str">
        <f>VLOOKUP(M505,[1]character_tribe_i18n!A:C,3,FALSE)</f>
        <v>アニマル</v>
      </c>
      <c r="O505" s="105" t="s">
        <v>1681</v>
      </c>
      <c r="P505" s="107" t="str">
        <f>VLOOKUP(O505,[1]character_tribe_i18n!A:C,3,FALSE)</f>
        <v>Unknown</v>
      </c>
      <c r="Q505" s="110" t="s">
        <v>1682</v>
      </c>
      <c r="R505" s="111">
        <v>3</v>
      </c>
      <c r="S505" s="108" t="s">
        <v>611</v>
      </c>
      <c r="T505" s="108" t="s">
        <v>893</v>
      </c>
      <c r="U505" s="108" t="s">
        <v>898</v>
      </c>
      <c r="V505" s="108" t="s">
        <v>894</v>
      </c>
      <c r="W505" s="108" t="s">
        <v>894</v>
      </c>
    </row>
    <row r="506" spans="1:23" ht="21" customHeight="1" x14ac:dyDescent="0.15">
      <c r="A506" s="104">
        <f t="shared" si="7"/>
        <v>505</v>
      </c>
      <c r="B506" s="105" t="s">
        <v>1261</v>
      </c>
      <c r="C506" s="121" t="s">
        <v>1683</v>
      </c>
      <c r="D506" s="107" t="s">
        <v>1671</v>
      </c>
      <c r="E506" s="108" t="s">
        <v>1684</v>
      </c>
      <c r="F506" s="108" t="s">
        <v>1685</v>
      </c>
      <c r="G506" s="108" t="s">
        <v>1347</v>
      </c>
      <c r="H506" s="131" t="s">
        <v>1686</v>
      </c>
      <c r="I506" s="109">
        <v>5</v>
      </c>
      <c r="J506" s="109" t="s">
        <v>516</v>
      </c>
      <c r="K506" s="105" t="s">
        <v>1687</v>
      </c>
      <c r="L506" s="107" t="str">
        <f ca="1">VLOOKUP($K506,OFFSET([1]character_type_i18n!$A$1,0,0,COUNTA([1]character_type_i18n!$A:$A),MATCH(L$1,[1]character_type_i18n!$1:$1,0)-MATCH($K$1,[1]character_type_i18n!$1:$1,0)+1),MATCH(L$1,[1]character_type_i18n!$1:$1,0)-MATCH($K$1,[1]character_type_i18n!$1:$1,0)+1,FALSE)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06" s="105" t="s">
        <v>1688</v>
      </c>
      <c r="N506" s="107" t="str">
        <f>VLOOKUP(M506,[1]character_tribe_i18n!A:C,3,FALSE)</f>
        <v>アニマル</v>
      </c>
      <c r="O506" s="105" t="s">
        <v>1164</v>
      </c>
      <c r="P506" s="107" t="str">
        <f>VLOOKUP(O506,[1]character_tribe_i18n!A:C,3,FALSE)</f>
        <v>Unknown</v>
      </c>
      <c r="Q506" s="110" t="s">
        <v>1656</v>
      </c>
      <c r="R506" s="111">
        <v>3</v>
      </c>
      <c r="S506" s="108" t="s">
        <v>898</v>
      </c>
      <c r="T506" s="108" t="s">
        <v>893</v>
      </c>
      <c r="U506" s="108" t="s">
        <v>898</v>
      </c>
      <c r="V506" s="108" t="s">
        <v>898</v>
      </c>
      <c r="W506" s="108" t="s">
        <v>898</v>
      </c>
    </row>
    <row r="507" spans="1:23" ht="21" customHeight="1" x14ac:dyDescent="0.15">
      <c r="A507" s="104">
        <f t="shared" si="7"/>
        <v>506</v>
      </c>
      <c r="B507" s="105" t="s">
        <v>1689</v>
      </c>
      <c r="C507" s="121" t="s">
        <v>1690</v>
      </c>
      <c r="D507" s="107" t="s">
        <v>1661</v>
      </c>
      <c r="E507" s="108" t="s">
        <v>1576</v>
      </c>
      <c r="F507" s="108" t="s">
        <v>1577</v>
      </c>
      <c r="G507" s="108" t="s">
        <v>853</v>
      </c>
      <c r="H507" s="131" t="s">
        <v>768</v>
      </c>
      <c r="I507" s="109">
        <v>4</v>
      </c>
      <c r="J507" s="109" t="s">
        <v>516</v>
      </c>
      <c r="K507" s="105" t="s">
        <v>1505</v>
      </c>
      <c r="L507" s="107" t="str">
        <f ca="1">VLOOKUP($K507,OFFSET([1]character_type_i18n!$A$1,0,0,COUNTA([1]character_type_i18n!$A:$A),MATCH(L$1,[1]character_type_i18n!$1:$1,0)-MATCH($K$1,[1]character_type_i18n!$1:$1,0)+1),MATCH(L$1,[1]character_type_i18n!$1:$1,0)-MATCH($K$1,[1]character_type_i18n!$1:$1,0)+1,FALSE)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07" s="105" t="s">
        <v>1011</v>
      </c>
      <c r="N507" s="107" t="str">
        <f>VLOOKUP(M507,[1]character_tribe_i18n!A:C,3,FALSE)</f>
        <v>ヒューマン</v>
      </c>
      <c r="O507" s="105" t="s">
        <v>1691</v>
      </c>
      <c r="P507" s="107" t="str">
        <f>VLOOKUP(O507,[1]character_tribe_i18n!A:C,3,FALSE)</f>
        <v>マシン</v>
      </c>
      <c r="Q507" s="110" t="s">
        <v>279</v>
      </c>
      <c r="R507" s="111">
        <v>3</v>
      </c>
      <c r="S507" s="108" t="s">
        <v>280</v>
      </c>
      <c r="T507" s="108" t="s">
        <v>281</v>
      </c>
      <c r="U507" s="108" t="s">
        <v>280</v>
      </c>
      <c r="V507" s="108" t="s">
        <v>280</v>
      </c>
      <c r="W507" s="108" t="s">
        <v>280</v>
      </c>
    </row>
    <row r="508" spans="1:23" ht="21" customHeight="1" x14ac:dyDescent="0.15">
      <c r="A508" s="104">
        <f t="shared" si="7"/>
        <v>507</v>
      </c>
      <c r="B508" s="105" t="s">
        <v>268</v>
      </c>
      <c r="C508" s="121" t="s">
        <v>1692</v>
      </c>
      <c r="D508" s="107" t="s">
        <v>1671</v>
      </c>
      <c r="E508" s="108" t="s">
        <v>1693</v>
      </c>
      <c r="F508" s="108" t="s">
        <v>1694</v>
      </c>
      <c r="G508" s="108" t="s">
        <v>853</v>
      </c>
      <c r="H508" s="131" t="s">
        <v>1695</v>
      </c>
      <c r="I508" s="109">
        <v>5</v>
      </c>
      <c r="J508" s="109" t="s">
        <v>516</v>
      </c>
      <c r="K508" s="105" t="s">
        <v>1696</v>
      </c>
      <c r="L508" s="107" t="str">
        <f ca="1">VLOOKUP($K508,OFFSET([1]character_type_i18n!$A$1,0,0,COUNTA([1]character_type_i18n!$A:$A),MATCH(L$1,[1]character_type_i18n!$1:$1,0)-MATCH($K$1,[1]character_type_i18n!$1:$1,0)+1),MATCH(L$1,[1]character_type_i18n!$1:$1,0)-MATCH($K$1,[1]character_type_i18n!$1:$1,0)+1,FALSE)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08" s="105" t="s">
        <v>1697</v>
      </c>
      <c r="N508" s="107" t="str">
        <f>VLOOKUP(M508,[1]character_tribe_i18n!A:C,3,FALSE)</f>
        <v>ヒューマン</v>
      </c>
      <c r="O508" s="105" t="s">
        <v>1017</v>
      </c>
      <c r="P508" s="107" t="str">
        <f>VLOOKUP(O508,[1]character_tribe_i18n!A:C,3,FALSE)</f>
        <v>マシン</v>
      </c>
      <c r="Q508" s="110" t="s">
        <v>279</v>
      </c>
      <c r="R508" s="111">
        <v>3</v>
      </c>
      <c r="S508" s="108" t="s">
        <v>280</v>
      </c>
      <c r="T508" s="108" t="s">
        <v>281</v>
      </c>
      <c r="U508" s="108" t="s">
        <v>280</v>
      </c>
      <c r="V508" s="108" t="s">
        <v>280</v>
      </c>
      <c r="W508" s="108" t="s">
        <v>280</v>
      </c>
    </row>
    <row r="509" spans="1:23" ht="21" customHeight="1" x14ac:dyDescent="0.15">
      <c r="A509" s="104">
        <f t="shared" si="7"/>
        <v>508</v>
      </c>
      <c r="B509" s="105" t="s">
        <v>268</v>
      </c>
      <c r="C509" s="121" t="s">
        <v>1698</v>
      </c>
      <c r="D509" s="107" t="s">
        <v>1661</v>
      </c>
      <c r="E509" s="108" t="s">
        <v>709</v>
      </c>
      <c r="F509" s="108" t="s">
        <v>1519</v>
      </c>
      <c r="G509" s="108" t="s">
        <v>1347</v>
      </c>
      <c r="H509" s="131" t="s">
        <v>300</v>
      </c>
      <c r="I509" s="109">
        <v>4</v>
      </c>
      <c r="J509" s="109" t="s">
        <v>516</v>
      </c>
      <c r="K509" s="105" t="s">
        <v>1699</v>
      </c>
      <c r="L509" s="107" t="str">
        <f ca="1">VLOOKUP($K509,OFFSET([1]character_type_i18n!$A$1,0,0,COUNTA([1]character_type_i18n!$A:$A),MATCH(L$1,[1]character_type_i18n!$1:$1,0)-MATCH($K$1,[1]character_type_i18n!$1:$1,0)+1),MATCH(L$1,[1]character_type_i18n!$1:$1,0)-MATCH($K$1,[1]character_type_i18n!$1:$1,0)+1,FALSE)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09" s="105" t="s">
        <v>1164</v>
      </c>
      <c r="N509" s="107" t="str">
        <f>VLOOKUP(M509,[1]character_tribe_i18n!A:C,3,FALSE)</f>
        <v>Unknown</v>
      </c>
      <c r="O509" s="105" t="s">
        <v>1700</v>
      </c>
      <c r="P509" s="107" t="str">
        <f>VLOOKUP(O509,[1]character_tribe_i18n!A:C,3,FALSE)</f>
        <v>種族なし</v>
      </c>
      <c r="Q509" s="110" t="s">
        <v>1539</v>
      </c>
      <c r="R509" s="111">
        <v>3</v>
      </c>
      <c r="S509" s="108" t="s">
        <v>1540</v>
      </c>
      <c r="T509" s="108" t="s">
        <v>1701</v>
      </c>
      <c r="U509" s="108" t="s">
        <v>540</v>
      </c>
      <c r="V509" s="108" t="s">
        <v>894</v>
      </c>
      <c r="W509" s="108" t="s">
        <v>894</v>
      </c>
    </row>
    <row r="510" spans="1:23" ht="21" customHeight="1" x14ac:dyDescent="0.15">
      <c r="A510" s="104">
        <f t="shared" si="7"/>
        <v>509</v>
      </c>
      <c r="B510" s="105" t="s">
        <v>1261</v>
      </c>
      <c r="C510" s="121" t="s">
        <v>1702</v>
      </c>
      <c r="D510" s="107" t="s">
        <v>1671</v>
      </c>
      <c r="E510" s="108" t="s">
        <v>709</v>
      </c>
      <c r="F510" s="108" t="s">
        <v>532</v>
      </c>
      <c r="G510" s="108" t="s">
        <v>1347</v>
      </c>
      <c r="H510" s="131" t="s">
        <v>300</v>
      </c>
      <c r="I510" s="109">
        <v>5</v>
      </c>
      <c r="J510" s="109" t="s">
        <v>516</v>
      </c>
      <c r="K510" s="105" t="s">
        <v>1453</v>
      </c>
      <c r="L510" s="107" t="str">
        <f ca="1">VLOOKUP($K510,OFFSET([1]character_type_i18n!$A$1,0,0,COUNTA([1]character_type_i18n!$A:$A),MATCH(L$1,[1]character_type_i18n!$1:$1,0)-MATCH($K$1,[1]character_type_i18n!$1:$1,0)+1),MATCH(L$1,[1]character_type_i18n!$1:$1,0)-MATCH($K$1,[1]character_type_i18n!$1:$1,0)+1,FALSE)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10" s="105" t="s">
        <v>1703</v>
      </c>
      <c r="N510" s="107" t="str">
        <f>VLOOKUP(M510,[1]character_tribe_i18n!A:C,3,FALSE)</f>
        <v>Unknown</v>
      </c>
      <c r="O510" s="105" t="s">
        <v>1704</v>
      </c>
      <c r="P510" s="107" t="str">
        <f>VLOOKUP(O510,[1]character_tribe_i18n!A:C,3,FALSE)</f>
        <v>種族なし</v>
      </c>
      <c r="Q510" s="110" t="s">
        <v>1358</v>
      </c>
      <c r="R510" s="111">
        <v>3</v>
      </c>
      <c r="S510" s="108" t="s">
        <v>1359</v>
      </c>
      <c r="T510" s="108" t="s">
        <v>281</v>
      </c>
      <c r="U510" s="108" t="s">
        <v>280</v>
      </c>
      <c r="V510" s="108" t="s">
        <v>894</v>
      </c>
      <c r="W510" s="108" t="s">
        <v>894</v>
      </c>
    </row>
    <row r="511" spans="1:23" ht="21" customHeight="1" x14ac:dyDescent="0.15">
      <c r="A511" s="104">
        <f t="shared" si="7"/>
        <v>510</v>
      </c>
      <c r="B511" s="105" t="s">
        <v>1261</v>
      </c>
      <c r="C511" s="121" t="s">
        <v>1705</v>
      </c>
      <c r="D511" s="107" t="s">
        <v>1706</v>
      </c>
      <c r="E511" s="108" t="s">
        <v>1707</v>
      </c>
      <c r="F511" s="108" t="s">
        <v>1708</v>
      </c>
      <c r="G511" s="108" t="s">
        <v>1347</v>
      </c>
      <c r="H511" s="131" t="s">
        <v>1663</v>
      </c>
      <c r="I511" s="109">
        <v>4</v>
      </c>
      <c r="J511" s="109" t="s">
        <v>516</v>
      </c>
      <c r="K511" s="105" t="s">
        <v>1273</v>
      </c>
      <c r="L511" s="107" t="str">
        <f ca="1">VLOOKUP($K511,OFFSET([1]character_type_i18n!$A$1,0,0,COUNTA([1]character_type_i18n!$A:$A),MATCH(L$1,[1]character_type_i18n!$1:$1,0)-MATCH($K$1,[1]character_type_i18n!$1:$1,0)+1),MATCH(L$1,[1]character_type_i18n!$1:$1,0)-MATCH($K$1,[1]character_type_i18n!$1:$1,0)+1,FALSE)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1" s="105" t="s">
        <v>1709</v>
      </c>
      <c r="N511" s="107" t="str">
        <f>VLOOKUP(M511,[1]character_tribe_i18n!A:C,3,FALSE)</f>
        <v>ドラゴン</v>
      </c>
      <c r="O511" s="105" t="s">
        <v>278</v>
      </c>
      <c r="P511" s="107" t="str">
        <f>VLOOKUP(O511,[1]character_tribe_i18n!A:C,3,FALSE)</f>
        <v>種族なし</v>
      </c>
      <c r="Q511" s="110" t="s">
        <v>1656</v>
      </c>
      <c r="R511" s="111">
        <v>3</v>
      </c>
      <c r="S511" s="108" t="s">
        <v>898</v>
      </c>
      <c r="T511" s="108" t="s">
        <v>281</v>
      </c>
      <c r="U511" s="108" t="s">
        <v>280</v>
      </c>
      <c r="V511" s="108" t="s">
        <v>894</v>
      </c>
      <c r="W511" s="108" t="s">
        <v>894</v>
      </c>
    </row>
    <row r="512" spans="1:23" ht="21" customHeight="1" x14ac:dyDescent="0.15">
      <c r="A512" s="104">
        <f t="shared" si="7"/>
        <v>511</v>
      </c>
      <c r="B512" s="105" t="s">
        <v>1261</v>
      </c>
      <c r="C512" s="121" t="s">
        <v>1710</v>
      </c>
      <c r="D512" s="107" t="s">
        <v>1711</v>
      </c>
      <c r="E512" s="108" t="s">
        <v>1712</v>
      </c>
      <c r="F512" s="108" t="s">
        <v>1713</v>
      </c>
      <c r="G512" s="108" t="s">
        <v>1714</v>
      </c>
      <c r="H512" s="131" t="s">
        <v>1715</v>
      </c>
      <c r="I512" s="109">
        <v>5</v>
      </c>
      <c r="J512" s="109" t="s">
        <v>516</v>
      </c>
      <c r="K512" s="105" t="s">
        <v>1716</v>
      </c>
      <c r="L512" s="107" t="str">
        <f ca="1">VLOOKUP($K512,OFFSET([1]character_type_i18n!$A$1,0,0,COUNTA([1]character_type_i18n!$A:$A),MATCH(L$1,[1]character_type_i18n!$1:$1,0)-MATCH($K$1,[1]character_type_i18n!$1:$1,0)+1),MATCH(L$1,[1]character_type_i18n!$1:$1,0)-MATCH($K$1,[1]character_type_i18n!$1:$1,0)+1,FALSE)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2" s="105" t="s">
        <v>1717</v>
      </c>
      <c r="N512" s="107" t="str">
        <f>VLOOKUP(M512,[1]character_tribe_i18n!A:C,3,FALSE)</f>
        <v>ドラゴン</v>
      </c>
      <c r="O512" s="105" t="s">
        <v>278</v>
      </c>
      <c r="P512" s="107" t="str">
        <f>VLOOKUP(O512,[1]character_tribe_i18n!A:C,3,FALSE)</f>
        <v>種族なし</v>
      </c>
      <c r="Q512" s="110" t="s">
        <v>1658</v>
      </c>
      <c r="R512" s="111">
        <v>3</v>
      </c>
      <c r="S512" s="108" t="s">
        <v>1659</v>
      </c>
      <c r="T512" s="108" t="s">
        <v>281</v>
      </c>
      <c r="U512" s="108" t="s">
        <v>280</v>
      </c>
      <c r="V512" s="108" t="s">
        <v>894</v>
      </c>
      <c r="W512" s="108" t="s">
        <v>894</v>
      </c>
    </row>
    <row r="513" spans="1:23" ht="21" customHeight="1" x14ac:dyDescent="0.15">
      <c r="A513" s="104">
        <f t="shared" si="7"/>
        <v>512</v>
      </c>
      <c r="B513" s="105" t="s">
        <v>268</v>
      </c>
      <c r="C513" s="121" t="s">
        <v>1718</v>
      </c>
      <c r="D513" s="107" t="s">
        <v>1719</v>
      </c>
      <c r="E513" s="108" t="s">
        <v>709</v>
      </c>
      <c r="F513" s="108" t="s">
        <v>532</v>
      </c>
      <c r="G513" s="108" t="s">
        <v>710</v>
      </c>
      <c r="H513" s="131" t="s">
        <v>274</v>
      </c>
      <c r="I513" s="109">
        <v>4</v>
      </c>
      <c r="J513" s="109" t="s">
        <v>805</v>
      </c>
      <c r="K513" s="105" t="s">
        <v>1005</v>
      </c>
      <c r="L513" s="107" t="str">
        <f ca="1">VLOOKUP($K513,OFFSET([1]character_type_i18n!$A$1,0,0,COUNTA([1]character_type_i18n!$A:$A),MATCH(L$1,[1]character_type_i18n!$1:$1,0)-MATCH($K$1,[1]character_type_i18n!$1:$1,0)+1),MATCH(L$1,[1]character_type_i18n!$1:$1,0)-MATCH($K$1,[1]character_type_i18n!$1:$1,0)+1,FALSE)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3" s="105" t="s">
        <v>1720</v>
      </c>
      <c r="N513" s="107" t="str">
        <f>VLOOKUP(M513,[1]character_tribe_i18n!A:C,3,FALSE)</f>
        <v>ゴッド</v>
      </c>
      <c r="O513" s="105" t="s">
        <v>278</v>
      </c>
      <c r="P513" s="107" t="str">
        <f>VLOOKUP(O513,[1]character_tribe_i18n!A:C,3,FALSE)</f>
        <v>種族なし</v>
      </c>
      <c r="Q513" s="110" t="s">
        <v>279</v>
      </c>
      <c r="R513" s="111">
        <v>3</v>
      </c>
      <c r="S513" s="108" t="s">
        <v>280</v>
      </c>
      <c r="T513" s="108" t="s">
        <v>1701</v>
      </c>
      <c r="U513" s="108" t="s">
        <v>540</v>
      </c>
      <c r="V513" s="108" t="s">
        <v>894</v>
      </c>
      <c r="W513" s="108" t="s">
        <v>894</v>
      </c>
    </row>
    <row r="514" spans="1:23" ht="21" customHeight="1" x14ac:dyDescent="0.15">
      <c r="A514" s="104">
        <f t="shared" si="7"/>
        <v>513</v>
      </c>
      <c r="B514" s="105" t="s">
        <v>1261</v>
      </c>
      <c r="C514" s="121" t="s">
        <v>1721</v>
      </c>
      <c r="D514" s="107" t="s">
        <v>1722</v>
      </c>
      <c r="E514" s="108" t="s">
        <v>1723</v>
      </c>
      <c r="F514" s="108" t="s">
        <v>1272</v>
      </c>
      <c r="G514" s="108" t="s">
        <v>1544</v>
      </c>
      <c r="H514" s="131" t="s">
        <v>274</v>
      </c>
      <c r="I514" s="109">
        <v>5</v>
      </c>
      <c r="J514" s="109" t="s">
        <v>805</v>
      </c>
      <c r="K514" s="105" t="s">
        <v>1724</v>
      </c>
      <c r="L514" s="107" t="str">
        <f ca="1">VLOOKUP($K514,OFFSET([1]character_type_i18n!$A$1,0,0,COUNTA([1]character_type_i18n!$A:$A),MATCH(L$1,[1]character_type_i18n!$1:$1,0)-MATCH($K$1,[1]character_type_i18n!$1:$1,0)+1),MATCH(L$1,[1]character_type_i18n!$1:$1,0)-MATCH($K$1,[1]character_type_i18n!$1:$1,0)+1,FALSE)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4" s="105" t="s">
        <v>1725</v>
      </c>
      <c r="N514" s="107" t="str">
        <f>VLOOKUP(M514,[1]character_tribe_i18n!A:C,3,FALSE)</f>
        <v>ゴッド</v>
      </c>
      <c r="O514" s="105" t="s">
        <v>278</v>
      </c>
      <c r="P514" s="107" t="str">
        <f>VLOOKUP(O514,[1]character_tribe_i18n!A:C,3,FALSE)</f>
        <v>種族なし</v>
      </c>
      <c r="Q514" s="110" t="s">
        <v>1358</v>
      </c>
      <c r="R514" s="111">
        <v>3</v>
      </c>
      <c r="S514" s="108" t="s">
        <v>1359</v>
      </c>
      <c r="T514" s="108" t="s">
        <v>281</v>
      </c>
      <c r="U514" s="108" t="s">
        <v>280</v>
      </c>
      <c r="V514" s="108" t="s">
        <v>894</v>
      </c>
      <c r="W514" s="108" t="s">
        <v>894</v>
      </c>
    </row>
    <row r="515" spans="1:23" ht="21" customHeight="1" x14ac:dyDescent="0.15">
      <c r="A515" s="104">
        <f t="shared" ref="A515:A579" si="8">ROW()-1</f>
        <v>514</v>
      </c>
      <c r="B515" s="105" t="s">
        <v>1726</v>
      </c>
      <c r="C515" s="121" t="s">
        <v>1727</v>
      </c>
      <c r="D515" s="107" t="s">
        <v>1728</v>
      </c>
      <c r="E515" s="108" t="s">
        <v>1729</v>
      </c>
      <c r="F515" s="108" t="s">
        <v>1730</v>
      </c>
      <c r="G515" s="108" t="s">
        <v>853</v>
      </c>
      <c r="H515" s="131" t="s">
        <v>285</v>
      </c>
      <c r="I515" s="109">
        <v>4</v>
      </c>
      <c r="J515" s="109" t="s">
        <v>805</v>
      </c>
      <c r="K515" s="105" t="s">
        <v>1731</v>
      </c>
      <c r="L515" s="107" t="str">
        <f ca="1">VLOOKUP($K515,OFFSET([1]character_type_i18n!$A$1,0,0,COUNTA([1]character_type_i18n!$A:$A),MATCH(L$1,[1]character_type_i18n!$1:$1,0)-MATCH($K$1,[1]character_type_i18n!$1:$1,0)+1),MATCH(L$1,[1]character_type_i18n!$1:$1,0)-MATCH($K$1,[1]character_type_i18n!$1:$1,0)+1,FALSE)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5" s="105" t="s">
        <v>1732</v>
      </c>
      <c r="N515" s="107" t="str">
        <f>VLOOKUP(M515,[1]character_tribe_i18n!A:C,3,FALSE)</f>
        <v>ゴッド</v>
      </c>
      <c r="O515" s="105" t="s">
        <v>278</v>
      </c>
      <c r="P515" s="107" t="str">
        <f>VLOOKUP(O515,[1]character_tribe_i18n!A:C,3,FALSE)</f>
        <v>種族なし</v>
      </c>
      <c r="Q515" s="110" t="s">
        <v>1733</v>
      </c>
      <c r="R515" s="111">
        <v>3</v>
      </c>
      <c r="S515" s="108" t="s">
        <v>1734</v>
      </c>
      <c r="T515" s="108" t="s">
        <v>281</v>
      </c>
      <c r="U515" s="108" t="s">
        <v>280</v>
      </c>
      <c r="V515" s="108" t="s">
        <v>894</v>
      </c>
      <c r="W515" s="108" t="s">
        <v>894</v>
      </c>
    </row>
    <row r="516" spans="1:23" ht="21" customHeight="1" x14ac:dyDescent="0.15">
      <c r="A516" s="104">
        <f t="shared" si="8"/>
        <v>515</v>
      </c>
      <c r="B516" s="105" t="s">
        <v>1261</v>
      </c>
      <c r="C516" s="121" t="s">
        <v>1735</v>
      </c>
      <c r="D516" s="107" t="s">
        <v>1728</v>
      </c>
      <c r="E516" s="108" t="s">
        <v>709</v>
      </c>
      <c r="F516" s="108" t="s">
        <v>532</v>
      </c>
      <c r="G516" s="108" t="s">
        <v>853</v>
      </c>
      <c r="H516" s="131" t="s">
        <v>285</v>
      </c>
      <c r="I516" s="109">
        <v>5</v>
      </c>
      <c r="J516" s="109" t="s">
        <v>805</v>
      </c>
      <c r="K516" s="105" t="s">
        <v>1392</v>
      </c>
      <c r="L516" s="107" t="str">
        <f ca="1">VLOOKUP($K516,OFFSET([1]character_type_i18n!$A$1,0,0,COUNTA([1]character_type_i18n!$A:$A),MATCH(L$1,[1]character_type_i18n!$1:$1,0)-MATCH($K$1,[1]character_type_i18n!$1:$1,0)+1),MATCH(L$1,[1]character_type_i18n!$1:$1,0)-MATCH($K$1,[1]character_type_i18n!$1:$1,0)+1,FALSE)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6" s="105" t="s">
        <v>1736</v>
      </c>
      <c r="N516" s="107" t="str">
        <f>VLOOKUP(M516,[1]character_tribe_i18n!A:C,3,FALSE)</f>
        <v>ゴッド</v>
      </c>
      <c r="O516" s="105" t="s">
        <v>278</v>
      </c>
      <c r="P516" s="107" t="str">
        <f>VLOOKUP(O516,[1]character_tribe_i18n!A:C,3,FALSE)</f>
        <v>種族なし</v>
      </c>
      <c r="Q516" s="110" t="s">
        <v>279</v>
      </c>
      <c r="R516" s="111">
        <v>3</v>
      </c>
      <c r="S516" s="108" t="s">
        <v>280</v>
      </c>
      <c r="T516" s="108" t="s">
        <v>281</v>
      </c>
      <c r="U516" s="108" t="s">
        <v>280</v>
      </c>
      <c r="V516" s="108" t="s">
        <v>280</v>
      </c>
      <c r="W516" s="108" t="s">
        <v>280</v>
      </c>
    </row>
    <row r="517" spans="1:23" ht="21" customHeight="1" x14ac:dyDescent="0.15">
      <c r="A517" s="104">
        <f t="shared" si="8"/>
        <v>516</v>
      </c>
      <c r="B517" s="105" t="s">
        <v>268</v>
      </c>
      <c r="C517" s="121" t="s">
        <v>1737</v>
      </c>
      <c r="D517" s="107" t="s">
        <v>1728</v>
      </c>
      <c r="E517" s="108" t="s">
        <v>1738</v>
      </c>
      <c r="F517" s="108" t="s">
        <v>1739</v>
      </c>
      <c r="G517" s="108" t="s">
        <v>853</v>
      </c>
      <c r="H517" s="131" t="s">
        <v>295</v>
      </c>
      <c r="I517" s="109">
        <v>4</v>
      </c>
      <c r="J517" s="109" t="s">
        <v>1001</v>
      </c>
      <c r="K517" s="105" t="s">
        <v>989</v>
      </c>
      <c r="L517" s="107" t="str">
        <f ca="1">VLOOKUP($K517,OFFSET([1]character_type_i18n!$A$1,0,0,COUNTA([1]character_type_i18n!$A:$A),MATCH(L$1,[1]character_type_i18n!$1:$1,0)-MATCH($K$1,[1]character_type_i18n!$1:$1,0)+1),MATCH(L$1,[1]character_type_i18n!$1:$1,0)-MATCH($K$1,[1]character_type_i18n!$1:$1,0)+1,FALSE)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17" s="105" t="s">
        <v>1257</v>
      </c>
      <c r="N517" s="107" t="str">
        <f>VLOOKUP(M517,[1]character_tribe_i18n!A:C,3,FALSE)</f>
        <v>ヒューマン</v>
      </c>
      <c r="O517" s="105" t="s">
        <v>278</v>
      </c>
      <c r="P517" s="107" t="str">
        <f>VLOOKUP(O517,[1]character_tribe_i18n!A:C,3,FALSE)</f>
        <v>種族なし</v>
      </c>
      <c r="Q517" s="110" t="s">
        <v>279</v>
      </c>
      <c r="R517" s="111">
        <v>3</v>
      </c>
      <c r="S517" s="108" t="s">
        <v>280</v>
      </c>
      <c r="T517" s="108" t="s">
        <v>893</v>
      </c>
      <c r="U517" s="108" t="s">
        <v>898</v>
      </c>
      <c r="V517" s="108" t="s">
        <v>894</v>
      </c>
      <c r="W517" s="108" t="s">
        <v>894</v>
      </c>
    </row>
    <row r="518" spans="1:23" ht="21" customHeight="1" x14ac:dyDescent="0.15">
      <c r="A518" s="104">
        <f t="shared" si="8"/>
        <v>517</v>
      </c>
      <c r="B518" s="105" t="s">
        <v>1261</v>
      </c>
      <c r="C518" s="121" t="s">
        <v>1740</v>
      </c>
      <c r="D518" s="107" t="s">
        <v>1728</v>
      </c>
      <c r="E518" s="108" t="s">
        <v>1741</v>
      </c>
      <c r="F518" s="108" t="s">
        <v>1708</v>
      </c>
      <c r="G518" s="108" t="s">
        <v>853</v>
      </c>
      <c r="H518" s="131" t="s">
        <v>295</v>
      </c>
      <c r="I518" s="109">
        <v>5</v>
      </c>
      <c r="J518" s="109" t="s">
        <v>1263</v>
      </c>
      <c r="K518" s="105" t="s">
        <v>1742</v>
      </c>
      <c r="L518" s="107" t="str">
        <f ca="1">VLOOKUP($K518,OFFSET([1]character_type_i18n!$A$1,0,0,COUNTA([1]character_type_i18n!$A:$A),MATCH(L$1,[1]character_type_i18n!$1:$1,0)-MATCH($K$1,[1]character_type_i18n!$1:$1,0)+1),MATCH(L$1,[1]character_type_i18n!$1:$1,0)-MATCH($K$1,[1]character_type_i18n!$1:$1,0)+1,FALSE)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18" s="105" t="s">
        <v>1257</v>
      </c>
      <c r="N518" s="107" t="str">
        <f>VLOOKUP(M518,[1]character_tribe_i18n!A:C,3,FALSE)</f>
        <v>ヒューマン</v>
      </c>
      <c r="O518" s="105" t="s">
        <v>278</v>
      </c>
      <c r="P518" s="107" t="str">
        <f>VLOOKUP(O518,[1]character_tribe_i18n!A:C,3,FALSE)</f>
        <v>種族なし</v>
      </c>
      <c r="Q518" s="110" t="s">
        <v>1539</v>
      </c>
      <c r="R518" s="111">
        <v>3</v>
      </c>
      <c r="S518" s="108" t="s">
        <v>1540</v>
      </c>
      <c r="T518" s="108" t="s">
        <v>1743</v>
      </c>
      <c r="U518" s="108" t="s">
        <v>1744</v>
      </c>
      <c r="V518" s="108" t="s">
        <v>894</v>
      </c>
      <c r="W518" s="108" t="s">
        <v>894</v>
      </c>
    </row>
    <row r="519" spans="1:23" ht="21" customHeight="1" x14ac:dyDescent="0.15">
      <c r="A519" s="104">
        <f t="shared" si="8"/>
        <v>518</v>
      </c>
      <c r="B519" s="105" t="s">
        <v>268</v>
      </c>
      <c r="C519" s="121" t="s">
        <v>1745</v>
      </c>
      <c r="D519" s="107" t="s">
        <v>1728</v>
      </c>
      <c r="E519" s="108" t="s">
        <v>709</v>
      </c>
      <c r="F519" s="108" t="s">
        <v>532</v>
      </c>
      <c r="G519" s="108" t="s">
        <v>853</v>
      </c>
      <c r="H519" s="131" t="s">
        <v>300</v>
      </c>
      <c r="I519" s="109">
        <v>4</v>
      </c>
      <c r="J519" s="109" t="s">
        <v>805</v>
      </c>
      <c r="K519" s="105" t="s">
        <v>1392</v>
      </c>
      <c r="L519" s="107" t="str">
        <f ca="1">VLOOKUP($K519,OFFSET([1]character_type_i18n!$A$1,0,0,COUNTA([1]character_type_i18n!$A:$A),MATCH(L$1,[1]character_type_i18n!$1:$1,0)-MATCH($K$1,[1]character_type_i18n!$1:$1,0)+1),MATCH(L$1,[1]character_type_i18n!$1:$1,0)-MATCH($K$1,[1]character_type_i18n!$1:$1,0)+1,FALSE)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9" s="105" t="s">
        <v>1018</v>
      </c>
      <c r="N519" s="107" t="str">
        <f>VLOOKUP(M519,[1]character_tribe_i18n!A:C,3,FALSE)</f>
        <v>ゴッド</v>
      </c>
      <c r="O519" s="105" t="s">
        <v>1017</v>
      </c>
      <c r="P519" s="107" t="str">
        <f>VLOOKUP(O519,[1]character_tribe_i18n!A:C,3,FALSE)</f>
        <v>マシン</v>
      </c>
      <c r="Q519" s="110" t="s">
        <v>305</v>
      </c>
      <c r="R519" s="111">
        <v>3</v>
      </c>
      <c r="S519" s="108" t="s">
        <v>306</v>
      </c>
      <c r="T519" s="108" t="s">
        <v>307</v>
      </c>
      <c r="U519" s="108" t="s">
        <v>306</v>
      </c>
      <c r="V519" s="108" t="s">
        <v>306</v>
      </c>
      <c r="W519" s="108" t="s">
        <v>306</v>
      </c>
    </row>
    <row r="520" spans="1:23" ht="21" customHeight="1" x14ac:dyDescent="0.15">
      <c r="A520" s="104">
        <f t="shared" si="8"/>
        <v>519</v>
      </c>
      <c r="B520" s="105" t="s">
        <v>314</v>
      </c>
      <c r="C520" s="121" t="s">
        <v>1746</v>
      </c>
      <c r="D520" s="107" t="s">
        <v>1728</v>
      </c>
      <c r="E520" s="108" t="s">
        <v>1396</v>
      </c>
      <c r="F520" s="108" t="s">
        <v>1397</v>
      </c>
      <c r="G520" s="108" t="s">
        <v>853</v>
      </c>
      <c r="H520" s="131" t="s">
        <v>300</v>
      </c>
      <c r="I520" s="109">
        <v>5</v>
      </c>
      <c r="J520" s="109" t="s">
        <v>805</v>
      </c>
      <c r="K520" s="105" t="s">
        <v>1392</v>
      </c>
      <c r="L520" s="107" t="str">
        <f ca="1">VLOOKUP($K520,OFFSET([1]character_type_i18n!$A$1,0,0,COUNTA([1]character_type_i18n!$A:$A),MATCH(L$1,[1]character_type_i18n!$1:$1,0)-MATCH($K$1,[1]character_type_i18n!$1:$1,0)+1),MATCH(L$1,[1]character_type_i18n!$1:$1,0)-MATCH($K$1,[1]character_type_i18n!$1:$1,0)+1,FALSE)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20" s="105" t="s">
        <v>1018</v>
      </c>
      <c r="N520" s="107" t="str">
        <f>VLOOKUP(M520,[1]character_tribe_i18n!A:C,3,FALSE)</f>
        <v>ゴッド</v>
      </c>
      <c r="O520" s="105" t="s">
        <v>1017</v>
      </c>
      <c r="P520" s="107" t="str">
        <f>VLOOKUP(O520,[1]character_tribe_i18n!A:C,3,FALSE)</f>
        <v>マシン</v>
      </c>
      <c r="Q520" s="110" t="s">
        <v>279</v>
      </c>
      <c r="R520" s="111">
        <v>3</v>
      </c>
      <c r="S520" s="108" t="s">
        <v>280</v>
      </c>
      <c r="T520" s="108" t="s">
        <v>281</v>
      </c>
      <c r="U520" s="108" t="s">
        <v>280</v>
      </c>
      <c r="V520" s="108" t="s">
        <v>280</v>
      </c>
      <c r="W520" s="108" t="s">
        <v>280</v>
      </c>
    </row>
    <row r="521" spans="1:23" ht="21" customHeight="1" x14ac:dyDescent="0.15">
      <c r="A521" s="104">
        <f t="shared" si="8"/>
        <v>520</v>
      </c>
      <c r="B521" s="105" t="s">
        <v>268</v>
      </c>
      <c r="C521" s="121" t="s">
        <v>1747</v>
      </c>
      <c r="D521" s="107" t="s">
        <v>1748</v>
      </c>
      <c r="E521" s="108" t="s">
        <v>1749</v>
      </c>
      <c r="F521" s="108" t="s">
        <v>532</v>
      </c>
      <c r="G521" s="108" t="s">
        <v>1347</v>
      </c>
      <c r="H521" s="131" t="s">
        <v>274</v>
      </c>
      <c r="I521" s="109">
        <v>5</v>
      </c>
      <c r="J521" s="109" t="s">
        <v>1407</v>
      </c>
      <c r="K521" s="105" t="s">
        <v>1750</v>
      </c>
      <c r="L521" s="107" t="str">
        <f ca="1">VLOOKUP($K521,OFFSET([1]character_type_i18n!$A$1,0,0,COUNTA([1]character_type_i18n!$A:$A),MATCH(L$1,[1]character_type_i18n!$1:$1,0)-MATCH($K$1,[1]character_type_i18n!$1:$1,0)+1),MATCH(L$1,[1]character_type_i18n!$1:$1,0)-MATCH($K$1,[1]character_type_i18n!$1:$1,0)+1,FALSE)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521" s="105" t="s">
        <v>1164</v>
      </c>
      <c r="N521" s="107" t="str">
        <f>VLOOKUP(M521,[1]character_tribe_i18n!A:C,3,FALSE)</f>
        <v>Unknown</v>
      </c>
      <c r="O521" s="105" t="s">
        <v>278</v>
      </c>
      <c r="P521" s="107" t="str">
        <f>VLOOKUP(O521,[1]character_tribe_i18n!A:C,3,FALSE)</f>
        <v>種族なし</v>
      </c>
      <c r="Q521" s="110" t="s">
        <v>279</v>
      </c>
      <c r="R521" s="111">
        <v>3</v>
      </c>
      <c r="S521" s="108" t="s">
        <v>280</v>
      </c>
      <c r="T521" s="108" t="s">
        <v>281</v>
      </c>
      <c r="U521" s="108" t="s">
        <v>280</v>
      </c>
      <c r="V521" s="108" t="s">
        <v>280</v>
      </c>
      <c r="W521" s="108" t="s">
        <v>280</v>
      </c>
    </row>
    <row r="522" spans="1:23" ht="21" customHeight="1" x14ac:dyDescent="0.15">
      <c r="A522" s="104">
        <f t="shared" si="8"/>
        <v>521</v>
      </c>
      <c r="B522" s="105" t="s">
        <v>268</v>
      </c>
      <c r="C522" s="121" t="s">
        <v>1751</v>
      </c>
      <c r="D522" s="107" t="s">
        <v>1752</v>
      </c>
      <c r="E522" s="108" t="s">
        <v>709</v>
      </c>
      <c r="F522" s="108" t="s">
        <v>532</v>
      </c>
      <c r="G522" s="108" t="s">
        <v>1347</v>
      </c>
      <c r="H522" s="131" t="s">
        <v>285</v>
      </c>
      <c r="I522" s="109">
        <v>5</v>
      </c>
      <c r="J522" s="109" t="s">
        <v>1407</v>
      </c>
      <c r="K522" s="105" t="s">
        <v>1750</v>
      </c>
      <c r="L522" s="107" t="str">
        <f ca="1">VLOOKUP($K522,OFFSET([1]character_type_i18n!$A$1,0,0,COUNTA([1]character_type_i18n!$A:$A),MATCH(L$1,[1]character_type_i18n!$1:$1,0)-MATCH($K$1,[1]character_type_i18n!$1:$1,0)+1),MATCH(L$1,[1]character_type_i18n!$1:$1,0)-MATCH($K$1,[1]character_type_i18n!$1:$1,0)+1,FALSE)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522" s="105" t="s">
        <v>1164</v>
      </c>
      <c r="N522" s="107" t="str">
        <f>VLOOKUP(M522,[1]character_tribe_i18n!A:C,3,FALSE)</f>
        <v>Unknown</v>
      </c>
      <c r="O522" s="105" t="s">
        <v>278</v>
      </c>
      <c r="P522" s="107" t="str">
        <f>VLOOKUP(O522,[1]character_tribe_i18n!A:C,3,FALSE)</f>
        <v>種族なし</v>
      </c>
      <c r="Q522" s="110" t="s">
        <v>279</v>
      </c>
      <c r="R522" s="111">
        <v>3</v>
      </c>
      <c r="S522" s="108" t="s">
        <v>280</v>
      </c>
      <c r="T522" s="108" t="s">
        <v>281</v>
      </c>
      <c r="U522" s="108" t="s">
        <v>280</v>
      </c>
      <c r="V522" s="108" t="s">
        <v>280</v>
      </c>
      <c r="W522" s="108" t="s">
        <v>280</v>
      </c>
    </row>
    <row r="523" spans="1:23" ht="21" customHeight="1" x14ac:dyDescent="0.15">
      <c r="A523" s="104">
        <f t="shared" si="8"/>
        <v>522</v>
      </c>
      <c r="B523" s="105" t="s">
        <v>268</v>
      </c>
      <c r="C523" s="121" t="s">
        <v>1753</v>
      </c>
      <c r="D523" s="107" t="s">
        <v>1754</v>
      </c>
      <c r="E523" s="108" t="s">
        <v>709</v>
      </c>
      <c r="F523" s="108" t="s">
        <v>532</v>
      </c>
      <c r="G523" s="108" t="s">
        <v>1347</v>
      </c>
      <c r="H523" s="131" t="s">
        <v>295</v>
      </c>
      <c r="I523" s="109">
        <v>5</v>
      </c>
      <c r="J523" s="109" t="s">
        <v>1407</v>
      </c>
      <c r="K523" s="105" t="s">
        <v>1750</v>
      </c>
      <c r="L523" s="107" t="str">
        <f ca="1">VLOOKUP($K523,OFFSET([1]character_type_i18n!$A$1,0,0,COUNTA([1]character_type_i18n!$A:$A),MATCH(L$1,[1]character_type_i18n!$1:$1,0)-MATCH($K$1,[1]character_type_i18n!$1:$1,0)+1),MATCH(L$1,[1]character_type_i18n!$1:$1,0)-MATCH($K$1,[1]character_type_i18n!$1:$1,0)+1,FALSE)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523" s="105" t="s">
        <v>1164</v>
      </c>
      <c r="N523" s="107" t="str">
        <f>VLOOKUP(M523,[1]character_tribe_i18n!A:C,3,FALSE)</f>
        <v>Unknown</v>
      </c>
      <c r="O523" s="105" t="s">
        <v>278</v>
      </c>
      <c r="P523" s="107" t="str">
        <f>VLOOKUP(O523,[1]character_tribe_i18n!A:C,3,FALSE)</f>
        <v>種族なし</v>
      </c>
      <c r="Q523" s="110" t="s">
        <v>362</v>
      </c>
      <c r="R523" s="111">
        <v>3</v>
      </c>
      <c r="S523" s="108" t="s">
        <v>289</v>
      </c>
      <c r="T523" s="108" t="s">
        <v>288</v>
      </c>
      <c r="U523" s="108" t="s">
        <v>289</v>
      </c>
      <c r="V523" s="108" t="s">
        <v>289</v>
      </c>
      <c r="W523" s="108" t="s">
        <v>289</v>
      </c>
    </row>
    <row r="524" spans="1:23" ht="21" customHeight="1" x14ac:dyDescent="0.15">
      <c r="A524" s="104">
        <f t="shared" si="8"/>
        <v>523</v>
      </c>
      <c r="B524" s="105" t="s">
        <v>292</v>
      </c>
      <c r="C524" s="121" t="s">
        <v>1755</v>
      </c>
      <c r="D524" s="107" t="s">
        <v>1754</v>
      </c>
      <c r="E524" s="108" t="s">
        <v>848</v>
      </c>
      <c r="F524" s="108" t="s">
        <v>1422</v>
      </c>
      <c r="G524" s="108" t="s">
        <v>1347</v>
      </c>
      <c r="H524" s="131" t="s">
        <v>300</v>
      </c>
      <c r="I524" s="109">
        <v>5</v>
      </c>
      <c r="J524" s="109" t="s">
        <v>1407</v>
      </c>
      <c r="K524" s="105" t="s">
        <v>1750</v>
      </c>
      <c r="L524" s="107" t="str">
        <f ca="1">VLOOKUP($K524,OFFSET([1]character_type_i18n!$A$1,0,0,COUNTA([1]character_type_i18n!$A:$A),MATCH(L$1,[1]character_type_i18n!$1:$1,0)-MATCH($K$1,[1]character_type_i18n!$1:$1,0)+1),MATCH(L$1,[1]character_type_i18n!$1:$1,0)-MATCH($K$1,[1]character_type_i18n!$1:$1,0)+1,FALSE)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524" s="105" t="s">
        <v>1152</v>
      </c>
      <c r="N524" s="107" t="str">
        <f>VLOOKUP(M524,[1]character_tribe_i18n!A:C,3,FALSE)</f>
        <v>Unknown</v>
      </c>
      <c r="O524" s="105" t="s">
        <v>278</v>
      </c>
      <c r="P524" s="107" t="str">
        <f>VLOOKUP(O524,[1]character_tribe_i18n!A:C,3,FALSE)</f>
        <v>種族なし</v>
      </c>
      <c r="Q524" s="110" t="s">
        <v>301</v>
      </c>
      <c r="R524" s="111">
        <v>3</v>
      </c>
      <c r="S524" s="108" t="s">
        <v>302</v>
      </c>
      <c r="T524" s="108" t="s">
        <v>375</v>
      </c>
      <c r="U524" s="108" t="s">
        <v>302</v>
      </c>
      <c r="V524" s="108" t="s">
        <v>302</v>
      </c>
      <c r="W524" s="108" t="s">
        <v>302</v>
      </c>
    </row>
    <row r="525" spans="1:23" ht="21" customHeight="1" x14ac:dyDescent="0.15">
      <c r="A525" s="104">
        <f t="shared" si="8"/>
        <v>524</v>
      </c>
      <c r="B525" s="105" t="s">
        <v>303</v>
      </c>
      <c r="C525" s="121" t="s">
        <v>1756</v>
      </c>
      <c r="D525" s="107" t="s">
        <v>1757</v>
      </c>
      <c r="E525" s="108" t="s">
        <v>1628</v>
      </c>
      <c r="F525" s="108" t="s">
        <v>1629</v>
      </c>
      <c r="G525" s="108" t="s">
        <v>1347</v>
      </c>
      <c r="H525" s="131" t="s">
        <v>300</v>
      </c>
      <c r="I525" s="109">
        <v>6</v>
      </c>
      <c r="J525" s="109" t="s">
        <v>1407</v>
      </c>
      <c r="K525" s="105" t="s">
        <v>1758</v>
      </c>
      <c r="L525" s="107" t="str">
        <f ca="1">VLOOKUP($K525,OFFSET([1]character_type_i18n!$A$1,0,0,COUNTA([1]character_type_i18n!$A:$A),MATCH(L$1,[1]character_type_i18n!$1:$1,0)-MATCH($K$1,[1]character_type_i18n!$1:$1,0)+1),MATCH(L$1,[1]character_type_i18n!$1:$1,0)-MATCH($K$1,[1]character_type_i18n!$1:$1,0)+1,FALSE)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525" s="105" t="s">
        <v>1413</v>
      </c>
      <c r="N525" s="107" t="str">
        <f>VLOOKUP(M525,[1]character_tribe_i18n!A:C,3,FALSE)</f>
        <v>Unknown</v>
      </c>
      <c r="O525" s="105" t="s">
        <v>278</v>
      </c>
      <c r="P525" s="107" t="str">
        <f>VLOOKUP(O525,[1]character_tribe_i18n!A:C,3,FALSE)</f>
        <v>種族なし</v>
      </c>
      <c r="Q525" s="110" t="s">
        <v>362</v>
      </c>
      <c r="R525" s="111">
        <v>3</v>
      </c>
      <c r="S525" s="108" t="s">
        <v>289</v>
      </c>
      <c r="T525" s="108" t="s">
        <v>288</v>
      </c>
      <c r="U525" s="108" t="s">
        <v>289</v>
      </c>
      <c r="V525" s="108" t="s">
        <v>289</v>
      </c>
      <c r="W525" s="108" t="s">
        <v>289</v>
      </c>
    </row>
    <row r="526" spans="1:23" ht="21" customHeight="1" x14ac:dyDescent="0.15">
      <c r="A526" s="104">
        <f t="shared" si="8"/>
        <v>525</v>
      </c>
      <c r="B526" s="105" t="s">
        <v>292</v>
      </c>
      <c r="C526" s="121" t="s">
        <v>1759</v>
      </c>
      <c r="D526" s="107" t="s">
        <v>1760</v>
      </c>
      <c r="E526" s="108" t="s">
        <v>848</v>
      </c>
      <c r="F526" s="108" t="s">
        <v>1422</v>
      </c>
      <c r="G526" s="108" t="s">
        <v>853</v>
      </c>
      <c r="H526" s="131" t="s">
        <v>1761</v>
      </c>
      <c r="I526" s="109">
        <v>4</v>
      </c>
      <c r="J526" s="109" t="s">
        <v>1762</v>
      </c>
      <c r="K526" s="105" t="s">
        <v>1221</v>
      </c>
      <c r="L526" s="107" t="str">
        <f ca="1">VLOOKUP($K526,OFFSET([1]character_type_i18n!$A$1,0,0,COUNTA([1]character_type_i18n!$A:$A),MATCH(L$1,[1]character_type_i18n!$1:$1,0)-MATCH($K$1,[1]character_type_i18n!$1:$1,0)+1),MATCH(L$1,[1]character_type_i18n!$1:$1,0)-MATCH($K$1,[1]character_type_i18n!$1:$1,0)+1,FALSE)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26" s="105" t="s">
        <v>1413</v>
      </c>
      <c r="N526" s="107" t="str">
        <f>VLOOKUP(M526,[1]character_tribe_i18n!A:C,3,FALSE)</f>
        <v>Unknown</v>
      </c>
      <c r="O526" s="105" t="s">
        <v>278</v>
      </c>
      <c r="P526" s="107" t="str">
        <f>VLOOKUP(O526,[1]character_tribe_i18n!A:C,3,FALSE)</f>
        <v>種族なし</v>
      </c>
      <c r="Q526" s="110" t="s">
        <v>1763</v>
      </c>
      <c r="R526" s="111">
        <v>3</v>
      </c>
      <c r="S526" s="108" t="s">
        <v>1764</v>
      </c>
      <c r="T526" s="108" t="s">
        <v>893</v>
      </c>
      <c r="U526" s="108" t="s">
        <v>898</v>
      </c>
      <c r="V526" s="108" t="s">
        <v>1764</v>
      </c>
      <c r="W526" s="108" t="s">
        <v>1764</v>
      </c>
    </row>
    <row r="527" spans="1:23" ht="21" customHeight="1" x14ac:dyDescent="0.15">
      <c r="A527" s="104">
        <f t="shared" si="8"/>
        <v>526</v>
      </c>
      <c r="B527" s="105" t="s">
        <v>1765</v>
      </c>
      <c r="C527" s="121" t="s">
        <v>1766</v>
      </c>
      <c r="D527" s="107" t="s">
        <v>1767</v>
      </c>
      <c r="E527" s="108" t="s">
        <v>848</v>
      </c>
      <c r="F527" s="108" t="s">
        <v>1768</v>
      </c>
      <c r="G527" s="108" t="s">
        <v>853</v>
      </c>
      <c r="H527" s="131" t="s">
        <v>1761</v>
      </c>
      <c r="I527" s="109">
        <v>5</v>
      </c>
      <c r="J527" s="109" t="s">
        <v>1769</v>
      </c>
      <c r="K527" s="105" t="s">
        <v>1770</v>
      </c>
      <c r="L527" s="107" t="str">
        <f ca="1">VLOOKUP($K527,OFFSET([1]character_type_i18n!$A$1,0,0,COUNTA([1]character_type_i18n!$A:$A),MATCH(L$1,[1]character_type_i18n!$1:$1,0)-MATCH($K$1,[1]character_type_i18n!$1:$1,0)+1),MATCH(L$1,[1]character_type_i18n!$1:$1,0)-MATCH($K$1,[1]character_type_i18n!$1:$1,0)+1,FALSE)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27" s="105" t="s">
        <v>1771</v>
      </c>
      <c r="N527" s="107" t="str">
        <f>VLOOKUP(M527,[1]character_tribe_i18n!A:C,3,FALSE)</f>
        <v>Unknown</v>
      </c>
      <c r="O527" s="105" t="s">
        <v>278</v>
      </c>
      <c r="P527" s="107" t="str">
        <f>VLOOKUP(O527,[1]character_tribe_i18n!A:C,3,FALSE)</f>
        <v>種族なし</v>
      </c>
      <c r="Q527" s="110" t="s">
        <v>362</v>
      </c>
      <c r="R527" s="111">
        <v>3</v>
      </c>
      <c r="S527" s="108" t="s">
        <v>289</v>
      </c>
      <c r="T527" s="108" t="s">
        <v>610</v>
      </c>
      <c r="U527" s="108" t="s">
        <v>611</v>
      </c>
      <c r="V527" s="108" t="s">
        <v>289</v>
      </c>
      <c r="W527" s="108" t="s">
        <v>289</v>
      </c>
    </row>
    <row r="528" spans="1:23" ht="21" customHeight="1" x14ac:dyDescent="0.15">
      <c r="A528" s="104">
        <f t="shared" si="8"/>
        <v>527</v>
      </c>
      <c r="B528" s="105" t="s">
        <v>292</v>
      </c>
      <c r="C528" s="136" t="s">
        <v>1772</v>
      </c>
      <c r="D528" s="107" t="s">
        <v>1773</v>
      </c>
      <c r="E528" s="108" t="s">
        <v>1576</v>
      </c>
      <c r="F528" s="108" t="s">
        <v>1422</v>
      </c>
      <c r="G528" s="108" t="s">
        <v>853</v>
      </c>
      <c r="H528" s="131" t="s">
        <v>300</v>
      </c>
      <c r="I528" s="109">
        <v>4</v>
      </c>
      <c r="J528" s="130" t="s">
        <v>1774</v>
      </c>
      <c r="K528" s="105" t="s">
        <v>1619</v>
      </c>
      <c r="L528" s="107" t="str">
        <f ca="1">VLOOKUP($K528,OFFSET([1]character_type_i18n!$A$1,0,0,COUNTA([1]character_type_i18n!$A:$A),MATCH(L$1,[1]character_type_i18n!$1:$1,0)-MATCH($K$1,[1]character_type_i18n!$1:$1,0)+1),MATCH(L$1,[1]character_type_i18n!$1:$1,0)-MATCH($K$1,[1]character_type_i18n!$1:$1,0)+1,FALSE)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28" s="105" t="s">
        <v>1612</v>
      </c>
      <c r="N528" s="107" t="str">
        <f>VLOOKUP(M528,[1]character_tribe_i18n!A:C,3,FALSE)</f>
        <v>Unknown</v>
      </c>
      <c r="O528" s="105" t="s">
        <v>278</v>
      </c>
      <c r="P528" s="107" t="str">
        <f>VLOOKUP(O528,[1]character_tribe_i18n!A:C,3,FALSE)</f>
        <v>種族なし</v>
      </c>
      <c r="Q528" s="110" t="s">
        <v>279</v>
      </c>
      <c r="R528" s="111">
        <v>3</v>
      </c>
      <c r="S528" s="108" t="s">
        <v>280</v>
      </c>
      <c r="T528" s="108" t="s">
        <v>893</v>
      </c>
      <c r="U528" s="108" t="s">
        <v>898</v>
      </c>
      <c r="V528" s="108" t="s">
        <v>280</v>
      </c>
      <c r="W528" s="108" t="s">
        <v>280</v>
      </c>
    </row>
    <row r="529" spans="1:23" ht="21" customHeight="1" x14ac:dyDescent="0.15">
      <c r="A529" s="104">
        <f t="shared" si="8"/>
        <v>528</v>
      </c>
      <c r="B529" s="105" t="s">
        <v>268</v>
      </c>
      <c r="C529" s="136" t="s">
        <v>1775</v>
      </c>
      <c r="D529" s="107" t="s">
        <v>1773</v>
      </c>
      <c r="E529" s="108" t="s">
        <v>709</v>
      </c>
      <c r="F529" s="108" t="s">
        <v>532</v>
      </c>
      <c r="G529" s="108" t="s">
        <v>853</v>
      </c>
      <c r="H529" s="131" t="s">
        <v>300</v>
      </c>
      <c r="I529" s="109">
        <v>5</v>
      </c>
      <c r="J529" s="130" t="s">
        <v>1776</v>
      </c>
      <c r="K529" s="105" t="s">
        <v>1777</v>
      </c>
      <c r="L529" s="107" t="str">
        <f ca="1">VLOOKUP($K529,OFFSET([1]character_type_i18n!$A$1,0,0,COUNTA([1]character_type_i18n!$A:$A),MATCH(L$1,[1]character_type_i18n!$1:$1,0)-MATCH($K$1,[1]character_type_i18n!$1:$1,0)+1),MATCH(L$1,[1]character_type_i18n!$1:$1,0)-MATCH($K$1,[1]character_type_i18n!$1:$1,0)+1,FALSE)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29" s="105" t="s">
        <v>1612</v>
      </c>
      <c r="N529" s="107" t="str">
        <f>VLOOKUP(M529,[1]character_tribe_i18n!A:C,3,FALSE)</f>
        <v>Unknown</v>
      </c>
      <c r="O529" s="105" t="s">
        <v>278</v>
      </c>
      <c r="P529" s="107" t="str">
        <f>VLOOKUP(O529,[1]character_tribe_i18n!A:C,3,FALSE)</f>
        <v>種族なし</v>
      </c>
      <c r="Q529" s="110" t="s">
        <v>279</v>
      </c>
      <c r="R529" s="111">
        <v>3</v>
      </c>
      <c r="S529" s="108" t="s">
        <v>280</v>
      </c>
      <c r="T529" s="108" t="s">
        <v>281</v>
      </c>
      <c r="U529" s="108" t="s">
        <v>280</v>
      </c>
      <c r="V529" s="108" t="s">
        <v>280</v>
      </c>
      <c r="W529" s="108" t="s">
        <v>280</v>
      </c>
    </row>
    <row r="530" spans="1:23" ht="21" customHeight="1" x14ac:dyDescent="0.15">
      <c r="A530" s="104">
        <f t="shared" si="8"/>
        <v>529</v>
      </c>
      <c r="B530" s="105" t="s">
        <v>268</v>
      </c>
      <c r="C530" s="121" t="s">
        <v>1778</v>
      </c>
      <c r="D530" s="107" t="s">
        <v>1773</v>
      </c>
      <c r="E530" s="108" t="s">
        <v>1614</v>
      </c>
      <c r="F530" s="108" t="s">
        <v>532</v>
      </c>
      <c r="G530" s="108" t="s">
        <v>1347</v>
      </c>
      <c r="H530" s="131" t="s">
        <v>536</v>
      </c>
      <c r="I530" s="109">
        <v>1</v>
      </c>
      <c r="J530" s="109" t="s">
        <v>275</v>
      </c>
      <c r="K530" s="105" t="s">
        <v>1005</v>
      </c>
      <c r="L530" s="107" t="str">
        <f ca="1">VLOOKUP($K530,OFFSET([1]character_type_i18n!$A$1,0,0,COUNTA([1]character_type_i18n!$A:$A),MATCH(L$1,[1]character_type_i18n!$1:$1,0)-MATCH($K$1,[1]character_type_i18n!$1:$1,0)+1),MATCH(L$1,[1]character_type_i18n!$1:$1,0)-MATCH($K$1,[1]character_type_i18n!$1:$1,0)+1,FALSE)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30" s="105" t="s">
        <v>1152</v>
      </c>
      <c r="N530" s="107" t="str">
        <f>VLOOKUP(M530,[1]character_tribe_i18n!A:C,3,FALSE)</f>
        <v>Unknown</v>
      </c>
      <c r="O530" s="105" t="s">
        <v>278</v>
      </c>
      <c r="P530" s="107" t="str">
        <f>VLOOKUP(O530,[1]character_tribe_i18n!A:C,3,FALSE)</f>
        <v>種族なし</v>
      </c>
      <c r="Q530" s="110" t="s">
        <v>362</v>
      </c>
      <c r="R530" s="111">
        <v>3</v>
      </c>
      <c r="S530" s="108" t="s">
        <v>289</v>
      </c>
      <c r="T530" s="108" t="s">
        <v>281</v>
      </c>
      <c r="U530" s="108" t="s">
        <v>280</v>
      </c>
      <c r="V530" s="108" t="s">
        <v>289</v>
      </c>
      <c r="W530" s="108" t="s">
        <v>289</v>
      </c>
    </row>
    <row r="531" spans="1:23" ht="21" customHeight="1" x14ac:dyDescent="0.15">
      <c r="A531" s="104">
        <f t="shared" si="8"/>
        <v>530</v>
      </c>
      <c r="B531" s="105" t="s">
        <v>292</v>
      </c>
      <c r="C531" s="121" t="s">
        <v>1779</v>
      </c>
      <c r="D531" s="107" t="s">
        <v>1773</v>
      </c>
      <c r="E531" s="108" t="s">
        <v>1628</v>
      </c>
      <c r="F531" s="108" t="s">
        <v>1629</v>
      </c>
      <c r="G531" s="108" t="s">
        <v>1114</v>
      </c>
      <c r="H531" s="131" t="s">
        <v>545</v>
      </c>
      <c r="I531" s="109">
        <v>1</v>
      </c>
      <c r="J531" s="109" t="s">
        <v>275</v>
      </c>
      <c r="K531" s="105" t="s">
        <v>1780</v>
      </c>
      <c r="L531" s="107" t="str">
        <f ca="1">VLOOKUP($K531,OFFSET([1]character_type_i18n!$A$1,0,0,COUNTA([1]character_type_i18n!$A:$A),MATCH(L$1,[1]character_type_i18n!$1:$1,0)-MATCH($K$1,[1]character_type_i18n!$1:$1,0)+1),MATCH(L$1,[1]character_type_i18n!$1:$1,0)-MATCH($K$1,[1]character_type_i18n!$1:$1,0)+1,FALSE)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31" s="105" t="s">
        <v>1413</v>
      </c>
      <c r="N531" s="107" t="str">
        <f>VLOOKUP(M531,[1]character_tribe_i18n!A:C,3,FALSE)</f>
        <v>Unknown</v>
      </c>
      <c r="O531" s="105" t="s">
        <v>278</v>
      </c>
      <c r="P531" s="107" t="str">
        <f>VLOOKUP(O531,[1]character_tribe_i18n!A:C,3,FALSE)</f>
        <v>種族なし</v>
      </c>
      <c r="Q531" s="110" t="s">
        <v>362</v>
      </c>
      <c r="R531" s="111">
        <v>3</v>
      </c>
      <c r="S531" s="108" t="s">
        <v>289</v>
      </c>
      <c r="T531" s="108" t="s">
        <v>288</v>
      </c>
      <c r="U531" s="108" t="s">
        <v>289</v>
      </c>
      <c r="V531" s="108" t="s">
        <v>289</v>
      </c>
      <c r="W531" s="108" t="s">
        <v>289</v>
      </c>
    </row>
    <row r="532" spans="1:23" ht="21" customHeight="1" x14ac:dyDescent="0.15">
      <c r="A532" s="104">
        <f t="shared" si="8"/>
        <v>531</v>
      </c>
      <c r="B532" s="105" t="s">
        <v>292</v>
      </c>
      <c r="C532" s="121" t="s">
        <v>1781</v>
      </c>
      <c r="D532" s="107" t="s">
        <v>1773</v>
      </c>
      <c r="E532" s="108" t="s">
        <v>848</v>
      </c>
      <c r="F532" s="108" t="s">
        <v>1422</v>
      </c>
      <c r="G532" s="108" t="s">
        <v>1347</v>
      </c>
      <c r="H532" s="131" t="s">
        <v>618</v>
      </c>
      <c r="I532" s="109">
        <v>1</v>
      </c>
      <c r="J532" s="109" t="s">
        <v>275</v>
      </c>
      <c r="K532" s="105" t="s">
        <v>1348</v>
      </c>
      <c r="L532" s="107" t="str">
        <f ca="1">VLOOKUP($K532,OFFSET([1]character_type_i18n!$A$1,0,0,COUNTA([1]character_type_i18n!$A:$A),MATCH(L$1,[1]character_type_i18n!$1:$1,0)-MATCH($K$1,[1]character_type_i18n!$1:$1,0)+1),MATCH(L$1,[1]character_type_i18n!$1:$1,0)-MATCH($K$1,[1]character_type_i18n!$1:$1,0)+1,FALSE)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32" s="105" t="s">
        <v>1164</v>
      </c>
      <c r="N532" s="107" t="str">
        <f>VLOOKUP(M532,[1]character_tribe_i18n!A:C,3,FALSE)</f>
        <v>Unknown</v>
      </c>
      <c r="O532" s="105" t="s">
        <v>278</v>
      </c>
      <c r="P532" s="107" t="str">
        <f>VLOOKUP(O532,[1]character_tribe_i18n!A:C,3,FALSE)</f>
        <v>種族なし</v>
      </c>
      <c r="Q532" s="110" t="s">
        <v>362</v>
      </c>
      <c r="R532" s="111">
        <v>3</v>
      </c>
      <c r="S532" s="108" t="s">
        <v>289</v>
      </c>
      <c r="T532" s="108" t="s">
        <v>281</v>
      </c>
      <c r="U532" s="108" t="s">
        <v>280</v>
      </c>
      <c r="V532" s="108" t="s">
        <v>289</v>
      </c>
      <c r="W532" s="108" t="s">
        <v>289</v>
      </c>
    </row>
    <row r="533" spans="1:23" ht="21" customHeight="1" x14ac:dyDescent="0.15">
      <c r="A533" s="104">
        <f t="shared" si="8"/>
        <v>532</v>
      </c>
      <c r="B533" s="105" t="s">
        <v>292</v>
      </c>
      <c r="C533" s="121" t="s">
        <v>1782</v>
      </c>
      <c r="D533" s="107" t="s">
        <v>1773</v>
      </c>
      <c r="E533" s="108" t="s">
        <v>848</v>
      </c>
      <c r="F533" s="108" t="s">
        <v>1422</v>
      </c>
      <c r="G533" s="108" t="s">
        <v>1114</v>
      </c>
      <c r="H533" s="131" t="s">
        <v>300</v>
      </c>
      <c r="I533" s="109">
        <v>1</v>
      </c>
      <c r="J533" s="109" t="s">
        <v>275</v>
      </c>
      <c r="K533" s="105" t="s">
        <v>1005</v>
      </c>
      <c r="L533" s="107" t="str">
        <f ca="1">VLOOKUP($K533,OFFSET([1]character_type_i18n!$A$1,0,0,COUNTA([1]character_type_i18n!$A:$A),MATCH(L$1,[1]character_type_i18n!$1:$1,0)-MATCH($K$1,[1]character_type_i18n!$1:$1,0)+1),MATCH(L$1,[1]character_type_i18n!$1:$1,0)-MATCH($K$1,[1]character_type_i18n!$1:$1,0)+1,FALSE)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33" s="105" t="s">
        <v>1413</v>
      </c>
      <c r="N533" s="107" t="str">
        <f>VLOOKUP(M533,[1]character_tribe_i18n!A:C,3,FALSE)</f>
        <v>Unknown</v>
      </c>
      <c r="O533" s="105" t="s">
        <v>278</v>
      </c>
      <c r="P533" s="107" t="str">
        <f>VLOOKUP(O533,[1]character_tribe_i18n!A:C,3,FALSE)</f>
        <v>種族なし</v>
      </c>
      <c r="Q533" s="110" t="s">
        <v>305</v>
      </c>
      <c r="R533" s="111">
        <v>3</v>
      </c>
      <c r="S533" s="108" t="s">
        <v>306</v>
      </c>
      <c r="T533" s="108" t="s">
        <v>610</v>
      </c>
      <c r="U533" s="108" t="s">
        <v>611</v>
      </c>
      <c r="V533" s="108" t="s">
        <v>306</v>
      </c>
      <c r="W533" s="108" t="s">
        <v>306</v>
      </c>
    </row>
    <row r="534" spans="1:23" ht="21" customHeight="1" x14ac:dyDescent="0.15">
      <c r="A534" s="104">
        <f t="shared" si="8"/>
        <v>533</v>
      </c>
      <c r="B534" s="105" t="s">
        <v>314</v>
      </c>
      <c r="C534" s="121" t="s">
        <v>1783</v>
      </c>
      <c r="D534" s="107" t="s">
        <v>1773</v>
      </c>
      <c r="E534" s="108" t="s">
        <v>848</v>
      </c>
      <c r="F534" s="108" t="s">
        <v>1397</v>
      </c>
      <c r="G534" s="108" t="s">
        <v>1347</v>
      </c>
      <c r="H534" s="131" t="s">
        <v>536</v>
      </c>
      <c r="I534" s="109">
        <v>1</v>
      </c>
      <c r="J534" s="109" t="s">
        <v>312</v>
      </c>
      <c r="K534" s="105" t="s">
        <v>1619</v>
      </c>
      <c r="L534" s="107" t="str">
        <f ca="1">VLOOKUP($K534,OFFSET([1]character_type_i18n!$A$1,0,0,COUNTA([1]character_type_i18n!$A:$A),MATCH(L$1,[1]character_type_i18n!$1:$1,0)-MATCH($K$1,[1]character_type_i18n!$1:$1,0)+1),MATCH(L$1,[1]character_type_i18n!$1:$1,0)-MATCH($K$1,[1]character_type_i18n!$1:$1,0)+1,FALSE)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34" s="105" t="s">
        <v>1784</v>
      </c>
      <c r="N534" s="107" t="str">
        <f>VLOOKUP(M534,[1]character_tribe_i18n!A:C,3,FALSE)</f>
        <v>ヒューマン</v>
      </c>
      <c r="O534" s="105" t="s">
        <v>278</v>
      </c>
      <c r="P534" s="107" t="str">
        <f>VLOOKUP(O534,[1]character_tribe_i18n!A:C,3,FALSE)</f>
        <v>種族なし</v>
      </c>
      <c r="Q534" s="110" t="s">
        <v>279</v>
      </c>
      <c r="R534" s="111">
        <v>3</v>
      </c>
      <c r="S534" s="108" t="s">
        <v>280</v>
      </c>
      <c r="T534" s="108" t="s">
        <v>610</v>
      </c>
      <c r="U534" s="108" t="s">
        <v>611</v>
      </c>
      <c r="V534" s="108" t="s">
        <v>280</v>
      </c>
      <c r="W534" s="108" t="s">
        <v>280</v>
      </c>
    </row>
    <row r="535" spans="1:23" ht="21" customHeight="1" x14ac:dyDescent="0.15">
      <c r="A535" s="104">
        <f t="shared" si="8"/>
        <v>534</v>
      </c>
      <c r="B535" s="105" t="s">
        <v>268</v>
      </c>
      <c r="C535" s="121" t="s">
        <v>1785</v>
      </c>
      <c r="D535" s="107" t="s">
        <v>1773</v>
      </c>
      <c r="E535" s="108" t="s">
        <v>1628</v>
      </c>
      <c r="F535" s="108" t="s">
        <v>532</v>
      </c>
      <c r="G535" s="108" t="s">
        <v>1114</v>
      </c>
      <c r="H535" s="131" t="s">
        <v>614</v>
      </c>
      <c r="I535" s="109">
        <v>1</v>
      </c>
      <c r="J535" s="109" t="s">
        <v>312</v>
      </c>
      <c r="K535" s="105" t="s">
        <v>989</v>
      </c>
      <c r="L535" s="107" t="str">
        <f ca="1">VLOOKUP($K535,OFFSET([1]character_type_i18n!$A$1,0,0,COUNTA([1]character_type_i18n!$A:$A),MATCH(L$1,[1]character_type_i18n!$1:$1,0)-MATCH($K$1,[1]character_type_i18n!$1:$1,0)+1),MATCH(L$1,[1]character_type_i18n!$1:$1,0)-MATCH($K$1,[1]character_type_i18n!$1:$1,0)+1,FALSE)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35" s="105" t="s">
        <v>1786</v>
      </c>
      <c r="N535" s="107" t="str">
        <f>VLOOKUP(M535,[1]character_tribe_i18n!A:C,3,FALSE)</f>
        <v>マシン</v>
      </c>
      <c r="O535" s="105" t="s">
        <v>278</v>
      </c>
      <c r="P535" s="107" t="str">
        <f>VLOOKUP(O535,[1]character_tribe_i18n!A:C,3,FALSE)</f>
        <v>種族なし</v>
      </c>
      <c r="Q535" s="110" t="s">
        <v>279</v>
      </c>
      <c r="R535" s="111">
        <v>3</v>
      </c>
      <c r="S535" s="108" t="s">
        <v>280</v>
      </c>
      <c r="T535" s="108" t="s">
        <v>610</v>
      </c>
      <c r="U535" s="108" t="s">
        <v>611</v>
      </c>
      <c r="V535" s="108" t="s">
        <v>280</v>
      </c>
      <c r="W535" s="108" t="s">
        <v>280</v>
      </c>
    </row>
    <row r="536" spans="1:23" ht="21" customHeight="1" x14ac:dyDescent="0.15">
      <c r="A536" s="104">
        <f t="shared" si="8"/>
        <v>535</v>
      </c>
      <c r="B536" s="105" t="s">
        <v>268</v>
      </c>
      <c r="C536" s="121" t="s">
        <v>1787</v>
      </c>
      <c r="D536" s="107" t="s">
        <v>1773</v>
      </c>
      <c r="E536" s="108" t="s">
        <v>1788</v>
      </c>
      <c r="F536" s="108" t="s">
        <v>532</v>
      </c>
      <c r="G536" s="108" t="s">
        <v>1347</v>
      </c>
      <c r="H536" s="131" t="s">
        <v>618</v>
      </c>
      <c r="I536" s="109">
        <v>1</v>
      </c>
      <c r="J536" s="109" t="s">
        <v>312</v>
      </c>
      <c r="K536" s="105" t="s">
        <v>1619</v>
      </c>
      <c r="L536" s="107" t="str">
        <f ca="1">VLOOKUP($K536,OFFSET([1]character_type_i18n!$A$1,0,0,COUNTA([1]character_type_i18n!$A:$A),MATCH(L$1,[1]character_type_i18n!$1:$1,0)-MATCH($K$1,[1]character_type_i18n!$1:$1,0)+1),MATCH(L$1,[1]character_type_i18n!$1:$1,0)-MATCH($K$1,[1]character_type_i18n!$1:$1,0)+1,FALSE)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36" s="105" t="s">
        <v>1784</v>
      </c>
      <c r="N536" s="107" t="str">
        <f>VLOOKUP(M536,[1]character_tribe_i18n!A:C,3,FALSE)</f>
        <v>ヒューマン</v>
      </c>
      <c r="O536" s="105" t="s">
        <v>1789</v>
      </c>
      <c r="P536" s="107" t="str">
        <f>VLOOKUP(O536,[1]character_tribe_i18n!A:C,3,FALSE)</f>
        <v>マシン</v>
      </c>
      <c r="Q536" s="110" t="s">
        <v>279</v>
      </c>
      <c r="R536" s="111">
        <v>3</v>
      </c>
      <c r="S536" s="108" t="s">
        <v>280</v>
      </c>
      <c r="T536" s="108" t="s">
        <v>893</v>
      </c>
      <c r="U536" s="108" t="s">
        <v>898</v>
      </c>
      <c r="V536" s="108" t="s">
        <v>280</v>
      </c>
      <c r="W536" s="108" t="s">
        <v>280</v>
      </c>
    </row>
    <row r="537" spans="1:23" ht="21" customHeight="1" x14ac:dyDescent="0.15">
      <c r="A537" s="104">
        <f t="shared" si="8"/>
        <v>536</v>
      </c>
      <c r="B537" s="105" t="s">
        <v>268</v>
      </c>
      <c r="C537" s="121" t="s">
        <v>1790</v>
      </c>
      <c r="D537" s="107" t="s">
        <v>1773</v>
      </c>
      <c r="E537" s="108" t="s">
        <v>1791</v>
      </c>
      <c r="F537" s="108" t="s">
        <v>532</v>
      </c>
      <c r="G537" s="108" t="s">
        <v>1114</v>
      </c>
      <c r="H537" s="131" t="s">
        <v>300</v>
      </c>
      <c r="I537" s="109">
        <v>1</v>
      </c>
      <c r="J537" s="109" t="s">
        <v>312</v>
      </c>
      <c r="K537" s="105" t="s">
        <v>1687</v>
      </c>
      <c r="L537" s="107" t="str">
        <f ca="1">VLOOKUP($K537,OFFSET([1]character_type_i18n!$A$1,0,0,COUNTA([1]character_type_i18n!$A:$A),MATCH(L$1,[1]character_type_i18n!$1:$1,0)-MATCH($K$1,[1]character_type_i18n!$1:$1,0)+1),MATCH(L$1,[1]character_type_i18n!$1:$1,0)-MATCH($K$1,[1]character_type_i18n!$1:$1,0)+1,FALSE)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37" s="105" t="s">
        <v>313</v>
      </c>
      <c r="N537" s="107" t="str">
        <f>VLOOKUP(M537,[1]character_tribe_i18n!A:C,3,FALSE)</f>
        <v>アニマル</v>
      </c>
      <c r="O537" s="105" t="s">
        <v>278</v>
      </c>
      <c r="P537" s="107" t="str">
        <f>VLOOKUP(O537,[1]character_tribe_i18n!A:C,3,FALSE)</f>
        <v>種族なし</v>
      </c>
      <c r="Q537" s="110" t="s">
        <v>279</v>
      </c>
      <c r="R537" s="111">
        <v>3</v>
      </c>
      <c r="S537" s="108" t="s">
        <v>280</v>
      </c>
      <c r="T537" s="108" t="s">
        <v>281</v>
      </c>
      <c r="U537" s="108" t="s">
        <v>280</v>
      </c>
      <c r="V537" s="108" t="s">
        <v>280</v>
      </c>
      <c r="W537" s="108" t="s">
        <v>280</v>
      </c>
    </row>
    <row r="538" spans="1:23" ht="21" customHeight="1" x14ac:dyDescent="0.15">
      <c r="A538" s="104">
        <f t="shared" si="8"/>
        <v>537</v>
      </c>
      <c r="B538" s="105" t="s">
        <v>268</v>
      </c>
      <c r="C538" s="121" t="s">
        <v>1792</v>
      </c>
      <c r="D538" s="107" t="s">
        <v>1773</v>
      </c>
      <c r="E538" s="108" t="s">
        <v>709</v>
      </c>
      <c r="F538" s="108" t="s">
        <v>532</v>
      </c>
      <c r="G538" s="108" t="s">
        <v>853</v>
      </c>
      <c r="H538" s="131" t="s">
        <v>1617</v>
      </c>
      <c r="I538" s="109">
        <v>3</v>
      </c>
      <c r="J538" s="109" t="s">
        <v>1793</v>
      </c>
      <c r="K538" s="105" t="s">
        <v>1221</v>
      </c>
      <c r="L538" s="107" t="str">
        <f ca="1">VLOOKUP($K538,OFFSET([1]character_type_i18n!$A$1,0,0,COUNTA([1]character_type_i18n!$A:$A),MATCH(L$1,[1]character_type_i18n!$1:$1,0)-MATCH($K$1,[1]character_type_i18n!$1:$1,0)+1),MATCH(L$1,[1]character_type_i18n!$1:$1,0)-MATCH($K$1,[1]character_type_i18n!$1:$1,0)+1,FALSE)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38" s="105" t="s">
        <v>1164</v>
      </c>
      <c r="N538" s="107" t="str">
        <f>VLOOKUP(M538,[1]character_tribe_i18n!A:C,3,FALSE)</f>
        <v>Unknown</v>
      </c>
      <c r="O538" s="105" t="s">
        <v>278</v>
      </c>
      <c r="P538" s="107" t="str">
        <f>VLOOKUP(O538,[1]character_tribe_i18n!A:C,3,FALSE)</f>
        <v>種族なし</v>
      </c>
      <c r="Q538" s="110" t="s">
        <v>279</v>
      </c>
      <c r="R538" s="111">
        <v>3</v>
      </c>
      <c r="S538" s="108" t="s">
        <v>280</v>
      </c>
      <c r="T538" s="108" t="s">
        <v>281</v>
      </c>
      <c r="U538" s="108" t="s">
        <v>280</v>
      </c>
      <c r="V538" s="108" t="s">
        <v>280</v>
      </c>
      <c r="W538" s="108" t="s">
        <v>280</v>
      </c>
    </row>
    <row r="539" spans="1:23" ht="21" customHeight="1" x14ac:dyDescent="0.15">
      <c r="A539" s="104">
        <f t="shared" si="8"/>
        <v>538</v>
      </c>
      <c r="B539" s="105" t="s">
        <v>268</v>
      </c>
      <c r="C539" s="121" t="s">
        <v>1794</v>
      </c>
      <c r="D539" s="107" t="s">
        <v>1773</v>
      </c>
      <c r="E539" s="108" t="s">
        <v>709</v>
      </c>
      <c r="F539" s="108" t="s">
        <v>532</v>
      </c>
      <c r="G539" s="108" t="s">
        <v>1184</v>
      </c>
      <c r="H539" s="131" t="s">
        <v>1795</v>
      </c>
      <c r="I539" s="109">
        <v>3</v>
      </c>
      <c r="J539" s="109" t="s">
        <v>1793</v>
      </c>
      <c r="K539" s="105" t="s">
        <v>1221</v>
      </c>
      <c r="L539" s="107" t="str">
        <f ca="1">VLOOKUP($K539,OFFSET([1]character_type_i18n!$A$1,0,0,COUNTA([1]character_type_i18n!$A:$A),MATCH(L$1,[1]character_type_i18n!$1:$1,0)-MATCH($K$1,[1]character_type_i18n!$1:$1,0)+1),MATCH(L$1,[1]character_type_i18n!$1:$1,0)-MATCH($K$1,[1]character_type_i18n!$1:$1,0)+1,FALSE)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39" s="105" t="s">
        <v>1796</v>
      </c>
      <c r="N539" s="107" t="str">
        <f>VLOOKUP(M539,[1]character_tribe_i18n!A:C,3,FALSE)</f>
        <v>Unknown</v>
      </c>
      <c r="O539" s="105" t="s">
        <v>278</v>
      </c>
      <c r="P539" s="107" t="str">
        <f>VLOOKUP(O539,[1]character_tribe_i18n!A:C,3,FALSE)</f>
        <v>種族なし</v>
      </c>
      <c r="Q539" s="110" t="s">
        <v>1797</v>
      </c>
      <c r="R539" s="111">
        <v>3</v>
      </c>
      <c r="S539" s="108" t="s">
        <v>1798</v>
      </c>
      <c r="T539" s="108" t="s">
        <v>1799</v>
      </c>
      <c r="U539" s="108" t="s">
        <v>1798</v>
      </c>
      <c r="V539" s="108" t="s">
        <v>1798</v>
      </c>
      <c r="W539" s="108" t="s">
        <v>1798</v>
      </c>
    </row>
    <row r="540" spans="1:23" ht="21" customHeight="1" x14ac:dyDescent="0.15">
      <c r="A540" s="104">
        <f t="shared" si="8"/>
        <v>539</v>
      </c>
      <c r="B540" s="105" t="s">
        <v>1800</v>
      </c>
      <c r="C540" s="136" t="s">
        <v>1801</v>
      </c>
      <c r="D540" s="107" t="s">
        <v>1802</v>
      </c>
      <c r="E540" s="108" t="s">
        <v>1803</v>
      </c>
      <c r="F540" s="108" t="s">
        <v>1804</v>
      </c>
      <c r="G540" s="108" t="s">
        <v>853</v>
      </c>
      <c r="H540" s="131" t="s">
        <v>1617</v>
      </c>
      <c r="I540" s="109">
        <v>4</v>
      </c>
      <c r="J540" s="109" t="s">
        <v>1592</v>
      </c>
      <c r="K540" s="105" t="s">
        <v>1311</v>
      </c>
      <c r="L540" s="107" t="str">
        <f ca="1">VLOOKUP($K540,OFFSET([1]character_type_i18n!$A$1,0,0,COUNTA([1]character_type_i18n!$A:$A),MATCH(L$1,[1]character_type_i18n!$1:$1,0)-MATCH($K$1,[1]character_type_i18n!$1:$1,0)+1),MATCH(L$1,[1]character_type_i18n!$1:$1,0)-MATCH($K$1,[1]character_type_i18n!$1:$1,0)+1,FALSE)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40" s="105" t="s">
        <v>1612</v>
      </c>
      <c r="N540" s="107" t="str">
        <f>VLOOKUP(M540,[1]character_tribe_i18n!A:C,3,FALSE)</f>
        <v>Unknown</v>
      </c>
      <c r="O540" s="105" t="s">
        <v>278</v>
      </c>
      <c r="P540" s="107" t="str">
        <f>VLOOKUP(O540,[1]character_tribe_i18n!A:C,3,FALSE)</f>
        <v>種族なし</v>
      </c>
      <c r="Q540" s="110" t="s">
        <v>1797</v>
      </c>
      <c r="R540" s="111">
        <v>3</v>
      </c>
      <c r="S540" s="108" t="s">
        <v>1798</v>
      </c>
      <c r="T540" s="108" t="s">
        <v>281</v>
      </c>
      <c r="U540" s="108" t="s">
        <v>280</v>
      </c>
      <c r="V540" s="108" t="s">
        <v>1798</v>
      </c>
      <c r="W540" s="108" t="s">
        <v>1798</v>
      </c>
    </row>
    <row r="541" spans="1:23" ht="21" customHeight="1" x14ac:dyDescent="0.15">
      <c r="A541" s="104">
        <f t="shared" si="8"/>
        <v>540</v>
      </c>
      <c r="B541" s="105" t="s">
        <v>1800</v>
      </c>
      <c r="C541" s="136" t="s">
        <v>1805</v>
      </c>
      <c r="D541" s="107" t="s">
        <v>1806</v>
      </c>
      <c r="E541" s="108" t="s">
        <v>1807</v>
      </c>
      <c r="F541" s="108" t="s">
        <v>1808</v>
      </c>
      <c r="G541" s="108" t="s">
        <v>853</v>
      </c>
      <c r="H541" s="131" t="s">
        <v>1617</v>
      </c>
      <c r="I541" s="109">
        <v>5</v>
      </c>
      <c r="J541" s="109" t="s">
        <v>1592</v>
      </c>
      <c r="K541" s="105" t="s">
        <v>1311</v>
      </c>
      <c r="L541" s="107" t="str">
        <f ca="1">VLOOKUP($K541,OFFSET([1]character_type_i18n!$A$1,0,0,COUNTA([1]character_type_i18n!$A:$A),MATCH(L$1,[1]character_type_i18n!$1:$1,0)-MATCH($K$1,[1]character_type_i18n!$1:$1,0)+1),MATCH(L$1,[1]character_type_i18n!$1:$1,0)-MATCH($K$1,[1]character_type_i18n!$1:$1,0)+1,FALSE)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41" s="105" t="s">
        <v>1612</v>
      </c>
      <c r="N541" s="107" t="str">
        <f>VLOOKUP(M541,[1]character_tribe_i18n!A:C,3,FALSE)</f>
        <v>Unknown</v>
      </c>
      <c r="O541" s="105" t="s">
        <v>278</v>
      </c>
      <c r="P541" s="107" t="str">
        <f>VLOOKUP(O541,[1]character_tribe_i18n!A:C,3,FALSE)</f>
        <v>種族なし</v>
      </c>
      <c r="Q541" s="110" t="s">
        <v>1349</v>
      </c>
      <c r="R541" s="111">
        <v>3</v>
      </c>
      <c r="S541" s="108" t="s">
        <v>1350</v>
      </c>
      <c r="T541" s="108" t="s">
        <v>1351</v>
      </c>
      <c r="U541" s="108" t="s">
        <v>1350</v>
      </c>
      <c r="V541" s="108" t="s">
        <v>1350</v>
      </c>
      <c r="W541" s="108" t="s">
        <v>1350</v>
      </c>
    </row>
    <row r="542" spans="1:23" ht="21" customHeight="1" x14ac:dyDescent="0.15">
      <c r="A542" s="104">
        <f t="shared" si="8"/>
        <v>541</v>
      </c>
      <c r="B542" s="105" t="s">
        <v>1352</v>
      </c>
      <c r="C542" s="121" t="s">
        <v>1809</v>
      </c>
      <c r="D542" s="107" t="s">
        <v>1810</v>
      </c>
      <c r="E542" s="108" t="s">
        <v>1614</v>
      </c>
      <c r="F542" s="108" t="s">
        <v>1615</v>
      </c>
      <c r="G542" s="108" t="s">
        <v>853</v>
      </c>
      <c r="H542" s="131" t="s">
        <v>1686</v>
      </c>
      <c r="I542" s="109">
        <v>4</v>
      </c>
      <c r="J542" s="109" t="s">
        <v>1180</v>
      </c>
      <c r="K542" s="105" t="s">
        <v>1388</v>
      </c>
      <c r="L542" s="107" t="str">
        <f ca="1">VLOOKUP($K542,OFFSET([1]character_type_i18n!$A$1,0,0,COUNTA([1]character_type_i18n!$A:$A),MATCH(L$1,[1]character_type_i18n!$1:$1,0)-MATCH($K$1,[1]character_type_i18n!$1:$1,0)+1),MATCH(L$1,[1]character_type_i18n!$1:$1,0)-MATCH($K$1,[1]character_type_i18n!$1:$1,0)+1,FALSE)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42" s="105" t="s">
        <v>1811</v>
      </c>
      <c r="N542" s="107" t="str">
        <f>VLOOKUP(M542,[1]character_tribe_i18n!A:C,3,FALSE)</f>
        <v>Unknown</v>
      </c>
      <c r="O542" s="105" t="s">
        <v>278</v>
      </c>
      <c r="P542" s="107" t="str">
        <f>VLOOKUP(O542,[1]character_tribe_i18n!A:C,3,FALSE)</f>
        <v>種族なし</v>
      </c>
      <c r="Q542" s="110" t="s">
        <v>1812</v>
      </c>
      <c r="R542" s="111">
        <v>3</v>
      </c>
      <c r="S542" s="108" t="s">
        <v>1813</v>
      </c>
      <c r="T542" s="108" t="s">
        <v>1814</v>
      </c>
      <c r="U542" s="108" t="s">
        <v>1813</v>
      </c>
      <c r="V542" s="108" t="s">
        <v>1813</v>
      </c>
      <c r="W542" s="108" t="s">
        <v>1813</v>
      </c>
    </row>
    <row r="543" spans="1:23" ht="21" customHeight="1" x14ac:dyDescent="0.15">
      <c r="A543" s="104">
        <f t="shared" si="8"/>
        <v>542</v>
      </c>
      <c r="B543" s="105" t="s">
        <v>1815</v>
      </c>
      <c r="C543" s="121" t="s">
        <v>1816</v>
      </c>
      <c r="D543" s="107" t="s">
        <v>1810</v>
      </c>
      <c r="E543" s="108" t="s">
        <v>1817</v>
      </c>
      <c r="F543" s="108" t="s">
        <v>1818</v>
      </c>
      <c r="G543" s="108" t="s">
        <v>853</v>
      </c>
      <c r="H543" s="131" t="s">
        <v>1617</v>
      </c>
      <c r="I543" s="109">
        <v>5</v>
      </c>
      <c r="J543" s="109" t="s">
        <v>1592</v>
      </c>
      <c r="K543" s="105" t="s">
        <v>1388</v>
      </c>
      <c r="L543" s="107" t="str">
        <f ca="1">VLOOKUP($K543,OFFSET([1]character_type_i18n!$A$1,0,0,COUNTA([1]character_type_i18n!$A:$A),MATCH(L$1,[1]character_type_i18n!$1:$1,0)-MATCH($K$1,[1]character_type_i18n!$1:$1,0)+1),MATCH(L$1,[1]character_type_i18n!$1:$1,0)-MATCH($K$1,[1]character_type_i18n!$1:$1,0)+1,FALSE)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43" s="105" t="s">
        <v>1811</v>
      </c>
      <c r="N543" s="107" t="str">
        <f>VLOOKUP(M543,[1]character_tribe_i18n!A:C,3,FALSE)</f>
        <v>Unknown</v>
      </c>
      <c r="O543" s="105" t="s">
        <v>278</v>
      </c>
      <c r="P543" s="107" t="str">
        <f>VLOOKUP(O543,[1]character_tribe_i18n!A:C,3,FALSE)</f>
        <v>種族なし</v>
      </c>
      <c r="Q543" s="110" t="s">
        <v>362</v>
      </c>
      <c r="R543" s="111">
        <v>3</v>
      </c>
      <c r="S543" s="108" t="s">
        <v>289</v>
      </c>
      <c r="T543" s="108" t="s">
        <v>288</v>
      </c>
      <c r="U543" s="108" t="s">
        <v>289</v>
      </c>
      <c r="V543" s="108" t="s">
        <v>289</v>
      </c>
      <c r="W543" s="108" t="s">
        <v>289</v>
      </c>
    </row>
    <row r="544" spans="1:23" ht="21" customHeight="1" x14ac:dyDescent="0.15">
      <c r="A544" s="104">
        <f t="shared" si="8"/>
        <v>543</v>
      </c>
      <c r="B544" s="105" t="s">
        <v>292</v>
      </c>
      <c r="C544" s="121" t="s">
        <v>1819</v>
      </c>
      <c r="D544" s="107" t="s">
        <v>1810</v>
      </c>
      <c r="E544" s="108" t="s">
        <v>848</v>
      </c>
      <c r="F544" s="108" t="s">
        <v>1422</v>
      </c>
      <c r="G544" s="108" t="s">
        <v>853</v>
      </c>
      <c r="H544" s="131" t="s">
        <v>300</v>
      </c>
      <c r="I544" s="109">
        <v>4</v>
      </c>
      <c r="J544" s="109" t="s">
        <v>1220</v>
      </c>
      <c r="K544" s="105" t="s">
        <v>1388</v>
      </c>
      <c r="L544" s="107" t="str">
        <f ca="1">VLOOKUP($K544,OFFSET([1]character_type_i18n!$A$1,0,0,COUNTA([1]character_type_i18n!$A:$A),MATCH(L$1,[1]character_type_i18n!$1:$1,0)-MATCH($K$1,[1]character_type_i18n!$1:$1,0)+1),MATCH(L$1,[1]character_type_i18n!$1:$1,0)-MATCH($K$1,[1]character_type_i18n!$1:$1,0)+1,FALSE)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44" s="105" t="s">
        <v>1164</v>
      </c>
      <c r="N544" s="107" t="str">
        <f>VLOOKUP(M544,[1]character_tribe_i18n!A:C,3,FALSE)</f>
        <v>Unknown</v>
      </c>
      <c r="O544" s="105" t="s">
        <v>278</v>
      </c>
      <c r="P544" s="107" t="str">
        <f>VLOOKUP(O544,[1]character_tribe_i18n!A:C,3,FALSE)</f>
        <v>種族なし</v>
      </c>
      <c r="Q544" s="110" t="s">
        <v>279</v>
      </c>
      <c r="R544" s="111">
        <v>3</v>
      </c>
      <c r="S544" s="108" t="s">
        <v>280</v>
      </c>
      <c r="T544" s="108" t="s">
        <v>281</v>
      </c>
      <c r="U544" s="108" t="s">
        <v>280</v>
      </c>
      <c r="V544" s="108" t="s">
        <v>280</v>
      </c>
      <c r="W544" s="108" t="s">
        <v>280</v>
      </c>
    </row>
    <row r="545" spans="1:23" ht="21" customHeight="1" x14ac:dyDescent="0.15">
      <c r="A545" s="104">
        <f t="shared" si="8"/>
        <v>544</v>
      </c>
      <c r="B545" s="105" t="s">
        <v>268</v>
      </c>
      <c r="C545" s="121" t="s">
        <v>1820</v>
      </c>
      <c r="D545" s="107" t="s">
        <v>1810</v>
      </c>
      <c r="E545" s="108" t="s">
        <v>709</v>
      </c>
      <c r="F545" s="108" t="s">
        <v>532</v>
      </c>
      <c r="G545" s="108" t="s">
        <v>853</v>
      </c>
      <c r="H545" s="131" t="s">
        <v>300</v>
      </c>
      <c r="I545" s="109">
        <v>5</v>
      </c>
      <c r="J545" s="109" t="s">
        <v>1001</v>
      </c>
      <c r="K545" s="105" t="s">
        <v>1008</v>
      </c>
      <c r="L545" s="107" t="str">
        <f ca="1">VLOOKUP($K545,OFFSET([1]character_type_i18n!$A$1,0,0,COUNTA([1]character_type_i18n!$A:$A),MATCH(L$1,[1]character_type_i18n!$1:$1,0)-MATCH($K$1,[1]character_type_i18n!$1:$1,0)+1),MATCH(L$1,[1]character_type_i18n!$1:$1,0)-MATCH($K$1,[1]character_type_i18n!$1:$1,0)+1,FALSE)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45" s="105" t="s">
        <v>1612</v>
      </c>
      <c r="N545" s="107" t="str">
        <f>VLOOKUP(M545,[1]character_tribe_i18n!A:C,3,FALSE)</f>
        <v>Unknown</v>
      </c>
      <c r="O545" s="105" t="s">
        <v>278</v>
      </c>
      <c r="P545" s="107" t="str">
        <f>VLOOKUP(O545,[1]character_tribe_i18n!A:C,3,FALSE)</f>
        <v>種族なし</v>
      </c>
      <c r="Q545" s="110" t="s">
        <v>279</v>
      </c>
      <c r="R545" s="111">
        <v>3</v>
      </c>
      <c r="S545" s="108" t="s">
        <v>280</v>
      </c>
      <c r="T545" s="108" t="s">
        <v>281</v>
      </c>
      <c r="U545" s="108" t="s">
        <v>280</v>
      </c>
      <c r="V545" s="108" t="s">
        <v>280</v>
      </c>
      <c r="W545" s="108" t="s">
        <v>280</v>
      </c>
    </row>
    <row r="546" spans="1:23" ht="21" customHeight="1" x14ac:dyDescent="0.15">
      <c r="A546" s="104">
        <f t="shared" si="8"/>
        <v>545</v>
      </c>
      <c r="B546" s="105" t="s">
        <v>268</v>
      </c>
      <c r="C546" s="121" t="s">
        <v>1821</v>
      </c>
      <c r="D546" s="107" t="s">
        <v>1810</v>
      </c>
      <c r="E546" s="108" t="s">
        <v>709</v>
      </c>
      <c r="F546" s="108" t="s">
        <v>532</v>
      </c>
      <c r="G546" s="108" t="s">
        <v>1822</v>
      </c>
      <c r="H546" s="131" t="s">
        <v>300</v>
      </c>
      <c r="I546" s="109">
        <v>4</v>
      </c>
      <c r="J546" s="109" t="s">
        <v>1823</v>
      </c>
      <c r="K546" s="105" t="s">
        <v>1824</v>
      </c>
      <c r="L546" s="107" t="str">
        <f ca="1">VLOOKUP($K546,OFFSET([1]character_type_i18n!$A$1,0,0,COUNTA([1]character_type_i18n!$A:$A),MATCH(L$1,[1]character_type_i18n!$1:$1,0)-MATCH($K$1,[1]character_type_i18n!$1:$1,0)+1),MATCH(L$1,[1]character_type_i18n!$1:$1,0)-MATCH($K$1,[1]character_type_i18n!$1:$1,0)+1,FALSE)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46" s="105" t="s">
        <v>1825</v>
      </c>
      <c r="N546" s="107" t="str">
        <f>VLOOKUP(M546,[1]character_tribe_i18n!A:C,3,FALSE)</f>
        <v>Unknown</v>
      </c>
      <c r="O546" s="105" t="s">
        <v>278</v>
      </c>
      <c r="P546" s="107" t="str">
        <f>VLOOKUP(O546,[1]character_tribe_i18n!A:C,3,FALSE)</f>
        <v>種族なし</v>
      </c>
      <c r="Q546" s="110" t="s">
        <v>279</v>
      </c>
      <c r="R546" s="111">
        <v>3</v>
      </c>
      <c r="S546" s="108" t="s">
        <v>280</v>
      </c>
      <c r="T546" s="108" t="s">
        <v>281</v>
      </c>
      <c r="U546" s="108" t="s">
        <v>280</v>
      </c>
      <c r="V546" s="108" t="s">
        <v>280</v>
      </c>
      <c r="W546" s="108" t="s">
        <v>280</v>
      </c>
    </row>
    <row r="547" spans="1:23" ht="21" customHeight="1" x14ac:dyDescent="0.15">
      <c r="A547" s="104">
        <f t="shared" si="8"/>
        <v>546</v>
      </c>
      <c r="B547" s="105" t="s">
        <v>268</v>
      </c>
      <c r="C547" s="121" t="s">
        <v>1826</v>
      </c>
      <c r="D547" s="107" t="s">
        <v>1810</v>
      </c>
      <c r="E547" s="108" t="s">
        <v>709</v>
      </c>
      <c r="F547" s="108" t="s">
        <v>532</v>
      </c>
      <c r="G547" s="108" t="s">
        <v>1822</v>
      </c>
      <c r="H547" s="131" t="s">
        <v>300</v>
      </c>
      <c r="I547" s="109">
        <v>5</v>
      </c>
      <c r="J547" s="109" t="s">
        <v>1823</v>
      </c>
      <c r="K547" s="105" t="s">
        <v>1824</v>
      </c>
      <c r="L547" s="107" t="str">
        <f ca="1">VLOOKUP($K547,OFFSET([1]character_type_i18n!$A$1,0,0,COUNTA([1]character_type_i18n!$A:$A),MATCH(L$1,[1]character_type_i18n!$1:$1,0)-MATCH($K$1,[1]character_type_i18n!$1:$1,0)+1),MATCH(L$1,[1]character_type_i18n!$1:$1,0)-MATCH($K$1,[1]character_type_i18n!$1:$1,0)+1,FALSE)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47" s="105" t="s">
        <v>1164</v>
      </c>
      <c r="N547" s="107" t="str">
        <f>VLOOKUP(M547,[1]character_tribe_i18n!A:C,3,FALSE)</f>
        <v>Unknown</v>
      </c>
      <c r="O547" s="105" t="s">
        <v>278</v>
      </c>
      <c r="P547" s="107" t="str">
        <f>VLOOKUP(O547,[1]character_tribe_i18n!A:C,3,FALSE)</f>
        <v>種族なし</v>
      </c>
      <c r="Q547" s="110" t="s">
        <v>799</v>
      </c>
      <c r="R547" s="111">
        <v>3</v>
      </c>
      <c r="S547" s="108" t="s">
        <v>771</v>
      </c>
      <c r="T547" s="108" t="s">
        <v>800</v>
      </c>
      <c r="U547" s="108" t="s">
        <v>887</v>
      </c>
      <c r="V547" s="108" t="s">
        <v>887</v>
      </c>
      <c r="W547" s="108" t="s">
        <v>887</v>
      </c>
    </row>
    <row r="548" spans="1:23" ht="21" customHeight="1" x14ac:dyDescent="0.15">
      <c r="A548" s="104">
        <f t="shared" si="8"/>
        <v>547</v>
      </c>
      <c r="B548" s="105" t="s">
        <v>1288</v>
      </c>
      <c r="C548" s="121" t="s">
        <v>1827</v>
      </c>
      <c r="D548" s="107" t="s">
        <v>1810</v>
      </c>
      <c r="E548" s="108" t="s">
        <v>709</v>
      </c>
      <c r="F548" s="108" t="s">
        <v>532</v>
      </c>
      <c r="G548" s="108" t="s">
        <v>853</v>
      </c>
      <c r="H548" s="131" t="s">
        <v>1185</v>
      </c>
      <c r="I548" s="109">
        <v>3</v>
      </c>
      <c r="J548" s="109" t="s">
        <v>805</v>
      </c>
      <c r="K548" s="105" t="s">
        <v>1392</v>
      </c>
      <c r="L548" s="107" t="str">
        <f ca="1">VLOOKUP($K548,OFFSET([1]character_type_i18n!$A$1,0,0,COUNTA([1]character_type_i18n!$A:$A),MATCH(L$1,[1]character_type_i18n!$1:$1,0)-MATCH($K$1,[1]character_type_i18n!$1:$1,0)+1),MATCH(L$1,[1]character_type_i18n!$1:$1,0)-MATCH($K$1,[1]character_type_i18n!$1:$1,0)+1,FALSE)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48" s="105" t="s">
        <v>1164</v>
      </c>
      <c r="N548" s="107" t="str">
        <f>VLOOKUP(M548,[1]character_tribe_i18n!A:C,3,FALSE)</f>
        <v>Unknown</v>
      </c>
      <c r="O548" s="105" t="s">
        <v>278</v>
      </c>
      <c r="P548" s="107" t="str">
        <f>VLOOKUP(O548,[1]character_tribe_i18n!A:C,3,FALSE)</f>
        <v>種族なし</v>
      </c>
      <c r="Q548" s="110" t="s">
        <v>279</v>
      </c>
      <c r="R548" s="111">
        <v>3</v>
      </c>
      <c r="S548" s="108" t="s">
        <v>280</v>
      </c>
      <c r="T548" s="108" t="s">
        <v>281</v>
      </c>
      <c r="U548" s="108" t="s">
        <v>280</v>
      </c>
      <c r="V548" s="108" t="s">
        <v>280</v>
      </c>
      <c r="W548" s="108" t="s">
        <v>280</v>
      </c>
    </row>
    <row r="549" spans="1:23" ht="21" customHeight="1" x14ac:dyDescent="0.15">
      <c r="A549" s="104">
        <f t="shared" si="8"/>
        <v>548</v>
      </c>
      <c r="B549" s="105" t="s">
        <v>268</v>
      </c>
      <c r="C549" s="121" t="s">
        <v>1828</v>
      </c>
      <c r="D549" s="107" t="s">
        <v>1810</v>
      </c>
      <c r="E549" s="108" t="s">
        <v>709</v>
      </c>
      <c r="F549" s="108" t="s">
        <v>532</v>
      </c>
      <c r="G549" s="108" t="s">
        <v>853</v>
      </c>
      <c r="H549" s="131" t="s">
        <v>1185</v>
      </c>
      <c r="I549" s="109">
        <v>4</v>
      </c>
      <c r="J549" s="109" t="s">
        <v>805</v>
      </c>
      <c r="K549" s="105" t="s">
        <v>1392</v>
      </c>
      <c r="L549" s="107" t="str">
        <f ca="1">VLOOKUP($K549,OFFSET([1]character_type_i18n!$A$1,0,0,COUNTA([1]character_type_i18n!$A:$A),MATCH(L$1,[1]character_type_i18n!$1:$1,0)-MATCH($K$1,[1]character_type_i18n!$1:$1,0)+1),MATCH(L$1,[1]character_type_i18n!$1:$1,0)-MATCH($K$1,[1]character_type_i18n!$1:$1,0)+1,FALSE)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49" s="105" t="s">
        <v>1164</v>
      </c>
      <c r="N549" s="107" t="str">
        <f>VLOOKUP(M549,[1]character_tribe_i18n!A:C,3,FALSE)</f>
        <v>Unknown</v>
      </c>
      <c r="O549" s="105" t="s">
        <v>278</v>
      </c>
      <c r="P549" s="107" t="str">
        <f>VLOOKUP(O549,[1]character_tribe_i18n!A:C,3,FALSE)</f>
        <v>種族なし</v>
      </c>
      <c r="Q549" s="110" t="s">
        <v>279</v>
      </c>
      <c r="R549" s="111">
        <v>3</v>
      </c>
      <c r="S549" s="108" t="s">
        <v>280</v>
      </c>
      <c r="T549" s="108" t="s">
        <v>281</v>
      </c>
      <c r="U549" s="108" t="s">
        <v>280</v>
      </c>
      <c r="V549" s="108" t="s">
        <v>280</v>
      </c>
      <c r="W549" s="108" t="s">
        <v>280</v>
      </c>
    </row>
    <row r="550" spans="1:23" ht="21" customHeight="1" x14ac:dyDescent="0.15">
      <c r="A550" s="104">
        <f t="shared" si="8"/>
        <v>549</v>
      </c>
      <c r="B550" s="105" t="s">
        <v>268</v>
      </c>
      <c r="C550" s="121" t="s">
        <v>1829</v>
      </c>
      <c r="D550" s="107" t="s">
        <v>1810</v>
      </c>
      <c r="E550" s="108" t="s">
        <v>709</v>
      </c>
      <c r="F550" s="108" t="s">
        <v>532</v>
      </c>
      <c r="G550" s="108" t="s">
        <v>853</v>
      </c>
      <c r="H550" s="131" t="s">
        <v>1185</v>
      </c>
      <c r="I550" s="109">
        <v>3</v>
      </c>
      <c r="J550" s="109" t="s">
        <v>805</v>
      </c>
      <c r="K550" s="105" t="s">
        <v>1252</v>
      </c>
      <c r="L550" s="107" t="str">
        <f ca="1">VLOOKUP($K550,OFFSET([1]character_type_i18n!$A$1,0,0,COUNTA([1]character_type_i18n!$A:$A),MATCH(L$1,[1]character_type_i18n!$1:$1,0)-MATCH($K$1,[1]character_type_i18n!$1:$1,0)+1),MATCH(L$1,[1]character_type_i18n!$1:$1,0)-MATCH($K$1,[1]character_type_i18n!$1:$1,0)+1,FALSE)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50" s="105" t="s">
        <v>1164</v>
      </c>
      <c r="N550" s="107" t="str">
        <f>VLOOKUP(M550,[1]character_tribe_i18n!A:C,3,FALSE)</f>
        <v>Unknown</v>
      </c>
      <c r="O550" s="105" t="s">
        <v>278</v>
      </c>
      <c r="P550" s="107" t="str">
        <f>VLOOKUP(O550,[1]character_tribe_i18n!A:C,3,FALSE)</f>
        <v>種族なし</v>
      </c>
      <c r="Q550" s="110" t="s">
        <v>279</v>
      </c>
      <c r="R550" s="111">
        <v>3</v>
      </c>
      <c r="S550" s="108" t="s">
        <v>280</v>
      </c>
      <c r="T550" s="108" t="s">
        <v>281</v>
      </c>
      <c r="U550" s="108" t="s">
        <v>280</v>
      </c>
      <c r="V550" s="108" t="s">
        <v>280</v>
      </c>
      <c r="W550" s="108" t="s">
        <v>280</v>
      </c>
    </row>
    <row r="551" spans="1:23" ht="21" customHeight="1" x14ac:dyDescent="0.15">
      <c r="A551" s="104">
        <f t="shared" si="8"/>
        <v>550</v>
      </c>
      <c r="B551" s="105" t="s">
        <v>268</v>
      </c>
      <c r="C551" s="121" t="s">
        <v>1830</v>
      </c>
      <c r="D551" s="107" t="s">
        <v>1810</v>
      </c>
      <c r="E551" s="108" t="s">
        <v>709</v>
      </c>
      <c r="F551" s="108" t="s">
        <v>532</v>
      </c>
      <c r="G551" s="108" t="s">
        <v>853</v>
      </c>
      <c r="H551" s="131" t="s">
        <v>1185</v>
      </c>
      <c r="I551" s="109">
        <v>4</v>
      </c>
      <c r="J551" s="109" t="s">
        <v>805</v>
      </c>
      <c r="K551" s="105" t="s">
        <v>1252</v>
      </c>
      <c r="L551" s="107" t="str">
        <f ca="1">VLOOKUP($K551,OFFSET([1]character_type_i18n!$A$1,0,0,COUNTA([1]character_type_i18n!$A:$A),MATCH(L$1,[1]character_type_i18n!$1:$1,0)-MATCH($K$1,[1]character_type_i18n!$1:$1,0)+1),MATCH(L$1,[1]character_type_i18n!$1:$1,0)-MATCH($K$1,[1]character_type_i18n!$1:$1,0)+1,FALSE)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51" s="105" t="s">
        <v>1164</v>
      </c>
      <c r="N551" s="107" t="str">
        <f>VLOOKUP(M551,[1]character_tribe_i18n!A:C,3,FALSE)</f>
        <v>Unknown</v>
      </c>
      <c r="O551" s="105" t="s">
        <v>278</v>
      </c>
      <c r="P551" s="107" t="str">
        <f>VLOOKUP(O551,[1]character_tribe_i18n!A:C,3,FALSE)</f>
        <v>種族なし</v>
      </c>
      <c r="Q551" s="110" t="s">
        <v>279</v>
      </c>
      <c r="R551" s="111">
        <v>3</v>
      </c>
      <c r="S551" s="108" t="s">
        <v>280</v>
      </c>
      <c r="T551" s="108" t="s">
        <v>281</v>
      </c>
      <c r="U551" s="108" t="s">
        <v>280</v>
      </c>
      <c r="V551" s="108" t="s">
        <v>280</v>
      </c>
      <c r="W551" s="108" t="s">
        <v>280</v>
      </c>
    </row>
    <row r="552" spans="1:23" ht="21" customHeight="1" x14ac:dyDescent="0.15">
      <c r="A552" s="104">
        <f t="shared" si="8"/>
        <v>551</v>
      </c>
      <c r="B552" s="105" t="s">
        <v>268</v>
      </c>
      <c r="C552" s="121" t="s">
        <v>1831</v>
      </c>
      <c r="D552" s="107" t="s">
        <v>1810</v>
      </c>
      <c r="E552" s="108" t="s">
        <v>709</v>
      </c>
      <c r="F552" s="108" t="s">
        <v>532</v>
      </c>
      <c r="G552" s="108" t="s">
        <v>1822</v>
      </c>
      <c r="H552" s="131" t="s">
        <v>1832</v>
      </c>
      <c r="I552" s="109">
        <v>3</v>
      </c>
      <c r="J552" s="109" t="s">
        <v>805</v>
      </c>
      <c r="K552" s="105" t="s">
        <v>1833</v>
      </c>
      <c r="L552" s="107" t="str">
        <f ca="1">VLOOKUP($K552,OFFSET([1]character_type_i18n!$A$1,0,0,COUNTA([1]character_type_i18n!$A:$A),MATCH(L$1,[1]character_type_i18n!$1:$1,0)-MATCH($K$1,[1]character_type_i18n!$1:$1,0)+1),MATCH(L$1,[1]character_type_i18n!$1:$1,0)-MATCH($K$1,[1]character_type_i18n!$1:$1,0)+1,FALSE)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52" s="105" t="s">
        <v>1834</v>
      </c>
      <c r="N552" s="107" t="str">
        <f>VLOOKUP(M552,[1]character_tribe_i18n!A:C,3,FALSE)</f>
        <v>Unknown</v>
      </c>
      <c r="O552" s="105" t="s">
        <v>278</v>
      </c>
      <c r="P552" s="107" t="str">
        <f>VLOOKUP(O552,[1]character_tribe_i18n!A:C,3,FALSE)</f>
        <v>種族なし</v>
      </c>
      <c r="Q552" s="110" t="s">
        <v>279</v>
      </c>
      <c r="R552" s="111">
        <v>3</v>
      </c>
      <c r="S552" s="108" t="s">
        <v>280</v>
      </c>
      <c r="T552" s="108" t="s">
        <v>281</v>
      </c>
      <c r="U552" s="108" t="s">
        <v>280</v>
      </c>
      <c r="V552" s="108" t="s">
        <v>280</v>
      </c>
      <c r="W552" s="108" t="s">
        <v>280</v>
      </c>
    </row>
    <row r="553" spans="1:23" ht="21" customHeight="1" x14ac:dyDescent="0.15">
      <c r="A553" s="104">
        <f t="shared" si="8"/>
        <v>552</v>
      </c>
      <c r="B553" s="105" t="s">
        <v>268</v>
      </c>
      <c r="C553" s="121" t="s">
        <v>1835</v>
      </c>
      <c r="D553" s="107" t="s">
        <v>1810</v>
      </c>
      <c r="E553" s="108" t="s">
        <v>709</v>
      </c>
      <c r="F553" s="108" t="s">
        <v>532</v>
      </c>
      <c r="G553" s="108" t="s">
        <v>1822</v>
      </c>
      <c r="H553" s="131" t="s">
        <v>1832</v>
      </c>
      <c r="I553" s="109">
        <v>4</v>
      </c>
      <c r="J553" s="109" t="s">
        <v>805</v>
      </c>
      <c r="K553" s="105" t="s">
        <v>1833</v>
      </c>
      <c r="L553" s="107" t="str">
        <f ca="1">VLOOKUP($K553,OFFSET([1]character_type_i18n!$A$1,0,0,COUNTA([1]character_type_i18n!$A:$A),MATCH(L$1,[1]character_type_i18n!$1:$1,0)-MATCH($K$1,[1]character_type_i18n!$1:$1,0)+1),MATCH(L$1,[1]character_type_i18n!$1:$1,0)-MATCH($K$1,[1]character_type_i18n!$1:$1,0)+1,FALSE)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53" s="105" t="s">
        <v>1834</v>
      </c>
      <c r="N553" s="107" t="str">
        <f>VLOOKUP(M553,[1]character_tribe_i18n!A:C,3,FALSE)</f>
        <v>Unknown</v>
      </c>
      <c r="O553" s="105" t="s">
        <v>278</v>
      </c>
      <c r="P553" s="107" t="str">
        <f>VLOOKUP(O553,[1]character_tribe_i18n!A:C,3,FALSE)</f>
        <v>種族なし</v>
      </c>
      <c r="Q553" s="110" t="s">
        <v>279</v>
      </c>
      <c r="R553" s="111">
        <v>3</v>
      </c>
      <c r="S553" s="108" t="s">
        <v>280</v>
      </c>
      <c r="T553" s="108" t="s">
        <v>281</v>
      </c>
      <c r="U553" s="108" t="s">
        <v>280</v>
      </c>
      <c r="V553" s="108" t="s">
        <v>280</v>
      </c>
      <c r="W553" s="108" t="s">
        <v>280</v>
      </c>
    </row>
    <row r="554" spans="1:23" ht="21" customHeight="1" x14ac:dyDescent="0.15">
      <c r="A554" s="104">
        <f t="shared" si="8"/>
        <v>553</v>
      </c>
      <c r="B554" s="105" t="s">
        <v>268</v>
      </c>
      <c r="C554" s="121" t="s">
        <v>1836</v>
      </c>
      <c r="D554" s="107" t="s">
        <v>1773</v>
      </c>
      <c r="E554" s="108" t="s">
        <v>709</v>
      </c>
      <c r="F554" s="108" t="s">
        <v>532</v>
      </c>
      <c r="G554" s="108" t="s">
        <v>853</v>
      </c>
      <c r="H554" s="131" t="s">
        <v>1761</v>
      </c>
      <c r="I554" s="109">
        <v>4</v>
      </c>
      <c r="J554" s="109" t="s">
        <v>1837</v>
      </c>
      <c r="K554" s="105" t="s">
        <v>1392</v>
      </c>
      <c r="L554" s="107" t="str">
        <f ca="1">VLOOKUP($K554,OFFSET([1]character_type_i18n!$A$1,0,0,COUNTA([1]character_type_i18n!$A:$A),MATCH(L$1,[1]character_type_i18n!$1:$1,0)-MATCH($K$1,[1]character_type_i18n!$1:$1,0)+1),MATCH(L$1,[1]character_type_i18n!$1:$1,0)-MATCH($K$1,[1]character_type_i18n!$1:$1,0)+1,FALSE)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54" s="105" t="s">
        <v>1164</v>
      </c>
      <c r="N554" s="107" t="str">
        <f>VLOOKUP(M554,[1]character_tribe_i18n!A:C,3,FALSE)</f>
        <v>Unknown</v>
      </c>
      <c r="O554" s="105" t="s">
        <v>278</v>
      </c>
      <c r="P554" s="107" t="str">
        <f>VLOOKUP(O554,[1]character_tribe_i18n!A:C,3,FALSE)</f>
        <v>種族なし</v>
      </c>
      <c r="Q554" s="110" t="s">
        <v>279</v>
      </c>
      <c r="R554" s="111">
        <v>3</v>
      </c>
      <c r="S554" s="108" t="s">
        <v>280</v>
      </c>
      <c r="T554" s="108" t="s">
        <v>281</v>
      </c>
      <c r="U554" s="108" t="s">
        <v>280</v>
      </c>
      <c r="V554" s="108" t="s">
        <v>280</v>
      </c>
      <c r="W554" s="108" t="s">
        <v>280</v>
      </c>
    </row>
    <row r="555" spans="1:23" ht="21" customHeight="1" x14ac:dyDescent="0.15">
      <c r="A555" s="104">
        <f t="shared" si="8"/>
        <v>554</v>
      </c>
      <c r="B555" s="105" t="s">
        <v>268</v>
      </c>
      <c r="C555" s="121" t="s">
        <v>1838</v>
      </c>
      <c r="D555" s="107" t="s">
        <v>1773</v>
      </c>
      <c r="E555" s="108" t="s">
        <v>709</v>
      </c>
      <c r="F555" s="108" t="s">
        <v>532</v>
      </c>
      <c r="G555" s="108" t="s">
        <v>853</v>
      </c>
      <c r="H555" s="131" t="s">
        <v>1761</v>
      </c>
      <c r="I555" s="109">
        <v>5</v>
      </c>
      <c r="J555" s="109" t="s">
        <v>1839</v>
      </c>
      <c r="K555" s="105" t="s">
        <v>1392</v>
      </c>
      <c r="L555" s="107" t="str">
        <f ca="1">VLOOKUP($K555,OFFSET([1]character_type_i18n!$A$1,0,0,COUNTA([1]character_type_i18n!$A:$A),MATCH(L$1,[1]character_type_i18n!$1:$1,0)-MATCH($K$1,[1]character_type_i18n!$1:$1,0)+1),MATCH(L$1,[1]character_type_i18n!$1:$1,0)-MATCH($K$1,[1]character_type_i18n!$1:$1,0)+1,FALSE)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55" s="105" t="s">
        <v>1164</v>
      </c>
      <c r="N555" s="107" t="str">
        <f>VLOOKUP(M555,[1]character_tribe_i18n!A:C,3,FALSE)</f>
        <v>Unknown</v>
      </c>
      <c r="O555" s="105" t="s">
        <v>278</v>
      </c>
      <c r="P555" s="107" t="str">
        <f>VLOOKUP(O555,[1]character_tribe_i18n!A:C,3,FALSE)</f>
        <v>種族なし</v>
      </c>
      <c r="Q555" s="110" t="s">
        <v>279</v>
      </c>
      <c r="R555" s="111">
        <v>3</v>
      </c>
      <c r="S555" s="108" t="s">
        <v>280</v>
      </c>
      <c r="T555" s="108" t="s">
        <v>281</v>
      </c>
      <c r="U555" s="108" t="s">
        <v>280</v>
      </c>
      <c r="V555" s="108" t="s">
        <v>280</v>
      </c>
      <c r="W555" s="108" t="s">
        <v>280</v>
      </c>
    </row>
    <row r="556" spans="1:23" ht="21" customHeight="1" x14ac:dyDescent="0.15">
      <c r="A556" s="104">
        <f t="shared" si="8"/>
        <v>555</v>
      </c>
      <c r="B556" s="105" t="s">
        <v>268</v>
      </c>
      <c r="C556" s="121" t="s">
        <v>1840</v>
      </c>
      <c r="D556" s="107" t="s">
        <v>1773</v>
      </c>
      <c r="E556" s="108" t="s">
        <v>709</v>
      </c>
      <c r="F556" s="108" t="s">
        <v>532</v>
      </c>
      <c r="G556" s="108" t="s">
        <v>853</v>
      </c>
      <c r="H556" s="131" t="s">
        <v>1761</v>
      </c>
      <c r="I556" s="109">
        <v>4</v>
      </c>
      <c r="J556" s="130" t="s">
        <v>516</v>
      </c>
      <c r="K556" s="105" t="s">
        <v>1221</v>
      </c>
      <c r="L556" s="107" t="str">
        <f ca="1">VLOOKUP($K556,OFFSET([1]character_type_i18n!$A$1,0,0,COUNTA([1]character_type_i18n!$A:$A),MATCH(L$1,[1]character_type_i18n!$1:$1,0)-MATCH($K$1,[1]character_type_i18n!$1:$1,0)+1),MATCH(L$1,[1]character_type_i18n!$1:$1,0)-MATCH($K$1,[1]character_type_i18n!$1:$1,0)+1,FALSE)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56" s="105" t="s">
        <v>1164</v>
      </c>
      <c r="N556" s="107" t="str">
        <f>VLOOKUP(M556,[1]character_tribe_i18n!A:C,3,FALSE)</f>
        <v>Unknown</v>
      </c>
      <c r="O556" s="105" t="s">
        <v>278</v>
      </c>
      <c r="P556" s="107" t="str">
        <f>VLOOKUP(O556,[1]character_tribe_i18n!A:C,3,FALSE)</f>
        <v>種族なし</v>
      </c>
      <c r="Q556" s="110" t="s">
        <v>279</v>
      </c>
      <c r="R556" s="111">
        <v>3</v>
      </c>
      <c r="S556" s="108" t="s">
        <v>280</v>
      </c>
      <c r="T556" s="108" t="s">
        <v>281</v>
      </c>
      <c r="U556" s="108" t="s">
        <v>280</v>
      </c>
      <c r="V556" s="108" t="s">
        <v>280</v>
      </c>
      <c r="W556" s="108" t="s">
        <v>280</v>
      </c>
    </row>
    <row r="557" spans="1:23" ht="21" customHeight="1" x14ac:dyDescent="0.15">
      <c r="A557" s="104">
        <f t="shared" si="8"/>
        <v>556</v>
      </c>
      <c r="B557" s="105" t="s">
        <v>268</v>
      </c>
      <c r="C557" s="121" t="s">
        <v>1841</v>
      </c>
      <c r="D557" s="107" t="s">
        <v>1773</v>
      </c>
      <c r="E557" s="108" t="s">
        <v>709</v>
      </c>
      <c r="F557" s="108" t="s">
        <v>532</v>
      </c>
      <c r="G557" s="108" t="s">
        <v>853</v>
      </c>
      <c r="H557" s="131" t="s">
        <v>1761</v>
      </c>
      <c r="I557" s="109">
        <v>5</v>
      </c>
      <c r="J557" s="130" t="s">
        <v>516</v>
      </c>
      <c r="K557" s="105" t="s">
        <v>1221</v>
      </c>
      <c r="L557" s="107" t="str">
        <f ca="1">VLOOKUP($K557,OFFSET([1]character_type_i18n!$A$1,0,0,COUNTA([1]character_type_i18n!$A:$A),MATCH(L$1,[1]character_type_i18n!$1:$1,0)-MATCH($K$1,[1]character_type_i18n!$1:$1,0)+1),MATCH(L$1,[1]character_type_i18n!$1:$1,0)-MATCH($K$1,[1]character_type_i18n!$1:$1,0)+1,FALSE)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57" s="105" t="s">
        <v>1164</v>
      </c>
      <c r="N557" s="107" t="str">
        <f>VLOOKUP(M557,[1]character_tribe_i18n!A:C,3,FALSE)</f>
        <v>Unknown</v>
      </c>
      <c r="O557" s="105" t="s">
        <v>278</v>
      </c>
      <c r="P557" s="107" t="str">
        <f>VLOOKUP(O557,[1]character_tribe_i18n!A:C,3,FALSE)</f>
        <v>種族なし</v>
      </c>
      <c r="Q557" s="110" t="s">
        <v>279</v>
      </c>
      <c r="R557" s="111">
        <v>3</v>
      </c>
      <c r="S557" s="108" t="s">
        <v>280</v>
      </c>
      <c r="T557" s="108" t="s">
        <v>281</v>
      </c>
      <c r="U557" s="108" t="s">
        <v>280</v>
      </c>
      <c r="V557" s="108" t="s">
        <v>280</v>
      </c>
      <c r="W557" s="108" t="s">
        <v>280</v>
      </c>
    </row>
    <row r="558" spans="1:23" ht="21" customHeight="1" x14ac:dyDescent="0.15">
      <c r="A558" s="104">
        <f t="shared" si="8"/>
        <v>557</v>
      </c>
      <c r="B558" s="105" t="s">
        <v>268</v>
      </c>
      <c r="C558" s="136" t="s">
        <v>1842</v>
      </c>
      <c r="D558" s="107" t="s">
        <v>1843</v>
      </c>
      <c r="E558" s="108" t="s">
        <v>709</v>
      </c>
      <c r="F558" s="108" t="s">
        <v>532</v>
      </c>
      <c r="G558" s="108" t="s">
        <v>1347</v>
      </c>
      <c r="H558" s="131" t="s">
        <v>618</v>
      </c>
      <c r="I558" s="109">
        <v>3</v>
      </c>
      <c r="J558" s="130" t="s">
        <v>516</v>
      </c>
      <c r="K558" s="105" t="s">
        <v>1780</v>
      </c>
      <c r="L558" s="107" t="str">
        <f ca="1">VLOOKUP($K558,OFFSET([1]character_type_i18n!$A$1,0,0,COUNTA([1]character_type_i18n!$A:$A),MATCH(L$1,[1]character_type_i18n!$1:$1,0)-MATCH($K$1,[1]character_type_i18n!$1:$1,0)+1),MATCH(L$1,[1]character_type_i18n!$1:$1,0)-MATCH($K$1,[1]character_type_i18n!$1:$1,0)+1,FALSE)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58" s="105" t="s">
        <v>1164</v>
      </c>
      <c r="N558" s="107" t="str">
        <f>VLOOKUP(M558,[1]character_tribe_i18n!A:C,3,FALSE)</f>
        <v>Unknown</v>
      </c>
      <c r="O558" s="105" t="s">
        <v>278</v>
      </c>
      <c r="P558" s="107" t="str">
        <f>VLOOKUP(O558,[1]character_tribe_i18n!A:C,3,FALSE)</f>
        <v>種族なし</v>
      </c>
      <c r="Q558" s="110" t="s">
        <v>279</v>
      </c>
      <c r="R558" s="111">
        <v>3</v>
      </c>
      <c r="S558" s="108" t="s">
        <v>280</v>
      </c>
      <c r="T558" s="108" t="s">
        <v>281</v>
      </c>
      <c r="U558" s="108" t="s">
        <v>280</v>
      </c>
      <c r="V558" s="108" t="s">
        <v>280</v>
      </c>
      <c r="W558" s="108" t="s">
        <v>280</v>
      </c>
    </row>
    <row r="559" spans="1:23" ht="21" customHeight="1" x14ac:dyDescent="0.15">
      <c r="A559" s="104">
        <f t="shared" si="8"/>
        <v>558</v>
      </c>
      <c r="B559" s="105" t="s">
        <v>268</v>
      </c>
      <c r="C559" s="136" t="s">
        <v>1844</v>
      </c>
      <c r="D559" s="107" t="s">
        <v>1843</v>
      </c>
      <c r="E559" s="108" t="s">
        <v>709</v>
      </c>
      <c r="F559" s="108" t="s">
        <v>532</v>
      </c>
      <c r="G559" s="108" t="s">
        <v>1347</v>
      </c>
      <c r="H559" s="131" t="s">
        <v>618</v>
      </c>
      <c r="I559" s="109">
        <v>4</v>
      </c>
      <c r="J559" s="130" t="s">
        <v>516</v>
      </c>
      <c r="K559" s="105" t="s">
        <v>1780</v>
      </c>
      <c r="L559" s="107" t="str">
        <f ca="1">VLOOKUP($K559,OFFSET([1]character_type_i18n!$A$1,0,0,COUNTA([1]character_type_i18n!$A:$A),MATCH(L$1,[1]character_type_i18n!$1:$1,0)-MATCH($K$1,[1]character_type_i18n!$1:$1,0)+1),MATCH(L$1,[1]character_type_i18n!$1:$1,0)-MATCH($K$1,[1]character_type_i18n!$1:$1,0)+1,FALSE)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59" s="105" t="s">
        <v>1164</v>
      </c>
      <c r="N559" s="107" t="str">
        <f>VLOOKUP(M559,[1]character_tribe_i18n!A:C,3,FALSE)</f>
        <v>Unknown</v>
      </c>
      <c r="O559" s="105" t="s">
        <v>278</v>
      </c>
      <c r="P559" s="107" t="str">
        <f>VLOOKUP(O559,[1]character_tribe_i18n!A:C,3,FALSE)</f>
        <v>種族なし</v>
      </c>
      <c r="Q559" s="110" t="s">
        <v>279</v>
      </c>
      <c r="R559" s="111">
        <v>3</v>
      </c>
      <c r="S559" s="108" t="s">
        <v>280</v>
      </c>
      <c r="T559" s="108" t="s">
        <v>281</v>
      </c>
      <c r="U559" s="108" t="s">
        <v>280</v>
      </c>
      <c r="V559" s="108" t="s">
        <v>280</v>
      </c>
      <c r="W559" s="108" t="s">
        <v>280</v>
      </c>
    </row>
    <row r="560" spans="1:23" ht="21" customHeight="1" x14ac:dyDescent="0.15">
      <c r="A560" s="104">
        <f t="shared" si="8"/>
        <v>559</v>
      </c>
      <c r="B560" s="105" t="s">
        <v>268</v>
      </c>
      <c r="C560" s="136" t="s">
        <v>1845</v>
      </c>
      <c r="D560" s="107" t="s">
        <v>1843</v>
      </c>
      <c r="E560" s="108" t="s">
        <v>709</v>
      </c>
      <c r="F560" s="108" t="s">
        <v>532</v>
      </c>
      <c r="G560" s="108" t="s">
        <v>1347</v>
      </c>
      <c r="H560" s="131" t="s">
        <v>618</v>
      </c>
      <c r="I560" s="109">
        <v>5</v>
      </c>
      <c r="J560" s="130" t="s">
        <v>516</v>
      </c>
      <c r="K560" s="105" t="s">
        <v>1780</v>
      </c>
      <c r="L560" s="107" t="str">
        <f ca="1">VLOOKUP($K560,OFFSET([1]character_type_i18n!$A$1,0,0,COUNTA([1]character_type_i18n!$A:$A),MATCH(L$1,[1]character_type_i18n!$1:$1,0)-MATCH($K$1,[1]character_type_i18n!$1:$1,0)+1),MATCH(L$1,[1]character_type_i18n!$1:$1,0)-MATCH($K$1,[1]character_type_i18n!$1:$1,0)+1,FALSE)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60" s="105" t="s">
        <v>1164</v>
      </c>
      <c r="N560" s="107" t="str">
        <f>VLOOKUP(M560,[1]character_tribe_i18n!A:C,3,FALSE)</f>
        <v>Unknown</v>
      </c>
      <c r="O560" s="105" t="s">
        <v>278</v>
      </c>
      <c r="P560" s="107" t="str">
        <f>VLOOKUP(O560,[1]character_tribe_i18n!A:C,3,FALSE)</f>
        <v>種族なし</v>
      </c>
      <c r="Q560" s="110" t="s">
        <v>279</v>
      </c>
      <c r="R560" s="111">
        <v>3</v>
      </c>
      <c r="S560" s="108" t="s">
        <v>280</v>
      </c>
      <c r="T560" s="108" t="s">
        <v>281</v>
      </c>
      <c r="U560" s="108" t="s">
        <v>280</v>
      </c>
      <c r="V560" s="108" t="s">
        <v>280</v>
      </c>
      <c r="W560" s="108" t="s">
        <v>280</v>
      </c>
    </row>
    <row r="561" spans="1:23" ht="21" customHeight="1" x14ac:dyDescent="0.15">
      <c r="A561" s="104">
        <f t="shared" si="8"/>
        <v>560</v>
      </c>
      <c r="B561" s="105" t="s">
        <v>268</v>
      </c>
      <c r="C561" s="137" t="s">
        <v>1846</v>
      </c>
      <c r="D561" s="107" t="s">
        <v>1847</v>
      </c>
      <c r="E561" s="108" t="s">
        <v>643</v>
      </c>
      <c r="F561" s="108" t="s">
        <v>630</v>
      </c>
      <c r="G561" s="108" t="s">
        <v>331</v>
      </c>
      <c r="H561" s="105" t="s">
        <v>1141</v>
      </c>
      <c r="I561" s="115">
        <v>5</v>
      </c>
      <c r="J561" s="115" t="s">
        <v>1848</v>
      </c>
      <c r="K561" s="105" t="s">
        <v>276</v>
      </c>
      <c r="L561" s="107" t="str">
        <f ca="1">VLOOKUP($K561,OFFSET([1]character_type_i18n!$A$1,0,0,COUNTA([1]character_type_i18n!$A:$A),MATCH(L$1,[1]character_type_i18n!$1:$1,0)-MATCH($K$1,[1]character_type_i18n!$1:$1,0)+1),MATCH(L$1,[1]character_type_i18n!$1:$1,0)-MATCH($K$1,[1]character_type_i18n!$1:$1,0)+1,FALSE)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61" s="105" t="s">
        <v>332</v>
      </c>
      <c r="N561" s="107" t="str">
        <f>VLOOKUP(M561,[1]character_tribe_i18n!A:C,3,FALSE)</f>
        <v>ヒューマン</v>
      </c>
      <c r="O561" s="105" t="s">
        <v>318</v>
      </c>
      <c r="P561" s="107" t="str">
        <f>VLOOKUP(O561,[1]character_tribe_i18n!A:C,3,FALSE)</f>
        <v>アニマル</v>
      </c>
      <c r="Q561" s="117" t="s">
        <v>654</v>
      </c>
      <c r="R561" s="111">
        <v>3</v>
      </c>
      <c r="S561" s="108" t="s">
        <v>280</v>
      </c>
      <c r="T561" s="108" t="s">
        <v>281</v>
      </c>
      <c r="U561" s="108" t="s">
        <v>280</v>
      </c>
      <c r="V561" s="108" t="s">
        <v>280</v>
      </c>
      <c r="W561" s="108" t="s">
        <v>280</v>
      </c>
    </row>
    <row r="562" spans="1:23" ht="21" customHeight="1" x14ac:dyDescent="0.15">
      <c r="A562" s="104">
        <f t="shared" si="8"/>
        <v>561</v>
      </c>
      <c r="B562" s="105" t="s">
        <v>268</v>
      </c>
      <c r="C562" s="137" t="s">
        <v>1849</v>
      </c>
      <c r="D562" s="107" t="s">
        <v>1847</v>
      </c>
      <c r="E562" s="108" t="s">
        <v>643</v>
      </c>
      <c r="F562" s="108" t="s">
        <v>639</v>
      </c>
      <c r="G562" s="108" t="s">
        <v>331</v>
      </c>
      <c r="H562" s="105" t="s">
        <v>614</v>
      </c>
      <c r="I562" s="115">
        <v>5</v>
      </c>
      <c r="J562" s="115" t="s">
        <v>1848</v>
      </c>
      <c r="K562" s="105" t="s">
        <v>1005</v>
      </c>
      <c r="L562" s="107" t="str">
        <f ca="1">VLOOKUP($K562,OFFSET([1]character_type_i18n!$A$1,0,0,COUNTA([1]character_type_i18n!$A:$A),MATCH(L$1,[1]character_type_i18n!$1:$1,0)-MATCH($K$1,[1]character_type_i18n!$1:$1,0)+1),MATCH(L$1,[1]character_type_i18n!$1:$1,0)-MATCH($K$1,[1]character_type_i18n!$1:$1,0)+1,FALSE)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62" s="105" t="s">
        <v>332</v>
      </c>
      <c r="N562" s="107" t="str">
        <f>VLOOKUP(M562,[1]character_tribe_i18n!A:C,3,FALSE)</f>
        <v>ヒューマン</v>
      </c>
      <c r="O562" s="105" t="s">
        <v>318</v>
      </c>
      <c r="P562" s="107" t="str">
        <f>VLOOKUP(O562,[1]character_tribe_i18n!A:C,3,FALSE)</f>
        <v>アニマル</v>
      </c>
      <c r="Q562" s="117" t="s">
        <v>654</v>
      </c>
      <c r="R562" s="111">
        <v>3</v>
      </c>
      <c r="S562" s="108" t="s">
        <v>280</v>
      </c>
      <c r="T562" s="108" t="s">
        <v>281</v>
      </c>
      <c r="U562" s="108" t="s">
        <v>280</v>
      </c>
      <c r="V562" s="108" t="s">
        <v>280</v>
      </c>
      <c r="W562" s="108" t="s">
        <v>280</v>
      </c>
    </row>
    <row r="563" spans="1:23" ht="21" customHeight="1" x14ac:dyDescent="0.15">
      <c r="A563" s="104">
        <f t="shared" si="8"/>
        <v>562</v>
      </c>
      <c r="B563" s="105" t="s">
        <v>268</v>
      </c>
      <c r="C563" s="137" t="s">
        <v>1850</v>
      </c>
      <c r="D563" s="107" t="s">
        <v>1847</v>
      </c>
      <c r="E563" s="108" t="s">
        <v>643</v>
      </c>
      <c r="F563" s="108" t="s">
        <v>639</v>
      </c>
      <c r="G563" s="108" t="s">
        <v>273</v>
      </c>
      <c r="H563" s="105" t="s">
        <v>618</v>
      </c>
      <c r="I563" s="115">
        <v>5</v>
      </c>
      <c r="J563" s="115" t="s">
        <v>1851</v>
      </c>
      <c r="K563" s="105" t="s">
        <v>276</v>
      </c>
      <c r="L563" s="107" t="str">
        <f ca="1">VLOOKUP($K563,OFFSET([1]character_type_i18n!$A$1,0,0,COUNTA([1]character_type_i18n!$A:$A),MATCH(L$1,[1]character_type_i18n!$1:$1,0)-MATCH($K$1,[1]character_type_i18n!$1:$1,0)+1),MATCH(L$1,[1]character_type_i18n!$1:$1,0)-MATCH($K$1,[1]character_type_i18n!$1:$1,0)+1,FALSE)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63" s="105" t="s">
        <v>318</v>
      </c>
      <c r="N563" s="107" t="str">
        <f>VLOOKUP(M563,[1]character_tribe_i18n!A:C,3,FALSE)</f>
        <v>アニマル</v>
      </c>
      <c r="O563" s="105" t="s">
        <v>278</v>
      </c>
      <c r="P563" s="107" t="str">
        <f>VLOOKUP(O563,[1]character_tribe_i18n!A:C,3,FALSE)</f>
        <v>種族なし</v>
      </c>
      <c r="Q563" s="117" t="s">
        <v>654</v>
      </c>
      <c r="R563" s="111">
        <v>3</v>
      </c>
      <c r="S563" s="108" t="s">
        <v>280</v>
      </c>
      <c r="T563" s="108" t="s">
        <v>281</v>
      </c>
      <c r="U563" s="108" t="s">
        <v>280</v>
      </c>
      <c r="V563" s="108" t="s">
        <v>280</v>
      </c>
      <c r="W563" s="108" t="s">
        <v>280</v>
      </c>
    </row>
    <row r="564" spans="1:23" ht="21" customHeight="1" x14ac:dyDescent="0.15">
      <c r="A564" s="104">
        <f t="shared" si="8"/>
        <v>563</v>
      </c>
      <c r="B564" s="105" t="s">
        <v>268</v>
      </c>
      <c r="C564" s="137" t="s">
        <v>1852</v>
      </c>
      <c r="D564" s="107" t="s">
        <v>1847</v>
      </c>
      <c r="E564" s="108" t="s">
        <v>643</v>
      </c>
      <c r="F564" s="108" t="s">
        <v>639</v>
      </c>
      <c r="G564" s="108" t="s">
        <v>383</v>
      </c>
      <c r="H564" s="105" t="s">
        <v>551</v>
      </c>
      <c r="I564" s="115">
        <v>5</v>
      </c>
      <c r="J564" s="115" t="s">
        <v>1848</v>
      </c>
      <c r="K564" s="105" t="s">
        <v>276</v>
      </c>
      <c r="L564" s="107" t="str">
        <f ca="1">VLOOKUP($K564,OFFSET([1]character_type_i18n!$A$1,0,0,COUNTA([1]character_type_i18n!$A:$A),MATCH(L$1,[1]character_type_i18n!$1:$1,0)-MATCH($K$1,[1]character_type_i18n!$1:$1,0)+1),MATCH(L$1,[1]character_type_i18n!$1:$1,0)-MATCH($K$1,[1]character_type_i18n!$1:$1,0)+1,FALSE)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64" s="105" t="s">
        <v>332</v>
      </c>
      <c r="N564" s="107" t="str">
        <f>VLOOKUP(M564,[1]character_tribe_i18n!A:C,3,FALSE)</f>
        <v>ヒューマン</v>
      </c>
      <c r="O564" s="105" t="s">
        <v>318</v>
      </c>
      <c r="P564" s="107" t="str">
        <f>VLOOKUP(O564,[1]character_tribe_i18n!A:C,3,FALSE)</f>
        <v>アニマル</v>
      </c>
      <c r="Q564" s="117" t="s">
        <v>654</v>
      </c>
      <c r="R564" s="111">
        <v>3</v>
      </c>
      <c r="S564" s="108" t="s">
        <v>280</v>
      </c>
      <c r="T564" s="108" t="s">
        <v>281</v>
      </c>
      <c r="U564" s="108" t="s">
        <v>280</v>
      </c>
      <c r="V564" s="108" t="s">
        <v>280</v>
      </c>
      <c r="W564" s="108" t="s">
        <v>280</v>
      </c>
    </row>
    <row r="565" spans="1:23" ht="21" customHeight="1" x14ac:dyDescent="0.15">
      <c r="A565" s="104">
        <f t="shared" si="8"/>
        <v>564</v>
      </c>
      <c r="B565" s="105" t="s">
        <v>268</v>
      </c>
      <c r="C565" s="121" t="s">
        <v>667</v>
      </c>
      <c r="D565" s="107" t="s">
        <v>1404</v>
      </c>
      <c r="E565" s="108" t="s">
        <v>1405</v>
      </c>
      <c r="F565" s="108" t="s">
        <v>1406</v>
      </c>
      <c r="G565" s="108" t="s">
        <v>1347</v>
      </c>
      <c r="H565" s="131" t="s">
        <v>274</v>
      </c>
      <c r="I565" s="121">
        <v>5</v>
      </c>
      <c r="J565" s="115" t="s">
        <v>1851</v>
      </c>
      <c r="K565" s="105" t="s">
        <v>1780</v>
      </c>
      <c r="L565" s="107" t="str">
        <f ca="1">VLOOKUP($K565,OFFSET([1]character_type_i18n!$A$1,0,0,COUNTA([1]character_type_i18n!$A:$A),MATCH(L$1,[1]character_type_i18n!$1:$1,0)-MATCH($K$1,[1]character_type_i18n!$1:$1,0)+1),MATCH(L$1,[1]character_type_i18n!$1:$1,0)-MATCH($K$1,[1]character_type_i18n!$1:$1,0)+1,FALSE)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65" s="105" t="s">
        <v>332</v>
      </c>
      <c r="N565" s="107" t="str">
        <f>VLOOKUP(M565,[1]character_tribe_i18n!A:C,3,FALSE)</f>
        <v>ヒューマン</v>
      </c>
      <c r="O565" s="105" t="s">
        <v>278</v>
      </c>
      <c r="P565" s="107" t="str">
        <f>VLOOKUP(O565,[1]character_tribe_i18n!A:C,3,FALSE)</f>
        <v>種族なし</v>
      </c>
      <c r="Q565" s="110" t="s">
        <v>279</v>
      </c>
      <c r="R565" s="111">
        <v>1</v>
      </c>
      <c r="S565" s="108" t="s">
        <v>280</v>
      </c>
      <c r="T565" s="108" t="s">
        <v>281</v>
      </c>
      <c r="U565" s="108" t="s">
        <v>280</v>
      </c>
      <c r="V565" s="108" t="s">
        <v>280</v>
      </c>
      <c r="W565" s="108" t="s">
        <v>280</v>
      </c>
    </row>
    <row r="566" spans="1:23" ht="21" customHeight="1" x14ac:dyDescent="0.15">
      <c r="A566" s="104">
        <f t="shared" si="8"/>
        <v>565</v>
      </c>
      <c r="B566" s="105" t="s">
        <v>268</v>
      </c>
      <c r="C566" s="121" t="s">
        <v>669</v>
      </c>
      <c r="D566" s="107" t="s">
        <v>1404</v>
      </c>
      <c r="E566" s="108" t="s">
        <v>1405</v>
      </c>
      <c r="F566" s="108" t="s">
        <v>1406</v>
      </c>
      <c r="G566" s="108" t="s">
        <v>1347</v>
      </c>
      <c r="H566" s="131" t="s">
        <v>285</v>
      </c>
      <c r="I566" s="121">
        <v>5</v>
      </c>
      <c r="J566" s="115" t="s">
        <v>1851</v>
      </c>
      <c r="K566" s="105" t="s">
        <v>1453</v>
      </c>
      <c r="L566" s="107" t="str">
        <f ca="1">VLOOKUP($K566,OFFSET([1]character_type_i18n!$A$1,0,0,COUNTA([1]character_type_i18n!$A:$A),MATCH(L$1,[1]character_type_i18n!$1:$1,0)-MATCH($K$1,[1]character_type_i18n!$1:$1,0)+1),MATCH(L$1,[1]character_type_i18n!$1:$1,0)-MATCH($K$1,[1]character_type_i18n!$1:$1,0)+1,FALSE)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66" s="105" t="s">
        <v>332</v>
      </c>
      <c r="N566" s="107" t="str">
        <f>VLOOKUP(M566,[1]character_tribe_i18n!A:C,3,FALSE)</f>
        <v>ヒューマン</v>
      </c>
      <c r="O566" s="105" t="s">
        <v>278</v>
      </c>
      <c r="P566" s="107" t="str">
        <f>VLOOKUP(O566,[1]character_tribe_i18n!A:C,3,FALSE)</f>
        <v>種族なし</v>
      </c>
      <c r="Q566" s="110" t="s">
        <v>279</v>
      </c>
      <c r="R566" s="111">
        <v>1</v>
      </c>
      <c r="S566" s="108" t="s">
        <v>280</v>
      </c>
      <c r="T566" s="108" t="s">
        <v>281</v>
      </c>
      <c r="U566" s="108" t="s">
        <v>280</v>
      </c>
      <c r="V566" s="108" t="s">
        <v>280</v>
      </c>
      <c r="W566" s="108" t="s">
        <v>280</v>
      </c>
    </row>
    <row r="567" spans="1:23" ht="21" customHeight="1" x14ac:dyDescent="0.15">
      <c r="A567" s="104">
        <f t="shared" si="8"/>
        <v>566</v>
      </c>
      <c r="B567" s="105" t="s">
        <v>1342</v>
      </c>
      <c r="C567" s="121" t="s">
        <v>1853</v>
      </c>
      <c r="D567" s="107" t="s">
        <v>1404</v>
      </c>
      <c r="E567" s="108" t="s">
        <v>1405</v>
      </c>
      <c r="F567" s="108" t="s">
        <v>1406</v>
      </c>
      <c r="G567" s="108" t="s">
        <v>1347</v>
      </c>
      <c r="H567" s="105" t="s">
        <v>618</v>
      </c>
      <c r="I567" s="121">
        <v>5</v>
      </c>
      <c r="J567" s="115" t="s">
        <v>1851</v>
      </c>
      <c r="K567" s="105" t="s">
        <v>1453</v>
      </c>
      <c r="L567" s="107" t="str">
        <f ca="1">VLOOKUP($K567,OFFSET([1]character_type_i18n!$A$1,0,0,COUNTA([1]character_type_i18n!$A:$A),MATCH(L$1,[1]character_type_i18n!$1:$1,0)-MATCH($K$1,[1]character_type_i18n!$1:$1,0)+1),MATCH(L$1,[1]character_type_i18n!$1:$1,0)-MATCH($K$1,[1]character_type_i18n!$1:$1,0)+1,FALSE)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67" s="105" t="s">
        <v>1394</v>
      </c>
      <c r="N567" s="107" t="str">
        <f>VLOOKUP(M567,[1]character_tribe_i18n!A:C,3,FALSE)</f>
        <v>ヒューマン</v>
      </c>
      <c r="O567" s="105" t="s">
        <v>313</v>
      </c>
      <c r="P567" s="107" t="str">
        <f>VLOOKUP(O567,[1]character_tribe_i18n!A:C,3,FALSE)</f>
        <v>アニマル</v>
      </c>
      <c r="Q567" s="110" t="s">
        <v>362</v>
      </c>
      <c r="R567" s="111">
        <v>3</v>
      </c>
      <c r="S567" s="108" t="s">
        <v>289</v>
      </c>
      <c r="T567" s="108" t="s">
        <v>288</v>
      </c>
      <c r="U567" s="108" t="s">
        <v>289</v>
      </c>
      <c r="V567" s="108" t="s">
        <v>289</v>
      </c>
      <c r="W567" s="108" t="s">
        <v>289</v>
      </c>
    </row>
    <row r="568" spans="1:23" ht="21" customHeight="1" x14ac:dyDescent="0.15">
      <c r="A568" s="104">
        <f t="shared" si="8"/>
        <v>567</v>
      </c>
      <c r="B568" s="105" t="s">
        <v>292</v>
      </c>
      <c r="C568" s="121" t="s">
        <v>1854</v>
      </c>
      <c r="D568" s="107" t="s">
        <v>1404</v>
      </c>
      <c r="E568" s="108" t="s">
        <v>1405</v>
      </c>
      <c r="F568" s="108" t="s">
        <v>1406</v>
      </c>
      <c r="G568" s="108" t="s">
        <v>1347</v>
      </c>
      <c r="H568" s="131" t="s">
        <v>300</v>
      </c>
      <c r="I568" s="121">
        <v>5</v>
      </c>
      <c r="J568" s="115" t="s">
        <v>1851</v>
      </c>
      <c r="K568" s="105" t="s">
        <v>1780</v>
      </c>
      <c r="L568" s="107" t="str">
        <f ca="1">VLOOKUP($K568,OFFSET([1]character_type_i18n!$A$1,0,0,COUNTA([1]character_type_i18n!$A:$A),MATCH(L$1,[1]character_type_i18n!$1:$1,0)-MATCH($K$1,[1]character_type_i18n!$1:$1,0)+1),MATCH(L$1,[1]character_type_i18n!$1:$1,0)-MATCH($K$1,[1]character_type_i18n!$1:$1,0)+1,FALSE)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68" s="105" t="s">
        <v>318</v>
      </c>
      <c r="N568" s="107" t="str">
        <f>VLOOKUP(M568,[1]character_tribe_i18n!A:C,3,FALSE)</f>
        <v>アニマル</v>
      </c>
      <c r="O568" s="105" t="s">
        <v>278</v>
      </c>
      <c r="P568" s="107" t="str">
        <f>VLOOKUP(O568,[1]character_tribe_i18n!A:C,3,FALSE)</f>
        <v>種族なし</v>
      </c>
      <c r="Q568" s="110" t="s">
        <v>279</v>
      </c>
      <c r="R568" s="111">
        <v>3</v>
      </c>
      <c r="S568" s="108" t="s">
        <v>280</v>
      </c>
      <c r="T568" s="108" t="s">
        <v>281</v>
      </c>
      <c r="U568" s="108" t="s">
        <v>280</v>
      </c>
      <c r="V568" s="108" t="s">
        <v>280</v>
      </c>
      <c r="W568" s="108" t="s">
        <v>280</v>
      </c>
    </row>
    <row r="569" spans="1:23" ht="21" customHeight="1" x14ac:dyDescent="0.15">
      <c r="A569" s="104">
        <f t="shared" si="8"/>
        <v>568</v>
      </c>
      <c r="B569" s="105" t="s">
        <v>268</v>
      </c>
      <c r="C569" s="121" t="s">
        <v>1855</v>
      </c>
      <c r="D569" s="107" t="s">
        <v>1404</v>
      </c>
      <c r="E569" s="108" t="s">
        <v>1405</v>
      </c>
      <c r="F569" s="108" t="s">
        <v>1406</v>
      </c>
      <c r="G569" s="108" t="s">
        <v>1347</v>
      </c>
      <c r="H569" s="131" t="s">
        <v>1106</v>
      </c>
      <c r="I569" s="121">
        <v>6</v>
      </c>
      <c r="J569" s="109" t="s">
        <v>1856</v>
      </c>
      <c r="K569" s="105" t="s">
        <v>1780</v>
      </c>
      <c r="L569" s="107" t="str">
        <f ca="1">VLOOKUP($K569,OFFSET([1]character_type_i18n!$A$1,0,0,COUNTA([1]character_type_i18n!$A:$A),MATCH(L$1,[1]character_type_i18n!$1:$1,0)-MATCH($K$1,[1]character_type_i18n!$1:$1,0)+1),MATCH(L$1,[1]character_type_i18n!$1:$1,0)-MATCH($K$1,[1]character_type_i18n!$1:$1,0)+1,FALSE)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69" s="105" t="s">
        <v>1394</v>
      </c>
      <c r="N569" s="107" t="str">
        <f>VLOOKUP(M569,[1]character_tribe_i18n!A:C,3,FALSE)</f>
        <v>ヒューマン</v>
      </c>
      <c r="O569" s="105" t="s">
        <v>1017</v>
      </c>
      <c r="P569" s="107" t="str">
        <f>VLOOKUP(O569,[1]character_tribe_i18n!A:C,3,FALSE)</f>
        <v>マシン</v>
      </c>
      <c r="Q569" s="110" t="s">
        <v>362</v>
      </c>
      <c r="R569" s="111">
        <v>3</v>
      </c>
      <c r="S569" s="108" t="s">
        <v>289</v>
      </c>
      <c r="T569" s="108" t="s">
        <v>288</v>
      </c>
      <c r="U569" s="108" t="s">
        <v>289</v>
      </c>
      <c r="V569" s="108" t="s">
        <v>289</v>
      </c>
      <c r="W569" s="108" t="s">
        <v>289</v>
      </c>
    </row>
    <row r="570" spans="1:23" ht="21" customHeight="1" x14ac:dyDescent="0.15">
      <c r="A570" s="104">
        <f t="shared" si="8"/>
        <v>569</v>
      </c>
      <c r="B570" s="105" t="s">
        <v>292</v>
      </c>
      <c r="C570" s="106" t="s">
        <v>1857</v>
      </c>
      <c r="D570" s="107" t="s">
        <v>496</v>
      </c>
      <c r="E570" s="108" t="s">
        <v>1858</v>
      </c>
      <c r="F570" s="108" t="s">
        <v>272</v>
      </c>
      <c r="G570" s="108" t="s">
        <v>331</v>
      </c>
      <c r="H570" s="105" t="s">
        <v>285</v>
      </c>
      <c r="I570" s="109">
        <v>5</v>
      </c>
      <c r="J570" s="109" t="s">
        <v>1859</v>
      </c>
      <c r="K570" s="105" t="s">
        <v>296</v>
      </c>
      <c r="L570" s="107" t="str">
        <f ca="1">VLOOKUP($K570,OFFSET([1]character_type_i18n!$A$1,0,0,COUNTA([1]character_type_i18n!$A:$A),MATCH(L$1,[1]character_type_i18n!$1:$1,0)-MATCH($K$1,[1]character_type_i18n!$1:$1,0)+1),MATCH(L$1,[1]character_type_i18n!$1:$1,0)-MATCH($K$1,[1]character_type_i18n!$1:$1,0)+1,FALSE)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70" s="105" t="s">
        <v>277</v>
      </c>
      <c r="N570" s="107" t="str">
        <f>VLOOKUP(M570,[1]character_tribe_i18n!A:C,3,FALSE)</f>
        <v>Unknown</v>
      </c>
      <c r="O570" s="105" t="s">
        <v>278</v>
      </c>
      <c r="P570" s="107" t="str">
        <f>VLOOKUP(O570,[1]character_tribe_i18n!A:C,3,FALSE)</f>
        <v>種族なし</v>
      </c>
      <c r="Q570" s="110" t="s">
        <v>1860</v>
      </c>
      <c r="R570" s="111">
        <v>3</v>
      </c>
      <c r="S570" s="108" t="s">
        <v>280</v>
      </c>
      <c r="T570" s="108" t="s">
        <v>281</v>
      </c>
      <c r="U570" s="108" t="s">
        <v>280</v>
      </c>
      <c r="V570" s="108" t="s">
        <v>280</v>
      </c>
      <c r="W570" s="108" t="s">
        <v>280</v>
      </c>
    </row>
    <row r="571" spans="1:23" ht="21" customHeight="1" x14ac:dyDescent="0.15">
      <c r="A571" s="104">
        <f t="shared" si="8"/>
        <v>570</v>
      </c>
      <c r="B571" s="105" t="s">
        <v>268</v>
      </c>
      <c r="C571" s="106" t="s">
        <v>1861</v>
      </c>
      <c r="D571" s="107" t="s">
        <v>496</v>
      </c>
      <c r="E571" s="108" t="s">
        <v>1862</v>
      </c>
      <c r="F571" s="108" t="s">
        <v>272</v>
      </c>
      <c r="G571" s="108" t="s">
        <v>331</v>
      </c>
      <c r="H571" s="105" t="s">
        <v>285</v>
      </c>
      <c r="I571" s="109">
        <v>6</v>
      </c>
      <c r="J571" s="109" t="s">
        <v>1504</v>
      </c>
      <c r="K571" s="105" t="s">
        <v>296</v>
      </c>
      <c r="L571" s="107" t="str">
        <f ca="1">VLOOKUP($K571,OFFSET([1]character_type_i18n!$A$1,0,0,COUNTA([1]character_type_i18n!$A:$A),MATCH(L$1,[1]character_type_i18n!$1:$1,0)-MATCH($K$1,[1]character_type_i18n!$1:$1,0)+1),MATCH(L$1,[1]character_type_i18n!$1:$1,0)-MATCH($K$1,[1]character_type_i18n!$1:$1,0)+1,FALSE)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71" s="105" t="s">
        <v>277</v>
      </c>
      <c r="N571" s="107" t="str">
        <f>VLOOKUP(M571,[1]character_tribe_i18n!A:C,3,FALSE)</f>
        <v>Unknown</v>
      </c>
      <c r="O571" s="105" t="s">
        <v>278</v>
      </c>
      <c r="P571" s="107" t="str">
        <f>VLOOKUP(O571,[1]character_tribe_i18n!A:C,3,FALSE)</f>
        <v>種族なし</v>
      </c>
      <c r="Q571" s="110" t="s">
        <v>1860</v>
      </c>
      <c r="R571" s="111">
        <v>3</v>
      </c>
      <c r="S571" s="108" t="s">
        <v>280</v>
      </c>
      <c r="T571" s="108" t="s">
        <v>281</v>
      </c>
      <c r="U571" s="108" t="s">
        <v>280</v>
      </c>
      <c r="V571" s="108" t="s">
        <v>280</v>
      </c>
      <c r="W571" s="108" t="s">
        <v>280</v>
      </c>
    </row>
    <row r="572" spans="1:23" ht="21" customHeight="1" x14ac:dyDescent="0.15">
      <c r="A572" s="104">
        <f t="shared" si="8"/>
        <v>571</v>
      </c>
      <c r="B572" s="105" t="s">
        <v>268</v>
      </c>
      <c r="C572" s="121" t="s">
        <v>1863</v>
      </c>
      <c r="D572" s="107" t="s">
        <v>1864</v>
      </c>
      <c r="E572" s="108" t="s">
        <v>1862</v>
      </c>
      <c r="F572" s="108" t="s">
        <v>1865</v>
      </c>
      <c r="G572" s="108" t="s">
        <v>331</v>
      </c>
      <c r="H572" s="105" t="s">
        <v>285</v>
      </c>
      <c r="I572" s="109">
        <v>3</v>
      </c>
      <c r="J572" s="109" t="s">
        <v>493</v>
      </c>
      <c r="K572" s="105" t="s">
        <v>296</v>
      </c>
      <c r="L572" s="107" t="str">
        <f ca="1">VLOOKUP($K572,OFFSET([1]character_type_i18n!$A$1,0,0,COUNTA([1]character_type_i18n!$A:$A),MATCH(L$1,[1]character_type_i18n!$1:$1,0)-MATCH($K$1,[1]character_type_i18n!$1:$1,0)+1),MATCH(L$1,[1]character_type_i18n!$1:$1,0)-MATCH($K$1,[1]character_type_i18n!$1:$1,0)+1,FALSE)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72" s="105" t="s">
        <v>277</v>
      </c>
      <c r="N572" s="107" t="str">
        <f>VLOOKUP(M572,[1]character_tribe_i18n!A:C,3,FALSE)</f>
        <v>Unknown</v>
      </c>
      <c r="O572" s="105" t="s">
        <v>278</v>
      </c>
      <c r="P572" s="107" t="str">
        <f>VLOOKUP(O572,[1]character_tribe_i18n!A:C,3,FALSE)</f>
        <v>種族なし</v>
      </c>
      <c r="Q572" s="110" t="s">
        <v>1866</v>
      </c>
      <c r="R572" s="111">
        <v>3</v>
      </c>
      <c r="S572" s="108" t="s">
        <v>280</v>
      </c>
      <c r="T572" s="108" t="s">
        <v>281</v>
      </c>
      <c r="U572" s="108" t="s">
        <v>280</v>
      </c>
      <c r="V572" s="108" t="s">
        <v>280</v>
      </c>
      <c r="W572" s="108" t="s">
        <v>280</v>
      </c>
    </row>
    <row r="573" spans="1:23" ht="21" customHeight="1" x14ac:dyDescent="0.15">
      <c r="A573" s="104">
        <f t="shared" si="8"/>
        <v>572</v>
      </c>
      <c r="B573" s="105" t="s">
        <v>268</v>
      </c>
      <c r="C573" s="121" t="s">
        <v>1867</v>
      </c>
      <c r="D573" s="107" t="s">
        <v>1864</v>
      </c>
      <c r="E573" s="108" t="s">
        <v>554</v>
      </c>
      <c r="F573" s="108" t="s">
        <v>272</v>
      </c>
      <c r="G573" s="108" t="s">
        <v>273</v>
      </c>
      <c r="H573" s="105" t="s">
        <v>295</v>
      </c>
      <c r="I573" s="109">
        <v>3</v>
      </c>
      <c r="J573" s="109" t="s">
        <v>537</v>
      </c>
      <c r="K573" s="105" t="s">
        <v>1868</v>
      </c>
      <c r="L573" s="107" t="str">
        <f ca="1">VLOOKUP($K573,OFFSET([1]character_type_i18n!$A$1,0,0,COUNTA([1]character_type_i18n!$A:$A),MATCH(L$1,[1]character_type_i18n!$1:$1,0)-MATCH($K$1,[1]character_type_i18n!$1:$1,0)+1),MATCH(L$1,[1]character_type_i18n!$1:$1,0)-MATCH($K$1,[1]character_type_i18n!$1:$1,0)+1,FALSE)</f>
        <v>スキルレベル素材</v>
      </c>
      <c r="M573" s="105" t="s">
        <v>277</v>
      </c>
      <c r="N573" s="107" t="str">
        <f>VLOOKUP(M573,[1]character_tribe_i18n!A:C,3,FALSE)</f>
        <v>Unknown</v>
      </c>
      <c r="O573" s="105" t="s">
        <v>278</v>
      </c>
      <c r="P573" s="107" t="str">
        <f>VLOOKUP(O573,[1]character_tribe_i18n!A:C,3,FALSE)</f>
        <v>種族なし</v>
      </c>
      <c r="Q573" s="110" t="s">
        <v>625</v>
      </c>
      <c r="R573" s="111">
        <v>3</v>
      </c>
      <c r="S573" s="108" t="s">
        <v>306</v>
      </c>
      <c r="T573" s="108" t="s">
        <v>307</v>
      </c>
      <c r="U573" s="108" t="s">
        <v>306</v>
      </c>
      <c r="V573" s="108" t="s">
        <v>306</v>
      </c>
      <c r="W573" s="108" t="s">
        <v>306</v>
      </c>
    </row>
    <row r="574" spans="1:23" ht="21" customHeight="1" x14ac:dyDescent="0.15">
      <c r="A574" s="104">
        <f t="shared" si="8"/>
        <v>573</v>
      </c>
      <c r="B574" s="105" t="s">
        <v>314</v>
      </c>
      <c r="C574" s="121" t="s">
        <v>1869</v>
      </c>
      <c r="D574" s="107" t="s">
        <v>1416</v>
      </c>
      <c r="E574" s="108" t="s">
        <v>1396</v>
      </c>
      <c r="F574" s="108" t="s">
        <v>1397</v>
      </c>
      <c r="G574" s="108" t="s">
        <v>1398</v>
      </c>
      <c r="H574" s="131" t="s">
        <v>1870</v>
      </c>
      <c r="I574" s="121">
        <v>4</v>
      </c>
      <c r="J574" s="130" t="s">
        <v>1871</v>
      </c>
      <c r="K574" s="105" t="s">
        <v>1584</v>
      </c>
      <c r="L574" s="107" t="str">
        <f ca="1">VLOOKUP($K574,OFFSET([1]character_type_i18n!$A$1,0,0,COUNTA([1]character_type_i18n!$A:$A),MATCH(L$1,[1]character_type_i18n!$1:$1,0)-MATCH($K$1,[1]character_type_i18n!$1:$1,0)+1),MATCH(L$1,[1]character_type_i18n!$1:$1,0)-MATCH($K$1,[1]character_type_i18n!$1:$1,0)+1,FALSE)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74" s="105" t="s">
        <v>1017</v>
      </c>
      <c r="N574" s="107" t="str">
        <f>VLOOKUP(M574,[1]character_tribe_i18n!A:C,3,FALSE)</f>
        <v>マシン</v>
      </c>
      <c r="O574" s="105" t="s">
        <v>1872</v>
      </c>
      <c r="P574" s="107" t="str">
        <f>VLOOKUP(O574,[1]character_tribe_i18n!A:C,3,FALSE)</f>
        <v>ゴッド</v>
      </c>
      <c r="Q574" s="110" t="s">
        <v>279</v>
      </c>
      <c r="R574" s="111">
        <v>3</v>
      </c>
      <c r="S574" s="108" t="s">
        <v>280</v>
      </c>
      <c r="T574" s="108" t="s">
        <v>281</v>
      </c>
      <c r="U574" s="108" t="s">
        <v>280</v>
      </c>
      <c r="V574" s="108" t="s">
        <v>280</v>
      </c>
      <c r="W574" s="108" t="s">
        <v>280</v>
      </c>
    </row>
    <row r="575" spans="1:23" ht="21" customHeight="1" x14ac:dyDescent="0.15">
      <c r="A575" s="104">
        <f t="shared" si="8"/>
        <v>574</v>
      </c>
      <c r="B575" s="105" t="s">
        <v>268</v>
      </c>
      <c r="C575" s="138" t="s">
        <v>1873</v>
      </c>
      <c r="D575" s="107" t="s">
        <v>1416</v>
      </c>
      <c r="E575" s="108" t="s">
        <v>1874</v>
      </c>
      <c r="F575" s="108" t="s">
        <v>1875</v>
      </c>
      <c r="G575" s="108" t="s">
        <v>1876</v>
      </c>
      <c r="H575" s="131" t="s">
        <v>1877</v>
      </c>
      <c r="I575" s="121">
        <v>5</v>
      </c>
      <c r="J575" s="130" t="s">
        <v>1878</v>
      </c>
      <c r="K575" s="105" t="s">
        <v>1879</v>
      </c>
      <c r="L575" s="107" t="str">
        <f ca="1">VLOOKUP($K575,OFFSET([1]character_type_i18n!$A$1,0,0,COUNTA([1]character_type_i18n!$A:$A),MATCH(L$1,[1]character_type_i18n!$1:$1,0)-MATCH($K$1,[1]character_type_i18n!$1:$1,0)+1),MATCH(L$1,[1]character_type_i18n!$1:$1,0)-MATCH($K$1,[1]character_type_i18n!$1:$1,0)+1,FALSE)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75" s="105" t="s">
        <v>1880</v>
      </c>
      <c r="N575" s="107" t="str">
        <f>VLOOKUP(M575,[1]character_tribe_i18n!A:C,3,FALSE)</f>
        <v>マシン</v>
      </c>
      <c r="O575" s="105" t="s">
        <v>1881</v>
      </c>
      <c r="P575" s="107" t="str">
        <f>VLOOKUP(O575,[1]character_tribe_i18n!A:C,3,FALSE)</f>
        <v>ゴッド</v>
      </c>
      <c r="Q575" s="110" t="s">
        <v>305</v>
      </c>
      <c r="R575" s="111">
        <v>3</v>
      </c>
      <c r="S575" s="108" t="s">
        <v>306</v>
      </c>
      <c r="T575" s="108" t="s">
        <v>307</v>
      </c>
      <c r="U575" s="108" t="s">
        <v>306</v>
      </c>
      <c r="V575" s="108" t="s">
        <v>306</v>
      </c>
      <c r="W575" s="108" t="s">
        <v>306</v>
      </c>
    </row>
    <row r="576" spans="1:23" ht="21" customHeight="1" x14ac:dyDescent="0.15">
      <c r="A576" s="104">
        <f t="shared" si="8"/>
        <v>575</v>
      </c>
      <c r="B576" s="105" t="s">
        <v>314</v>
      </c>
      <c r="C576" s="121" t="s">
        <v>1882</v>
      </c>
      <c r="D576" s="107" t="s">
        <v>917</v>
      </c>
      <c r="E576" s="108" t="s">
        <v>1396</v>
      </c>
      <c r="F576" s="108" t="s">
        <v>1397</v>
      </c>
      <c r="G576" s="108" t="s">
        <v>1398</v>
      </c>
      <c r="H576" s="131" t="s">
        <v>1883</v>
      </c>
      <c r="I576" s="121">
        <v>4</v>
      </c>
      <c r="J576" s="130" t="s">
        <v>1399</v>
      </c>
      <c r="K576" s="105" t="s">
        <v>1400</v>
      </c>
      <c r="L576" s="107" t="str">
        <f ca="1">VLOOKUP($K576,OFFSET([1]character_type_i18n!$A$1,0,0,COUNTA([1]character_type_i18n!$A:$A),MATCH(L$1,[1]character_type_i18n!$1:$1,0)-MATCH($K$1,[1]character_type_i18n!$1:$1,0)+1),MATCH(L$1,[1]character_type_i18n!$1:$1,0)-MATCH($K$1,[1]character_type_i18n!$1:$1,0)+1,FALSE)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76" s="105" t="s">
        <v>313</v>
      </c>
      <c r="N576" s="107" t="str">
        <f>VLOOKUP(M576,[1]character_tribe_i18n!A:C,3,FALSE)</f>
        <v>アニマル</v>
      </c>
      <c r="O576" s="105" t="s">
        <v>278</v>
      </c>
      <c r="P576" s="107" t="str">
        <f>VLOOKUP(O576,[1]character_tribe_i18n!A:C,3,FALSE)</f>
        <v>種族なし</v>
      </c>
      <c r="Q576" s="110" t="s">
        <v>279</v>
      </c>
      <c r="R576" s="111">
        <v>3</v>
      </c>
      <c r="S576" s="108" t="s">
        <v>280</v>
      </c>
      <c r="T576" s="108" t="s">
        <v>281</v>
      </c>
      <c r="U576" s="108" t="s">
        <v>280</v>
      </c>
      <c r="V576" s="108" t="s">
        <v>280</v>
      </c>
      <c r="W576" s="108" t="s">
        <v>280</v>
      </c>
    </row>
    <row r="577" spans="1:23" ht="21" customHeight="1" x14ac:dyDescent="0.15">
      <c r="A577" s="104">
        <f t="shared" si="8"/>
        <v>576</v>
      </c>
      <c r="B577" s="105" t="s">
        <v>268</v>
      </c>
      <c r="C577" s="121" t="s">
        <v>1884</v>
      </c>
      <c r="D577" s="107" t="s">
        <v>917</v>
      </c>
      <c r="E577" s="108" t="s">
        <v>709</v>
      </c>
      <c r="F577" s="108" t="s">
        <v>532</v>
      </c>
      <c r="G577" s="108" t="s">
        <v>710</v>
      </c>
      <c r="H577" s="131" t="s">
        <v>1141</v>
      </c>
      <c r="I577" s="121">
        <v>5</v>
      </c>
      <c r="J577" s="130" t="s">
        <v>1504</v>
      </c>
      <c r="K577" s="105" t="s">
        <v>1005</v>
      </c>
      <c r="L577" s="107" t="str">
        <f ca="1">VLOOKUP($K577,OFFSET([1]character_type_i18n!$A$1,0,0,COUNTA([1]character_type_i18n!$A:$A),MATCH(L$1,[1]character_type_i18n!$1:$1,0)-MATCH($K$1,[1]character_type_i18n!$1:$1,0)+1),MATCH(L$1,[1]character_type_i18n!$1:$1,0)-MATCH($K$1,[1]character_type_i18n!$1:$1,0)+1,FALSE)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77" s="105" t="s">
        <v>1172</v>
      </c>
      <c r="N577" s="107" t="str">
        <f>VLOOKUP(M577,[1]character_tribe_i18n!A:C,3,FALSE)</f>
        <v>アニマル</v>
      </c>
      <c r="O577" s="105" t="s">
        <v>278</v>
      </c>
      <c r="P577" s="107" t="str">
        <f>VLOOKUP(O577,[1]character_tribe_i18n!A:C,3,FALSE)</f>
        <v>種族なし</v>
      </c>
      <c r="Q577" s="110" t="s">
        <v>362</v>
      </c>
      <c r="R577" s="111">
        <v>3</v>
      </c>
      <c r="S577" s="108" t="s">
        <v>289</v>
      </c>
      <c r="T577" s="108" t="s">
        <v>288</v>
      </c>
      <c r="U577" s="108" t="s">
        <v>289</v>
      </c>
      <c r="V577" s="108" t="s">
        <v>289</v>
      </c>
      <c r="W577" s="108" t="s">
        <v>289</v>
      </c>
    </row>
    <row r="578" spans="1:23" ht="21" customHeight="1" x14ac:dyDescent="0.15">
      <c r="A578" s="104">
        <f t="shared" si="8"/>
        <v>577</v>
      </c>
      <c r="B578" s="105" t="s">
        <v>292</v>
      </c>
      <c r="C578" s="121" t="s">
        <v>1885</v>
      </c>
      <c r="D578" s="107" t="s">
        <v>1886</v>
      </c>
      <c r="E578" s="108" t="s">
        <v>709</v>
      </c>
      <c r="F578" s="108" t="s">
        <v>532</v>
      </c>
      <c r="G578" s="108" t="s">
        <v>853</v>
      </c>
      <c r="H578" s="131" t="s">
        <v>1190</v>
      </c>
      <c r="I578" s="121">
        <v>4</v>
      </c>
      <c r="J578" s="109" t="s">
        <v>516</v>
      </c>
      <c r="K578" s="105" t="s">
        <v>1887</v>
      </c>
      <c r="L578" s="107" t="str">
        <f ca="1">VLOOKUP($K578,OFFSET([1]character_type_i18n!$A$1,0,0,COUNTA([1]character_type_i18n!$A:$A),MATCH(L$1,[1]character_type_i18n!$1:$1,0)-MATCH($K$1,[1]character_type_i18n!$1:$1,0)+1),MATCH(L$1,[1]character_type_i18n!$1:$1,0)-MATCH($K$1,[1]character_type_i18n!$1:$1,0)+1,FALSE)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78" s="105" t="s">
        <v>1164</v>
      </c>
      <c r="N578" s="107" t="str">
        <f>VLOOKUP(M578,[1]character_tribe_i18n!A:C,3,FALSE)</f>
        <v>Unknown</v>
      </c>
      <c r="O578" s="105" t="s">
        <v>278</v>
      </c>
      <c r="P578" s="107" t="str">
        <f>VLOOKUP(O578,[1]character_tribe_i18n!A:C,3,FALSE)</f>
        <v>種族なし</v>
      </c>
      <c r="Q578" s="110" t="s">
        <v>362</v>
      </c>
      <c r="R578" s="111">
        <v>3</v>
      </c>
      <c r="S578" s="108" t="s">
        <v>289</v>
      </c>
      <c r="T578" s="108" t="s">
        <v>288</v>
      </c>
      <c r="U578" s="108" t="s">
        <v>289</v>
      </c>
      <c r="V578" s="108" t="s">
        <v>289</v>
      </c>
      <c r="W578" s="108" t="s">
        <v>289</v>
      </c>
    </row>
    <row r="579" spans="1:23" ht="21" customHeight="1" x14ac:dyDescent="0.15">
      <c r="A579" s="104">
        <f t="shared" si="8"/>
        <v>578</v>
      </c>
      <c r="B579" s="105" t="s">
        <v>292</v>
      </c>
      <c r="C579" s="121" t="s">
        <v>1888</v>
      </c>
      <c r="D579" s="107" t="s">
        <v>1886</v>
      </c>
      <c r="E579" s="108" t="s">
        <v>848</v>
      </c>
      <c r="F579" s="108" t="s">
        <v>1422</v>
      </c>
      <c r="G579" s="108" t="s">
        <v>853</v>
      </c>
      <c r="H579" s="131" t="s">
        <v>1185</v>
      </c>
      <c r="I579" s="121">
        <v>5</v>
      </c>
      <c r="J579" s="109" t="s">
        <v>516</v>
      </c>
      <c r="K579" s="105" t="s">
        <v>1221</v>
      </c>
      <c r="L579" s="107" t="str">
        <f ca="1">VLOOKUP($K579,OFFSET([1]character_type_i18n!$A$1,0,0,COUNTA([1]character_type_i18n!$A:$A),MATCH(L$1,[1]character_type_i18n!$1:$1,0)-MATCH($K$1,[1]character_type_i18n!$1:$1,0)+1),MATCH(L$1,[1]character_type_i18n!$1:$1,0)-MATCH($K$1,[1]character_type_i18n!$1:$1,0)+1,FALSE)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79" s="105" t="s">
        <v>1164</v>
      </c>
      <c r="N579" s="107" t="str">
        <f>VLOOKUP(M579,[1]character_tribe_i18n!A:C,3,FALSE)</f>
        <v>Unknown</v>
      </c>
      <c r="O579" s="105" t="s">
        <v>278</v>
      </c>
      <c r="P579" s="107" t="str">
        <f>VLOOKUP(O579,[1]character_tribe_i18n!A:C,3,FALSE)</f>
        <v>種族なし</v>
      </c>
      <c r="Q579" s="110" t="s">
        <v>279</v>
      </c>
      <c r="R579" s="111">
        <v>3</v>
      </c>
      <c r="S579" s="108" t="s">
        <v>280</v>
      </c>
      <c r="T579" s="108" t="s">
        <v>281</v>
      </c>
      <c r="U579" s="108" t="s">
        <v>280</v>
      </c>
      <c r="V579" s="108" t="s">
        <v>280</v>
      </c>
      <c r="W579" s="108" t="s">
        <v>280</v>
      </c>
    </row>
    <row r="580" spans="1:23" ht="21" customHeight="1" x14ac:dyDescent="0.15">
      <c r="A580" s="104">
        <f t="shared" ref="A580:A643" si="9">ROW()-1</f>
        <v>579</v>
      </c>
      <c r="B580" s="105" t="s">
        <v>292</v>
      </c>
      <c r="C580" s="136" t="s">
        <v>1889</v>
      </c>
      <c r="D580" s="107" t="s">
        <v>1886</v>
      </c>
      <c r="E580" s="108" t="s">
        <v>848</v>
      </c>
      <c r="F580" s="108" t="s">
        <v>1422</v>
      </c>
      <c r="G580" s="108" t="s">
        <v>1587</v>
      </c>
      <c r="H580" s="131" t="s">
        <v>1890</v>
      </c>
      <c r="I580" s="121">
        <v>4</v>
      </c>
      <c r="J580" s="109" t="s">
        <v>516</v>
      </c>
      <c r="K580" s="105" t="s">
        <v>1171</v>
      </c>
      <c r="L580" s="107" t="str">
        <f ca="1">VLOOKUP($K580,OFFSET([1]character_type_i18n!$A$1,0,0,COUNTA([1]character_type_i18n!$A:$A),MATCH(L$1,[1]character_type_i18n!$1:$1,0)-MATCH($K$1,[1]character_type_i18n!$1:$1,0)+1),MATCH(L$1,[1]character_type_i18n!$1:$1,0)-MATCH($K$1,[1]character_type_i18n!$1:$1,0)+1,FALSE)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80" s="105" t="s">
        <v>1872</v>
      </c>
      <c r="N580" s="107" t="str">
        <f>VLOOKUP(M580,[1]character_tribe_i18n!A:C,3,FALSE)</f>
        <v>ゴッド</v>
      </c>
      <c r="O580" s="105" t="s">
        <v>278</v>
      </c>
      <c r="P580" s="107" t="str">
        <f>VLOOKUP(O580,[1]character_tribe_i18n!A:C,3,FALSE)</f>
        <v>種族なし</v>
      </c>
      <c r="Q580" s="110" t="s">
        <v>362</v>
      </c>
      <c r="R580" s="111">
        <v>3</v>
      </c>
      <c r="S580" s="108" t="s">
        <v>289</v>
      </c>
      <c r="T580" s="108" t="s">
        <v>288</v>
      </c>
      <c r="U580" s="108" t="s">
        <v>289</v>
      </c>
      <c r="V580" s="108" t="s">
        <v>289</v>
      </c>
      <c r="W580" s="108" t="s">
        <v>289</v>
      </c>
    </row>
    <row r="581" spans="1:23" ht="21" customHeight="1" x14ac:dyDescent="0.15">
      <c r="A581" s="104">
        <f t="shared" si="9"/>
        <v>580</v>
      </c>
      <c r="B581" s="105" t="s">
        <v>292</v>
      </c>
      <c r="C581" s="136" t="s">
        <v>1891</v>
      </c>
      <c r="D581" s="107" t="s">
        <v>1886</v>
      </c>
      <c r="E581" s="108" t="s">
        <v>848</v>
      </c>
      <c r="F581" s="108" t="s">
        <v>1422</v>
      </c>
      <c r="G581" s="108" t="s">
        <v>1587</v>
      </c>
      <c r="H581" s="131" t="s">
        <v>1890</v>
      </c>
      <c r="I581" s="121">
        <v>5</v>
      </c>
      <c r="J581" s="109" t="s">
        <v>516</v>
      </c>
      <c r="K581" s="105" t="s">
        <v>1171</v>
      </c>
      <c r="L581" s="107" t="str">
        <f ca="1">VLOOKUP($K581,OFFSET([1]character_type_i18n!$A$1,0,0,COUNTA([1]character_type_i18n!$A:$A),MATCH(L$1,[1]character_type_i18n!$1:$1,0)-MATCH($K$1,[1]character_type_i18n!$1:$1,0)+1),MATCH(L$1,[1]character_type_i18n!$1:$1,0)-MATCH($K$1,[1]character_type_i18n!$1:$1,0)+1,FALSE)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81" s="105" t="s">
        <v>1872</v>
      </c>
      <c r="N581" s="107" t="str">
        <f>VLOOKUP(M581,[1]character_tribe_i18n!A:C,3,FALSE)</f>
        <v>ゴッド</v>
      </c>
      <c r="O581" s="105" t="s">
        <v>278</v>
      </c>
      <c r="P581" s="107" t="str">
        <f>VLOOKUP(O581,[1]character_tribe_i18n!A:C,3,FALSE)</f>
        <v>種族なし</v>
      </c>
      <c r="Q581" s="110" t="s">
        <v>362</v>
      </c>
      <c r="R581" s="111">
        <v>3</v>
      </c>
      <c r="S581" s="108" t="s">
        <v>289</v>
      </c>
      <c r="T581" s="108" t="s">
        <v>288</v>
      </c>
      <c r="U581" s="108" t="s">
        <v>289</v>
      </c>
      <c r="V581" s="108" t="s">
        <v>289</v>
      </c>
      <c r="W581" s="108" t="s">
        <v>289</v>
      </c>
    </row>
    <row r="582" spans="1:23" ht="21" customHeight="1" x14ac:dyDescent="0.15">
      <c r="A582" s="104">
        <f t="shared" si="9"/>
        <v>581</v>
      </c>
      <c r="B582" s="105" t="s">
        <v>292</v>
      </c>
      <c r="C582" s="121" t="s">
        <v>1892</v>
      </c>
      <c r="D582" s="107" t="s">
        <v>917</v>
      </c>
      <c r="E582" s="108" t="s">
        <v>848</v>
      </c>
      <c r="F582" s="108" t="s">
        <v>1422</v>
      </c>
      <c r="G582" s="108" t="s">
        <v>1347</v>
      </c>
      <c r="H582" s="131" t="s">
        <v>618</v>
      </c>
      <c r="I582" s="121">
        <v>4</v>
      </c>
      <c r="J582" s="130" t="s">
        <v>1856</v>
      </c>
      <c r="K582" s="105" t="s">
        <v>1166</v>
      </c>
      <c r="L582" s="107" t="str">
        <f ca="1">VLOOKUP($K582,OFFSET([1]character_type_i18n!$A$1,0,0,COUNTA([1]character_type_i18n!$A:$A),MATCH(L$1,[1]character_type_i18n!$1:$1,0)-MATCH($K$1,[1]character_type_i18n!$1:$1,0)+1),MATCH(L$1,[1]character_type_i18n!$1:$1,0)-MATCH($K$1,[1]character_type_i18n!$1:$1,0)+1,FALSE)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82" s="105" t="s">
        <v>1626</v>
      </c>
      <c r="N582" s="107" t="str">
        <f>VLOOKUP(M582,[1]character_tribe_i18n!A:C,3,FALSE)</f>
        <v>マシン</v>
      </c>
      <c r="O582" s="105" t="s">
        <v>1167</v>
      </c>
      <c r="P582" s="107" t="str">
        <f>VLOOKUP(O582,[1]character_tribe_i18n!A:C,3,FALSE)</f>
        <v>アニマル</v>
      </c>
      <c r="Q582" s="110" t="s">
        <v>279</v>
      </c>
      <c r="R582" s="111">
        <v>3</v>
      </c>
      <c r="S582" s="108" t="s">
        <v>280</v>
      </c>
      <c r="T582" s="108" t="s">
        <v>281</v>
      </c>
      <c r="U582" s="108" t="s">
        <v>280</v>
      </c>
      <c r="V582" s="108" t="s">
        <v>280</v>
      </c>
      <c r="W582" s="108" t="s">
        <v>280</v>
      </c>
    </row>
    <row r="583" spans="1:23" ht="21" customHeight="1" x14ac:dyDescent="0.15">
      <c r="A583" s="104">
        <f t="shared" si="9"/>
        <v>582</v>
      </c>
      <c r="B583" s="105" t="s">
        <v>268</v>
      </c>
      <c r="C583" s="121" t="s">
        <v>1893</v>
      </c>
      <c r="D583" s="107" t="s">
        <v>917</v>
      </c>
      <c r="E583" s="108" t="s">
        <v>1628</v>
      </c>
      <c r="F583" s="108" t="s">
        <v>532</v>
      </c>
      <c r="G583" s="108" t="s">
        <v>1347</v>
      </c>
      <c r="H583" s="131" t="s">
        <v>618</v>
      </c>
      <c r="I583" s="121">
        <v>5</v>
      </c>
      <c r="J583" s="130" t="s">
        <v>1894</v>
      </c>
      <c r="K583" s="105" t="s">
        <v>1166</v>
      </c>
      <c r="L583" s="107" t="str">
        <f ca="1">VLOOKUP($K583,OFFSET([1]character_type_i18n!$A$1,0,0,COUNTA([1]character_type_i18n!$A:$A),MATCH(L$1,[1]character_type_i18n!$1:$1,0)-MATCH($K$1,[1]character_type_i18n!$1:$1,0)+1),MATCH(L$1,[1]character_type_i18n!$1:$1,0)-MATCH($K$1,[1]character_type_i18n!$1:$1,0)+1,FALSE)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83" s="105" t="s">
        <v>1626</v>
      </c>
      <c r="N583" s="107" t="str">
        <f>VLOOKUP(M583,[1]character_tribe_i18n!A:C,3,FALSE)</f>
        <v>マシン</v>
      </c>
      <c r="O583" s="105" t="s">
        <v>1167</v>
      </c>
      <c r="P583" s="107" t="str">
        <f>VLOOKUP(O583,[1]character_tribe_i18n!A:C,3,FALSE)</f>
        <v>アニマル</v>
      </c>
      <c r="Q583" s="110" t="s">
        <v>279</v>
      </c>
      <c r="R583" s="111">
        <v>3</v>
      </c>
      <c r="S583" s="108" t="s">
        <v>280</v>
      </c>
      <c r="T583" s="108" t="s">
        <v>1531</v>
      </c>
      <c r="U583" s="108" t="s">
        <v>1530</v>
      </c>
      <c r="V583" s="108" t="s">
        <v>280</v>
      </c>
      <c r="W583" s="108" t="s">
        <v>280</v>
      </c>
    </row>
    <row r="584" spans="1:23" ht="21" customHeight="1" x14ac:dyDescent="0.15">
      <c r="A584" s="104">
        <f t="shared" si="9"/>
        <v>583</v>
      </c>
      <c r="B584" s="105" t="s">
        <v>268</v>
      </c>
      <c r="C584" s="121" t="s">
        <v>1895</v>
      </c>
      <c r="D584" s="107" t="s">
        <v>1886</v>
      </c>
      <c r="E584" s="108" t="s">
        <v>709</v>
      </c>
      <c r="F584" s="108" t="s">
        <v>532</v>
      </c>
      <c r="G584" s="108" t="s">
        <v>1347</v>
      </c>
      <c r="H584" s="131" t="s">
        <v>300</v>
      </c>
      <c r="I584" s="121">
        <v>4</v>
      </c>
      <c r="J584" s="109" t="s">
        <v>516</v>
      </c>
      <c r="K584" s="105" t="s">
        <v>1554</v>
      </c>
      <c r="L584" s="107" t="str">
        <f ca="1">VLOOKUP($K584,OFFSET([1]character_type_i18n!$A$1,0,0,COUNTA([1]character_type_i18n!$A:$A),MATCH(L$1,[1]character_type_i18n!$1:$1,0)-MATCH($K$1,[1]character_type_i18n!$1:$1,0)+1),MATCH(L$1,[1]character_type_i18n!$1:$1,0)-MATCH($K$1,[1]character_type_i18n!$1:$1,0)+1,FALSE)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84" s="105" t="s">
        <v>1626</v>
      </c>
      <c r="N584" s="107" t="str">
        <f>VLOOKUP(M584,[1]character_tribe_i18n!A:C,3,FALSE)</f>
        <v>マシン</v>
      </c>
      <c r="O584" s="105" t="s">
        <v>278</v>
      </c>
      <c r="P584" s="107" t="str">
        <f>VLOOKUP(O584,[1]character_tribe_i18n!A:C,3,FALSE)</f>
        <v>種族なし</v>
      </c>
      <c r="Q584" s="110" t="s">
        <v>301</v>
      </c>
      <c r="R584" s="111">
        <v>3</v>
      </c>
      <c r="S584" s="108" t="s">
        <v>302</v>
      </c>
      <c r="T584" s="108" t="s">
        <v>375</v>
      </c>
      <c r="U584" s="108" t="s">
        <v>302</v>
      </c>
      <c r="V584" s="108" t="s">
        <v>302</v>
      </c>
      <c r="W584" s="108" t="s">
        <v>302</v>
      </c>
    </row>
    <row r="585" spans="1:23" ht="21" customHeight="1" x14ac:dyDescent="0.15">
      <c r="A585" s="104">
        <f t="shared" si="9"/>
        <v>584</v>
      </c>
      <c r="B585" s="105" t="s">
        <v>303</v>
      </c>
      <c r="C585" s="121" t="s">
        <v>1896</v>
      </c>
      <c r="D585" s="107" t="s">
        <v>1886</v>
      </c>
      <c r="E585" s="108" t="s">
        <v>1628</v>
      </c>
      <c r="F585" s="108" t="s">
        <v>1629</v>
      </c>
      <c r="G585" s="108" t="s">
        <v>1347</v>
      </c>
      <c r="H585" s="131" t="s">
        <v>300</v>
      </c>
      <c r="I585" s="121">
        <v>5</v>
      </c>
      <c r="J585" s="109" t="s">
        <v>516</v>
      </c>
      <c r="K585" s="105" t="s">
        <v>1441</v>
      </c>
      <c r="L585" s="107" t="str">
        <f ca="1">VLOOKUP($K585,OFFSET([1]character_type_i18n!$A$1,0,0,COUNTA([1]character_type_i18n!$A:$A),MATCH(L$1,[1]character_type_i18n!$1:$1,0)-MATCH($K$1,[1]character_type_i18n!$1:$1,0)+1),MATCH(L$1,[1]character_type_i18n!$1:$1,0)-MATCH($K$1,[1]character_type_i18n!$1:$1,0)+1,FALSE)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85" s="105" t="s">
        <v>1017</v>
      </c>
      <c r="N585" s="107" t="str">
        <f>VLOOKUP(M585,[1]character_tribe_i18n!A:C,3,FALSE)</f>
        <v>マシン</v>
      </c>
      <c r="O585" s="105" t="s">
        <v>278</v>
      </c>
      <c r="P585" s="107" t="str">
        <f>VLOOKUP(O585,[1]character_tribe_i18n!A:C,3,FALSE)</f>
        <v>種族なし</v>
      </c>
      <c r="Q585" s="110" t="s">
        <v>279</v>
      </c>
      <c r="R585" s="111">
        <v>3</v>
      </c>
      <c r="S585" s="108" t="s">
        <v>280</v>
      </c>
      <c r="T585" s="108" t="s">
        <v>281</v>
      </c>
      <c r="U585" s="108" t="s">
        <v>280</v>
      </c>
      <c r="V585" s="108" t="s">
        <v>280</v>
      </c>
      <c r="W585" s="108" t="s">
        <v>280</v>
      </c>
    </row>
    <row r="586" spans="1:23" ht="21" customHeight="1" x14ac:dyDescent="0.15">
      <c r="A586" s="104">
        <f t="shared" si="9"/>
        <v>585</v>
      </c>
      <c r="B586" s="105" t="s">
        <v>268</v>
      </c>
      <c r="C586" s="134" t="s">
        <v>1897</v>
      </c>
      <c r="D586" s="107" t="s">
        <v>1404</v>
      </c>
      <c r="E586" s="108" t="s">
        <v>1405</v>
      </c>
      <c r="F586" s="108" t="s">
        <v>1406</v>
      </c>
      <c r="G586" s="108" t="s">
        <v>1898</v>
      </c>
      <c r="H586" s="131" t="s">
        <v>274</v>
      </c>
      <c r="I586" s="121">
        <v>3</v>
      </c>
      <c r="J586" s="109" t="s">
        <v>1899</v>
      </c>
      <c r="K586" s="105" t="s">
        <v>1900</v>
      </c>
      <c r="L586" s="107" t="str">
        <f ca="1">VLOOKUP($K586,OFFSET([1]character_type_i18n!$A$1,0,0,COUNTA([1]character_type_i18n!$A:$A),MATCH(L$1,[1]character_type_i18n!$1:$1,0)-MATCH($K$1,[1]character_type_i18n!$1:$1,0)+1),MATCH(L$1,[1]character_type_i18n!$1:$1,0)-MATCH($K$1,[1]character_type_i18n!$1:$1,0)+1,FALSE)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86" s="105" t="s">
        <v>1017</v>
      </c>
      <c r="N586" s="107" t="str">
        <f>VLOOKUP(M586,[1]character_tribe_i18n!A:C,3,FALSE)</f>
        <v>マシン</v>
      </c>
      <c r="O586" s="105" t="s">
        <v>278</v>
      </c>
      <c r="P586" s="107" t="str">
        <f>VLOOKUP(O586,[1]character_tribe_i18n!A:C,3,FALSE)</f>
        <v>種族なし</v>
      </c>
      <c r="Q586" s="110" t="s">
        <v>279</v>
      </c>
      <c r="R586" s="111">
        <v>0</v>
      </c>
      <c r="S586" s="108" t="s">
        <v>280</v>
      </c>
      <c r="T586" s="108" t="s">
        <v>893</v>
      </c>
      <c r="U586" s="108" t="s">
        <v>898</v>
      </c>
      <c r="V586" s="108" t="s">
        <v>280</v>
      </c>
      <c r="W586" s="108" t="s">
        <v>280</v>
      </c>
    </row>
    <row r="587" spans="1:23" ht="21" customHeight="1" x14ac:dyDescent="0.15">
      <c r="A587" s="104">
        <f t="shared" si="9"/>
        <v>586</v>
      </c>
      <c r="B587" s="105" t="s">
        <v>268</v>
      </c>
      <c r="C587" s="136" t="s">
        <v>1901</v>
      </c>
      <c r="D587" s="107" t="s">
        <v>1902</v>
      </c>
      <c r="E587" s="108" t="s">
        <v>709</v>
      </c>
      <c r="F587" s="108" t="s">
        <v>532</v>
      </c>
      <c r="G587" s="108" t="s">
        <v>1347</v>
      </c>
      <c r="H587" s="131" t="s">
        <v>274</v>
      </c>
      <c r="I587" s="121">
        <v>4</v>
      </c>
      <c r="J587" s="109" t="s">
        <v>1903</v>
      </c>
      <c r="K587" s="105" t="s">
        <v>1904</v>
      </c>
      <c r="L587" s="107" t="str">
        <f ca="1">VLOOKUP($K587,OFFSET([1]character_type_i18n!$A$1,0,0,COUNTA([1]character_type_i18n!$A:$A),MATCH(L$1,[1]character_type_i18n!$1:$1,0)-MATCH($K$1,[1]character_type_i18n!$1:$1,0)+1),MATCH(L$1,[1]character_type_i18n!$1:$1,0)-MATCH($K$1,[1]character_type_i18n!$1:$1,0)+1,FALSE)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87" s="105" t="s">
        <v>1905</v>
      </c>
      <c r="N587" s="107" t="str">
        <f>VLOOKUP(M587,[1]character_tribe_i18n!A:C,3,FALSE)</f>
        <v>マシン</v>
      </c>
      <c r="O587" s="105" t="s">
        <v>278</v>
      </c>
      <c r="P587" s="107" t="str">
        <f>VLOOKUP(O587,[1]character_tribe_i18n!A:C,3,FALSE)</f>
        <v>種族なし</v>
      </c>
      <c r="Q587" s="110" t="s">
        <v>279</v>
      </c>
      <c r="R587" s="111">
        <v>3</v>
      </c>
      <c r="S587" s="108" t="s">
        <v>280</v>
      </c>
      <c r="T587" s="108" t="s">
        <v>610</v>
      </c>
      <c r="U587" s="108" t="s">
        <v>611</v>
      </c>
      <c r="V587" s="108" t="s">
        <v>280</v>
      </c>
      <c r="W587" s="108" t="s">
        <v>280</v>
      </c>
    </row>
    <row r="588" spans="1:23" ht="21" customHeight="1" x14ac:dyDescent="0.15">
      <c r="A588" s="104">
        <f t="shared" si="9"/>
        <v>587</v>
      </c>
      <c r="B588" s="105" t="s">
        <v>268</v>
      </c>
      <c r="C588" s="136" t="s">
        <v>1906</v>
      </c>
      <c r="D588" s="107" t="s">
        <v>1902</v>
      </c>
      <c r="E588" s="108" t="s">
        <v>1576</v>
      </c>
      <c r="F588" s="108" t="s">
        <v>532</v>
      </c>
      <c r="G588" s="108" t="s">
        <v>1347</v>
      </c>
      <c r="H588" s="131" t="s">
        <v>274</v>
      </c>
      <c r="I588" s="121">
        <v>5</v>
      </c>
      <c r="J588" s="109" t="s">
        <v>1907</v>
      </c>
      <c r="K588" s="105" t="s">
        <v>1908</v>
      </c>
      <c r="L588" s="107" t="str">
        <f ca="1">VLOOKUP($K588,OFFSET([1]character_type_i18n!$A$1,0,0,COUNTA([1]character_type_i18n!$A:$A),MATCH(L$1,[1]character_type_i18n!$1:$1,0)-MATCH($K$1,[1]character_type_i18n!$1:$1,0)+1),MATCH(L$1,[1]character_type_i18n!$1:$1,0)-MATCH($K$1,[1]character_type_i18n!$1:$1,0)+1,FALSE)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88" s="105" t="s">
        <v>1786</v>
      </c>
      <c r="N588" s="107" t="str">
        <f>VLOOKUP(M588,[1]character_tribe_i18n!A:C,3,FALSE)</f>
        <v>マシン</v>
      </c>
      <c r="O588" s="105" t="s">
        <v>278</v>
      </c>
      <c r="P588" s="107" t="str">
        <f>VLOOKUP(O588,[1]character_tribe_i18n!A:C,3,FALSE)</f>
        <v>種族なし</v>
      </c>
      <c r="Q588" s="110" t="s">
        <v>279</v>
      </c>
      <c r="R588" s="111">
        <v>3</v>
      </c>
      <c r="S588" s="108" t="s">
        <v>280</v>
      </c>
      <c r="T588" s="108" t="s">
        <v>610</v>
      </c>
      <c r="U588" s="108" t="s">
        <v>611</v>
      </c>
      <c r="V588" s="108" t="s">
        <v>280</v>
      </c>
      <c r="W588" s="108" t="s">
        <v>280</v>
      </c>
    </row>
    <row r="589" spans="1:23" ht="21" customHeight="1" x14ac:dyDescent="0.15">
      <c r="A589" s="104">
        <f t="shared" si="9"/>
        <v>588</v>
      </c>
      <c r="B589" s="105" t="s">
        <v>268</v>
      </c>
      <c r="C589" s="136" t="s">
        <v>1909</v>
      </c>
      <c r="D589" s="107" t="s">
        <v>1902</v>
      </c>
      <c r="E589" s="108" t="s">
        <v>1788</v>
      </c>
      <c r="F589" s="108" t="s">
        <v>532</v>
      </c>
      <c r="G589" s="108" t="s">
        <v>853</v>
      </c>
      <c r="H589" s="131" t="s">
        <v>285</v>
      </c>
      <c r="I589" s="121">
        <v>3</v>
      </c>
      <c r="J589" s="109" t="s">
        <v>805</v>
      </c>
      <c r="K589" s="105" t="s">
        <v>1388</v>
      </c>
      <c r="L589" s="107" t="str">
        <f ca="1">VLOOKUP($K589,OFFSET([1]character_type_i18n!$A$1,0,0,COUNTA([1]character_type_i18n!$A:$A),MATCH(L$1,[1]character_type_i18n!$1:$1,0)-MATCH($K$1,[1]character_type_i18n!$1:$1,0)+1),MATCH(L$1,[1]character_type_i18n!$1:$1,0)-MATCH($K$1,[1]character_type_i18n!$1:$1,0)+1,FALSE)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89" s="105" t="s">
        <v>1164</v>
      </c>
      <c r="N589" s="107" t="str">
        <f>VLOOKUP(M589,[1]character_tribe_i18n!A:C,3,FALSE)</f>
        <v>Unknown</v>
      </c>
      <c r="O589" s="105" t="s">
        <v>278</v>
      </c>
      <c r="P589" s="107" t="str">
        <f>VLOOKUP(O589,[1]character_tribe_i18n!A:C,3,FALSE)</f>
        <v>種族なし</v>
      </c>
      <c r="Q589" s="110" t="s">
        <v>279</v>
      </c>
      <c r="R589" s="111">
        <v>3</v>
      </c>
      <c r="S589" s="108" t="s">
        <v>280</v>
      </c>
      <c r="T589" s="108" t="s">
        <v>893</v>
      </c>
      <c r="U589" s="108" t="s">
        <v>898</v>
      </c>
      <c r="V589" s="108" t="s">
        <v>280</v>
      </c>
      <c r="W589" s="108" t="s">
        <v>280</v>
      </c>
    </row>
    <row r="590" spans="1:23" ht="21" customHeight="1" x14ac:dyDescent="0.15">
      <c r="A590" s="104">
        <f t="shared" si="9"/>
        <v>589</v>
      </c>
      <c r="B590" s="105" t="s">
        <v>268</v>
      </c>
      <c r="C590" s="136" t="s">
        <v>1910</v>
      </c>
      <c r="D590" s="107" t="s">
        <v>1902</v>
      </c>
      <c r="E590" s="108" t="s">
        <v>709</v>
      </c>
      <c r="F590" s="108" t="s">
        <v>532</v>
      </c>
      <c r="G590" s="108" t="s">
        <v>853</v>
      </c>
      <c r="H590" s="131" t="s">
        <v>285</v>
      </c>
      <c r="I590" s="121">
        <v>4</v>
      </c>
      <c r="J590" s="109" t="s">
        <v>805</v>
      </c>
      <c r="K590" s="105" t="s">
        <v>1388</v>
      </c>
      <c r="L590" s="107" t="str">
        <f ca="1">VLOOKUP($K590,OFFSET([1]character_type_i18n!$A$1,0,0,COUNTA([1]character_type_i18n!$A:$A),MATCH(L$1,[1]character_type_i18n!$1:$1,0)-MATCH($K$1,[1]character_type_i18n!$1:$1,0)+1),MATCH(L$1,[1]character_type_i18n!$1:$1,0)-MATCH($K$1,[1]character_type_i18n!$1:$1,0)+1,FALSE)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0" s="105" t="s">
        <v>1164</v>
      </c>
      <c r="N590" s="107" t="str">
        <f>VLOOKUP(M590,[1]character_tribe_i18n!A:C,3,FALSE)</f>
        <v>Unknown</v>
      </c>
      <c r="O590" s="105" t="s">
        <v>278</v>
      </c>
      <c r="P590" s="107" t="str">
        <f>VLOOKUP(O590,[1]character_tribe_i18n!A:C,3,FALSE)</f>
        <v>種族なし</v>
      </c>
      <c r="Q590" s="110" t="s">
        <v>279</v>
      </c>
      <c r="R590" s="111">
        <v>3</v>
      </c>
      <c r="S590" s="108" t="s">
        <v>280</v>
      </c>
      <c r="T590" s="108" t="s">
        <v>281</v>
      </c>
      <c r="U590" s="108" t="s">
        <v>280</v>
      </c>
      <c r="V590" s="108" t="s">
        <v>280</v>
      </c>
      <c r="W590" s="108" t="s">
        <v>280</v>
      </c>
    </row>
    <row r="591" spans="1:23" ht="21" customHeight="1" x14ac:dyDescent="0.15">
      <c r="A591" s="104">
        <f t="shared" si="9"/>
        <v>590</v>
      </c>
      <c r="B591" s="105" t="s">
        <v>268</v>
      </c>
      <c r="C591" s="121" t="s">
        <v>1911</v>
      </c>
      <c r="D591" s="107" t="s">
        <v>1902</v>
      </c>
      <c r="E591" s="108" t="s">
        <v>1576</v>
      </c>
      <c r="F591" s="108" t="s">
        <v>532</v>
      </c>
      <c r="G591" s="108" t="s">
        <v>853</v>
      </c>
      <c r="H591" s="131" t="s">
        <v>285</v>
      </c>
      <c r="I591" s="121">
        <v>5</v>
      </c>
      <c r="J591" s="109" t="s">
        <v>805</v>
      </c>
      <c r="K591" s="105" t="s">
        <v>1388</v>
      </c>
      <c r="L591" s="107" t="str">
        <f ca="1">VLOOKUP($K591,OFFSET([1]character_type_i18n!$A$1,0,0,COUNTA([1]character_type_i18n!$A:$A),MATCH(L$1,[1]character_type_i18n!$1:$1,0)-MATCH($K$1,[1]character_type_i18n!$1:$1,0)+1),MATCH(L$1,[1]character_type_i18n!$1:$1,0)-MATCH($K$1,[1]character_type_i18n!$1:$1,0)+1,FALSE)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1" s="105" t="s">
        <v>1164</v>
      </c>
      <c r="N591" s="107" t="str">
        <f>VLOOKUP(M591,[1]character_tribe_i18n!A:C,3,FALSE)</f>
        <v>Unknown</v>
      </c>
      <c r="O591" s="105" t="s">
        <v>278</v>
      </c>
      <c r="P591" s="107" t="str">
        <f>VLOOKUP(O591,[1]character_tribe_i18n!A:C,3,FALSE)</f>
        <v>種族なし</v>
      </c>
      <c r="Q591" s="110" t="s">
        <v>799</v>
      </c>
      <c r="R591" s="111">
        <v>3</v>
      </c>
      <c r="S591" s="108" t="s">
        <v>302</v>
      </c>
      <c r="T591" s="108" t="s">
        <v>375</v>
      </c>
      <c r="U591" s="108" t="s">
        <v>302</v>
      </c>
      <c r="V591" s="108" t="s">
        <v>302</v>
      </c>
      <c r="W591" s="108" t="s">
        <v>302</v>
      </c>
    </row>
    <row r="592" spans="1:23" ht="21" customHeight="1" x14ac:dyDescent="0.15">
      <c r="A592" s="104">
        <f t="shared" si="9"/>
        <v>591</v>
      </c>
      <c r="B592" s="105" t="s">
        <v>303</v>
      </c>
      <c r="C592" s="121" t="s">
        <v>1912</v>
      </c>
      <c r="D592" s="107" t="s">
        <v>1902</v>
      </c>
      <c r="E592" s="108" t="s">
        <v>1628</v>
      </c>
      <c r="F592" s="108" t="s">
        <v>1629</v>
      </c>
      <c r="G592" s="108" t="s">
        <v>1347</v>
      </c>
      <c r="H592" s="131" t="s">
        <v>618</v>
      </c>
      <c r="I592" s="121">
        <v>3</v>
      </c>
      <c r="J592" s="109" t="s">
        <v>805</v>
      </c>
      <c r="K592" s="105" t="s">
        <v>1166</v>
      </c>
      <c r="L592" s="107" t="str">
        <f ca="1">VLOOKUP($K592,OFFSET([1]character_type_i18n!$A$1,0,0,COUNTA([1]character_type_i18n!$A:$A),MATCH(L$1,[1]character_type_i18n!$1:$1,0)-MATCH($K$1,[1]character_type_i18n!$1:$1,0)+1),MATCH(L$1,[1]character_type_i18n!$1:$1,0)-MATCH($K$1,[1]character_type_i18n!$1:$1,0)+1,FALSE)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92" s="105" t="s">
        <v>1913</v>
      </c>
      <c r="N592" s="107" t="str">
        <f>VLOOKUP(M592,[1]character_tribe_i18n!A:C,3,FALSE)</f>
        <v>ドラゴン</v>
      </c>
      <c r="O592" s="105" t="s">
        <v>278</v>
      </c>
      <c r="P592" s="107" t="str">
        <f>VLOOKUP(O592,[1]character_tribe_i18n!A:C,3,FALSE)</f>
        <v>種族なし</v>
      </c>
      <c r="Q592" s="110" t="s">
        <v>279</v>
      </c>
      <c r="R592" s="111">
        <v>3</v>
      </c>
      <c r="S592" s="108" t="s">
        <v>280</v>
      </c>
      <c r="T592" s="108" t="s">
        <v>281</v>
      </c>
      <c r="U592" s="108" t="s">
        <v>280</v>
      </c>
      <c r="V592" s="108" t="s">
        <v>280</v>
      </c>
      <c r="W592" s="108" t="s">
        <v>280</v>
      </c>
    </row>
    <row r="593" spans="1:23" ht="21" customHeight="1" x14ac:dyDescent="0.15">
      <c r="A593" s="104">
        <f t="shared" si="9"/>
        <v>592</v>
      </c>
      <c r="B593" s="105" t="s">
        <v>336</v>
      </c>
      <c r="C593" s="121" t="s">
        <v>1914</v>
      </c>
      <c r="D593" s="107" t="s">
        <v>1902</v>
      </c>
      <c r="E593" s="108" t="s">
        <v>1405</v>
      </c>
      <c r="F593" s="108" t="s">
        <v>1406</v>
      </c>
      <c r="G593" s="108" t="s">
        <v>1347</v>
      </c>
      <c r="H593" s="131" t="s">
        <v>618</v>
      </c>
      <c r="I593" s="121">
        <v>4</v>
      </c>
      <c r="J593" s="109" t="s">
        <v>805</v>
      </c>
      <c r="K593" s="105" t="s">
        <v>1166</v>
      </c>
      <c r="L593" s="107" t="str">
        <f ca="1">VLOOKUP($K593,OFFSET([1]character_type_i18n!$A$1,0,0,COUNTA([1]character_type_i18n!$A:$A),MATCH(L$1,[1]character_type_i18n!$1:$1,0)-MATCH($K$1,[1]character_type_i18n!$1:$1,0)+1),MATCH(L$1,[1]character_type_i18n!$1:$1,0)-MATCH($K$1,[1]character_type_i18n!$1:$1,0)+1,FALSE)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93" s="105" t="s">
        <v>1913</v>
      </c>
      <c r="N593" s="107" t="str">
        <f>VLOOKUP(M593,[1]character_tribe_i18n!A:C,3,FALSE)</f>
        <v>ドラゴン</v>
      </c>
      <c r="O593" s="105" t="s">
        <v>278</v>
      </c>
      <c r="P593" s="107" t="str">
        <f>VLOOKUP(O593,[1]character_tribe_i18n!A:C,3,FALSE)</f>
        <v>種族なし</v>
      </c>
      <c r="Q593" s="110" t="s">
        <v>1915</v>
      </c>
      <c r="R593" s="111">
        <v>3</v>
      </c>
      <c r="S593" s="108" t="s">
        <v>1916</v>
      </c>
      <c r="T593" s="108" t="s">
        <v>1917</v>
      </c>
      <c r="U593" s="108" t="s">
        <v>1916</v>
      </c>
      <c r="V593" s="108" t="s">
        <v>1916</v>
      </c>
      <c r="W593" s="108" t="s">
        <v>1916</v>
      </c>
    </row>
    <row r="594" spans="1:23" ht="21" customHeight="1" x14ac:dyDescent="0.15">
      <c r="A594" s="104">
        <f t="shared" si="9"/>
        <v>593</v>
      </c>
      <c r="B594" s="105" t="s">
        <v>1918</v>
      </c>
      <c r="C594" s="121" t="s">
        <v>1919</v>
      </c>
      <c r="D594" s="107" t="s">
        <v>1902</v>
      </c>
      <c r="E594" s="108" t="s">
        <v>1552</v>
      </c>
      <c r="F594" s="108" t="s">
        <v>1920</v>
      </c>
      <c r="G594" s="108" t="s">
        <v>1347</v>
      </c>
      <c r="H594" s="131" t="s">
        <v>618</v>
      </c>
      <c r="I594" s="121">
        <v>5</v>
      </c>
      <c r="J594" s="109" t="s">
        <v>805</v>
      </c>
      <c r="K594" s="105" t="s">
        <v>1166</v>
      </c>
      <c r="L594" s="107" t="str">
        <f ca="1">VLOOKUP($K594,OFFSET([1]character_type_i18n!$A$1,0,0,COUNTA([1]character_type_i18n!$A:$A),MATCH(L$1,[1]character_type_i18n!$1:$1,0)-MATCH($K$1,[1]character_type_i18n!$1:$1,0)+1),MATCH(L$1,[1]character_type_i18n!$1:$1,0)-MATCH($K$1,[1]character_type_i18n!$1:$1,0)+1,FALSE)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94" s="105" t="s">
        <v>1913</v>
      </c>
      <c r="N594" s="107" t="str">
        <f>VLOOKUP(M594,[1]character_tribe_i18n!A:C,3,FALSE)</f>
        <v>ドラゴン</v>
      </c>
      <c r="O594" s="105" t="s">
        <v>278</v>
      </c>
      <c r="P594" s="107" t="str">
        <f>VLOOKUP(O594,[1]character_tribe_i18n!A:C,3,FALSE)</f>
        <v>種族なし</v>
      </c>
      <c r="Q594" s="110" t="s">
        <v>301</v>
      </c>
      <c r="R594" s="111">
        <v>3</v>
      </c>
      <c r="S594" s="108" t="s">
        <v>302</v>
      </c>
      <c r="T594" s="108" t="s">
        <v>1559</v>
      </c>
      <c r="U594" s="108" t="s">
        <v>1560</v>
      </c>
      <c r="V594" s="108" t="s">
        <v>771</v>
      </c>
      <c r="W594" s="108" t="s">
        <v>771</v>
      </c>
    </row>
    <row r="595" spans="1:23" ht="21" customHeight="1" x14ac:dyDescent="0.15">
      <c r="A595" s="104">
        <f t="shared" si="9"/>
        <v>594</v>
      </c>
      <c r="B595" s="105" t="s">
        <v>336</v>
      </c>
      <c r="C595" s="121" t="s">
        <v>1921</v>
      </c>
      <c r="D595" s="107" t="s">
        <v>1902</v>
      </c>
      <c r="E595" s="108" t="s">
        <v>1922</v>
      </c>
      <c r="F595" s="108" t="s">
        <v>1923</v>
      </c>
      <c r="G595" s="108" t="s">
        <v>1347</v>
      </c>
      <c r="H595" s="131" t="s">
        <v>300</v>
      </c>
      <c r="I595" s="121">
        <v>4</v>
      </c>
      <c r="J595" s="109" t="s">
        <v>1263</v>
      </c>
      <c r="K595" s="105" t="s">
        <v>1273</v>
      </c>
      <c r="L595" s="107" t="str">
        <f ca="1">VLOOKUP($K595,OFFSET([1]character_type_i18n!$A$1,0,0,COUNTA([1]character_type_i18n!$A:$A),MATCH(L$1,[1]character_type_i18n!$1:$1,0)-MATCH($K$1,[1]character_type_i18n!$1:$1,0)+1),MATCH(L$1,[1]character_type_i18n!$1:$1,0)-MATCH($K$1,[1]character_type_i18n!$1:$1,0)+1,FALSE)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95" s="105" t="s">
        <v>1924</v>
      </c>
      <c r="N595" s="107" t="str">
        <f>VLOOKUP(M595,[1]character_tribe_i18n!A:C,3,FALSE)</f>
        <v>ドラゴン</v>
      </c>
      <c r="O595" s="105" t="s">
        <v>278</v>
      </c>
      <c r="P595" s="107" t="str">
        <f>VLOOKUP(O595,[1]character_tribe_i18n!A:C,3,FALSE)</f>
        <v>種族なし</v>
      </c>
      <c r="Q595" s="110" t="s">
        <v>799</v>
      </c>
      <c r="R595" s="111">
        <v>3</v>
      </c>
      <c r="S595" s="108" t="s">
        <v>771</v>
      </c>
      <c r="T595" s="108" t="s">
        <v>800</v>
      </c>
      <c r="U595" s="108" t="s">
        <v>887</v>
      </c>
      <c r="V595" s="108" t="s">
        <v>887</v>
      </c>
      <c r="W595" s="108" t="s">
        <v>887</v>
      </c>
    </row>
    <row r="596" spans="1:23" ht="21" customHeight="1" x14ac:dyDescent="0.15">
      <c r="A596" s="104">
        <f t="shared" si="9"/>
        <v>595</v>
      </c>
      <c r="B596" s="105" t="s">
        <v>268</v>
      </c>
      <c r="C596" s="136" t="s">
        <v>1925</v>
      </c>
      <c r="D596" s="107" t="s">
        <v>1902</v>
      </c>
      <c r="E596" s="108" t="s">
        <v>709</v>
      </c>
      <c r="F596" s="108" t="s">
        <v>532</v>
      </c>
      <c r="G596" s="108" t="s">
        <v>1347</v>
      </c>
      <c r="H596" s="131" t="s">
        <v>300</v>
      </c>
      <c r="I596" s="121">
        <v>5</v>
      </c>
      <c r="J596" s="109" t="s">
        <v>1452</v>
      </c>
      <c r="K596" s="105" t="s">
        <v>1441</v>
      </c>
      <c r="L596" s="107" t="str">
        <f ca="1">VLOOKUP($K596,OFFSET([1]character_type_i18n!$A$1,0,0,COUNTA([1]character_type_i18n!$A:$A),MATCH(L$1,[1]character_type_i18n!$1:$1,0)-MATCH($K$1,[1]character_type_i18n!$1:$1,0)+1),MATCH(L$1,[1]character_type_i18n!$1:$1,0)-MATCH($K$1,[1]character_type_i18n!$1:$1,0)+1,FALSE)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96" s="105" t="s">
        <v>854</v>
      </c>
      <c r="N596" s="107" t="str">
        <f>VLOOKUP(M596,[1]character_tribe_i18n!A:C,3,FALSE)</f>
        <v>ドラゴン</v>
      </c>
      <c r="O596" s="105" t="s">
        <v>278</v>
      </c>
      <c r="P596" s="107" t="str">
        <f>VLOOKUP(O596,[1]character_tribe_i18n!A:C,3,FALSE)</f>
        <v>種族なし</v>
      </c>
      <c r="Q596" s="110" t="s">
        <v>279</v>
      </c>
      <c r="R596" s="111">
        <v>3</v>
      </c>
      <c r="S596" s="108" t="s">
        <v>280</v>
      </c>
      <c r="T596" s="108" t="s">
        <v>281</v>
      </c>
      <c r="U596" s="108" t="s">
        <v>280</v>
      </c>
      <c r="V596" s="108" t="s">
        <v>280</v>
      </c>
      <c r="W596" s="108" t="s">
        <v>280</v>
      </c>
    </row>
    <row r="597" spans="1:23" ht="21" customHeight="1" x14ac:dyDescent="0.15">
      <c r="A597" s="104">
        <f t="shared" si="9"/>
        <v>596</v>
      </c>
      <c r="B597" s="105" t="s">
        <v>1288</v>
      </c>
      <c r="C597" s="136" t="s">
        <v>1926</v>
      </c>
      <c r="D597" s="107" t="s">
        <v>1927</v>
      </c>
      <c r="E597" s="108" t="s">
        <v>1271</v>
      </c>
      <c r="F597" s="108" t="s">
        <v>1272</v>
      </c>
      <c r="G597" s="108" t="s">
        <v>1544</v>
      </c>
      <c r="H597" s="131" t="s">
        <v>1928</v>
      </c>
      <c r="I597" s="121">
        <v>3</v>
      </c>
      <c r="J597" s="109" t="s">
        <v>805</v>
      </c>
      <c r="K597" s="105" t="s">
        <v>1300</v>
      </c>
      <c r="L597" s="107" t="str">
        <f ca="1">VLOOKUP($K597,OFFSET([1]character_type_i18n!$A$1,0,0,COUNTA([1]character_type_i18n!$A:$A),MATCH(L$1,[1]character_type_i18n!$1:$1,0)-MATCH($K$1,[1]character_type_i18n!$1:$1,0)+1),MATCH(L$1,[1]character_type_i18n!$1:$1,0)-MATCH($K$1,[1]character_type_i18n!$1:$1,0)+1,FALSE)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7" s="105" t="s">
        <v>1929</v>
      </c>
      <c r="N597" s="107" t="str">
        <f>VLOOKUP(M597,[1]character_tribe_i18n!A:C,3,FALSE)</f>
        <v>ヒューマン</v>
      </c>
      <c r="O597" s="105" t="s">
        <v>1930</v>
      </c>
      <c r="P597" s="107" t="str">
        <f>VLOOKUP(O597,[1]character_tribe_i18n!A:C,3,FALSE)</f>
        <v>マシン</v>
      </c>
      <c r="Q597" s="110" t="s">
        <v>279</v>
      </c>
      <c r="R597" s="111">
        <v>3</v>
      </c>
      <c r="S597" s="108" t="s">
        <v>280</v>
      </c>
      <c r="T597" s="108" t="s">
        <v>281</v>
      </c>
      <c r="U597" s="108" t="s">
        <v>280</v>
      </c>
      <c r="V597" s="108" t="s">
        <v>280</v>
      </c>
      <c r="W597" s="108" t="s">
        <v>280</v>
      </c>
    </row>
    <row r="598" spans="1:23" ht="21" customHeight="1" x14ac:dyDescent="0.15">
      <c r="A598" s="104">
        <f t="shared" si="9"/>
        <v>597</v>
      </c>
      <c r="B598" s="105" t="s">
        <v>268</v>
      </c>
      <c r="C598" s="139" t="s">
        <v>1931</v>
      </c>
      <c r="D598" s="107" t="s">
        <v>1927</v>
      </c>
      <c r="E598" s="108" t="s">
        <v>1535</v>
      </c>
      <c r="F598" s="108" t="s">
        <v>1536</v>
      </c>
      <c r="G598" s="108" t="s">
        <v>1546</v>
      </c>
      <c r="H598" s="131" t="s">
        <v>1932</v>
      </c>
      <c r="I598" s="121">
        <v>4</v>
      </c>
      <c r="J598" s="109" t="s">
        <v>805</v>
      </c>
      <c r="K598" s="105" t="s">
        <v>1933</v>
      </c>
      <c r="L598" s="107" t="str">
        <f ca="1">VLOOKUP($K598,OFFSET([1]character_type_i18n!$A$1,0,0,COUNTA([1]character_type_i18n!$A:$A),MATCH(L$1,[1]character_type_i18n!$1:$1,0)-MATCH($K$1,[1]character_type_i18n!$1:$1,0)+1),MATCH(L$1,[1]character_type_i18n!$1:$1,0)-MATCH($K$1,[1]character_type_i18n!$1:$1,0)+1,FALSE)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8" s="105" t="s">
        <v>1934</v>
      </c>
      <c r="N598" s="107" t="str">
        <f>VLOOKUP(M598,[1]character_tribe_i18n!A:C,3,FALSE)</f>
        <v>ヒューマン</v>
      </c>
      <c r="O598" s="105" t="s">
        <v>1017</v>
      </c>
      <c r="P598" s="107" t="str">
        <f>VLOOKUP(O598,[1]character_tribe_i18n!A:C,3,FALSE)</f>
        <v>マシン</v>
      </c>
      <c r="Q598" s="110" t="s">
        <v>279</v>
      </c>
      <c r="R598" s="111">
        <v>3</v>
      </c>
      <c r="S598" s="108" t="s">
        <v>280</v>
      </c>
      <c r="T598" s="108" t="s">
        <v>281</v>
      </c>
      <c r="U598" s="108" t="s">
        <v>280</v>
      </c>
      <c r="V598" s="108" t="s">
        <v>280</v>
      </c>
      <c r="W598" s="108" t="s">
        <v>280</v>
      </c>
    </row>
    <row r="599" spans="1:23" ht="21" customHeight="1" x14ac:dyDescent="0.15">
      <c r="A599" s="104">
        <f t="shared" si="9"/>
        <v>598</v>
      </c>
      <c r="B599" s="105" t="s">
        <v>268</v>
      </c>
      <c r="C599" s="136" t="s">
        <v>1935</v>
      </c>
      <c r="D599" s="107" t="s">
        <v>1927</v>
      </c>
      <c r="E599" s="108" t="s">
        <v>709</v>
      </c>
      <c r="F599" s="108" t="s">
        <v>532</v>
      </c>
      <c r="G599" s="108" t="s">
        <v>710</v>
      </c>
      <c r="H599" s="131" t="s">
        <v>1141</v>
      </c>
      <c r="I599" s="121">
        <v>5</v>
      </c>
      <c r="J599" s="109" t="s">
        <v>805</v>
      </c>
      <c r="K599" s="105" t="s">
        <v>1008</v>
      </c>
      <c r="L599" s="107" t="str">
        <f ca="1">VLOOKUP($K599,OFFSET([1]character_type_i18n!$A$1,0,0,COUNTA([1]character_type_i18n!$A:$A),MATCH(L$1,[1]character_type_i18n!$1:$1,0)-MATCH($K$1,[1]character_type_i18n!$1:$1,0)+1),MATCH(L$1,[1]character_type_i18n!$1:$1,0)-MATCH($K$1,[1]character_type_i18n!$1:$1,0)+1,FALSE)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9" s="105" t="s">
        <v>1394</v>
      </c>
      <c r="N599" s="107" t="str">
        <f>VLOOKUP(M599,[1]character_tribe_i18n!A:C,3,FALSE)</f>
        <v>ヒューマン</v>
      </c>
      <c r="O599" s="105" t="s">
        <v>1017</v>
      </c>
      <c r="P599" s="107" t="str">
        <f>VLOOKUP(O599,[1]character_tribe_i18n!A:C,3,FALSE)</f>
        <v>マシン</v>
      </c>
      <c r="Q599" s="110" t="s">
        <v>279</v>
      </c>
      <c r="R599" s="111">
        <v>3</v>
      </c>
      <c r="S599" s="108" t="s">
        <v>280</v>
      </c>
      <c r="T599" s="108" t="s">
        <v>281</v>
      </c>
      <c r="U599" s="108" t="s">
        <v>280</v>
      </c>
      <c r="V599" s="108" t="s">
        <v>280</v>
      </c>
      <c r="W599" s="108" t="s">
        <v>280</v>
      </c>
    </row>
    <row r="600" spans="1:23" ht="21" customHeight="1" x14ac:dyDescent="0.15">
      <c r="A600" s="104">
        <f t="shared" si="9"/>
        <v>599</v>
      </c>
      <c r="B600" s="105" t="s">
        <v>268</v>
      </c>
      <c r="C600" s="121" t="s">
        <v>1936</v>
      </c>
      <c r="D600" s="107" t="s">
        <v>1927</v>
      </c>
      <c r="E600" s="108" t="s">
        <v>709</v>
      </c>
      <c r="F600" s="108" t="s">
        <v>532</v>
      </c>
      <c r="G600" s="108" t="s">
        <v>1347</v>
      </c>
      <c r="H600" s="131" t="s">
        <v>545</v>
      </c>
      <c r="I600" s="121">
        <v>3</v>
      </c>
      <c r="J600" s="109" t="s">
        <v>805</v>
      </c>
      <c r="K600" s="105" t="s">
        <v>1679</v>
      </c>
      <c r="L600" s="107" t="str">
        <f ca="1">VLOOKUP($K600,OFFSET([1]character_type_i18n!$A$1,0,0,COUNTA([1]character_type_i18n!$A:$A),MATCH(L$1,[1]character_type_i18n!$1:$1,0)-MATCH($K$1,[1]character_type_i18n!$1:$1,0)+1),MATCH(L$1,[1]character_type_i18n!$1:$1,0)-MATCH($K$1,[1]character_type_i18n!$1:$1,0)+1,FALSE)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00" s="105" t="s">
        <v>1191</v>
      </c>
      <c r="N600" s="107" t="str">
        <f>VLOOKUP(M600,[1]character_tribe_i18n!A:C,3,FALSE)</f>
        <v>ドラゴン</v>
      </c>
      <c r="O600" s="105" t="s">
        <v>278</v>
      </c>
      <c r="P600" s="107" t="str">
        <f>VLOOKUP(O600,[1]character_tribe_i18n!A:C,3,FALSE)</f>
        <v>種族なし</v>
      </c>
      <c r="Q600" s="110" t="s">
        <v>362</v>
      </c>
      <c r="R600" s="111">
        <v>3</v>
      </c>
      <c r="S600" s="108" t="s">
        <v>289</v>
      </c>
      <c r="T600" s="108" t="s">
        <v>288</v>
      </c>
      <c r="U600" s="108" t="s">
        <v>289</v>
      </c>
      <c r="V600" s="108" t="s">
        <v>289</v>
      </c>
      <c r="W600" s="108" t="s">
        <v>289</v>
      </c>
    </row>
    <row r="601" spans="1:23" ht="21" customHeight="1" x14ac:dyDescent="0.15">
      <c r="A601" s="104">
        <f t="shared" si="9"/>
        <v>600</v>
      </c>
      <c r="B601" s="105" t="s">
        <v>292</v>
      </c>
      <c r="C601" s="127" t="s">
        <v>1937</v>
      </c>
      <c r="D601" s="107" t="s">
        <v>1927</v>
      </c>
      <c r="E601" s="108" t="s">
        <v>848</v>
      </c>
      <c r="F601" s="108" t="s">
        <v>1422</v>
      </c>
      <c r="G601" s="108" t="s">
        <v>1347</v>
      </c>
      <c r="H601" s="131" t="s">
        <v>545</v>
      </c>
      <c r="I601" s="140">
        <v>4</v>
      </c>
      <c r="J601" s="109" t="s">
        <v>805</v>
      </c>
      <c r="K601" s="105" t="s">
        <v>1679</v>
      </c>
      <c r="L601" s="107" t="str">
        <f ca="1">VLOOKUP($K601,OFFSET([1]character_type_i18n!$A$1,0,0,COUNTA([1]character_type_i18n!$A:$A),MATCH(L$1,[1]character_type_i18n!$1:$1,0)-MATCH($K$1,[1]character_type_i18n!$1:$1,0)+1),MATCH(L$1,[1]character_type_i18n!$1:$1,0)-MATCH($K$1,[1]character_type_i18n!$1:$1,0)+1,FALSE)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01" s="105" t="s">
        <v>854</v>
      </c>
      <c r="N601" s="107" t="str">
        <f>VLOOKUP(M601,[1]character_tribe_i18n!A:C,3,FALSE)</f>
        <v>ドラゴン</v>
      </c>
      <c r="O601" s="105" t="s">
        <v>278</v>
      </c>
      <c r="P601" s="107" t="str">
        <f>VLOOKUP(O601,[1]character_tribe_i18n!A:C,3,FALSE)</f>
        <v>種族なし</v>
      </c>
      <c r="Q601" s="110" t="s">
        <v>279</v>
      </c>
      <c r="R601" s="111">
        <v>3</v>
      </c>
      <c r="S601" s="108" t="s">
        <v>280</v>
      </c>
      <c r="T601" s="108" t="s">
        <v>281</v>
      </c>
      <c r="U601" s="108" t="s">
        <v>280</v>
      </c>
      <c r="V601" s="108" t="s">
        <v>280</v>
      </c>
      <c r="W601" s="108" t="s">
        <v>280</v>
      </c>
    </row>
    <row r="602" spans="1:23" ht="21" customHeight="1" x14ac:dyDescent="0.15">
      <c r="A602" s="104">
        <f t="shared" si="9"/>
        <v>601</v>
      </c>
      <c r="B602" s="105" t="s">
        <v>268</v>
      </c>
      <c r="C602" s="127" t="s">
        <v>1938</v>
      </c>
      <c r="D602" s="107" t="s">
        <v>1927</v>
      </c>
      <c r="E602" s="108" t="s">
        <v>709</v>
      </c>
      <c r="F602" s="108" t="s">
        <v>532</v>
      </c>
      <c r="G602" s="108" t="s">
        <v>1347</v>
      </c>
      <c r="H602" s="131" t="s">
        <v>545</v>
      </c>
      <c r="I602" s="140">
        <v>5</v>
      </c>
      <c r="J602" s="109" t="s">
        <v>805</v>
      </c>
      <c r="K602" s="105" t="s">
        <v>1679</v>
      </c>
      <c r="L602" s="107" t="str">
        <f ca="1">VLOOKUP($K602,OFFSET([1]character_type_i18n!$A$1,0,0,COUNTA([1]character_type_i18n!$A:$A),MATCH(L$1,[1]character_type_i18n!$1:$1,0)-MATCH($K$1,[1]character_type_i18n!$1:$1,0)+1),MATCH(L$1,[1]character_type_i18n!$1:$1,0)-MATCH($K$1,[1]character_type_i18n!$1:$1,0)+1,FALSE)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02" s="105" t="s">
        <v>1191</v>
      </c>
      <c r="N602" s="107" t="str">
        <f>VLOOKUP(M602,[1]character_tribe_i18n!A:C,3,FALSE)</f>
        <v>ドラゴン</v>
      </c>
      <c r="O602" s="105" t="s">
        <v>278</v>
      </c>
      <c r="P602" s="107" t="str">
        <f>VLOOKUP(O602,[1]character_tribe_i18n!A:C,3,FALSE)</f>
        <v>種族なし</v>
      </c>
      <c r="Q602" s="110" t="s">
        <v>362</v>
      </c>
      <c r="R602" s="111">
        <v>3</v>
      </c>
      <c r="S602" s="108" t="s">
        <v>289</v>
      </c>
      <c r="T602" s="108" t="s">
        <v>288</v>
      </c>
      <c r="U602" s="108" t="s">
        <v>289</v>
      </c>
      <c r="V602" s="108" t="s">
        <v>289</v>
      </c>
      <c r="W602" s="108" t="s">
        <v>289</v>
      </c>
    </row>
    <row r="603" spans="1:23" ht="21" customHeight="1" x14ac:dyDescent="0.15">
      <c r="A603" s="104">
        <f t="shared" si="9"/>
        <v>602</v>
      </c>
      <c r="B603" s="105" t="s">
        <v>292</v>
      </c>
      <c r="C603" s="121" t="s">
        <v>1939</v>
      </c>
      <c r="D603" s="107" t="s">
        <v>1927</v>
      </c>
      <c r="E603" s="108" t="s">
        <v>848</v>
      </c>
      <c r="F603" s="108" t="s">
        <v>1422</v>
      </c>
      <c r="G603" s="108" t="s">
        <v>853</v>
      </c>
      <c r="H603" s="131" t="s">
        <v>1761</v>
      </c>
      <c r="I603" s="140">
        <v>4</v>
      </c>
      <c r="J603" s="109" t="s">
        <v>1940</v>
      </c>
      <c r="K603" s="105" t="s">
        <v>1221</v>
      </c>
      <c r="L603" s="107" t="str">
        <f ca="1">VLOOKUP($K603,OFFSET([1]character_type_i18n!$A$1,0,0,COUNTA([1]character_type_i18n!$A:$A),MATCH(L$1,[1]character_type_i18n!$1:$1,0)-MATCH($K$1,[1]character_type_i18n!$1:$1,0)+1),MATCH(L$1,[1]character_type_i18n!$1:$1,0)-MATCH($K$1,[1]character_type_i18n!$1:$1,0)+1,FALSE)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3" s="105" t="s">
        <v>313</v>
      </c>
      <c r="N603" s="107" t="str">
        <f>VLOOKUP(M603,[1]character_tribe_i18n!A:C,3,FALSE)</f>
        <v>アニマル</v>
      </c>
      <c r="O603" s="105" t="s">
        <v>278</v>
      </c>
      <c r="P603" s="107" t="str">
        <f>VLOOKUP(O603,[1]character_tribe_i18n!A:C,3,FALSE)</f>
        <v>種族なし</v>
      </c>
      <c r="Q603" s="110" t="s">
        <v>305</v>
      </c>
      <c r="R603" s="111">
        <v>3</v>
      </c>
      <c r="S603" s="108" t="s">
        <v>306</v>
      </c>
      <c r="T603" s="108" t="s">
        <v>307</v>
      </c>
      <c r="U603" s="108" t="s">
        <v>306</v>
      </c>
      <c r="V603" s="108" t="s">
        <v>306</v>
      </c>
      <c r="W603" s="108" t="s">
        <v>306</v>
      </c>
    </row>
    <row r="604" spans="1:23" ht="21" customHeight="1" x14ac:dyDescent="0.15">
      <c r="A604" s="104">
        <f t="shared" si="9"/>
        <v>603</v>
      </c>
      <c r="B604" s="105" t="s">
        <v>314</v>
      </c>
      <c r="C604" s="121" t="s">
        <v>1941</v>
      </c>
      <c r="D604" s="107" t="s">
        <v>1927</v>
      </c>
      <c r="E604" s="108" t="s">
        <v>1396</v>
      </c>
      <c r="F604" s="108" t="s">
        <v>1397</v>
      </c>
      <c r="G604" s="108" t="s">
        <v>853</v>
      </c>
      <c r="H604" s="131" t="s">
        <v>1761</v>
      </c>
      <c r="I604" s="140">
        <v>5</v>
      </c>
      <c r="J604" s="109" t="s">
        <v>1940</v>
      </c>
      <c r="K604" s="105" t="s">
        <v>1221</v>
      </c>
      <c r="L604" s="107" t="str">
        <f ca="1">VLOOKUP($K604,OFFSET([1]character_type_i18n!$A$1,0,0,COUNTA([1]character_type_i18n!$A:$A),MATCH(L$1,[1]character_type_i18n!$1:$1,0)-MATCH($K$1,[1]character_type_i18n!$1:$1,0)+1),MATCH(L$1,[1]character_type_i18n!$1:$1,0)-MATCH($K$1,[1]character_type_i18n!$1:$1,0)+1,FALSE)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4" s="105" t="s">
        <v>1942</v>
      </c>
      <c r="N604" s="107" t="str">
        <f>VLOOKUP(M604,[1]character_tribe_i18n!A:C,3,FALSE)</f>
        <v>アニマル</v>
      </c>
      <c r="O604" s="105" t="s">
        <v>278</v>
      </c>
      <c r="P604" s="107" t="str">
        <f>VLOOKUP(O604,[1]character_tribe_i18n!A:C,3,FALSE)</f>
        <v>種族なし</v>
      </c>
      <c r="Q604" s="110" t="s">
        <v>305</v>
      </c>
      <c r="R604" s="111">
        <v>3</v>
      </c>
      <c r="S604" s="108" t="s">
        <v>306</v>
      </c>
      <c r="T604" s="108" t="s">
        <v>307</v>
      </c>
      <c r="U604" s="108" t="s">
        <v>306</v>
      </c>
      <c r="V604" s="108" t="s">
        <v>306</v>
      </c>
      <c r="W604" s="108" t="s">
        <v>306</v>
      </c>
    </row>
    <row r="605" spans="1:23" ht="21" customHeight="1" x14ac:dyDescent="0.15">
      <c r="A605" s="104">
        <f t="shared" si="9"/>
        <v>604</v>
      </c>
      <c r="B605" s="105" t="s">
        <v>314</v>
      </c>
      <c r="C605" s="121" t="s">
        <v>1943</v>
      </c>
      <c r="D605" s="107" t="s">
        <v>1927</v>
      </c>
      <c r="E605" s="108" t="s">
        <v>1396</v>
      </c>
      <c r="F605" s="108" t="s">
        <v>1397</v>
      </c>
      <c r="G605" s="108" t="s">
        <v>1822</v>
      </c>
      <c r="H605" s="131" t="s">
        <v>1944</v>
      </c>
      <c r="I605" s="140">
        <v>3</v>
      </c>
      <c r="J605" s="109" t="s">
        <v>805</v>
      </c>
      <c r="K605" s="105" t="s">
        <v>1824</v>
      </c>
      <c r="L605" s="107" t="str">
        <f ca="1">VLOOKUP($K605,OFFSET([1]character_type_i18n!$A$1,0,0,COUNTA([1]character_type_i18n!$A:$A),MATCH(L$1,[1]character_type_i18n!$1:$1,0)-MATCH($K$1,[1]character_type_i18n!$1:$1,0)+1),MATCH(L$1,[1]character_type_i18n!$1:$1,0)-MATCH($K$1,[1]character_type_i18n!$1:$1,0)+1,FALSE)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5" s="105" t="s">
        <v>1945</v>
      </c>
      <c r="N605" s="107" t="str">
        <f>VLOOKUP(M605,[1]character_tribe_i18n!A:C,3,FALSE)</f>
        <v>ゴッド</v>
      </c>
      <c r="O605" s="105" t="s">
        <v>278</v>
      </c>
      <c r="P605" s="107" t="str">
        <f>VLOOKUP(O605,[1]character_tribe_i18n!A:C,3,FALSE)</f>
        <v>種族なし</v>
      </c>
      <c r="Q605" s="110" t="s">
        <v>305</v>
      </c>
      <c r="R605" s="111">
        <v>3</v>
      </c>
      <c r="S605" s="108" t="s">
        <v>306</v>
      </c>
      <c r="T605" s="108" t="s">
        <v>307</v>
      </c>
      <c r="U605" s="108" t="s">
        <v>306</v>
      </c>
      <c r="V605" s="108" t="s">
        <v>306</v>
      </c>
      <c r="W605" s="108" t="s">
        <v>306</v>
      </c>
    </row>
    <row r="606" spans="1:23" ht="21" customHeight="1" x14ac:dyDescent="0.15">
      <c r="A606" s="104">
        <f t="shared" si="9"/>
        <v>605</v>
      </c>
      <c r="B606" s="105" t="s">
        <v>314</v>
      </c>
      <c r="C606" s="121" t="s">
        <v>1946</v>
      </c>
      <c r="D606" s="107" t="s">
        <v>1927</v>
      </c>
      <c r="E606" s="108" t="s">
        <v>1396</v>
      </c>
      <c r="F606" s="108" t="s">
        <v>1397</v>
      </c>
      <c r="G606" s="108" t="s">
        <v>1398</v>
      </c>
      <c r="H606" s="131" t="s">
        <v>1947</v>
      </c>
      <c r="I606" s="140">
        <v>4</v>
      </c>
      <c r="J606" s="109" t="s">
        <v>805</v>
      </c>
      <c r="K606" s="105" t="s">
        <v>1948</v>
      </c>
      <c r="L606" s="107" t="str">
        <f ca="1">VLOOKUP($K606,OFFSET([1]character_type_i18n!$A$1,0,0,COUNTA([1]character_type_i18n!$A:$A),MATCH(L$1,[1]character_type_i18n!$1:$1,0)-MATCH($K$1,[1]character_type_i18n!$1:$1,0)+1),MATCH(L$1,[1]character_type_i18n!$1:$1,0)-MATCH($K$1,[1]character_type_i18n!$1:$1,0)+1,FALSE)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6" s="105" t="s">
        <v>1945</v>
      </c>
      <c r="N606" s="107" t="str">
        <f>VLOOKUP(M606,[1]character_tribe_i18n!A:C,3,FALSE)</f>
        <v>ゴッド</v>
      </c>
      <c r="O606" s="105" t="s">
        <v>278</v>
      </c>
      <c r="P606" s="107" t="str">
        <f>VLOOKUP(O606,[1]character_tribe_i18n!A:C,3,FALSE)</f>
        <v>種族なし</v>
      </c>
      <c r="Q606" s="110" t="s">
        <v>305</v>
      </c>
      <c r="R606" s="111">
        <v>3</v>
      </c>
      <c r="S606" s="108" t="s">
        <v>306</v>
      </c>
      <c r="T606" s="108" t="s">
        <v>307</v>
      </c>
      <c r="U606" s="108" t="s">
        <v>306</v>
      </c>
      <c r="V606" s="108" t="s">
        <v>306</v>
      </c>
      <c r="W606" s="108" t="s">
        <v>306</v>
      </c>
    </row>
    <row r="607" spans="1:23" ht="21" customHeight="1" x14ac:dyDescent="0.15">
      <c r="A607" s="104">
        <f t="shared" si="9"/>
        <v>606</v>
      </c>
      <c r="B607" s="105" t="s">
        <v>314</v>
      </c>
      <c r="C607" s="121" t="s">
        <v>1949</v>
      </c>
      <c r="D607" s="107" t="s">
        <v>1927</v>
      </c>
      <c r="E607" s="108" t="s">
        <v>1396</v>
      </c>
      <c r="F607" s="108" t="s">
        <v>1397</v>
      </c>
      <c r="G607" s="108" t="s">
        <v>1398</v>
      </c>
      <c r="H607" s="131" t="s">
        <v>1947</v>
      </c>
      <c r="I607" s="140">
        <v>5</v>
      </c>
      <c r="J607" s="109" t="s">
        <v>805</v>
      </c>
      <c r="K607" s="105" t="s">
        <v>1948</v>
      </c>
      <c r="L607" s="107" t="str">
        <f ca="1">VLOOKUP($K607,OFFSET([1]character_type_i18n!$A$1,0,0,COUNTA([1]character_type_i18n!$A:$A),MATCH(L$1,[1]character_type_i18n!$1:$1,0)-MATCH($K$1,[1]character_type_i18n!$1:$1,0)+1),MATCH(L$1,[1]character_type_i18n!$1:$1,0)-MATCH($K$1,[1]character_type_i18n!$1:$1,0)+1,FALSE)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7" s="105" t="s">
        <v>1945</v>
      </c>
      <c r="N607" s="107" t="str">
        <f>VLOOKUP(M607,[1]character_tribe_i18n!A:C,3,FALSE)</f>
        <v>ゴッド</v>
      </c>
      <c r="O607" s="105" t="s">
        <v>278</v>
      </c>
      <c r="P607" s="107" t="str">
        <f>VLOOKUP(O607,[1]character_tribe_i18n!A:C,3,FALSE)</f>
        <v>種族なし</v>
      </c>
      <c r="Q607" s="110" t="s">
        <v>305</v>
      </c>
      <c r="R607" s="111">
        <v>3</v>
      </c>
      <c r="S607" s="108" t="s">
        <v>306</v>
      </c>
      <c r="T607" s="108" t="s">
        <v>307</v>
      </c>
      <c r="U607" s="108" t="s">
        <v>306</v>
      </c>
      <c r="V607" s="108" t="s">
        <v>306</v>
      </c>
      <c r="W607" s="108" t="s">
        <v>306</v>
      </c>
    </row>
    <row r="608" spans="1:23" ht="21" customHeight="1" x14ac:dyDescent="0.15">
      <c r="A608" s="104">
        <f t="shared" si="9"/>
        <v>607</v>
      </c>
      <c r="B608" s="105" t="s">
        <v>314</v>
      </c>
      <c r="C608" s="121" t="s">
        <v>1950</v>
      </c>
      <c r="D608" s="107" t="s">
        <v>605</v>
      </c>
      <c r="E608" s="108" t="s">
        <v>554</v>
      </c>
      <c r="F608" s="108" t="s">
        <v>272</v>
      </c>
      <c r="G608" s="108" t="s">
        <v>273</v>
      </c>
      <c r="H608" s="131" t="s">
        <v>1883</v>
      </c>
      <c r="I608" s="140">
        <v>4</v>
      </c>
      <c r="J608" s="109" t="s">
        <v>537</v>
      </c>
      <c r="K608" s="105" t="s">
        <v>1951</v>
      </c>
      <c r="L608" s="107" t="str">
        <f ca="1">VLOOKUP($K608,OFFSET([1]character_type_i18n!$A$1,0,0,COUNTA([1]character_type_i18n!$A:$A),MATCH(L$1,[1]character_type_i18n!$1:$1,0)-MATCH($K$1,[1]character_type_i18n!$1:$1,0)+1),MATCH(L$1,[1]character_type_i18n!$1:$1,0)-MATCH($K$1,[1]character_type_i18n!$1:$1,0)+1,FALSE)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08" s="105" t="s">
        <v>1164</v>
      </c>
      <c r="N608" s="107" t="str">
        <f>VLOOKUP(M608,[1]character_tribe_i18n!A:C,3,FALSE)</f>
        <v>Unknown</v>
      </c>
      <c r="O608" s="105" t="s">
        <v>278</v>
      </c>
      <c r="P608" s="107" t="str">
        <f>VLOOKUP(O608,[1]character_tribe_i18n!A:C,3,FALSE)</f>
        <v>種族なし</v>
      </c>
      <c r="Q608" s="110" t="s">
        <v>362</v>
      </c>
      <c r="R608" s="111">
        <v>3</v>
      </c>
      <c r="S608" s="108" t="s">
        <v>289</v>
      </c>
      <c r="T608" s="108" t="s">
        <v>288</v>
      </c>
      <c r="U608" s="108" t="s">
        <v>289</v>
      </c>
      <c r="V608" s="108" t="s">
        <v>289</v>
      </c>
      <c r="W608" s="108" t="s">
        <v>289</v>
      </c>
    </row>
    <row r="609" spans="1:23" ht="21" customHeight="1" x14ac:dyDescent="0.15">
      <c r="A609" s="104">
        <f t="shared" si="9"/>
        <v>608</v>
      </c>
      <c r="B609" s="105" t="s">
        <v>292</v>
      </c>
      <c r="C609" s="121" t="s">
        <v>1952</v>
      </c>
      <c r="D609" s="107" t="s">
        <v>613</v>
      </c>
      <c r="E609" s="108" t="s">
        <v>1953</v>
      </c>
      <c r="F609" s="108" t="s">
        <v>272</v>
      </c>
      <c r="G609" s="108" t="s">
        <v>273</v>
      </c>
      <c r="H609" s="131" t="s">
        <v>1686</v>
      </c>
      <c r="I609" s="140">
        <v>4</v>
      </c>
      <c r="J609" s="109" t="s">
        <v>537</v>
      </c>
      <c r="K609" s="105" t="s">
        <v>1954</v>
      </c>
      <c r="L609" s="107" t="str">
        <f ca="1">VLOOKUP($K609,OFFSET([1]character_type_i18n!$A$1,0,0,COUNTA([1]character_type_i18n!$A:$A),MATCH(L$1,[1]character_type_i18n!$1:$1,0)-MATCH($K$1,[1]character_type_i18n!$1:$1,0)+1),MATCH(L$1,[1]character_type_i18n!$1:$1,0)-MATCH($K$1,[1]character_type_i18n!$1:$1,0)+1,FALSE)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09" s="105" t="s">
        <v>1164</v>
      </c>
      <c r="N609" s="107" t="str">
        <f>VLOOKUP(M609,[1]character_tribe_i18n!A:C,3,FALSE)</f>
        <v>Unknown</v>
      </c>
      <c r="O609" s="105" t="s">
        <v>278</v>
      </c>
      <c r="P609" s="107" t="str">
        <f>VLOOKUP(O609,[1]character_tribe_i18n!A:C,3,FALSE)</f>
        <v>種族なし</v>
      </c>
      <c r="Q609" s="110" t="s">
        <v>362</v>
      </c>
      <c r="R609" s="111">
        <v>3</v>
      </c>
      <c r="S609" s="108" t="s">
        <v>289</v>
      </c>
      <c r="T609" s="108" t="s">
        <v>288</v>
      </c>
      <c r="U609" s="108" t="s">
        <v>289</v>
      </c>
      <c r="V609" s="108" t="s">
        <v>289</v>
      </c>
      <c r="W609" s="108" t="s">
        <v>289</v>
      </c>
    </row>
    <row r="610" spans="1:23" ht="21" customHeight="1" x14ac:dyDescent="0.15">
      <c r="A610" s="104">
        <f t="shared" si="9"/>
        <v>609</v>
      </c>
      <c r="B610" s="105" t="s">
        <v>292</v>
      </c>
      <c r="C610" s="121" t="s">
        <v>1955</v>
      </c>
      <c r="D610" s="107" t="s">
        <v>617</v>
      </c>
      <c r="E610" s="108" t="s">
        <v>1953</v>
      </c>
      <c r="F610" s="108" t="s">
        <v>272</v>
      </c>
      <c r="G610" s="108" t="s">
        <v>273</v>
      </c>
      <c r="H610" s="131" t="s">
        <v>1956</v>
      </c>
      <c r="I610" s="140">
        <v>4</v>
      </c>
      <c r="J610" s="109" t="s">
        <v>537</v>
      </c>
      <c r="K610" s="105" t="s">
        <v>1957</v>
      </c>
      <c r="L610" s="107" t="str">
        <f ca="1">VLOOKUP($K610,OFFSET([1]character_type_i18n!$A$1,0,0,COUNTA([1]character_type_i18n!$A:$A),MATCH(L$1,[1]character_type_i18n!$1:$1,0)-MATCH($K$1,[1]character_type_i18n!$1:$1,0)+1),MATCH(L$1,[1]character_type_i18n!$1:$1,0)-MATCH($K$1,[1]character_type_i18n!$1:$1,0)+1,FALSE)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10" s="105" t="s">
        <v>1164</v>
      </c>
      <c r="N610" s="107" t="str">
        <f>VLOOKUP(M610,[1]character_tribe_i18n!A:C,3,FALSE)</f>
        <v>Unknown</v>
      </c>
      <c r="O610" s="105" t="s">
        <v>278</v>
      </c>
      <c r="P610" s="107" t="str">
        <f>VLOOKUP(O610,[1]character_tribe_i18n!A:C,3,FALSE)</f>
        <v>種族なし</v>
      </c>
      <c r="Q610" s="110" t="s">
        <v>279</v>
      </c>
      <c r="R610" s="111">
        <v>3</v>
      </c>
      <c r="S610" s="108" t="s">
        <v>280</v>
      </c>
      <c r="T610" s="108" t="s">
        <v>281</v>
      </c>
      <c r="U610" s="108" t="s">
        <v>280</v>
      </c>
      <c r="V610" s="108" t="s">
        <v>280</v>
      </c>
      <c r="W610" s="108" t="s">
        <v>280</v>
      </c>
    </row>
    <row r="611" spans="1:23" ht="21" customHeight="1" x14ac:dyDescent="0.15">
      <c r="A611" s="104">
        <f t="shared" si="9"/>
        <v>610</v>
      </c>
      <c r="B611" s="105" t="s">
        <v>268</v>
      </c>
      <c r="C611" s="121" t="s">
        <v>1958</v>
      </c>
      <c r="D611" s="107" t="s">
        <v>625</v>
      </c>
      <c r="E611" s="108" t="s">
        <v>554</v>
      </c>
      <c r="F611" s="108" t="s">
        <v>272</v>
      </c>
      <c r="G611" s="108" t="s">
        <v>273</v>
      </c>
      <c r="H611" s="131" t="s">
        <v>618</v>
      </c>
      <c r="I611" s="140">
        <v>4</v>
      </c>
      <c r="J611" s="109" t="s">
        <v>537</v>
      </c>
      <c r="K611" s="105" t="s">
        <v>1868</v>
      </c>
      <c r="L611" s="107" t="str">
        <f ca="1">VLOOKUP($K611,OFFSET([1]character_type_i18n!$A$1,0,0,COUNTA([1]character_type_i18n!$A:$A),MATCH(L$1,[1]character_type_i18n!$1:$1,0)-MATCH($K$1,[1]character_type_i18n!$1:$1,0)+1),MATCH(L$1,[1]character_type_i18n!$1:$1,0)-MATCH($K$1,[1]character_type_i18n!$1:$1,0)+1,FALSE)</f>
        <v>スキルレベル素材</v>
      </c>
      <c r="M611" s="105" t="s">
        <v>1152</v>
      </c>
      <c r="N611" s="107" t="str">
        <f>VLOOKUP(M611,[1]character_tribe_i18n!A:C,3,FALSE)</f>
        <v>Unknown</v>
      </c>
      <c r="O611" s="105" t="s">
        <v>278</v>
      </c>
      <c r="P611" s="107" t="str">
        <f>VLOOKUP(O611,[1]character_tribe_i18n!A:C,3,FALSE)</f>
        <v>種族なし</v>
      </c>
      <c r="Q611" s="110" t="s">
        <v>279</v>
      </c>
      <c r="R611" s="111">
        <v>3</v>
      </c>
      <c r="S611" s="108" t="s">
        <v>280</v>
      </c>
      <c r="T611" s="108" t="s">
        <v>281</v>
      </c>
      <c r="U611" s="108" t="s">
        <v>280</v>
      </c>
      <c r="V611" s="108" t="s">
        <v>280</v>
      </c>
      <c r="W611" s="108" t="s">
        <v>280</v>
      </c>
    </row>
    <row r="612" spans="1:23" ht="21" customHeight="1" x14ac:dyDescent="0.15">
      <c r="A612" s="104">
        <f t="shared" si="9"/>
        <v>611</v>
      </c>
      <c r="B612" s="105" t="s">
        <v>268</v>
      </c>
      <c r="C612" s="121" t="s">
        <v>1959</v>
      </c>
      <c r="D612" s="107" t="s">
        <v>605</v>
      </c>
      <c r="E612" s="108" t="s">
        <v>554</v>
      </c>
      <c r="F612" s="108" t="s">
        <v>272</v>
      </c>
      <c r="G612" s="108" t="s">
        <v>273</v>
      </c>
      <c r="H612" s="131" t="s">
        <v>1960</v>
      </c>
      <c r="I612" s="140">
        <v>5</v>
      </c>
      <c r="J612" s="109" t="s">
        <v>537</v>
      </c>
      <c r="K612" s="105" t="s">
        <v>1954</v>
      </c>
      <c r="L612" s="107" t="str">
        <f ca="1">VLOOKUP($K612,OFFSET([1]character_type_i18n!$A$1,0,0,COUNTA([1]character_type_i18n!$A:$A),MATCH(L$1,[1]character_type_i18n!$1:$1,0)-MATCH($K$1,[1]character_type_i18n!$1:$1,0)+1),MATCH(L$1,[1]character_type_i18n!$1:$1,0)-MATCH($K$1,[1]character_type_i18n!$1:$1,0)+1,FALSE)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12" s="105" t="s">
        <v>1413</v>
      </c>
      <c r="N612" s="107" t="str">
        <f>VLOOKUP(M612,[1]character_tribe_i18n!A:C,3,FALSE)</f>
        <v>Unknown</v>
      </c>
      <c r="O612" s="105" t="s">
        <v>278</v>
      </c>
      <c r="P612" s="107" t="str">
        <f>VLOOKUP(O612,[1]character_tribe_i18n!A:C,3,FALSE)</f>
        <v>種族なし</v>
      </c>
      <c r="Q612" s="110" t="s">
        <v>362</v>
      </c>
      <c r="R612" s="111">
        <v>3</v>
      </c>
      <c r="S612" s="108" t="s">
        <v>289</v>
      </c>
      <c r="T612" s="108" t="s">
        <v>288</v>
      </c>
      <c r="U612" s="108" t="s">
        <v>289</v>
      </c>
      <c r="V612" s="108" t="s">
        <v>289</v>
      </c>
      <c r="W612" s="108" t="s">
        <v>289</v>
      </c>
    </row>
    <row r="613" spans="1:23" ht="21" customHeight="1" x14ac:dyDescent="0.15">
      <c r="A613" s="104">
        <f t="shared" si="9"/>
        <v>612</v>
      </c>
      <c r="B613" s="105" t="s">
        <v>292</v>
      </c>
      <c r="C613" s="121" t="s">
        <v>1961</v>
      </c>
      <c r="D613" s="107" t="s">
        <v>613</v>
      </c>
      <c r="E613" s="108" t="s">
        <v>1953</v>
      </c>
      <c r="F613" s="108" t="s">
        <v>272</v>
      </c>
      <c r="G613" s="108" t="s">
        <v>273</v>
      </c>
      <c r="H613" s="131" t="s">
        <v>545</v>
      </c>
      <c r="I613" s="121">
        <v>5</v>
      </c>
      <c r="J613" s="109" t="s">
        <v>537</v>
      </c>
      <c r="K613" s="105" t="s">
        <v>608</v>
      </c>
      <c r="L613" s="107" t="str">
        <f ca="1">VLOOKUP($K613,OFFSET([1]character_type_i18n!$A$1,0,0,COUNTA([1]character_type_i18n!$A:$A),MATCH(L$1,[1]character_type_i18n!$1:$1,0)-MATCH($K$1,[1]character_type_i18n!$1:$1,0)+1),MATCH(L$1,[1]character_type_i18n!$1:$1,0)-MATCH($K$1,[1]character_type_i18n!$1:$1,0)+1,FALSE)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13" s="105" t="s">
        <v>1164</v>
      </c>
      <c r="N613" s="107" t="str">
        <f>VLOOKUP(M613,[1]character_tribe_i18n!A:C,3,FALSE)</f>
        <v>Unknown</v>
      </c>
      <c r="O613" s="105" t="s">
        <v>278</v>
      </c>
      <c r="P613" s="107" t="str">
        <f>VLOOKUP(O613,[1]character_tribe_i18n!A:C,3,FALSE)</f>
        <v>種族なし</v>
      </c>
      <c r="Q613" s="110" t="s">
        <v>279</v>
      </c>
      <c r="R613" s="111">
        <v>3</v>
      </c>
      <c r="S613" s="108" t="s">
        <v>280</v>
      </c>
      <c r="T613" s="108" t="s">
        <v>281</v>
      </c>
      <c r="U613" s="108" t="s">
        <v>280</v>
      </c>
      <c r="V613" s="108" t="s">
        <v>280</v>
      </c>
      <c r="W613" s="108" t="s">
        <v>280</v>
      </c>
    </row>
    <row r="614" spans="1:23" ht="21" customHeight="1" x14ac:dyDescent="0.15">
      <c r="A614" s="104">
        <f t="shared" si="9"/>
        <v>613</v>
      </c>
      <c r="B614" s="105" t="s">
        <v>268</v>
      </c>
      <c r="C614" s="121" t="s">
        <v>1962</v>
      </c>
      <c r="D614" s="107" t="s">
        <v>617</v>
      </c>
      <c r="E614" s="108" t="s">
        <v>554</v>
      </c>
      <c r="F614" s="108" t="s">
        <v>272</v>
      </c>
      <c r="G614" s="108" t="s">
        <v>273</v>
      </c>
      <c r="H614" s="131" t="s">
        <v>768</v>
      </c>
      <c r="I614" s="140">
        <v>5</v>
      </c>
      <c r="J614" s="109" t="s">
        <v>537</v>
      </c>
      <c r="K614" s="105" t="s">
        <v>615</v>
      </c>
      <c r="L614" s="107" t="str">
        <f ca="1">VLOOKUP($K614,OFFSET([1]character_type_i18n!$A$1,0,0,COUNTA([1]character_type_i18n!$A:$A),MATCH(L$1,[1]character_type_i18n!$1:$1,0)-MATCH($K$1,[1]character_type_i18n!$1:$1,0)+1),MATCH(L$1,[1]character_type_i18n!$1:$1,0)-MATCH($K$1,[1]character_type_i18n!$1:$1,0)+1,FALSE)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14" s="105" t="s">
        <v>1413</v>
      </c>
      <c r="N614" s="107" t="str">
        <f>VLOOKUP(M614,[1]character_tribe_i18n!A:C,3,FALSE)</f>
        <v>Unknown</v>
      </c>
      <c r="O614" s="105" t="s">
        <v>278</v>
      </c>
      <c r="P614" s="107" t="str">
        <f>VLOOKUP(O614,[1]character_tribe_i18n!A:C,3,FALSE)</f>
        <v>種族なし</v>
      </c>
      <c r="Q614" s="110" t="s">
        <v>362</v>
      </c>
      <c r="R614" s="111">
        <v>3</v>
      </c>
      <c r="S614" s="108" t="s">
        <v>289</v>
      </c>
      <c r="T614" s="108" t="s">
        <v>288</v>
      </c>
      <c r="U614" s="108" t="s">
        <v>289</v>
      </c>
      <c r="V614" s="108" t="s">
        <v>289</v>
      </c>
      <c r="W614" s="108" t="s">
        <v>289</v>
      </c>
    </row>
    <row r="615" spans="1:23" ht="21" customHeight="1" x14ac:dyDescent="0.15">
      <c r="A615" s="104">
        <f t="shared" si="9"/>
        <v>614</v>
      </c>
      <c r="B615" s="105" t="s">
        <v>292</v>
      </c>
      <c r="C615" s="121" t="s">
        <v>1963</v>
      </c>
      <c r="D615" s="107" t="s">
        <v>625</v>
      </c>
      <c r="E615" s="108" t="s">
        <v>1964</v>
      </c>
      <c r="F615" s="108" t="s">
        <v>272</v>
      </c>
      <c r="G615" s="108" t="s">
        <v>273</v>
      </c>
      <c r="H615" s="131" t="s">
        <v>1170</v>
      </c>
      <c r="I615" s="140">
        <v>5</v>
      </c>
      <c r="J615" s="109" t="s">
        <v>537</v>
      </c>
      <c r="K615" s="105" t="s">
        <v>1965</v>
      </c>
      <c r="L615" s="107" t="str">
        <f ca="1">VLOOKUP($K615,OFFSET([1]character_type_i18n!$A$1,0,0,COUNTA([1]character_type_i18n!$A:$A),MATCH(L$1,[1]character_type_i18n!$1:$1,0)-MATCH($K$1,[1]character_type_i18n!$1:$1,0)+1),MATCH(L$1,[1]character_type_i18n!$1:$1,0)-MATCH($K$1,[1]character_type_i18n!$1:$1,0)+1,FALSE)</f>
        <v>スキルレベル素材</v>
      </c>
      <c r="M615" s="105" t="s">
        <v>1413</v>
      </c>
      <c r="N615" s="107" t="str">
        <f>VLOOKUP(M615,[1]character_tribe_i18n!A:C,3,FALSE)</f>
        <v>Unknown</v>
      </c>
      <c r="O615" s="105" t="s">
        <v>278</v>
      </c>
      <c r="P615" s="107" t="str">
        <f>VLOOKUP(O615,[1]character_tribe_i18n!A:C,3,FALSE)</f>
        <v>種族なし</v>
      </c>
      <c r="Q615" s="110" t="s">
        <v>362</v>
      </c>
      <c r="R615" s="111">
        <v>3</v>
      </c>
      <c r="S615" s="108" t="s">
        <v>289</v>
      </c>
      <c r="T615" s="108" t="s">
        <v>288</v>
      </c>
      <c r="U615" s="108" t="s">
        <v>289</v>
      </c>
      <c r="V615" s="108" t="s">
        <v>289</v>
      </c>
      <c r="W615" s="108" t="s">
        <v>289</v>
      </c>
    </row>
    <row r="616" spans="1:23" ht="21" customHeight="1" x14ac:dyDescent="0.15">
      <c r="A616" s="104">
        <f t="shared" si="9"/>
        <v>615</v>
      </c>
      <c r="B616" s="105" t="s">
        <v>292</v>
      </c>
      <c r="C616" s="121" t="s">
        <v>1966</v>
      </c>
      <c r="D616" s="107" t="s">
        <v>1967</v>
      </c>
      <c r="E616" s="108" t="s">
        <v>848</v>
      </c>
      <c r="F616" s="108" t="s">
        <v>1422</v>
      </c>
      <c r="G616" s="108" t="s">
        <v>1347</v>
      </c>
      <c r="H616" s="131" t="s">
        <v>274</v>
      </c>
      <c r="I616" s="140">
        <v>5</v>
      </c>
      <c r="J616" s="109" t="s">
        <v>1968</v>
      </c>
      <c r="K616" s="105" t="s">
        <v>1441</v>
      </c>
      <c r="L616" s="107" t="str">
        <f ca="1">VLOOKUP($K616,OFFSET([1]character_type_i18n!$A$1,0,0,COUNTA([1]character_type_i18n!$A:$A),MATCH(L$1,[1]character_type_i18n!$1:$1,0)-MATCH($K$1,[1]character_type_i18n!$1:$1,0)+1),MATCH(L$1,[1]character_type_i18n!$1:$1,0)-MATCH($K$1,[1]character_type_i18n!$1:$1,0)+1,FALSE)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16" s="105" t="s">
        <v>854</v>
      </c>
      <c r="N616" s="107" t="str">
        <f>VLOOKUP(M616,[1]character_tribe_i18n!A:C,3,FALSE)</f>
        <v>ドラゴン</v>
      </c>
      <c r="O616" s="105" t="s">
        <v>1599</v>
      </c>
      <c r="P616" s="107" t="str">
        <f>VLOOKUP(O616,[1]character_tribe_i18n!A:C,3,FALSE)</f>
        <v>マシン</v>
      </c>
      <c r="Q616" s="110" t="s">
        <v>279</v>
      </c>
      <c r="R616" s="111">
        <v>3</v>
      </c>
      <c r="S616" s="108" t="s">
        <v>280</v>
      </c>
      <c r="T616" s="108" t="s">
        <v>281</v>
      </c>
      <c r="U616" s="108" t="s">
        <v>280</v>
      </c>
      <c r="V616" s="108" t="s">
        <v>280</v>
      </c>
      <c r="W616" s="108" t="s">
        <v>280</v>
      </c>
    </row>
    <row r="617" spans="1:23" ht="21" customHeight="1" x14ac:dyDescent="0.15">
      <c r="A617" s="104">
        <f t="shared" si="9"/>
        <v>616</v>
      </c>
      <c r="B617" s="105" t="s">
        <v>268</v>
      </c>
      <c r="C617" s="121" t="s">
        <v>1969</v>
      </c>
      <c r="D617" s="107" t="s">
        <v>1970</v>
      </c>
      <c r="E617" s="108" t="s">
        <v>709</v>
      </c>
      <c r="F617" s="108" t="s">
        <v>532</v>
      </c>
      <c r="G617" s="108" t="s">
        <v>1347</v>
      </c>
      <c r="H617" s="131" t="s">
        <v>285</v>
      </c>
      <c r="I617" s="140">
        <v>5</v>
      </c>
      <c r="J617" s="109" t="s">
        <v>1968</v>
      </c>
      <c r="K617" s="105" t="s">
        <v>1441</v>
      </c>
      <c r="L617" s="107" t="str">
        <f ca="1">VLOOKUP($K617,OFFSET([1]character_type_i18n!$A$1,0,0,COUNTA([1]character_type_i18n!$A:$A),MATCH(L$1,[1]character_type_i18n!$1:$1,0)-MATCH($K$1,[1]character_type_i18n!$1:$1,0)+1),MATCH(L$1,[1]character_type_i18n!$1:$1,0)-MATCH($K$1,[1]character_type_i18n!$1:$1,0)+1,FALSE)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17" s="105" t="s">
        <v>1191</v>
      </c>
      <c r="N617" s="107" t="str">
        <f>VLOOKUP(M617,[1]character_tribe_i18n!A:C,3,FALSE)</f>
        <v>ドラゴン</v>
      </c>
      <c r="O617" s="105" t="s">
        <v>1017</v>
      </c>
      <c r="P617" s="107" t="str">
        <f>VLOOKUP(O617,[1]character_tribe_i18n!A:C,3,FALSE)</f>
        <v>マシン</v>
      </c>
      <c r="Q617" s="110" t="s">
        <v>362</v>
      </c>
      <c r="R617" s="111">
        <v>3</v>
      </c>
      <c r="S617" s="108" t="s">
        <v>289</v>
      </c>
      <c r="T617" s="108" t="s">
        <v>288</v>
      </c>
      <c r="U617" s="108" t="s">
        <v>289</v>
      </c>
      <c r="V617" s="108" t="s">
        <v>289</v>
      </c>
      <c r="W617" s="108" t="s">
        <v>289</v>
      </c>
    </row>
    <row r="618" spans="1:23" ht="21" customHeight="1" x14ac:dyDescent="0.15">
      <c r="A618" s="104">
        <f t="shared" si="9"/>
        <v>617</v>
      </c>
      <c r="B618" s="105" t="s">
        <v>292</v>
      </c>
      <c r="C618" s="121" t="s">
        <v>1971</v>
      </c>
      <c r="D618" s="107" t="s">
        <v>1972</v>
      </c>
      <c r="E618" s="108" t="s">
        <v>848</v>
      </c>
      <c r="F618" s="108" t="s">
        <v>1422</v>
      </c>
      <c r="G618" s="108" t="s">
        <v>1347</v>
      </c>
      <c r="H618" s="131" t="s">
        <v>618</v>
      </c>
      <c r="I618" s="140">
        <v>5</v>
      </c>
      <c r="J618" s="109" t="s">
        <v>1475</v>
      </c>
      <c r="K618" s="105" t="s">
        <v>1780</v>
      </c>
      <c r="L618" s="107" t="str">
        <f ca="1">VLOOKUP($K618,OFFSET([1]character_type_i18n!$A$1,0,0,COUNTA([1]character_type_i18n!$A:$A),MATCH(L$1,[1]character_type_i18n!$1:$1,0)-MATCH($K$1,[1]character_type_i18n!$1:$1,0)+1),MATCH(L$1,[1]character_type_i18n!$1:$1,0)-MATCH($K$1,[1]character_type_i18n!$1:$1,0)+1,FALSE)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18" s="105" t="s">
        <v>854</v>
      </c>
      <c r="N618" s="107" t="str">
        <f>VLOOKUP(M618,[1]character_tribe_i18n!A:C,3,FALSE)</f>
        <v>ドラゴン</v>
      </c>
      <c r="O618" s="105" t="s">
        <v>1599</v>
      </c>
      <c r="P618" s="107" t="str">
        <f>VLOOKUP(O618,[1]character_tribe_i18n!A:C,3,FALSE)</f>
        <v>マシン</v>
      </c>
      <c r="Q618" s="110" t="s">
        <v>279</v>
      </c>
      <c r="R618" s="111">
        <v>3</v>
      </c>
      <c r="S618" s="108" t="s">
        <v>280</v>
      </c>
      <c r="T618" s="108" t="s">
        <v>281</v>
      </c>
      <c r="U618" s="108" t="s">
        <v>280</v>
      </c>
      <c r="V618" s="108" t="s">
        <v>280</v>
      </c>
      <c r="W618" s="108" t="s">
        <v>280</v>
      </c>
    </row>
    <row r="619" spans="1:23" ht="21" customHeight="1" x14ac:dyDescent="0.15">
      <c r="A619" s="104">
        <f t="shared" si="9"/>
        <v>618</v>
      </c>
      <c r="B619" s="105" t="s">
        <v>268</v>
      </c>
      <c r="C619" s="121" t="s">
        <v>1973</v>
      </c>
      <c r="D619" s="107" t="s">
        <v>1972</v>
      </c>
      <c r="E619" s="108" t="s">
        <v>709</v>
      </c>
      <c r="F619" s="108" t="s">
        <v>532</v>
      </c>
      <c r="G619" s="108" t="s">
        <v>1347</v>
      </c>
      <c r="H619" s="131" t="s">
        <v>300</v>
      </c>
      <c r="I619" s="140">
        <v>5</v>
      </c>
      <c r="J619" s="109" t="s">
        <v>1475</v>
      </c>
      <c r="K619" s="105" t="s">
        <v>1166</v>
      </c>
      <c r="L619" s="107" t="str">
        <f ca="1">VLOOKUP($K619,OFFSET([1]character_type_i18n!$A$1,0,0,COUNTA([1]character_type_i18n!$A:$A),MATCH(L$1,[1]character_type_i18n!$1:$1,0)-MATCH($K$1,[1]character_type_i18n!$1:$1,0)+1),MATCH(L$1,[1]character_type_i18n!$1:$1,0)-MATCH($K$1,[1]character_type_i18n!$1:$1,0)+1,FALSE)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19" s="105" t="s">
        <v>1913</v>
      </c>
      <c r="N619" s="107" t="str">
        <f>VLOOKUP(M619,[1]character_tribe_i18n!A:C,3,FALSE)</f>
        <v>ドラゴン</v>
      </c>
      <c r="O619" s="105" t="s">
        <v>1599</v>
      </c>
      <c r="P619" s="107" t="str">
        <f>VLOOKUP(O619,[1]character_tribe_i18n!A:C,3,FALSE)</f>
        <v>マシン</v>
      </c>
      <c r="Q619" s="110" t="s">
        <v>279</v>
      </c>
      <c r="R619" s="111">
        <v>3</v>
      </c>
      <c r="S619" s="108" t="s">
        <v>280</v>
      </c>
      <c r="T619" s="108" t="s">
        <v>281</v>
      </c>
      <c r="U619" s="108" t="s">
        <v>280</v>
      </c>
      <c r="V619" s="108" t="s">
        <v>280</v>
      </c>
      <c r="W619" s="108" t="s">
        <v>280</v>
      </c>
    </row>
    <row r="620" spans="1:23" ht="21" customHeight="1" x14ac:dyDescent="0.15">
      <c r="A620" s="104">
        <f t="shared" si="9"/>
        <v>619</v>
      </c>
      <c r="B620" s="105" t="s">
        <v>268</v>
      </c>
      <c r="C620" s="121" t="s">
        <v>1974</v>
      </c>
      <c r="D620" s="107" t="s">
        <v>1975</v>
      </c>
      <c r="E620" s="108" t="s">
        <v>709</v>
      </c>
      <c r="F620" s="108" t="s">
        <v>532</v>
      </c>
      <c r="G620" s="108" t="s">
        <v>853</v>
      </c>
      <c r="H620" s="131" t="s">
        <v>1761</v>
      </c>
      <c r="I620" s="140">
        <v>4</v>
      </c>
      <c r="J620" s="109" t="s">
        <v>1976</v>
      </c>
      <c r="K620" s="105" t="s">
        <v>1388</v>
      </c>
      <c r="L620" s="107" t="str">
        <f ca="1">VLOOKUP($K620,OFFSET([1]character_type_i18n!$A$1,0,0,COUNTA([1]character_type_i18n!$A:$A),MATCH(L$1,[1]character_type_i18n!$1:$1,0)-MATCH($K$1,[1]character_type_i18n!$1:$1,0)+1),MATCH(L$1,[1]character_type_i18n!$1:$1,0)-MATCH($K$1,[1]character_type_i18n!$1:$1,0)+1,FALSE)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20" s="105" t="s">
        <v>1394</v>
      </c>
      <c r="N620" s="107" t="str">
        <f>VLOOKUP(M620,[1]character_tribe_i18n!A:C,3,FALSE)</f>
        <v>ヒューマン</v>
      </c>
      <c r="O620" s="105" t="s">
        <v>1017</v>
      </c>
      <c r="P620" s="107" t="str">
        <f>VLOOKUP(O620,[1]character_tribe_i18n!A:C,3,FALSE)</f>
        <v>マシン</v>
      </c>
      <c r="Q620" s="110" t="s">
        <v>362</v>
      </c>
      <c r="R620" s="111">
        <v>3</v>
      </c>
      <c r="S620" s="108" t="s">
        <v>289</v>
      </c>
      <c r="T620" s="108" t="s">
        <v>288</v>
      </c>
      <c r="U620" s="108" t="s">
        <v>289</v>
      </c>
      <c r="V620" s="108" t="s">
        <v>289</v>
      </c>
      <c r="W620" s="108" t="s">
        <v>289</v>
      </c>
    </row>
    <row r="621" spans="1:23" ht="21" customHeight="1" x14ac:dyDescent="0.15">
      <c r="A621" s="104">
        <f t="shared" si="9"/>
        <v>620</v>
      </c>
      <c r="B621" s="105" t="s">
        <v>268</v>
      </c>
      <c r="C621" s="121" t="s">
        <v>1977</v>
      </c>
      <c r="D621" s="107" t="s">
        <v>1975</v>
      </c>
      <c r="E621" s="108" t="s">
        <v>1749</v>
      </c>
      <c r="F621" s="108" t="s">
        <v>1978</v>
      </c>
      <c r="G621" s="108" t="s">
        <v>853</v>
      </c>
      <c r="H621" s="131" t="s">
        <v>1979</v>
      </c>
      <c r="I621" s="140">
        <v>5</v>
      </c>
      <c r="J621" s="109" t="s">
        <v>1980</v>
      </c>
      <c r="K621" s="105" t="s">
        <v>1981</v>
      </c>
      <c r="L621" s="107" t="str">
        <f ca="1">VLOOKUP($K621,OFFSET([1]character_type_i18n!$A$1,0,0,COUNTA([1]character_type_i18n!$A:$A),MATCH(L$1,[1]character_type_i18n!$1:$1,0)-MATCH($K$1,[1]character_type_i18n!$1:$1,0)+1),MATCH(L$1,[1]character_type_i18n!$1:$1,0)-MATCH($K$1,[1]character_type_i18n!$1:$1,0)+1,FALSE)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21" s="105" t="s">
        <v>1011</v>
      </c>
      <c r="N621" s="107" t="str">
        <f>VLOOKUP(M621,[1]character_tribe_i18n!A:C,3,FALSE)</f>
        <v>ヒューマン</v>
      </c>
      <c r="O621" s="105" t="s">
        <v>1982</v>
      </c>
      <c r="P621" s="107" t="str">
        <f>VLOOKUP(O621,[1]character_tribe_i18n!A:C,3,FALSE)</f>
        <v>マシン</v>
      </c>
      <c r="Q621" s="110" t="s">
        <v>279</v>
      </c>
      <c r="R621" s="111">
        <v>3</v>
      </c>
      <c r="S621" s="108" t="s">
        <v>280</v>
      </c>
      <c r="T621" s="108" t="s">
        <v>1531</v>
      </c>
      <c r="U621" s="108" t="s">
        <v>1530</v>
      </c>
      <c r="V621" s="108" t="s">
        <v>280</v>
      </c>
      <c r="W621" s="108" t="s">
        <v>280</v>
      </c>
    </row>
    <row r="622" spans="1:23" ht="21" customHeight="1" x14ac:dyDescent="0.15">
      <c r="A622" s="104">
        <f t="shared" si="9"/>
        <v>621</v>
      </c>
      <c r="B622" s="105" t="s">
        <v>268</v>
      </c>
      <c r="C622" s="121" t="s">
        <v>1983</v>
      </c>
      <c r="D622" s="107" t="s">
        <v>1975</v>
      </c>
      <c r="E622" s="108" t="s">
        <v>709</v>
      </c>
      <c r="F622" s="108" t="s">
        <v>532</v>
      </c>
      <c r="G622" s="108" t="s">
        <v>853</v>
      </c>
      <c r="H622" s="131" t="s">
        <v>768</v>
      </c>
      <c r="I622" s="140">
        <v>6</v>
      </c>
      <c r="J622" s="109" t="s">
        <v>1180</v>
      </c>
      <c r="K622" s="105" t="s">
        <v>1008</v>
      </c>
      <c r="L622" s="107" t="str">
        <f ca="1">VLOOKUP($K622,OFFSET([1]character_type_i18n!$A$1,0,0,COUNTA([1]character_type_i18n!$A:$A),MATCH(L$1,[1]character_type_i18n!$1:$1,0)-MATCH($K$1,[1]character_type_i18n!$1:$1,0)+1),MATCH(L$1,[1]character_type_i18n!$1:$1,0)-MATCH($K$1,[1]character_type_i18n!$1:$1,0)+1,FALSE)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22" s="105" t="s">
        <v>1011</v>
      </c>
      <c r="N622" s="107" t="str">
        <f>VLOOKUP(M622,[1]character_tribe_i18n!A:C,3,FALSE)</f>
        <v>ヒューマン</v>
      </c>
      <c r="O622" s="105" t="s">
        <v>1017</v>
      </c>
      <c r="P622" s="107" t="str">
        <f>VLOOKUP(O622,[1]character_tribe_i18n!A:C,3,FALSE)</f>
        <v>マシン</v>
      </c>
      <c r="Q622" s="110" t="s">
        <v>279</v>
      </c>
      <c r="R622" s="111">
        <v>3</v>
      </c>
      <c r="S622" s="108" t="s">
        <v>280</v>
      </c>
      <c r="T622" s="108" t="s">
        <v>281</v>
      </c>
      <c r="U622" s="108" t="s">
        <v>280</v>
      </c>
      <c r="V622" s="108" t="s">
        <v>280</v>
      </c>
      <c r="W622" s="108" t="s">
        <v>280</v>
      </c>
    </row>
    <row r="623" spans="1:23" ht="21" customHeight="1" x14ac:dyDescent="0.15">
      <c r="A623" s="104">
        <f t="shared" si="9"/>
        <v>622</v>
      </c>
      <c r="B623" s="105" t="s">
        <v>268</v>
      </c>
      <c r="C623" s="134" t="s">
        <v>1467</v>
      </c>
      <c r="D623" s="107" t="s">
        <v>1984</v>
      </c>
      <c r="E623" s="108" t="s">
        <v>1788</v>
      </c>
      <c r="F623" s="108" t="s">
        <v>1985</v>
      </c>
      <c r="G623" s="108" t="s">
        <v>853</v>
      </c>
      <c r="H623" s="131" t="s">
        <v>768</v>
      </c>
      <c r="I623" s="140">
        <v>4</v>
      </c>
      <c r="J623" s="109" t="s">
        <v>1180</v>
      </c>
      <c r="K623" s="105" t="s">
        <v>1005</v>
      </c>
      <c r="L623" s="107" t="str">
        <f ca="1">VLOOKUP($K623,OFFSET([1]character_type_i18n!$A$1,0,0,COUNTA([1]character_type_i18n!$A:$A),MATCH(L$1,[1]character_type_i18n!$1:$1,0)-MATCH($K$1,[1]character_type_i18n!$1:$1,0)+1),MATCH(L$1,[1]character_type_i18n!$1:$1,0)-MATCH($K$1,[1]character_type_i18n!$1:$1,0)+1,FALSE)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23" s="105" t="s">
        <v>1011</v>
      </c>
      <c r="N623" s="107" t="str">
        <f>VLOOKUP(M623,[1]character_tribe_i18n!A:C,3,FALSE)</f>
        <v>ヒューマン</v>
      </c>
      <c r="O623" s="105" t="s">
        <v>278</v>
      </c>
      <c r="P623" s="107" t="str">
        <f>VLOOKUP(O623,[1]character_tribe_i18n!A:C,3,FALSE)</f>
        <v>種族なし</v>
      </c>
      <c r="Q623" s="110" t="s">
        <v>279</v>
      </c>
      <c r="R623" s="111">
        <v>1</v>
      </c>
      <c r="S623" s="108" t="s">
        <v>280</v>
      </c>
      <c r="T623" s="108" t="s">
        <v>281</v>
      </c>
      <c r="U623" s="108" t="s">
        <v>280</v>
      </c>
      <c r="V623" s="108" t="s">
        <v>280</v>
      </c>
      <c r="W623" s="108" t="s">
        <v>280</v>
      </c>
    </row>
    <row r="624" spans="1:23" ht="21" customHeight="1" x14ac:dyDescent="0.15">
      <c r="A624" s="104">
        <f t="shared" si="9"/>
        <v>623</v>
      </c>
      <c r="B624" s="105" t="s">
        <v>268</v>
      </c>
      <c r="C624" s="121" t="s">
        <v>1986</v>
      </c>
      <c r="D624" s="107" t="s">
        <v>1984</v>
      </c>
      <c r="E624" s="108" t="s">
        <v>709</v>
      </c>
      <c r="F624" s="108" t="s">
        <v>532</v>
      </c>
      <c r="G624" s="108" t="s">
        <v>853</v>
      </c>
      <c r="H624" s="140" t="s">
        <v>1795</v>
      </c>
      <c r="I624" s="140">
        <v>5</v>
      </c>
      <c r="J624" s="109" t="s">
        <v>1592</v>
      </c>
      <c r="K624" s="105" t="s">
        <v>1392</v>
      </c>
      <c r="L624" s="107" t="str">
        <f ca="1">VLOOKUP($K624,OFFSET([1]character_type_i18n!$A$1,0,0,COUNTA([1]character_type_i18n!$A:$A),MATCH(L$1,[1]character_type_i18n!$1:$1,0)-MATCH($K$1,[1]character_type_i18n!$1:$1,0)+1),MATCH(L$1,[1]character_type_i18n!$1:$1,0)-MATCH($K$1,[1]character_type_i18n!$1:$1,0)+1,FALSE)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24" s="105" t="s">
        <v>1987</v>
      </c>
      <c r="N624" s="107" t="str">
        <f>VLOOKUP(M624,[1]character_tribe_i18n!A:C,3,FALSE)</f>
        <v>アカデミア</v>
      </c>
      <c r="O624" s="105" t="s">
        <v>1905</v>
      </c>
      <c r="P624" s="107" t="str">
        <f>VLOOKUP(O624,[1]character_tribe_i18n!A:C,3,FALSE)</f>
        <v>マシン</v>
      </c>
      <c r="Q624" s="110" t="s">
        <v>279</v>
      </c>
      <c r="R624" s="111">
        <v>3</v>
      </c>
      <c r="S624" s="108" t="s">
        <v>280</v>
      </c>
      <c r="T624" s="108" t="s">
        <v>281</v>
      </c>
      <c r="U624" s="108" t="s">
        <v>280</v>
      </c>
      <c r="V624" s="108" t="s">
        <v>280</v>
      </c>
      <c r="W624" s="108" t="s">
        <v>280</v>
      </c>
    </row>
    <row r="625" spans="1:23" ht="21" customHeight="1" x14ac:dyDescent="0.15">
      <c r="A625" s="104">
        <f t="shared" si="9"/>
        <v>624</v>
      </c>
      <c r="B625" s="105" t="s">
        <v>268</v>
      </c>
      <c r="C625" s="121" t="s">
        <v>1988</v>
      </c>
      <c r="D625" s="107" t="s">
        <v>1984</v>
      </c>
      <c r="E625" s="108" t="s">
        <v>709</v>
      </c>
      <c r="F625" s="108" t="s">
        <v>532</v>
      </c>
      <c r="G625" s="108" t="s">
        <v>853</v>
      </c>
      <c r="H625" s="140" t="s">
        <v>551</v>
      </c>
      <c r="I625" s="140">
        <v>6</v>
      </c>
      <c r="J625" s="109" t="s">
        <v>1180</v>
      </c>
      <c r="K625" s="105" t="s">
        <v>1005</v>
      </c>
      <c r="L625" s="107" t="str">
        <f ca="1">VLOOKUP($K625,OFFSET([1]character_type_i18n!$A$1,0,0,COUNTA([1]character_type_i18n!$A:$A),MATCH(L$1,[1]character_type_i18n!$1:$1,0)-MATCH($K$1,[1]character_type_i18n!$1:$1,0)+1),MATCH(L$1,[1]character_type_i18n!$1:$1,0)-MATCH($K$1,[1]character_type_i18n!$1:$1,0)+1,FALSE)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25" s="105" t="s">
        <v>1989</v>
      </c>
      <c r="N625" s="107" t="str">
        <f>VLOOKUP(M625,[1]character_tribe_i18n!A:C,3,FALSE)</f>
        <v>アカデミア</v>
      </c>
      <c r="O625" s="105" t="s">
        <v>1786</v>
      </c>
      <c r="P625" s="107" t="str">
        <f>VLOOKUP(O625,[1]character_tribe_i18n!A:C,3,FALSE)</f>
        <v>マシン</v>
      </c>
      <c r="Q625" s="110" t="s">
        <v>279</v>
      </c>
      <c r="R625" s="111">
        <v>3</v>
      </c>
      <c r="S625" s="108" t="s">
        <v>280</v>
      </c>
      <c r="T625" s="108" t="s">
        <v>893</v>
      </c>
      <c r="U625" s="108" t="s">
        <v>898</v>
      </c>
      <c r="V625" s="108" t="s">
        <v>280</v>
      </c>
      <c r="W625" s="108" t="s">
        <v>280</v>
      </c>
    </row>
    <row r="626" spans="1:23" ht="21" customHeight="1" x14ac:dyDescent="0.15">
      <c r="A626" s="104">
        <f t="shared" si="9"/>
        <v>625</v>
      </c>
      <c r="B626" s="105" t="s">
        <v>268</v>
      </c>
      <c r="C626" s="134" t="s">
        <v>1990</v>
      </c>
      <c r="D626" s="107" t="s">
        <v>992</v>
      </c>
      <c r="E626" s="108" t="s">
        <v>709</v>
      </c>
      <c r="F626" s="108" t="s">
        <v>532</v>
      </c>
      <c r="G626" s="108" t="s">
        <v>853</v>
      </c>
      <c r="H626" s="140" t="s">
        <v>1991</v>
      </c>
      <c r="I626" s="140">
        <v>4</v>
      </c>
      <c r="J626" s="109" t="s">
        <v>1992</v>
      </c>
      <c r="K626" s="105" t="s">
        <v>1392</v>
      </c>
      <c r="L626" s="107" t="str">
        <f ca="1">VLOOKUP($K626,OFFSET([1]character_type_i18n!$A$1,0,0,COUNTA([1]character_type_i18n!$A:$A),MATCH(L$1,[1]character_type_i18n!$1:$1,0)-MATCH($K$1,[1]character_type_i18n!$1:$1,0)+1),MATCH(L$1,[1]character_type_i18n!$1:$1,0)-MATCH($K$1,[1]character_type_i18n!$1:$1,0)+1,FALSE)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26" s="105" t="s">
        <v>1011</v>
      </c>
      <c r="N626" s="107" t="str">
        <f>VLOOKUP(M626,[1]character_tribe_i18n!A:C,3,FALSE)</f>
        <v>ヒューマン</v>
      </c>
      <c r="O626" s="105" t="s">
        <v>278</v>
      </c>
      <c r="P626" s="107" t="str">
        <f>VLOOKUP(O626,[1]character_tribe_i18n!A:C,3,FALSE)</f>
        <v>種族なし</v>
      </c>
      <c r="Q626" s="110" t="s">
        <v>279</v>
      </c>
      <c r="R626" s="111">
        <v>1</v>
      </c>
      <c r="S626" s="108" t="s">
        <v>280</v>
      </c>
      <c r="T626" s="108" t="s">
        <v>1549</v>
      </c>
      <c r="U626" s="108" t="s">
        <v>1993</v>
      </c>
      <c r="V626" s="108" t="s">
        <v>280</v>
      </c>
      <c r="W626" s="108" t="s">
        <v>280</v>
      </c>
    </row>
    <row r="627" spans="1:23" ht="21" customHeight="1" x14ac:dyDescent="0.15">
      <c r="A627" s="104">
        <f t="shared" si="9"/>
        <v>626</v>
      </c>
      <c r="B627" s="105" t="s">
        <v>268</v>
      </c>
      <c r="C627" s="134" t="s">
        <v>1990</v>
      </c>
      <c r="D627" s="107" t="s">
        <v>1994</v>
      </c>
      <c r="E627" s="108" t="s">
        <v>1995</v>
      </c>
      <c r="F627" s="108" t="s">
        <v>532</v>
      </c>
      <c r="G627" s="108" t="s">
        <v>853</v>
      </c>
      <c r="H627" s="140" t="s">
        <v>1991</v>
      </c>
      <c r="I627" s="140">
        <v>5</v>
      </c>
      <c r="J627" s="109" t="s">
        <v>1996</v>
      </c>
      <c r="K627" s="105" t="s">
        <v>1997</v>
      </c>
      <c r="L627" s="107" t="str">
        <f ca="1">VLOOKUP($K627,OFFSET([1]character_type_i18n!$A$1,0,0,COUNTA([1]character_type_i18n!$A:$A),MATCH(L$1,[1]character_type_i18n!$1:$1,0)-MATCH($K$1,[1]character_type_i18n!$1:$1,0)+1),MATCH(L$1,[1]character_type_i18n!$1:$1,0)-MATCH($K$1,[1]character_type_i18n!$1:$1,0)+1,FALSE)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27" s="105" t="s">
        <v>1339</v>
      </c>
      <c r="N627" s="107" t="str">
        <f>VLOOKUP(M627,[1]character_tribe_i18n!A:C,3,FALSE)</f>
        <v>ヒューマン</v>
      </c>
      <c r="O627" s="105" t="s">
        <v>278</v>
      </c>
      <c r="P627" s="107" t="str">
        <f>VLOOKUP(O627,[1]character_tribe_i18n!A:C,3,FALSE)</f>
        <v>種族なし</v>
      </c>
      <c r="Q627" s="110" t="s">
        <v>279</v>
      </c>
      <c r="R627" s="111">
        <v>1</v>
      </c>
      <c r="S627" s="108" t="s">
        <v>280</v>
      </c>
      <c r="T627" s="108" t="s">
        <v>281</v>
      </c>
      <c r="U627" s="108" t="s">
        <v>280</v>
      </c>
      <c r="V627" s="108" t="s">
        <v>280</v>
      </c>
      <c r="W627" s="108" t="s">
        <v>280</v>
      </c>
    </row>
    <row r="628" spans="1:23" ht="21" customHeight="1" x14ac:dyDescent="0.15">
      <c r="A628" s="104">
        <f t="shared" si="9"/>
        <v>627</v>
      </c>
      <c r="B628" s="105" t="s">
        <v>268</v>
      </c>
      <c r="C628" s="121" t="s">
        <v>1998</v>
      </c>
      <c r="D628" s="107" t="s">
        <v>992</v>
      </c>
      <c r="E628" s="108" t="s">
        <v>709</v>
      </c>
      <c r="F628" s="108" t="s">
        <v>532</v>
      </c>
      <c r="G628" s="108" t="s">
        <v>710</v>
      </c>
      <c r="H628" s="140" t="s">
        <v>1999</v>
      </c>
      <c r="I628" s="140">
        <v>5</v>
      </c>
      <c r="J628" s="109" t="s">
        <v>2000</v>
      </c>
      <c r="K628" s="105" t="s">
        <v>1008</v>
      </c>
      <c r="L628" s="107" t="str">
        <f ca="1">VLOOKUP($K628,OFFSET([1]character_type_i18n!$A$1,0,0,COUNTA([1]character_type_i18n!$A:$A),MATCH(L$1,[1]character_type_i18n!$1:$1,0)-MATCH($K$1,[1]character_type_i18n!$1:$1,0)+1),MATCH(L$1,[1]character_type_i18n!$1:$1,0)-MATCH($K$1,[1]character_type_i18n!$1:$1,0)+1,FALSE)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28" s="105" t="s">
        <v>313</v>
      </c>
      <c r="N628" s="107" t="str">
        <f>VLOOKUP(M628,[1]character_tribe_i18n!A:C,3,FALSE)</f>
        <v>アニマル</v>
      </c>
      <c r="O628" s="105" t="s">
        <v>2001</v>
      </c>
      <c r="P628" s="107" t="str">
        <f>VLOOKUP(O628,[1]character_tribe_i18n!A:C,3,FALSE)</f>
        <v>Unknown</v>
      </c>
      <c r="Q628" s="110" t="s">
        <v>279</v>
      </c>
      <c r="R628" s="111">
        <v>1</v>
      </c>
      <c r="S628" s="108" t="s">
        <v>280</v>
      </c>
      <c r="T628" s="108" t="s">
        <v>893</v>
      </c>
      <c r="U628" s="108" t="s">
        <v>898</v>
      </c>
      <c r="V628" s="108" t="s">
        <v>280</v>
      </c>
      <c r="W628" s="108" t="s">
        <v>280</v>
      </c>
    </row>
    <row r="629" spans="1:23" ht="21" customHeight="1" x14ac:dyDescent="0.15">
      <c r="A629" s="104">
        <f t="shared" si="9"/>
        <v>628</v>
      </c>
      <c r="B629" s="105" t="s">
        <v>268</v>
      </c>
      <c r="C629" s="121" t="s">
        <v>2002</v>
      </c>
      <c r="D629" s="107" t="s">
        <v>2003</v>
      </c>
      <c r="E629" s="108" t="s">
        <v>1576</v>
      </c>
      <c r="F629" s="108" t="s">
        <v>532</v>
      </c>
      <c r="G629" s="108" t="s">
        <v>710</v>
      </c>
      <c r="H629" s="140" t="s">
        <v>1999</v>
      </c>
      <c r="I629" s="140">
        <v>6</v>
      </c>
      <c r="J629" s="109" t="s">
        <v>2004</v>
      </c>
      <c r="K629" s="105" t="s">
        <v>1777</v>
      </c>
      <c r="L629" s="107" t="str">
        <f ca="1">VLOOKUP($K629,OFFSET([1]character_type_i18n!$A$1,0,0,COUNTA([1]character_type_i18n!$A:$A),MATCH(L$1,[1]character_type_i18n!$1:$1,0)-MATCH($K$1,[1]character_type_i18n!$1:$1,0)+1),MATCH(L$1,[1]character_type_i18n!$1:$1,0)-MATCH($K$1,[1]character_type_i18n!$1:$1,0)+1,FALSE)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29" s="105" t="s">
        <v>313</v>
      </c>
      <c r="N629" s="107" t="str">
        <f>VLOOKUP(M629,[1]character_tribe_i18n!A:C,3,FALSE)</f>
        <v>アニマル</v>
      </c>
      <c r="O629" s="105" t="s">
        <v>1164</v>
      </c>
      <c r="P629" s="107" t="str">
        <f>VLOOKUP(O629,[1]character_tribe_i18n!A:C,3,FALSE)</f>
        <v>Unknown</v>
      </c>
      <c r="Q629" s="110" t="s">
        <v>279</v>
      </c>
      <c r="R629" s="111">
        <v>1</v>
      </c>
      <c r="S629" s="108" t="s">
        <v>280</v>
      </c>
      <c r="T629" s="108" t="s">
        <v>281</v>
      </c>
      <c r="U629" s="108" t="s">
        <v>280</v>
      </c>
      <c r="V629" s="108" t="s">
        <v>280</v>
      </c>
      <c r="W629" s="108" t="s">
        <v>280</v>
      </c>
    </row>
    <row r="630" spans="1:23" ht="21" customHeight="1" x14ac:dyDescent="0.15">
      <c r="A630" s="104">
        <f t="shared" si="9"/>
        <v>629</v>
      </c>
      <c r="B630" s="105" t="s">
        <v>268</v>
      </c>
      <c r="C630" s="121" t="s">
        <v>2005</v>
      </c>
      <c r="D630" s="107" t="s">
        <v>992</v>
      </c>
      <c r="E630" s="108" t="s">
        <v>709</v>
      </c>
      <c r="F630" s="108" t="s">
        <v>532</v>
      </c>
      <c r="G630" s="108" t="s">
        <v>853</v>
      </c>
      <c r="H630" s="140" t="s">
        <v>1761</v>
      </c>
      <c r="I630" s="140">
        <v>5</v>
      </c>
      <c r="J630" s="109" t="s">
        <v>1592</v>
      </c>
      <c r="K630" s="105" t="s">
        <v>1392</v>
      </c>
      <c r="L630" s="107" t="str">
        <f ca="1">VLOOKUP($K630,OFFSET([1]character_type_i18n!$A$1,0,0,COUNTA([1]character_type_i18n!$A:$A),MATCH(L$1,[1]character_type_i18n!$1:$1,0)-MATCH($K$1,[1]character_type_i18n!$1:$1,0)+1),MATCH(L$1,[1]character_type_i18n!$1:$1,0)-MATCH($K$1,[1]character_type_i18n!$1:$1,0)+1,FALSE)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0" s="105" t="s">
        <v>1011</v>
      </c>
      <c r="N630" s="107" t="str">
        <f>VLOOKUP(M630,[1]character_tribe_i18n!A:C,3,FALSE)</f>
        <v>ヒューマン</v>
      </c>
      <c r="O630" s="105" t="s">
        <v>278</v>
      </c>
      <c r="P630" s="107" t="str">
        <f>VLOOKUP(O630,[1]character_tribe_i18n!A:C,3,FALSE)</f>
        <v>種族なし</v>
      </c>
      <c r="Q630" s="110" t="s">
        <v>279</v>
      </c>
      <c r="R630" s="111">
        <v>1</v>
      </c>
      <c r="S630" s="108" t="s">
        <v>280</v>
      </c>
      <c r="T630" s="108" t="s">
        <v>281</v>
      </c>
      <c r="U630" s="108" t="s">
        <v>280</v>
      </c>
      <c r="V630" s="108" t="s">
        <v>280</v>
      </c>
      <c r="W630" s="108" t="s">
        <v>280</v>
      </c>
    </row>
    <row r="631" spans="1:23" ht="21" customHeight="1" x14ac:dyDescent="0.15">
      <c r="A631" s="104">
        <f t="shared" si="9"/>
        <v>630</v>
      </c>
      <c r="B631" s="105" t="s">
        <v>268</v>
      </c>
      <c r="C631" s="121" t="s">
        <v>2006</v>
      </c>
      <c r="D631" s="107" t="s">
        <v>992</v>
      </c>
      <c r="E631" s="108" t="s">
        <v>709</v>
      </c>
      <c r="F631" s="108" t="s">
        <v>532</v>
      </c>
      <c r="G631" s="108" t="s">
        <v>853</v>
      </c>
      <c r="H631" s="140" t="s">
        <v>1761</v>
      </c>
      <c r="I631" s="140">
        <v>6</v>
      </c>
      <c r="J631" s="109" t="s">
        <v>1592</v>
      </c>
      <c r="K631" s="105" t="s">
        <v>1392</v>
      </c>
      <c r="L631" s="107" t="str">
        <f ca="1">VLOOKUP($K631,OFFSET([1]character_type_i18n!$A$1,0,0,COUNTA([1]character_type_i18n!$A:$A),MATCH(L$1,[1]character_type_i18n!$1:$1,0)-MATCH($K$1,[1]character_type_i18n!$1:$1,0)+1),MATCH(L$1,[1]character_type_i18n!$1:$1,0)-MATCH($K$1,[1]character_type_i18n!$1:$1,0)+1,FALSE)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1" s="105" t="s">
        <v>1011</v>
      </c>
      <c r="N631" s="107" t="str">
        <f>VLOOKUP(M631,[1]character_tribe_i18n!A:C,3,FALSE)</f>
        <v>ヒューマン</v>
      </c>
      <c r="O631" s="105" t="s">
        <v>278</v>
      </c>
      <c r="P631" s="107" t="str">
        <f>VLOOKUP(O631,[1]character_tribe_i18n!A:C,3,FALSE)</f>
        <v>種族なし</v>
      </c>
      <c r="Q631" s="110" t="s">
        <v>279</v>
      </c>
      <c r="R631" s="111">
        <v>1</v>
      </c>
      <c r="S631" s="108" t="s">
        <v>280</v>
      </c>
      <c r="T631" s="108" t="s">
        <v>2007</v>
      </c>
      <c r="U631" s="108" t="s">
        <v>1734</v>
      </c>
      <c r="V631" s="108" t="s">
        <v>280</v>
      </c>
      <c r="W631" s="108" t="s">
        <v>280</v>
      </c>
    </row>
    <row r="632" spans="1:23" ht="21" customHeight="1" x14ac:dyDescent="0.15">
      <c r="A632" s="104">
        <f t="shared" si="9"/>
        <v>631</v>
      </c>
      <c r="B632" s="105" t="s">
        <v>268</v>
      </c>
      <c r="C632" s="134" t="s">
        <v>2008</v>
      </c>
      <c r="D632" s="107" t="s">
        <v>1404</v>
      </c>
      <c r="E632" s="108" t="s">
        <v>1614</v>
      </c>
      <c r="F632" s="108" t="s">
        <v>1615</v>
      </c>
      <c r="G632" s="108" t="s">
        <v>1347</v>
      </c>
      <c r="H632" s="140" t="s">
        <v>2009</v>
      </c>
      <c r="I632" s="140">
        <v>4</v>
      </c>
      <c r="J632" s="109" t="s">
        <v>1446</v>
      </c>
      <c r="K632" s="105" t="s">
        <v>2010</v>
      </c>
      <c r="L632" s="107" t="str">
        <f ca="1">VLOOKUP($K632,OFFSET([1]character_type_i18n!$A$1,0,0,COUNTA([1]character_type_i18n!$A:$A),MATCH(L$1,[1]character_type_i18n!$1:$1,0)-MATCH($K$1,[1]character_type_i18n!$1:$1,0)+1),MATCH(L$1,[1]character_type_i18n!$1:$1,0)-MATCH($K$1,[1]character_type_i18n!$1:$1,0)+1,FALSE)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2" s="105" t="s">
        <v>313</v>
      </c>
      <c r="N632" s="107" t="str">
        <f>VLOOKUP(M632,[1]character_tribe_i18n!A:C,3,FALSE)</f>
        <v>アニマル</v>
      </c>
      <c r="O632" s="105" t="s">
        <v>278</v>
      </c>
      <c r="P632" s="107" t="str">
        <f>VLOOKUP(O632,[1]character_tribe_i18n!A:C,3,FALSE)</f>
        <v>種族なし</v>
      </c>
      <c r="Q632" s="110" t="s">
        <v>279</v>
      </c>
      <c r="R632" s="111">
        <v>1</v>
      </c>
      <c r="S632" s="108" t="s">
        <v>280</v>
      </c>
      <c r="T632" s="108" t="s">
        <v>281</v>
      </c>
      <c r="U632" s="108" t="s">
        <v>280</v>
      </c>
      <c r="V632" s="108" t="s">
        <v>280</v>
      </c>
      <c r="W632" s="108" t="s">
        <v>280</v>
      </c>
    </row>
    <row r="633" spans="1:23" ht="21" customHeight="1" x14ac:dyDescent="0.15">
      <c r="A633" s="104">
        <f t="shared" si="9"/>
        <v>632</v>
      </c>
      <c r="B633" s="105" t="s">
        <v>268</v>
      </c>
      <c r="C633" s="134" t="s">
        <v>2008</v>
      </c>
      <c r="D633" s="107" t="s">
        <v>2011</v>
      </c>
      <c r="E633" s="108" t="s">
        <v>709</v>
      </c>
      <c r="F633" s="108" t="s">
        <v>532</v>
      </c>
      <c r="G633" s="108" t="s">
        <v>1347</v>
      </c>
      <c r="H633" s="140" t="s">
        <v>2012</v>
      </c>
      <c r="I633" s="140">
        <v>5</v>
      </c>
      <c r="J633" s="109" t="s">
        <v>2013</v>
      </c>
      <c r="K633" s="105" t="s">
        <v>1679</v>
      </c>
      <c r="L633" s="107" t="str">
        <f ca="1">VLOOKUP($K633,OFFSET([1]character_type_i18n!$A$1,0,0,COUNTA([1]character_type_i18n!$A:$A),MATCH(L$1,[1]character_type_i18n!$1:$1,0)-MATCH($K$1,[1]character_type_i18n!$1:$1,0)+1),MATCH(L$1,[1]character_type_i18n!$1:$1,0)-MATCH($K$1,[1]character_type_i18n!$1:$1,0)+1,FALSE)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3" s="105" t="s">
        <v>1167</v>
      </c>
      <c r="N633" s="107" t="str">
        <f>VLOOKUP(M633,[1]character_tribe_i18n!A:C,3,FALSE)</f>
        <v>アニマル</v>
      </c>
      <c r="O633" s="105" t="s">
        <v>278</v>
      </c>
      <c r="P633" s="107" t="str">
        <f>VLOOKUP(O633,[1]character_tribe_i18n!A:C,3,FALSE)</f>
        <v>種族なし</v>
      </c>
      <c r="Q633" s="110" t="s">
        <v>279</v>
      </c>
      <c r="R633" s="111">
        <v>1</v>
      </c>
      <c r="S633" s="108" t="s">
        <v>280</v>
      </c>
      <c r="T633" s="108" t="s">
        <v>281</v>
      </c>
      <c r="U633" s="108" t="s">
        <v>280</v>
      </c>
      <c r="V633" s="108" t="s">
        <v>280</v>
      </c>
      <c r="W633" s="108" t="s">
        <v>280</v>
      </c>
    </row>
    <row r="634" spans="1:23" ht="21" customHeight="1" x14ac:dyDescent="0.15">
      <c r="A634" s="104">
        <f t="shared" si="9"/>
        <v>633</v>
      </c>
      <c r="B634" s="105" t="s">
        <v>268</v>
      </c>
      <c r="C634" s="134" t="s">
        <v>2014</v>
      </c>
      <c r="D634" s="107" t="s">
        <v>1404</v>
      </c>
      <c r="E634" s="108" t="s">
        <v>709</v>
      </c>
      <c r="F634" s="108" t="s">
        <v>532</v>
      </c>
      <c r="G634" s="108" t="s">
        <v>1347</v>
      </c>
      <c r="H634" s="140" t="s">
        <v>2015</v>
      </c>
      <c r="I634" s="140">
        <v>3</v>
      </c>
      <c r="J634" s="109" t="s">
        <v>805</v>
      </c>
      <c r="K634" s="105" t="s">
        <v>1679</v>
      </c>
      <c r="L634" s="107" t="str">
        <f ca="1">VLOOKUP($K634,OFFSET([1]character_type_i18n!$A$1,0,0,COUNTA([1]character_type_i18n!$A:$A),MATCH(L$1,[1]character_type_i18n!$1:$1,0)-MATCH($K$1,[1]character_type_i18n!$1:$1,0)+1),MATCH(L$1,[1]character_type_i18n!$1:$1,0)-MATCH($K$1,[1]character_type_i18n!$1:$1,0)+1,FALSE)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4" s="105" t="s">
        <v>1913</v>
      </c>
      <c r="N634" s="107" t="str">
        <f>VLOOKUP(M634,[1]character_tribe_i18n!A:C,3,FALSE)</f>
        <v>ドラゴン</v>
      </c>
      <c r="O634" s="105" t="s">
        <v>278</v>
      </c>
      <c r="P634" s="107" t="str">
        <f>VLOOKUP(O634,[1]character_tribe_i18n!A:C,3,FALSE)</f>
        <v>種族なし</v>
      </c>
      <c r="Q634" s="110" t="s">
        <v>279</v>
      </c>
      <c r="R634" s="111">
        <v>1</v>
      </c>
      <c r="S634" s="108" t="s">
        <v>280</v>
      </c>
      <c r="T634" s="108" t="s">
        <v>281</v>
      </c>
      <c r="U634" s="108" t="s">
        <v>280</v>
      </c>
      <c r="V634" s="108" t="s">
        <v>280</v>
      </c>
      <c r="W634" s="108" t="s">
        <v>280</v>
      </c>
    </row>
    <row r="635" spans="1:23" ht="21" customHeight="1" x14ac:dyDescent="0.15">
      <c r="A635" s="104">
        <f t="shared" si="9"/>
        <v>634</v>
      </c>
      <c r="B635" s="105" t="s">
        <v>268</v>
      </c>
      <c r="C635" s="134" t="s">
        <v>2014</v>
      </c>
      <c r="D635" s="107" t="s">
        <v>2011</v>
      </c>
      <c r="E635" s="108" t="s">
        <v>1576</v>
      </c>
      <c r="F635" s="108" t="s">
        <v>532</v>
      </c>
      <c r="G635" s="108" t="s">
        <v>1347</v>
      </c>
      <c r="H635" s="140" t="s">
        <v>2016</v>
      </c>
      <c r="I635" s="140">
        <v>4</v>
      </c>
      <c r="J635" s="109" t="s">
        <v>805</v>
      </c>
      <c r="K635" s="105" t="s">
        <v>1679</v>
      </c>
      <c r="L635" s="107" t="str">
        <f ca="1">VLOOKUP($K635,OFFSET([1]character_type_i18n!$A$1,0,0,COUNTA([1]character_type_i18n!$A:$A),MATCH(L$1,[1]character_type_i18n!$1:$1,0)-MATCH($K$1,[1]character_type_i18n!$1:$1,0)+1),MATCH(L$1,[1]character_type_i18n!$1:$1,0)-MATCH($K$1,[1]character_type_i18n!$1:$1,0)+1,FALSE)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5" s="105" t="s">
        <v>854</v>
      </c>
      <c r="N635" s="107" t="str">
        <f>VLOOKUP(M635,[1]character_tribe_i18n!A:C,3,FALSE)</f>
        <v>ドラゴン</v>
      </c>
      <c r="O635" s="105" t="s">
        <v>278</v>
      </c>
      <c r="P635" s="107" t="str">
        <f>VLOOKUP(O635,[1]character_tribe_i18n!A:C,3,FALSE)</f>
        <v>種族なし</v>
      </c>
      <c r="Q635" s="110" t="s">
        <v>279</v>
      </c>
      <c r="R635" s="111">
        <v>1</v>
      </c>
      <c r="S635" s="108" t="s">
        <v>280</v>
      </c>
      <c r="T635" s="108" t="s">
        <v>281</v>
      </c>
      <c r="U635" s="108" t="s">
        <v>280</v>
      </c>
      <c r="V635" s="108" t="s">
        <v>280</v>
      </c>
      <c r="W635" s="108" t="s">
        <v>280</v>
      </c>
    </row>
    <row r="636" spans="1:23" ht="21" customHeight="1" x14ac:dyDescent="0.15">
      <c r="A636" s="104">
        <f t="shared" si="9"/>
        <v>635</v>
      </c>
      <c r="B636" s="105" t="s">
        <v>268</v>
      </c>
      <c r="C636" s="134" t="s">
        <v>2014</v>
      </c>
      <c r="D636" s="107" t="s">
        <v>1404</v>
      </c>
      <c r="E636" s="108" t="s">
        <v>709</v>
      </c>
      <c r="F636" s="108" t="s">
        <v>532</v>
      </c>
      <c r="G636" s="108" t="s">
        <v>1347</v>
      </c>
      <c r="H636" s="140" t="s">
        <v>2009</v>
      </c>
      <c r="I636" s="140">
        <v>5</v>
      </c>
      <c r="J636" s="109" t="s">
        <v>805</v>
      </c>
      <c r="K636" s="105" t="s">
        <v>1005</v>
      </c>
      <c r="L636" s="107" t="str">
        <f ca="1">VLOOKUP($K636,OFFSET([1]character_type_i18n!$A$1,0,0,COUNTA([1]character_type_i18n!$A:$A),MATCH(L$1,[1]character_type_i18n!$1:$1,0)-MATCH($K$1,[1]character_type_i18n!$1:$1,0)+1),MATCH(L$1,[1]character_type_i18n!$1:$1,0)-MATCH($K$1,[1]character_type_i18n!$1:$1,0)+1,FALSE)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6" s="105" t="s">
        <v>854</v>
      </c>
      <c r="N636" s="107" t="str">
        <f>VLOOKUP(M636,[1]character_tribe_i18n!A:C,3,FALSE)</f>
        <v>ドラゴン</v>
      </c>
      <c r="O636" s="105" t="s">
        <v>278</v>
      </c>
      <c r="P636" s="107" t="str">
        <f>VLOOKUP(O636,[1]character_tribe_i18n!A:C,3,FALSE)</f>
        <v>種族なし</v>
      </c>
      <c r="Q636" s="110" t="s">
        <v>279</v>
      </c>
      <c r="R636" s="111">
        <v>1</v>
      </c>
      <c r="S636" s="108" t="s">
        <v>280</v>
      </c>
      <c r="T636" s="108" t="s">
        <v>281</v>
      </c>
      <c r="U636" s="108" t="s">
        <v>280</v>
      </c>
      <c r="V636" s="108" t="s">
        <v>280</v>
      </c>
      <c r="W636" s="108" t="s">
        <v>280</v>
      </c>
    </row>
    <row r="637" spans="1:23" ht="21" customHeight="1" x14ac:dyDescent="0.15">
      <c r="A637" s="104">
        <f t="shared" si="9"/>
        <v>636</v>
      </c>
      <c r="B637" s="105" t="s">
        <v>268</v>
      </c>
      <c r="C637" s="121" t="s">
        <v>2017</v>
      </c>
      <c r="D637" s="107" t="s">
        <v>2011</v>
      </c>
      <c r="E637" s="108" t="s">
        <v>709</v>
      </c>
      <c r="F637" s="108" t="s">
        <v>532</v>
      </c>
      <c r="G637" s="108" t="s">
        <v>1347</v>
      </c>
      <c r="H637" s="141" t="s">
        <v>536</v>
      </c>
      <c r="I637" s="121">
        <v>3</v>
      </c>
      <c r="J637" s="109" t="s">
        <v>805</v>
      </c>
      <c r="K637" s="105" t="s">
        <v>1441</v>
      </c>
      <c r="L637" s="107" t="str">
        <f ca="1">VLOOKUP($K637,OFFSET([1]character_type_i18n!$A$1,0,0,COUNTA([1]character_type_i18n!$A:$A),MATCH(L$1,[1]character_type_i18n!$1:$1,0)-MATCH($K$1,[1]character_type_i18n!$1:$1,0)+1),MATCH(L$1,[1]character_type_i18n!$1:$1,0)-MATCH($K$1,[1]character_type_i18n!$1:$1,0)+1,FALSE)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7" s="105" t="s">
        <v>1164</v>
      </c>
      <c r="N637" s="107" t="str">
        <f>VLOOKUP(M637,[1]character_tribe_i18n!A:C,3,FALSE)</f>
        <v>Unknown</v>
      </c>
      <c r="O637" s="105" t="s">
        <v>278</v>
      </c>
      <c r="P637" s="107" t="str">
        <f>VLOOKUP(O637,[1]character_tribe_i18n!A:C,3,FALSE)</f>
        <v>種族なし</v>
      </c>
      <c r="Q637" s="110" t="s">
        <v>279</v>
      </c>
      <c r="R637" s="111">
        <v>1</v>
      </c>
      <c r="S637" s="108" t="s">
        <v>280</v>
      </c>
      <c r="T637" s="108" t="s">
        <v>281</v>
      </c>
      <c r="U637" s="108" t="s">
        <v>280</v>
      </c>
      <c r="V637" s="108" t="s">
        <v>280</v>
      </c>
      <c r="W637" s="108" t="s">
        <v>280</v>
      </c>
    </row>
    <row r="638" spans="1:23" ht="21" customHeight="1" x14ac:dyDescent="0.15">
      <c r="A638" s="104">
        <f t="shared" si="9"/>
        <v>637</v>
      </c>
      <c r="B638" s="105" t="s">
        <v>268</v>
      </c>
      <c r="C638" s="121" t="s">
        <v>2018</v>
      </c>
      <c r="D638" s="107" t="s">
        <v>1404</v>
      </c>
      <c r="E638" s="108" t="s">
        <v>709</v>
      </c>
      <c r="F638" s="108" t="s">
        <v>532</v>
      </c>
      <c r="G638" s="108" t="s">
        <v>1347</v>
      </c>
      <c r="H638" s="141" t="s">
        <v>536</v>
      </c>
      <c r="I638" s="121">
        <v>4</v>
      </c>
      <c r="J638" s="109" t="s">
        <v>805</v>
      </c>
      <c r="K638" s="105" t="s">
        <v>1441</v>
      </c>
      <c r="L638" s="107" t="str">
        <f ca="1">VLOOKUP($K638,OFFSET([1]character_type_i18n!$A$1,0,0,COUNTA([1]character_type_i18n!$A:$A),MATCH(L$1,[1]character_type_i18n!$1:$1,0)-MATCH($K$1,[1]character_type_i18n!$1:$1,0)+1),MATCH(L$1,[1]character_type_i18n!$1:$1,0)-MATCH($K$1,[1]character_type_i18n!$1:$1,0)+1,FALSE)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8" s="105" t="s">
        <v>1164</v>
      </c>
      <c r="N638" s="107" t="str">
        <f>VLOOKUP(M638,[1]character_tribe_i18n!A:C,3,FALSE)</f>
        <v>Unknown</v>
      </c>
      <c r="O638" s="105" t="s">
        <v>278</v>
      </c>
      <c r="P638" s="107" t="str">
        <f>VLOOKUP(O638,[1]character_tribe_i18n!A:C,3,FALSE)</f>
        <v>種族なし</v>
      </c>
      <c r="Q638" s="110" t="s">
        <v>279</v>
      </c>
      <c r="R638" s="111">
        <v>1</v>
      </c>
      <c r="S638" s="108" t="s">
        <v>280</v>
      </c>
      <c r="T638" s="108" t="s">
        <v>281</v>
      </c>
      <c r="U638" s="108" t="s">
        <v>280</v>
      </c>
      <c r="V638" s="108" t="s">
        <v>280</v>
      </c>
      <c r="W638" s="108" t="s">
        <v>280</v>
      </c>
    </row>
    <row r="639" spans="1:23" ht="21" customHeight="1" x14ac:dyDescent="0.15">
      <c r="A639" s="104">
        <f t="shared" si="9"/>
        <v>638</v>
      </c>
      <c r="B639" s="105" t="s">
        <v>268</v>
      </c>
      <c r="C639" s="121" t="s">
        <v>2019</v>
      </c>
      <c r="D639" s="107" t="s">
        <v>2011</v>
      </c>
      <c r="E639" s="108" t="s">
        <v>709</v>
      </c>
      <c r="F639" s="108" t="s">
        <v>532</v>
      </c>
      <c r="G639" s="108" t="s">
        <v>1347</v>
      </c>
      <c r="H639" s="141" t="s">
        <v>536</v>
      </c>
      <c r="I639" s="140">
        <v>5</v>
      </c>
      <c r="J639" s="109" t="s">
        <v>805</v>
      </c>
      <c r="K639" s="105" t="s">
        <v>1005</v>
      </c>
      <c r="L639" s="107" t="str">
        <f ca="1">VLOOKUP($K639,OFFSET([1]character_type_i18n!$A$1,0,0,COUNTA([1]character_type_i18n!$A:$A),MATCH(L$1,[1]character_type_i18n!$1:$1,0)-MATCH($K$1,[1]character_type_i18n!$1:$1,0)+1),MATCH(L$1,[1]character_type_i18n!$1:$1,0)-MATCH($K$1,[1]character_type_i18n!$1:$1,0)+1,FALSE)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9" s="105" t="s">
        <v>1152</v>
      </c>
      <c r="N639" s="107" t="str">
        <f>VLOOKUP(M639,[1]character_tribe_i18n!A:C,3,FALSE)</f>
        <v>Unknown</v>
      </c>
      <c r="O639" s="105" t="s">
        <v>278</v>
      </c>
      <c r="P639" s="107" t="str">
        <f>VLOOKUP(O639,[1]character_tribe_i18n!A:C,3,FALSE)</f>
        <v>種族なし</v>
      </c>
      <c r="Q639" s="110" t="s">
        <v>279</v>
      </c>
      <c r="R639" s="111">
        <v>1</v>
      </c>
      <c r="S639" s="108" t="s">
        <v>280</v>
      </c>
      <c r="T639" s="108" t="s">
        <v>2020</v>
      </c>
      <c r="U639" s="108" t="s">
        <v>2021</v>
      </c>
      <c r="V639" s="108" t="s">
        <v>280</v>
      </c>
      <c r="W639" s="108" t="s">
        <v>280</v>
      </c>
    </row>
    <row r="640" spans="1:23" ht="21" customHeight="1" x14ac:dyDescent="0.15">
      <c r="A640" s="104">
        <f t="shared" si="9"/>
        <v>639</v>
      </c>
      <c r="B640" s="105" t="s">
        <v>268</v>
      </c>
      <c r="C640" s="121" t="s">
        <v>2022</v>
      </c>
      <c r="D640" s="107" t="s">
        <v>1404</v>
      </c>
      <c r="E640" s="108" t="s">
        <v>1405</v>
      </c>
      <c r="F640" s="108" t="s">
        <v>1406</v>
      </c>
      <c r="G640" s="108" t="s">
        <v>1347</v>
      </c>
      <c r="H640" s="141" t="s">
        <v>2012</v>
      </c>
      <c r="I640" s="121">
        <v>3</v>
      </c>
      <c r="J640" s="109" t="s">
        <v>805</v>
      </c>
      <c r="K640" s="105" t="s">
        <v>2023</v>
      </c>
      <c r="L640" s="107" t="str">
        <f ca="1">VLOOKUP($K640,OFFSET([1]character_type_i18n!$A$1,0,0,COUNTA([1]character_type_i18n!$A:$A),MATCH(L$1,[1]character_type_i18n!$1:$1,0)-MATCH($K$1,[1]character_type_i18n!$1:$1,0)+1),MATCH(L$1,[1]character_type_i18n!$1:$1,0)-MATCH($K$1,[1]character_type_i18n!$1:$1,0)+1,FALSE)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40" s="105" t="s">
        <v>1167</v>
      </c>
      <c r="N640" s="107" t="str">
        <f>VLOOKUP(M640,[1]character_tribe_i18n!A:C,3,FALSE)</f>
        <v>アニマル</v>
      </c>
      <c r="O640" s="105" t="s">
        <v>278</v>
      </c>
      <c r="P640" s="107" t="str">
        <f>VLOOKUP(O640,[1]character_tribe_i18n!A:C,3,FALSE)</f>
        <v>種族なし</v>
      </c>
      <c r="Q640" s="110" t="s">
        <v>279</v>
      </c>
      <c r="R640" s="111">
        <v>1</v>
      </c>
      <c r="S640" s="108" t="s">
        <v>280</v>
      </c>
      <c r="T640" s="108" t="s">
        <v>610</v>
      </c>
      <c r="U640" s="108" t="s">
        <v>611</v>
      </c>
      <c r="V640" s="108" t="s">
        <v>280</v>
      </c>
      <c r="W640" s="108" t="s">
        <v>280</v>
      </c>
    </row>
    <row r="641" spans="1:23" ht="21" customHeight="1" x14ac:dyDescent="0.15">
      <c r="A641" s="104">
        <f t="shared" si="9"/>
        <v>640</v>
      </c>
      <c r="B641" s="105" t="s">
        <v>268</v>
      </c>
      <c r="C641" s="121" t="s">
        <v>2022</v>
      </c>
      <c r="D641" s="107" t="s">
        <v>2011</v>
      </c>
      <c r="E641" s="108" t="s">
        <v>709</v>
      </c>
      <c r="F641" s="108" t="s">
        <v>532</v>
      </c>
      <c r="G641" s="108" t="s">
        <v>1347</v>
      </c>
      <c r="H641" s="141" t="s">
        <v>2012</v>
      </c>
      <c r="I641" s="121">
        <v>4</v>
      </c>
      <c r="J641" s="109" t="s">
        <v>805</v>
      </c>
      <c r="K641" s="105" t="s">
        <v>2024</v>
      </c>
      <c r="L641" s="107" t="str">
        <f ca="1">VLOOKUP($K641,OFFSET([1]character_type_i18n!$A$1,0,0,COUNTA([1]character_type_i18n!$A:$A),MATCH(L$1,[1]character_type_i18n!$1:$1,0)-MATCH($K$1,[1]character_type_i18n!$1:$1,0)+1),MATCH(L$1,[1]character_type_i18n!$1:$1,0)-MATCH($K$1,[1]character_type_i18n!$1:$1,0)+1,FALSE)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41" s="105" t="s">
        <v>1167</v>
      </c>
      <c r="N641" s="107" t="str">
        <f>VLOOKUP(M641,[1]character_tribe_i18n!A:C,3,FALSE)</f>
        <v>アニマル</v>
      </c>
      <c r="O641" s="105" t="s">
        <v>278</v>
      </c>
      <c r="P641" s="107" t="str">
        <f>VLOOKUP(O641,[1]character_tribe_i18n!A:C,3,FALSE)</f>
        <v>種族なし</v>
      </c>
      <c r="Q641" s="110" t="s">
        <v>279</v>
      </c>
      <c r="R641" s="111">
        <v>1</v>
      </c>
      <c r="S641" s="108" t="s">
        <v>280</v>
      </c>
      <c r="T641" s="108" t="s">
        <v>281</v>
      </c>
      <c r="U641" s="108" t="s">
        <v>280</v>
      </c>
      <c r="V641" s="108" t="s">
        <v>280</v>
      </c>
      <c r="W641" s="108" t="s">
        <v>280</v>
      </c>
    </row>
    <row r="642" spans="1:23" ht="21" customHeight="1" x14ac:dyDescent="0.15">
      <c r="A642" s="104">
        <f t="shared" si="9"/>
        <v>641</v>
      </c>
      <c r="B642" s="105" t="s">
        <v>268</v>
      </c>
      <c r="C642" s="121" t="s">
        <v>2022</v>
      </c>
      <c r="D642" s="107" t="s">
        <v>1404</v>
      </c>
      <c r="E642" s="108" t="s">
        <v>1405</v>
      </c>
      <c r="F642" s="108" t="s">
        <v>1406</v>
      </c>
      <c r="G642" s="108" t="s">
        <v>1347</v>
      </c>
      <c r="H642" s="141" t="s">
        <v>2012</v>
      </c>
      <c r="I642" s="140">
        <v>5</v>
      </c>
      <c r="J642" s="109" t="s">
        <v>805</v>
      </c>
      <c r="K642" s="105" t="s">
        <v>1441</v>
      </c>
      <c r="L642" s="107" t="str">
        <f ca="1">VLOOKUP($K642,OFFSET([1]character_type_i18n!$A$1,0,0,COUNTA([1]character_type_i18n!$A:$A),MATCH(L$1,[1]character_type_i18n!$1:$1,0)-MATCH($K$1,[1]character_type_i18n!$1:$1,0)+1),MATCH(L$1,[1]character_type_i18n!$1:$1,0)-MATCH($K$1,[1]character_type_i18n!$1:$1,0)+1,FALSE)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42" s="105" t="s">
        <v>313</v>
      </c>
      <c r="N642" s="107" t="str">
        <f>VLOOKUP(M642,[1]character_tribe_i18n!A:C,3,FALSE)</f>
        <v>アニマル</v>
      </c>
      <c r="O642" s="105" t="s">
        <v>278</v>
      </c>
      <c r="P642" s="107" t="str">
        <f>VLOOKUP(O642,[1]character_tribe_i18n!A:C,3,FALSE)</f>
        <v>種族なし</v>
      </c>
      <c r="Q642" s="110" t="s">
        <v>279</v>
      </c>
      <c r="R642" s="111">
        <v>1</v>
      </c>
      <c r="S642" s="108" t="s">
        <v>280</v>
      </c>
      <c r="T642" s="108" t="s">
        <v>281</v>
      </c>
      <c r="U642" s="108" t="s">
        <v>280</v>
      </c>
      <c r="V642" s="108" t="s">
        <v>280</v>
      </c>
      <c r="W642" s="108" t="s">
        <v>280</v>
      </c>
    </row>
    <row r="643" spans="1:23" ht="21" customHeight="1" x14ac:dyDescent="0.15">
      <c r="A643" s="104">
        <f t="shared" si="9"/>
        <v>642</v>
      </c>
      <c r="B643" s="105" t="s">
        <v>268</v>
      </c>
      <c r="C643" s="121" t="s">
        <v>2025</v>
      </c>
      <c r="D643" s="107" t="s">
        <v>2026</v>
      </c>
      <c r="E643" s="108" t="s">
        <v>709</v>
      </c>
      <c r="F643" s="108" t="s">
        <v>532</v>
      </c>
      <c r="G643" s="108" t="s">
        <v>710</v>
      </c>
      <c r="H643" s="140" t="s">
        <v>2009</v>
      </c>
      <c r="I643" s="140">
        <v>4</v>
      </c>
      <c r="J643" s="130" t="s">
        <v>1504</v>
      </c>
      <c r="K643" s="105" t="s">
        <v>1008</v>
      </c>
      <c r="L643" s="107" t="str">
        <f ca="1">VLOOKUP($K643,OFFSET([1]character_type_i18n!$A$1,0,0,COUNTA([1]character_type_i18n!$A:$A),MATCH(L$1,[1]character_type_i18n!$1:$1,0)-MATCH($K$1,[1]character_type_i18n!$1:$1,0)+1),MATCH(L$1,[1]character_type_i18n!$1:$1,0)-MATCH($K$1,[1]character_type_i18n!$1:$1,0)+1,FALSE)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43" s="105" t="s">
        <v>1018</v>
      </c>
      <c r="N643" s="107" t="str">
        <f>VLOOKUP(M643,[1]character_tribe_i18n!A:C,3,FALSE)</f>
        <v>ゴッド</v>
      </c>
      <c r="O643" s="105" t="s">
        <v>278</v>
      </c>
      <c r="P643" s="107" t="str">
        <f>VLOOKUP(O643,[1]character_tribe_i18n!A:C,3,FALSE)</f>
        <v>種族なし</v>
      </c>
      <c r="Q643" s="110" t="s">
        <v>279</v>
      </c>
      <c r="R643" s="111">
        <v>3</v>
      </c>
      <c r="S643" s="108" t="s">
        <v>280</v>
      </c>
      <c r="T643" s="108" t="s">
        <v>281</v>
      </c>
      <c r="U643" s="108" t="s">
        <v>280</v>
      </c>
      <c r="V643" s="108" t="s">
        <v>280</v>
      </c>
      <c r="W643" s="108" t="s">
        <v>280</v>
      </c>
    </row>
    <row r="644" spans="1:23" ht="21" customHeight="1" x14ac:dyDescent="0.15">
      <c r="A644" s="104">
        <f t="shared" ref="A644:A708" si="10">ROW()-1</f>
        <v>643</v>
      </c>
      <c r="B644" s="105" t="s">
        <v>268</v>
      </c>
      <c r="C644" s="121" t="s">
        <v>2027</v>
      </c>
      <c r="D644" s="107" t="s">
        <v>2026</v>
      </c>
      <c r="E644" s="108" t="s">
        <v>709</v>
      </c>
      <c r="F644" s="108" t="s">
        <v>532</v>
      </c>
      <c r="G644" s="108" t="s">
        <v>710</v>
      </c>
      <c r="H644" s="140" t="s">
        <v>2009</v>
      </c>
      <c r="I644" s="140">
        <v>5</v>
      </c>
      <c r="J644" s="130" t="s">
        <v>1504</v>
      </c>
      <c r="K644" s="105" t="s">
        <v>1008</v>
      </c>
      <c r="L644" s="107" t="str">
        <f ca="1">VLOOKUP($K644,OFFSET([1]character_type_i18n!$A$1,0,0,COUNTA([1]character_type_i18n!$A:$A),MATCH(L$1,[1]character_type_i18n!$1:$1,0)-MATCH($K$1,[1]character_type_i18n!$1:$1,0)+1),MATCH(L$1,[1]character_type_i18n!$1:$1,0)-MATCH($K$1,[1]character_type_i18n!$1:$1,0)+1,FALSE)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44" s="105" t="s">
        <v>1018</v>
      </c>
      <c r="N644" s="107" t="str">
        <f>VLOOKUP(M644,[1]character_tribe_i18n!A:C,3,FALSE)</f>
        <v>ゴッド</v>
      </c>
      <c r="O644" s="105" t="s">
        <v>278</v>
      </c>
      <c r="P644" s="107" t="str">
        <f>VLOOKUP(O644,[1]character_tribe_i18n!A:C,3,FALSE)</f>
        <v>種族なし</v>
      </c>
      <c r="Q644" s="110" t="s">
        <v>279</v>
      </c>
      <c r="R644" s="111">
        <v>3</v>
      </c>
      <c r="S644" s="108" t="s">
        <v>280</v>
      </c>
      <c r="T644" s="108" t="s">
        <v>893</v>
      </c>
      <c r="U644" s="108" t="s">
        <v>898</v>
      </c>
      <c r="V644" s="108" t="s">
        <v>280</v>
      </c>
      <c r="W644" s="108" t="s">
        <v>280</v>
      </c>
    </row>
    <row r="645" spans="1:23" ht="21" customHeight="1" x14ac:dyDescent="0.15">
      <c r="A645" s="104">
        <f t="shared" si="10"/>
        <v>644</v>
      </c>
      <c r="B645" s="105" t="s">
        <v>268</v>
      </c>
      <c r="C645" s="121" t="s">
        <v>2028</v>
      </c>
      <c r="D645" s="107" t="s">
        <v>2026</v>
      </c>
      <c r="E645" s="108" t="s">
        <v>709</v>
      </c>
      <c r="F645" s="108" t="s">
        <v>532</v>
      </c>
      <c r="G645" s="108" t="s">
        <v>710</v>
      </c>
      <c r="H645" s="140" t="s">
        <v>1999</v>
      </c>
      <c r="I645" s="140">
        <v>4</v>
      </c>
      <c r="J645" s="130" t="s">
        <v>1776</v>
      </c>
      <c r="K645" s="105" t="s">
        <v>2029</v>
      </c>
      <c r="L645" s="107" t="str">
        <f ca="1">VLOOKUP($K645,OFFSET([1]character_type_i18n!$A$1,0,0,COUNTA([1]character_type_i18n!$A:$A),MATCH(L$1,[1]character_type_i18n!$1:$1,0)-MATCH($K$1,[1]character_type_i18n!$1:$1,0)+1),MATCH(L$1,[1]character_type_i18n!$1:$1,0)-MATCH($K$1,[1]character_type_i18n!$1:$1,0)+1,FALSE)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45" s="105" t="s">
        <v>2030</v>
      </c>
      <c r="N645" s="107" t="str">
        <f>VLOOKUP(M645,[1]character_tribe_i18n!A:C,3,FALSE)</f>
        <v>ヒューマン</v>
      </c>
      <c r="O645" s="105" t="s">
        <v>1164</v>
      </c>
      <c r="P645" s="107" t="str">
        <f>VLOOKUP(O645,[1]character_tribe_i18n!A:C,3,FALSE)</f>
        <v>Unknown</v>
      </c>
      <c r="Q645" s="110" t="s">
        <v>279</v>
      </c>
      <c r="R645" s="111">
        <v>3</v>
      </c>
      <c r="S645" s="108" t="s">
        <v>280</v>
      </c>
      <c r="T645" s="108" t="s">
        <v>281</v>
      </c>
      <c r="U645" s="108" t="s">
        <v>280</v>
      </c>
      <c r="V645" s="108" t="s">
        <v>280</v>
      </c>
      <c r="W645" s="108" t="s">
        <v>280</v>
      </c>
    </row>
    <row r="646" spans="1:23" ht="21" customHeight="1" x14ac:dyDescent="0.15">
      <c r="A646" s="104">
        <f t="shared" si="10"/>
        <v>645</v>
      </c>
      <c r="B646" s="105" t="s">
        <v>268</v>
      </c>
      <c r="C646" s="121" t="s">
        <v>2031</v>
      </c>
      <c r="D646" s="107" t="s">
        <v>2032</v>
      </c>
      <c r="E646" s="108" t="s">
        <v>709</v>
      </c>
      <c r="F646" s="108" t="s">
        <v>532</v>
      </c>
      <c r="G646" s="108" t="s">
        <v>710</v>
      </c>
      <c r="H646" s="140" t="s">
        <v>1999</v>
      </c>
      <c r="I646" s="140">
        <v>5</v>
      </c>
      <c r="J646" s="130" t="s">
        <v>1504</v>
      </c>
      <c r="K646" s="105" t="s">
        <v>1505</v>
      </c>
      <c r="L646" s="107" t="str">
        <f ca="1">VLOOKUP($K646,OFFSET([1]character_type_i18n!$A$1,0,0,COUNTA([1]character_type_i18n!$A:$A),MATCH(L$1,[1]character_type_i18n!$1:$1,0)-MATCH($K$1,[1]character_type_i18n!$1:$1,0)+1),MATCH(L$1,[1]character_type_i18n!$1:$1,0)-MATCH($K$1,[1]character_type_i18n!$1:$1,0)+1,FALSE)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46" s="105" t="s">
        <v>1011</v>
      </c>
      <c r="N646" s="107" t="str">
        <f>VLOOKUP(M646,[1]character_tribe_i18n!A:C,3,FALSE)</f>
        <v>ヒューマン</v>
      </c>
      <c r="O646" s="105" t="s">
        <v>1164</v>
      </c>
      <c r="P646" s="107" t="str">
        <f>VLOOKUP(O646,[1]character_tribe_i18n!A:C,3,FALSE)</f>
        <v>Unknown</v>
      </c>
      <c r="Q646" s="110" t="s">
        <v>279</v>
      </c>
      <c r="R646" s="111">
        <v>3</v>
      </c>
      <c r="S646" s="108" t="s">
        <v>280</v>
      </c>
      <c r="T646" s="108" t="s">
        <v>281</v>
      </c>
      <c r="U646" s="108" t="s">
        <v>280</v>
      </c>
      <c r="V646" s="108" t="s">
        <v>280</v>
      </c>
      <c r="W646" s="108" t="s">
        <v>280</v>
      </c>
    </row>
    <row r="647" spans="1:23" ht="21" customHeight="1" x14ac:dyDescent="0.15">
      <c r="A647" s="104">
        <f t="shared" si="10"/>
        <v>646</v>
      </c>
      <c r="B647" s="105" t="s">
        <v>268</v>
      </c>
      <c r="C647" s="121" t="s">
        <v>2033</v>
      </c>
      <c r="D647" s="107" t="s">
        <v>2034</v>
      </c>
      <c r="E647" s="108" t="s">
        <v>709</v>
      </c>
      <c r="F647" s="108" t="s">
        <v>532</v>
      </c>
      <c r="G647" s="108" t="s">
        <v>853</v>
      </c>
      <c r="H647" s="140" t="s">
        <v>2035</v>
      </c>
      <c r="I647" s="140">
        <v>4</v>
      </c>
      <c r="J647" s="109" t="s">
        <v>1372</v>
      </c>
      <c r="K647" s="105" t="s">
        <v>1008</v>
      </c>
      <c r="L647" s="107" t="str">
        <f ca="1">VLOOKUP($K647,OFFSET([1]character_type_i18n!$A$1,0,0,COUNTA([1]character_type_i18n!$A:$A),MATCH(L$1,[1]character_type_i18n!$1:$1,0)-MATCH($K$1,[1]character_type_i18n!$1:$1,0)+1),MATCH(L$1,[1]character_type_i18n!$1:$1,0)-MATCH($K$1,[1]character_type_i18n!$1:$1,0)+1,FALSE)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47" s="105" t="s">
        <v>1164</v>
      </c>
      <c r="N647" s="107" t="str">
        <f>VLOOKUP(M647,[1]character_tribe_i18n!A:C,3,FALSE)</f>
        <v>Unknown</v>
      </c>
      <c r="O647" s="105" t="s">
        <v>278</v>
      </c>
      <c r="P647" s="107" t="str">
        <f>VLOOKUP(O647,[1]character_tribe_i18n!A:C,3,FALSE)</f>
        <v>種族なし</v>
      </c>
      <c r="Q647" s="110" t="s">
        <v>279</v>
      </c>
      <c r="R647" s="111">
        <v>3</v>
      </c>
      <c r="S647" s="108" t="s">
        <v>280</v>
      </c>
      <c r="T647" s="108" t="s">
        <v>281</v>
      </c>
      <c r="U647" s="108" t="s">
        <v>280</v>
      </c>
      <c r="V647" s="108" t="s">
        <v>280</v>
      </c>
      <c r="W647" s="108" t="s">
        <v>280</v>
      </c>
    </row>
    <row r="648" spans="1:23" ht="21" customHeight="1" x14ac:dyDescent="0.15">
      <c r="A648" s="104">
        <f t="shared" si="10"/>
        <v>647</v>
      </c>
      <c r="B648" s="105" t="s">
        <v>268</v>
      </c>
      <c r="C648" s="121" t="s">
        <v>2036</v>
      </c>
      <c r="D648" s="107" t="s">
        <v>2034</v>
      </c>
      <c r="E648" s="108" t="s">
        <v>2037</v>
      </c>
      <c r="F648" s="108" t="s">
        <v>2038</v>
      </c>
      <c r="G648" s="108" t="s">
        <v>853</v>
      </c>
      <c r="H648" s="140" t="s">
        <v>2035</v>
      </c>
      <c r="I648" s="140">
        <v>5</v>
      </c>
      <c r="J648" s="109" t="s">
        <v>1372</v>
      </c>
      <c r="K648" s="105" t="s">
        <v>1008</v>
      </c>
      <c r="L648" s="107" t="str">
        <f ca="1">VLOOKUP($K648,OFFSET([1]character_type_i18n!$A$1,0,0,COUNTA([1]character_type_i18n!$A:$A),MATCH(L$1,[1]character_type_i18n!$1:$1,0)-MATCH($K$1,[1]character_type_i18n!$1:$1,0)+1),MATCH(L$1,[1]character_type_i18n!$1:$1,0)-MATCH($K$1,[1]character_type_i18n!$1:$1,0)+1,FALSE)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48" s="105" t="s">
        <v>1164</v>
      </c>
      <c r="N648" s="107" t="str">
        <f>VLOOKUP(M648,[1]character_tribe_i18n!A:C,3,FALSE)</f>
        <v>Unknown</v>
      </c>
      <c r="O648" s="105" t="s">
        <v>278</v>
      </c>
      <c r="P648" s="107" t="str">
        <f>VLOOKUP(O648,[1]character_tribe_i18n!A:C,3,FALSE)</f>
        <v>種族なし</v>
      </c>
      <c r="Q648" s="110" t="s">
        <v>279</v>
      </c>
      <c r="R648" s="111">
        <v>3</v>
      </c>
      <c r="S648" s="108" t="s">
        <v>280</v>
      </c>
      <c r="T648" s="108" t="s">
        <v>281</v>
      </c>
      <c r="U648" s="108" t="s">
        <v>280</v>
      </c>
      <c r="V648" s="108" t="s">
        <v>280</v>
      </c>
      <c r="W648" s="108" t="s">
        <v>280</v>
      </c>
    </row>
    <row r="649" spans="1:23" ht="21" customHeight="1" x14ac:dyDescent="0.15">
      <c r="A649" s="104">
        <f t="shared" si="10"/>
        <v>648</v>
      </c>
      <c r="B649" s="105" t="s">
        <v>268</v>
      </c>
      <c r="C649" s="121" t="s">
        <v>2039</v>
      </c>
      <c r="D649" s="107" t="s">
        <v>2040</v>
      </c>
      <c r="E649" s="108" t="s">
        <v>709</v>
      </c>
      <c r="F649" s="108" t="s">
        <v>532</v>
      </c>
      <c r="G649" s="108" t="s">
        <v>853</v>
      </c>
      <c r="H649" s="140" t="s">
        <v>2041</v>
      </c>
      <c r="I649" s="140">
        <v>4</v>
      </c>
      <c r="J649" s="130" t="s">
        <v>1618</v>
      </c>
      <c r="K649" s="105" t="s">
        <v>1221</v>
      </c>
      <c r="L649" s="107" t="str">
        <f ca="1">VLOOKUP($K649,OFFSET([1]character_type_i18n!$A$1,0,0,COUNTA([1]character_type_i18n!$A:$A),MATCH(L$1,[1]character_type_i18n!$1:$1,0)-MATCH($K$1,[1]character_type_i18n!$1:$1,0)+1),MATCH(L$1,[1]character_type_i18n!$1:$1,0)-MATCH($K$1,[1]character_type_i18n!$1:$1,0)+1,FALSE)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49" s="105" t="s">
        <v>1018</v>
      </c>
      <c r="N649" s="107" t="str">
        <f>VLOOKUP(M649,[1]character_tribe_i18n!A:C,3,FALSE)</f>
        <v>ゴッド</v>
      </c>
      <c r="O649" s="105" t="s">
        <v>278</v>
      </c>
      <c r="P649" s="107" t="str">
        <f>VLOOKUP(O649,[1]character_tribe_i18n!A:C,3,FALSE)</f>
        <v>種族なし</v>
      </c>
      <c r="Q649" s="110" t="s">
        <v>279</v>
      </c>
      <c r="R649" s="111">
        <v>3</v>
      </c>
      <c r="S649" s="108" t="s">
        <v>280</v>
      </c>
      <c r="T649" s="108" t="s">
        <v>281</v>
      </c>
      <c r="U649" s="108" t="s">
        <v>280</v>
      </c>
      <c r="V649" s="108" t="s">
        <v>280</v>
      </c>
      <c r="W649" s="108" t="s">
        <v>280</v>
      </c>
    </row>
    <row r="650" spans="1:23" ht="21" customHeight="1" x14ac:dyDescent="0.15">
      <c r="A650" s="104">
        <f t="shared" si="10"/>
        <v>649</v>
      </c>
      <c r="B650" s="105" t="s">
        <v>268</v>
      </c>
      <c r="C650" s="121" t="s">
        <v>2042</v>
      </c>
      <c r="D650" s="107" t="s">
        <v>2043</v>
      </c>
      <c r="E650" s="108" t="s">
        <v>709</v>
      </c>
      <c r="F650" s="108" t="s">
        <v>532</v>
      </c>
      <c r="G650" s="108" t="s">
        <v>853</v>
      </c>
      <c r="H650" s="140" t="s">
        <v>2035</v>
      </c>
      <c r="I650" s="140">
        <v>5</v>
      </c>
      <c r="J650" s="130" t="s">
        <v>2044</v>
      </c>
      <c r="K650" s="105" t="s">
        <v>1221</v>
      </c>
      <c r="L650" s="107" t="str">
        <f ca="1">VLOOKUP($K650,OFFSET([1]character_type_i18n!$A$1,0,0,COUNTA([1]character_type_i18n!$A:$A),MATCH(L$1,[1]character_type_i18n!$1:$1,0)-MATCH($K$1,[1]character_type_i18n!$1:$1,0)+1),MATCH(L$1,[1]character_type_i18n!$1:$1,0)-MATCH($K$1,[1]character_type_i18n!$1:$1,0)+1,FALSE)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50" s="105" t="s">
        <v>1018</v>
      </c>
      <c r="N650" s="107" t="str">
        <f>VLOOKUP(M650,[1]character_tribe_i18n!A:C,3,FALSE)</f>
        <v>ゴッド</v>
      </c>
      <c r="O650" s="105" t="s">
        <v>278</v>
      </c>
      <c r="P650" s="107" t="str">
        <f>VLOOKUP(O650,[1]character_tribe_i18n!A:C,3,FALSE)</f>
        <v>種族なし</v>
      </c>
      <c r="Q650" s="110" t="s">
        <v>279</v>
      </c>
      <c r="R650" s="111">
        <v>3</v>
      </c>
      <c r="S650" s="108" t="s">
        <v>280</v>
      </c>
      <c r="T650" s="108" t="s">
        <v>281</v>
      </c>
      <c r="U650" s="108" t="s">
        <v>280</v>
      </c>
      <c r="V650" s="108" t="s">
        <v>280</v>
      </c>
      <c r="W650" s="108" t="s">
        <v>280</v>
      </c>
    </row>
    <row r="651" spans="1:23" ht="21" customHeight="1" x14ac:dyDescent="0.15">
      <c r="A651" s="104">
        <f t="shared" si="10"/>
        <v>650</v>
      </c>
      <c r="B651" s="105" t="s">
        <v>268</v>
      </c>
      <c r="C651" s="121" t="s">
        <v>2045</v>
      </c>
      <c r="D651" s="107" t="s">
        <v>2034</v>
      </c>
      <c r="E651" s="108" t="s">
        <v>709</v>
      </c>
      <c r="F651" s="108" t="s">
        <v>532</v>
      </c>
      <c r="G651" s="108" t="s">
        <v>710</v>
      </c>
      <c r="H651" s="140" t="s">
        <v>2046</v>
      </c>
      <c r="I651" s="140">
        <v>4</v>
      </c>
      <c r="J651" s="109" t="s">
        <v>1372</v>
      </c>
      <c r="K651" s="105" t="s">
        <v>1505</v>
      </c>
      <c r="L651" s="107" t="str">
        <f ca="1">VLOOKUP($K651,OFFSET([1]character_type_i18n!$A$1,0,0,COUNTA([1]character_type_i18n!$A:$A),MATCH(L$1,[1]character_type_i18n!$1:$1,0)-MATCH($K$1,[1]character_type_i18n!$1:$1,0)+1),MATCH(L$1,[1]character_type_i18n!$1:$1,0)-MATCH($K$1,[1]character_type_i18n!$1:$1,0)+1,FALSE)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51" s="105" t="s">
        <v>313</v>
      </c>
      <c r="N651" s="107" t="str">
        <f>VLOOKUP(M651,[1]character_tribe_i18n!A:C,3,FALSE)</f>
        <v>アニマル</v>
      </c>
      <c r="O651" s="105" t="s">
        <v>1164</v>
      </c>
      <c r="P651" s="107" t="str">
        <f>VLOOKUP(O651,[1]character_tribe_i18n!A:C,3,FALSE)</f>
        <v>Unknown</v>
      </c>
      <c r="Q651" s="110" t="s">
        <v>279</v>
      </c>
      <c r="R651" s="111">
        <v>3</v>
      </c>
      <c r="S651" s="108" t="s">
        <v>280</v>
      </c>
      <c r="T651" s="108" t="s">
        <v>281</v>
      </c>
      <c r="U651" s="108" t="s">
        <v>280</v>
      </c>
      <c r="V651" s="108" t="s">
        <v>280</v>
      </c>
      <c r="W651" s="108" t="s">
        <v>280</v>
      </c>
    </row>
    <row r="652" spans="1:23" ht="21" customHeight="1" x14ac:dyDescent="0.15">
      <c r="A652" s="104">
        <f t="shared" si="10"/>
        <v>651</v>
      </c>
      <c r="B652" s="105" t="s">
        <v>268</v>
      </c>
      <c r="C652" s="121" t="s">
        <v>2047</v>
      </c>
      <c r="D652" s="107" t="s">
        <v>2034</v>
      </c>
      <c r="E652" s="108" t="s">
        <v>709</v>
      </c>
      <c r="F652" s="108" t="s">
        <v>532</v>
      </c>
      <c r="G652" s="108" t="s">
        <v>710</v>
      </c>
      <c r="H652" s="140" t="s">
        <v>2046</v>
      </c>
      <c r="I652" s="140">
        <v>5</v>
      </c>
      <c r="J652" s="109" t="s">
        <v>1372</v>
      </c>
      <c r="K652" s="105" t="s">
        <v>1505</v>
      </c>
      <c r="L652" s="107" t="str">
        <f ca="1">VLOOKUP($K652,OFFSET([1]character_type_i18n!$A$1,0,0,COUNTA([1]character_type_i18n!$A:$A),MATCH(L$1,[1]character_type_i18n!$1:$1,0)-MATCH($K$1,[1]character_type_i18n!$1:$1,0)+1),MATCH(L$1,[1]character_type_i18n!$1:$1,0)-MATCH($K$1,[1]character_type_i18n!$1:$1,0)+1,FALSE)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52" s="105" t="s">
        <v>313</v>
      </c>
      <c r="N652" s="107" t="str">
        <f>VLOOKUP(M652,[1]character_tribe_i18n!A:C,3,FALSE)</f>
        <v>アニマル</v>
      </c>
      <c r="O652" s="105" t="s">
        <v>1164</v>
      </c>
      <c r="P652" s="107" t="str">
        <f>VLOOKUP(O652,[1]character_tribe_i18n!A:C,3,FALSE)</f>
        <v>Unknown</v>
      </c>
      <c r="Q652" s="110" t="s">
        <v>279</v>
      </c>
      <c r="R652" s="111">
        <v>3</v>
      </c>
      <c r="S652" s="108" t="s">
        <v>280</v>
      </c>
      <c r="T652" s="108" t="s">
        <v>281</v>
      </c>
      <c r="U652" s="108" t="s">
        <v>280</v>
      </c>
      <c r="V652" s="108" t="s">
        <v>280</v>
      </c>
      <c r="W652" s="108" t="s">
        <v>280</v>
      </c>
    </row>
    <row r="653" spans="1:23" ht="21" customHeight="1" x14ac:dyDescent="0.15">
      <c r="A653" s="104">
        <f t="shared" si="10"/>
        <v>652</v>
      </c>
      <c r="B653" s="105" t="s">
        <v>268</v>
      </c>
      <c r="C653" s="121" t="s">
        <v>2048</v>
      </c>
      <c r="D653" s="107" t="s">
        <v>2040</v>
      </c>
      <c r="E653" s="108" t="s">
        <v>709</v>
      </c>
      <c r="F653" s="108" t="s">
        <v>532</v>
      </c>
      <c r="G653" s="108" t="s">
        <v>1347</v>
      </c>
      <c r="H653" s="140" t="s">
        <v>2049</v>
      </c>
      <c r="I653" s="140">
        <v>4</v>
      </c>
      <c r="J653" s="109" t="s">
        <v>2050</v>
      </c>
      <c r="K653" s="105" t="s">
        <v>1453</v>
      </c>
      <c r="L653" s="107" t="str">
        <f ca="1">VLOOKUP($K653,OFFSET([1]character_type_i18n!$A$1,0,0,COUNTA([1]character_type_i18n!$A:$A),MATCH(L$1,[1]character_type_i18n!$1:$1,0)-MATCH($K$1,[1]character_type_i18n!$1:$1,0)+1),MATCH(L$1,[1]character_type_i18n!$1:$1,0)-MATCH($K$1,[1]character_type_i18n!$1:$1,0)+1,FALSE)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53" s="105" t="s">
        <v>854</v>
      </c>
      <c r="N653" s="107" t="str">
        <f>VLOOKUP(M653,[1]character_tribe_i18n!A:C,3,FALSE)</f>
        <v>ドラゴン</v>
      </c>
      <c r="O653" s="105" t="s">
        <v>278</v>
      </c>
      <c r="P653" s="107" t="str">
        <f>VLOOKUP(O653,[1]character_tribe_i18n!A:C,3,FALSE)</f>
        <v>種族なし</v>
      </c>
      <c r="Q653" s="110" t="s">
        <v>279</v>
      </c>
      <c r="R653" s="111">
        <v>3</v>
      </c>
      <c r="S653" s="108" t="s">
        <v>280</v>
      </c>
      <c r="T653" s="108" t="s">
        <v>281</v>
      </c>
      <c r="U653" s="108" t="s">
        <v>280</v>
      </c>
      <c r="V653" s="108" t="s">
        <v>280</v>
      </c>
      <c r="W653" s="108" t="s">
        <v>280</v>
      </c>
    </row>
    <row r="654" spans="1:23" ht="21" customHeight="1" x14ac:dyDescent="0.15">
      <c r="A654" s="104">
        <f t="shared" si="10"/>
        <v>653</v>
      </c>
      <c r="B654" s="105" t="s">
        <v>268</v>
      </c>
      <c r="C654" s="121" t="s">
        <v>2051</v>
      </c>
      <c r="D654" s="107" t="s">
        <v>2043</v>
      </c>
      <c r="E654" s="108" t="s">
        <v>709</v>
      </c>
      <c r="F654" s="108" t="s">
        <v>532</v>
      </c>
      <c r="G654" s="108" t="s">
        <v>1347</v>
      </c>
      <c r="H654" s="140" t="s">
        <v>2049</v>
      </c>
      <c r="I654" s="140">
        <v>5</v>
      </c>
      <c r="J654" s="109" t="s">
        <v>2050</v>
      </c>
      <c r="K654" s="105" t="s">
        <v>1453</v>
      </c>
      <c r="L654" s="107" t="str">
        <f ca="1">VLOOKUP($K654,OFFSET([1]character_type_i18n!$A$1,0,0,COUNTA([1]character_type_i18n!$A:$A),MATCH(L$1,[1]character_type_i18n!$1:$1,0)-MATCH($K$1,[1]character_type_i18n!$1:$1,0)+1),MATCH(L$1,[1]character_type_i18n!$1:$1,0)-MATCH($K$1,[1]character_type_i18n!$1:$1,0)+1,FALSE)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54" s="105" t="s">
        <v>854</v>
      </c>
      <c r="N654" s="107" t="str">
        <f>VLOOKUP(M654,[1]character_tribe_i18n!A:C,3,FALSE)</f>
        <v>ドラゴン</v>
      </c>
      <c r="O654" s="105" t="s">
        <v>278</v>
      </c>
      <c r="P654" s="107" t="str">
        <f>VLOOKUP(O654,[1]character_tribe_i18n!A:C,3,FALSE)</f>
        <v>種族なし</v>
      </c>
      <c r="Q654" s="110" t="s">
        <v>279</v>
      </c>
      <c r="R654" s="111">
        <v>3</v>
      </c>
      <c r="S654" s="108" t="s">
        <v>280</v>
      </c>
      <c r="T654" s="108" t="s">
        <v>281</v>
      </c>
      <c r="U654" s="108" t="s">
        <v>280</v>
      </c>
      <c r="V654" s="108" t="s">
        <v>280</v>
      </c>
      <c r="W654" s="108" t="s">
        <v>280</v>
      </c>
    </row>
    <row r="655" spans="1:23" ht="21" customHeight="1" x14ac:dyDescent="0.15">
      <c r="A655" s="104">
        <f t="shared" si="10"/>
        <v>654</v>
      </c>
      <c r="B655" s="105" t="s">
        <v>268</v>
      </c>
      <c r="C655" s="127" t="s">
        <v>2052</v>
      </c>
      <c r="D655" s="107" t="s">
        <v>2026</v>
      </c>
      <c r="E655" s="108" t="s">
        <v>709</v>
      </c>
      <c r="F655" s="108" t="s">
        <v>532</v>
      </c>
      <c r="G655" s="108" t="s">
        <v>853</v>
      </c>
      <c r="H655" s="140" t="s">
        <v>2053</v>
      </c>
      <c r="I655" s="140">
        <v>4</v>
      </c>
      <c r="J655" s="130" t="s">
        <v>1618</v>
      </c>
      <c r="K655" s="105" t="s">
        <v>1392</v>
      </c>
      <c r="L655" s="107" t="str">
        <f ca="1">VLOOKUP($K655,OFFSET([1]character_type_i18n!$A$1,0,0,COUNTA([1]character_type_i18n!$A:$A),MATCH(L$1,[1]character_type_i18n!$1:$1,0)-MATCH($K$1,[1]character_type_i18n!$1:$1,0)+1),MATCH(L$1,[1]character_type_i18n!$1:$1,0)-MATCH($K$1,[1]character_type_i18n!$1:$1,0)+1,FALSE)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55" s="105" t="s">
        <v>1018</v>
      </c>
      <c r="N655" s="107" t="str">
        <f>VLOOKUP(M655,[1]character_tribe_i18n!A:C,3,FALSE)</f>
        <v>ゴッド</v>
      </c>
      <c r="O655" s="105" t="s">
        <v>1164</v>
      </c>
      <c r="P655" s="107" t="str">
        <f>VLOOKUP(O655,[1]character_tribe_i18n!A:C,3,FALSE)</f>
        <v>Unknown</v>
      </c>
      <c r="Q655" s="110" t="s">
        <v>279</v>
      </c>
      <c r="R655" s="111">
        <v>3</v>
      </c>
      <c r="S655" s="108" t="s">
        <v>280</v>
      </c>
      <c r="T655" s="108" t="s">
        <v>281</v>
      </c>
      <c r="U655" s="108" t="s">
        <v>280</v>
      </c>
      <c r="V655" s="108" t="s">
        <v>280</v>
      </c>
      <c r="W655" s="108" t="s">
        <v>280</v>
      </c>
    </row>
    <row r="656" spans="1:23" ht="21" customHeight="1" x14ac:dyDescent="0.15">
      <c r="A656" s="104">
        <f t="shared" si="10"/>
        <v>655</v>
      </c>
      <c r="B656" s="105" t="s">
        <v>268</v>
      </c>
      <c r="C656" s="127" t="s">
        <v>2054</v>
      </c>
      <c r="D656" s="107" t="s">
        <v>2026</v>
      </c>
      <c r="E656" s="108" t="s">
        <v>709</v>
      </c>
      <c r="F656" s="108" t="s">
        <v>532</v>
      </c>
      <c r="G656" s="108" t="s">
        <v>853</v>
      </c>
      <c r="H656" s="140" t="s">
        <v>2053</v>
      </c>
      <c r="I656" s="140">
        <v>5</v>
      </c>
      <c r="J656" s="130" t="s">
        <v>1618</v>
      </c>
      <c r="K656" s="105" t="s">
        <v>1392</v>
      </c>
      <c r="L656" s="107" t="str">
        <f ca="1">VLOOKUP($K656,OFFSET([1]character_type_i18n!$A$1,0,0,COUNTA([1]character_type_i18n!$A:$A),MATCH(L$1,[1]character_type_i18n!$1:$1,0)-MATCH($K$1,[1]character_type_i18n!$1:$1,0)+1),MATCH(L$1,[1]character_type_i18n!$1:$1,0)-MATCH($K$1,[1]character_type_i18n!$1:$1,0)+1,FALSE)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56" s="105" t="s">
        <v>1018</v>
      </c>
      <c r="N656" s="107" t="str">
        <f>VLOOKUP(M656,[1]character_tribe_i18n!A:C,3,FALSE)</f>
        <v>ゴッド</v>
      </c>
      <c r="O656" s="105" t="s">
        <v>1164</v>
      </c>
      <c r="P656" s="107" t="str">
        <f>VLOOKUP(O656,[1]character_tribe_i18n!A:C,3,FALSE)</f>
        <v>Unknown</v>
      </c>
      <c r="Q656" s="110" t="s">
        <v>279</v>
      </c>
      <c r="R656" s="111">
        <v>3</v>
      </c>
      <c r="S656" s="108" t="s">
        <v>280</v>
      </c>
      <c r="T656" s="108" t="s">
        <v>281</v>
      </c>
      <c r="U656" s="108" t="s">
        <v>280</v>
      </c>
      <c r="V656" s="108" t="s">
        <v>280</v>
      </c>
      <c r="W656" s="108" t="s">
        <v>280</v>
      </c>
    </row>
    <row r="657" spans="1:23" ht="21" customHeight="1" x14ac:dyDescent="0.15">
      <c r="A657" s="104">
        <f t="shared" si="10"/>
        <v>656</v>
      </c>
      <c r="B657" s="105" t="s">
        <v>268</v>
      </c>
      <c r="C657" s="142" t="s">
        <v>2055</v>
      </c>
      <c r="D657" s="107" t="s">
        <v>2026</v>
      </c>
      <c r="E657" s="108" t="s">
        <v>709</v>
      </c>
      <c r="F657" s="108" t="s">
        <v>532</v>
      </c>
      <c r="G657" s="108" t="s">
        <v>1822</v>
      </c>
      <c r="H657" s="140" t="s">
        <v>2056</v>
      </c>
      <c r="I657" s="140">
        <v>4</v>
      </c>
      <c r="J657" s="130" t="s">
        <v>2057</v>
      </c>
      <c r="K657" s="105" t="s">
        <v>2058</v>
      </c>
      <c r="L657" s="107" t="str">
        <f ca="1">VLOOKUP($K657,OFFSET([1]character_type_i18n!$A$1,0,0,COUNTA([1]character_type_i18n!$A:$A),MATCH(L$1,[1]character_type_i18n!$1:$1,0)-MATCH($K$1,[1]character_type_i18n!$1:$1,0)+1),MATCH(L$1,[1]character_type_i18n!$1:$1,0)-MATCH($K$1,[1]character_type_i18n!$1:$1,0)+1,FALSE)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57" s="105" t="s">
        <v>2059</v>
      </c>
      <c r="N657" s="107" t="str">
        <f>VLOOKUP(M657,[1]character_tribe_i18n!A:C,3,FALSE)</f>
        <v>ゴッド</v>
      </c>
      <c r="O657" s="105" t="s">
        <v>278</v>
      </c>
      <c r="P657" s="107" t="str">
        <f>VLOOKUP(O657,[1]character_tribe_i18n!A:C,3,FALSE)</f>
        <v>種族なし</v>
      </c>
      <c r="Q657" s="110" t="s">
        <v>2060</v>
      </c>
      <c r="R657" s="111">
        <v>3</v>
      </c>
      <c r="S657" s="108" t="s">
        <v>2061</v>
      </c>
      <c r="T657" s="108" t="s">
        <v>2062</v>
      </c>
      <c r="U657" s="108" t="s">
        <v>2063</v>
      </c>
      <c r="V657" s="108" t="s">
        <v>2061</v>
      </c>
      <c r="W657" s="108" t="s">
        <v>2061</v>
      </c>
    </row>
    <row r="658" spans="1:23" ht="21" customHeight="1" x14ac:dyDescent="0.15">
      <c r="A658" s="104">
        <f t="shared" si="10"/>
        <v>657</v>
      </c>
      <c r="B658" s="105" t="s">
        <v>2064</v>
      </c>
      <c r="C658" s="142" t="s">
        <v>2065</v>
      </c>
      <c r="D658" s="107" t="s">
        <v>2066</v>
      </c>
      <c r="E658" s="108" t="s">
        <v>2067</v>
      </c>
      <c r="F658" s="108" t="s">
        <v>903</v>
      </c>
      <c r="G658" s="108" t="s">
        <v>1822</v>
      </c>
      <c r="H658" s="140" t="s">
        <v>2068</v>
      </c>
      <c r="I658" s="140">
        <v>5</v>
      </c>
      <c r="J658" s="130" t="s">
        <v>2069</v>
      </c>
      <c r="K658" s="105" t="s">
        <v>1292</v>
      </c>
      <c r="L658" s="107" t="str">
        <f ca="1">VLOOKUP($K658,OFFSET([1]character_type_i18n!$A$1,0,0,COUNTA([1]character_type_i18n!$A:$A),MATCH(L$1,[1]character_type_i18n!$1:$1,0)-MATCH($K$1,[1]character_type_i18n!$1:$1,0)+1),MATCH(L$1,[1]character_type_i18n!$1:$1,0)-MATCH($K$1,[1]character_type_i18n!$1:$1,0)+1,FALSE)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58" s="105" t="s">
        <v>2070</v>
      </c>
      <c r="N658" s="107" t="str">
        <f>VLOOKUP(M658,[1]character_tribe_i18n!A:C,3,FALSE)</f>
        <v>ゴッド</v>
      </c>
      <c r="O658" s="105" t="s">
        <v>278</v>
      </c>
      <c r="P658" s="107" t="str">
        <f>VLOOKUP(O658,[1]character_tribe_i18n!A:C,3,FALSE)</f>
        <v>種族なし</v>
      </c>
      <c r="Q658" s="110" t="s">
        <v>2071</v>
      </c>
      <c r="R658" s="111">
        <v>3</v>
      </c>
      <c r="S658" s="108" t="s">
        <v>2072</v>
      </c>
      <c r="T658" s="108" t="s">
        <v>2073</v>
      </c>
      <c r="U658" s="108" t="s">
        <v>2072</v>
      </c>
      <c r="V658" s="108" t="s">
        <v>2072</v>
      </c>
      <c r="W658" s="108" t="s">
        <v>2072</v>
      </c>
    </row>
    <row r="659" spans="1:23" s="116" customFormat="1" ht="21" customHeight="1" x14ac:dyDescent="0.15">
      <c r="A659" s="104">
        <f t="shared" si="10"/>
        <v>658</v>
      </c>
      <c r="B659" s="105" t="s">
        <v>2074</v>
      </c>
      <c r="C659" s="121" t="s">
        <v>2075</v>
      </c>
      <c r="D659" s="107" t="s">
        <v>2076</v>
      </c>
      <c r="E659" s="114" t="s">
        <v>1662</v>
      </c>
      <c r="F659" s="114" t="s">
        <v>532</v>
      </c>
      <c r="G659" s="114" t="s">
        <v>853</v>
      </c>
      <c r="H659" s="140" t="s">
        <v>2077</v>
      </c>
      <c r="I659" s="140">
        <v>4</v>
      </c>
      <c r="J659" s="115" t="s">
        <v>1263</v>
      </c>
      <c r="K659" s="105" t="s">
        <v>2078</v>
      </c>
      <c r="L659" s="107" t="str">
        <f ca="1">VLOOKUP($K659,OFFSET([1]character_type_i18n!$A$1,0,0,COUNTA([1]character_type_i18n!$A:$A),MATCH(L$1,[1]character_type_i18n!$1:$1,0)-MATCH($K$1,[1]character_type_i18n!$1:$1,0)+1),MATCH(L$1,[1]character_type_i18n!$1:$1,0)-MATCH($K$1,[1]character_type_i18n!$1:$1,0)+1,FALSE)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59" s="105" t="s">
        <v>1680</v>
      </c>
      <c r="N659" s="107" t="str">
        <f>VLOOKUP(M659,[1]character_tribe_i18n!A:C,3,FALSE)</f>
        <v>アニマル</v>
      </c>
      <c r="O659" s="105" t="s">
        <v>1152</v>
      </c>
      <c r="P659" s="107" t="str">
        <f>VLOOKUP(O659,[1]character_tribe_i18n!A:C,3,FALSE)</f>
        <v>Unknown</v>
      </c>
      <c r="Q659" s="110" t="s">
        <v>279</v>
      </c>
      <c r="R659" s="105">
        <v>3</v>
      </c>
      <c r="S659" s="114" t="s">
        <v>280</v>
      </c>
      <c r="T659" s="108" t="s">
        <v>281</v>
      </c>
      <c r="U659" s="114" t="s">
        <v>280</v>
      </c>
      <c r="V659" s="114" t="s">
        <v>280</v>
      </c>
      <c r="W659" s="114" t="s">
        <v>280</v>
      </c>
    </row>
    <row r="660" spans="1:23" ht="21" customHeight="1" x14ac:dyDescent="0.15">
      <c r="A660" s="104">
        <f t="shared" si="10"/>
        <v>659</v>
      </c>
      <c r="B660" s="105" t="s">
        <v>268</v>
      </c>
      <c r="C660" s="121" t="s">
        <v>2079</v>
      </c>
      <c r="D660" s="107" t="s">
        <v>2076</v>
      </c>
      <c r="E660" s="108" t="s">
        <v>709</v>
      </c>
      <c r="F660" s="108" t="s">
        <v>532</v>
      </c>
      <c r="G660" s="108" t="s">
        <v>853</v>
      </c>
      <c r="H660" s="140" t="s">
        <v>2080</v>
      </c>
      <c r="I660" s="140">
        <v>5</v>
      </c>
      <c r="J660" s="109" t="s">
        <v>1220</v>
      </c>
      <c r="K660" s="105" t="s">
        <v>1392</v>
      </c>
      <c r="L660" s="107" t="str">
        <f ca="1">VLOOKUP($K660,OFFSET([1]character_type_i18n!$A$1,0,0,COUNTA([1]character_type_i18n!$A:$A),MATCH(L$1,[1]character_type_i18n!$1:$1,0)-MATCH($K$1,[1]character_type_i18n!$1:$1,0)+1),MATCH(L$1,[1]character_type_i18n!$1:$1,0)-MATCH($K$1,[1]character_type_i18n!$1:$1,0)+1,FALSE)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60" s="105" t="s">
        <v>1172</v>
      </c>
      <c r="N660" s="107" t="str">
        <f>VLOOKUP(M660,[1]character_tribe_i18n!A:C,3,FALSE)</f>
        <v>アニマル</v>
      </c>
      <c r="O660" s="105" t="s">
        <v>1164</v>
      </c>
      <c r="P660" s="107" t="str">
        <f>VLOOKUP(O660,[1]character_tribe_i18n!A:C,3,FALSE)</f>
        <v>Unknown</v>
      </c>
      <c r="Q660" s="110" t="s">
        <v>362</v>
      </c>
      <c r="R660" s="111">
        <v>3</v>
      </c>
      <c r="S660" s="108" t="s">
        <v>289</v>
      </c>
      <c r="T660" s="108" t="s">
        <v>288</v>
      </c>
      <c r="U660" s="108" t="s">
        <v>289</v>
      </c>
      <c r="V660" s="108" t="s">
        <v>289</v>
      </c>
      <c r="W660" s="108" t="s">
        <v>289</v>
      </c>
    </row>
    <row r="661" spans="1:23" ht="21" customHeight="1" x14ac:dyDescent="0.15">
      <c r="A661" s="104">
        <f t="shared" si="10"/>
        <v>660</v>
      </c>
      <c r="B661" s="105" t="s">
        <v>292</v>
      </c>
      <c r="C661" s="121" t="s">
        <v>2081</v>
      </c>
      <c r="D661" s="107" t="s">
        <v>2076</v>
      </c>
      <c r="E661" s="108" t="s">
        <v>848</v>
      </c>
      <c r="F661" s="108" t="s">
        <v>1422</v>
      </c>
      <c r="G661" s="108" t="s">
        <v>1587</v>
      </c>
      <c r="H661" s="140" t="s">
        <v>2082</v>
      </c>
      <c r="I661" s="140">
        <v>4</v>
      </c>
      <c r="J661" s="109" t="s">
        <v>2083</v>
      </c>
      <c r="K661" s="105" t="s">
        <v>2084</v>
      </c>
      <c r="L661" s="107" t="str">
        <f ca="1">VLOOKUP($K661,OFFSET([1]character_type_i18n!$A$1,0,0,COUNTA([1]character_type_i18n!$A:$A),MATCH(L$1,[1]character_type_i18n!$1:$1,0)-MATCH($K$1,[1]character_type_i18n!$1:$1,0)+1),MATCH(L$1,[1]character_type_i18n!$1:$1,0)-MATCH($K$1,[1]character_type_i18n!$1:$1,0)+1,FALSE)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61" s="105" t="s">
        <v>313</v>
      </c>
      <c r="N661" s="107" t="str">
        <f>VLOOKUP(M661,[1]character_tribe_i18n!A:C,3,FALSE)</f>
        <v>アニマル</v>
      </c>
      <c r="O661" s="105" t="s">
        <v>1413</v>
      </c>
      <c r="P661" s="107" t="str">
        <f>VLOOKUP(O661,[1]character_tribe_i18n!A:C,3,FALSE)</f>
        <v>Unknown</v>
      </c>
      <c r="Q661" s="110" t="s">
        <v>279</v>
      </c>
      <c r="R661" s="111">
        <v>3</v>
      </c>
      <c r="S661" s="108" t="s">
        <v>280</v>
      </c>
      <c r="T661" s="108" t="s">
        <v>281</v>
      </c>
      <c r="U661" s="108" t="s">
        <v>280</v>
      </c>
      <c r="V661" s="108" t="s">
        <v>280</v>
      </c>
      <c r="W661" s="108" t="s">
        <v>280</v>
      </c>
    </row>
    <row r="662" spans="1:23" ht="21" customHeight="1" x14ac:dyDescent="0.15">
      <c r="A662" s="104">
        <f t="shared" si="10"/>
        <v>661</v>
      </c>
      <c r="B662" s="105" t="s">
        <v>268</v>
      </c>
      <c r="C662" s="121" t="s">
        <v>2085</v>
      </c>
      <c r="D662" s="107" t="s">
        <v>2076</v>
      </c>
      <c r="E662" s="108" t="s">
        <v>709</v>
      </c>
      <c r="F662" s="108" t="s">
        <v>532</v>
      </c>
      <c r="G662" s="108" t="s">
        <v>710</v>
      </c>
      <c r="H662" s="143" t="s">
        <v>1999</v>
      </c>
      <c r="I662" s="140">
        <v>5</v>
      </c>
      <c r="J662" s="109" t="s">
        <v>1001</v>
      </c>
      <c r="K662" s="105" t="s">
        <v>1008</v>
      </c>
      <c r="L662" s="107" t="str">
        <f ca="1">VLOOKUP($K662,OFFSET([1]character_type_i18n!$A$1,0,0,COUNTA([1]character_type_i18n!$A:$A),MATCH(L$1,[1]character_type_i18n!$1:$1,0)-MATCH($K$1,[1]character_type_i18n!$1:$1,0)+1),MATCH(L$1,[1]character_type_i18n!$1:$1,0)-MATCH($K$1,[1]character_type_i18n!$1:$1,0)+1,FALSE)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62" s="105" t="s">
        <v>1172</v>
      </c>
      <c r="N662" s="107" t="str">
        <f>VLOOKUP(M662,[1]character_tribe_i18n!A:C,3,FALSE)</f>
        <v>アニマル</v>
      </c>
      <c r="O662" s="105" t="s">
        <v>1164</v>
      </c>
      <c r="P662" s="107" t="str">
        <f>VLOOKUP(O662,[1]character_tribe_i18n!A:C,3,FALSE)</f>
        <v>Unknown</v>
      </c>
      <c r="Q662" s="110" t="s">
        <v>362</v>
      </c>
      <c r="R662" s="111">
        <v>3</v>
      </c>
      <c r="S662" s="108" t="s">
        <v>289</v>
      </c>
      <c r="T662" s="108" t="s">
        <v>288</v>
      </c>
      <c r="U662" s="108" t="s">
        <v>289</v>
      </c>
      <c r="V662" s="108" t="s">
        <v>289</v>
      </c>
      <c r="W662" s="108" t="s">
        <v>289</v>
      </c>
    </row>
    <row r="663" spans="1:23" ht="21" customHeight="1" x14ac:dyDescent="0.15">
      <c r="A663" s="104">
        <f t="shared" si="10"/>
        <v>662</v>
      </c>
      <c r="B663" s="105" t="s">
        <v>292</v>
      </c>
      <c r="C663" s="121" t="s">
        <v>2086</v>
      </c>
      <c r="D663" s="107" t="s">
        <v>2076</v>
      </c>
      <c r="E663" s="108" t="s">
        <v>848</v>
      </c>
      <c r="F663" s="108" t="s">
        <v>1422</v>
      </c>
      <c r="G663" s="108" t="s">
        <v>1347</v>
      </c>
      <c r="H663" s="143" t="s">
        <v>2087</v>
      </c>
      <c r="I663" s="140">
        <v>3</v>
      </c>
      <c r="J663" s="109" t="s">
        <v>2088</v>
      </c>
      <c r="K663" s="105" t="s">
        <v>1453</v>
      </c>
      <c r="L663" s="107" t="str">
        <f ca="1">VLOOKUP($K663,OFFSET([1]character_type_i18n!$A$1,0,0,COUNTA([1]character_type_i18n!$A:$A),MATCH(L$1,[1]character_type_i18n!$1:$1,0)-MATCH($K$1,[1]character_type_i18n!$1:$1,0)+1),MATCH(L$1,[1]character_type_i18n!$1:$1,0)-MATCH($K$1,[1]character_type_i18n!$1:$1,0)+1,FALSE)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63" s="105" t="s">
        <v>1164</v>
      </c>
      <c r="N663" s="107" t="str">
        <f>VLOOKUP(M663,[1]character_tribe_i18n!A:C,3,FALSE)</f>
        <v>Unknown</v>
      </c>
      <c r="O663" s="105" t="s">
        <v>278</v>
      </c>
      <c r="P663" s="107" t="str">
        <f>VLOOKUP(O663,[1]character_tribe_i18n!A:C,3,FALSE)</f>
        <v>種族なし</v>
      </c>
      <c r="Q663" s="110" t="s">
        <v>279</v>
      </c>
      <c r="R663" s="111">
        <v>3</v>
      </c>
      <c r="S663" s="108" t="s">
        <v>280</v>
      </c>
      <c r="T663" s="108" t="s">
        <v>281</v>
      </c>
      <c r="U663" s="108" t="s">
        <v>280</v>
      </c>
      <c r="V663" s="108" t="s">
        <v>280</v>
      </c>
      <c r="W663" s="108" t="s">
        <v>280</v>
      </c>
    </row>
    <row r="664" spans="1:23" ht="21" customHeight="1" x14ac:dyDescent="0.15">
      <c r="A664" s="104">
        <f t="shared" si="10"/>
        <v>663</v>
      </c>
      <c r="B664" s="105" t="s">
        <v>268</v>
      </c>
      <c r="C664" s="121" t="s">
        <v>2089</v>
      </c>
      <c r="D664" s="107" t="s">
        <v>2076</v>
      </c>
      <c r="E664" s="108" t="s">
        <v>709</v>
      </c>
      <c r="F664" s="108" t="s">
        <v>532</v>
      </c>
      <c r="G664" s="108" t="s">
        <v>1347</v>
      </c>
      <c r="H664" s="140" t="s">
        <v>2087</v>
      </c>
      <c r="I664" s="140">
        <v>4</v>
      </c>
      <c r="J664" s="109" t="s">
        <v>2088</v>
      </c>
      <c r="K664" s="105" t="s">
        <v>1453</v>
      </c>
      <c r="L664" s="107" t="str">
        <f ca="1">VLOOKUP($K664,OFFSET([1]character_type_i18n!$A$1,0,0,COUNTA([1]character_type_i18n!$A:$A),MATCH(L$1,[1]character_type_i18n!$1:$1,0)-MATCH($K$1,[1]character_type_i18n!$1:$1,0)+1),MATCH(L$1,[1]character_type_i18n!$1:$1,0)-MATCH($K$1,[1]character_type_i18n!$1:$1,0)+1,FALSE)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64" s="105" t="s">
        <v>1413</v>
      </c>
      <c r="N664" s="107" t="str">
        <f>VLOOKUP(M664,[1]character_tribe_i18n!A:C,3,FALSE)</f>
        <v>Unknown</v>
      </c>
      <c r="O664" s="105" t="s">
        <v>278</v>
      </c>
      <c r="P664" s="107" t="str">
        <f>VLOOKUP(O664,[1]character_tribe_i18n!A:C,3,FALSE)</f>
        <v>種族なし</v>
      </c>
      <c r="Q664" s="110" t="s">
        <v>362</v>
      </c>
      <c r="R664" s="111">
        <v>3</v>
      </c>
      <c r="S664" s="108" t="s">
        <v>289</v>
      </c>
      <c r="T664" s="108" t="s">
        <v>288</v>
      </c>
      <c r="U664" s="108" t="s">
        <v>289</v>
      </c>
      <c r="V664" s="108" t="s">
        <v>289</v>
      </c>
      <c r="W664" s="108" t="s">
        <v>289</v>
      </c>
    </row>
    <row r="665" spans="1:23" ht="21" customHeight="1" x14ac:dyDescent="0.15">
      <c r="A665" s="104">
        <f t="shared" si="10"/>
        <v>664</v>
      </c>
      <c r="B665" s="105" t="s">
        <v>292</v>
      </c>
      <c r="C665" s="121" t="s">
        <v>2090</v>
      </c>
      <c r="D665" s="107" t="s">
        <v>2076</v>
      </c>
      <c r="E665" s="108" t="s">
        <v>848</v>
      </c>
      <c r="F665" s="108" t="s">
        <v>1422</v>
      </c>
      <c r="G665" s="108" t="s">
        <v>1347</v>
      </c>
      <c r="H665" s="140" t="s">
        <v>2087</v>
      </c>
      <c r="I665" s="140">
        <v>5</v>
      </c>
      <c r="J665" s="109" t="s">
        <v>805</v>
      </c>
      <c r="K665" s="105" t="s">
        <v>1453</v>
      </c>
      <c r="L665" s="107" t="str">
        <f ca="1">VLOOKUP($K665,OFFSET([1]character_type_i18n!$A$1,0,0,COUNTA([1]character_type_i18n!$A:$A),MATCH(L$1,[1]character_type_i18n!$1:$1,0)-MATCH($K$1,[1]character_type_i18n!$1:$1,0)+1),MATCH(L$1,[1]character_type_i18n!$1:$1,0)-MATCH($K$1,[1]character_type_i18n!$1:$1,0)+1,FALSE)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65" s="105" t="s">
        <v>1164</v>
      </c>
      <c r="N665" s="107" t="str">
        <f>VLOOKUP(M665,[1]character_tribe_i18n!A:C,3,FALSE)</f>
        <v>Unknown</v>
      </c>
      <c r="O665" s="105" t="s">
        <v>278</v>
      </c>
      <c r="P665" s="107" t="str">
        <f>VLOOKUP(O665,[1]character_tribe_i18n!A:C,3,FALSE)</f>
        <v>種族なし</v>
      </c>
      <c r="Q665" s="110" t="s">
        <v>279</v>
      </c>
      <c r="R665" s="111">
        <v>3</v>
      </c>
      <c r="S665" s="108" t="s">
        <v>280</v>
      </c>
      <c r="T665" s="108" t="s">
        <v>281</v>
      </c>
      <c r="U665" s="108" t="s">
        <v>280</v>
      </c>
      <c r="V665" s="108" t="s">
        <v>280</v>
      </c>
      <c r="W665" s="108" t="s">
        <v>280</v>
      </c>
    </row>
    <row r="666" spans="1:23" ht="21" customHeight="1" x14ac:dyDescent="0.15">
      <c r="A666" s="104">
        <f t="shared" si="10"/>
        <v>665</v>
      </c>
      <c r="B666" s="105" t="s">
        <v>268</v>
      </c>
      <c r="C666" s="121" t="s">
        <v>2091</v>
      </c>
      <c r="D666" s="107" t="s">
        <v>2076</v>
      </c>
      <c r="E666" s="108" t="s">
        <v>709</v>
      </c>
      <c r="F666" s="108" t="s">
        <v>532</v>
      </c>
      <c r="G666" s="108" t="s">
        <v>853</v>
      </c>
      <c r="H666" s="140" t="s">
        <v>2053</v>
      </c>
      <c r="I666" s="140">
        <v>3</v>
      </c>
      <c r="J666" s="109" t="s">
        <v>805</v>
      </c>
      <c r="K666" s="105" t="s">
        <v>1388</v>
      </c>
      <c r="L666" s="107" t="str">
        <f ca="1">VLOOKUP($K666,OFFSET([1]character_type_i18n!$A$1,0,0,COUNTA([1]character_type_i18n!$A:$A),MATCH(L$1,[1]character_type_i18n!$1:$1,0)-MATCH($K$1,[1]character_type_i18n!$1:$1,0)+1),MATCH(L$1,[1]character_type_i18n!$1:$1,0)-MATCH($K$1,[1]character_type_i18n!$1:$1,0)+1,FALSE)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66" s="105" t="s">
        <v>1413</v>
      </c>
      <c r="N666" s="107" t="str">
        <f>VLOOKUP(M666,[1]character_tribe_i18n!A:C,3,FALSE)</f>
        <v>Unknown</v>
      </c>
      <c r="O666" s="105" t="s">
        <v>278</v>
      </c>
      <c r="P666" s="107" t="str">
        <f>VLOOKUP(O666,[1]character_tribe_i18n!A:C,3,FALSE)</f>
        <v>種族なし</v>
      </c>
      <c r="Q666" s="110" t="s">
        <v>362</v>
      </c>
      <c r="R666" s="111">
        <v>3</v>
      </c>
      <c r="S666" s="108" t="s">
        <v>289</v>
      </c>
      <c r="T666" s="108" t="s">
        <v>288</v>
      </c>
      <c r="U666" s="108" t="s">
        <v>289</v>
      </c>
      <c r="V666" s="108" t="s">
        <v>289</v>
      </c>
      <c r="W666" s="108" t="s">
        <v>289</v>
      </c>
    </row>
    <row r="667" spans="1:23" ht="21" customHeight="1" x14ac:dyDescent="0.15">
      <c r="A667" s="104">
        <f t="shared" si="10"/>
        <v>666</v>
      </c>
      <c r="B667" s="105" t="s">
        <v>292</v>
      </c>
      <c r="C667" s="121" t="s">
        <v>2092</v>
      </c>
      <c r="D667" s="107" t="s">
        <v>2076</v>
      </c>
      <c r="E667" s="108" t="s">
        <v>848</v>
      </c>
      <c r="F667" s="108" t="s">
        <v>1422</v>
      </c>
      <c r="G667" s="108" t="s">
        <v>853</v>
      </c>
      <c r="H667" s="140" t="s">
        <v>2053</v>
      </c>
      <c r="I667" s="140">
        <v>4</v>
      </c>
      <c r="J667" s="109" t="s">
        <v>1573</v>
      </c>
      <c r="K667" s="105" t="s">
        <v>1388</v>
      </c>
      <c r="L667" s="107" t="str">
        <f ca="1">VLOOKUP($K667,OFFSET([1]character_type_i18n!$A$1,0,0,COUNTA([1]character_type_i18n!$A:$A),MATCH(L$1,[1]character_type_i18n!$1:$1,0)-MATCH($K$1,[1]character_type_i18n!$1:$1,0)+1),MATCH(L$1,[1]character_type_i18n!$1:$1,0)-MATCH($K$1,[1]character_type_i18n!$1:$1,0)+1,FALSE)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67" s="105" t="s">
        <v>1164</v>
      </c>
      <c r="N667" s="107" t="str">
        <f>VLOOKUP(M667,[1]character_tribe_i18n!A:C,3,FALSE)</f>
        <v>Unknown</v>
      </c>
      <c r="O667" s="105" t="s">
        <v>278</v>
      </c>
      <c r="P667" s="107" t="str">
        <f>VLOOKUP(O667,[1]character_tribe_i18n!A:C,3,FALSE)</f>
        <v>種族なし</v>
      </c>
      <c r="Q667" s="110" t="s">
        <v>279</v>
      </c>
      <c r="R667" s="111">
        <v>3</v>
      </c>
      <c r="S667" s="108" t="s">
        <v>280</v>
      </c>
      <c r="T667" s="108" t="s">
        <v>281</v>
      </c>
      <c r="U667" s="108" t="s">
        <v>280</v>
      </c>
      <c r="V667" s="108" t="s">
        <v>280</v>
      </c>
      <c r="W667" s="108" t="s">
        <v>280</v>
      </c>
    </row>
    <row r="668" spans="1:23" ht="21" customHeight="1" x14ac:dyDescent="0.15">
      <c r="A668" s="104">
        <f t="shared" si="10"/>
        <v>667</v>
      </c>
      <c r="B668" s="105" t="s">
        <v>268</v>
      </c>
      <c r="C668" s="121" t="s">
        <v>2093</v>
      </c>
      <c r="D668" s="107" t="s">
        <v>2076</v>
      </c>
      <c r="E668" s="108" t="s">
        <v>709</v>
      </c>
      <c r="F668" s="108" t="s">
        <v>532</v>
      </c>
      <c r="G668" s="108" t="s">
        <v>853</v>
      </c>
      <c r="H668" s="140" t="s">
        <v>2053</v>
      </c>
      <c r="I668" s="140">
        <v>5</v>
      </c>
      <c r="J668" s="109" t="s">
        <v>805</v>
      </c>
      <c r="K668" s="105" t="s">
        <v>1388</v>
      </c>
      <c r="L668" s="107" t="str">
        <f ca="1">VLOOKUP($K668,OFFSET([1]character_type_i18n!$A$1,0,0,COUNTA([1]character_type_i18n!$A:$A),MATCH(L$1,[1]character_type_i18n!$1:$1,0)-MATCH($K$1,[1]character_type_i18n!$1:$1,0)+1),MATCH(L$1,[1]character_type_i18n!$1:$1,0)-MATCH($K$1,[1]character_type_i18n!$1:$1,0)+1,FALSE)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68" s="105" t="s">
        <v>1413</v>
      </c>
      <c r="N668" s="107" t="str">
        <f>VLOOKUP(M668,[1]character_tribe_i18n!A:C,3,FALSE)</f>
        <v>Unknown</v>
      </c>
      <c r="O668" s="105" t="s">
        <v>278</v>
      </c>
      <c r="P668" s="107" t="str">
        <f>VLOOKUP(O668,[1]character_tribe_i18n!A:C,3,FALSE)</f>
        <v>種族なし</v>
      </c>
      <c r="Q668" s="110" t="s">
        <v>362</v>
      </c>
      <c r="R668" s="111">
        <v>3</v>
      </c>
      <c r="S668" s="108" t="s">
        <v>289</v>
      </c>
      <c r="T668" s="108" t="s">
        <v>288</v>
      </c>
      <c r="U668" s="108" t="s">
        <v>289</v>
      </c>
      <c r="V668" s="108" t="s">
        <v>289</v>
      </c>
      <c r="W668" s="108" t="s">
        <v>289</v>
      </c>
    </row>
    <row r="669" spans="1:23" ht="21" customHeight="1" x14ac:dyDescent="0.15">
      <c r="A669" s="104">
        <f t="shared" si="10"/>
        <v>668</v>
      </c>
      <c r="B669" s="105" t="s">
        <v>292</v>
      </c>
      <c r="C669" s="121" t="s">
        <v>2094</v>
      </c>
      <c r="D669" s="144" t="s">
        <v>2095</v>
      </c>
      <c r="E669" s="108" t="s">
        <v>848</v>
      </c>
      <c r="F669" s="108" t="s">
        <v>1422</v>
      </c>
      <c r="G669" s="108" t="s">
        <v>1587</v>
      </c>
      <c r="H669" s="140" t="s">
        <v>2096</v>
      </c>
      <c r="I669" s="140">
        <v>3</v>
      </c>
      <c r="J669" s="109" t="s">
        <v>805</v>
      </c>
      <c r="K669" s="105" t="s">
        <v>1588</v>
      </c>
      <c r="L669" s="107" t="str">
        <f ca="1">VLOOKUP($K669,OFFSET([1]character_type_i18n!$A$1,0,0,COUNTA([1]character_type_i18n!$A:$A),MATCH(L$1,[1]character_type_i18n!$1:$1,0)-MATCH($K$1,[1]character_type_i18n!$1:$1,0)+1),MATCH(L$1,[1]character_type_i18n!$1:$1,0)-MATCH($K$1,[1]character_type_i18n!$1:$1,0)+1,FALSE)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69" s="105" t="s">
        <v>1018</v>
      </c>
      <c r="N669" s="107" t="str">
        <f>VLOOKUP(M669,[1]character_tribe_i18n!A:C,3,FALSE)</f>
        <v>ゴッド</v>
      </c>
      <c r="O669" s="105" t="s">
        <v>278</v>
      </c>
      <c r="P669" s="107" t="str">
        <f>VLOOKUP(O669,[1]character_tribe_i18n!A:C,3,FALSE)</f>
        <v>種族なし</v>
      </c>
      <c r="Q669" s="110" t="s">
        <v>279</v>
      </c>
      <c r="R669" s="111">
        <v>3</v>
      </c>
      <c r="S669" s="108" t="s">
        <v>280</v>
      </c>
      <c r="T669" s="108" t="s">
        <v>281</v>
      </c>
      <c r="U669" s="108" t="s">
        <v>280</v>
      </c>
      <c r="V669" s="108" t="s">
        <v>280</v>
      </c>
      <c r="W669" s="108" t="s">
        <v>280</v>
      </c>
    </row>
    <row r="670" spans="1:23" ht="21" customHeight="1" x14ac:dyDescent="0.15">
      <c r="A670" s="104">
        <f t="shared" si="10"/>
        <v>669</v>
      </c>
      <c r="B670" s="105" t="s">
        <v>268</v>
      </c>
      <c r="C670" s="121" t="s">
        <v>2097</v>
      </c>
      <c r="D670" s="144" t="s">
        <v>2098</v>
      </c>
      <c r="E670" s="108" t="s">
        <v>709</v>
      </c>
      <c r="F670" s="108" t="s">
        <v>532</v>
      </c>
      <c r="G670" s="108" t="s">
        <v>710</v>
      </c>
      <c r="H670" s="140" t="s">
        <v>2009</v>
      </c>
      <c r="I670" s="140">
        <v>4</v>
      </c>
      <c r="J670" s="109" t="s">
        <v>805</v>
      </c>
      <c r="K670" s="105" t="s">
        <v>2099</v>
      </c>
      <c r="L670" s="107" t="str">
        <f ca="1">VLOOKUP($K670,OFFSET([1]character_type_i18n!$A$1,0,0,COUNTA([1]character_type_i18n!$A:$A),MATCH(L$1,[1]character_type_i18n!$1:$1,0)-MATCH($K$1,[1]character_type_i18n!$1:$1,0)+1),MATCH(L$1,[1]character_type_i18n!$1:$1,0)-MATCH($K$1,[1]character_type_i18n!$1:$1,0)+1,FALSE)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70" s="105" t="s">
        <v>1018</v>
      </c>
      <c r="N670" s="107" t="str">
        <f>VLOOKUP(M670,[1]character_tribe_i18n!A:C,3,FALSE)</f>
        <v>ゴッド</v>
      </c>
      <c r="O670" s="105" t="s">
        <v>278</v>
      </c>
      <c r="P670" s="107" t="str">
        <f>VLOOKUP(O670,[1]character_tribe_i18n!A:C,3,FALSE)</f>
        <v>種族なし</v>
      </c>
      <c r="Q670" s="110" t="s">
        <v>279</v>
      </c>
      <c r="R670" s="111">
        <v>3</v>
      </c>
      <c r="S670" s="108" t="s">
        <v>280</v>
      </c>
      <c r="T670" s="108" t="s">
        <v>281</v>
      </c>
      <c r="U670" s="108" t="s">
        <v>280</v>
      </c>
      <c r="V670" s="108" t="s">
        <v>280</v>
      </c>
      <c r="W670" s="108" t="s">
        <v>280</v>
      </c>
    </row>
    <row r="671" spans="1:23" ht="21" customHeight="1" x14ac:dyDescent="0.15">
      <c r="A671" s="104">
        <f t="shared" si="10"/>
        <v>670</v>
      </c>
      <c r="B671" s="105" t="s">
        <v>268</v>
      </c>
      <c r="C671" s="121" t="s">
        <v>2100</v>
      </c>
      <c r="D671" s="144" t="s">
        <v>2101</v>
      </c>
      <c r="E671" s="108" t="s">
        <v>709</v>
      </c>
      <c r="F671" s="108" t="s">
        <v>532</v>
      </c>
      <c r="G671" s="108" t="s">
        <v>710</v>
      </c>
      <c r="H671" s="140" t="s">
        <v>2009</v>
      </c>
      <c r="I671" s="140">
        <v>5</v>
      </c>
      <c r="J671" s="109" t="s">
        <v>805</v>
      </c>
      <c r="K671" s="105" t="s">
        <v>967</v>
      </c>
      <c r="L671" s="107" t="str">
        <f ca="1">VLOOKUP($K671,OFFSET([1]character_type_i18n!$A$1,0,0,COUNTA([1]character_type_i18n!$A:$A),MATCH(L$1,[1]character_type_i18n!$1:$1,0)-MATCH($K$1,[1]character_type_i18n!$1:$1,0)+1),MATCH(L$1,[1]character_type_i18n!$1:$1,0)-MATCH($K$1,[1]character_type_i18n!$1:$1,0)+1,FALSE)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71" s="105" t="s">
        <v>1872</v>
      </c>
      <c r="N671" s="107" t="str">
        <f>VLOOKUP(M671,[1]character_tribe_i18n!A:C,3,FALSE)</f>
        <v>ゴッド</v>
      </c>
      <c r="O671" s="105" t="s">
        <v>278</v>
      </c>
      <c r="P671" s="107" t="str">
        <f>VLOOKUP(O671,[1]character_tribe_i18n!A:C,3,FALSE)</f>
        <v>種族なし</v>
      </c>
      <c r="Q671" s="110" t="s">
        <v>279</v>
      </c>
      <c r="R671" s="111">
        <v>3</v>
      </c>
      <c r="S671" s="108" t="s">
        <v>280</v>
      </c>
      <c r="T671" s="108" t="s">
        <v>281</v>
      </c>
      <c r="U671" s="108" t="s">
        <v>280</v>
      </c>
      <c r="V671" s="108" t="s">
        <v>280</v>
      </c>
      <c r="W671" s="108" t="s">
        <v>280</v>
      </c>
    </row>
    <row r="672" spans="1:23" ht="21" customHeight="1" x14ac:dyDescent="0.15">
      <c r="A672" s="104">
        <f t="shared" si="10"/>
        <v>671</v>
      </c>
      <c r="B672" s="105" t="s">
        <v>268</v>
      </c>
      <c r="C672" s="121" t="s">
        <v>2102</v>
      </c>
      <c r="D672" s="144" t="s">
        <v>2101</v>
      </c>
      <c r="E672" s="108" t="s">
        <v>709</v>
      </c>
      <c r="F672" s="108" t="s">
        <v>532</v>
      </c>
      <c r="G672" s="108" t="s">
        <v>710</v>
      </c>
      <c r="H672" s="140" t="s">
        <v>1999</v>
      </c>
      <c r="I672" s="140">
        <v>3</v>
      </c>
      <c r="J672" s="109" t="s">
        <v>805</v>
      </c>
      <c r="K672" s="105" t="s">
        <v>1005</v>
      </c>
      <c r="L672" s="107" t="str">
        <f ca="1">VLOOKUP($K672,OFFSET([1]character_type_i18n!$A$1,0,0,COUNTA([1]character_type_i18n!$A:$A),MATCH(L$1,[1]character_type_i18n!$1:$1,0)-MATCH($K$1,[1]character_type_i18n!$1:$1,0)+1),MATCH(L$1,[1]character_type_i18n!$1:$1,0)-MATCH($K$1,[1]character_type_i18n!$1:$1,0)+1,FALSE)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2" s="105" t="s">
        <v>313</v>
      </c>
      <c r="N672" s="107" t="str">
        <f>VLOOKUP(M672,[1]character_tribe_i18n!A:C,3,FALSE)</f>
        <v>アニマル</v>
      </c>
      <c r="O672" s="105" t="s">
        <v>278</v>
      </c>
      <c r="P672" s="107" t="str">
        <f>VLOOKUP(O672,[1]character_tribe_i18n!A:C,3,FALSE)</f>
        <v>種族なし</v>
      </c>
      <c r="Q672" s="110" t="s">
        <v>279</v>
      </c>
      <c r="R672" s="111">
        <v>3</v>
      </c>
      <c r="S672" s="108" t="s">
        <v>280</v>
      </c>
      <c r="T672" s="108" t="s">
        <v>281</v>
      </c>
      <c r="U672" s="108" t="s">
        <v>280</v>
      </c>
      <c r="V672" s="108" t="s">
        <v>280</v>
      </c>
      <c r="W672" s="108" t="s">
        <v>280</v>
      </c>
    </row>
    <row r="673" spans="1:23" ht="21" customHeight="1" x14ac:dyDescent="0.15">
      <c r="A673" s="104">
        <f t="shared" si="10"/>
        <v>672</v>
      </c>
      <c r="B673" s="105" t="s">
        <v>268</v>
      </c>
      <c r="C673" s="121" t="s">
        <v>2103</v>
      </c>
      <c r="D673" s="144" t="s">
        <v>2101</v>
      </c>
      <c r="E673" s="108" t="s">
        <v>709</v>
      </c>
      <c r="F673" s="108" t="s">
        <v>532</v>
      </c>
      <c r="G673" s="108" t="s">
        <v>710</v>
      </c>
      <c r="H673" s="140" t="s">
        <v>1999</v>
      </c>
      <c r="I673" s="140">
        <v>4</v>
      </c>
      <c r="J673" s="109" t="s">
        <v>805</v>
      </c>
      <c r="K673" s="105" t="s">
        <v>1005</v>
      </c>
      <c r="L673" s="107" t="str">
        <f ca="1">VLOOKUP($K673,OFFSET([1]character_type_i18n!$A$1,0,0,COUNTA([1]character_type_i18n!$A:$A),MATCH(L$1,[1]character_type_i18n!$1:$1,0)-MATCH($K$1,[1]character_type_i18n!$1:$1,0)+1),MATCH(L$1,[1]character_type_i18n!$1:$1,0)-MATCH($K$1,[1]character_type_i18n!$1:$1,0)+1,FALSE)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3" s="105" t="s">
        <v>313</v>
      </c>
      <c r="N673" s="107" t="str">
        <f>VLOOKUP(M673,[1]character_tribe_i18n!A:C,3,FALSE)</f>
        <v>アニマル</v>
      </c>
      <c r="O673" s="105" t="s">
        <v>278</v>
      </c>
      <c r="P673" s="107" t="str">
        <f>VLOOKUP(O673,[1]character_tribe_i18n!A:C,3,FALSE)</f>
        <v>種族なし</v>
      </c>
      <c r="Q673" s="110" t="s">
        <v>279</v>
      </c>
      <c r="R673" s="111">
        <v>3</v>
      </c>
      <c r="S673" s="108" t="s">
        <v>280</v>
      </c>
      <c r="T673" s="108" t="s">
        <v>281</v>
      </c>
      <c r="U673" s="108" t="s">
        <v>280</v>
      </c>
      <c r="V673" s="108" t="s">
        <v>280</v>
      </c>
      <c r="W673" s="108" t="s">
        <v>280</v>
      </c>
    </row>
    <row r="674" spans="1:23" ht="21" customHeight="1" x14ac:dyDescent="0.15">
      <c r="A674" s="104">
        <f t="shared" si="10"/>
        <v>673</v>
      </c>
      <c r="B674" s="105" t="s">
        <v>268</v>
      </c>
      <c r="C674" s="121" t="s">
        <v>2104</v>
      </c>
      <c r="D674" s="144" t="s">
        <v>2101</v>
      </c>
      <c r="E674" s="108" t="s">
        <v>709</v>
      </c>
      <c r="F674" s="108" t="s">
        <v>532</v>
      </c>
      <c r="G674" s="108" t="s">
        <v>710</v>
      </c>
      <c r="H674" s="140" t="s">
        <v>1999</v>
      </c>
      <c r="I674" s="140">
        <v>5</v>
      </c>
      <c r="J674" s="109" t="s">
        <v>805</v>
      </c>
      <c r="K674" s="105" t="s">
        <v>1005</v>
      </c>
      <c r="L674" s="107" t="str">
        <f ca="1">VLOOKUP($K674,OFFSET([1]character_type_i18n!$A$1,0,0,COUNTA([1]character_type_i18n!$A:$A),MATCH(L$1,[1]character_type_i18n!$1:$1,0)-MATCH($K$1,[1]character_type_i18n!$1:$1,0)+1),MATCH(L$1,[1]character_type_i18n!$1:$1,0)-MATCH($K$1,[1]character_type_i18n!$1:$1,0)+1,FALSE)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4" s="105" t="s">
        <v>313</v>
      </c>
      <c r="N674" s="107" t="str">
        <f>VLOOKUP(M674,[1]character_tribe_i18n!A:C,3,FALSE)</f>
        <v>アニマル</v>
      </c>
      <c r="O674" s="105" t="s">
        <v>278</v>
      </c>
      <c r="P674" s="107" t="str">
        <f>VLOOKUP(O674,[1]character_tribe_i18n!A:C,3,FALSE)</f>
        <v>種族なし</v>
      </c>
      <c r="Q674" s="110" t="s">
        <v>279</v>
      </c>
      <c r="R674" s="111">
        <v>3</v>
      </c>
      <c r="S674" s="108" t="s">
        <v>280</v>
      </c>
      <c r="T674" s="108" t="s">
        <v>281</v>
      </c>
      <c r="U674" s="108" t="s">
        <v>280</v>
      </c>
      <c r="V674" s="108" t="s">
        <v>280</v>
      </c>
      <c r="W674" s="108" t="s">
        <v>280</v>
      </c>
    </row>
    <row r="675" spans="1:23" ht="21" customHeight="1" x14ac:dyDescent="0.15">
      <c r="A675" s="104">
        <f t="shared" si="10"/>
        <v>674</v>
      </c>
      <c r="B675" s="105" t="s">
        <v>268</v>
      </c>
      <c r="C675" s="121" t="s">
        <v>2105</v>
      </c>
      <c r="D675" s="144" t="s">
        <v>2101</v>
      </c>
      <c r="E675" s="108" t="s">
        <v>709</v>
      </c>
      <c r="F675" s="108" t="s">
        <v>532</v>
      </c>
      <c r="G675" s="108" t="s">
        <v>853</v>
      </c>
      <c r="H675" s="140" t="s">
        <v>2041</v>
      </c>
      <c r="I675" s="140">
        <v>4</v>
      </c>
      <c r="J675" s="109" t="s">
        <v>1220</v>
      </c>
      <c r="K675" s="105" t="s">
        <v>1388</v>
      </c>
      <c r="L675" s="107" t="str">
        <f ca="1">VLOOKUP($K675,OFFSET([1]character_type_i18n!$A$1,0,0,COUNTA([1]character_type_i18n!$A:$A),MATCH(L$1,[1]character_type_i18n!$1:$1,0)-MATCH($K$1,[1]character_type_i18n!$1:$1,0)+1),MATCH(L$1,[1]character_type_i18n!$1:$1,0)-MATCH($K$1,[1]character_type_i18n!$1:$1,0)+1,FALSE)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75" s="105" t="s">
        <v>1018</v>
      </c>
      <c r="N675" s="107" t="str">
        <f>VLOOKUP(M675,[1]character_tribe_i18n!A:C,3,FALSE)</f>
        <v>ゴッド</v>
      </c>
      <c r="O675" s="105" t="s">
        <v>278</v>
      </c>
      <c r="P675" s="107" t="str">
        <f>VLOOKUP(O675,[1]character_tribe_i18n!A:C,3,FALSE)</f>
        <v>種族なし</v>
      </c>
      <c r="Q675" s="110" t="s">
        <v>279</v>
      </c>
      <c r="R675" s="111">
        <v>3</v>
      </c>
      <c r="S675" s="108" t="s">
        <v>280</v>
      </c>
      <c r="T675" s="108" t="s">
        <v>281</v>
      </c>
      <c r="U675" s="108" t="s">
        <v>280</v>
      </c>
      <c r="V675" s="108" t="s">
        <v>280</v>
      </c>
      <c r="W675" s="108" t="s">
        <v>280</v>
      </c>
    </row>
    <row r="676" spans="1:23" ht="21" customHeight="1" x14ac:dyDescent="0.15">
      <c r="A676" s="104">
        <f t="shared" si="10"/>
        <v>675</v>
      </c>
      <c r="B676" s="105" t="s">
        <v>268</v>
      </c>
      <c r="C676" s="121" t="s">
        <v>2106</v>
      </c>
      <c r="D676" s="144" t="s">
        <v>2101</v>
      </c>
      <c r="E676" s="108" t="s">
        <v>709</v>
      </c>
      <c r="F676" s="108" t="s">
        <v>532</v>
      </c>
      <c r="G676" s="108" t="s">
        <v>853</v>
      </c>
      <c r="H676" s="140" t="s">
        <v>2041</v>
      </c>
      <c r="I676" s="140">
        <v>5</v>
      </c>
      <c r="J676" s="109" t="s">
        <v>1220</v>
      </c>
      <c r="K676" s="105" t="s">
        <v>1388</v>
      </c>
      <c r="L676" s="107" t="str">
        <f ca="1">VLOOKUP($K676,OFFSET([1]character_type_i18n!$A$1,0,0,COUNTA([1]character_type_i18n!$A:$A),MATCH(L$1,[1]character_type_i18n!$1:$1,0)-MATCH($K$1,[1]character_type_i18n!$1:$1,0)+1),MATCH(L$1,[1]character_type_i18n!$1:$1,0)-MATCH($K$1,[1]character_type_i18n!$1:$1,0)+1,FALSE)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76" s="105" t="s">
        <v>1018</v>
      </c>
      <c r="N676" s="107" t="str">
        <f>VLOOKUP(M676,[1]character_tribe_i18n!A:C,3,FALSE)</f>
        <v>ゴッド</v>
      </c>
      <c r="O676" s="105" t="s">
        <v>278</v>
      </c>
      <c r="P676" s="107" t="str">
        <f>VLOOKUP(O676,[1]character_tribe_i18n!A:C,3,FALSE)</f>
        <v>種族なし</v>
      </c>
      <c r="Q676" s="110" t="s">
        <v>279</v>
      </c>
      <c r="R676" s="111">
        <v>3</v>
      </c>
      <c r="S676" s="108" t="s">
        <v>280</v>
      </c>
      <c r="T676" s="108" t="s">
        <v>281</v>
      </c>
      <c r="U676" s="108" t="s">
        <v>280</v>
      </c>
      <c r="V676" s="108" t="s">
        <v>280</v>
      </c>
      <c r="W676" s="108" t="s">
        <v>280</v>
      </c>
    </row>
    <row r="677" spans="1:23" ht="21" customHeight="1" x14ac:dyDescent="0.15">
      <c r="A677" s="104">
        <f t="shared" si="10"/>
        <v>676</v>
      </c>
      <c r="B677" s="105" t="s">
        <v>268</v>
      </c>
      <c r="C677" s="121" t="s">
        <v>2107</v>
      </c>
      <c r="D677" s="144" t="s">
        <v>2101</v>
      </c>
      <c r="E677" s="108" t="s">
        <v>709</v>
      </c>
      <c r="F677" s="108" t="s">
        <v>532</v>
      </c>
      <c r="G677" s="108" t="s">
        <v>853</v>
      </c>
      <c r="H677" s="140" t="s">
        <v>2053</v>
      </c>
      <c r="I677" s="140">
        <v>4</v>
      </c>
      <c r="J677" s="109" t="s">
        <v>1220</v>
      </c>
      <c r="K677" s="105" t="s">
        <v>1392</v>
      </c>
      <c r="L677" s="107" t="str">
        <f ca="1">VLOOKUP($K677,OFFSET([1]character_type_i18n!$A$1,0,0,COUNTA([1]character_type_i18n!$A:$A),MATCH(L$1,[1]character_type_i18n!$1:$1,0)-MATCH($K$1,[1]character_type_i18n!$1:$1,0)+1),MATCH(L$1,[1]character_type_i18n!$1:$1,0)-MATCH($K$1,[1]character_type_i18n!$1:$1,0)+1,FALSE)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7" s="105" t="s">
        <v>1018</v>
      </c>
      <c r="N677" s="107" t="str">
        <f>VLOOKUP(M677,[1]character_tribe_i18n!A:C,3,FALSE)</f>
        <v>ゴッド</v>
      </c>
      <c r="O677" s="105" t="s">
        <v>278</v>
      </c>
      <c r="P677" s="107" t="str">
        <f>VLOOKUP(O677,[1]character_tribe_i18n!A:C,3,FALSE)</f>
        <v>種族なし</v>
      </c>
      <c r="Q677" s="110" t="s">
        <v>279</v>
      </c>
      <c r="R677" s="111">
        <v>3</v>
      </c>
      <c r="S677" s="108" t="s">
        <v>280</v>
      </c>
      <c r="T677" s="108" t="s">
        <v>281</v>
      </c>
      <c r="U677" s="108" t="s">
        <v>280</v>
      </c>
      <c r="V677" s="108" t="s">
        <v>280</v>
      </c>
      <c r="W677" s="108" t="s">
        <v>280</v>
      </c>
    </row>
    <row r="678" spans="1:23" ht="21" customHeight="1" x14ac:dyDescent="0.15">
      <c r="A678" s="104">
        <f t="shared" si="10"/>
        <v>677</v>
      </c>
      <c r="B678" s="105" t="s">
        <v>268</v>
      </c>
      <c r="C678" s="121" t="s">
        <v>2108</v>
      </c>
      <c r="D678" s="144" t="s">
        <v>2101</v>
      </c>
      <c r="E678" s="108" t="s">
        <v>709</v>
      </c>
      <c r="F678" s="108" t="s">
        <v>532</v>
      </c>
      <c r="G678" s="108" t="s">
        <v>853</v>
      </c>
      <c r="H678" s="140" t="s">
        <v>2053</v>
      </c>
      <c r="I678" s="140">
        <v>5</v>
      </c>
      <c r="J678" s="109" t="s">
        <v>1220</v>
      </c>
      <c r="K678" s="105" t="s">
        <v>1392</v>
      </c>
      <c r="L678" s="107" t="str">
        <f ca="1">VLOOKUP($K678,OFFSET([1]character_type_i18n!$A$1,0,0,COUNTA([1]character_type_i18n!$A:$A),MATCH(L$1,[1]character_type_i18n!$1:$1,0)-MATCH($K$1,[1]character_type_i18n!$1:$1,0)+1),MATCH(L$1,[1]character_type_i18n!$1:$1,0)-MATCH($K$1,[1]character_type_i18n!$1:$1,0)+1,FALSE)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8" s="105" t="s">
        <v>1018</v>
      </c>
      <c r="N678" s="107" t="str">
        <f>VLOOKUP(M678,[1]character_tribe_i18n!A:C,3,FALSE)</f>
        <v>ゴッド</v>
      </c>
      <c r="O678" s="105" t="s">
        <v>278</v>
      </c>
      <c r="P678" s="107" t="str">
        <f>VLOOKUP(O678,[1]character_tribe_i18n!A:C,3,FALSE)</f>
        <v>種族なし</v>
      </c>
      <c r="Q678" s="110" t="s">
        <v>279</v>
      </c>
      <c r="R678" s="111">
        <v>3</v>
      </c>
      <c r="S678" s="108" t="s">
        <v>280</v>
      </c>
      <c r="T678" s="108" t="s">
        <v>281</v>
      </c>
      <c r="U678" s="108" t="s">
        <v>280</v>
      </c>
      <c r="V678" s="108" t="s">
        <v>280</v>
      </c>
      <c r="W678" s="108" t="s">
        <v>280</v>
      </c>
    </row>
    <row r="679" spans="1:23" s="116" customFormat="1" ht="21" customHeight="1" x14ac:dyDescent="0.15">
      <c r="A679" s="105">
        <f t="shared" si="10"/>
        <v>678</v>
      </c>
      <c r="B679" s="105" t="s">
        <v>268</v>
      </c>
      <c r="C679" s="121" t="s">
        <v>2109</v>
      </c>
      <c r="D679" s="107" t="s">
        <v>2110</v>
      </c>
      <c r="E679" s="114" t="s">
        <v>709</v>
      </c>
      <c r="F679" s="114" t="s">
        <v>532</v>
      </c>
      <c r="G679" s="114" t="s">
        <v>710</v>
      </c>
      <c r="H679" s="140" t="s">
        <v>1999</v>
      </c>
      <c r="I679" s="140">
        <v>4</v>
      </c>
      <c r="J679" s="115" t="s">
        <v>2111</v>
      </c>
      <c r="K679" s="105" t="s">
        <v>1005</v>
      </c>
      <c r="L679" s="114" t="str">
        <f ca="1">VLOOKUP($K679,OFFSET([1]character_type_i18n!$A$1,0,0,COUNTA([1]character_type_i18n!$A:$A),MATCH(L$1,[1]character_type_i18n!$1:$1,0)-MATCH($K$1,[1]character_type_i18n!$1:$1,0)+1),MATCH(L$1,[1]character_type_i18n!$1:$1,0)-MATCH($K$1,[1]character_type_i18n!$1:$1,0)+1,FALSE)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9" s="105" t="s">
        <v>1011</v>
      </c>
      <c r="N679" s="114" t="str">
        <f>VLOOKUP(M679,[1]character_tribe_i18n!A:C,3,FALSE)</f>
        <v>ヒューマン</v>
      </c>
      <c r="O679" s="105" t="s">
        <v>278</v>
      </c>
      <c r="P679" s="114" t="str">
        <f>VLOOKUP(O679,[1]character_tribe_i18n!A:C,3,FALSE)</f>
        <v>種族なし</v>
      </c>
      <c r="Q679" s="110" t="s">
        <v>279</v>
      </c>
      <c r="R679" s="105">
        <v>3</v>
      </c>
      <c r="S679" s="114" t="s">
        <v>280</v>
      </c>
      <c r="T679" s="108" t="s">
        <v>281</v>
      </c>
      <c r="U679" s="114" t="s">
        <v>280</v>
      </c>
      <c r="V679" s="114" t="s">
        <v>280</v>
      </c>
      <c r="W679" s="114" t="s">
        <v>280</v>
      </c>
    </row>
    <row r="680" spans="1:23" s="116" customFormat="1" ht="21" customHeight="1" x14ac:dyDescent="0.15">
      <c r="A680" s="105">
        <f t="shared" si="10"/>
        <v>679</v>
      </c>
      <c r="B680" s="105" t="s">
        <v>268</v>
      </c>
      <c r="C680" s="121" t="s">
        <v>2112</v>
      </c>
      <c r="D680" s="107" t="s">
        <v>2110</v>
      </c>
      <c r="E680" s="114" t="s">
        <v>709</v>
      </c>
      <c r="F680" s="114" t="s">
        <v>532</v>
      </c>
      <c r="G680" s="114" t="s">
        <v>710</v>
      </c>
      <c r="H680" s="140" t="s">
        <v>1999</v>
      </c>
      <c r="I680" s="140">
        <v>5</v>
      </c>
      <c r="J680" s="115" t="s">
        <v>2113</v>
      </c>
      <c r="K680" s="105" t="s">
        <v>2114</v>
      </c>
      <c r="L680" s="114" t="str">
        <f ca="1">VLOOKUP($K680,OFFSET([1]character_type_i18n!$A$1,0,0,COUNTA([1]character_type_i18n!$A:$A),MATCH(L$1,[1]character_type_i18n!$1:$1,0)-MATCH($K$1,[1]character_type_i18n!$1:$1,0)+1),MATCH(L$1,[1]character_type_i18n!$1:$1,0)-MATCH($K$1,[1]character_type_i18n!$1:$1,0)+1,FALSE)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80" s="105" t="s">
        <v>1011</v>
      </c>
      <c r="N680" s="114" t="str">
        <f>VLOOKUP(M680,[1]character_tribe_i18n!A:C,3,FALSE)</f>
        <v>ヒューマン</v>
      </c>
      <c r="O680" s="105" t="s">
        <v>278</v>
      </c>
      <c r="P680" s="114" t="str">
        <f>VLOOKUP(O680,[1]character_tribe_i18n!A:C,3,FALSE)</f>
        <v>種族なし</v>
      </c>
      <c r="Q680" s="110" t="s">
        <v>279</v>
      </c>
      <c r="R680" s="105">
        <v>3</v>
      </c>
      <c r="S680" s="114" t="s">
        <v>280</v>
      </c>
      <c r="T680" s="108" t="s">
        <v>281</v>
      </c>
      <c r="U680" s="114" t="s">
        <v>280</v>
      </c>
      <c r="V680" s="114" t="s">
        <v>280</v>
      </c>
      <c r="W680" s="114" t="s">
        <v>280</v>
      </c>
    </row>
    <row r="681" spans="1:23" ht="21" customHeight="1" x14ac:dyDescent="0.15">
      <c r="A681" s="104">
        <f t="shared" si="10"/>
        <v>680</v>
      </c>
      <c r="B681" s="105" t="s">
        <v>268</v>
      </c>
      <c r="C681" s="121" t="s">
        <v>2115</v>
      </c>
      <c r="D681" s="107" t="s">
        <v>2116</v>
      </c>
      <c r="E681" s="108" t="s">
        <v>554</v>
      </c>
      <c r="F681" s="108" t="s">
        <v>272</v>
      </c>
      <c r="G681" s="108" t="s">
        <v>273</v>
      </c>
      <c r="H681" s="140" t="s">
        <v>274</v>
      </c>
      <c r="I681" s="140">
        <v>5</v>
      </c>
      <c r="J681" s="130" t="s">
        <v>2117</v>
      </c>
      <c r="K681" s="105" t="s">
        <v>1750</v>
      </c>
      <c r="L681" s="107" t="str">
        <f ca="1">VLOOKUP($K681,OFFSET([1]character_type_i18n!$A$1,0,0,COUNTA([1]character_type_i18n!$A:$A),MATCH(L$1,[1]character_type_i18n!$1:$1,0)-MATCH($K$1,[1]character_type_i18n!$1:$1,0)+1),MATCH(L$1,[1]character_type_i18n!$1:$1,0)-MATCH($K$1,[1]character_type_i18n!$1:$1,0)+1,FALSE)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1" s="105" t="s">
        <v>1164</v>
      </c>
      <c r="N681" s="107" t="str">
        <f>VLOOKUP(M681,[1]character_tribe_i18n!A:C,3,FALSE)</f>
        <v>Unknown</v>
      </c>
      <c r="O681" s="105" t="s">
        <v>278</v>
      </c>
      <c r="P681" s="107" t="str">
        <f>VLOOKUP(O681,[1]character_tribe_i18n!A:C,3,FALSE)</f>
        <v>種族なし</v>
      </c>
      <c r="Q681" s="110" t="s">
        <v>2118</v>
      </c>
      <c r="R681" s="111">
        <v>3</v>
      </c>
      <c r="S681" s="108" t="s">
        <v>2119</v>
      </c>
      <c r="T681" s="108" t="s">
        <v>281</v>
      </c>
      <c r="U681" s="108" t="s">
        <v>2119</v>
      </c>
      <c r="V681" s="108" t="s">
        <v>2119</v>
      </c>
      <c r="W681" s="108" t="s">
        <v>2119</v>
      </c>
    </row>
    <row r="682" spans="1:23" ht="21" customHeight="1" x14ac:dyDescent="0.15">
      <c r="A682" s="104">
        <f t="shared" si="10"/>
        <v>681</v>
      </c>
      <c r="B682" s="105" t="s">
        <v>2120</v>
      </c>
      <c r="C682" s="121" t="s">
        <v>2121</v>
      </c>
      <c r="D682" s="107" t="s">
        <v>2116</v>
      </c>
      <c r="E682" s="108" t="s">
        <v>554</v>
      </c>
      <c r="F682" s="108" t="s">
        <v>272</v>
      </c>
      <c r="G682" s="108" t="s">
        <v>273</v>
      </c>
      <c r="H682" s="131" t="s">
        <v>274</v>
      </c>
      <c r="I682" s="140">
        <v>6</v>
      </c>
      <c r="J682" s="130" t="s">
        <v>2117</v>
      </c>
      <c r="K682" s="105" t="s">
        <v>2122</v>
      </c>
      <c r="L682" s="107" t="str">
        <f ca="1">VLOOKUP($K682,OFFSET([1]character_type_i18n!$A$1,0,0,COUNTA([1]character_type_i18n!$A:$A),MATCH(L$1,[1]character_type_i18n!$1:$1,0)-MATCH($K$1,[1]character_type_i18n!$1:$1,0)+1),MATCH(L$1,[1]character_type_i18n!$1:$1,0)-MATCH($K$1,[1]character_type_i18n!$1:$1,0)+1,FALSE)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2" s="105" t="s">
        <v>1152</v>
      </c>
      <c r="N682" s="107" t="str">
        <f>VLOOKUP(M682,[1]character_tribe_i18n!A:C,3,FALSE)</f>
        <v>Unknown</v>
      </c>
      <c r="O682" s="105" t="s">
        <v>278</v>
      </c>
      <c r="P682" s="107" t="str">
        <f>VLOOKUP(O682,[1]character_tribe_i18n!A:C,3,FALSE)</f>
        <v>種族なし</v>
      </c>
      <c r="Q682" s="110" t="s">
        <v>2118</v>
      </c>
      <c r="R682" s="111">
        <v>3</v>
      </c>
      <c r="S682" s="108" t="s">
        <v>280</v>
      </c>
      <c r="T682" s="108" t="s">
        <v>281</v>
      </c>
      <c r="U682" s="108" t="s">
        <v>280</v>
      </c>
      <c r="V682" s="108" t="s">
        <v>280</v>
      </c>
      <c r="W682" s="108" t="s">
        <v>280</v>
      </c>
    </row>
    <row r="683" spans="1:23" ht="21" customHeight="1" x14ac:dyDescent="0.15">
      <c r="A683" s="104">
        <f t="shared" si="10"/>
        <v>682</v>
      </c>
      <c r="B683" s="105" t="s">
        <v>268</v>
      </c>
      <c r="C683" s="121" t="s">
        <v>2123</v>
      </c>
      <c r="D683" s="107" t="s">
        <v>2124</v>
      </c>
      <c r="E683" s="108" t="s">
        <v>554</v>
      </c>
      <c r="F683" s="108" t="s">
        <v>272</v>
      </c>
      <c r="G683" s="108" t="s">
        <v>273</v>
      </c>
      <c r="H683" s="131" t="s">
        <v>285</v>
      </c>
      <c r="I683" s="140">
        <v>5</v>
      </c>
      <c r="J683" s="130" t="s">
        <v>2117</v>
      </c>
      <c r="K683" s="105" t="s">
        <v>1750</v>
      </c>
      <c r="L683" s="107" t="str">
        <f ca="1">VLOOKUP($K683,OFFSET([1]character_type_i18n!$A$1,0,0,COUNTA([1]character_type_i18n!$A:$A),MATCH(L$1,[1]character_type_i18n!$1:$1,0)-MATCH($K$1,[1]character_type_i18n!$1:$1,0)+1),MATCH(L$1,[1]character_type_i18n!$1:$1,0)-MATCH($K$1,[1]character_type_i18n!$1:$1,0)+1,FALSE)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3" s="105" t="s">
        <v>1164</v>
      </c>
      <c r="N683" s="107" t="str">
        <f>VLOOKUP(M683,[1]character_tribe_i18n!A:C,3,FALSE)</f>
        <v>Unknown</v>
      </c>
      <c r="O683" s="105" t="s">
        <v>278</v>
      </c>
      <c r="P683" s="107" t="str">
        <f>VLOOKUP(O683,[1]character_tribe_i18n!A:C,3,FALSE)</f>
        <v>種族なし</v>
      </c>
      <c r="Q683" s="110" t="s">
        <v>2118</v>
      </c>
      <c r="R683" s="111">
        <v>3</v>
      </c>
      <c r="S683" s="108" t="s">
        <v>280</v>
      </c>
      <c r="T683" s="108" t="s">
        <v>281</v>
      </c>
      <c r="U683" s="108" t="s">
        <v>280</v>
      </c>
      <c r="V683" s="108" t="s">
        <v>280</v>
      </c>
      <c r="W683" s="108" t="s">
        <v>280</v>
      </c>
    </row>
    <row r="684" spans="1:23" ht="21" customHeight="1" x14ac:dyDescent="0.15">
      <c r="A684" s="104">
        <f t="shared" si="10"/>
        <v>683</v>
      </c>
      <c r="B684" s="105" t="s">
        <v>268</v>
      </c>
      <c r="C684" s="121" t="s">
        <v>2125</v>
      </c>
      <c r="D684" s="107" t="s">
        <v>2124</v>
      </c>
      <c r="E684" s="108" t="s">
        <v>554</v>
      </c>
      <c r="F684" s="108" t="s">
        <v>272</v>
      </c>
      <c r="G684" s="108" t="s">
        <v>273</v>
      </c>
      <c r="H684" s="131" t="s">
        <v>285</v>
      </c>
      <c r="I684" s="140">
        <v>6</v>
      </c>
      <c r="J684" s="130" t="s">
        <v>1407</v>
      </c>
      <c r="K684" s="105" t="s">
        <v>1750</v>
      </c>
      <c r="L684" s="107" t="str">
        <f ca="1">VLOOKUP($K684,OFFSET([1]character_type_i18n!$A$1,0,0,COUNTA([1]character_type_i18n!$A:$A),MATCH(L$1,[1]character_type_i18n!$1:$1,0)-MATCH($K$1,[1]character_type_i18n!$1:$1,0)+1),MATCH(L$1,[1]character_type_i18n!$1:$1,0)-MATCH($K$1,[1]character_type_i18n!$1:$1,0)+1,FALSE)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4" s="105" t="s">
        <v>1164</v>
      </c>
      <c r="N684" s="107" t="str">
        <f>VLOOKUP(M684,[1]character_tribe_i18n!A:C,3,FALSE)</f>
        <v>Unknown</v>
      </c>
      <c r="O684" s="105" t="s">
        <v>278</v>
      </c>
      <c r="P684" s="107" t="str">
        <f>VLOOKUP(O684,[1]character_tribe_i18n!A:C,3,FALSE)</f>
        <v>種族なし</v>
      </c>
      <c r="Q684" s="110" t="s">
        <v>2118</v>
      </c>
      <c r="R684" s="111">
        <v>3</v>
      </c>
      <c r="S684" s="108" t="s">
        <v>280</v>
      </c>
      <c r="T684" s="108" t="s">
        <v>281</v>
      </c>
      <c r="U684" s="108" t="s">
        <v>280</v>
      </c>
      <c r="V684" s="108" t="s">
        <v>280</v>
      </c>
      <c r="W684" s="108" t="s">
        <v>280</v>
      </c>
    </row>
    <row r="685" spans="1:23" ht="21" customHeight="1" x14ac:dyDescent="0.15">
      <c r="A685" s="104">
        <f t="shared" si="10"/>
        <v>684</v>
      </c>
      <c r="B685" s="105" t="s">
        <v>268</v>
      </c>
      <c r="C685" s="121" t="s">
        <v>2126</v>
      </c>
      <c r="D685" s="107" t="s">
        <v>2124</v>
      </c>
      <c r="E685" s="108" t="s">
        <v>554</v>
      </c>
      <c r="F685" s="108" t="s">
        <v>272</v>
      </c>
      <c r="G685" s="108" t="s">
        <v>273</v>
      </c>
      <c r="H685" s="131" t="s">
        <v>618</v>
      </c>
      <c r="I685" s="140">
        <v>5</v>
      </c>
      <c r="J685" s="130" t="s">
        <v>1407</v>
      </c>
      <c r="K685" s="105" t="s">
        <v>1750</v>
      </c>
      <c r="L685" s="107" t="str">
        <f ca="1">VLOOKUP($K685,OFFSET([1]character_type_i18n!$A$1,0,0,COUNTA([1]character_type_i18n!$A:$A),MATCH(L$1,[1]character_type_i18n!$1:$1,0)-MATCH($K$1,[1]character_type_i18n!$1:$1,0)+1),MATCH(L$1,[1]character_type_i18n!$1:$1,0)-MATCH($K$1,[1]character_type_i18n!$1:$1,0)+1,FALSE)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5" s="105" t="s">
        <v>1164</v>
      </c>
      <c r="N685" s="107" t="str">
        <f>VLOOKUP(M685,[1]character_tribe_i18n!A:C,3,FALSE)</f>
        <v>Unknown</v>
      </c>
      <c r="O685" s="105" t="s">
        <v>278</v>
      </c>
      <c r="P685" s="107" t="str">
        <f>VLOOKUP(O685,[1]character_tribe_i18n!A:C,3,FALSE)</f>
        <v>種族なし</v>
      </c>
      <c r="Q685" s="110" t="s">
        <v>2118</v>
      </c>
      <c r="R685" s="111">
        <v>3</v>
      </c>
      <c r="S685" s="108" t="s">
        <v>280</v>
      </c>
      <c r="T685" s="108" t="s">
        <v>281</v>
      </c>
      <c r="U685" s="108" t="s">
        <v>280</v>
      </c>
      <c r="V685" s="108" t="s">
        <v>280</v>
      </c>
      <c r="W685" s="108" t="s">
        <v>280</v>
      </c>
    </row>
    <row r="686" spans="1:23" ht="21" customHeight="1" x14ac:dyDescent="0.15">
      <c r="A686" s="104">
        <f t="shared" si="10"/>
        <v>685</v>
      </c>
      <c r="B686" s="105" t="s">
        <v>268</v>
      </c>
      <c r="C686" s="121" t="s">
        <v>2127</v>
      </c>
      <c r="D686" s="107" t="s">
        <v>2124</v>
      </c>
      <c r="E686" s="108" t="s">
        <v>554</v>
      </c>
      <c r="F686" s="108" t="s">
        <v>272</v>
      </c>
      <c r="G686" s="108" t="s">
        <v>273</v>
      </c>
      <c r="H686" s="131" t="s">
        <v>618</v>
      </c>
      <c r="I686" s="140">
        <v>6</v>
      </c>
      <c r="J686" s="130" t="s">
        <v>1407</v>
      </c>
      <c r="K686" s="105" t="s">
        <v>1750</v>
      </c>
      <c r="L686" s="107" t="str">
        <f ca="1">VLOOKUP($K686,OFFSET([1]character_type_i18n!$A$1,0,0,COUNTA([1]character_type_i18n!$A:$A),MATCH(L$1,[1]character_type_i18n!$1:$1,0)-MATCH($K$1,[1]character_type_i18n!$1:$1,0)+1),MATCH(L$1,[1]character_type_i18n!$1:$1,0)-MATCH($K$1,[1]character_type_i18n!$1:$1,0)+1,FALSE)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6" s="105" t="s">
        <v>1164</v>
      </c>
      <c r="N686" s="107" t="str">
        <f>VLOOKUP(M686,[1]character_tribe_i18n!A:C,3,FALSE)</f>
        <v>Unknown</v>
      </c>
      <c r="O686" s="105" t="s">
        <v>278</v>
      </c>
      <c r="P686" s="107" t="str">
        <f>VLOOKUP(O686,[1]character_tribe_i18n!A:C,3,FALSE)</f>
        <v>種族なし</v>
      </c>
      <c r="Q686" s="110" t="s">
        <v>2118</v>
      </c>
      <c r="R686" s="111">
        <v>3</v>
      </c>
      <c r="S686" s="108" t="s">
        <v>280</v>
      </c>
      <c r="T686" s="108" t="s">
        <v>281</v>
      </c>
      <c r="U686" s="108" t="s">
        <v>280</v>
      </c>
      <c r="V686" s="108" t="s">
        <v>280</v>
      </c>
      <c r="W686" s="108" t="s">
        <v>280</v>
      </c>
    </row>
    <row r="687" spans="1:23" ht="21" customHeight="1" x14ac:dyDescent="0.15">
      <c r="A687" s="104">
        <f t="shared" si="10"/>
        <v>686</v>
      </c>
      <c r="B687" s="105" t="s">
        <v>268</v>
      </c>
      <c r="C687" s="121" t="s">
        <v>2128</v>
      </c>
      <c r="D687" s="107" t="s">
        <v>2124</v>
      </c>
      <c r="E687" s="108" t="s">
        <v>554</v>
      </c>
      <c r="F687" s="108" t="s">
        <v>272</v>
      </c>
      <c r="G687" s="108" t="s">
        <v>273</v>
      </c>
      <c r="H687" s="131" t="s">
        <v>300</v>
      </c>
      <c r="I687" s="140">
        <v>5</v>
      </c>
      <c r="J687" s="130" t="s">
        <v>2117</v>
      </c>
      <c r="K687" s="105" t="s">
        <v>2122</v>
      </c>
      <c r="L687" s="107" t="str">
        <f ca="1">VLOOKUP($K687,OFFSET([1]character_type_i18n!$A$1,0,0,COUNTA([1]character_type_i18n!$A:$A),MATCH(L$1,[1]character_type_i18n!$1:$1,0)-MATCH($K$1,[1]character_type_i18n!$1:$1,0)+1),MATCH(L$1,[1]character_type_i18n!$1:$1,0)-MATCH($K$1,[1]character_type_i18n!$1:$1,0)+1,FALSE)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7" s="105" t="s">
        <v>1703</v>
      </c>
      <c r="N687" s="107" t="str">
        <f>VLOOKUP(M687,[1]character_tribe_i18n!A:C,3,FALSE)</f>
        <v>Unknown</v>
      </c>
      <c r="O687" s="105" t="s">
        <v>278</v>
      </c>
      <c r="P687" s="107" t="str">
        <f>VLOOKUP(O687,[1]character_tribe_i18n!A:C,3,FALSE)</f>
        <v>種族なし</v>
      </c>
      <c r="Q687" s="110" t="s">
        <v>2118</v>
      </c>
      <c r="R687" s="111">
        <v>3</v>
      </c>
      <c r="S687" s="108" t="s">
        <v>280</v>
      </c>
      <c r="T687" s="108" t="s">
        <v>281</v>
      </c>
      <c r="U687" s="108" t="s">
        <v>280</v>
      </c>
      <c r="V687" s="108" t="s">
        <v>280</v>
      </c>
      <c r="W687" s="108" t="s">
        <v>280</v>
      </c>
    </row>
    <row r="688" spans="1:23" ht="21" customHeight="1" x14ac:dyDescent="0.15">
      <c r="A688" s="104">
        <f t="shared" si="10"/>
        <v>687</v>
      </c>
      <c r="B688" s="105" t="s">
        <v>268</v>
      </c>
      <c r="C688" s="121" t="s">
        <v>2129</v>
      </c>
      <c r="D688" s="107" t="s">
        <v>2124</v>
      </c>
      <c r="E688" s="108" t="s">
        <v>554</v>
      </c>
      <c r="F688" s="108" t="s">
        <v>272</v>
      </c>
      <c r="G688" s="108" t="s">
        <v>273</v>
      </c>
      <c r="H688" s="131" t="s">
        <v>300</v>
      </c>
      <c r="I688" s="140">
        <v>6</v>
      </c>
      <c r="J688" s="130" t="s">
        <v>2117</v>
      </c>
      <c r="K688" s="105" t="s">
        <v>2122</v>
      </c>
      <c r="L688" s="107" t="str">
        <f ca="1">VLOOKUP($K688,OFFSET([1]character_type_i18n!$A$1,0,0,COUNTA([1]character_type_i18n!$A:$A),MATCH(L$1,[1]character_type_i18n!$1:$1,0)-MATCH($K$1,[1]character_type_i18n!$1:$1,0)+1),MATCH(L$1,[1]character_type_i18n!$1:$1,0)-MATCH($K$1,[1]character_type_i18n!$1:$1,0)+1,FALSE)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8" s="105" t="s">
        <v>1703</v>
      </c>
      <c r="N688" s="107" t="str">
        <f>VLOOKUP(M688,[1]character_tribe_i18n!A:C,3,FALSE)</f>
        <v>Unknown</v>
      </c>
      <c r="O688" s="105" t="s">
        <v>278</v>
      </c>
      <c r="P688" s="107" t="str">
        <f>VLOOKUP(O688,[1]character_tribe_i18n!A:C,3,FALSE)</f>
        <v>種族なし</v>
      </c>
      <c r="Q688" s="110" t="s">
        <v>2118</v>
      </c>
      <c r="R688" s="111">
        <v>3</v>
      </c>
      <c r="S688" s="108" t="s">
        <v>280</v>
      </c>
      <c r="T688" s="108" t="s">
        <v>281</v>
      </c>
      <c r="U688" s="108" t="s">
        <v>280</v>
      </c>
      <c r="V688" s="108" t="s">
        <v>280</v>
      </c>
      <c r="W688" s="108" t="s">
        <v>280</v>
      </c>
    </row>
    <row r="689" spans="1:23" ht="21" customHeight="1" x14ac:dyDescent="0.15">
      <c r="A689" s="104">
        <f t="shared" si="10"/>
        <v>688</v>
      </c>
      <c r="B689" s="105" t="s">
        <v>268</v>
      </c>
      <c r="C689" s="121" t="s">
        <v>2130</v>
      </c>
      <c r="D689" s="107" t="s">
        <v>2131</v>
      </c>
      <c r="E689" s="108" t="s">
        <v>2132</v>
      </c>
      <c r="F689" s="108" t="s">
        <v>532</v>
      </c>
      <c r="G689" s="108" t="s">
        <v>853</v>
      </c>
      <c r="H689" s="131" t="s">
        <v>1761</v>
      </c>
      <c r="I689" s="140">
        <v>4</v>
      </c>
      <c r="J689" s="109" t="s">
        <v>1592</v>
      </c>
      <c r="K689" s="105" t="s">
        <v>1388</v>
      </c>
      <c r="L689" s="107" t="str">
        <f ca="1">VLOOKUP($K689,OFFSET([1]character_type_i18n!$A$1,0,0,COUNTA([1]character_type_i18n!$A:$A),MATCH(L$1,[1]character_type_i18n!$1:$1,0)-MATCH($K$1,[1]character_type_i18n!$1:$1,0)+1),MATCH(L$1,[1]character_type_i18n!$1:$1,0)-MATCH($K$1,[1]character_type_i18n!$1:$1,0)+1,FALSE)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89" s="105" t="s">
        <v>1011</v>
      </c>
      <c r="N689" s="107" t="str">
        <f>VLOOKUP(M689,[1]character_tribe_i18n!A:C,3,FALSE)</f>
        <v>ヒューマン</v>
      </c>
      <c r="O689" s="105" t="s">
        <v>278</v>
      </c>
      <c r="P689" s="107" t="str">
        <f>VLOOKUP(O689,[1]character_tribe_i18n!A:C,3,FALSE)</f>
        <v>種族なし</v>
      </c>
      <c r="Q689" s="110" t="s">
        <v>799</v>
      </c>
      <c r="R689" s="111">
        <v>3</v>
      </c>
      <c r="S689" s="108" t="s">
        <v>771</v>
      </c>
      <c r="T689" s="108" t="s">
        <v>800</v>
      </c>
      <c r="U689" s="108" t="s">
        <v>771</v>
      </c>
      <c r="V689" s="108" t="s">
        <v>894</v>
      </c>
      <c r="W689" s="108" t="s">
        <v>894</v>
      </c>
    </row>
    <row r="690" spans="1:23" ht="21" customHeight="1" x14ac:dyDescent="0.15">
      <c r="A690" s="104">
        <f t="shared" si="10"/>
        <v>689</v>
      </c>
      <c r="B690" s="105" t="s">
        <v>1261</v>
      </c>
      <c r="C690" s="121" t="s">
        <v>2133</v>
      </c>
      <c r="D690" s="107" t="s">
        <v>2134</v>
      </c>
      <c r="E690" s="108" t="s">
        <v>2135</v>
      </c>
      <c r="F690" s="108" t="s">
        <v>2136</v>
      </c>
      <c r="G690" s="108" t="s">
        <v>853</v>
      </c>
      <c r="H690" s="131" t="s">
        <v>2137</v>
      </c>
      <c r="I690" s="140">
        <v>5</v>
      </c>
      <c r="J690" s="109" t="s">
        <v>1976</v>
      </c>
      <c r="K690" s="105" t="s">
        <v>1292</v>
      </c>
      <c r="L690" s="107" t="str">
        <f ca="1">VLOOKUP($K690,OFFSET([1]character_type_i18n!$A$1,0,0,COUNTA([1]character_type_i18n!$A:$A),MATCH(L$1,[1]character_type_i18n!$1:$1,0)-MATCH($K$1,[1]character_type_i18n!$1:$1,0)+1),MATCH(L$1,[1]character_type_i18n!$1:$1,0)-MATCH($K$1,[1]character_type_i18n!$1:$1,0)+1,FALSE)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90" s="105" t="s">
        <v>1011</v>
      </c>
      <c r="N690" s="107" t="str">
        <f>VLOOKUP(M690,[1]character_tribe_i18n!A:C,3,FALSE)</f>
        <v>ヒューマン</v>
      </c>
      <c r="O690" s="105" t="s">
        <v>278</v>
      </c>
      <c r="P690" s="107" t="str">
        <f>VLOOKUP(O690,[1]character_tribe_i18n!A:C,3,FALSE)</f>
        <v>種族なし</v>
      </c>
      <c r="Q690" s="110" t="s">
        <v>2138</v>
      </c>
      <c r="R690" s="111">
        <v>3</v>
      </c>
      <c r="S690" s="108" t="s">
        <v>2139</v>
      </c>
      <c r="T690" s="108" t="s">
        <v>2140</v>
      </c>
      <c r="U690" s="108" t="s">
        <v>2141</v>
      </c>
      <c r="V690" s="108" t="s">
        <v>1621</v>
      </c>
      <c r="W690" s="108" t="s">
        <v>1621</v>
      </c>
    </row>
    <row r="691" spans="1:23" ht="21" customHeight="1" x14ac:dyDescent="0.15">
      <c r="A691" s="104">
        <f t="shared" si="10"/>
        <v>690</v>
      </c>
      <c r="B691" s="105" t="s">
        <v>2142</v>
      </c>
      <c r="C691" s="121" t="s">
        <v>2143</v>
      </c>
      <c r="D691" s="107" t="s">
        <v>2134</v>
      </c>
      <c r="E691" s="108" t="s">
        <v>709</v>
      </c>
      <c r="F691" s="108" t="s">
        <v>532</v>
      </c>
      <c r="G691" s="108" t="s">
        <v>853</v>
      </c>
      <c r="H691" s="131" t="s">
        <v>1761</v>
      </c>
      <c r="I691" s="140">
        <v>6</v>
      </c>
      <c r="J691" s="109" t="s">
        <v>1180</v>
      </c>
      <c r="K691" s="105" t="s">
        <v>1388</v>
      </c>
      <c r="L691" s="107" t="str">
        <f ca="1">VLOOKUP($K691,OFFSET([1]character_type_i18n!$A$1,0,0,COUNTA([1]character_type_i18n!$A:$A),MATCH(L$1,[1]character_type_i18n!$1:$1,0)-MATCH($K$1,[1]character_type_i18n!$1:$1,0)+1),MATCH(L$1,[1]character_type_i18n!$1:$1,0)-MATCH($K$1,[1]character_type_i18n!$1:$1,0)+1,FALSE)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91" s="105" t="s">
        <v>2144</v>
      </c>
      <c r="N691" s="107" t="str">
        <f>VLOOKUP(M691,[1]character_tribe_i18n!A:C,3,FALSE)</f>
        <v>ヒューマン</v>
      </c>
      <c r="O691" s="105" t="s">
        <v>278</v>
      </c>
      <c r="P691" s="107" t="str">
        <f>VLOOKUP(O691,[1]character_tribe_i18n!A:C,3,FALSE)</f>
        <v>種族なし</v>
      </c>
      <c r="Q691" s="110" t="s">
        <v>1340</v>
      </c>
      <c r="R691" s="111">
        <v>3</v>
      </c>
      <c r="S691" s="108" t="s">
        <v>1057</v>
      </c>
      <c r="T691" s="108" t="s">
        <v>910</v>
      </c>
      <c r="U691" s="108" t="s">
        <v>911</v>
      </c>
      <c r="V691" s="108" t="s">
        <v>894</v>
      </c>
      <c r="W691" s="108" t="s">
        <v>894</v>
      </c>
    </row>
    <row r="692" spans="1:23" ht="21" customHeight="1" x14ac:dyDescent="0.15">
      <c r="A692" s="104">
        <f t="shared" si="10"/>
        <v>691</v>
      </c>
      <c r="B692" s="105" t="s">
        <v>1261</v>
      </c>
      <c r="C692" s="121" t="s">
        <v>2145</v>
      </c>
      <c r="D692" s="107" t="s">
        <v>2146</v>
      </c>
      <c r="E692" s="108" t="s">
        <v>1662</v>
      </c>
      <c r="F692" s="108" t="s">
        <v>903</v>
      </c>
      <c r="G692" s="108" t="s">
        <v>2147</v>
      </c>
      <c r="H692" s="131" t="s">
        <v>2148</v>
      </c>
      <c r="I692" s="140">
        <v>4</v>
      </c>
      <c r="J692" s="109" t="s">
        <v>2149</v>
      </c>
      <c r="K692" s="145" t="s">
        <v>2150</v>
      </c>
      <c r="L692" s="107" t="str">
        <f ca="1">VLOOKUP($K692,OFFSET([1]character_type_i18n!$A$1,0,0,COUNTA([1]character_type_i18n!$A:$A),MATCH(L$1,[1]character_type_i18n!$1:$1,0)-MATCH($K$1,[1]character_type_i18n!$1:$1,0)+1),MATCH(L$1,[1]character_type_i18n!$1:$1,0)-MATCH($K$1,[1]character_type_i18n!$1:$1,0)+1,FALSE)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2" s="105" t="s">
        <v>1011</v>
      </c>
      <c r="N692" s="107" t="str">
        <f>VLOOKUP(M692,[1]character_tribe_i18n!A:C,3,FALSE)</f>
        <v>ヒューマン</v>
      </c>
      <c r="O692" s="105" t="s">
        <v>278</v>
      </c>
      <c r="P692" s="107" t="str">
        <f>VLOOKUP(O692,[1]character_tribe_i18n!A:C,3,FALSE)</f>
        <v>種族なし</v>
      </c>
      <c r="Q692" s="110" t="s">
        <v>1340</v>
      </c>
      <c r="R692" s="111">
        <v>3</v>
      </c>
      <c r="S692" s="108" t="s">
        <v>1057</v>
      </c>
      <c r="T692" s="108" t="s">
        <v>281</v>
      </c>
      <c r="U692" s="108" t="s">
        <v>280</v>
      </c>
      <c r="V692" s="108" t="s">
        <v>894</v>
      </c>
      <c r="W692" s="108" t="s">
        <v>894</v>
      </c>
    </row>
    <row r="693" spans="1:23" ht="21" customHeight="1" x14ac:dyDescent="0.15">
      <c r="A693" s="104">
        <f t="shared" si="10"/>
        <v>692</v>
      </c>
      <c r="B693" s="105" t="s">
        <v>2151</v>
      </c>
      <c r="C693" s="121" t="s">
        <v>2152</v>
      </c>
      <c r="D693" s="107" t="s">
        <v>2146</v>
      </c>
      <c r="E693" s="108" t="s">
        <v>1662</v>
      </c>
      <c r="F693" s="108" t="s">
        <v>903</v>
      </c>
      <c r="G693" s="108" t="s">
        <v>2147</v>
      </c>
      <c r="H693" s="131" t="s">
        <v>2153</v>
      </c>
      <c r="I693" s="140">
        <v>5</v>
      </c>
      <c r="J693" s="109" t="s">
        <v>2154</v>
      </c>
      <c r="K693" s="145" t="s">
        <v>2155</v>
      </c>
      <c r="L693" s="107" t="str">
        <f ca="1">VLOOKUP($K693,OFFSET([1]character_type_i18n!$A$1,0,0,COUNTA([1]character_type_i18n!$A:$A),MATCH(L$1,[1]character_type_i18n!$1:$1,0)-MATCH($K$1,[1]character_type_i18n!$1:$1,0)+1),MATCH(L$1,[1]character_type_i18n!$1:$1,0)-MATCH($K$1,[1]character_type_i18n!$1:$1,0)+1,FALSE)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3" s="105" t="s">
        <v>1011</v>
      </c>
      <c r="N693" s="107" t="str">
        <f>VLOOKUP(M693,[1]character_tribe_i18n!A:C,3,FALSE)</f>
        <v>ヒューマン</v>
      </c>
      <c r="O693" s="105" t="s">
        <v>278</v>
      </c>
      <c r="P693" s="107" t="str">
        <f>VLOOKUP(O693,[1]character_tribe_i18n!A:C,3,FALSE)</f>
        <v>種族なし</v>
      </c>
      <c r="Q693" s="110" t="s">
        <v>2156</v>
      </c>
      <c r="R693" s="111">
        <v>3</v>
      </c>
      <c r="S693" s="108" t="s">
        <v>880</v>
      </c>
      <c r="T693" s="108" t="s">
        <v>1052</v>
      </c>
      <c r="U693" s="108" t="s">
        <v>1057</v>
      </c>
      <c r="V693" s="108" t="s">
        <v>894</v>
      </c>
      <c r="W693" s="108" t="s">
        <v>894</v>
      </c>
    </row>
    <row r="694" spans="1:23" ht="21" customHeight="1" x14ac:dyDescent="0.15">
      <c r="A694" s="104">
        <f t="shared" si="10"/>
        <v>693</v>
      </c>
      <c r="B694" s="105" t="s">
        <v>268</v>
      </c>
      <c r="C694" s="136" t="s">
        <v>2157</v>
      </c>
      <c r="D694" s="107" t="s">
        <v>2158</v>
      </c>
      <c r="E694" s="108" t="s">
        <v>709</v>
      </c>
      <c r="F694" s="108" t="s">
        <v>2159</v>
      </c>
      <c r="G694" s="108" t="s">
        <v>2160</v>
      </c>
      <c r="H694" s="131" t="s">
        <v>2161</v>
      </c>
      <c r="I694" s="140">
        <v>4</v>
      </c>
      <c r="J694" s="109" t="s">
        <v>516</v>
      </c>
      <c r="K694" s="145" t="s">
        <v>2162</v>
      </c>
      <c r="L694" s="107" t="str">
        <f ca="1">VLOOKUP($K694,OFFSET([1]character_type_i18n!$A$1,0,0,COUNTA([1]character_type_i18n!$A:$A),MATCH(L$1,[1]character_type_i18n!$1:$1,0)-MATCH($K$1,[1]character_type_i18n!$1:$1,0)+1),MATCH(L$1,[1]character_type_i18n!$1:$1,0)-MATCH($K$1,[1]character_type_i18n!$1:$1,0)+1,FALSE)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4" s="105" t="s">
        <v>1011</v>
      </c>
      <c r="N694" s="107" t="str">
        <f>VLOOKUP(M694,[1]character_tribe_i18n!A:C,3,FALSE)</f>
        <v>ヒューマン</v>
      </c>
      <c r="O694" s="105" t="s">
        <v>278</v>
      </c>
      <c r="P694" s="107" t="str">
        <f>VLOOKUP(O694,[1]character_tribe_i18n!A:C,3,FALSE)</f>
        <v>種族なし</v>
      </c>
      <c r="Q694" s="110" t="s">
        <v>2163</v>
      </c>
      <c r="R694" s="111">
        <v>3</v>
      </c>
      <c r="S694" s="108" t="s">
        <v>2164</v>
      </c>
      <c r="T694" s="108" t="s">
        <v>915</v>
      </c>
      <c r="U694" s="108" t="s">
        <v>880</v>
      </c>
      <c r="V694" s="108" t="s">
        <v>894</v>
      </c>
      <c r="W694" s="108" t="s">
        <v>894</v>
      </c>
    </row>
    <row r="695" spans="1:23" ht="21" customHeight="1" x14ac:dyDescent="0.15">
      <c r="A695" s="104">
        <f t="shared" si="10"/>
        <v>694</v>
      </c>
      <c r="B695" s="105" t="s">
        <v>1689</v>
      </c>
      <c r="C695" s="136" t="s">
        <v>2165</v>
      </c>
      <c r="D695" s="107" t="s">
        <v>2158</v>
      </c>
      <c r="E695" s="108" t="s">
        <v>1662</v>
      </c>
      <c r="F695" s="108" t="s">
        <v>903</v>
      </c>
      <c r="G695" s="108" t="s">
        <v>2147</v>
      </c>
      <c r="H695" s="131" t="s">
        <v>551</v>
      </c>
      <c r="I695" s="140">
        <v>5</v>
      </c>
      <c r="J695" s="109" t="s">
        <v>516</v>
      </c>
      <c r="K695" s="145" t="s">
        <v>2166</v>
      </c>
      <c r="L695" s="107" t="str">
        <f ca="1">VLOOKUP($K695,OFFSET([1]character_type_i18n!$A$1,0,0,COUNTA([1]character_type_i18n!$A:$A),MATCH(L$1,[1]character_type_i18n!$1:$1,0)-MATCH($K$1,[1]character_type_i18n!$1:$1,0)+1),MATCH(L$1,[1]character_type_i18n!$1:$1,0)-MATCH($K$1,[1]character_type_i18n!$1:$1,0)+1,FALSE)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5" s="105" t="s">
        <v>2167</v>
      </c>
      <c r="N695" s="107" t="str">
        <f>VLOOKUP(M695,[1]character_tribe_i18n!A:C,3,FALSE)</f>
        <v>ヒューマン</v>
      </c>
      <c r="O695" s="105" t="s">
        <v>278</v>
      </c>
      <c r="P695" s="107" t="str">
        <f>VLOOKUP(O695,[1]character_tribe_i18n!A:C,3,FALSE)</f>
        <v>種族なし</v>
      </c>
      <c r="Q695" s="110" t="s">
        <v>1340</v>
      </c>
      <c r="R695" s="111">
        <v>3</v>
      </c>
      <c r="S695" s="108" t="s">
        <v>1057</v>
      </c>
      <c r="T695" s="108" t="s">
        <v>910</v>
      </c>
      <c r="U695" s="108" t="s">
        <v>911</v>
      </c>
      <c r="V695" s="108" t="s">
        <v>894</v>
      </c>
      <c r="W695" s="108" t="s">
        <v>894</v>
      </c>
    </row>
    <row r="696" spans="1:23" ht="21" customHeight="1" x14ac:dyDescent="0.15">
      <c r="A696" s="104">
        <f t="shared" si="10"/>
        <v>695</v>
      </c>
      <c r="B696" s="105" t="s">
        <v>268</v>
      </c>
      <c r="C696" s="136" t="s">
        <v>2168</v>
      </c>
      <c r="D696" s="107" t="s">
        <v>2169</v>
      </c>
      <c r="E696" s="108" t="s">
        <v>709</v>
      </c>
      <c r="F696" s="108" t="s">
        <v>532</v>
      </c>
      <c r="G696" s="108" t="s">
        <v>853</v>
      </c>
      <c r="H696" s="131" t="s">
        <v>551</v>
      </c>
      <c r="I696" s="140">
        <v>3</v>
      </c>
      <c r="J696" s="109" t="s">
        <v>516</v>
      </c>
      <c r="K696" s="145" t="s">
        <v>2166</v>
      </c>
      <c r="L696" s="107" t="str">
        <f ca="1">VLOOKUP($K696,OFFSET([1]character_type_i18n!$A$1,0,0,COUNTA([1]character_type_i18n!$A:$A),MATCH(L$1,[1]character_type_i18n!$1:$1,0)-MATCH($K$1,[1]character_type_i18n!$1:$1,0)+1),MATCH(L$1,[1]character_type_i18n!$1:$1,0)-MATCH($K$1,[1]character_type_i18n!$1:$1,0)+1,FALSE)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6" s="105" t="s">
        <v>1164</v>
      </c>
      <c r="N696" s="107" t="str">
        <f>VLOOKUP(M696,[1]character_tribe_i18n!A:C,3,FALSE)</f>
        <v>Unknown</v>
      </c>
      <c r="O696" s="105" t="s">
        <v>278</v>
      </c>
      <c r="P696" s="107" t="str">
        <f>VLOOKUP(O696,[1]character_tribe_i18n!A:C,3,FALSE)</f>
        <v>種族なし</v>
      </c>
      <c r="Q696" s="110" t="s">
        <v>279</v>
      </c>
      <c r="R696" s="111">
        <v>3</v>
      </c>
      <c r="S696" s="108" t="s">
        <v>280</v>
      </c>
      <c r="T696" s="108" t="s">
        <v>1052</v>
      </c>
      <c r="U696" s="108" t="s">
        <v>1057</v>
      </c>
      <c r="V696" s="108" t="s">
        <v>894</v>
      </c>
      <c r="W696" s="108" t="s">
        <v>894</v>
      </c>
    </row>
    <row r="697" spans="1:23" ht="21" customHeight="1" x14ac:dyDescent="0.15">
      <c r="A697" s="104">
        <f t="shared" si="10"/>
        <v>696</v>
      </c>
      <c r="B697" s="105" t="s">
        <v>2170</v>
      </c>
      <c r="C697" s="136" t="s">
        <v>2171</v>
      </c>
      <c r="D697" s="107" t="s">
        <v>2172</v>
      </c>
      <c r="E697" s="108" t="s">
        <v>1468</v>
      </c>
      <c r="F697" s="108" t="s">
        <v>903</v>
      </c>
      <c r="G697" s="108" t="s">
        <v>853</v>
      </c>
      <c r="H697" s="131" t="s">
        <v>2173</v>
      </c>
      <c r="I697" s="140">
        <v>4</v>
      </c>
      <c r="J697" s="109" t="s">
        <v>516</v>
      </c>
      <c r="K697" s="145" t="s">
        <v>2162</v>
      </c>
      <c r="L697" s="107" t="str">
        <f ca="1">VLOOKUP($K697,OFFSET([1]character_type_i18n!$A$1,0,0,COUNTA([1]character_type_i18n!$A:$A),MATCH(L$1,[1]character_type_i18n!$1:$1,0)-MATCH($K$1,[1]character_type_i18n!$1:$1,0)+1),MATCH(L$1,[1]character_type_i18n!$1:$1,0)-MATCH($K$1,[1]character_type_i18n!$1:$1,0)+1,FALSE)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7" s="105" t="s">
        <v>1164</v>
      </c>
      <c r="N697" s="107" t="str">
        <f>VLOOKUP(M697,[1]character_tribe_i18n!A:C,3,FALSE)</f>
        <v>Unknown</v>
      </c>
      <c r="O697" s="105" t="s">
        <v>278</v>
      </c>
      <c r="P697" s="107" t="str">
        <f>VLOOKUP(O697,[1]character_tribe_i18n!A:C,3,FALSE)</f>
        <v>種族なし</v>
      </c>
      <c r="Q697" s="110" t="s">
        <v>2174</v>
      </c>
      <c r="R697" s="111">
        <v>3</v>
      </c>
      <c r="S697" s="108" t="s">
        <v>900</v>
      </c>
      <c r="T697" s="108" t="s">
        <v>2175</v>
      </c>
      <c r="U697" s="108" t="s">
        <v>1659</v>
      </c>
      <c r="V697" s="108" t="s">
        <v>894</v>
      </c>
      <c r="W697" s="108" t="s">
        <v>894</v>
      </c>
    </row>
    <row r="698" spans="1:23" ht="21" customHeight="1" x14ac:dyDescent="0.15">
      <c r="A698" s="104">
        <f t="shared" si="10"/>
        <v>697</v>
      </c>
      <c r="B698" s="105" t="s">
        <v>268</v>
      </c>
      <c r="C698" s="136" t="s">
        <v>2176</v>
      </c>
      <c r="D698" s="107" t="s">
        <v>2169</v>
      </c>
      <c r="E698" s="108" t="s">
        <v>709</v>
      </c>
      <c r="F698" s="108" t="s">
        <v>532</v>
      </c>
      <c r="G698" s="108" t="s">
        <v>853</v>
      </c>
      <c r="H698" s="131" t="s">
        <v>1795</v>
      </c>
      <c r="I698" s="140">
        <v>5</v>
      </c>
      <c r="J698" s="109" t="s">
        <v>516</v>
      </c>
      <c r="K698" s="145" t="s">
        <v>2177</v>
      </c>
      <c r="L698" s="107" t="str">
        <f ca="1">VLOOKUP($K698,OFFSET([1]character_type_i18n!$A$1,0,0,COUNTA([1]character_type_i18n!$A:$A),MATCH(L$1,[1]character_type_i18n!$1:$1,0)-MATCH($K$1,[1]character_type_i18n!$1:$1,0)+1),MATCH(L$1,[1]character_type_i18n!$1:$1,0)-MATCH($K$1,[1]character_type_i18n!$1:$1,0)+1,FALSE)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8" s="105" t="s">
        <v>1164</v>
      </c>
      <c r="N698" s="107" t="str">
        <f>VLOOKUP(M698,[1]character_tribe_i18n!A:C,3,FALSE)</f>
        <v>Unknown</v>
      </c>
      <c r="O698" s="105" t="s">
        <v>278</v>
      </c>
      <c r="P698" s="107" t="str">
        <f>VLOOKUP(O698,[1]character_tribe_i18n!A:C,3,FALSE)</f>
        <v>種族なし</v>
      </c>
      <c r="Q698" s="110" t="s">
        <v>1656</v>
      </c>
      <c r="R698" s="111">
        <v>3</v>
      </c>
      <c r="S698" s="108" t="s">
        <v>898</v>
      </c>
      <c r="T698" s="108" t="s">
        <v>281</v>
      </c>
      <c r="U698" s="108" t="s">
        <v>280</v>
      </c>
      <c r="V698" s="108" t="s">
        <v>894</v>
      </c>
      <c r="W698" s="108" t="s">
        <v>894</v>
      </c>
    </row>
    <row r="699" spans="1:23" ht="21" customHeight="1" x14ac:dyDescent="0.15">
      <c r="A699" s="104">
        <f t="shared" si="10"/>
        <v>698</v>
      </c>
      <c r="B699" s="105" t="s">
        <v>2178</v>
      </c>
      <c r="C699" s="121" t="s">
        <v>2179</v>
      </c>
      <c r="D699" s="107" t="s">
        <v>2180</v>
      </c>
      <c r="E699" s="108" t="s">
        <v>1305</v>
      </c>
      <c r="F699" s="108" t="s">
        <v>1310</v>
      </c>
      <c r="G699" s="108" t="s">
        <v>853</v>
      </c>
      <c r="H699" s="131" t="s">
        <v>1185</v>
      </c>
      <c r="I699" s="140">
        <v>5</v>
      </c>
      <c r="J699" s="130" t="s">
        <v>1618</v>
      </c>
      <c r="K699" s="145" t="s">
        <v>2177</v>
      </c>
      <c r="L699" s="107" t="str">
        <f ca="1">VLOOKUP($K699,OFFSET([1]character_type_i18n!$A$1,0,0,COUNTA([1]character_type_i18n!$A:$A),MATCH(L$1,[1]character_type_i18n!$1:$1,0)-MATCH($K$1,[1]character_type_i18n!$1:$1,0)+1),MATCH(L$1,[1]character_type_i18n!$1:$1,0)-MATCH($K$1,[1]character_type_i18n!$1:$1,0)+1,FALSE)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9" s="105" t="s">
        <v>1339</v>
      </c>
      <c r="N699" s="107" t="str">
        <f>VLOOKUP(M699,[1]character_tribe_i18n!A:C,3,FALSE)</f>
        <v>ヒューマン</v>
      </c>
      <c r="O699" s="105" t="s">
        <v>2001</v>
      </c>
      <c r="P699" s="107" t="str">
        <f>VLOOKUP(O699,[1]character_tribe_i18n!A:C,3,FALSE)</f>
        <v>Unknown</v>
      </c>
      <c r="Q699" s="110" t="s">
        <v>279</v>
      </c>
      <c r="R699" s="111">
        <v>3</v>
      </c>
      <c r="S699" s="108" t="s">
        <v>280</v>
      </c>
      <c r="T699" s="108" t="s">
        <v>281</v>
      </c>
      <c r="U699" s="108" t="s">
        <v>280</v>
      </c>
      <c r="V699" s="108" t="s">
        <v>280</v>
      </c>
      <c r="W699" s="108" t="s">
        <v>280</v>
      </c>
    </row>
    <row r="700" spans="1:23" ht="21" customHeight="1" x14ac:dyDescent="0.15">
      <c r="A700" s="104">
        <f t="shared" si="10"/>
        <v>699</v>
      </c>
      <c r="B700" s="105" t="s">
        <v>268</v>
      </c>
      <c r="C700" s="121" t="s">
        <v>2181</v>
      </c>
      <c r="D700" s="107" t="s">
        <v>2180</v>
      </c>
      <c r="E700" s="108" t="s">
        <v>709</v>
      </c>
      <c r="F700" s="108" t="s">
        <v>532</v>
      </c>
      <c r="G700" s="108" t="s">
        <v>853</v>
      </c>
      <c r="H700" s="131" t="s">
        <v>1185</v>
      </c>
      <c r="I700" s="140">
        <v>6</v>
      </c>
      <c r="J700" s="130" t="s">
        <v>2182</v>
      </c>
      <c r="K700" s="145" t="s">
        <v>2177</v>
      </c>
      <c r="L700" s="107" t="str">
        <f ca="1">VLOOKUP($K700,OFFSET([1]character_type_i18n!$A$1,0,0,COUNTA([1]character_type_i18n!$A:$A),MATCH(L$1,[1]character_type_i18n!$1:$1,0)-MATCH($K$1,[1]character_type_i18n!$1:$1,0)+1),MATCH(L$1,[1]character_type_i18n!$1:$1,0)-MATCH($K$1,[1]character_type_i18n!$1:$1,0)+1,FALSE)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0" s="105" t="s">
        <v>2183</v>
      </c>
      <c r="N700" s="107" t="str">
        <f>VLOOKUP(M700,[1]character_tribe_i18n!A:C,3,FALSE)</f>
        <v>ヒューマン</v>
      </c>
      <c r="O700" s="105" t="s">
        <v>2184</v>
      </c>
      <c r="P700" s="107" t="str">
        <f>VLOOKUP(O700,[1]character_tribe_i18n!A:C,3,FALSE)</f>
        <v>Unknown</v>
      </c>
      <c r="Q700" s="110" t="s">
        <v>279</v>
      </c>
      <c r="R700" s="111">
        <v>3</v>
      </c>
      <c r="S700" s="108" t="s">
        <v>280</v>
      </c>
      <c r="T700" s="108" t="s">
        <v>281</v>
      </c>
      <c r="U700" s="108" t="s">
        <v>280</v>
      </c>
      <c r="V700" s="108" t="s">
        <v>280</v>
      </c>
      <c r="W700" s="108" t="s">
        <v>280</v>
      </c>
    </row>
    <row r="701" spans="1:23" ht="21" customHeight="1" x14ac:dyDescent="0.15">
      <c r="A701" s="104">
        <f t="shared" si="10"/>
        <v>700</v>
      </c>
      <c r="B701" s="105" t="s">
        <v>268</v>
      </c>
      <c r="C701" s="121" t="s">
        <v>2185</v>
      </c>
      <c r="D701" s="107" t="s">
        <v>2186</v>
      </c>
      <c r="E701" s="108" t="s">
        <v>709</v>
      </c>
      <c r="F701" s="108" t="s">
        <v>532</v>
      </c>
      <c r="G701" s="108" t="s">
        <v>710</v>
      </c>
      <c r="H701" s="131" t="s">
        <v>768</v>
      </c>
      <c r="I701" s="140">
        <v>5</v>
      </c>
      <c r="J701" s="130" t="s">
        <v>1504</v>
      </c>
      <c r="K701" s="145" t="s">
        <v>2187</v>
      </c>
      <c r="L701" s="107" t="str">
        <f ca="1">VLOOKUP($K701,OFFSET([1]character_type_i18n!$A$1,0,0,COUNTA([1]character_type_i18n!$A:$A),MATCH(L$1,[1]character_type_i18n!$1:$1,0)-MATCH($K$1,[1]character_type_i18n!$1:$1,0)+1),MATCH(L$1,[1]character_type_i18n!$1:$1,0)-MATCH($K$1,[1]character_type_i18n!$1:$1,0)+1,FALSE)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1" s="105" t="s">
        <v>2167</v>
      </c>
      <c r="N701" s="107" t="str">
        <f>VLOOKUP(M701,[1]character_tribe_i18n!A:C,3,FALSE)</f>
        <v>ヒューマン</v>
      </c>
      <c r="O701" s="105" t="s">
        <v>278</v>
      </c>
      <c r="P701" s="107" t="str">
        <f>VLOOKUP(O701,[1]character_tribe_i18n!A:C,3,FALSE)</f>
        <v>種族なし</v>
      </c>
      <c r="Q701" s="110" t="s">
        <v>1658</v>
      </c>
      <c r="R701" s="111">
        <v>3</v>
      </c>
      <c r="S701" s="108" t="s">
        <v>1659</v>
      </c>
      <c r="T701" s="108" t="s">
        <v>281</v>
      </c>
      <c r="U701" s="108" t="s">
        <v>280</v>
      </c>
      <c r="V701" s="108" t="s">
        <v>894</v>
      </c>
      <c r="W701" s="108" t="s">
        <v>894</v>
      </c>
    </row>
    <row r="702" spans="1:23" ht="21" customHeight="1" x14ac:dyDescent="0.15">
      <c r="A702" s="104">
        <f t="shared" si="10"/>
        <v>701</v>
      </c>
      <c r="B702" s="105" t="s">
        <v>268</v>
      </c>
      <c r="C702" s="121" t="s">
        <v>2188</v>
      </c>
      <c r="D702" s="107" t="s">
        <v>2186</v>
      </c>
      <c r="E702" s="108" t="s">
        <v>1305</v>
      </c>
      <c r="F702" s="108" t="s">
        <v>1310</v>
      </c>
      <c r="G702" s="108" t="s">
        <v>1648</v>
      </c>
      <c r="H702" s="131" t="s">
        <v>1649</v>
      </c>
      <c r="I702" s="140">
        <v>6</v>
      </c>
      <c r="J702" s="130" t="s">
        <v>2189</v>
      </c>
      <c r="K702" s="145" t="s">
        <v>2190</v>
      </c>
      <c r="L702" s="107" t="str">
        <f ca="1">VLOOKUP($K702,OFFSET([1]character_type_i18n!$A$1,0,0,COUNTA([1]character_type_i18n!$A:$A),MATCH(L$1,[1]character_type_i18n!$1:$1,0)-MATCH($K$1,[1]character_type_i18n!$1:$1,0)+1),MATCH(L$1,[1]character_type_i18n!$1:$1,0)-MATCH($K$1,[1]character_type_i18n!$1:$1,0)+1,FALSE)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2" s="105" t="s">
        <v>1264</v>
      </c>
      <c r="N702" s="107" t="str">
        <f>VLOOKUP(M702,[1]character_tribe_i18n!A:C,3,FALSE)</f>
        <v>ヒューマン</v>
      </c>
      <c r="O702" s="105" t="s">
        <v>278</v>
      </c>
      <c r="P702" s="107" t="str">
        <f>VLOOKUP(O702,[1]character_tribe_i18n!A:C,3,FALSE)</f>
        <v>種族なし</v>
      </c>
      <c r="Q702" s="110" t="s">
        <v>2191</v>
      </c>
      <c r="R702" s="111">
        <v>3</v>
      </c>
      <c r="S702" s="108" t="s">
        <v>2192</v>
      </c>
      <c r="T702" s="108" t="s">
        <v>440</v>
      </c>
      <c r="U702" s="108" t="s">
        <v>441</v>
      </c>
      <c r="V702" s="108" t="s">
        <v>894</v>
      </c>
      <c r="W702" s="108" t="s">
        <v>894</v>
      </c>
    </row>
    <row r="703" spans="1:23" ht="21" customHeight="1" x14ac:dyDescent="0.15">
      <c r="A703" s="104">
        <f t="shared" si="10"/>
        <v>702</v>
      </c>
      <c r="B703" s="105" t="s">
        <v>268</v>
      </c>
      <c r="C703" s="121" t="s">
        <v>2193</v>
      </c>
      <c r="D703" s="107" t="s">
        <v>2194</v>
      </c>
      <c r="E703" s="108" t="s">
        <v>2195</v>
      </c>
      <c r="F703" s="108" t="s">
        <v>1272</v>
      </c>
      <c r="G703" s="108" t="s">
        <v>1544</v>
      </c>
      <c r="H703" s="131" t="s">
        <v>1928</v>
      </c>
      <c r="I703" s="140">
        <v>4</v>
      </c>
      <c r="J703" s="109" t="s">
        <v>805</v>
      </c>
      <c r="K703" s="145" t="s">
        <v>2196</v>
      </c>
      <c r="L703" s="107" t="str">
        <f ca="1">VLOOKUP($K703,OFFSET([1]character_type_i18n!$A$1,0,0,COUNTA([1]character_type_i18n!$A:$A),MATCH(L$1,[1]character_type_i18n!$1:$1,0)-MATCH($K$1,[1]character_type_i18n!$1:$1,0)+1),MATCH(L$1,[1]character_type_i18n!$1:$1,0)-MATCH($K$1,[1]character_type_i18n!$1:$1,0)+1,FALSE)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3" s="105" t="s">
        <v>2197</v>
      </c>
      <c r="N703" s="107" t="str">
        <f>VLOOKUP(M703,[1]character_tribe_i18n!A:C,3,FALSE)</f>
        <v>ヒューマン</v>
      </c>
      <c r="O703" s="105" t="s">
        <v>278</v>
      </c>
      <c r="P703" s="107" t="str">
        <f>VLOOKUP(O703,[1]character_tribe_i18n!A:C,3,FALSE)</f>
        <v>種族なし</v>
      </c>
      <c r="Q703" s="110" t="s">
        <v>2198</v>
      </c>
      <c r="R703" s="111">
        <v>3</v>
      </c>
      <c r="S703" s="108" t="s">
        <v>2021</v>
      </c>
      <c r="T703" s="108" t="s">
        <v>281</v>
      </c>
      <c r="U703" s="108" t="s">
        <v>280</v>
      </c>
      <c r="V703" s="108" t="s">
        <v>894</v>
      </c>
      <c r="W703" s="108" t="s">
        <v>894</v>
      </c>
    </row>
    <row r="704" spans="1:23" ht="21" customHeight="1" x14ac:dyDescent="0.15">
      <c r="A704" s="104">
        <f t="shared" si="10"/>
        <v>703</v>
      </c>
      <c r="B704" s="105" t="s">
        <v>268</v>
      </c>
      <c r="C704" s="121" t="s">
        <v>2199</v>
      </c>
      <c r="D704" s="107" t="s">
        <v>2200</v>
      </c>
      <c r="E704" s="108" t="s">
        <v>1277</v>
      </c>
      <c r="F704" s="108" t="s">
        <v>890</v>
      </c>
      <c r="G704" s="108" t="s">
        <v>2201</v>
      </c>
      <c r="H704" s="131" t="s">
        <v>2202</v>
      </c>
      <c r="I704" s="140">
        <v>5</v>
      </c>
      <c r="J704" s="109" t="s">
        <v>805</v>
      </c>
      <c r="K704" s="145" t="s">
        <v>2203</v>
      </c>
      <c r="L704" s="107" t="str">
        <f ca="1">VLOOKUP($K704,OFFSET([1]character_type_i18n!$A$1,0,0,COUNTA([1]character_type_i18n!$A:$A),MATCH(L$1,[1]character_type_i18n!$1:$1,0)-MATCH($K$1,[1]character_type_i18n!$1:$1,0)+1),MATCH(L$1,[1]character_type_i18n!$1:$1,0)-MATCH($K$1,[1]character_type_i18n!$1:$1,0)+1,FALSE)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4" s="105" t="s">
        <v>1011</v>
      </c>
      <c r="N704" s="107" t="str">
        <f>VLOOKUP(M704,[1]character_tribe_i18n!A:C,3,FALSE)</f>
        <v>ヒューマン</v>
      </c>
      <c r="O704" s="105" t="s">
        <v>278</v>
      </c>
      <c r="P704" s="107" t="str">
        <f>VLOOKUP(O704,[1]character_tribe_i18n!A:C,3,FALSE)</f>
        <v>種族なし</v>
      </c>
      <c r="Q704" s="110" t="s">
        <v>1656</v>
      </c>
      <c r="R704" s="111">
        <v>3</v>
      </c>
      <c r="S704" s="108" t="s">
        <v>898</v>
      </c>
      <c r="T704" s="108" t="s">
        <v>2175</v>
      </c>
      <c r="U704" s="108" t="s">
        <v>1659</v>
      </c>
      <c r="V704" s="108" t="s">
        <v>894</v>
      </c>
      <c r="W704" s="108" t="s">
        <v>894</v>
      </c>
    </row>
    <row r="705" spans="1:23" ht="21" customHeight="1" x14ac:dyDescent="0.15">
      <c r="A705" s="104">
        <f t="shared" si="10"/>
        <v>704</v>
      </c>
      <c r="B705" s="105" t="s">
        <v>268</v>
      </c>
      <c r="C705" s="121" t="s">
        <v>2204</v>
      </c>
      <c r="D705" s="107" t="s">
        <v>2205</v>
      </c>
      <c r="E705" s="108" t="s">
        <v>709</v>
      </c>
      <c r="F705" s="108" t="s">
        <v>532</v>
      </c>
      <c r="G705" s="108" t="s">
        <v>853</v>
      </c>
      <c r="H705" s="131" t="s">
        <v>1185</v>
      </c>
      <c r="I705" s="140">
        <v>3</v>
      </c>
      <c r="J705" s="109" t="s">
        <v>2206</v>
      </c>
      <c r="K705" s="145" t="s">
        <v>2177</v>
      </c>
      <c r="L705" s="107" t="str">
        <f ca="1">VLOOKUP($K705,OFFSET([1]character_type_i18n!$A$1,0,0,COUNTA([1]character_type_i18n!$A:$A),MATCH(L$1,[1]character_type_i18n!$1:$1,0)-MATCH($K$1,[1]character_type_i18n!$1:$1,0)+1),MATCH(L$1,[1]character_type_i18n!$1:$1,0)-MATCH($K$1,[1]character_type_i18n!$1:$1,0)+1,FALSE)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5" s="105" t="s">
        <v>2207</v>
      </c>
      <c r="N705" s="107" t="str">
        <f>VLOOKUP(M705,[1]character_tribe_i18n!A:C,3,FALSE)</f>
        <v>ヒューマン</v>
      </c>
      <c r="O705" s="105" t="s">
        <v>278</v>
      </c>
      <c r="P705" s="107" t="str">
        <f>VLOOKUP(O705,[1]character_tribe_i18n!A:C,3,FALSE)</f>
        <v>種族なし</v>
      </c>
      <c r="Q705" s="110" t="s">
        <v>1682</v>
      </c>
      <c r="R705" s="111">
        <v>3</v>
      </c>
      <c r="S705" s="108" t="s">
        <v>611</v>
      </c>
      <c r="T705" s="108" t="s">
        <v>893</v>
      </c>
      <c r="U705" s="108" t="s">
        <v>898</v>
      </c>
      <c r="V705" s="108" t="s">
        <v>894</v>
      </c>
      <c r="W705" s="108" t="s">
        <v>894</v>
      </c>
    </row>
    <row r="706" spans="1:23" ht="21" customHeight="1" x14ac:dyDescent="0.15">
      <c r="A706" s="104">
        <f t="shared" si="10"/>
        <v>705</v>
      </c>
      <c r="B706" s="105" t="s">
        <v>268</v>
      </c>
      <c r="C706" s="121" t="s">
        <v>2208</v>
      </c>
      <c r="D706" s="107" t="s">
        <v>2209</v>
      </c>
      <c r="E706" s="108" t="s">
        <v>709</v>
      </c>
      <c r="F706" s="108" t="s">
        <v>532</v>
      </c>
      <c r="G706" s="108" t="s">
        <v>853</v>
      </c>
      <c r="H706" s="131" t="s">
        <v>1185</v>
      </c>
      <c r="I706" s="140">
        <v>4</v>
      </c>
      <c r="J706" s="109" t="s">
        <v>2210</v>
      </c>
      <c r="K706" s="145" t="s">
        <v>2177</v>
      </c>
      <c r="L706" s="107" t="str">
        <f ca="1">VLOOKUP($K706,OFFSET([1]character_type_i18n!$A$1,0,0,COUNTA([1]character_type_i18n!$A:$A),MATCH(L$1,[1]character_type_i18n!$1:$1,0)-MATCH($K$1,[1]character_type_i18n!$1:$1,0)+1),MATCH(L$1,[1]character_type_i18n!$1:$1,0)-MATCH($K$1,[1]character_type_i18n!$1:$1,0)+1,FALSE)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6" s="105" t="s">
        <v>1011</v>
      </c>
      <c r="N706" s="107" t="str">
        <f>VLOOKUP(M706,[1]character_tribe_i18n!A:C,3,FALSE)</f>
        <v>ヒューマン</v>
      </c>
      <c r="O706" s="105" t="s">
        <v>278</v>
      </c>
      <c r="P706" s="107" t="str">
        <f>VLOOKUP(O706,[1]character_tribe_i18n!A:C,3,FALSE)</f>
        <v>種族なし</v>
      </c>
      <c r="Q706" s="110" t="s">
        <v>279</v>
      </c>
      <c r="R706" s="111">
        <v>3</v>
      </c>
      <c r="S706" s="108" t="s">
        <v>280</v>
      </c>
      <c r="T706" s="108" t="s">
        <v>281</v>
      </c>
      <c r="U706" s="108" t="s">
        <v>280</v>
      </c>
      <c r="V706" s="108" t="s">
        <v>280</v>
      </c>
      <c r="W706" s="108" t="s">
        <v>280</v>
      </c>
    </row>
    <row r="707" spans="1:23" ht="21" customHeight="1" x14ac:dyDescent="0.15">
      <c r="A707" s="104">
        <f t="shared" si="10"/>
        <v>706</v>
      </c>
      <c r="B707" s="105" t="s">
        <v>268</v>
      </c>
      <c r="C707" s="121" t="s">
        <v>2211</v>
      </c>
      <c r="D707" s="107" t="s">
        <v>2212</v>
      </c>
      <c r="E707" s="108" t="s">
        <v>709</v>
      </c>
      <c r="F707" s="108" t="s">
        <v>532</v>
      </c>
      <c r="G707" s="108" t="s">
        <v>710</v>
      </c>
      <c r="H707" s="131" t="s">
        <v>614</v>
      </c>
      <c r="I707" s="140">
        <v>4</v>
      </c>
      <c r="J707" s="109" t="s">
        <v>805</v>
      </c>
      <c r="K707" s="145" t="s">
        <v>2166</v>
      </c>
      <c r="L707" s="107" t="str">
        <f ca="1">VLOOKUP($K707,OFFSET([1]character_type_i18n!$A$1,0,0,COUNTA([1]character_type_i18n!$A:$A),MATCH(L$1,[1]character_type_i18n!$1:$1,0)-MATCH($K$1,[1]character_type_i18n!$1:$1,0)+1),MATCH(L$1,[1]character_type_i18n!$1:$1,0)-MATCH($K$1,[1]character_type_i18n!$1:$1,0)+1,FALSE)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7" s="105" t="s">
        <v>1011</v>
      </c>
      <c r="N707" s="107" t="str">
        <f>VLOOKUP(M707,[1]character_tribe_i18n!A:C,3,FALSE)</f>
        <v>ヒューマン</v>
      </c>
      <c r="O707" s="105" t="s">
        <v>278</v>
      </c>
      <c r="P707" s="107" t="str">
        <f>VLOOKUP(O707,[1]character_tribe_i18n!A:C,3,FALSE)</f>
        <v>種族なし</v>
      </c>
      <c r="Q707" s="110" t="s">
        <v>279</v>
      </c>
      <c r="R707" s="111">
        <v>3</v>
      </c>
      <c r="S707" s="108" t="s">
        <v>280</v>
      </c>
      <c r="T707" s="108" t="s">
        <v>281</v>
      </c>
      <c r="U707" s="108" t="s">
        <v>280</v>
      </c>
      <c r="V707" s="108" t="s">
        <v>280</v>
      </c>
      <c r="W707" s="108" t="s">
        <v>280</v>
      </c>
    </row>
    <row r="708" spans="1:23" ht="21" customHeight="1" x14ac:dyDescent="0.15">
      <c r="A708" s="104">
        <f t="shared" si="10"/>
        <v>707</v>
      </c>
      <c r="B708" s="105" t="s">
        <v>268</v>
      </c>
      <c r="C708" s="121" t="s">
        <v>2213</v>
      </c>
      <c r="D708" s="107" t="s">
        <v>2214</v>
      </c>
      <c r="E708" s="108" t="s">
        <v>709</v>
      </c>
      <c r="F708" s="108" t="s">
        <v>532</v>
      </c>
      <c r="G708" s="108" t="s">
        <v>710</v>
      </c>
      <c r="H708" s="131" t="s">
        <v>614</v>
      </c>
      <c r="I708" s="140">
        <v>5</v>
      </c>
      <c r="J708" s="109" t="s">
        <v>805</v>
      </c>
      <c r="K708" s="145" t="s">
        <v>2166</v>
      </c>
      <c r="L708" s="107" t="str">
        <f ca="1">VLOOKUP($K708,OFFSET([1]character_type_i18n!$A$1,0,0,COUNTA([1]character_type_i18n!$A:$A),MATCH(L$1,[1]character_type_i18n!$1:$1,0)-MATCH($K$1,[1]character_type_i18n!$1:$1,0)+1),MATCH(L$1,[1]character_type_i18n!$1:$1,0)-MATCH($K$1,[1]character_type_i18n!$1:$1,0)+1,FALSE)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8" s="105" t="s">
        <v>1011</v>
      </c>
      <c r="N708" s="107" t="str">
        <f>VLOOKUP(M708,[1]character_tribe_i18n!A:C,3,FALSE)</f>
        <v>ヒューマン</v>
      </c>
      <c r="O708" s="105" t="s">
        <v>278</v>
      </c>
      <c r="P708" s="107" t="str">
        <f>VLOOKUP(O708,[1]character_tribe_i18n!A:C,3,FALSE)</f>
        <v>種族なし</v>
      </c>
      <c r="Q708" s="110" t="s">
        <v>279</v>
      </c>
      <c r="R708" s="111">
        <v>3</v>
      </c>
      <c r="S708" s="108" t="s">
        <v>280</v>
      </c>
      <c r="T708" s="108" t="s">
        <v>281</v>
      </c>
      <c r="U708" s="108" t="s">
        <v>280</v>
      </c>
      <c r="V708" s="108" t="s">
        <v>280</v>
      </c>
      <c r="W708" s="108" t="s">
        <v>280</v>
      </c>
    </row>
    <row r="709" spans="1:23" ht="21" customHeight="1" x14ac:dyDescent="0.15">
      <c r="A709" s="104">
        <f t="shared" ref="A709:A772" si="11">ROW()-1</f>
        <v>708</v>
      </c>
      <c r="B709" s="105" t="s">
        <v>268</v>
      </c>
      <c r="C709" s="121" t="s">
        <v>2215</v>
      </c>
      <c r="D709" s="107" t="s">
        <v>2216</v>
      </c>
      <c r="E709" s="108" t="s">
        <v>709</v>
      </c>
      <c r="F709" s="108" t="s">
        <v>532</v>
      </c>
      <c r="G709" s="108" t="s">
        <v>710</v>
      </c>
      <c r="H709" s="131" t="s">
        <v>614</v>
      </c>
      <c r="I709" s="140">
        <v>3</v>
      </c>
      <c r="J709" s="109" t="s">
        <v>2217</v>
      </c>
      <c r="K709" s="145" t="s">
        <v>2166</v>
      </c>
      <c r="L709" s="107" t="str">
        <f ca="1">VLOOKUP($K709,OFFSET([1]character_type_i18n!$A$1,0,0,COUNTA([1]character_type_i18n!$A:$A),MATCH(L$1,[1]character_type_i18n!$1:$1,0)-MATCH($K$1,[1]character_type_i18n!$1:$1,0)+1),MATCH(L$1,[1]character_type_i18n!$1:$1,0)-MATCH($K$1,[1]character_type_i18n!$1:$1,0)+1,FALSE)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9" s="105" t="s">
        <v>1394</v>
      </c>
      <c r="N709" s="107" t="str">
        <f>VLOOKUP(M709,[1]character_tribe_i18n!A:C,3,FALSE)</f>
        <v>ヒューマン</v>
      </c>
      <c r="O709" s="105" t="s">
        <v>278</v>
      </c>
      <c r="P709" s="107" t="str">
        <f>VLOOKUP(O709,[1]character_tribe_i18n!A:C,3,FALSE)</f>
        <v>種族なし</v>
      </c>
      <c r="Q709" s="110" t="s">
        <v>362</v>
      </c>
      <c r="R709" s="111">
        <v>3</v>
      </c>
      <c r="S709" s="108" t="s">
        <v>289</v>
      </c>
      <c r="T709" s="108" t="s">
        <v>288</v>
      </c>
      <c r="U709" s="108" t="s">
        <v>289</v>
      </c>
      <c r="V709" s="108" t="s">
        <v>289</v>
      </c>
      <c r="W709" s="108" t="s">
        <v>289</v>
      </c>
    </row>
    <row r="710" spans="1:23" ht="21" customHeight="1" x14ac:dyDescent="0.15">
      <c r="A710" s="104">
        <f t="shared" si="11"/>
        <v>709</v>
      </c>
      <c r="B710" s="105" t="s">
        <v>292</v>
      </c>
      <c r="C710" s="121" t="s">
        <v>2218</v>
      </c>
      <c r="D710" s="107" t="s">
        <v>2219</v>
      </c>
      <c r="E710" s="108" t="s">
        <v>848</v>
      </c>
      <c r="F710" s="108" t="s">
        <v>1422</v>
      </c>
      <c r="G710" s="108" t="s">
        <v>1587</v>
      </c>
      <c r="H710" s="131" t="s">
        <v>1890</v>
      </c>
      <c r="I710" s="140">
        <v>4</v>
      </c>
      <c r="J710" s="109" t="s">
        <v>2220</v>
      </c>
      <c r="K710" s="145" t="s">
        <v>2221</v>
      </c>
      <c r="L710" s="107" t="str">
        <f ca="1">VLOOKUP($K710,OFFSET([1]character_type_i18n!$A$1,0,0,COUNTA([1]character_type_i18n!$A:$A),MATCH(L$1,[1]character_type_i18n!$1:$1,0)-MATCH($K$1,[1]character_type_i18n!$1:$1,0)+1),MATCH(L$1,[1]character_type_i18n!$1:$1,0)-MATCH($K$1,[1]character_type_i18n!$1:$1,0)+1,FALSE)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0" s="105" t="s">
        <v>1394</v>
      </c>
      <c r="N710" s="107" t="str">
        <f>VLOOKUP(M710,[1]character_tribe_i18n!A:C,3,FALSE)</f>
        <v>ヒューマン</v>
      </c>
      <c r="O710" s="105" t="s">
        <v>278</v>
      </c>
      <c r="P710" s="107" t="str">
        <f>VLOOKUP(O710,[1]character_tribe_i18n!A:C,3,FALSE)</f>
        <v>種族なし</v>
      </c>
      <c r="Q710" s="110" t="s">
        <v>362</v>
      </c>
      <c r="R710" s="111">
        <v>3</v>
      </c>
      <c r="S710" s="108" t="s">
        <v>289</v>
      </c>
      <c r="T710" s="108" t="s">
        <v>288</v>
      </c>
      <c r="U710" s="108" t="s">
        <v>289</v>
      </c>
      <c r="V710" s="108" t="s">
        <v>289</v>
      </c>
      <c r="W710" s="108" t="s">
        <v>289</v>
      </c>
    </row>
    <row r="711" spans="1:23" ht="21" customHeight="1" x14ac:dyDescent="0.15">
      <c r="A711" s="104">
        <f t="shared" si="11"/>
        <v>710</v>
      </c>
      <c r="B711" s="105" t="s">
        <v>292</v>
      </c>
      <c r="C711" s="121" t="s">
        <v>2222</v>
      </c>
      <c r="D711" s="107" t="s">
        <v>2223</v>
      </c>
      <c r="E711" s="108" t="s">
        <v>709</v>
      </c>
      <c r="F711" s="108" t="s">
        <v>532</v>
      </c>
      <c r="G711" s="108" t="s">
        <v>710</v>
      </c>
      <c r="H711" s="131" t="s">
        <v>614</v>
      </c>
      <c r="I711" s="140">
        <v>3</v>
      </c>
      <c r="J711" s="109" t="s">
        <v>2217</v>
      </c>
      <c r="K711" s="145" t="s">
        <v>2166</v>
      </c>
      <c r="L711" s="107" t="str">
        <f ca="1">VLOOKUP($K711,OFFSET([1]character_type_i18n!$A$1,0,0,COUNTA([1]character_type_i18n!$A:$A),MATCH(L$1,[1]character_type_i18n!$1:$1,0)-MATCH($K$1,[1]character_type_i18n!$1:$1,0)+1),MATCH(L$1,[1]character_type_i18n!$1:$1,0)-MATCH($K$1,[1]character_type_i18n!$1:$1,0)+1,FALSE)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1" s="105" t="s">
        <v>1394</v>
      </c>
      <c r="N711" s="107" t="str">
        <f>VLOOKUP(M711,[1]character_tribe_i18n!A:C,3,FALSE)</f>
        <v>ヒューマン</v>
      </c>
      <c r="O711" s="105" t="s">
        <v>278</v>
      </c>
      <c r="P711" s="107" t="str">
        <f>VLOOKUP(O711,[1]character_tribe_i18n!A:C,3,FALSE)</f>
        <v>種族なし</v>
      </c>
      <c r="Q711" s="110" t="s">
        <v>279</v>
      </c>
      <c r="R711" s="111">
        <v>3</v>
      </c>
      <c r="S711" s="108" t="s">
        <v>280</v>
      </c>
      <c r="T711" s="108" t="s">
        <v>281</v>
      </c>
      <c r="U711" s="108" t="s">
        <v>280</v>
      </c>
      <c r="V711" s="108" t="s">
        <v>280</v>
      </c>
      <c r="W711" s="108" t="s">
        <v>280</v>
      </c>
    </row>
    <row r="712" spans="1:23" ht="21" customHeight="1" x14ac:dyDescent="0.15">
      <c r="A712" s="104">
        <f t="shared" si="11"/>
        <v>711</v>
      </c>
      <c r="B712" s="105" t="s">
        <v>268</v>
      </c>
      <c r="C712" s="121" t="s">
        <v>2224</v>
      </c>
      <c r="D712" s="107" t="s">
        <v>2223</v>
      </c>
      <c r="E712" s="108" t="s">
        <v>709</v>
      </c>
      <c r="F712" s="108" t="s">
        <v>532</v>
      </c>
      <c r="G712" s="108" t="s">
        <v>710</v>
      </c>
      <c r="H712" s="131" t="s">
        <v>614</v>
      </c>
      <c r="I712" s="140">
        <v>4</v>
      </c>
      <c r="J712" s="109" t="s">
        <v>2217</v>
      </c>
      <c r="K712" s="145" t="s">
        <v>2166</v>
      </c>
      <c r="L712" s="107" t="str">
        <f ca="1">VLOOKUP($K712,OFFSET([1]character_type_i18n!$A$1,0,0,COUNTA([1]character_type_i18n!$A:$A),MATCH(L$1,[1]character_type_i18n!$1:$1,0)-MATCH($K$1,[1]character_type_i18n!$1:$1,0)+1),MATCH(L$1,[1]character_type_i18n!$1:$1,0)-MATCH($K$1,[1]character_type_i18n!$1:$1,0)+1,FALSE)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2" s="105" t="s">
        <v>1394</v>
      </c>
      <c r="N712" s="107" t="str">
        <f>VLOOKUP(M712,[1]character_tribe_i18n!A:C,3,FALSE)</f>
        <v>ヒューマン</v>
      </c>
      <c r="O712" s="105" t="s">
        <v>278</v>
      </c>
      <c r="P712" s="107" t="str">
        <f>VLOOKUP(O712,[1]character_tribe_i18n!A:C,3,FALSE)</f>
        <v>種族なし</v>
      </c>
      <c r="Q712" s="110" t="s">
        <v>362</v>
      </c>
      <c r="R712" s="111">
        <v>3</v>
      </c>
      <c r="S712" s="108" t="s">
        <v>289</v>
      </c>
      <c r="T712" s="108" t="s">
        <v>288</v>
      </c>
      <c r="U712" s="108" t="s">
        <v>289</v>
      </c>
      <c r="V712" s="108" t="s">
        <v>289</v>
      </c>
      <c r="W712" s="108" t="s">
        <v>289</v>
      </c>
    </row>
    <row r="713" spans="1:23" ht="21" customHeight="1" x14ac:dyDescent="0.15">
      <c r="A713" s="104">
        <f t="shared" si="11"/>
        <v>712</v>
      </c>
      <c r="B713" s="105" t="s">
        <v>292</v>
      </c>
      <c r="C713" s="121" t="s">
        <v>2225</v>
      </c>
      <c r="D713" s="107" t="s">
        <v>2226</v>
      </c>
      <c r="E713" s="108" t="s">
        <v>848</v>
      </c>
      <c r="F713" s="108" t="s">
        <v>1422</v>
      </c>
      <c r="G713" s="108" t="s">
        <v>1587</v>
      </c>
      <c r="H713" s="131" t="s">
        <v>1170</v>
      </c>
      <c r="I713" s="140">
        <v>5</v>
      </c>
      <c r="J713" s="109" t="s">
        <v>2083</v>
      </c>
      <c r="K713" s="145" t="s">
        <v>2221</v>
      </c>
      <c r="L713" s="107" t="str">
        <f ca="1">VLOOKUP($K713,OFFSET([1]character_type_i18n!$A$1,0,0,COUNTA([1]character_type_i18n!$A:$A),MATCH(L$1,[1]character_type_i18n!$1:$1,0)-MATCH($K$1,[1]character_type_i18n!$1:$1,0)+1),MATCH(L$1,[1]character_type_i18n!$1:$1,0)-MATCH($K$1,[1]character_type_i18n!$1:$1,0)+1,FALSE)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3" s="105" t="s">
        <v>1011</v>
      </c>
      <c r="N713" s="107" t="str">
        <f>VLOOKUP(M713,[1]character_tribe_i18n!A:C,3,FALSE)</f>
        <v>ヒューマン</v>
      </c>
      <c r="O713" s="105" t="s">
        <v>278</v>
      </c>
      <c r="P713" s="107" t="str">
        <f>VLOOKUP(O713,[1]character_tribe_i18n!A:C,3,FALSE)</f>
        <v>種族なし</v>
      </c>
      <c r="Q713" s="110" t="s">
        <v>279</v>
      </c>
      <c r="R713" s="111">
        <v>3</v>
      </c>
      <c r="S713" s="108" t="s">
        <v>280</v>
      </c>
      <c r="T713" s="108" t="s">
        <v>281</v>
      </c>
      <c r="U713" s="108" t="s">
        <v>280</v>
      </c>
      <c r="V713" s="108" t="s">
        <v>280</v>
      </c>
      <c r="W713" s="108" t="s">
        <v>280</v>
      </c>
    </row>
    <row r="714" spans="1:23" ht="21" customHeight="1" x14ac:dyDescent="0.15">
      <c r="A714" s="104">
        <f t="shared" si="11"/>
        <v>713</v>
      </c>
      <c r="B714" s="105" t="s">
        <v>268</v>
      </c>
      <c r="C714" s="121" t="s">
        <v>2227</v>
      </c>
      <c r="D714" s="107" t="s">
        <v>2226</v>
      </c>
      <c r="E714" s="108" t="s">
        <v>709</v>
      </c>
      <c r="F714" s="108" t="s">
        <v>532</v>
      </c>
      <c r="G714" s="108" t="s">
        <v>710</v>
      </c>
      <c r="H714" s="131" t="s">
        <v>768</v>
      </c>
      <c r="I714" s="140">
        <v>6</v>
      </c>
      <c r="J714" s="109" t="s">
        <v>1001</v>
      </c>
      <c r="K714" s="145" t="s">
        <v>2166</v>
      </c>
      <c r="L714" s="107" t="str">
        <f ca="1">VLOOKUP($K714,OFFSET([1]character_type_i18n!$A$1,0,0,COUNTA([1]character_type_i18n!$A:$A),MATCH(L$1,[1]character_type_i18n!$1:$1,0)-MATCH($K$1,[1]character_type_i18n!$1:$1,0)+1),MATCH(L$1,[1]character_type_i18n!$1:$1,0)-MATCH($K$1,[1]character_type_i18n!$1:$1,0)+1,FALSE)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4" s="105" t="s">
        <v>1394</v>
      </c>
      <c r="N714" s="107" t="str">
        <f>VLOOKUP(M714,[1]character_tribe_i18n!A:C,3,FALSE)</f>
        <v>ヒューマン</v>
      </c>
      <c r="O714" s="105" t="s">
        <v>278</v>
      </c>
      <c r="P714" s="107" t="str">
        <f>VLOOKUP(O714,[1]character_tribe_i18n!A:C,3,FALSE)</f>
        <v>種族なし</v>
      </c>
      <c r="Q714" s="110" t="s">
        <v>362</v>
      </c>
      <c r="R714" s="111">
        <v>3</v>
      </c>
      <c r="S714" s="108" t="s">
        <v>289</v>
      </c>
      <c r="T714" s="108" t="s">
        <v>288</v>
      </c>
      <c r="U714" s="108" t="s">
        <v>289</v>
      </c>
      <c r="V714" s="108" t="s">
        <v>289</v>
      </c>
      <c r="W714" s="108" t="s">
        <v>289</v>
      </c>
    </row>
    <row r="715" spans="1:23" ht="21" customHeight="1" x14ac:dyDescent="0.15">
      <c r="A715" s="104">
        <f t="shared" si="11"/>
        <v>714</v>
      </c>
      <c r="B715" s="105" t="s">
        <v>292</v>
      </c>
      <c r="C715" s="121" t="s">
        <v>2228</v>
      </c>
      <c r="D715" s="107" t="s">
        <v>2229</v>
      </c>
      <c r="E715" s="108" t="s">
        <v>848</v>
      </c>
      <c r="F715" s="108" t="s">
        <v>1422</v>
      </c>
      <c r="G715" s="108" t="s">
        <v>853</v>
      </c>
      <c r="H715" s="131" t="s">
        <v>1761</v>
      </c>
      <c r="I715" s="140">
        <v>3</v>
      </c>
      <c r="J715" s="109" t="s">
        <v>2210</v>
      </c>
      <c r="K715" s="145" t="s">
        <v>2177</v>
      </c>
      <c r="L715" s="107" t="str">
        <f ca="1">VLOOKUP($K715,OFFSET([1]character_type_i18n!$A$1,0,0,COUNTA([1]character_type_i18n!$A:$A),MATCH(L$1,[1]character_type_i18n!$1:$1,0)-MATCH($K$1,[1]character_type_i18n!$1:$1,0)+1),MATCH(L$1,[1]character_type_i18n!$1:$1,0)-MATCH($K$1,[1]character_type_i18n!$1:$1,0)+1,FALSE)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5" s="105" t="s">
        <v>1011</v>
      </c>
      <c r="N715" s="107" t="str">
        <f>VLOOKUP(M715,[1]character_tribe_i18n!A:C,3,FALSE)</f>
        <v>ヒューマン</v>
      </c>
      <c r="O715" s="105" t="s">
        <v>278</v>
      </c>
      <c r="P715" s="107" t="str">
        <f>VLOOKUP(O715,[1]character_tribe_i18n!A:C,3,FALSE)</f>
        <v>種族なし</v>
      </c>
      <c r="Q715" s="110" t="s">
        <v>279</v>
      </c>
      <c r="R715" s="111">
        <v>3</v>
      </c>
      <c r="S715" s="108" t="s">
        <v>280</v>
      </c>
      <c r="T715" s="108" t="s">
        <v>281</v>
      </c>
      <c r="U715" s="108" t="s">
        <v>280</v>
      </c>
      <c r="V715" s="108" t="s">
        <v>280</v>
      </c>
      <c r="W715" s="108" t="s">
        <v>280</v>
      </c>
    </row>
    <row r="716" spans="1:23" ht="21" customHeight="1" x14ac:dyDescent="0.15">
      <c r="A716" s="104">
        <f t="shared" si="11"/>
        <v>715</v>
      </c>
      <c r="B716" s="105" t="s">
        <v>268</v>
      </c>
      <c r="C716" s="121" t="s">
        <v>2230</v>
      </c>
      <c r="D716" s="107" t="s">
        <v>2231</v>
      </c>
      <c r="E716" s="108" t="s">
        <v>848</v>
      </c>
      <c r="F716" s="108" t="s">
        <v>532</v>
      </c>
      <c r="G716" s="108" t="s">
        <v>853</v>
      </c>
      <c r="H716" s="131" t="s">
        <v>1761</v>
      </c>
      <c r="I716" s="140">
        <v>4</v>
      </c>
      <c r="J716" s="109" t="s">
        <v>2210</v>
      </c>
      <c r="K716" s="145" t="s">
        <v>2177</v>
      </c>
      <c r="L716" s="107" t="str">
        <f ca="1">VLOOKUP($K716,OFFSET([1]character_type_i18n!$A$1,0,0,COUNTA([1]character_type_i18n!$A:$A),MATCH(L$1,[1]character_type_i18n!$1:$1,0)-MATCH($K$1,[1]character_type_i18n!$1:$1,0)+1),MATCH(L$1,[1]character_type_i18n!$1:$1,0)-MATCH($K$1,[1]character_type_i18n!$1:$1,0)+1,FALSE)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6" s="105" t="s">
        <v>1394</v>
      </c>
      <c r="N716" s="107" t="str">
        <f>VLOOKUP(M716,[1]character_tribe_i18n!A:C,3,FALSE)</f>
        <v>ヒューマン</v>
      </c>
      <c r="O716" s="105" t="s">
        <v>278</v>
      </c>
      <c r="P716" s="107" t="str">
        <f>VLOOKUP(O716,[1]character_tribe_i18n!A:C,3,FALSE)</f>
        <v>種族なし</v>
      </c>
      <c r="Q716" s="110" t="s">
        <v>279</v>
      </c>
      <c r="R716" s="111">
        <v>3</v>
      </c>
      <c r="S716" s="108" t="s">
        <v>280</v>
      </c>
      <c r="T716" s="108" t="s">
        <v>281</v>
      </c>
      <c r="U716" s="108" t="s">
        <v>280</v>
      </c>
      <c r="V716" s="108" t="s">
        <v>280</v>
      </c>
      <c r="W716" s="108" t="s">
        <v>280</v>
      </c>
    </row>
    <row r="717" spans="1:23" ht="21" customHeight="1" x14ac:dyDescent="0.15">
      <c r="A717" s="104">
        <f t="shared" si="11"/>
        <v>716</v>
      </c>
      <c r="B717" s="105" t="s">
        <v>268</v>
      </c>
      <c r="C717" s="121" t="s">
        <v>2232</v>
      </c>
      <c r="D717" s="107" t="s">
        <v>2233</v>
      </c>
      <c r="E717" s="108" t="s">
        <v>709</v>
      </c>
      <c r="F717" s="108" t="s">
        <v>532</v>
      </c>
      <c r="G717" s="108" t="s">
        <v>710</v>
      </c>
      <c r="H717" s="131" t="s">
        <v>551</v>
      </c>
      <c r="I717" s="140">
        <v>5</v>
      </c>
      <c r="J717" s="109" t="s">
        <v>1001</v>
      </c>
      <c r="K717" s="145" t="s">
        <v>2166</v>
      </c>
      <c r="L717" s="107" t="str">
        <f ca="1">VLOOKUP($K717,OFFSET([1]character_type_i18n!$A$1,0,0,COUNTA([1]character_type_i18n!$A:$A),MATCH(L$1,[1]character_type_i18n!$1:$1,0)-MATCH($K$1,[1]character_type_i18n!$1:$1,0)+1),MATCH(L$1,[1]character_type_i18n!$1:$1,0)-MATCH($K$1,[1]character_type_i18n!$1:$1,0)+1,FALSE)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7" s="105" t="s">
        <v>1394</v>
      </c>
      <c r="N717" s="107" t="str">
        <f>VLOOKUP(M717,[1]character_tribe_i18n!A:C,3,FALSE)</f>
        <v>ヒューマン</v>
      </c>
      <c r="O717" s="105" t="s">
        <v>278</v>
      </c>
      <c r="P717" s="107" t="str">
        <f>VLOOKUP(O717,[1]character_tribe_i18n!A:C,3,FALSE)</f>
        <v>種族なし</v>
      </c>
      <c r="Q717" s="110" t="s">
        <v>362</v>
      </c>
      <c r="R717" s="111">
        <v>3</v>
      </c>
      <c r="S717" s="108" t="s">
        <v>289</v>
      </c>
      <c r="T717" s="108" t="s">
        <v>288</v>
      </c>
      <c r="U717" s="108" t="s">
        <v>289</v>
      </c>
      <c r="V717" s="108" t="s">
        <v>289</v>
      </c>
      <c r="W717" s="108" t="s">
        <v>289</v>
      </c>
    </row>
    <row r="718" spans="1:23" ht="21" customHeight="1" x14ac:dyDescent="0.15">
      <c r="A718" s="104">
        <f t="shared" si="11"/>
        <v>717</v>
      </c>
      <c r="B718" s="105" t="s">
        <v>292</v>
      </c>
      <c r="C718" s="121" t="s">
        <v>2234</v>
      </c>
      <c r="D718" s="107" t="s">
        <v>2235</v>
      </c>
      <c r="E718" s="108" t="s">
        <v>848</v>
      </c>
      <c r="F718" s="108" t="s">
        <v>1422</v>
      </c>
      <c r="G718" s="108" t="s">
        <v>1587</v>
      </c>
      <c r="H718" s="131" t="s">
        <v>2236</v>
      </c>
      <c r="I718" s="140">
        <v>6</v>
      </c>
      <c r="J718" s="109" t="s">
        <v>2083</v>
      </c>
      <c r="K718" s="145" t="s">
        <v>2221</v>
      </c>
      <c r="L718" s="107" t="str">
        <f ca="1">VLOOKUP($K718,OFFSET([1]character_type_i18n!$A$1,0,0,COUNTA([1]character_type_i18n!$A:$A),MATCH(L$1,[1]character_type_i18n!$1:$1,0)-MATCH($K$1,[1]character_type_i18n!$1:$1,0)+1),MATCH(L$1,[1]character_type_i18n!$1:$1,0)-MATCH($K$1,[1]character_type_i18n!$1:$1,0)+1,FALSE)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8" s="105" t="s">
        <v>1394</v>
      </c>
      <c r="N718" s="107" t="str">
        <f>VLOOKUP(M718,[1]character_tribe_i18n!A:C,3,FALSE)</f>
        <v>ヒューマン</v>
      </c>
      <c r="O718" s="105" t="s">
        <v>278</v>
      </c>
      <c r="P718" s="107" t="str">
        <f>VLOOKUP(O718,[1]character_tribe_i18n!A:C,3,FALSE)</f>
        <v>種族なし</v>
      </c>
      <c r="Q718" s="110" t="s">
        <v>362</v>
      </c>
      <c r="R718" s="111">
        <v>3</v>
      </c>
      <c r="S718" s="108" t="s">
        <v>289</v>
      </c>
      <c r="T718" s="108" t="s">
        <v>288</v>
      </c>
      <c r="U718" s="108" t="s">
        <v>289</v>
      </c>
      <c r="V718" s="108" t="s">
        <v>289</v>
      </c>
      <c r="W718" s="108" t="s">
        <v>289</v>
      </c>
    </row>
    <row r="719" spans="1:23" ht="21" customHeight="1" x14ac:dyDescent="0.15">
      <c r="A719" s="104">
        <f t="shared" si="11"/>
        <v>718</v>
      </c>
      <c r="B719" s="105" t="s">
        <v>292</v>
      </c>
      <c r="C719" s="121" t="s">
        <v>2237</v>
      </c>
      <c r="D719" s="107" t="s">
        <v>2238</v>
      </c>
      <c r="E719" s="108" t="s">
        <v>848</v>
      </c>
      <c r="F719" s="108" t="s">
        <v>1422</v>
      </c>
      <c r="G719" s="108" t="s">
        <v>853</v>
      </c>
      <c r="H719" s="131" t="s">
        <v>1795</v>
      </c>
      <c r="I719" s="140">
        <v>4</v>
      </c>
      <c r="J719" s="109" t="s">
        <v>805</v>
      </c>
      <c r="K719" s="145" t="s">
        <v>2177</v>
      </c>
      <c r="L719" s="107" t="str">
        <f ca="1">VLOOKUP($K719,OFFSET([1]character_type_i18n!$A$1,0,0,COUNTA([1]character_type_i18n!$A:$A),MATCH(L$1,[1]character_type_i18n!$1:$1,0)-MATCH($K$1,[1]character_type_i18n!$1:$1,0)+1),MATCH(L$1,[1]character_type_i18n!$1:$1,0)-MATCH($K$1,[1]character_type_i18n!$1:$1,0)+1,FALSE)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9" s="105" t="s">
        <v>1011</v>
      </c>
      <c r="N719" s="107" t="str">
        <f>VLOOKUP(M719,[1]character_tribe_i18n!A:C,3,FALSE)</f>
        <v>ヒューマン</v>
      </c>
      <c r="O719" s="105" t="s">
        <v>278</v>
      </c>
      <c r="P719" s="107" t="str">
        <f>VLOOKUP(O719,[1]character_tribe_i18n!A:C,3,FALSE)</f>
        <v>種族なし</v>
      </c>
      <c r="Q719" s="110" t="s">
        <v>362</v>
      </c>
      <c r="R719" s="111">
        <v>3</v>
      </c>
      <c r="S719" s="108" t="s">
        <v>289</v>
      </c>
      <c r="T719" s="108" t="s">
        <v>288</v>
      </c>
      <c r="U719" s="108" t="s">
        <v>289</v>
      </c>
      <c r="V719" s="108" t="s">
        <v>289</v>
      </c>
      <c r="W719" s="108" t="s">
        <v>289</v>
      </c>
    </row>
    <row r="720" spans="1:23" ht="21" customHeight="1" x14ac:dyDescent="0.15">
      <c r="A720" s="104">
        <f t="shared" si="11"/>
        <v>719</v>
      </c>
      <c r="B720" s="105" t="s">
        <v>292</v>
      </c>
      <c r="C720" s="121" t="s">
        <v>2239</v>
      </c>
      <c r="D720" s="107" t="s">
        <v>2238</v>
      </c>
      <c r="E720" s="108" t="s">
        <v>848</v>
      </c>
      <c r="F720" s="108" t="s">
        <v>1422</v>
      </c>
      <c r="G720" s="108" t="s">
        <v>853</v>
      </c>
      <c r="H720" s="131" t="s">
        <v>2240</v>
      </c>
      <c r="I720" s="140">
        <v>5</v>
      </c>
      <c r="J720" s="109" t="s">
        <v>805</v>
      </c>
      <c r="K720" s="145" t="s">
        <v>2241</v>
      </c>
      <c r="L720" s="107" t="str">
        <f ca="1">VLOOKUP($K720,OFFSET([1]character_type_i18n!$A$1,0,0,COUNTA([1]character_type_i18n!$A:$A),MATCH(L$1,[1]character_type_i18n!$1:$1,0)-MATCH($K$1,[1]character_type_i18n!$1:$1,0)+1),MATCH(L$1,[1]character_type_i18n!$1:$1,0)-MATCH($K$1,[1]character_type_i18n!$1:$1,0)+1,FALSE)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20" s="105" t="s">
        <v>1011</v>
      </c>
      <c r="N720" s="107" t="str">
        <f>VLOOKUP(M720,[1]character_tribe_i18n!A:C,3,FALSE)</f>
        <v>ヒューマン</v>
      </c>
      <c r="O720" s="105" t="s">
        <v>278</v>
      </c>
      <c r="P720" s="107" t="str">
        <f>VLOOKUP(O720,[1]character_tribe_i18n!A:C,3,FALSE)</f>
        <v>種族なし</v>
      </c>
      <c r="Q720" s="110" t="s">
        <v>362</v>
      </c>
      <c r="R720" s="111">
        <v>3</v>
      </c>
      <c r="S720" s="108" t="s">
        <v>289</v>
      </c>
      <c r="T720" s="108" t="s">
        <v>288</v>
      </c>
      <c r="U720" s="108" t="s">
        <v>289</v>
      </c>
      <c r="V720" s="108" t="s">
        <v>289</v>
      </c>
      <c r="W720" s="108" t="s">
        <v>289</v>
      </c>
    </row>
    <row r="721" spans="1:23" ht="21" customHeight="1" x14ac:dyDescent="0.15">
      <c r="A721" s="104">
        <f t="shared" si="11"/>
        <v>720</v>
      </c>
      <c r="B721" s="105" t="s">
        <v>292</v>
      </c>
      <c r="C721" s="136" t="s">
        <v>2242</v>
      </c>
      <c r="D721" s="107" t="s">
        <v>2243</v>
      </c>
      <c r="E721" s="108" t="s">
        <v>848</v>
      </c>
      <c r="F721" s="108" t="s">
        <v>1422</v>
      </c>
      <c r="G721" s="108" t="s">
        <v>1587</v>
      </c>
      <c r="H721" s="131" t="s">
        <v>1890</v>
      </c>
      <c r="I721" s="140">
        <v>4</v>
      </c>
      <c r="J721" s="109" t="s">
        <v>2244</v>
      </c>
      <c r="K721" s="105" t="s">
        <v>1588</v>
      </c>
      <c r="L721" s="107" t="str">
        <f ca="1">VLOOKUP($K721,OFFSET([1]character_type_i18n!$A$1,0,0,COUNTA([1]character_type_i18n!$A:$A),MATCH(L$1,[1]character_type_i18n!$1:$1,0)-MATCH($K$1,[1]character_type_i18n!$1:$1,0)+1),MATCH(L$1,[1]character_type_i18n!$1:$1,0)-MATCH($K$1,[1]character_type_i18n!$1:$1,0)+1,FALSE)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21" s="105" t="s">
        <v>1394</v>
      </c>
      <c r="N721" s="107" t="str">
        <f>VLOOKUP(M721,[1]character_tribe_i18n!A:C,3,FALSE)</f>
        <v>ヒューマン</v>
      </c>
      <c r="O721" s="105" t="s">
        <v>2245</v>
      </c>
      <c r="P721" s="107" t="str">
        <f>VLOOKUP(O721,[1]character_tribe_i18n!A:C,3,FALSE)</f>
        <v>サムライ</v>
      </c>
      <c r="Q721" s="110" t="s">
        <v>362</v>
      </c>
      <c r="R721" s="111">
        <v>3</v>
      </c>
      <c r="S721" s="108" t="s">
        <v>289</v>
      </c>
      <c r="T721" s="108" t="s">
        <v>288</v>
      </c>
      <c r="U721" s="108" t="s">
        <v>289</v>
      </c>
      <c r="V721" s="108" t="s">
        <v>289</v>
      </c>
      <c r="W721" s="108" t="s">
        <v>289</v>
      </c>
    </row>
    <row r="722" spans="1:23" ht="21" customHeight="1" x14ac:dyDescent="0.15">
      <c r="A722" s="104">
        <f t="shared" si="11"/>
        <v>721</v>
      </c>
      <c r="B722" s="105" t="s">
        <v>292</v>
      </c>
      <c r="C722" s="136" t="s">
        <v>2246</v>
      </c>
      <c r="D722" s="107" t="s">
        <v>2243</v>
      </c>
      <c r="E722" s="108" t="s">
        <v>848</v>
      </c>
      <c r="F722" s="108" t="s">
        <v>1422</v>
      </c>
      <c r="G722" s="108" t="s">
        <v>1587</v>
      </c>
      <c r="H722" s="131" t="s">
        <v>1890</v>
      </c>
      <c r="I722" s="140">
        <v>5</v>
      </c>
      <c r="J722" s="109" t="s">
        <v>2244</v>
      </c>
      <c r="K722" s="105" t="s">
        <v>1588</v>
      </c>
      <c r="L722" s="107" t="str">
        <f ca="1">VLOOKUP($K722,OFFSET([1]character_type_i18n!$A$1,0,0,COUNTA([1]character_type_i18n!$A:$A),MATCH(L$1,[1]character_type_i18n!$1:$1,0)-MATCH($K$1,[1]character_type_i18n!$1:$1,0)+1),MATCH(L$1,[1]character_type_i18n!$1:$1,0)-MATCH($K$1,[1]character_type_i18n!$1:$1,0)+1,FALSE)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22" s="105" t="s">
        <v>1011</v>
      </c>
      <c r="N722" s="107" t="str">
        <f>VLOOKUP(M722,[1]character_tribe_i18n!A:C,3,FALSE)</f>
        <v>ヒューマン</v>
      </c>
      <c r="O722" s="105" t="s">
        <v>2247</v>
      </c>
      <c r="P722" s="107" t="str">
        <f>VLOOKUP(O722,[1]character_tribe_i18n!A:C,3,FALSE)</f>
        <v>サムライ</v>
      </c>
      <c r="Q722" s="110" t="s">
        <v>279</v>
      </c>
      <c r="R722" s="111">
        <v>3</v>
      </c>
      <c r="S722" s="108" t="s">
        <v>280</v>
      </c>
      <c r="T722" s="108" t="s">
        <v>281</v>
      </c>
      <c r="U722" s="108" t="s">
        <v>280</v>
      </c>
      <c r="V722" s="108" t="s">
        <v>280</v>
      </c>
      <c r="W722" s="108" t="s">
        <v>280</v>
      </c>
    </row>
    <row r="723" spans="1:23" ht="21" customHeight="1" x14ac:dyDescent="0.15">
      <c r="A723" s="104">
        <f t="shared" si="11"/>
        <v>722</v>
      </c>
      <c r="B723" s="105" t="s">
        <v>268</v>
      </c>
      <c r="C723" s="136" t="s">
        <v>2248</v>
      </c>
      <c r="D723" s="107" t="s">
        <v>2243</v>
      </c>
      <c r="E723" s="108" t="s">
        <v>709</v>
      </c>
      <c r="F723" s="108" t="s">
        <v>532</v>
      </c>
      <c r="G723" s="108" t="s">
        <v>710</v>
      </c>
      <c r="H723" s="131" t="s">
        <v>551</v>
      </c>
      <c r="I723" s="140">
        <v>4</v>
      </c>
      <c r="J723" s="109" t="s">
        <v>516</v>
      </c>
      <c r="K723" s="105" t="s">
        <v>1008</v>
      </c>
      <c r="L723" s="107" t="str">
        <f ca="1">VLOOKUP($K723,OFFSET([1]character_type_i18n!$A$1,0,0,COUNTA([1]character_type_i18n!$A:$A),MATCH(L$1,[1]character_type_i18n!$1:$1,0)-MATCH($K$1,[1]character_type_i18n!$1:$1,0)+1),MATCH(L$1,[1]character_type_i18n!$1:$1,0)-MATCH($K$1,[1]character_type_i18n!$1:$1,0)+1,FALSE)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3" s="105" t="s">
        <v>1011</v>
      </c>
      <c r="N723" s="107" t="str">
        <f>VLOOKUP(M723,[1]character_tribe_i18n!A:C,3,FALSE)</f>
        <v>ヒューマン</v>
      </c>
      <c r="O723" s="105" t="s">
        <v>2245</v>
      </c>
      <c r="P723" s="107" t="str">
        <f>VLOOKUP(O723,[1]character_tribe_i18n!A:C,3,FALSE)</f>
        <v>サムライ</v>
      </c>
      <c r="Q723" s="110" t="s">
        <v>362</v>
      </c>
      <c r="R723" s="111">
        <v>3</v>
      </c>
      <c r="S723" s="108" t="s">
        <v>289</v>
      </c>
      <c r="T723" s="108" t="s">
        <v>288</v>
      </c>
      <c r="U723" s="108" t="s">
        <v>289</v>
      </c>
      <c r="V723" s="108" t="s">
        <v>289</v>
      </c>
      <c r="W723" s="108" t="s">
        <v>289</v>
      </c>
    </row>
    <row r="724" spans="1:23" ht="21" customHeight="1" x14ac:dyDescent="0.15">
      <c r="A724" s="104">
        <f t="shared" si="11"/>
        <v>723</v>
      </c>
      <c r="B724" s="105" t="s">
        <v>292</v>
      </c>
      <c r="C724" s="136" t="s">
        <v>2249</v>
      </c>
      <c r="D724" s="107" t="s">
        <v>2243</v>
      </c>
      <c r="E724" s="108" t="s">
        <v>1791</v>
      </c>
      <c r="F724" s="108" t="s">
        <v>2250</v>
      </c>
      <c r="G724" s="108" t="s">
        <v>2251</v>
      </c>
      <c r="H724" s="131" t="s">
        <v>2252</v>
      </c>
      <c r="I724" s="140">
        <v>5</v>
      </c>
      <c r="J724" s="109" t="s">
        <v>516</v>
      </c>
      <c r="K724" s="105" t="s">
        <v>2084</v>
      </c>
      <c r="L724" s="107" t="str">
        <f ca="1">VLOOKUP($K724,OFFSET([1]character_type_i18n!$A$1,0,0,COUNTA([1]character_type_i18n!$A:$A),MATCH(L$1,[1]character_type_i18n!$1:$1,0)-MATCH($K$1,[1]character_type_i18n!$1:$1,0)+1),MATCH(L$1,[1]character_type_i18n!$1:$1,0)-MATCH($K$1,[1]character_type_i18n!$1:$1,0)+1,FALSE)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4" s="105" t="s">
        <v>2253</v>
      </c>
      <c r="N724" s="107" t="str">
        <f>VLOOKUP(M724,[1]character_tribe_i18n!A:C,3,FALSE)</f>
        <v>ヒューマン</v>
      </c>
      <c r="O724" s="105" t="s">
        <v>2245</v>
      </c>
      <c r="P724" s="107" t="str">
        <f>VLOOKUP(O724,[1]character_tribe_i18n!A:C,3,FALSE)</f>
        <v>サムライ</v>
      </c>
      <c r="Q724" s="110" t="s">
        <v>279</v>
      </c>
      <c r="R724" s="111">
        <v>3</v>
      </c>
      <c r="S724" s="108" t="s">
        <v>280</v>
      </c>
      <c r="T724" s="108" t="s">
        <v>281</v>
      </c>
      <c r="U724" s="108" t="s">
        <v>280</v>
      </c>
      <c r="V724" s="108" t="s">
        <v>280</v>
      </c>
      <c r="W724" s="108" t="s">
        <v>280</v>
      </c>
    </row>
    <row r="725" spans="1:23" ht="21" customHeight="1" x14ac:dyDescent="0.15">
      <c r="A725" s="104">
        <f t="shared" si="11"/>
        <v>724</v>
      </c>
      <c r="B725" s="105" t="s">
        <v>268</v>
      </c>
      <c r="C725" s="121" t="s">
        <v>2254</v>
      </c>
      <c r="D725" s="107" t="s">
        <v>2255</v>
      </c>
      <c r="E725" s="108" t="s">
        <v>1788</v>
      </c>
      <c r="F725" s="108" t="s">
        <v>2256</v>
      </c>
      <c r="G725" s="108" t="s">
        <v>2257</v>
      </c>
      <c r="H725" s="131" t="s">
        <v>2258</v>
      </c>
      <c r="I725" s="140">
        <v>5</v>
      </c>
      <c r="J725" s="109" t="s">
        <v>1504</v>
      </c>
      <c r="K725" s="105" t="s">
        <v>1005</v>
      </c>
      <c r="L725" s="107" t="str">
        <f ca="1">VLOOKUP($K725,OFFSET([1]character_type_i18n!$A$1,0,0,COUNTA([1]character_type_i18n!$A:$A),MATCH(L$1,[1]character_type_i18n!$1:$1,0)-MATCH($K$1,[1]character_type_i18n!$1:$1,0)+1),MATCH(L$1,[1]character_type_i18n!$1:$1,0)-MATCH($K$1,[1]character_type_i18n!$1:$1,0)+1,FALSE)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25" s="105" t="s">
        <v>1608</v>
      </c>
      <c r="N725" s="107" t="str">
        <f>VLOOKUP(M725,[1]character_tribe_i18n!A:C,3,FALSE)</f>
        <v>ヒューマン</v>
      </c>
      <c r="O725" s="105" t="s">
        <v>2259</v>
      </c>
      <c r="P725" s="107" t="str">
        <f>VLOOKUP(O725,[1]character_tribe_i18n!A:C,3,FALSE)</f>
        <v>サムライ</v>
      </c>
      <c r="Q725" s="110" t="s">
        <v>279</v>
      </c>
      <c r="R725" s="111">
        <v>3</v>
      </c>
      <c r="S725" s="108" t="s">
        <v>280</v>
      </c>
      <c r="T725" s="108" t="s">
        <v>281</v>
      </c>
      <c r="U725" s="108" t="s">
        <v>280</v>
      </c>
      <c r="V725" s="108" t="s">
        <v>280</v>
      </c>
      <c r="W725" s="108" t="s">
        <v>280</v>
      </c>
    </row>
    <row r="726" spans="1:23" ht="21" customHeight="1" x14ac:dyDescent="0.15">
      <c r="A726" s="104">
        <f t="shared" si="11"/>
        <v>725</v>
      </c>
      <c r="B726" s="105" t="s">
        <v>268</v>
      </c>
      <c r="C726" s="121" t="s">
        <v>2260</v>
      </c>
      <c r="D726" s="107" t="s">
        <v>2026</v>
      </c>
      <c r="E726" s="108" t="s">
        <v>709</v>
      </c>
      <c r="F726" s="108" t="s">
        <v>532</v>
      </c>
      <c r="G726" s="108" t="s">
        <v>710</v>
      </c>
      <c r="H726" s="131" t="s">
        <v>1141</v>
      </c>
      <c r="I726" s="140">
        <v>6</v>
      </c>
      <c r="J726" s="109" t="s">
        <v>1504</v>
      </c>
      <c r="K726" s="105" t="s">
        <v>1005</v>
      </c>
      <c r="L726" s="107" t="str">
        <f ca="1">VLOOKUP($K726,OFFSET([1]character_type_i18n!$A$1,0,0,COUNTA([1]character_type_i18n!$A:$A),MATCH(L$1,[1]character_type_i18n!$1:$1,0)-MATCH($K$1,[1]character_type_i18n!$1:$1,0)+1),MATCH(L$1,[1]character_type_i18n!$1:$1,0)-MATCH($K$1,[1]character_type_i18n!$1:$1,0)+1,FALSE)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26" s="105" t="s">
        <v>1394</v>
      </c>
      <c r="N726" s="107" t="str">
        <f>VLOOKUP(M726,[1]character_tribe_i18n!A:C,3,FALSE)</f>
        <v>ヒューマン</v>
      </c>
      <c r="O726" s="105" t="s">
        <v>2245</v>
      </c>
      <c r="P726" s="107" t="str">
        <f>VLOOKUP(O726,[1]character_tribe_i18n!A:C,3,FALSE)</f>
        <v>サムライ</v>
      </c>
      <c r="Q726" s="110" t="s">
        <v>362</v>
      </c>
      <c r="R726" s="111">
        <v>3</v>
      </c>
      <c r="S726" s="108" t="s">
        <v>289</v>
      </c>
      <c r="T726" s="108" t="s">
        <v>288</v>
      </c>
      <c r="U726" s="108" t="s">
        <v>289</v>
      </c>
      <c r="V726" s="108" t="s">
        <v>289</v>
      </c>
      <c r="W726" s="108" t="s">
        <v>289</v>
      </c>
    </row>
    <row r="727" spans="1:23" ht="21" customHeight="1" x14ac:dyDescent="0.15">
      <c r="A727" s="104">
        <f t="shared" si="11"/>
        <v>726</v>
      </c>
      <c r="B727" s="105" t="s">
        <v>292</v>
      </c>
      <c r="C727" s="121" t="s">
        <v>2261</v>
      </c>
      <c r="D727" s="107" t="s">
        <v>2262</v>
      </c>
      <c r="E727" s="108" t="s">
        <v>709</v>
      </c>
      <c r="F727" s="108" t="s">
        <v>1422</v>
      </c>
      <c r="G727" s="108" t="s">
        <v>1587</v>
      </c>
      <c r="H727" s="131" t="s">
        <v>1190</v>
      </c>
      <c r="I727" s="140">
        <v>5</v>
      </c>
      <c r="J727" s="109" t="s">
        <v>2263</v>
      </c>
      <c r="K727" s="105" t="s">
        <v>2084</v>
      </c>
      <c r="L727" s="107" t="str">
        <f ca="1">VLOOKUP($K727,OFFSET([1]character_type_i18n!$A$1,0,0,COUNTA([1]character_type_i18n!$A:$A),MATCH(L$1,[1]character_type_i18n!$1:$1,0)-MATCH($K$1,[1]character_type_i18n!$1:$1,0)+1),MATCH(L$1,[1]character_type_i18n!$1:$1,0)-MATCH($K$1,[1]character_type_i18n!$1:$1,0)+1,FALSE)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7" s="105" t="s">
        <v>1011</v>
      </c>
      <c r="N727" s="107" t="str">
        <f>VLOOKUP(M727,[1]character_tribe_i18n!A:C,3,FALSE)</f>
        <v>ヒューマン</v>
      </c>
      <c r="O727" s="105" t="s">
        <v>2247</v>
      </c>
      <c r="P727" s="107" t="str">
        <f>VLOOKUP(O727,[1]character_tribe_i18n!A:C,3,FALSE)</f>
        <v>サムライ</v>
      </c>
      <c r="Q727" s="110" t="s">
        <v>279</v>
      </c>
      <c r="R727" s="111">
        <v>3</v>
      </c>
      <c r="S727" s="108" t="s">
        <v>280</v>
      </c>
      <c r="T727" s="108" t="s">
        <v>281</v>
      </c>
      <c r="U727" s="108" t="s">
        <v>280</v>
      </c>
      <c r="V727" s="108" t="s">
        <v>280</v>
      </c>
      <c r="W727" s="108" t="s">
        <v>280</v>
      </c>
    </row>
    <row r="728" spans="1:23" ht="21" customHeight="1" x14ac:dyDescent="0.15">
      <c r="A728" s="104">
        <f t="shared" si="11"/>
        <v>727</v>
      </c>
      <c r="B728" s="105" t="s">
        <v>268</v>
      </c>
      <c r="C728" s="121" t="s">
        <v>2264</v>
      </c>
      <c r="D728" s="107" t="s">
        <v>2262</v>
      </c>
      <c r="E728" s="108" t="s">
        <v>709</v>
      </c>
      <c r="F728" s="108" t="s">
        <v>532</v>
      </c>
      <c r="G728" s="108" t="s">
        <v>710</v>
      </c>
      <c r="H728" s="131" t="s">
        <v>1141</v>
      </c>
      <c r="I728" s="140">
        <v>6</v>
      </c>
      <c r="J728" s="109" t="s">
        <v>2265</v>
      </c>
      <c r="K728" s="105" t="s">
        <v>1008</v>
      </c>
      <c r="L728" s="107" t="str">
        <f ca="1">VLOOKUP($K728,OFFSET([1]character_type_i18n!$A$1,0,0,COUNTA([1]character_type_i18n!$A:$A),MATCH(L$1,[1]character_type_i18n!$1:$1,0)-MATCH($K$1,[1]character_type_i18n!$1:$1,0)+1),MATCH(L$1,[1]character_type_i18n!$1:$1,0)-MATCH($K$1,[1]character_type_i18n!$1:$1,0)+1,FALSE)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8" s="105" t="s">
        <v>1394</v>
      </c>
      <c r="N728" s="107" t="str">
        <f>VLOOKUP(M728,[1]character_tribe_i18n!A:C,3,FALSE)</f>
        <v>ヒューマン</v>
      </c>
      <c r="O728" s="105" t="s">
        <v>2245</v>
      </c>
      <c r="P728" s="107" t="str">
        <f>VLOOKUP(O728,[1]character_tribe_i18n!A:C,3,FALSE)</f>
        <v>サムライ</v>
      </c>
      <c r="Q728" s="110" t="s">
        <v>362</v>
      </c>
      <c r="R728" s="111">
        <v>3</v>
      </c>
      <c r="S728" s="108" t="s">
        <v>289</v>
      </c>
      <c r="T728" s="108" t="s">
        <v>288</v>
      </c>
      <c r="U728" s="108" t="s">
        <v>289</v>
      </c>
      <c r="V728" s="108" t="s">
        <v>289</v>
      </c>
      <c r="W728" s="108" t="s">
        <v>289</v>
      </c>
    </row>
    <row r="729" spans="1:23" ht="21" customHeight="1" x14ac:dyDescent="0.15">
      <c r="A729" s="104">
        <f t="shared" si="11"/>
        <v>728</v>
      </c>
      <c r="B729" s="105" t="s">
        <v>292</v>
      </c>
      <c r="C729" s="121" t="s">
        <v>2266</v>
      </c>
      <c r="D729" s="107" t="s">
        <v>2267</v>
      </c>
      <c r="E729" s="108" t="s">
        <v>1552</v>
      </c>
      <c r="F729" s="108" t="s">
        <v>532</v>
      </c>
      <c r="G729" s="108" t="s">
        <v>853</v>
      </c>
      <c r="H729" s="131" t="s">
        <v>1190</v>
      </c>
      <c r="I729" s="140">
        <v>4</v>
      </c>
      <c r="J729" s="109" t="s">
        <v>805</v>
      </c>
      <c r="K729" s="105" t="s">
        <v>2084</v>
      </c>
      <c r="L729" s="107" t="str">
        <f ca="1">VLOOKUP($K729,OFFSET([1]character_type_i18n!$A$1,0,0,COUNTA([1]character_type_i18n!$A:$A),MATCH(L$1,[1]character_type_i18n!$1:$1,0)-MATCH($K$1,[1]character_type_i18n!$1:$1,0)+1),MATCH(L$1,[1]character_type_i18n!$1:$1,0)-MATCH($K$1,[1]character_type_i18n!$1:$1,0)+1,FALSE)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9" s="105" t="s">
        <v>1011</v>
      </c>
      <c r="N729" s="107" t="str">
        <f>VLOOKUP(M729,[1]character_tribe_i18n!A:C,3,FALSE)</f>
        <v>ヒューマン</v>
      </c>
      <c r="O729" s="105" t="s">
        <v>2247</v>
      </c>
      <c r="P729" s="107" t="str">
        <f>VLOOKUP(O729,[1]character_tribe_i18n!A:C,3,FALSE)</f>
        <v>サムライ</v>
      </c>
      <c r="Q729" s="110" t="s">
        <v>279</v>
      </c>
      <c r="R729" s="111">
        <v>3</v>
      </c>
      <c r="S729" s="108" t="s">
        <v>280</v>
      </c>
      <c r="T729" s="108" t="s">
        <v>281</v>
      </c>
      <c r="U729" s="108" t="s">
        <v>280</v>
      </c>
      <c r="V729" s="108" t="s">
        <v>280</v>
      </c>
      <c r="W729" s="108" t="s">
        <v>280</v>
      </c>
    </row>
    <row r="730" spans="1:23" ht="21" customHeight="1" x14ac:dyDescent="0.15">
      <c r="A730" s="104">
        <f t="shared" si="11"/>
        <v>729</v>
      </c>
      <c r="B730" s="105" t="s">
        <v>268</v>
      </c>
      <c r="C730" s="121" t="s">
        <v>2268</v>
      </c>
      <c r="D730" s="107" t="s">
        <v>2267</v>
      </c>
      <c r="E730" s="108" t="s">
        <v>709</v>
      </c>
      <c r="F730" s="108" t="s">
        <v>532</v>
      </c>
      <c r="G730" s="108" t="s">
        <v>853</v>
      </c>
      <c r="H730" s="131" t="s">
        <v>1185</v>
      </c>
      <c r="I730" s="140">
        <v>5</v>
      </c>
      <c r="J730" s="109" t="s">
        <v>805</v>
      </c>
      <c r="K730" s="105" t="s">
        <v>1388</v>
      </c>
      <c r="L730" s="107" t="str">
        <f ca="1">VLOOKUP($K730,OFFSET([1]character_type_i18n!$A$1,0,0,COUNTA([1]character_type_i18n!$A:$A),MATCH(L$1,[1]character_type_i18n!$1:$1,0)-MATCH($K$1,[1]character_type_i18n!$1:$1,0)+1),MATCH(L$1,[1]character_type_i18n!$1:$1,0)-MATCH($K$1,[1]character_type_i18n!$1:$1,0)+1,FALSE)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30" s="105" t="s">
        <v>1394</v>
      </c>
      <c r="N730" s="107" t="str">
        <f>VLOOKUP(M730,[1]character_tribe_i18n!A:C,3,FALSE)</f>
        <v>ヒューマン</v>
      </c>
      <c r="O730" s="105" t="s">
        <v>2247</v>
      </c>
      <c r="P730" s="107" t="str">
        <f>VLOOKUP(O730,[1]character_tribe_i18n!A:C,3,FALSE)</f>
        <v>サムライ</v>
      </c>
      <c r="Q730" s="110" t="s">
        <v>279</v>
      </c>
      <c r="R730" s="111">
        <v>3</v>
      </c>
      <c r="S730" s="108" t="s">
        <v>280</v>
      </c>
      <c r="T730" s="108" t="s">
        <v>281</v>
      </c>
      <c r="U730" s="108" t="s">
        <v>280</v>
      </c>
      <c r="V730" s="108" t="s">
        <v>280</v>
      </c>
      <c r="W730" s="108" t="s">
        <v>280</v>
      </c>
    </row>
    <row r="731" spans="1:23" ht="21" customHeight="1" x14ac:dyDescent="0.15">
      <c r="A731" s="104">
        <f t="shared" si="11"/>
        <v>730</v>
      </c>
      <c r="B731" s="105" t="s">
        <v>268</v>
      </c>
      <c r="C731" s="121" t="s">
        <v>2269</v>
      </c>
      <c r="D731" s="107" t="s">
        <v>2267</v>
      </c>
      <c r="E731" s="108" t="s">
        <v>709</v>
      </c>
      <c r="F731" s="108" t="s">
        <v>532</v>
      </c>
      <c r="G731" s="108" t="s">
        <v>853</v>
      </c>
      <c r="H731" s="131" t="s">
        <v>1617</v>
      </c>
      <c r="I731" s="140">
        <v>4</v>
      </c>
      <c r="J731" s="109" t="s">
        <v>805</v>
      </c>
      <c r="K731" s="105" t="s">
        <v>1221</v>
      </c>
      <c r="L731" s="107" t="str">
        <f ca="1">VLOOKUP($K731,OFFSET([1]character_type_i18n!$A$1,0,0,COUNTA([1]character_type_i18n!$A:$A),MATCH(L$1,[1]character_type_i18n!$1:$1,0)-MATCH($K$1,[1]character_type_i18n!$1:$1,0)+1),MATCH(L$1,[1]character_type_i18n!$1:$1,0)-MATCH($K$1,[1]character_type_i18n!$1:$1,0)+1,FALSE)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31" s="105" t="s">
        <v>1394</v>
      </c>
      <c r="N731" s="107" t="str">
        <f>VLOOKUP(M731,[1]character_tribe_i18n!A:C,3,FALSE)</f>
        <v>ヒューマン</v>
      </c>
      <c r="O731" s="105" t="s">
        <v>1423</v>
      </c>
      <c r="P731" s="107" t="str">
        <f>VLOOKUP(O731,[1]character_tribe_i18n!A:C,3,FALSE)</f>
        <v>種族なし</v>
      </c>
      <c r="Q731" s="110" t="s">
        <v>279</v>
      </c>
      <c r="R731" s="111">
        <v>3</v>
      </c>
      <c r="S731" s="108" t="s">
        <v>280</v>
      </c>
      <c r="T731" s="108" t="s">
        <v>281</v>
      </c>
      <c r="U731" s="108" t="s">
        <v>280</v>
      </c>
      <c r="V731" s="108" t="s">
        <v>280</v>
      </c>
      <c r="W731" s="108" t="s">
        <v>280</v>
      </c>
    </row>
    <row r="732" spans="1:23" ht="21" customHeight="1" x14ac:dyDescent="0.15">
      <c r="A732" s="104">
        <f t="shared" si="11"/>
        <v>731</v>
      </c>
      <c r="B732" s="105" t="s">
        <v>268</v>
      </c>
      <c r="C732" s="121" t="s">
        <v>2270</v>
      </c>
      <c r="D732" s="107" t="s">
        <v>2267</v>
      </c>
      <c r="E732" s="108" t="s">
        <v>709</v>
      </c>
      <c r="F732" s="108" t="s">
        <v>532</v>
      </c>
      <c r="G732" s="108" t="s">
        <v>853</v>
      </c>
      <c r="H732" s="131" t="s">
        <v>1617</v>
      </c>
      <c r="I732" s="140">
        <v>5</v>
      </c>
      <c r="J732" s="109" t="s">
        <v>805</v>
      </c>
      <c r="K732" s="105" t="s">
        <v>1221</v>
      </c>
      <c r="L732" s="107" t="str">
        <f ca="1">VLOOKUP($K732,OFFSET([1]character_type_i18n!$A$1,0,0,COUNTA([1]character_type_i18n!$A:$A),MATCH(L$1,[1]character_type_i18n!$1:$1,0)-MATCH($K$1,[1]character_type_i18n!$1:$1,0)+1),MATCH(L$1,[1]character_type_i18n!$1:$1,0)-MATCH($K$1,[1]character_type_i18n!$1:$1,0)+1,FALSE)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32" s="105" t="s">
        <v>1011</v>
      </c>
      <c r="N732" s="107" t="str">
        <f>VLOOKUP(M732,[1]character_tribe_i18n!A:C,3,FALSE)</f>
        <v>ヒューマン</v>
      </c>
      <c r="O732" s="105" t="s">
        <v>1423</v>
      </c>
      <c r="P732" s="107" t="str">
        <f>VLOOKUP(O732,[1]character_tribe_i18n!A:C,3,FALSE)</f>
        <v>種族なし</v>
      </c>
      <c r="Q732" s="110" t="s">
        <v>279</v>
      </c>
      <c r="R732" s="111">
        <v>3</v>
      </c>
      <c r="S732" s="108" t="s">
        <v>280</v>
      </c>
      <c r="T732" s="108" t="s">
        <v>281</v>
      </c>
      <c r="U732" s="108" t="s">
        <v>280</v>
      </c>
      <c r="V732" s="108" t="s">
        <v>280</v>
      </c>
      <c r="W732" s="108" t="s">
        <v>280</v>
      </c>
    </row>
    <row r="733" spans="1:23" ht="21" customHeight="1" x14ac:dyDescent="0.15">
      <c r="A733" s="104">
        <f t="shared" si="11"/>
        <v>732</v>
      </c>
      <c r="B733" s="105" t="s">
        <v>268</v>
      </c>
      <c r="C733" s="121" t="s">
        <v>2271</v>
      </c>
      <c r="D733" s="107" t="s">
        <v>2267</v>
      </c>
      <c r="E733" s="108" t="s">
        <v>2272</v>
      </c>
      <c r="F733" s="108" t="s">
        <v>2273</v>
      </c>
      <c r="G733" s="108" t="s">
        <v>853</v>
      </c>
      <c r="H733" s="131" t="s">
        <v>1761</v>
      </c>
      <c r="I733" s="140">
        <v>5</v>
      </c>
      <c r="J733" s="109" t="s">
        <v>1220</v>
      </c>
      <c r="K733" s="105" t="s">
        <v>1392</v>
      </c>
      <c r="L733" s="107" t="str">
        <f ca="1">VLOOKUP($K733,OFFSET([1]character_type_i18n!$A$1,0,0,COUNTA([1]character_type_i18n!$A:$A),MATCH(L$1,[1]character_type_i18n!$1:$1,0)-MATCH($K$1,[1]character_type_i18n!$1:$1,0)+1),MATCH(L$1,[1]character_type_i18n!$1:$1,0)-MATCH($K$1,[1]character_type_i18n!$1:$1,0)+1,FALSE)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33" s="105" t="s">
        <v>1011</v>
      </c>
      <c r="N733" s="107" t="str">
        <f>VLOOKUP(M733,[1]character_tribe_i18n!A:C,3,FALSE)</f>
        <v>ヒューマン</v>
      </c>
      <c r="O733" s="105" t="s">
        <v>2245</v>
      </c>
      <c r="P733" s="107" t="str">
        <f>VLOOKUP(O733,[1]character_tribe_i18n!A:C,3,FALSE)</f>
        <v>サムライ</v>
      </c>
      <c r="Q733" s="110" t="s">
        <v>279</v>
      </c>
      <c r="R733" s="111">
        <v>3</v>
      </c>
      <c r="S733" s="108" t="s">
        <v>280</v>
      </c>
      <c r="T733" s="108" t="s">
        <v>281</v>
      </c>
      <c r="U733" s="108" t="s">
        <v>280</v>
      </c>
      <c r="V733" s="108" t="s">
        <v>280</v>
      </c>
      <c r="W733" s="108" t="s">
        <v>280</v>
      </c>
    </row>
    <row r="734" spans="1:23" ht="21" customHeight="1" x14ac:dyDescent="0.15">
      <c r="A734" s="104">
        <f t="shared" si="11"/>
        <v>733</v>
      </c>
      <c r="B734" s="105" t="s">
        <v>268</v>
      </c>
      <c r="C734" s="121" t="s">
        <v>2274</v>
      </c>
      <c r="D734" s="107" t="s">
        <v>2267</v>
      </c>
      <c r="E734" s="108" t="s">
        <v>709</v>
      </c>
      <c r="F734" s="108" t="s">
        <v>532</v>
      </c>
      <c r="G734" s="108" t="s">
        <v>710</v>
      </c>
      <c r="H734" s="131" t="s">
        <v>768</v>
      </c>
      <c r="I734" s="140">
        <v>6</v>
      </c>
      <c r="J734" s="109" t="s">
        <v>1001</v>
      </c>
      <c r="K734" s="105" t="s">
        <v>1005</v>
      </c>
      <c r="L734" s="107" t="str">
        <f ca="1">VLOOKUP($K734,OFFSET([1]character_type_i18n!$A$1,0,0,COUNTA([1]character_type_i18n!$A:$A),MATCH(L$1,[1]character_type_i18n!$1:$1,0)-MATCH($K$1,[1]character_type_i18n!$1:$1,0)+1),MATCH(L$1,[1]character_type_i18n!$1:$1,0)-MATCH($K$1,[1]character_type_i18n!$1:$1,0)+1,FALSE)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34" s="105" t="s">
        <v>1011</v>
      </c>
      <c r="N734" s="107" t="str">
        <f>VLOOKUP(M734,[1]character_tribe_i18n!A:C,3,FALSE)</f>
        <v>ヒューマン</v>
      </c>
      <c r="O734" s="105" t="s">
        <v>2245</v>
      </c>
      <c r="P734" s="107" t="str">
        <f>VLOOKUP(O734,[1]character_tribe_i18n!A:C,3,FALSE)</f>
        <v>サムライ</v>
      </c>
      <c r="Q734" s="110" t="s">
        <v>279</v>
      </c>
      <c r="R734" s="111">
        <v>3</v>
      </c>
      <c r="S734" s="108" t="s">
        <v>280</v>
      </c>
      <c r="T734" s="108" t="s">
        <v>281</v>
      </c>
      <c r="U734" s="108" t="s">
        <v>280</v>
      </c>
      <c r="V734" s="108" t="s">
        <v>280</v>
      </c>
      <c r="W734" s="108" t="s">
        <v>280</v>
      </c>
    </row>
    <row r="735" spans="1:23" ht="21" customHeight="1" x14ac:dyDescent="0.15">
      <c r="A735" s="104">
        <f t="shared" si="11"/>
        <v>734</v>
      </c>
      <c r="B735" s="105" t="s">
        <v>268</v>
      </c>
      <c r="C735" s="121" t="s">
        <v>2275</v>
      </c>
      <c r="D735" s="107" t="s">
        <v>2267</v>
      </c>
      <c r="E735" s="108" t="s">
        <v>709</v>
      </c>
      <c r="F735" s="108" t="s">
        <v>532</v>
      </c>
      <c r="G735" s="108" t="s">
        <v>710</v>
      </c>
      <c r="H735" s="131" t="s">
        <v>551</v>
      </c>
      <c r="I735" s="140">
        <v>5</v>
      </c>
      <c r="J735" s="109" t="s">
        <v>1001</v>
      </c>
      <c r="K735" s="105" t="s">
        <v>1008</v>
      </c>
      <c r="L735" s="107" t="str">
        <f ca="1">VLOOKUP($K735,OFFSET([1]character_type_i18n!$A$1,0,0,COUNTA([1]character_type_i18n!$A:$A),MATCH(L$1,[1]character_type_i18n!$1:$1,0)-MATCH($K$1,[1]character_type_i18n!$1:$1,0)+1),MATCH(L$1,[1]character_type_i18n!$1:$1,0)-MATCH($K$1,[1]character_type_i18n!$1:$1,0)+1,FALSE)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35" s="105" t="s">
        <v>1011</v>
      </c>
      <c r="N735" s="107" t="str">
        <f>VLOOKUP(M735,[1]character_tribe_i18n!A:C,3,FALSE)</f>
        <v>ヒューマン</v>
      </c>
      <c r="O735" s="105" t="s">
        <v>2245</v>
      </c>
      <c r="P735" s="107" t="str">
        <f>VLOOKUP(O735,[1]character_tribe_i18n!A:C,3,FALSE)</f>
        <v>サムライ</v>
      </c>
      <c r="Q735" s="110" t="s">
        <v>279</v>
      </c>
      <c r="R735" s="111">
        <v>3</v>
      </c>
      <c r="S735" s="108" t="s">
        <v>280</v>
      </c>
      <c r="T735" s="108" t="s">
        <v>281</v>
      </c>
      <c r="U735" s="108" t="s">
        <v>280</v>
      </c>
      <c r="V735" s="108" t="s">
        <v>280</v>
      </c>
      <c r="W735" s="108" t="s">
        <v>280</v>
      </c>
    </row>
    <row r="736" spans="1:23" ht="21" customHeight="1" x14ac:dyDescent="0.15">
      <c r="A736" s="104">
        <f t="shared" si="11"/>
        <v>735</v>
      </c>
      <c r="B736" s="105" t="s">
        <v>268</v>
      </c>
      <c r="C736" s="121" t="s">
        <v>2276</v>
      </c>
      <c r="D736" s="107" t="s">
        <v>2267</v>
      </c>
      <c r="E736" s="108" t="s">
        <v>709</v>
      </c>
      <c r="F736" s="108" t="s">
        <v>532</v>
      </c>
      <c r="G736" s="108" t="s">
        <v>853</v>
      </c>
      <c r="H736" s="131" t="s">
        <v>1795</v>
      </c>
      <c r="I736" s="140">
        <v>6</v>
      </c>
      <c r="J736" s="109" t="s">
        <v>1220</v>
      </c>
      <c r="K736" s="105" t="s">
        <v>1388</v>
      </c>
      <c r="L736" s="107" t="str">
        <f ca="1">VLOOKUP($K736,OFFSET([1]character_type_i18n!$A$1,0,0,COUNTA([1]character_type_i18n!$A:$A),MATCH(L$1,[1]character_type_i18n!$1:$1,0)-MATCH($K$1,[1]character_type_i18n!$1:$1,0)+1),MATCH(L$1,[1]character_type_i18n!$1:$1,0)-MATCH($K$1,[1]character_type_i18n!$1:$1,0)+1,FALSE)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36" s="105" t="s">
        <v>1011</v>
      </c>
      <c r="N736" s="107" t="str">
        <f>VLOOKUP(M736,[1]character_tribe_i18n!A:C,3,FALSE)</f>
        <v>ヒューマン</v>
      </c>
      <c r="O736" s="105" t="s">
        <v>2245</v>
      </c>
      <c r="P736" s="107" t="str">
        <f>VLOOKUP(O736,[1]character_tribe_i18n!A:C,3,FALSE)</f>
        <v>サムライ</v>
      </c>
      <c r="Q736" s="110" t="s">
        <v>279</v>
      </c>
      <c r="R736" s="111">
        <v>3</v>
      </c>
      <c r="S736" s="108" t="s">
        <v>280</v>
      </c>
      <c r="T736" s="108" t="s">
        <v>281</v>
      </c>
      <c r="U736" s="108" t="s">
        <v>280</v>
      </c>
      <c r="V736" s="108" t="s">
        <v>280</v>
      </c>
      <c r="W736" s="108" t="s">
        <v>280</v>
      </c>
    </row>
    <row r="737" spans="1:23" ht="21" customHeight="1" x14ac:dyDescent="0.15">
      <c r="A737" s="104">
        <f t="shared" si="11"/>
        <v>736</v>
      </c>
      <c r="B737" s="105" t="s">
        <v>268</v>
      </c>
      <c r="C737" s="121" t="s">
        <v>2277</v>
      </c>
      <c r="D737" s="107" t="s">
        <v>2278</v>
      </c>
      <c r="E737" s="108" t="s">
        <v>709</v>
      </c>
      <c r="F737" s="108" t="s">
        <v>532</v>
      </c>
      <c r="G737" s="108" t="s">
        <v>853</v>
      </c>
      <c r="H737" s="131" t="s">
        <v>1185</v>
      </c>
      <c r="I737" s="140">
        <v>4</v>
      </c>
      <c r="J737" s="109" t="s">
        <v>1762</v>
      </c>
      <c r="K737" s="105" t="s">
        <v>1252</v>
      </c>
      <c r="L737" s="107" t="str">
        <f ca="1">VLOOKUP($K737,OFFSET([1]character_type_i18n!$A$1,0,0,COUNTA([1]character_type_i18n!$A:$A),MATCH(L$1,[1]character_type_i18n!$1:$1,0)-MATCH($K$1,[1]character_type_i18n!$1:$1,0)+1),MATCH(L$1,[1]character_type_i18n!$1:$1,0)-MATCH($K$1,[1]character_type_i18n!$1:$1,0)+1,FALSE)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37" s="105" t="s">
        <v>313</v>
      </c>
      <c r="N737" s="107" t="str">
        <f>VLOOKUP(M737,[1]character_tribe_i18n!A:C,3,FALSE)</f>
        <v>アニマル</v>
      </c>
      <c r="O737" s="105" t="s">
        <v>278</v>
      </c>
      <c r="P737" s="107" t="str">
        <f>VLOOKUP(O737,[1]character_tribe_i18n!A:C,3,FALSE)</f>
        <v>種族なし</v>
      </c>
      <c r="Q737" s="110" t="s">
        <v>279</v>
      </c>
      <c r="R737" s="111">
        <v>3</v>
      </c>
      <c r="S737" s="108" t="s">
        <v>280</v>
      </c>
      <c r="T737" s="108" t="s">
        <v>281</v>
      </c>
      <c r="U737" s="108" t="s">
        <v>280</v>
      </c>
      <c r="V737" s="108" t="s">
        <v>280</v>
      </c>
      <c r="W737" s="108" t="s">
        <v>280</v>
      </c>
    </row>
    <row r="738" spans="1:23" ht="21" customHeight="1" x14ac:dyDescent="0.15">
      <c r="A738" s="104">
        <f t="shared" si="11"/>
        <v>737</v>
      </c>
      <c r="B738" s="105" t="s">
        <v>268</v>
      </c>
      <c r="C738" s="121" t="s">
        <v>2279</v>
      </c>
      <c r="D738" s="107" t="s">
        <v>2280</v>
      </c>
      <c r="E738" s="108" t="s">
        <v>709</v>
      </c>
      <c r="F738" s="108" t="s">
        <v>532</v>
      </c>
      <c r="G738" s="108" t="s">
        <v>710</v>
      </c>
      <c r="H738" s="131" t="s">
        <v>1141</v>
      </c>
      <c r="I738" s="140">
        <v>5</v>
      </c>
      <c r="J738" s="109" t="s">
        <v>1372</v>
      </c>
      <c r="K738" s="105" t="s">
        <v>967</v>
      </c>
      <c r="L738" s="107" t="str">
        <f ca="1">VLOOKUP($K738,OFFSET([1]character_type_i18n!$A$1,0,0,COUNTA([1]character_type_i18n!$A:$A),MATCH(L$1,[1]character_type_i18n!$1:$1,0)-MATCH($K$1,[1]character_type_i18n!$1:$1,0)+1),MATCH(L$1,[1]character_type_i18n!$1:$1,0)-MATCH($K$1,[1]character_type_i18n!$1:$1,0)+1,FALSE)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38" s="105" t="s">
        <v>313</v>
      </c>
      <c r="N738" s="107" t="str">
        <f>VLOOKUP(M738,[1]character_tribe_i18n!A:C,3,FALSE)</f>
        <v>アニマル</v>
      </c>
      <c r="O738" s="105" t="s">
        <v>278</v>
      </c>
      <c r="P738" s="107" t="str">
        <f>VLOOKUP(O738,[1]character_tribe_i18n!A:C,3,FALSE)</f>
        <v>種族なし</v>
      </c>
      <c r="Q738" s="110" t="s">
        <v>279</v>
      </c>
      <c r="R738" s="111">
        <v>3</v>
      </c>
      <c r="S738" s="108" t="s">
        <v>280</v>
      </c>
      <c r="T738" s="108" t="s">
        <v>281</v>
      </c>
      <c r="U738" s="108" t="s">
        <v>280</v>
      </c>
      <c r="V738" s="108" t="s">
        <v>280</v>
      </c>
      <c r="W738" s="108" t="s">
        <v>280</v>
      </c>
    </row>
    <row r="739" spans="1:23" ht="21" customHeight="1" x14ac:dyDescent="0.15">
      <c r="A739" s="104">
        <f t="shared" si="11"/>
        <v>738</v>
      </c>
      <c r="B739" s="105" t="s">
        <v>268</v>
      </c>
      <c r="C739" s="121" t="s">
        <v>2281</v>
      </c>
      <c r="D739" s="107" t="s">
        <v>2282</v>
      </c>
      <c r="E739" s="108" t="s">
        <v>709</v>
      </c>
      <c r="F739" s="108" t="s">
        <v>532</v>
      </c>
      <c r="G739" s="108" t="s">
        <v>710</v>
      </c>
      <c r="H739" s="131" t="s">
        <v>768</v>
      </c>
      <c r="I739" s="140">
        <v>4</v>
      </c>
      <c r="J739" s="109" t="s">
        <v>1372</v>
      </c>
      <c r="K739" s="105" t="s">
        <v>1008</v>
      </c>
      <c r="L739" s="107" t="str">
        <f ca="1">VLOOKUP($K739,OFFSET([1]character_type_i18n!$A$1,0,0,COUNTA([1]character_type_i18n!$A:$A),MATCH(L$1,[1]character_type_i18n!$1:$1,0)-MATCH($K$1,[1]character_type_i18n!$1:$1,0)+1),MATCH(L$1,[1]character_type_i18n!$1:$1,0)-MATCH($K$1,[1]character_type_i18n!$1:$1,0)+1,FALSE)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39" s="105" t="s">
        <v>854</v>
      </c>
      <c r="N739" s="107" t="str">
        <f>VLOOKUP(M739,[1]character_tribe_i18n!A:C,3,FALSE)</f>
        <v>ドラゴン</v>
      </c>
      <c r="O739" s="105" t="s">
        <v>2283</v>
      </c>
      <c r="P739" s="107" t="str">
        <f>VLOOKUP(O739,[1]character_tribe_i18n!A:C,3,FALSE)</f>
        <v>マシン</v>
      </c>
      <c r="Q739" s="110" t="s">
        <v>279</v>
      </c>
      <c r="R739" s="111">
        <v>3</v>
      </c>
      <c r="S739" s="108" t="s">
        <v>280</v>
      </c>
      <c r="T739" s="108" t="s">
        <v>281</v>
      </c>
      <c r="U739" s="108" t="s">
        <v>280</v>
      </c>
      <c r="V739" s="108" t="s">
        <v>280</v>
      </c>
      <c r="W739" s="108" t="s">
        <v>280</v>
      </c>
    </row>
    <row r="740" spans="1:23" ht="21" customHeight="1" x14ac:dyDescent="0.15">
      <c r="A740" s="104">
        <f t="shared" si="11"/>
        <v>739</v>
      </c>
      <c r="B740" s="105" t="s">
        <v>268</v>
      </c>
      <c r="C740" s="121" t="s">
        <v>2284</v>
      </c>
      <c r="D740" s="107" t="s">
        <v>2285</v>
      </c>
      <c r="E740" s="108" t="s">
        <v>2286</v>
      </c>
      <c r="F740" s="108" t="s">
        <v>2287</v>
      </c>
      <c r="G740" s="108" t="s">
        <v>2288</v>
      </c>
      <c r="H740" s="131" t="s">
        <v>2289</v>
      </c>
      <c r="I740" s="140">
        <v>5</v>
      </c>
      <c r="J740" s="109" t="s">
        <v>2290</v>
      </c>
      <c r="K740" s="105" t="s">
        <v>1008</v>
      </c>
      <c r="L740" s="107" t="str">
        <f ca="1">VLOOKUP($K740,OFFSET([1]character_type_i18n!$A$1,0,0,COUNTA([1]character_type_i18n!$A:$A),MATCH(L$1,[1]character_type_i18n!$1:$1,0)-MATCH($K$1,[1]character_type_i18n!$1:$1,0)+1),MATCH(L$1,[1]character_type_i18n!$1:$1,0)-MATCH($K$1,[1]character_type_i18n!$1:$1,0)+1,FALSE)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40" s="105" t="s">
        <v>854</v>
      </c>
      <c r="N740" s="107" t="str">
        <f>VLOOKUP(M740,[1]character_tribe_i18n!A:C,3,FALSE)</f>
        <v>ドラゴン</v>
      </c>
      <c r="O740" s="105" t="s">
        <v>1017</v>
      </c>
      <c r="P740" s="107" t="str">
        <f>VLOOKUP(O740,[1]character_tribe_i18n!A:C,3,FALSE)</f>
        <v>マシン</v>
      </c>
      <c r="Q740" s="110" t="s">
        <v>279</v>
      </c>
      <c r="R740" s="111">
        <v>3</v>
      </c>
      <c r="S740" s="108" t="s">
        <v>280</v>
      </c>
      <c r="T740" s="108" t="s">
        <v>281</v>
      </c>
      <c r="U740" s="108" t="s">
        <v>280</v>
      </c>
      <c r="V740" s="108" t="s">
        <v>280</v>
      </c>
      <c r="W740" s="108" t="s">
        <v>280</v>
      </c>
    </row>
    <row r="741" spans="1:23" ht="21" customHeight="1" x14ac:dyDescent="0.15">
      <c r="A741" s="104">
        <f t="shared" si="11"/>
        <v>740</v>
      </c>
      <c r="B741" s="105" t="s">
        <v>268</v>
      </c>
      <c r="C741" s="121" t="s">
        <v>2291</v>
      </c>
      <c r="D741" s="107" t="s">
        <v>2292</v>
      </c>
      <c r="E741" s="108" t="s">
        <v>709</v>
      </c>
      <c r="F741" s="108" t="s">
        <v>532</v>
      </c>
      <c r="G741" s="108" t="s">
        <v>710</v>
      </c>
      <c r="H741" s="131" t="s">
        <v>551</v>
      </c>
      <c r="I741" s="140">
        <v>5</v>
      </c>
      <c r="J741" s="109" t="s">
        <v>1504</v>
      </c>
      <c r="K741" s="105" t="s">
        <v>1005</v>
      </c>
      <c r="L741" s="107" t="str">
        <f ca="1">VLOOKUP($K741,OFFSET([1]character_type_i18n!$A$1,0,0,COUNTA([1]character_type_i18n!$A:$A),MATCH(L$1,[1]character_type_i18n!$1:$1,0)-MATCH($K$1,[1]character_type_i18n!$1:$1,0)+1),MATCH(L$1,[1]character_type_i18n!$1:$1,0)-MATCH($K$1,[1]character_type_i18n!$1:$1,0)+1,FALSE)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41" s="105" t="s">
        <v>854</v>
      </c>
      <c r="N741" s="107" t="str">
        <f>VLOOKUP(M741,[1]character_tribe_i18n!A:C,3,FALSE)</f>
        <v>ドラゴン</v>
      </c>
      <c r="O741" s="105" t="s">
        <v>278</v>
      </c>
      <c r="P741" s="107" t="str">
        <f>VLOOKUP(O741,[1]character_tribe_i18n!A:C,3,FALSE)</f>
        <v>種族なし</v>
      </c>
      <c r="Q741" s="110" t="s">
        <v>279</v>
      </c>
      <c r="R741" s="111">
        <v>3</v>
      </c>
      <c r="S741" s="108" t="s">
        <v>280</v>
      </c>
      <c r="T741" s="108" t="s">
        <v>281</v>
      </c>
      <c r="U741" s="108" t="s">
        <v>280</v>
      </c>
      <c r="V741" s="108" t="s">
        <v>280</v>
      </c>
      <c r="W741" s="108" t="s">
        <v>280</v>
      </c>
    </row>
    <row r="742" spans="1:23" ht="21" customHeight="1" x14ac:dyDescent="0.15">
      <c r="A742" s="104">
        <f t="shared" si="11"/>
        <v>741</v>
      </c>
      <c r="B742" s="105" t="s">
        <v>268</v>
      </c>
      <c r="C742" s="121" t="s">
        <v>2293</v>
      </c>
      <c r="D742" s="107" t="s">
        <v>2294</v>
      </c>
      <c r="E742" s="108" t="s">
        <v>709</v>
      </c>
      <c r="F742" s="108" t="s">
        <v>532</v>
      </c>
      <c r="G742" s="108" t="s">
        <v>710</v>
      </c>
      <c r="H742" s="131" t="s">
        <v>551</v>
      </c>
      <c r="I742" s="140">
        <v>6</v>
      </c>
      <c r="J742" s="109" t="s">
        <v>1504</v>
      </c>
      <c r="K742" s="105" t="s">
        <v>1005</v>
      </c>
      <c r="L742" s="107" t="str">
        <f ca="1">VLOOKUP($K742,OFFSET([1]character_type_i18n!$A$1,0,0,COUNTA([1]character_type_i18n!$A:$A),MATCH(L$1,[1]character_type_i18n!$1:$1,0)-MATCH($K$1,[1]character_type_i18n!$1:$1,0)+1),MATCH(L$1,[1]character_type_i18n!$1:$1,0)-MATCH($K$1,[1]character_type_i18n!$1:$1,0)+1,FALSE)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42" s="105" t="s">
        <v>854</v>
      </c>
      <c r="N742" s="107" t="str">
        <f>VLOOKUP(M742,[1]character_tribe_i18n!A:C,3,FALSE)</f>
        <v>ドラゴン</v>
      </c>
      <c r="O742" s="105" t="s">
        <v>278</v>
      </c>
      <c r="P742" s="107" t="str">
        <f>VLOOKUP(O742,[1]character_tribe_i18n!A:C,3,FALSE)</f>
        <v>種族なし</v>
      </c>
      <c r="Q742" s="110" t="s">
        <v>279</v>
      </c>
      <c r="R742" s="111">
        <v>3</v>
      </c>
      <c r="S742" s="108" t="s">
        <v>280</v>
      </c>
      <c r="T742" s="108" t="s">
        <v>281</v>
      </c>
      <c r="U742" s="108" t="s">
        <v>280</v>
      </c>
      <c r="V742" s="108" t="s">
        <v>280</v>
      </c>
      <c r="W742" s="108" t="s">
        <v>280</v>
      </c>
    </row>
    <row r="743" spans="1:23" ht="21" customHeight="1" x14ac:dyDescent="0.15">
      <c r="A743" s="104">
        <f t="shared" si="11"/>
        <v>742</v>
      </c>
      <c r="B743" s="105" t="s">
        <v>268</v>
      </c>
      <c r="C743" s="146" t="s">
        <v>2295</v>
      </c>
      <c r="D743" s="107" t="s">
        <v>2296</v>
      </c>
      <c r="E743" s="108" t="s">
        <v>709</v>
      </c>
      <c r="F743" s="108" t="s">
        <v>532</v>
      </c>
      <c r="G743" s="108" t="s">
        <v>710</v>
      </c>
      <c r="H743" s="131" t="s">
        <v>1141</v>
      </c>
      <c r="I743" s="140">
        <v>5</v>
      </c>
      <c r="J743" s="109" t="s">
        <v>1001</v>
      </c>
      <c r="K743" s="105" t="s">
        <v>1005</v>
      </c>
      <c r="L743" s="107" t="str">
        <f ca="1">VLOOKUP($K743,OFFSET([1]character_type_i18n!$A$1,0,0,COUNTA([1]character_type_i18n!$A:$A),MATCH(L$1,[1]character_type_i18n!$1:$1,0)-MATCH($K$1,[1]character_type_i18n!$1:$1,0)+1),MATCH(L$1,[1]character_type_i18n!$1:$1,0)-MATCH($K$1,[1]character_type_i18n!$1:$1,0)+1,FALSE)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43" s="105" t="s">
        <v>1018</v>
      </c>
      <c r="N743" s="107" t="str">
        <f>VLOOKUP(M743,[1]character_tribe_i18n!A:C,3,FALSE)</f>
        <v>ゴッド</v>
      </c>
      <c r="O743" s="105" t="s">
        <v>278</v>
      </c>
      <c r="P743" s="107" t="str">
        <f>VLOOKUP(O743,[1]character_tribe_i18n!A:C,3,FALSE)</f>
        <v>種族なし</v>
      </c>
      <c r="Q743" s="110" t="s">
        <v>279</v>
      </c>
      <c r="R743" s="111">
        <v>3</v>
      </c>
      <c r="S743" s="108" t="s">
        <v>280</v>
      </c>
      <c r="T743" s="108" t="s">
        <v>281</v>
      </c>
      <c r="U743" s="108" t="s">
        <v>280</v>
      </c>
      <c r="V743" s="108" t="s">
        <v>280</v>
      </c>
      <c r="W743" s="108" t="s">
        <v>280</v>
      </c>
    </row>
    <row r="744" spans="1:23" ht="21" customHeight="1" x14ac:dyDescent="0.15">
      <c r="A744" s="104">
        <f t="shared" si="11"/>
        <v>743</v>
      </c>
      <c r="B744" s="105" t="s">
        <v>268</v>
      </c>
      <c r="C744" s="146" t="s">
        <v>2297</v>
      </c>
      <c r="D744" s="107" t="s">
        <v>2298</v>
      </c>
      <c r="E744" s="108" t="s">
        <v>1576</v>
      </c>
      <c r="F744" s="108" t="s">
        <v>1577</v>
      </c>
      <c r="G744" s="108" t="s">
        <v>1578</v>
      </c>
      <c r="H744" s="131" t="s">
        <v>1960</v>
      </c>
      <c r="I744" s="140">
        <v>6</v>
      </c>
      <c r="J744" s="109" t="s">
        <v>1903</v>
      </c>
      <c r="K744" s="105" t="s">
        <v>1005</v>
      </c>
      <c r="L744" s="107" t="str">
        <f ca="1">VLOOKUP($K744,OFFSET([1]character_type_i18n!$A$1,0,0,COUNTA([1]character_type_i18n!$A:$A),MATCH(L$1,[1]character_type_i18n!$1:$1,0)-MATCH($K$1,[1]character_type_i18n!$1:$1,0)+1),MATCH(L$1,[1]character_type_i18n!$1:$1,0)-MATCH($K$1,[1]character_type_i18n!$1:$1,0)+1,FALSE)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44" s="105" t="s">
        <v>2299</v>
      </c>
      <c r="N744" s="107" t="str">
        <f>VLOOKUP(M744,[1]character_tribe_i18n!A:C,3,FALSE)</f>
        <v>ゴッド</v>
      </c>
      <c r="O744" s="105" t="s">
        <v>278</v>
      </c>
      <c r="P744" s="107" t="str">
        <f>VLOOKUP(O744,[1]character_tribe_i18n!A:C,3,FALSE)</f>
        <v>種族なし</v>
      </c>
      <c r="Q744" s="110" t="s">
        <v>279</v>
      </c>
      <c r="R744" s="111">
        <v>3</v>
      </c>
      <c r="S744" s="108" t="s">
        <v>280</v>
      </c>
      <c r="T744" s="108" t="s">
        <v>281</v>
      </c>
      <c r="U744" s="108" t="s">
        <v>280</v>
      </c>
      <c r="V744" s="108" t="s">
        <v>280</v>
      </c>
      <c r="W744" s="108" t="s">
        <v>280</v>
      </c>
    </row>
    <row r="745" spans="1:23" ht="21" customHeight="1" x14ac:dyDescent="0.15">
      <c r="A745" s="104">
        <f t="shared" si="11"/>
        <v>744</v>
      </c>
      <c r="B745" s="105" t="s">
        <v>268</v>
      </c>
      <c r="C745" s="121" t="s">
        <v>2300</v>
      </c>
      <c r="D745" s="107" t="s">
        <v>2301</v>
      </c>
      <c r="E745" s="108" t="s">
        <v>709</v>
      </c>
      <c r="F745" s="108" t="s">
        <v>532</v>
      </c>
      <c r="G745" s="108" t="s">
        <v>710</v>
      </c>
      <c r="H745" s="131" t="s">
        <v>614</v>
      </c>
      <c r="I745" s="140">
        <v>5</v>
      </c>
      <c r="J745" s="109" t="s">
        <v>1001</v>
      </c>
      <c r="K745" s="105" t="s">
        <v>1505</v>
      </c>
      <c r="L745" s="107" t="str">
        <f ca="1">VLOOKUP($K745,OFFSET([1]character_type_i18n!$A$1,0,0,COUNTA([1]character_type_i18n!$A:$A),MATCH(L$1,[1]character_type_i18n!$1:$1,0)-MATCH($K$1,[1]character_type_i18n!$1:$1,0)+1),MATCH(L$1,[1]character_type_i18n!$1:$1,0)-MATCH($K$1,[1]character_type_i18n!$1:$1,0)+1,FALSE)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45" s="105" t="s">
        <v>1018</v>
      </c>
      <c r="N745" s="107" t="str">
        <f>VLOOKUP(M745,[1]character_tribe_i18n!A:C,3,FALSE)</f>
        <v>ゴッド</v>
      </c>
      <c r="O745" s="105" t="s">
        <v>278</v>
      </c>
      <c r="P745" s="107" t="str">
        <f>VLOOKUP(O745,[1]character_tribe_i18n!A:C,3,FALSE)</f>
        <v>種族なし</v>
      </c>
      <c r="Q745" s="110" t="s">
        <v>362</v>
      </c>
      <c r="R745" s="111">
        <v>3</v>
      </c>
      <c r="S745" s="108" t="s">
        <v>289</v>
      </c>
      <c r="T745" s="108" t="s">
        <v>288</v>
      </c>
      <c r="U745" s="108" t="s">
        <v>289</v>
      </c>
      <c r="V745" s="108" t="s">
        <v>289</v>
      </c>
      <c r="W745" s="108" t="s">
        <v>289</v>
      </c>
    </row>
    <row r="746" spans="1:23" ht="21" customHeight="1" x14ac:dyDescent="0.15">
      <c r="A746" s="104">
        <f t="shared" si="11"/>
        <v>745</v>
      </c>
      <c r="B746" s="105" t="s">
        <v>292</v>
      </c>
      <c r="C746" s="121" t="s">
        <v>2302</v>
      </c>
      <c r="D746" s="107" t="s">
        <v>2303</v>
      </c>
      <c r="E746" s="108" t="s">
        <v>848</v>
      </c>
      <c r="F746" s="108" t="s">
        <v>1422</v>
      </c>
      <c r="G746" s="108" t="s">
        <v>1587</v>
      </c>
      <c r="H746" s="131" t="s">
        <v>1890</v>
      </c>
      <c r="I746" s="140">
        <v>6</v>
      </c>
      <c r="J746" s="109" t="s">
        <v>2083</v>
      </c>
      <c r="K746" s="105" t="s">
        <v>1171</v>
      </c>
      <c r="L746" s="107" t="str">
        <f ca="1">VLOOKUP($K746,OFFSET([1]character_type_i18n!$A$1,0,0,COUNTA([1]character_type_i18n!$A:$A),MATCH(L$1,[1]character_type_i18n!$1:$1,0)-MATCH($K$1,[1]character_type_i18n!$1:$1,0)+1),MATCH(L$1,[1]character_type_i18n!$1:$1,0)-MATCH($K$1,[1]character_type_i18n!$1:$1,0)+1,FALSE)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46" s="105" t="s">
        <v>1872</v>
      </c>
      <c r="N746" s="107" t="str">
        <f>VLOOKUP(M746,[1]character_tribe_i18n!A:C,3,FALSE)</f>
        <v>ゴッド</v>
      </c>
      <c r="O746" s="105" t="s">
        <v>278</v>
      </c>
      <c r="P746" s="107" t="str">
        <f>VLOOKUP(O746,[1]character_tribe_i18n!A:C,3,FALSE)</f>
        <v>種族なし</v>
      </c>
      <c r="Q746" s="110" t="s">
        <v>279</v>
      </c>
      <c r="R746" s="111">
        <v>3</v>
      </c>
      <c r="S746" s="108" t="s">
        <v>280</v>
      </c>
      <c r="T746" s="108" t="s">
        <v>281</v>
      </c>
      <c r="U746" s="108" t="s">
        <v>280</v>
      </c>
      <c r="V746" s="108" t="s">
        <v>280</v>
      </c>
      <c r="W746" s="108" t="s">
        <v>280</v>
      </c>
    </row>
    <row r="747" spans="1:23" ht="21" customHeight="1" x14ac:dyDescent="0.15">
      <c r="A747" s="104">
        <f t="shared" si="11"/>
        <v>746</v>
      </c>
      <c r="B747" s="105" t="s">
        <v>268</v>
      </c>
      <c r="C747" s="121" t="s">
        <v>2304</v>
      </c>
      <c r="D747" s="107" t="s">
        <v>2305</v>
      </c>
      <c r="E747" s="108" t="s">
        <v>709</v>
      </c>
      <c r="F747" s="108" t="s">
        <v>532</v>
      </c>
      <c r="G747" s="108" t="s">
        <v>710</v>
      </c>
      <c r="H747" s="131" t="s">
        <v>768</v>
      </c>
      <c r="I747" s="140">
        <v>4</v>
      </c>
      <c r="J747" s="109" t="s">
        <v>805</v>
      </c>
      <c r="K747" s="105" t="s">
        <v>1008</v>
      </c>
      <c r="L747" s="107" t="str">
        <f ca="1">VLOOKUP($K747,OFFSET([1]character_type_i18n!$A$1,0,0,COUNTA([1]character_type_i18n!$A:$A),MATCH(L$1,[1]character_type_i18n!$1:$1,0)-MATCH($K$1,[1]character_type_i18n!$1:$1,0)+1),MATCH(L$1,[1]character_type_i18n!$1:$1,0)-MATCH($K$1,[1]character_type_i18n!$1:$1,0)+1,FALSE)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47" s="105" t="s">
        <v>1018</v>
      </c>
      <c r="N747" s="107" t="str">
        <f>VLOOKUP(M747,[1]character_tribe_i18n!A:C,3,FALSE)</f>
        <v>ゴッド</v>
      </c>
      <c r="O747" s="105" t="s">
        <v>278</v>
      </c>
      <c r="P747" s="107" t="str">
        <f>VLOOKUP(O747,[1]character_tribe_i18n!A:C,3,FALSE)</f>
        <v>種族なし</v>
      </c>
      <c r="Q747" s="110" t="s">
        <v>362</v>
      </c>
      <c r="R747" s="111">
        <v>3</v>
      </c>
      <c r="S747" s="108" t="s">
        <v>289</v>
      </c>
      <c r="T747" s="108" t="s">
        <v>288</v>
      </c>
      <c r="U747" s="108" t="s">
        <v>289</v>
      </c>
      <c r="V747" s="108" t="s">
        <v>289</v>
      </c>
      <c r="W747" s="108" t="s">
        <v>289</v>
      </c>
    </row>
    <row r="748" spans="1:23" ht="21" customHeight="1" x14ac:dyDescent="0.15">
      <c r="A748" s="104">
        <f t="shared" si="11"/>
        <v>747</v>
      </c>
      <c r="B748" s="105" t="s">
        <v>292</v>
      </c>
      <c r="C748" s="121" t="s">
        <v>2306</v>
      </c>
      <c r="D748" s="107" t="s">
        <v>2307</v>
      </c>
      <c r="E748" s="108" t="s">
        <v>848</v>
      </c>
      <c r="F748" s="108" t="s">
        <v>1422</v>
      </c>
      <c r="G748" s="108" t="s">
        <v>1587</v>
      </c>
      <c r="H748" s="131" t="s">
        <v>1170</v>
      </c>
      <c r="I748" s="140">
        <v>5</v>
      </c>
      <c r="J748" s="109" t="s">
        <v>805</v>
      </c>
      <c r="K748" s="105" t="s">
        <v>2084</v>
      </c>
      <c r="L748" s="107" t="str">
        <f ca="1">VLOOKUP($K748,OFFSET([1]character_type_i18n!$A$1,0,0,COUNTA([1]character_type_i18n!$A:$A),MATCH(L$1,[1]character_type_i18n!$1:$1,0)-MATCH($K$1,[1]character_type_i18n!$1:$1,0)+1),MATCH(L$1,[1]character_type_i18n!$1:$1,0)-MATCH($K$1,[1]character_type_i18n!$1:$1,0)+1,FALSE)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48" s="105" t="s">
        <v>1018</v>
      </c>
      <c r="N748" s="107" t="str">
        <f>VLOOKUP(M748,[1]character_tribe_i18n!A:C,3,FALSE)</f>
        <v>ゴッド</v>
      </c>
      <c r="O748" s="105" t="s">
        <v>278</v>
      </c>
      <c r="P748" s="107" t="str">
        <f>VLOOKUP(O748,[1]character_tribe_i18n!A:C,3,FALSE)</f>
        <v>種族なし</v>
      </c>
      <c r="Q748" s="110" t="s">
        <v>362</v>
      </c>
      <c r="R748" s="111">
        <v>3</v>
      </c>
      <c r="S748" s="108" t="s">
        <v>289</v>
      </c>
      <c r="T748" s="108" t="s">
        <v>288</v>
      </c>
      <c r="U748" s="108" t="s">
        <v>289</v>
      </c>
      <c r="V748" s="108" t="s">
        <v>289</v>
      </c>
      <c r="W748" s="108" t="s">
        <v>289</v>
      </c>
    </row>
    <row r="749" spans="1:23" ht="21" customHeight="1" x14ac:dyDescent="0.15">
      <c r="A749" s="104">
        <f t="shared" si="11"/>
        <v>748</v>
      </c>
      <c r="B749" s="105" t="s">
        <v>292</v>
      </c>
      <c r="C749" s="121" t="s">
        <v>2308</v>
      </c>
      <c r="D749" s="107" t="s">
        <v>2309</v>
      </c>
      <c r="E749" s="108" t="s">
        <v>848</v>
      </c>
      <c r="F749" s="108" t="s">
        <v>1422</v>
      </c>
      <c r="G749" s="108" t="s">
        <v>1587</v>
      </c>
      <c r="H749" s="131" t="s">
        <v>2236</v>
      </c>
      <c r="I749" s="140">
        <v>4</v>
      </c>
      <c r="J749" s="109" t="s">
        <v>805</v>
      </c>
      <c r="K749" s="105" t="s">
        <v>1887</v>
      </c>
      <c r="L749" s="107" t="str">
        <f ca="1">VLOOKUP($K749,OFFSET([1]character_type_i18n!$A$1,0,0,COUNTA([1]character_type_i18n!$A:$A),MATCH(L$1,[1]character_type_i18n!$1:$1,0)-MATCH($K$1,[1]character_type_i18n!$1:$1,0)+1),MATCH(L$1,[1]character_type_i18n!$1:$1,0)-MATCH($K$1,[1]character_type_i18n!$1:$1,0)+1,FALSE)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49" s="105" t="s">
        <v>313</v>
      </c>
      <c r="N749" s="107" t="str">
        <f>VLOOKUP(M749,[1]character_tribe_i18n!A:C,3,FALSE)</f>
        <v>アニマル</v>
      </c>
      <c r="O749" s="105" t="s">
        <v>278</v>
      </c>
      <c r="P749" s="107" t="str">
        <f>VLOOKUP(O749,[1]character_tribe_i18n!A:C,3,FALSE)</f>
        <v>種族なし</v>
      </c>
      <c r="Q749" s="110" t="s">
        <v>362</v>
      </c>
      <c r="R749" s="111">
        <v>3</v>
      </c>
      <c r="S749" s="108" t="s">
        <v>289</v>
      </c>
      <c r="T749" s="108" t="s">
        <v>288</v>
      </c>
      <c r="U749" s="108" t="s">
        <v>289</v>
      </c>
      <c r="V749" s="108" t="s">
        <v>289</v>
      </c>
      <c r="W749" s="108" t="s">
        <v>289</v>
      </c>
    </row>
    <row r="750" spans="1:23" ht="21" customHeight="1" x14ac:dyDescent="0.15">
      <c r="A750" s="104">
        <f t="shared" si="11"/>
        <v>749</v>
      </c>
      <c r="B750" s="105" t="s">
        <v>292</v>
      </c>
      <c r="C750" s="121" t="s">
        <v>2310</v>
      </c>
      <c r="D750" s="107" t="s">
        <v>2311</v>
      </c>
      <c r="E750" s="108" t="s">
        <v>848</v>
      </c>
      <c r="F750" s="108" t="s">
        <v>1422</v>
      </c>
      <c r="G750" s="108" t="s">
        <v>1587</v>
      </c>
      <c r="H750" s="131" t="s">
        <v>2236</v>
      </c>
      <c r="I750" s="140">
        <v>5</v>
      </c>
      <c r="J750" s="109" t="s">
        <v>805</v>
      </c>
      <c r="K750" s="105" t="s">
        <v>1887</v>
      </c>
      <c r="L750" s="107" t="str">
        <f ca="1">VLOOKUP($K750,OFFSET([1]character_type_i18n!$A$1,0,0,COUNTA([1]character_type_i18n!$A:$A),MATCH(L$1,[1]character_type_i18n!$1:$1,0)-MATCH($K$1,[1]character_type_i18n!$1:$1,0)+1),MATCH(L$1,[1]character_type_i18n!$1:$1,0)-MATCH($K$1,[1]character_type_i18n!$1:$1,0)+1,FALSE)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50" s="105" t="s">
        <v>313</v>
      </c>
      <c r="N750" s="107" t="str">
        <f>VLOOKUP(M750,[1]character_tribe_i18n!A:C,3,FALSE)</f>
        <v>アニマル</v>
      </c>
      <c r="O750" s="105" t="s">
        <v>278</v>
      </c>
      <c r="P750" s="107" t="str">
        <f>VLOOKUP(O750,[1]character_tribe_i18n!A:C,3,FALSE)</f>
        <v>種族なし</v>
      </c>
      <c r="Q750" s="110" t="s">
        <v>362</v>
      </c>
      <c r="R750" s="111">
        <v>3</v>
      </c>
      <c r="S750" s="108" t="s">
        <v>289</v>
      </c>
      <c r="T750" s="108" t="s">
        <v>288</v>
      </c>
      <c r="U750" s="108" t="s">
        <v>289</v>
      </c>
      <c r="V750" s="108" t="s">
        <v>289</v>
      </c>
      <c r="W750" s="108" t="s">
        <v>289</v>
      </c>
    </row>
    <row r="751" spans="1:23" ht="21" customHeight="1" x14ac:dyDescent="0.15">
      <c r="A751" s="104">
        <f t="shared" si="11"/>
        <v>750</v>
      </c>
      <c r="B751" s="105" t="s">
        <v>292</v>
      </c>
      <c r="C751" s="147" t="s">
        <v>2312</v>
      </c>
      <c r="D751" s="107" t="s">
        <v>2313</v>
      </c>
      <c r="E751" s="108" t="s">
        <v>848</v>
      </c>
      <c r="F751" s="108" t="s">
        <v>1422</v>
      </c>
      <c r="G751" s="108" t="s">
        <v>1587</v>
      </c>
      <c r="H751" s="131" t="s">
        <v>1890</v>
      </c>
      <c r="I751" s="117">
        <v>5</v>
      </c>
      <c r="J751" s="109" t="s">
        <v>1602</v>
      </c>
      <c r="K751" s="105" t="s">
        <v>2084</v>
      </c>
      <c r="L751" s="107" t="str">
        <f ca="1">VLOOKUP($K751,OFFSET([1]character_type_i18n!$A$1,0,0,COUNTA([1]character_type_i18n!$A:$A),MATCH(L$1,[1]character_type_i18n!$1:$1,0)-MATCH($K$1,[1]character_type_i18n!$1:$1,0)+1),MATCH(L$1,[1]character_type_i18n!$1:$1,0)-MATCH($K$1,[1]character_type_i18n!$1:$1,0)+1,FALSE)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51" s="105" t="s">
        <v>1987</v>
      </c>
      <c r="N751" s="107" t="str">
        <f>VLOOKUP(M751,[1]character_tribe_i18n!A:C,3,FALSE)</f>
        <v>アカデミア</v>
      </c>
      <c r="O751" s="105" t="s">
        <v>1164</v>
      </c>
      <c r="P751" s="107" t="str">
        <f>VLOOKUP(O751,[1]character_tribe_i18n!A:C,3,FALSE)</f>
        <v>Unknown</v>
      </c>
      <c r="Q751" s="110" t="s">
        <v>362</v>
      </c>
      <c r="R751" s="111">
        <v>3</v>
      </c>
      <c r="S751" s="108" t="s">
        <v>289</v>
      </c>
      <c r="T751" s="108" t="s">
        <v>288</v>
      </c>
      <c r="U751" s="108" t="s">
        <v>289</v>
      </c>
      <c r="V751" s="108" t="s">
        <v>289</v>
      </c>
      <c r="W751" s="108" t="s">
        <v>289</v>
      </c>
    </row>
    <row r="752" spans="1:23" ht="21" customHeight="1" x14ac:dyDescent="0.15">
      <c r="A752" s="104">
        <f t="shared" si="11"/>
        <v>751</v>
      </c>
      <c r="B752" s="105" t="s">
        <v>292</v>
      </c>
      <c r="C752" s="147" t="s">
        <v>2314</v>
      </c>
      <c r="D752" s="107" t="s">
        <v>2315</v>
      </c>
      <c r="E752" s="108" t="s">
        <v>848</v>
      </c>
      <c r="F752" s="108" t="s">
        <v>1422</v>
      </c>
      <c r="G752" s="108" t="s">
        <v>1587</v>
      </c>
      <c r="H752" s="131" t="s">
        <v>1890</v>
      </c>
      <c r="I752" s="117">
        <v>6</v>
      </c>
      <c r="J752" s="109" t="s">
        <v>1602</v>
      </c>
      <c r="K752" s="105" t="s">
        <v>2084</v>
      </c>
      <c r="L752" s="107" t="str">
        <f ca="1">VLOOKUP($K752,OFFSET([1]character_type_i18n!$A$1,0,0,COUNTA([1]character_type_i18n!$A:$A),MATCH(L$1,[1]character_type_i18n!$1:$1,0)-MATCH($K$1,[1]character_type_i18n!$1:$1,0)+1),MATCH(L$1,[1]character_type_i18n!$1:$1,0)-MATCH($K$1,[1]character_type_i18n!$1:$1,0)+1,FALSE)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52" s="105" t="s">
        <v>2316</v>
      </c>
      <c r="N752" s="107" t="str">
        <f>VLOOKUP(M752,[1]character_tribe_i18n!A:C,3,FALSE)</f>
        <v>アカデミア</v>
      </c>
      <c r="O752" s="105" t="s">
        <v>1164</v>
      </c>
      <c r="P752" s="107" t="str">
        <f>VLOOKUP(O752,[1]character_tribe_i18n!A:C,3,FALSE)</f>
        <v>Unknown</v>
      </c>
      <c r="Q752" s="110" t="s">
        <v>279</v>
      </c>
      <c r="R752" s="111">
        <v>3</v>
      </c>
      <c r="S752" s="108" t="s">
        <v>280</v>
      </c>
      <c r="T752" s="108" t="s">
        <v>281</v>
      </c>
      <c r="U752" s="108" t="s">
        <v>280</v>
      </c>
      <c r="V752" s="108" t="s">
        <v>280</v>
      </c>
      <c r="W752" s="108" t="s">
        <v>280</v>
      </c>
    </row>
    <row r="753" spans="1:23" ht="21" customHeight="1" x14ac:dyDescent="0.15">
      <c r="A753" s="104">
        <f t="shared" si="11"/>
        <v>752</v>
      </c>
      <c r="B753" s="105" t="s">
        <v>268</v>
      </c>
      <c r="C753" s="121" t="s">
        <v>2317</v>
      </c>
      <c r="D753" s="107" t="s">
        <v>2318</v>
      </c>
      <c r="E753" s="108" t="s">
        <v>709</v>
      </c>
      <c r="F753" s="108" t="s">
        <v>532</v>
      </c>
      <c r="G753" s="108" t="s">
        <v>710</v>
      </c>
      <c r="H753" s="131" t="s">
        <v>1141</v>
      </c>
      <c r="I753" s="140">
        <v>5</v>
      </c>
      <c r="J753" s="109" t="s">
        <v>1016</v>
      </c>
      <c r="K753" s="105" t="s">
        <v>1005</v>
      </c>
      <c r="L753" s="107" t="str">
        <f ca="1">VLOOKUP($K753,OFFSET([1]character_type_i18n!$A$1,0,0,COUNTA([1]character_type_i18n!$A:$A),MATCH(L$1,[1]character_type_i18n!$1:$1,0)-MATCH($K$1,[1]character_type_i18n!$1:$1,0)+1),MATCH(L$1,[1]character_type_i18n!$1:$1,0)-MATCH($K$1,[1]character_type_i18n!$1:$1,0)+1,FALSE)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53" s="148" t="s">
        <v>2319</v>
      </c>
      <c r="N753" s="107" t="str">
        <f>VLOOKUP(M753,[1]character_tribe_i18n!A:C,3,FALSE)</f>
        <v>ウェポン</v>
      </c>
      <c r="O753" s="105" t="s">
        <v>1596</v>
      </c>
      <c r="P753" s="107" t="str">
        <f>VLOOKUP(O753,[1]character_tribe_i18n!A:C,3,FALSE)</f>
        <v>種族なし</v>
      </c>
      <c r="Q753" s="110" t="s">
        <v>279</v>
      </c>
      <c r="R753" s="111">
        <v>3</v>
      </c>
      <c r="S753" s="108" t="s">
        <v>280</v>
      </c>
      <c r="T753" s="108" t="s">
        <v>281</v>
      </c>
      <c r="U753" s="108" t="s">
        <v>280</v>
      </c>
      <c r="V753" s="108" t="s">
        <v>280</v>
      </c>
      <c r="W753" s="108" t="s">
        <v>280</v>
      </c>
    </row>
    <row r="754" spans="1:23" ht="21" customHeight="1" x14ac:dyDescent="0.15">
      <c r="A754" s="104">
        <f t="shared" si="11"/>
        <v>753</v>
      </c>
      <c r="B754" s="105" t="s">
        <v>268</v>
      </c>
      <c r="C754" s="121" t="s">
        <v>2320</v>
      </c>
      <c r="D754" s="107" t="s">
        <v>2318</v>
      </c>
      <c r="E754" s="108" t="s">
        <v>709</v>
      </c>
      <c r="F754" s="108" t="s">
        <v>532</v>
      </c>
      <c r="G754" s="108" t="s">
        <v>710</v>
      </c>
      <c r="H754" s="131" t="s">
        <v>1141</v>
      </c>
      <c r="I754" s="140">
        <v>6</v>
      </c>
      <c r="J754" s="109" t="s">
        <v>1016</v>
      </c>
      <c r="K754" s="105" t="s">
        <v>1005</v>
      </c>
      <c r="L754" s="107" t="str">
        <f ca="1">VLOOKUP($K754,OFFSET([1]character_type_i18n!$A$1,0,0,COUNTA([1]character_type_i18n!$A:$A),MATCH(L$1,[1]character_type_i18n!$1:$1,0)-MATCH($K$1,[1]character_type_i18n!$1:$1,0)+1),MATCH(L$1,[1]character_type_i18n!$1:$1,0)-MATCH($K$1,[1]character_type_i18n!$1:$1,0)+1,FALSE)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54" s="148" t="s">
        <v>2321</v>
      </c>
      <c r="N754" s="107" t="str">
        <f>VLOOKUP(M754,[1]character_tribe_i18n!A:C,3,FALSE)</f>
        <v>ウェポン</v>
      </c>
      <c r="O754" s="105" t="s">
        <v>1596</v>
      </c>
      <c r="P754" s="107" t="str">
        <f>VLOOKUP(O754,[1]character_tribe_i18n!A:C,3,FALSE)</f>
        <v>種族なし</v>
      </c>
      <c r="Q754" s="110" t="s">
        <v>362</v>
      </c>
      <c r="R754" s="111">
        <v>3</v>
      </c>
      <c r="S754" s="108" t="s">
        <v>289</v>
      </c>
      <c r="T754" s="108" t="s">
        <v>288</v>
      </c>
      <c r="U754" s="108" t="s">
        <v>289</v>
      </c>
      <c r="V754" s="108" t="s">
        <v>289</v>
      </c>
      <c r="W754" s="108" t="s">
        <v>289</v>
      </c>
    </row>
    <row r="755" spans="1:23" ht="21" customHeight="1" x14ac:dyDescent="0.15">
      <c r="A755" s="104">
        <f t="shared" si="11"/>
        <v>754</v>
      </c>
      <c r="B755" s="105" t="s">
        <v>292</v>
      </c>
      <c r="C755" s="121" t="s">
        <v>2322</v>
      </c>
      <c r="D755" s="107" t="s">
        <v>2323</v>
      </c>
      <c r="E755" s="108" t="s">
        <v>848</v>
      </c>
      <c r="F755" s="108" t="s">
        <v>1422</v>
      </c>
      <c r="G755" s="108" t="s">
        <v>1587</v>
      </c>
      <c r="H755" s="131" t="s">
        <v>1890</v>
      </c>
      <c r="I755" s="140">
        <v>5</v>
      </c>
      <c r="J755" s="109" t="s">
        <v>2324</v>
      </c>
      <c r="K755" s="105" t="s">
        <v>2084</v>
      </c>
      <c r="L755" s="107" t="str">
        <f ca="1">VLOOKUP($K755,OFFSET([1]character_type_i18n!$A$1,0,0,COUNTA([1]character_type_i18n!$A:$A),MATCH(L$1,[1]character_type_i18n!$1:$1,0)-MATCH($K$1,[1]character_type_i18n!$1:$1,0)+1),MATCH(L$1,[1]character_type_i18n!$1:$1,0)-MATCH($K$1,[1]character_type_i18n!$1:$1,0)+1,FALSE)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55" s="148" t="s">
        <v>2319</v>
      </c>
      <c r="N755" s="107" t="str">
        <f>VLOOKUP(M755,[1]character_tribe_i18n!A:C,3,FALSE)</f>
        <v>ウェポン</v>
      </c>
      <c r="O755" s="105" t="s">
        <v>1423</v>
      </c>
      <c r="P755" s="107" t="str">
        <f>VLOOKUP(O755,[1]character_tribe_i18n!A:C,3,FALSE)</f>
        <v>種族なし</v>
      </c>
      <c r="Q755" s="110" t="s">
        <v>279</v>
      </c>
      <c r="R755" s="111">
        <v>3</v>
      </c>
      <c r="S755" s="108" t="s">
        <v>280</v>
      </c>
      <c r="T755" s="108" t="s">
        <v>281</v>
      </c>
      <c r="U755" s="108" t="s">
        <v>280</v>
      </c>
      <c r="V755" s="108" t="s">
        <v>280</v>
      </c>
      <c r="W755" s="108" t="s">
        <v>280</v>
      </c>
    </row>
    <row r="756" spans="1:23" ht="21" customHeight="1" x14ac:dyDescent="0.15">
      <c r="A756" s="104">
        <f t="shared" si="11"/>
        <v>755</v>
      </c>
      <c r="B756" s="105" t="s">
        <v>268</v>
      </c>
      <c r="C756" s="121" t="s">
        <v>2325</v>
      </c>
      <c r="D756" s="107" t="s">
        <v>2323</v>
      </c>
      <c r="E756" s="108" t="s">
        <v>709</v>
      </c>
      <c r="F756" s="108" t="s">
        <v>532</v>
      </c>
      <c r="G756" s="108" t="s">
        <v>710</v>
      </c>
      <c r="H756" s="131" t="s">
        <v>614</v>
      </c>
      <c r="I756" s="140">
        <v>6</v>
      </c>
      <c r="J756" s="109" t="s">
        <v>1016</v>
      </c>
      <c r="K756" s="105" t="s">
        <v>1008</v>
      </c>
      <c r="L756" s="107" t="str">
        <f ca="1">VLOOKUP($K756,OFFSET([1]character_type_i18n!$A$1,0,0,COUNTA([1]character_type_i18n!$A:$A),MATCH(L$1,[1]character_type_i18n!$1:$1,0)-MATCH($K$1,[1]character_type_i18n!$1:$1,0)+1),MATCH(L$1,[1]character_type_i18n!$1:$1,0)-MATCH($K$1,[1]character_type_i18n!$1:$1,0)+1,FALSE)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56" s="148" t="s">
        <v>2319</v>
      </c>
      <c r="N756" s="107" t="str">
        <f>VLOOKUP(M756,[1]character_tribe_i18n!A:C,3,FALSE)</f>
        <v>ウェポン</v>
      </c>
      <c r="O756" s="105" t="s">
        <v>1596</v>
      </c>
      <c r="P756" s="107" t="str">
        <f>VLOOKUP(O756,[1]character_tribe_i18n!A:C,3,FALSE)</f>
        <v>種族なし</v>
      </c>
      <c r="Q756" s="110" t="s">
        <v>279</v>
      </c>
      <c r="R756" s="111">
        <v>3</v>
      </c>
      <c r="S756" s="108" t="s">
        <v>280</v>
      </c>
      <c r="T756" s="108" t="s">
        <v>281</v>
      </c>
      <c r="U756" s="108" t="s">
        <v>280</v>
      </c>
      <c r="V756" s="108" t="s">
        <v>280</v>
      </c>
      <c r="W756" s="108" t="s">
        <v>280</v>
      </c>
    </row>
    <row r="757" spans="1:23" ht="21" customHeight="1" x14ac:dyDescent="0.15">
      <c r="A757" s="104">
        <f t="shared" si="11"/>
        <v>756</v>
      </c>
      <c r="B757" s="105" t="s">
        <v>268</v>
      </c>
      <c r="C757" s="121" t="s">
        <v>2326</v>
      </c>
      <c r="D757" s="107" t="s">
        <v>2323</v>
      </c>
      <c r="E757" s="108" t="s">
        <v>709</v>
      </c>
      <c r="F757" s="108" t="s">
        <v>532</v>
      </c>
      <c r="G757" s="108" t="s">
        <v>710</v>
      </c>
      <c r="H757" s="131" t="s">
        <v>768</v>
      </c>
      <c r="I757" s="140">
        <v>5</v>
      </c>
      <c r="J757" s="109" t="s">
        <v>1016</v>
      </c>
      <c r="K757" s="105" t="s">
        <v>1505</v>
      </c>
      <c r="L757" s="107" t="str">
        <f ca="1">VLOOKUP($K757,OFFSET([1]character_type_i18n!$A$1,0,0,COUNTA([1]character_type_i18n!$A:$A),MATCH(L$1,[1]character_type_i18n!$1:$1,0)-MATCH($K$1,[1]character_type_i18n!$1:$1,0)+1),MATCH(L$1,[1]character_type_i18n!$1:$1,0)-MATCH($K$1,[1]character_type_i18n!$1:$1,0)+1,FALSE)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57" s="148" t="s">
        <v>2321</v>
      </c>
      <c r="N757" s="107" t="str">
        <f>VLOOKUP(M757,[1]character_tribe_i18n!A:C,3,FALSE)</f>
        <v>ウェポン</v>
      </c>
      <c r="O757" s="105" t="s">
        <v>1423</v>
      </c>
      <c r="P757" s="107" t="str">
        <f>VLOOKUP(O757,[1]character_tribe_i18n!A:C,3,FALSE)</f>
        <v>種族なし</v>
      </c>
      <c r="Q757" s="110" t="s">
        <v>362</v>
      </c>
      <c r="R757" s="111">
        <v>3</v>
      </c>
      <c r="S757" s="108" t="s">
        <v>289</v>
      </c>
      <c r="T757" s="108" t="s">
        <v>288</v>
      </c>
      <c r="U757" s="108" t="s">
        <v>289</v>
      </c>
      <c r="V757" s="108" t="s">
        <v>289</v>
      </c>
      <c r="W757" s="108" t="s">
        <v>289</v>
      </c>
    </row>
    <row r="758" spans="1:23" ht="21" customHeight="1" x14ac:dyDescent="0.15">
      <c r="A758" s="104">
        <f>ROW()-1</f>
        <v>757</v>
      </c>
      <c r="B758" s="105" t="s">
        <v>292</v>
      </c>
      <c r="C758" s="121" t="s">
        <v>2327</v>
      </c>
      <c r="D758" s="107" t="s">
        <v>2323</v>
      </c>
      <c r="E758" s="108" t="s">
        <v>848</v>
      </c>
      <c r="F758" s="108" t="s">
        <v>1422</v>
      </c>
      <c r="G758" s="108" t="s">
        <v>1587</v>
      </c>
      <c r="H758" s="131" t="s">
        <v>1170</v>
      </c>
      <c r="I758" s="140">
        <v>6</v>
      </c>
      <c r="J758" s="109" t="s">
        <v>2324</v>
      </c>
      <c r="K758" s="105" t="s">
        <v>1171</v>
      </c>
      <c r="L758" s="107" t="str">
        <f ca="1">VLOOKUP($K758,OFFSET([1]character_type_i18n!$A$1,0,0,COUNTA([1]character_type_i18n!$A:$A),MATCH(L$1,[1]character_type_i18n!$1:$1,0)-MATCH($K$1,[1]character_type_i18n!$1:$1,0)+1),MATCH(L$1,[1]character_type_i18n!$1:$1,0)-MATCH($K$1,[1]character_type_i18n!$1:$1,0)+1,FALSE)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58" s="148" t="s">
        <v>2319</v>
      </c>
      <c r="N758" s="107" t="str">
        <f>VLOOKUP(M758,[1]character_tribe_i18n!A:C,3,FALSE)</f>
        <v>ウェポン</v>
      </c>
      <c r="O758" s="105" t="s">
        <v>1423</v>
      </c>
      <c r="P758" s="107" t="str">
        <f>VLOOKUP(O758,[1]character_tribe_i18n!A:C,3,FALSE)</f>
        <v>種族なし</v>
      </c>
      <c r="Q758" s="110" t="s">
        <v>279</v>
      </c>
      <c r="R758" s="111">
        <v>3</v>
      </c>
      <c r="S758" s="108" t="s">
        <v>280</v>
      </c>
      <c r="T758" s="108" t="s">
        <v>281</v>
      </c>
      <c r="U758" s="108" t="s">
        <v>280</v>
      </c>
      <c r="V758" s="108" t="s">
        <v>280</v>
      </c>
      <c r="W758" s="108" t="s">
        <v>280</v>
      </c>
    </row>
    <row r="759" spans="1:23" ht="21" customHeight="1" x14ac:dyDescent="0.15">
      <c r="A759" s="104">
        <f t="shared" si="11"/>
        <v>758</v>
      </c>
      <c r="B759" s="105" t="s">
        <v>268</v>
      </c>
      <c r="C759" s="121" t="s">
        <v>2328</v>
      </c>
      <c r="D759" s="107" t="s">
        <v>2323</v>
      </c>
      <c r="E759" s="108" t="s">
        <v>709</v>
      </c>
      <c r="F759" s="108" t="s">
        <v>532</v>
      </c>
      <c r="G759" s="108" t="s">
        <v>710</v>
      </c>
      <c r="H759" s="131" t="s">
        <v>551</v>
      </c>
      <c r="I759" s="140">
        <v>5</v>
      </c>
      <c r="J759" s="109" t="s">
        <v>1016</v>
      </c>
      <c r="K759" s="105" t="s">
        <v>1005</v>
      </c>
      <c r="L759" s="107" t="str">
        <f ca="1">VLOOKUP($K759,OFFSET([1]character_type_i18n!$A$1,0,0,COUNTA([1]character_type_i18n!$A:$A),MATCH(L$1,[1]character_type_i18n!$1:$1,0)-MATCH($K$1,[1]character_type_i18n!$1:$1,0)+1),MATCH(L$1,[1]character_type_i18n!$1:$1,0)-MATCH($K$1,[1]character_type_i18n!$1:$1,0)+1,FALSE)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59" s="148" t="s">
        <v>2319</v>
      </c>
      <c r="N759" s="107" t="str">
        <f>VLOOKUP(M759,[1]character_tribe_i18n!A:C,3,FALSE)</f>
        <v>ウェポン</v>
      </c>
      <c r="O759" s="105" t="s">
        <v>1596</v>
      </c>
      <c r="P759" s="107" t="str">
        <f>VLOOKUP(O759,[1]character_tribe_i18n!A:C,3,FALSE)</f>
        <v>種族なし</v>
      </c>
      <c r="Q759" s="110" t="s">
        <v>279</v>
      </c>
      <c r="R759" s="111">
        <v>1</v>
      </c>
      <c r="S759" s="108" t="s">
        <v>280</v>
      </c>
      <c r="T759" s="108" t="s">
        <v>281</v>
      </c>
      <c r="U759" s="108" t="s">
        <v>280</v>
      </c>
      <c r="V759" s="108" t="s">
        <v>280</v>
      </c>
      <c r="W759" s="108" t="s">
        <v>280</v>
      </c>
    </row>
    <row r="760" spans="1:23" ht="21" customHeight="1" x14ac:dyDescent="0.15">
      <c r="A760" s="104">
        <f t="shared" si="11"/>
        <v>759</v>
      </c>
      <c r="B760" s="105" t="s">
        <v>268</v>
      </c>
      <c r="C760" s="121" t="s">
        <v>2329</v>
      </c>
      <c r="D760" s="107" t="s">
        <v>2323</v>
      </c>
      <c r="E760" s="108" t="s">
        <v>709</v>
      </c>
      <c r="F760" s="108" t="s">
        <v>532</v>
      </c>
      <c r="G760" s="108" t="s">
        <v>710</v>
      </c>
      <c r="H760" s="131" t="s">
        <v>551</v>
      </c>
      <c r="I760" s="140">
        <v>6</v>
      </c>
      <c r="J760" s="109" t="s">
        <v>1016</v>
      </c>
      <c r="K760" s="105" t="s">
        <v>1005</v>
      </c>
      <c r="L760" s="107" t="str">
        <f ca="1">VLOOKUP($K760,OFFSET([1]character_type_i18n!$A$1,0,0,COUNTA([1]character_type_i18n!$A:$A),MATCH(L$1,[1]character_type_i18n!$1:$1,0)-MATCH($K$1,[1]character_type_i18n!$1:$1,0)+1),MATCH(L$1,[1]character_type_i18n!$1:$1,0)-MATCH($K$1,[1]character_type_i18n!$1:$1,0)+1,FALSE)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60" s="148" t="s">
        <v>2321</v>
      </c>
      <c r="N760" s="107" t="str">
        <f>VLOOKUP(M760,[1]character_tribe_i18n!A:C,3,FALSE)</f>
        <v>ウェポン</v>
      </c>
      <c r="O760" s="105" t="s">
        <v>1596</v>
      </c>
      <c r="P760" s="107" t="str">
        <f>VLOOKUP(O760,[1]character_tribe_i18n!A:C,3,FALSE)</f>
        <v>種族なし</v>
      </c>
      <c r="Q760" s="110" t="s">
        <v>362</v>
      </c>
      <c r="R760" s="111">
        <v>1</v>
      </c>
      <c r="S760" s="108" t="s">
        <v>289</v>
      </c>
      <c r="T760" s="108" t="s">
        <v>288</v>
      </c>
      <c r="U760" s="108" t="s">
        <v>289</v>
      </c>
      <c r="V760" s="108" t="s">
        <v>289</v>
      </c>
      <c r="W760" s="108" t="s">
        <v>289</v>
      </c>
    </row>
    <row r="761" spans="1:23" ht="21" customHeight="1" x14ac:dyDescent="0.15">
      <c r="A761" s="104">
        <f t="shared" si="11"/>
        <v>760</v>
      </c>
      <c r="B761" s="105" t="s">
        <v>292</v>
      </c>
      <c r="C761" s="121" t="s">
        <v>2330</v>
      </c>
      <c r="D761" s="144" t="s">
        <v>2331</v>
      </c>
      <c r="E761" s="108" t="s">
        <v>848</v>
      </c>
      <c r="F761" s="108" t="s">
        <v>1422</v>
      </c>
      <c r="G761" s="108" t="s">
        <v>1587</v>
      </c>
      <c r="H761" s="131" t="s">
        <v>2236</v>
      </c>
      <c r="I761" s="140">
        <v>5</v>
      </c>
      <c r="J761" s="109" t="s">
        <v>1602</v>
      </c>
      <c r="K761" s="105" t="s">
        <v>2084</v>
      </c>
      <c r="L761" s="107" t="str">
        <f ca="1">VLOOKUP($K761,OFFSET([1]character_type_i18n!$A$1,0,0,COUNTA([1]character_type_i18n!$A:$A),MATCH(L$1,[1]character_type_i18n!$1:$1,0)-MATCH($K$1,[1]character_type_i18n!$1:$1,0)+1),MATCH(L$1,[1]character_type_i18n!$1:$1,0)-MATCH($K$1,[1]character_type_i18n!$1:$1,0)+1,FALSE)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1" s="105" t="s">
        <v>1011</v>
      </c>
      <c r="N761" s="107" t="str">
        <f>VLOOKUP(M761,[1]character_tribe_i18n!A:C,3,FALSE)</f>
        <v>ヒューマン</v>
      </c>
      <c r="O761" s="105" t="s">
        <v>278</v>
      </c>
      <c r="P761" s="107" t="str">
        <f>VLOOKUP(O761,[1]character_tribe_i18n!A:C,3,FALSE)</f>
        <v>種族なし</v>
      </c>
      <c r="Q761" s="110" t="s">
        <v>362</v>
      </c>
      <c r="R761" s="111">
        <v>3</v>
      </c>
      <c r="S761" s="108" t="s">
        <v>289</v>
      </c>
      <c r="T761" s="108" t="s">
        <v>288</v>
      </c>
      <c r="U761" s="108" t="s">
        <v>289</v>
      </c>
      <c r="V761" s="108" t="s">
        <v>289</v>
      </c>
      <c r="W761" s="108" t="s">
        <v>289</v>
      </c>
    </row>
    <row r="762" spans="1:23" ht="21" customHeight="1" x14ac:dyDescent="0.15">
      <c r="A762" s="104">
        <f t="shared" si="11"/>
        <v>761</v>
      </c>
      <c r="B762" s="105" t="s">
        <v>292</v>
      </c>
      <c r="C762" s="121" t="s">
        <v>2332</v>
      </c>
      <c r="D762" s="144" t="s">
        <v>2331</v>
      </c>
      <c r="E762" s="108" t="s">
        <v>848</v>
      </c>
      <c r="F762" s="108" t="s">
        <v>1422</v>
      </c>
      <c r="G762" s="108" t="s">
        <v>1587</v>
      </c>
      <c r="H762" s="131" t="s">
        <v>2236</v>
      </c>
      <c r="I762" s="140">
        <v>6</v>
      </c>
      <c r="J762" s="109" t="s">
        <v>1602</v>
      </c>
      <c r="K762" s="105" t="s">
        <v>2084</v>
      </c>
      <c r="L762" s="107" t="str">
        <f ca="1">VLOOKUP($K762,OFFSET([1]character_type_i18n!$A$1,0,0,COUNTA([1]character_type_i18n!$A:$A),MATCH(L$1,[1]character_type_i18n!$1:$1,0)-MATCH($K$1,[1]character_type_i18n!$1:$1,0)+1),MATCH(L$1,[1]character_type_i18n!$1:$1,0)-MATCH($K$1,[1]character_type_i18n!$1:$1,0)+1,FALSE)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2" s="105" t="s">
        <v>1011</v>
      </c>
      <c r="N762" s="107" t="str">
        <f>VLOOKUP(M762,[1]character_tribe_i18n!A:C,3,FALSE)</f>
        <v>ヒューマン</v>
      </c>
      <c r="O762" s="105" t="s">
        <v>278</v>
      </c>
      <c r="P762" s="107" t="str">
        <f>VLOOKUP(O762,[1]character_tribe_i18n!A:C,3,FALSE)</f>
        <v>種族なし</v>
      </c>
      <c r="Q762" s="110" t="s">
        <v>362</v>
      </c>
      <c r="R762" s="111">
        <v>3</v>
      </c>
      <c r="S762" s="108" t="s">
        <v>289</v>
      </c>
      <c r="T762" s="108" t="s">
        <v>288</v>
      </c>
      <c r="U762" s="108" t="s">
        <v>289</v>
      </c>
      <c r="V762" s="108" t="s">
        <v>289</v>
      </c>
      <c r="W762" s="108" t="s">
        <v>289</v>
      </c>
    </row>
    <row r="763" spans="1:23" ht="21" customHeight="1" x14ac:dyDescent="0.15">
      <c r="A763" s="104">
        <f t="shared" si="11"/>
        <v>762</v>
      </c>
      <c r="B763" s="105" t="s">
        <v>292</v>
      </c>
      <c r="C763" s="121" t="s">
        <v>2333</v>
      </c>
      <c r="D763" s="107" t="s">
        <v>2334</v>
      </c>
      <c r="E763" s="108" t="s">
        <v>848</v>
      </c>
      <c r="F763" s="108" t="s">
        <v>1422</v>
      </c>
      <c r="G763" s="108" t="s">
        <v>1587</v>
      </c>
      <c r="H763" s="131" t="s">
        <v>1170</v>
      </c>
      <c r="I763" s="140">
        <v>5</v>
      </c>
      <c r="J763" s="109" t="s">
        <v>1602</v>
      </c>
      <c r="K763" s="105" t="s">
        <v>2084</v>
      </c>
      <c r="L763" s="107" t="str">
        <f ca="1">VLOOKUP($K763,OFFSET([1]character_type_i18n!$A$1,0,0,COUNTA([1]character_type_i18n!$A:$A),MATCH(L$1,[1]character_type_i18n!$1:$1,0)-MATCH($K$1,[1]character_type_i18n!$1:$1,0)+1),MATCH(L$1,[1]character_type_i18n!$1:$1,0)-MATCH($K$1,[1]character_type_i18n!$1:$1,0)+1,FALSE)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3" s="105" t="s">
        <v>1394</v>
      </c>
      <c r="N763" s="107" t="str">
        <f>VLOOKUP(M763,[1]character_tribe_i18n!A:C,3,FALSE)</f>
        <v>ヒューマン</v>
      </c>
      <c r="O763" s="105" t="s">
        <v>1017</v>
      </c>
      <c r="P763" s="107" t="str">
        <f>VLOOKUP(O763,[1]character_tribe_i18n!A:C,3,FALSE)</f>
        <v>マシン</v>
      </c>
      <c r="Q763" s="110" t="s">
        <v>279</v>
      </c>
      <c r="R763" s="111">
        <v>3</v>
      </c>
      <c r="S763" s="108" t="s">
        <v>280</v>
      </c>
      <c r="T763" s="108" t="s">
        <v>281</v>
      </c>
      <c r="U763" s="108" t="s">
        <v>280</v>
      </c>
      <c r="V763" s="108" t="s">
        <v>280</v>
      </c>
      <c r="W763" s="108" t="s">
        <v>280</v>
      </c>
    </row>
    <row r="764" spans="1:23" ht="21" customHeight="1" x14ac:dyDescent="0.15">
      <c r="A764" s="104">
        <f t="shared" si="11"/>
        <v>763</v>
      </c>
      <c r="B764" s="105" t="s">
        <v>268</v>
      </c>
      <c r="C764" s="121" t="s">
        <v>2335</v>
      </c>
      <c r="D764" s="107" t="s">
        <v>2336</v>
      </c>
      <c r="E764" s="108" t="s">
        <v>709</v>
      </c>
      <c r="F764" s="108" t="s">
        <v>532</v>
      </c>
      <c r="G764" s="108" t="s">
        <v>710</v>
      </c>
      <c r="H764" s="131" t="s">
        <v>768</v>
      </c>
      <c r="I764" s="140">
        <v>6</v>
      </c>
      <c r="J764" s="109" t="s">
        <v>1180</v>
      </c>
      <c r="K764" s="105" t="s">
        <v>1008</v>
      </c>
      <c r="L764" s="107" t="str">
        <f ca="1">VLOOKUP($K764,OFFSET([1]character_type_i18n!$A$1,0,0,COUNTA([1]character_type_i18n!$A:$A),MATCH(L$1,[1]character_type_i18n!$1:$1,0)-MATCH($K$1,[1]character_type_i18n!$1:$1,0)+1),MATCH(L$1,[1]character_type_i18n!$1:$1,0)-MATCH($K$1,[1]character_type_i18n!$1:$1,0)+1,FALSE)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4" s="105" t="s">
        <v>1394</v>
      </c>
      <c r="N764" s="107" t="str">
        <f>VLOOKUP(M764,[1]character_tribe_i18n!A:C,3,FALSE)</f>
        <v>ヒューマン</v>
      </c>
      <c r="O764" s="105" t="s">
        <v>1599</v>
      </c>
      <c r="P764" s="107" t="str">
        <f>VLOOKUP(O764,[1]character_tribe_i18n!A:C,3,FALSE)</f>
        <v>マシン</v>
      </c>
      <c r="Q764" s="110" t="s">
        <v>279</v>
      </c>
      <c r="R764" s="111">
        <v>3</v>
      </c>
      <c r="S764" s="108" t="s">
        <v>280</v>
      </c>
      <c r="T764" s="108" t="s">
        <v>281</v>
      </c>
      <c r="U764" s="108" t="s">
        <v>280</v>
      </c>
      <c r="V764" s="108" t="s">
        <v>280</v>
      </c>
      <c r="W764" s="108" t="s">
        <v>280</v>
      </c>
    </row>
    <row r="765" spans="1:23" ht="21" customHeight="1" x14ac:dyDescent="0.15">
      <c r="A765" s="104">
        <f t="shared" si="11"/>
        <v>764</v>
      </c>
      <c r="B765" s="105" t="s">
        <v>268</v>
      </c>
      <c r="C765" s="121" t="s">
        <v>2337</v>
      </c>
      <c r="D765" s="107" t="s">
        <v>2338</v>
      </c>
      <c r="E765" s="108" t="s">
        <v>709</v>
      </c>
      <c r="F765" s="108" t="s">
        <v>532</v>
      </c>
      <c r="G765" s="108" t="s">
        <v>1347</v>
      </c>
      <c r="H765" s="131" t="s">
        <v>2339</v>
      </c>
      <c r="I765" s="140">
        <v>4</v>
      </c>
      <c r="J765" s="109" t="s">
        <v>2050</v>
      </c>
      <c r="K765" s="105" t="s">
        <v>1780</v>
      </c>
      <c r="L765" s="107" t="str">
        <f ca="1">VLOOKUP($K765,OFFSET([1]character_type_i18n!$A$1,0,0,COUNTA([1]character_type_i18n!$A:$A),MATCH(L$1,[1]character_type_i18n!$1:$1,0)-MATCH($K$1,[1]character_type_i18n!$1:$1,0)+1),MATCH(L$1,[1]character_type_i18n!$1:$1,0)-MATCH($K$1,[1]character_type_i18n!$1:$1,0)+1,FALSE)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5" s="105" t="s">
        <v>313</v>
      </c>
      <c r="N765" s="107" t="str">
        <f>VLOOKUP(M765,[1]character_tribe_i18n!A:C,3,FALSE)</f>
        <v>アニマル</v>
      </c>
      <c r="O765" s="105" t="s">
        <v>278</v>
      </c>
      <c r="P765" s="107" t="str">
        <f>VLOOKUP(O765,[1]character_tribe_i18n!A:C,3,FALSE)</f>
        <v>種族なし</v>
      </c>
      <c r="Q765" s="110" t="s">
        <v>362</v>
      </c>
      <c r="R765" s="111">
        <v>3</v>
      </c>
      <c r="S765" s="108" t="s">
        <v>289</v>
      </c>
      <c r="T765" s="108" t="s">
        <v>288</v>
      </c>
      <c r="U765" s="108" t="s">
        <v>289</v>
      </c>
      <c r="V765" s="108" t="s">
        <v>289</v>
      </c>
      <c r="W765" s="108" t="s">
        <v>289</v>
      </c>
    </row>
    <row r="766" spans="1:23" ht="21" customHeight="1" x14ac:dyDescent="0.15">
      <c r="A766" s="104">
        <f t="shared" si="11"/>
        <v>765</v>
      </c>
      <c r="B766" s="105" t="s">
        <v>292</v>
      </c>
      <c r="C766" s="121" t="s">
        <v>2340</v>
      </c>
      <c r="D766" s="107" t="s">
        <v>2338</v>
      </c>
      <c r="E766" s="108" t="s">
        <v>848</v>
      </c>
      <c r="F766" s="108" t="s">
        <v>1422</v>
      </c>
      <c r="G766" s="108" t="s">
        <v>1347</v>
      </c>
      <c r="H766" s="131" t="s">
        <v>551</v>
      </c>
      <c r="I766" s="140">
        <v>5</v>
      </c>
      <c r="J766" s="109" t="s">
        <v>2050</v>
      </c>
      <c r="K766" s="105" t="s">
        <v>1780</v>
      </c>
      <c r="L766" s="107" t="str">
        <f ca="1">VLOOKUP($K766,OFFSET([1]character_type_i18n!$A$1,0,0,COUNTA([1]character_type_i18n!$A:$A),MATCH(L$1,[1]character_type_i18n!$1:$1,0)-MATCH($K$1,[1]character_type_i18n!$1:$1,0)+1),MATCH(L$1,[1]character_type_i18n!$1:$1,0)-MATCH($K$1,[1]character_type_i18n!$1:$1,0)+1,FALSE)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6" s="105" t="s">
        <v>313</v>
      </c>
      <c r="N766" s="107" t="str">
        <f>VLOOKUP(M766,[1]character_tribe_i18n!A:C,3,FALSE)</f>
        <v>アニマル</v>
      </c>
      <c r="O766" s="105" t="s">
        <v>278</v>
      </c>
      <c r="P766" s="107" t="str">
        <f>VLOOKUP(O766,[1]character_tribe_i18n!A:C,3,FALSE)</f>
        <v>種族なし</v>
      </c>
      <c r="Q766" s="110" t="s">
        <v>362</v>
      </c>
      <c r="R766" s="111">
        <v>3</v>
      </c>
      <c r="S766" s="108" t="s">
        <v>289</v>
      </c>
      <c r="T766" s="108" t="s">
        <v>288</v>
      </c>
      <c r="U766" s="108" t="s">
        <v>289</v>
      </c>
      <c r="V766" s="108" t="s">
        <v>289</v>
      </c>
      <c r="W766" s="108" t="s">
        <v>289</v>
      </c>
    </row>
    <row r="767" spans="1:23" ht="21" customHeight="1" x14ac:dyDescent="0.15">
      <c r="A767" s="104">
        <f t="shared" si="11"/>
        <v>766</v>
      </c>
      <c r="B767" s="105" t="s">
        <v>292</v>
      </c>
      <c r="C767" s="121" t="s">
        <v>2341</v>
      </c>
      <c r="D767" s="107" t="s">
        <v>2338</v>
      </c>
      <c r="E767" s="108" t="s">
        <v>848</v>
      </c>
      <c r="F767" s="108" t="s">
        <v>1422</v>
      </c>
      <c r="G767" s="108" t="s">
        <v>1347</v>
      </c>
      <c r="H767" s="131" t="s">
        <v>536</v>
      </c>
      <c r="I767" s="140">
        <v>4</v>
      </c>
      <c r="J767" s="109" t="s">
        <v>2342</v>
      </c>
      <c r="K767" s="105" t="s">
        <v>1453</v>
      </c>
      <c r="L767" s="107" t="str">
        <f ca="1">VLOOKUP($K767,OFFSET([1]character_type_i18n!$A$1,0,0,COUNTA([1]character_type_i18n!$A:$A),MATCH(L$1,[1]character_type_i18n!$1:$1,0)-MATCH($K$1,[1]character_type_i18n!$1:$1,0)+1),MATCH(L$1,[1]character_type_i18n!$1:$1,0)-MATCH($K$1,[1]character_type_i18n!$1:$1,0)+1,FALSE)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67" s="105" t="s">
        <v>1191</v>
      </c>
      <c r="N767" s="107" t="str">
        <f>VLOOKUP(M767,[1]character_tribe_i18n!A:C,3,FALSE)</f>
        <v>ドラゴン</v>
      </c>
      <c r="O767" s="105" t="s">
        <v>278</v>
      </c>
      <c r="P767" s="107" t="str">
        <f>VLOOKUP(O767,[1]character_tribe_i18n!A:C,3,FALSE)</f>
        <v>種族なし</v>
      </c>
      <c r="Q767" s="110" t="s">
        <v>279</v>
      </c>
      <c r="R767" s="111">
        <v>3</v>
      </c>
      <c r="S767" s="108" t="s">
        <v>280</v>
      </c>
      <c r="T767" s="108" t="s">
        <v>281</v>
      </c>
      <c r="U767" s="108" t="s">
        <v>280</v>
      </c>
      <c r="V767" s="108" t="s">
        <v>280</v>
      </c>
      <c r="W767" s="108" t="s">
        <v>280</v>
      </c>
    </row>
    <row r="768" spans="1:23" ht="21" customHeight="1" x14ac:dyDescent="0.15">
      <c r="A768" s="104">
        <f t="shared" si="11"/>
        <v>767</v>
      </c>
      <c r="B768" s="105" t="s">
        <v>268</v>
      </c>
      <c r="C768" s="121" t="s">
        <v>2343</v>
      </c>
      <c r="D768" s="107" t="s">
        <v>2338</v>
      </c>
      <c r="E768" s="108" t="s">
        <v>709</v>
      </c>
      <c r="F768" s="108" t="s">
        <v>532</v>
      </c>
      <c r="G768" s="108" t="s">
        <v>1347</v>
      </c>
      <c r="H768" s="131" t="s">
        <v>536</v>
      </c>
      <c r="I768" s="140">
        <v>5</v>
      </c>
      <c r="J768" s="109" t="s">
        <v>2050</v>
      </c>
      <c r="K768" s="105" t="s">
        <v>1453</v>
      </c>
      <c r="L768" s="107" t="str">
        <f ca="1">VLOOKUP($K768,OFFSET([1]character_type_i18n!$A$1,0,0,COUNTA([1]character_type_i18n!$A:$A),MATCH(L$1,[1]character_type_i18n!$1:$1,0)-MATCH($K$1,[1]character_type_i18n!$1:$1,0)+1),MATCH(L$1,[1]character_type_i18n!$1:$1,0)-MATCH($K$1,[1]character_type_i18n!$1:$1,0)+1,FALSE)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68" s="105" t="s">
        <v>1191</v>
      </c>
      <c r="N768" s="107" t="str">
        <f>VLOOKUP(M768,[1]character_tribe_i18n!A:C,3,FALSE)</f>
        <v>ドラゴン</v>
      </c>
      <c r="O768" s="105" t="s">
        <v>278</v>
      </c>
      <c r="P768" s="107" t="str">
        <f>VLOOKUP(O768,[1]character_tribe_i18n!A:C,3,FALSE)</f>
        <v>種族なし</v>
      </c>
      <c r="Q768" s="110" t="s">
        <v>279</v>
      </c>
      <c r="R768" s="111">
        <v>3</v>
      </c>
      <c r="S768" s="108" t="s">
        <v>280</v>
      </c>
      <c r="T768" s="108" t="s">
        <v>281</v>
      </c>
      <c r="U768" s="108" t="s">
        <v>280</v>
      </c>
      <c r="V768" s="108" t="s">
        <v>280</v>
      </c>
      <c r="W768" s="108" t="s">
        <v>280</v>
      </c>
    </row>
    <row r="769" spans="1:23" ht="21" customHeight="1" x14ac:dyDescent="0.15">
      <c r="A769" s="104">
        <f t="shared" si="11"/>
        <v>768</v>
      </c>
      <c r="B769" s="105" t="s">
        <v>268</v>
      </c>
      <c r="C769" s="121" t="s">
        <v>2344</v>
      </c>
      <c r="D769" s="107" t="s">
        <v>2338</v>
      </c>
      <c r="E769" s="108" t="s">
        <v>709</v>
      </c>
      <c r="F769" s="108" t="s">
        <v>532</v>
      </c>
      <c r="G769" s="108" t="s">
        <v>710</v>
      </c>
      <c r="H769" s="131" t="s">
        <v>614</v>
      </c>
      <c r="I769" s="140">
        <v>4</v>
      </c>
      <c r="J769" s="109" t="s">
        <v>1504</v>
      </c>
      <c r="K769" s="105" t="s">
        <v>1505</v>
      </c>
      <c r="L769" s="107" t="str">
        <f ca="1">VLOOKUP($K769,OFFSET([1]character_type_i18n!$A$1,0,0,COUNTA([1]character_type_i18n!$A:$A),MATCH(L$1,[1]character_type_i18n!$1:$1,0)-MATCH($K$1,[1]character_type_i18n!$1:$1,0)+1),MATCH(L$1,[1]character_type_i18n!$1:$1,0)-MATCH($K$1,[1]character_type_i18n!$1:$1,0)+1,FALSE)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69" s="105" t="s">
        <v>1011</v>
      </c>
      <c r="N769" s="107" t="str">
        <f>VLOOKUP(M769,[1]character_tribe_i18n!A:C,3,FALSE)</f>
        <v>ヒューマン</v>
      </c>
      <c r="O769" s="105" t="s">
        <v>278</v>
      </c>
      <c r="P769" s="107" t="str">
        <f>VLOOKUP(O769,[1]character_tribe_i18n!A:C,3,FALSE)</f>
        <v>種族なし</v>
      </c>
      <c r="Q769" s="110" t="s">
        <v>362</v>
      </c>
      <c r="R769" s="111">
        <v>3</v>
      </c>
      <c r="S769" s="108" t="s">
        <v>289</v>
      </c>
      <c r="T769" s="108" t="s">
        <v>288</v>
      </c>
      <c r="U769" s="108" t="s">
        <v>289</v>
      </c>
      <c r="V769" s="108" t="s">
        <v>289</v>
      </c>
      <c r="W769" s="108" t="s">
        <v>289</v>
      </c>
    </row>
    <row r="770" spans="1:23" ht="21" customHeight="1" x14ac:dyDescent="0.15">
      <c r="A770" s="104">
        <f t="shared" si="11"/>
        <v>769</v>
      </c>
      <c r="B770" s="105" t="s">
        <v>292</v>
      </c>
      <c r="C770" s="121" t="s">
        <v>2345</v>
      </c>
      <c r="D770" s="107" t="s">
        <v>2338</v>
      </c>
      <c r="E770" s="108" t="s">
        <v>848</v>
      </c>
      <c r="F770" s="108" t="s">
        <v>1422</v>
      </c>
      <c r="G770" s="108" t="s">
        <v>1587</v>
      </c>
      <c r="H770" s="131" t="s">
        <v>1890</v>
      </c>
      <c r="I770" s="140">
        <v>5</v>
      </c>
      <c r="J770" s="109" t="s">
        <v>1859</v>
      </c>
      <c r="K770" s="105" t="s">
        <v>1171</v>
      </c>
      <c r="L770" s="107" t="str">
        <f ca="1">VLOOKUP($K770,OFFSET([1]character_type_i18n!$A$1,0,0,COUNTA([1]character_type_i18n!$A:$A),MATCH(L$1,[1]character_type_i18n!$1:$1,0)-MATCH($K$1,[1]character_type_i18n!$1:$1,0)+1),MATCH(L$1,[1]character_type_i18n!$1:$1,0)-MATCH($K$1,[1]character_type_i18n!$1:$1,0)+1,FALSE)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70" s="105" t="s">
        <v>1394</v>
      </c>
      <c r="N770" s="107" t="str">
        <f>VLOOKUP(M770,[1]character_tribe_i18n!A:C,3,FALSE)</f>
        <v>ヒューマン</v>
      </c>
      <c r="O770" s="105" t="s">
        <v>278</v>
      </c>
      <c r="P770" s="107" t="str">
        <f>VLOOKUP(O770,[1]character_tribe_i18n!A:C,3,FALSE)</f>
        <v>種族なし</v>
      </c>
      <c r="Q770" s="110" t="s">
        <v>279</v>
      </c>
      <c r="R770" s="111">
        <v>3</v>
      </c>
      <c r="S770" s="108" t="s">
        <v>280</v>
      </c>
      <c r="T770" s="108" t="s">
        <v>281</v>
      </c>
      <c r="U770" s="108" t="s">
        <v>280</v>
      </c>
      <c r="V770" s="108" t="s">
        <v>280</v>
      </c>
      <c r="W770" s="108" t="s">
        <v>280</v>
      </c>
    </row>
    <row r="771" spans="1:23" ht="21" customHeight="1" x14ac:dyDescent="0.15">
      <c r="A771" s="104">
        <f t="shared" si="11"/>
        <v>770</v>
      </c>
      <c r="B771" s="105" t="s">
        <v>268</v>
      </c>
      <c r="C771" s="121" t="s">
        <v>2346</v>
      </c>
      <c r="D771" s="107" t="s">
        <v>2347</v>
      </c>
      <c r="E771" s="108" t="s">
        <v>709</v>
      </c>
      <c r="F771" s="108" t="s">
        <v>532</v>
      </c>
      <c r="G771" s="108" t="s">
        <v>853</v>
      </c>
      <c r="H771" s="131" t="s">
        <v>1185</v>
      </c>
      <c r="I771" s="140">
        <v>4</v>
      </c>
      <c r="J771" s="109" t="s">
        <v>2348</v>
      </c>
      <c r="K771" s="105" t="s">
        <v>1300</v>
      </c>
      <c r="L771" s="107" t="str">
        <f ca="1">VLOOKUP($K771,OFFSET([1]character_type_i18n!$A$1,0,0,COUNTA([1]character_type_i18n!$A:$A),MATCH(L$1,[1]character_type_i18n!$1:$1,0)-MATCH($K$1,[1]character_type_i18n!$1:$1,0)+1),MATCH(L$1,[1]character_type_i18n!$1:$1,0)-MATCH($K$1,[1]character_type_i18n!$1:$1,0)+1,FALSE)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71" s="105" t="s">
        <v>1208</v>
      </c>
      <c r="N771" s="107" t="str">
        <f>VLOOKUP(M771,[1]character_tribe_i18n!A:C,3,FALSE)</f>
        <v>アニマル</v>
      </c>
      <c r="O771" s="105" t="s">
        <v>278</v>
      </c>
      <c r="P771" s="107" t="str">
        <f>VLOOKUP(O771,[1]character_tribe_i18n!A:C,3,FALSE)</f>
        <v>種族なし</v>
      </c>
      <c r="Q771" s="110" t="s">
        <v>362</v>
      </c>
      <c r="R771" s="111">
        <v>3</v>
      </c>
      <c r="S771" s="108" t="s">
        <v>289</v>
      </c>
      <c r="T771" s="108" t="s">
        <v>288</v>
      </c>
      <c r="U771" s="108" t="s">
        <v>289</v>
      </c>
      <c r="V771" s="108" t="s">
        <v>289</v>
      </c>
      <c r="W771" s="108" t="s">
        <v>289</v>
      </c>
    </row>
    <row r="772" spans="1:23" ht="21" customHeight="1" x14ac:dyDescent="0.15">
      <c r="A772" s="104">
        <f t="shared" si="11"/>
        <v>771</v>
      </c>
      <c r="B772" s="105" t="s">
        <v>292</v>
      </c>
      <c r="C772" s="121" t="s">
        <v>2349</v>
      </c>
      <c r="D772" s="107" t="s">
        <v>2347</v>
      </c>
      <c r="E772" s="108" t="s">
        <v>709</v>
      </c>
      <c r="F772" s="108" t="s">
        <v>532</v>
      </c>
      <c r="G772" s="108" t="s">
        <v>853</v>
      </c>
      <c r="H772" s="131" t="s">
        <v>1185</v>
      </c>
      <c r="I772" s="140">
        <v>5</v>
      </c>
      <c r="J772" s="109" t="s">
        <v>1220</v>
      </c>
      <c r="K772" s="105" t="s">
        <v>1388</v>
      </c>
      <c r="L772" s="107" t="str">
        <f ca="1">VLOOKUP($K772,OFFSET([1]character_type_i18n!$A$1,0,0,COUNTA([1]character_type_i18n!$A:$A),MATCH(L$1,[1]character_type_i18n!$1:$1,0)-MATCH($K$1,[1]character_type_i18n!$1:$1,0)+1),MATCH(L$1,[1]character_type_i18n!$1:$1,0)-MATCH($K$1,[1]character_type_i18n!$1:$1,0)+1,FALSE)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72" s="105" t="s">
        <v>313</v>
      </c>
      <c r="N772" s="107" t="str">
        <f>VLOOKUP(M772,[1]character_tribe_i18n!A:C,3,FALSE)</f>
        <v>アニマル</v>
      </c>
      <c r="O772" s="105" t="s">
        <v>278</v>
      </c>
      <c r="P772" s="107" t="str">
        <f>VLOOKUP(O772,[1]character_tribe_i18n!A:C,3,FALSE)</f>
        <v>種族なし</v>
      </c>
      <c r="Q772" s="110" t="s">
        <v>279</v>
      </c>
      <c r="R772" s="111">
        <v>3</v>
      </c>
      <c r="S772" s="108" t="s">
        <v>280</v>
      </c>
      <c r="T772" s="108" t="s">
        <v>281</v>
      </c>
      <c r="U772" s="108" t="s">
        <v>280</v>
      </c>
      <c r="V772" s="108" t="s">
        <v>280</v>
      </c>
      <c r="W772" s="108" t="s">
        <v>280</v>
      </c>
    </row>
    <row r="773" spans="1:23" ht="21" customHeight="1" x14ac:dyDescent="0.15">
      <c r="A773" s="104">
        <f t="shared" ref="A773:A836" si="12">ROW()-1</f>
        <v>772</v>
      </c>
      <c r="B773" s="105" t="s">
        <v>268</v>
      </c>
      <c r="C773" s="121" t="s">
        <v>2350</v>
      </c>
      <c r="D773" s="107" t="s">
        <v>2347</v>
      </c>
      <c r="E773" s="108" t="s">
        <v>709</v>
      </c>
      <c r="F773" s="108" t="s">
        <v>532</v>
      </c>
      <c r="G773" s="108" t="s">
        <v>853</v>
      </c>
      <c r="H773" s="131" t="s">
        <v>1617</v>
      </c>
      <c r="I773" s="140">
        <v>4</v>
      </c>
      <c r="J773" s="109" t="s">
        <v>2351</v>
      </c>
      <c r="K773" s="105" t="s">
        <v>2352</v>
      </c>
      <c r="L773" s="107" t="str">
        <f ca="1">VLOOKUP($K773,OFFSET([1]character_type_i18n!$A$1,0,0,COUNTA([1]character_type_i18n!$A:$A),MATCH(L$1,[1]character_type_i18n!$1:$1,0)-MATCH($K$1,[1]character_type_i18n!$1:$1,0)+1),MATCH(L$1,[1]character_type_i18n!$1:$1,0)-MATCH($K$1,[1]character_type_i18n!$1:$1,0)+1,FALSE)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73" s="105" t="s">
        <v>2353</v>
      </c>
      <c r="N773" s="107" t="str">
        <f>VLOOKUP(M773,[1]character_tribe_i18n!A:C,3,FALSE)</f>
        <v>アニマル</v>
      </c>
      <c r="O773" s="105" t="s">
        <v>278</v>
      </c>
      <c r="P773" s="107" t="str">
        <f>VLOOKUP(O773,[1]character_tribe_i18n!A:C,3,FALSE)</f>
        <v>種族なし</v>
      </c>
      <c r="Q773" s="110" t="s">
        <v>1349</v>
      </c>
      <c r="R773" s="111">
        <v>3</v>
      </c>
      <c r="S773" s="108" t="s">
        <v>1350</v>
      </c>
      <c r="T773" s="108" t="s">
        <v>1351</v>
      </c>
      <c r="U773" s="108" t="s">
        <v>1350</v>
      </c>
      <c r="V773" s="108" t="s">
        <v>1350</v>
      </c>
      <c r="W773" s="108" t="s">
        <v>1350</v>
      </c>
    </row>
    <row r="774" spans="1:23" ht="21" customHeight="1" x14ac:dyDescent="0.15">
      <c r="A774" s="104">
        <f t="shared" si="12"/>
        <v>773</v>
      </c>
      <c r="B774" s="105" t="s">
        <v>1352</v>
      </c>
      <c r="C774" s="121" t="s">
        <v>2354</v>
      </c>
      <c r="D774" s="107" t="s">
        <v>2347</v>
      </c>
      <c r="E774" s="108" t="s">
        <v>1614</v>
      </c>
      <c r="F774" s="108" t="s">
        <v>1615</v>
      </c>
      <c r="G774" s="108" t="s">
        <v>853</v>
      </c>
      <c r="H774" s="131" t="s">
        <v>1617</v>
      </c>
      <c r="I774" s="140">
        <v>5</v>
      </c>
      <c r="J774" s="109" t="s">
        <v>1220</v>
      </c>
      <c r="K774" s="105" t="s">
        <v>1388</v>
      </c>
      <c r="L774" s="107" t="str">
        <f ca="1">VLOOKUP($K774,OFFSET([1]character_type_i18n!$A$1,0,0,COUNTA([1]character_type_i18n!$A:$A),MATCH(L$1,[1]character_type_i18n!$1:$1,0)-MATCH($K$1,[1]character_type_i18n!$1:$1,0)+1),MATCH(L$1,[1]character_type_i18n!$1:$1,0)-MATCH($K$1,[1]character_type_i18n!$1:$1,0)+1,FALSE)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74" s="105" t="s">
        <v>313</v>
      </c>
      <c r="N774" s="107" t="str">
        <f>VLOOKUP(M774,[1]character_tribe_i18n!A:C,3,FALSE)</f>
        <v>アニマル</v>
      </c>
      <c r="O774" s="105" t="s">
        <v>278</v>
      </c>
      <c r="P774" s="107" t="str">
        <f>VLOOKUP(O774,[1]character_tribe_i18n!A:C,3,FALSE)</f>
        <v>種族なし</v>
      </c>
      <c r="Q774" s="110" t="s">
        <v>279</v>
      </c>
      <c r="R774" s="111">
        <v>3</v>
      </c>
      <c r="S774" s="108" t="s">
        <v>280</v>
      </c>
      <c r="T774" s="108" t="s">
        <v>281</v>
      </c>
      <c r="U774" s="108" t="s">
        <v>280</v>
      </c>
      <c r="V774" s="108" t="s">
        <v>280</v>
      </c>
      <c r="W774" s="108" t="s">
        <v>280</v>
      </c>
    </row>
    <row r="775" spans="1:23" ht="21" customHeight="1" x14ac:dyDescent="0.15">
      <c r="A775" s="104">
        <f t="shared" si="12"/>
        <v>774</v>
      </c>
      <c r="B775" s="105" t="s">
        <v>268</v>
      </c>
      <c r="C775" s="121" t="s">
        <v>2355</v>
      </c>
      <c r="D775" s="107" t="s">
        <v>2347</v>
      </c>
      <c r="E775" s="108" t="s">
        <v>709</v>
      </c>
      <c r="F775" s="108" t="s">
        <v>532</v>
      </c>
      <c r="G775" s="108" t="s">
        <v>1347</v>
      </c>
      <c r="H775" s="131" t="s">
        <v>618</v>
      </c>
      <c r="I775" s="140">
        <v>3</v>
      </c>
      <c r="J775" s="109" t="s">
        <v>2088</v>
      </c>
      <c r="K775" s="105" t="s">
        <v>1348</v>
      </c>
      <c r="L775" s="107" t="str">
        <f ca="1">VLOOKUP($K775,OFFSET([1]character_type_i18n!$A$1,0,0,COUNTA([1]character_type_i18n!$A:$A),MATCH(L$1,[1]character_type_i18n!$1:$1,0)-MATCH($K$1,[1]character_type_i18n!$1:$1,0)+1),MATCH(L$1,[1]character_type_i18n!$1:$1,0)-MATCH($K$1,[1]character_type_i18n!$1:$1,0)+1,FALSE)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75" s="105" t="s">
        <v>1913</v>
      </c>
      <c r="N775" s="107" t="str">
        <f>VLOOKUP(M775,[1]character_tribe_i18n!A:C,3,FALSE)</f>
        <v>ドラゴン</v>
      </c>
      <c r="O775" s="105" t="s">
        <v>278</v>
      </c>
      <c r="P775" s="107" t="str">
        <f>VLOOKUP(O775,[1]character_tribe_i18n!A:C,3,FALSE)</f>
        <v>種族なし</v>
      </c>
      <c r="Q775" s="110" t="s">
        <v>279</v>
      </c>
      <c r="R775" s="111">
        <v>3</v>
      </c>
      <c r="S775" s="108" t="s">
        <v>280</v>
      </c>
      <c r="T775" s="108" t="s">
        <v>281</v>
      </c>
      <c r="U775" s="108" t="s">
        <v>280</v>
      </c>
      <c r="V775" s="108" t="s">
        <v>280</v>
      </c>
      <c r="W775" s="108" t="s">
        <v>280</v>
      </c>
    </row>
    <row r="776" spans="1:23" ht="21" customHeight="1" x14ac:dyDescent="0.15">
      <c r="A776" s="104">
        <f t="shared" si="12"/>
        <v>775</v>
      </c>
      <c r="B776" s="105" t="s">
        <v>268</v>
      </c>
      <c r="C776" s="121" t="s">
        <v>2356</v>
      </c>
      <c r="D776" s="107" t="s">
        <v>2347</v>
      </c>
      <c r="E776" s="108" t="s">
        <v>709</v>
      </c>
      <c r="F776" s="108" t="s">
        <v>532</v>
      </c>
      <c r="G776" s="108" t="s">
        <v>1347</v>
      </c>
      <c r="H776" s="131" t="s">
        <v>618</v>
      </c>
      <c r="I776" s="140">
        <v>4</v>
      </c>
      <c r="J776" s="109" t="s">
        <v>2088</v>
      </c>
      <c r="K776" s="105" t="s">
        <v>1348</v>
      </c>
      <c r="L776" s="107" t="str">
        <f ca="1">VLOOKUP($K776,OFFSET([1]character_type_i18n!$A$1,0,0,COUNTA([1]character_type_i18n!$A:$A),MATCH(L$1,[1]character_type_i18n!$1:$1,0)-MATCH($K$1,[1]character_type_i18n!$1:$1,0)+1),MATCH(L$1,[1]character_type_i18n!$1:$1,0)-MATCH($K$1,[1]character_type_i18n!$1:$1,0)+1,FALSE)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76" s="105" t="s">
        <v>854</v>
      </c>
      <c r="N776" s="107" t="str">
        <f>VLOOKUP(M776,[1]character_tribe_i18n!A:C,3,FALSE)</f>
        <v>ドラゴン</v>
      </c>
      <c r="O776" s="105" t="s">
        <v>1423</v>
      </c>
      <c r="P776" s="107" t="str">
        <f>VLOOKUP(O776,[1]character_tribe_i18n!A:C,3,FALSE)</f>
        <v>種族なし</v>
      </c>
      <c r="Q776" s="110" t="s">
        <v>279</v>
      </c>
      <c r="R776" s="111">
        <v>3</v>
      </c>
      <c r="S776" s="108" t="s">
        <v>280</v>
      </c>
      <c r="T776" s="108" t="s">
        <v>281</v>
      </c>
      <c r="U776" s="108" t="s">
        <v>280</v>
      </c>
      <c r="V776" s="108" t="s">
        <v>280</v>
      </c>
      <c r="W776" s="108" t="s">
        <v>280</v>
      </c>
    </row>
    <row r="777" spans="1:23" ht="21" customHeight="1" x14ac:dyDescent="0.15">
      <c r="A777" s="104">
        <f t="shared" si="12"/>
        <v>776</v>
      </c>
      <c r="B777" s="105" t="s">
        <v>268</v>
      </c>
      <c r="C777" s="121" t="s">
        <v>2357</v>
      </c>
      <c r="D777" s="107" t="s">
        <v>2347</v>
      </c>
      <c r="E777" s="108" t="s">
        <v>709</v>
      </c>
      <c r="F777" s="108" t="s">
        <v>532</v>
      </c>
      <c r="G777" s="108" t="s">
        <v>1347</v>
      </c>
      <c r="H777" s="131" t="s">
        <v>618</v>
      </c>
      <c r="I777" s="140">
        <v>5</v>
      </c>
      <c r="J777" s="109" t="s">
        <v>2088</v>
      </c>
      <c r="K777" s="105" t="s">
        <v>1348</v>
      </c>
      <c r="L777" s="107" t="str">
        <f ca="1">VLOOKUP($K777,OFFSET([1]character_type_i18n!$A$1,0,0,COUNTA([1]character_type_i18n!$A:$A),MATCH(L$1,[1]character_type_i18n!$1:$1,0)-MATCH($K$1,[1]character_type_i18n!$1:$1,0)+1),MATCH(L$1,[1]character_type_i18n!$1:$1,0)-MATCH($K$1,[1]character_type_i18n!$1:$1,0)+1,FALSE)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77" s="105" t="s">
        <v>854</v>
      </c>
      <c r="N777" s="107" t="str">
        <f>VLOOKUP(M777,[1]character_tribe_i18n!A:C,3,FALSE)</f>
        <v>ドラゴン</v>
      </c>
      <c r="O777" s="105" t="s">
        <v>1423</v>
      </c>
      <c r="P777" s="107" t="str">
        <f>VLOOKUP(O777,[1]character_tribe_i18n!A:C,3,FALSE)</f>
        <v>種族なし</v>
      </c>
      <c r="Q777" s="110" t="s">
        <v>279</v>
      </c>
      <c r="R777" s="111">
        <v>3</v>
      </c>
      <c r="S777" s="108" t="s">
        <v>280</v>
      </c>
      <c r="T777" s="108" t="s">
        <v>281</v>
      </c>
      <c r="U777" s="108" t="s">
        <v>280</v>
      </c>
      <c r="V777" s="108" t="s">
        <v>280</v>
      </c>
      <c r="W777" s="108" t="s">
        <v>280</v>
      </c>
    </row>
    <row r="778" spans="1:23" ht="21" customHeight="1" x14ac:dyDescent="0.15">
      <c r="A778" s="104">
        <f t="shared" si="12"/>
        <v>777</v>
      </c>
      <c r="B778" s="105" t="s">
        <v>268</v>
      </c>
      <c r="C778" s="121" t="s">
        <v>2358</v>
      </c>
      <c r="D778" s="107" t="s">
        <v>2347</v>
      </c>
      <c r="E778" s="108" t="s">
        <v>709</v>
      </c>
      <c r="F778" s="108" t="s">
        <v>532</v>
      </c>
      <c r="G778" s="108" t="s">
        <v>1347</v>
      </c>
      <c r="H778" s="131" t="s">
        <v>1106</v>
      </c>
      <c r="I778" s="140">
        <v>3</v>
      </c>
      <c r="J778" s="109" t="s">
        <v>2088</v>
      </c>
      <c r="K778" s="105" t="s">
        <v>1453</v>
      </c>
      <c r="L778" s="107" t="str">
        <f ca="1">VLOOKUP($K778,OFFSET([1]character_type_i18n!$A$1,0,0,COUNTA([1]character_type_i18n!$A:$A),MATCH(L$1,[1]character_type_i18n!$1:$1,0)-MATCH($K$1,[1]character_type_i18n!$1:$1,0)+1),MATCH(L$1,[1]character_type_i18n!$1:$1,0)-MATCH($K$1,[1]character_type_i18n!$1:$1,0)+1,FALSE)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78" s="105" t="s">
        <v>313</v>
      </c>
      <c r="N778" s="107" t="str">
        <f>VLOOKUP(M778,[1]character_tribe_i18n!A:C,3,FALSE)</f>
        <v>アニマル</v>
      </c>
      <c r="O778" s="105" t="s">
        <v>278</v>
      </c>
      <c r="P778" s="107" t="str">
        <f>VLOOKUP(O778,[1]character_tribe_i18n!A:C,3,FALSE)</f>
        <v>種族なし</v>
      </c>
      <c r="Q778" s="110" t="s">
        <v>279</v>
      </c>
      <c r="R778" s="111">
        <v>3</v>
      </c>
      <c r="S778" s="108" t="s">
        <v>280</v>
      </c>
      <c r="T778" s="108" t="s">
        <v>281</v>
      </c>
      <c r="U778" s="108" t="s">
        <v>280</v>
      </c>
      <c r="V778" s="108" t="s">
        <v>280</v>
      </c>
      <c r="W778" s="108" t="s">
        <v>280</v>
      </c>
    </row>
    <row r="779" spans="1:23" ht="21" customHeight="1" x14ac:dyDescent="0.15">
      <c r="A779" s="104">
        <f t="shared" si="12"/>
        <v>778</v>
      </c>
      <c r="B779" s="105" t="s">
        <v>268</v>
      </c>
      <c r="C779" s="121" t="s">
        <v>2359</v>
      </c>
      <c r="D779" s="107" t="s">
        <v>2347</v>
      </c>
      <c r="E779" s="108" t="s">
        <v>709</v>
      </c>
      <c r="F779" s="108" t="s">
        <v>532</v>
      </c>
      <c r="G779" s="108" t="s">
        <v>1347</v>
      </c>
      <c r="H779" s="131" t="s">
        <v>1106</v>
      </c>
      <c r="I779" s="140">
        <v>4</v>
      </c>
      <c r="J779" s="109" t="s">
        <v>2088</v>
      </c>
      <c r="K779" s="105" t="s">
        <v>1453</v>
      </c>
      <c r="L779" s="107" t="str">
        <f ca="1">VLOOKUP($K779,OFFSET([1]character_type_i18n!$A$1,0,0,COUNTA([1]character_type_i18n!$A:$A),MATCH(L$1,[1]character_type_i18n!$1:$1,0)-MATCH($K$1,[1]character_type_i18n!$1:$1,0)+1),MATCH(L$1,[1]character_type_i18n!$1:$1,0)-MATCH($K$1,[1]character_type_i18n!$1:$1,0)+1,FALSE)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79" s="105" t="s">
        <v>313</v>
      </c>
      <c r="N779" s="107" t="str">
        <f>VLOOKUP(M779,[1]character_tribe_i18n!A:C,3,FALSE)</f>
        <v>アニマル</v>
      </c>
      <c r="O779" s="105" t="s">
        <v>278</v>
      </c>
      <c r="P779" s="107" t="str">
        <f>VLOOKUP(O779,[1]character_tribe_i18n!A:C,3,FALSE)</f>
        <v>種族なし</v>
      </c>
      <c r="Q779" s="110" t="s">
        <v>279</v>
      </c>
      <c r="R779" s="111">
        <v>3</v>
      </c>
      <c r="S779" s="108" t="s">
        <v>280</v>
      </c>
      <c r="T779" s="108" t="s">
        <v>281</v>
      </c>
      <c r="U779" s="108" t="s">
        <v>280</v>
      </c>
      <c r="V779" s="108" t="s">
        <v>280</v>
      </c>
      <c r="W779" s="108" t="s">
        <v>280</v>
      </c>
    </row>
    <row r="780" spans="1:23" ht="21" customHeight="1" x14ac:dyDescent="0.15">
      <c r="A780" s="104">
        <f t="shared" si="12"/>
        <v>779</v>
      </c>
      <c r="B780" s="105" t="s">
        <v>268</v>
      </c>
      <c r="C780" s="121" t="s">
        <v>2360</v>
      </c>
      <c r="D780" s="107" t="s">
        <v>2347</v>
      </c>
      <c r="E780" s="108" t="s">
        <v>709</v>
      </c>
      <c r="F780" s="108" t="s">
        <v>532</v>
      </c>
      <c r="G780" s="108" t="s">
        <v>1347</v>
      </c>
      <c r="H780" s="131" t="s">
        <v>1106</v>
      </c>
      <c r="I780" s="140">
        <v>5</v>
      </c>
      <c r="J780" s="109" t="s">
        <v>805</v>
      </c>
      <c r="K780" s="105" t="s">
        <v>1453</v>
      </c>
      <c r="L780" s="107" t="str">
        <f ca="1">VLOOKUP($K780,OFFSET([1]character_type_i18n!$A$1,0,0,COUNTA([1]character_type_i18n!$A:$A),MATCH(L$1,[1]character_type_i18n!$1:$1,0)-MATCH($K$1,[1]character_type_i18n!$1:$1,0)+1),MATCH(L$1,[1]character_type_i18n!$1:$1,0)-MATCH($K$1,[1]character_type_i18n!$1:$1,0)+1,FALSE)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80" s="105" t="s">
        <v>313</v>
      </c>
      <c r="N780" s="107" t="str">
        <f>VLOOKUP(M780,[1]character_tribe_i18n!A:C,3,FALSE)</f>
        <v>アニマル</v>
      </c>
      <c r="O780" s="105" t="s">
        <v>278</v>
      </c>
      <c r="P780" s="107" t="str">
        <f>VLOOKUP(O780,[1]character_tribe_i18n!A:C,3,FALSE)</f>
        <v>種族なし</v>
      </c>
      <c r="Q780" s="110" t="s">
        <v>279</v>
      </c>
      <c r="R780" s="111">
        <v>3</v>
      </c>
      <c r="S780" s="108" t="s">
        <v>280</v>
      </c>
      <c r="T780" s="108" t="s">
        <v>281</v>
      </c>
      <c r="U780" s="108" t="s">
        <v>280</v>
      </c>
      <c r="V780" s="108" t="s">
        <v>280</v>
      </c>
      <c r="W780" s="108" t="s">
        <v>280</v>
      </c>
    </row>
    <row r="781" spans="1:23" ht="21" customHeight="1" x14ac:dyDescent="0.15">
      <c r="A781" s="104">
        <f t="shared" si="12"/>
        <v>780</v>
      </c>
      <c r="B781" s="105" t="s">
        <v>268</v>
      </c>
      <c r="C781" s="121" t="s">
        <v>2361</v>
      </c>
      <c r="D781" s="107" t="s">
        <v>2362</v>
      </c>
      <c r="E781" s="108" t="s">
        <v>709</v>
      </c>
      <c r="F781" s="108" t="s">
        <v>532</v>
      </c>
      <c r="G781" s="108" t="s">
        <v>710</v>
      </c>
      <c r="H781" s="131" t="s">
        <v>551</v>
      </c>
      <c r="I781" s="140">
        <v>5</v>
      </c>
      <c r="J781" s="109" t="s">
        <v>1504</v>
      </c>
      <c r="K781" s="105" t="s">
        <v>1505</v>
      </c>
      <c r="L781" s="107" t="str">
        <f ca="1">VLOOKUP($K781,OFFSET([1]character_type_i18n!$A$1,0,0,COUNTA([1]character_type_i18n!$A:$A),MATCH(L$1,[1]character_type_i18n!$1:$1,0)-MATCH($K$1,[1]character_type_i18n!$1:$1,0)+1),MATCH(L$1,[1]character_type_i18n!$1:$1,0)-MATCH($K$1,[1]character_type_i18n!$1:$1,0)+1,FALSE)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81" s="105" t="s">
        <v>1164</v>
      </c>
      <c r="N781" s="107" t="str">
        <f>VLOOKUP(M781,[1]character_tribe_i18n!A:C,3,FALSE)</f>
        <v>Unknown</v>
      </c>
      <c r="O781" s="105" t="s">
        <v>278</v>
      </c>
      <c r="P781" s="107" t="str">
        <f>VLOOKUP(O781,[1]character_tribe_i18n!A:C,3,FALSE)</f>
        <v>種族なし</v>
      </c>
      <c r="Q781" s="110" t="s">
        <v>279</v>
      </c>
      <c r="R781" s="111">
        <v>3</v>
      </c>
      <c r="S781" s="108" t="s">
        <v>280</v>
      </c>
      <c r="T781" s="108" t="s">
        <v>281</v>
      </c>
      <c r="U781" s="108" t="s">
        <v>280</v>
      </c>
      <c r="V781" s="108" t="s">
        <v>280</v>
      </c>
      <c r="W781" s="108" t="s">
        <v>280</v>
      </c>
    </row>
    <row r="782" spans="1:23" ht="21" customHeight="1" x14ac:dyDescent="0.15">
      <c r="A782" s="104">
        <f t="shared" si="12"/>
        <v>781</v>
      </c>
      <c r="B782" s="105" t="s">
        <v>268</v>
      </c>
      <c r="C782" s="121" t="s">
        <v>2363</v>
      </c>
      <c r="D782" s="107" t="s">
        <v>2364</v>
      </c>
      <c r="E782" s="108" t="s">
        <v>709</v>
      </c>
      <c r="F782" s="108" t="s">
        <v>532</v>
      </c>
      <c r="G782" s="108" t="s">
        <v>710</v>
      </c>
      <c r="H782" s="131" t="s">
        <v>551</v>
      </c>
      <c r="I782" s="140">
        <v>6</v>
      </c>
      <c r="J782" s="109" t="s">
        <v>1504</v>
      </c>
      <c r="K782" s="105" t="s">
        <v>1505</v>
      </c>
      <c r="L782" s="107" t="str">
        <f ca="1">VLOOKUP($K782,OFFSET([1]character_type_i18n!$A$1,0,0,COUNTA([1]character_type_i18n!$A:$A),MATCH(L$1,[1]character_type_i18n!$1:$1,0)-MATCH($K$1,[1]character_type_i18n!$1:$1,0)+1),MATCH(L$1,[1]character_type_i18n!$1:$1,0)-MATCH($K$1,[1]character_type_i18n!$1:$1,0)+1,FALSE)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82" s="105" t="s">
        <v>1164</v>
      </c>
      <c r="N782" s="107" t="str">
        <f>VLOOKUP(M782,[1]character_tribe_i18n!A:C,3,FALSE)</f>
        <v>Unknown</v>
      </c>
      <c r="O782" s="105" t="s">
        <v>278</v>
      </c>
      <c r="P782" s="107" t="str">
        <f>VLOOKUP(O782,[1]character_tribe_i18n!A:C,3,FALSE)</f>
        <v>種族なし</v>
      </c>
      <c r="Q782" s="110" t="s">
        <v>279</v>
      </c>
      <c r="R782" s="111">
        <v>3</v>
      </c>
      <c r="S782" s="108" t="s">
        <v>280</v>
      </c>
      <c r="T782" s="108" t="s">
        <v>281</v>
      </c>
      <c r="U782" s="108" t="s">
        <v>280</v>
      </c>
      <c r="V782" s="108" t="s">
        <v>280</v>
      </c>
      <c r="W782" s="108" t="s">
        <v>280</v>
      </c>
    </row>
    <row r="783" spans="1:23" ht="21" customHeight="1" x14ac:dyDescent="0.15">
      <c r="A783" s="104">
        <f t="shared" si="12"/>
        <v>782</v>
      </c>
      <c r="B783" s="105" t="s">
        <v>268</v>
      </c>
      <c r="C783" s="121" t="s">
        <v>2365</v>
      </c>
      <c r="D783" s="107" t="s">
        <v>2366</v>
      </c>
      <c r="E783" s="108" t="s">
        <v>709</v>
      </c>
      <c r="F783" s="108" t="s">
        <v>532</v>
      </c>
      <c r="G783" s="108" t="s">
        <v>710</v>
      </c>
      <c r="H783" s="131" t="s">
        <v>300</v>
      </c>
      <c r="I783" s="140">
        <v>6</v>
      </c>
      <c r="J783" s="109" t="s">
        <v>2367</v>
      </c>
      <c r="K783" s="105" t="s">
        <v>1005</v>
      </c>
      <c r="L783" s="107" t="str">
        <f ca="1">VLOOKUP($K783,OFFSET([1]character_type_i18n!$A$1,0,0,COUNTA([1]character_type_i18n!$A:$A),MATCH(L$1,[1]character_type_i18n!$1:$1,0)-MATCH($K$1,[1]character_type_i18n!$1:$1,0)+1),MATCH(L$1,[1]character_type_i18n!$1:$1,0)-MATCH($K$1,[1]character_type_i18n!$1:$1,0)+1,FALSE)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83" s="105" t="s">
        <v>1017</v>
      </c>
      <c r="N783" s="107" t="str">
        <f>VLOOKUP(M783,[1]character_tribe_i18n!A:C,3,FALSE)</f>
        <v>マシン</v>
      </c>
      <c r="O783" s="105" t="s">
        <v>1018</v>
      </c>
      <c r="P783" s="107" t="str">
        <f>VLOOKUP(O783,[1]character_tribe_i18n!A:C,3,FALSE)</f>
        <v>ゴッド</v>
      </c>
      <c r="Q783" s="110" t="s">
        <v>279</v>
      </c>
      <c r="R783" s="111">
        <v>3</v>
      </c>
      <c r="S783" s="108" t="s">
        <v>280</v>
      </c>
      <c r="T783" s="108" t="s">
        <v>281</v>
      </c>
      <c r="U783" s="108" t="s">
        <v>280</v>
      </c>
      <c r="V783" s="108" t="s">
        <v>280</v>
      </c>
      <c r="W783" s="108" t="s">
        <v>280</v>
      </c>
    </row>
    <row r="784" spans="1:23" ht="21" customHeight="1" x14ac:dyDescent="0.15">
      <c r="A784" s="104">
        <f t="shared" si="12"/>
        <v>783</v>
      </c>
      <c r="B784" s="105" t="s">
        <v>268</v>
      </c>
      <c r="C784" s="121" t="s">
        <v>2368</v>
      </c>
      <c r="D784" s="107" t="s">
        <v>2369</v>
      </c>
      <c r="E784" s="108" t="s">
        <v>709</v>
      </c>
      <c r="F784" s="108" t="s">
        <v>532</v>
      </c>
      <c r="G784" s="108" t="s">
        <v>710</v>
      </c>
      <c r="H784" s="131" t="s">
        <v>1141</v>
      </c>
      <c r="I784" s="140">
        <v>5</v>
      </c>
      <c r="J784" s="109" t="s">
        <v>1180</v>
      </c>
      <c r="K784" s="105" t="s">
        <v>1505</v>
      </c>
      <c r="L784" s="107" t="str">
        <f ca="1">VLOOKUP($K784,OFFSET([1]character_type_i18n!$A$1,0,0,COUNTA([1]character_type_i18n!$A:$A),MATCH(L$1,[1]character_type_i18n!$1:$1,0)-MATCH($K$1,[1]character_type_i18n!$1:$1,0)+1),MATCH(L$1,[1]character_type_i18n!$1:$1,0)-MATCH($K$1,[1]character_type_i18n!$1:$1,0)+1,FALSE)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84" s="105" t="s">
        <v>1987</v>
      </c>
      <c r="N784" s="107" t="str">
        <f>VLOOKUP(M784,[1]character_tribe_i18n!A:C,3,FALSE)</f>
        <v>アカデミア</v>
      </c>
      <c r="O784" s="105" t="s">
        <v>1164</v>
      </c>
      <c r="P784" s="107" t="str">
        <f>VLOOKUP(O784,[1]character_tribe_i18n!A:C,3,FALSE)</f>
        <v>Unknown</v>
      </c>
      <c r="Q784" s="110" t="s">
        <v>279</v>
      </c>
      <c r="R784" s="111">
        <v>3</v>
      </c>
      <c r="S784" s="108" t="s">
        <v>280</v>
      </c>
      <c r="T784" s="108" t="s">
        <v>281</v>
      </c>
      <c r="U784" s="108" t="s">
        <v>280</v>
      </c>
      <c r="V784" s="108" t="s">
        <v>280</v>
      </c>
      <c r="W784" s="108" t="s">
        <v>280</v>
      </c>
    </row>
    <row r="785" spans="1:23" ht="21" customHeight="1" x14ac:dyDescent="0.15">
      <c r="A785" s="104">
        <f t="shared" si="12"/>
        <v>784</v>
      </c>
      <c r="B785" s="105" t="s">
        <v>268</v>
      </c>
      <c r="C785" s="121" t="s">
        <v>2370</v>
      </c>
      <c r="D785" s="107" t="s">
        <v>2371</v>
      </c>
      <c r="E785" s="108" t="s">
        <v>709</v>
      </c>
      <c r="F785" s="108" t="s">
        <v>532</v>
      </c>
      <c r="G785" s="108" t="s">
        <v>710</v>
      </c>
      <c r="H785" s="131" t="s">
        <v>1141</v>
      </c>
      <c r="I785" s="140">
        <v>6</v>
      </c>
      <c r="J785" s="109" t="s">
        <v>1180</v>
      </c>
      <c r="K785" s="105" t="s">
        <v>1505</v>
      </c>
      <c r="L785" s="107" t="str">
        <f ca="1">VLOOKUP($K785,OFFSET([1]character_type_i18n!$A$1,0,0,COUNTA([1]character_type_i18n!$A:$A),MATCH(L$1,[1]character_type_i18n!$1:$1,0)-MATCH($K$1,[1]character_type_i18n!$1:$1,0)+1),MATCH(L$1,[1]character_type_i18n!$1:$1,0)-MATCH($K$1,[1]character_type_i18n!$1:$1,0)+1,FALSE)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85" s="105" t="s">
        <v>1987</v>
      </c>
      <c r="N785" s="107" t="str">
        <f>VLOOKUP(M785,[1]character_tribe_i18n!A:C,3,FALSE)</f>
        <v>アカデミア</v>
      </c>
      <c r="O785" s="105" t="s">
        <v>1164</v>
      </c>
      <c r="P785" s="107" t="str">
        <f>VLOOKUP(O785,[1]character_tribe_i18n!A:C,3,FALSE)</f>
        <v>Unknown</v>
      </c>
      <c r="Q785" s="110" t="s">
        <v>279</v>
      </c>
      <c r="R785" s="111">
        <v>3</v>
      </c>
      <c r="S785" s="108" t="s">
        <v>280</v>
      </c>
      <c r="T785" s="108" t="s">
        <v>281</v>
      </c>
      <c r="U785" s="108" t="s">
        <v>280</v>
      </c>
      <c r="V785" s="108" t="s">
        <v>280</v>
      </c>
      <c r="W785" s="108" t="s">
        <v>280</v>
      </c>
    </row>
    <row r="786" spans="1:23" ht="21" customHeight="1" x14ac:dyDescent="0.15">
      <c r="A786" s="104">
        <f t="shared" si="12"/>
        <v>785</v>
      </c>
      <c r="B786" s="105" t="s">
        <v>268</v>
      </c>
      <c r="C786" s="134" t="s">
        <v>1014</v>
      </c>
      <c r="D786" s="107" t="s">
        <v>2372</v>
      </c>
      <c r="E786" s="108" t="s">
        <v>1405</v>
      </c>
      <c r="F786" s="108" t="s">
        <v>1406</v>
      </c>
      <c r="G786" s="108" t="s">
        <v>1898</v>
      </c>
      <c r="H786" s="131" t="s">
        <v>2373</v>
      </c>
      <c r="I786" s="140">
        <v>6</v>
      </c>
      <c r="J786" s="109" t="s">
        <v>2374</v>
      </c>
      <c r="K786" s="105" t="s">
        <v>2375</v>
      </c>
      <c r="L786" s="107" t="str">
        <f ca="1">VLOOKUP($K786,OFFSET([1]character_type_i18n!$A$1,0,0,COUNTA([1]character_type_i18n!$A:$A),MATCH(L$1,[1]character_type_i18n!$1:$1,0)-MATCH($K$1,[1]character_type_i18n!$1:$1,0)+1),MATCH(L$1,[1]character_type_i18n!$1:$1,0)-MATCH($K$1,[1]character_type_i18n!$1:$1,0)+1,FALSE)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86" s="105" t="s">
        <v>1018</v>
      </c>
      <c r="N786" s="107" t="str">
        <f>VLOOKUP(M786,[1]character_tribe_i18n!A:C,3,FALSE)</f>
        <v>ゴッド</v>
      </c>
      <c r="O786" s="105" t="s">
        <v>278</v>
      </c>
      <c r="P786" s="107" t="str">
        <f>VLOOKUP(O786,[1]character_tribe_i18n!A:C,3,FALSE)</f>
        <v>種族なし</v>
      </c>
      <c r="Q786" s="110" t="s">
        <v>279</v>
      </c>
      <c r="R786" s="111">
        <v>1</v>
      </c>
      <c r="S786" s="108" t="s">
        <v>280</v>
      </c>
      <c r="T786" s="108" t="s">
        <v>281</v>
      </c>
      <c r="U786" s="108" t="s">
        <v>280</v>
      </c>
      <c r="V786" s="108" t="s">
        <v>280</v>
      </c>
      <c r="W786" s="108" t="s">
        <v>280</v>
      </c>
    </row>
    <row r="787" spans="1:23" ht="21" customHeight="1" x14ac:dyDescent="0.15">
      <c r="A787" s="104">
        <f t="shared" si="12"/>
        <v>786</v>
      </c>
      <c r="B787" s="105" t="s">
        <v>268</v>
      </c>
      <c r="C787" s="121" t="s">
        <v>2376</v>
      </c>
      <c r="D787" s="144" t="s">
        <v>2377</v>
      </c>
      <c r="E787" s="108" t="s">
        <v>709</v>
      </c>
      <c r="F787" s="108" t="s">
        <v>532</v>
      </c>
      <c r="G787" s="108" t="s">
        <v>710</v>
      </c>
      <c r="H787" s="131" t="s">
        <v>1141</v>
      </c>
      <c r="I787" s="140">
        <v>5</v>
      </c>
      <c r="J787" s="109" t="s">
        <v>1180</v>
      </c>
      <c r="K787" s="105" t="s">
        <v>1005</v>
      </c>
      <c r="L787" s="107" t="str">
        <f ca="1">VLOOKUP($K787,OFFSET([1]character_type_i18n!$A$1,0,0,COUNTA([1]character_type_i18n!$A:$A),MATCH(L$1,[1]character_type_i18n!$1:$1,0)-MATCH($K$1,[1]character_type_i18n!$1:$1,0)+1),MATCH(L$1,[1]character_type_i18n!$1:$1,0)-MATCH($K$1,[1]character_type_i18n!$1:$1,0)+1,FALSE)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87" s="105" t="s">
        <v>854</v>
      </c>
      <c r="N787" s="107" t="str">
        <f>VLOOKUP(M787,[1]character_tribe_i18n!A:C,3,FALSE)</f>
        <v>ドラゴン</v>
      </c>
      <c r="O787" s="105" t="s">
        <v>1011</v>
      </c>
      <c r="P787" s="107" t="str">
        <f>VLOOKUP(O787,[1]character_tribe_i18n!A:C,3,FALSE)</f>
        <v>ヒューマン</v>
      </c>
      <c r="Q787" s="110" t="s">
        <v>279</v>
      </c>
      <c r="R787" s="111">
        <v>3</v>
      </c>
      <c r="S787" s="108" t="s">
        <v>280</v>
      </c>
      <c r="T787" s="108" t="s">
        <v>281</v>
      </c>
      <c r="U787" s="108" t="s">
        <v>280</v>
      </c>
      <c r="V787" s="108" t="s">
        <v>280</v>
      </c>
      <c r="W787" s="108" t="s">
        <v>280</v>
      </c>
    </row>
    <row r="788" spans="1:23" ht="21" customHeight="1" x14ac:dyDescent="0.15">
      <c r="A788" s="104">
        <f t="shared" si="12"/>
        <v>787</v>
      </c>
      <c r="B788" s="105" t="s">
        <v>268</v>
      </c>
      <c r="C788" s="121" t="s">
        <v>2378</v>
      </c>
      <c r="D788" s="144" t="s">
        <v>2377</v>
      </c>
      <c r="E788" s="108" t="s">
        <v>709</v>
      </c>
      <c r="F788" s="108" t="s">
        <v>532</v>
      </c>
      <c r="G788" s="108" t="s">
        <v>710</v>
      </c>
      <c r="H788" s="131" t="s">
        <v>1141</v>
      </c>
      <c r="I788" s="140">
        <v>6</v>
      </c>
      <c r="J788" s="109" t="s">
        <v>1180</v>
      </c>
      <c r="K788" s="105" t="s">
        <v>1005</v>
      </c>
      <c r="L788" s="107" t="str">
        <f ca="1">VLOOKUP($K788,OFFSET([1]character_type_i18n!$A$1,0,0,COUNTA([1]character_type_i18n!$A:$A),MATCH(L$1,[1]character_type_i18n!$1:$1,0)-MATCH($K$1,[1]character_type_i18n!$1:$1,0)+1),MATCH(L$1,[1]character_type_i18n!$1:$1,0)-MATCH($K$1,[1]character_type_i18n!$1:$1,0)+1,FALSE)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88" s="105" t="s">
        <v>854</v>
      </c>
      <c r="N788" s="107" t="str">
        <f>VLOOKUP(M788,[1]character_tribe_i18n!A:C,3,FALSE)</f>
        <v>ドラゴン</v>
      </c>
      <c r="O788" s="105" t="s">
        <v>1011</v>
      </c>
      <c r="P788" s="107" t="str">
        <f>VLOOKUP(O788,[1]character_tribe_i18n!A:C,3,FALSE)</f>
        <v>ヒューマン</v>
      </c>
      <c r="Q788" s="110" t="s">
        <v>279</v>
      </c>
      <c r="R788" s="111">
        <v>3</v>
      </c>
      <c r="S788" s="108" t="s">
        <v>280</v>
      </c>
      <c r="T788" s="108" t="s">
        <v>281</v>
      </c>
      <c r="U788" s="108" t="s">
        <v>280</v>
      </c>
      <c r="V788" s="108" t="s">
        <v>280</v>
      </c>
      <c r="W788" s="108" t="s">
        <v>280</v>
      </c>
    </row>
    <row r="789" spans="1:23" ht="21" customHeight="1" x14ac:dyDescent="0.15">
      <c r="A789" s="104">
        <f t="shared" si="12"/>
        <v>788</v>
      </c>
      <c r="B789" s="105" t="s">
        <v>268</v>
      </c>
      <c r="C789" s="121" t="s">
        <v>2379</v>
      </c>
      <c r="D789" s="107" t="s">
        <v>2380</v>
      </c>
      <c r="E789" s="108" t="s">
        <v>709</v>
      </c>
      <c r="F789" s="108" t="s">
        <v>532</v>
      </c>
      <c r="G789" s="108" t="s">
        <v>710</v>
      </c>
      <c r="H789" s="131" t="s">
        <v>614</v>
      </c>
      <c r="I789" s="140">
        <v>5</v>
      </c>
      <c r="J789" s="109" t="s">
        <v>1504</v>
      </c>
      <c r="K789" s="105" t="s">
        <v>1008</v>
      </c>
      <c r="L789" s="107" t="str">
        <f ca="1">VLOOKUP($K789,OFFSET([1]character_type_i18n!$A$1,0,0,COUNTA([1]character_type_i18n!$A:$A),MATCH(L$1,[1]character_type_i18n!$1:$1,0)-MATCH($K$1,[1]character_type_i18n!$1:$1,0)+1),MATCH(L$1,[1]character_type_i18n!$1:$1,0)-MATCH($K$1,[1]character_type_i18n!$1:$1,0)+1,FALSE)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89" s="105" t="s">
        <v>1018</v>
      </c>
      <c r="N789" s="107" t="str">
        <f>VLOOKUP(M789,[1]character_tribe_i18n!A:C,3,FALSE)</f>
        <v>ゴッド</v>
      </c>
      <c r="O789" s="105" t="s">
        <v>313</v>
      </c>
      <c r="P789" s="107" t="str">
        <f>VLOOKUP(O789,[1]character_tribe_i18n!A:C,3,FALSE)</f>
        <v>アニマル</v>
      </c>
      <c r="Q789" s="110" t="s">
        <v>279</v>
      </c>
      <c r="R789" s="111">
        <v>3</v>
      </c>
      <c r="S789" s="108" t="s">
        <v>280</v>
      </c>
      <c r="T789" s="108" t="s">
        <v>281</v>
      </c>
      <c r="U789" s="108" t="s">
        <v>280</v>
      </c>
      <c r="V789" s="108" t="s">
        <v>280</v>
      </c>
      <c r="W789" s="108" t="s">
        <v>280</v>
      </c>
    </row>
    <row r="790" spans="1:23" ht="21" customHeight="1" x14ac:dyDescent="0.15">
      <c r="A790" s="104">
        <f t="shared" si="12"/>
        <v>789</v>
      </c>
      <c r="B790" s="105" t="s">
        <v>268</v>
      </c>
      <c r="C790" s="121" t="s">
        <v>2381</v>
      </c>
      <c r="D790" s="107" t="s">
        <v>2382</v>
      </c>
      <c r="E790" s="108" t="s">
        <v>709</v>
      </c>
      <c r="F790" s="108" t="s">
        <v>532</v>
      </c>
      <c r="G790" s="108" t="s">
        <v>710</v>
      </c>
      <c r="H790" s="131" t="s">
        <v>614</v>
      </c>
      <c r="I790" s="140">
        <v>6</v>
      </c>
      <c r="J790" s="109" t="s">
        <v>1504</v>
      </c>
      <c r="K790" s="105" t="s">
        <v>1008</v>
      </c>
      <c r="L790" s="107" t="str">
        <f ca="1">VLOOKUP($K790,OFFSET([1]character_type_i18n!$A$1,0,0,COUNTA([1]character_type_i18n!$A:$A),MATCH(L$1,[1]character_type_i18n!$1:$1,0)-MATCH($K$1,[1]character_type_i18n!$1:$1,0)+1),MATCH(L$1,[1]character_type_i18n!$1:$1,0)-MATCH($K$1,[1]character_type_i18n!$1:$1,0)+1,FALSE)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90" s="105" t="s">
        <v>1018</v>
      </c>
      <c r="N790" s="107" t="str">
        <f>VLOOKUP(M790,[1]character_tribe_i18n!A:C,3,FALSE)</f>
        <v>ゴッド</v>
      </c>
      <c r="O790" s="105" t="s">
        <v>313</v>
      </c>
      <c r="P790" s="107" t="str">
        <f>VLOOKUP(O790,[1]character_tribe_i18n!A:C,3,FALSE)</f>
        <v>アニマル</v>
      </c>
      <c r="Q790" s="110" t="s">
        <v>279</v>
      </c>
      <c r="R790" s="111">
        <v>3</v>
      </c>
      <c r="S790" s="108" t="s">
        <v>280</v>
      </c>
      <c r="T790" s="108" t="s">
        <v>281</v>
      </c>
      <c r="U790" s="108" t="s">
        <v>280</v>
      </c>
      <c r="V790" s="108" t="s">
        <v>280</v>
      </c>
      <c r="W790" s="108" t="s">
        <v>280</v>
      </c>
    </row>
    <row r="791" spans="1:23" ht="21" customHeight="1" x14ac:dyDescent="0.15">
      <c r="A791" s="104">
        <f t="shared" si="12"/>
        <v>790</v>
      </c>
      <c r="B791" s="105" t="s">
        <v>268</v>
      </c>
      <c r="C791" s="121" t="s">
        <v>2383</v>
      </c>
      <c r="D791" s="107" t="s">
        <v>2384</v>
      </c>
      <c r="E791" s="108" t="s">
        <v>709</v>
      </c>
      <c r="F791" s="108" t="s">
        <v>532</v>
      </c>
      <c r="G791" s="108" t="s">
        <v>853</v>
      </c>
      <c r="H791" s="131" t="s">
        <v>1761</v>
      </c>
      <c r="I791" s="140">
        <v>5</v>
      </c>
      <c r="J791" s="109" t="s">
        <v>1592</v>
      </c>
      <c r="K791" s="105" t="s">
        <v>1392</v>
      </c>
      <c r="L791" s="107" t="str">
        <f ca="1">VLOOKUP($K791,OFFSET([1]character_type_i18n!$A$1,0,0,COUNTA([1]character_type_i18n!$A:$A),MATCH(L$1,[1]character_type_i18n!$1:$1,0)-MATCH($K$1,[1]character_type_i18n!$1:$1,0)+1),MATCH(L$1,[1]character_type_i18n!$1:$1,0)-MATCH($K$1,[1]character_type_i18n!$1:$1,0)+1,FALSE)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91" s="105" t="s">
        <v>1017</v>
      </c>
      <c r="N791" s="107" t="str">
        <f>VLOOKUP(M791,[1]character_tribe_i18n!A:C,3,FALSE)</f>
        <v>マシン</v>
      </c>
      <c r="O791" s="105" t="s">
        <v>1011</v>
      </c>
      <c r="P791" s="107" t="str">
        <f>VLOOKUP(O791,[1]character_tribe_i18n!A:C,3,FALSE)</f>
        <v>ヒューマン</v>
      </c>
      <c r="Q791" s="110" t="s">
        <v>279</v>
      </c>
      <c r="R791" s="111">
        <v>3</v>
      </c>
      <c r="S791" s="108" t="s">
        <v>280</v>
      </c>
      <c r="T791" s="108" t="s">
        <v>281</v>
      </c>
      <c r="U791" s="108" t="s">
        <v>280</v>
      </c>
      <c r="V791" s="108" t="s">
        <v>280</v>
      </c>
      <c r="W791" s="108" t="s">
        <v>280</v>
      </c>
    </row>
    <row r="792" spans="1:23" ht="21" customHeight="1" x14ac:dyDescent="0.15">
      <c r="A792" s="104">
        <f t="shared" si="12"/>
        <v>791</v>
      </c>
      <c r="B792" s="105" t="s">
        <v>268</v>
      </c>
      <c r="C792" s="121" t="s">
        <v>2385</v>
      </c>
      <c r="D792" s="107" t="s">
        <v>2384</v>
      </c>
      <c r="E792" s="108" t="s">
        <v>709</v>
      </c>
      <c r="F792" s="108" t="s">
        <v>532</v>
      </c>
      <c r="G792" s="108" t="s">
        <v>853</v>
      </c>
      <c r="H792" s="131" t="s">
        <v>1761</v>
      </c>
      <c r="I792" s="140">
        <v>6</v>
      </c>
      <c r="J792" s="109" t="s">
        <v>1592</v>
      </c>
      <c r="K792" s="105" t="s">
        <v>1392</v>
      </c>
      <c r="L792" s="107" t="str">
        <f ca="1">VLOOKUP($K792,OFFSET([1]character_type_i18n!$A$1,0,0,COUNTA([1]character_type_i18n!$A:$A),MATCH(L$1,[1]character_type_i18n!$1:$1,0)-MATCH($K$1,[1]character_type_i18n!$1:$1,0)+1),MATCH(L$1,[1]character_type_i18n!$1:$1,0)-MATCH($K$1,[1]character_type_i18n!$1:$1,0)+1,FALSE)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92" s="105" t="s">
        <v>1017</v>
      </c>
      <c r="N792" s="107" t="str">
        <f>VLOOKUP(M792,[1]character_tribe_i18n!A:C,3,FALSE)</f>
        <v>マシン</v>
      </c>
      <c r="O792" s="105" t="s">
        <v>1011</v>
      </c>
      <c r="P792" s="107" t="str">
        <f>VLOOKUP(O792,[1]character_tribe_i18n!A:C,3,FALSE)</f>
        <v>ヒューマン</v>
      </c>
      <c r="Q792" s="110" t="s">
        <v>279</v>
      </c>
      <c r="R792" s="111">
        <v>3</v>
      </c>
      <c r="S792" s="108" t="s">
        <v>280</v>
      </c>
      <c r="T792" s="108" t="s">
        <v>281</v>
      </c>
      <c r="U792" s="108" t="s">
        <v>280</v>
      </c>
      <c r="V792" s="108" t="s">
        <v>280</v>
      </c>
      <c r="W792" s="108" t="s">
        <v>280</v>
      </c>
    </row>
    <row r="793" spans="1:23" ht="21" customHeight="1" x14ac:dyDescent="0.15">
      <c r="A793" s="104">
        <f t="shared" si="12"/>
        <v>792</v>
      </c>
      <c r="B793" s="105" t="s">
        <v>268</v>
      </c>
      <c r="C793" s="121" t="s">
        <v>2386</v>
      </c>
      <c r="D793" s="107" t="s">
        <v>2387</v>
      </c>
      <c r="E793" s="108" t="s">
        <v>2388</v>
      </c>
      <c r="F793" s="108" t="s">
        <v>2389</v>
      </c>
      <c r="G793" s="108" t="s">
        <v>2390</v>
      </c>
      <c r="H793" s="131" t="s">
        <v>2391</v>
      </c>
      <c r="I793" s="140">
        <v>5</v>
      </c>
      <c r="J793" s="109" t="s">
        <v>1180</v>
      </c>
      <c r="K793" s="105" t="s">
        <v>1505</v>
      </c>
      <c r="L793" s="107" t="str">
        <f ca="1">VLOOKUP($K793,OFFSET([1]character_type_i18n!$A$1,0,0,COUNTA([1]character_type_i18n!$A:$A),MATCH(L$1,[1]character_type_i18n!$1:$1,0)-MATCH($K$1,[1]character_type_i18n!$1:$1,0)+1),MATCH(L$1,[1]character_type_i18n!$1:$1,0)-MATCH($K$1,[1]character_type_i18n!$1:$1,0)+1,FALSE)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93" s="105" t="s">
        <v>1011</v>
      </c>
      <c r="N793" s="107" t="str">
        <f>VLOOKUP(M793,[1]character_tribe_i18n!A:C,3,FALSE)</f>
        <v>ヒューマン</v>
      </c>
      <c r="O793" s="105" t="s">
        <v>1423</v>
      </c>
      <c r="P793" s="107" t="str">
        <f>VLOOKUP(O793,[1]character_tribe_i18n!A:C,3,FALSE)</f>
        <v>種族なし</v>
      </c>
      <c r="Q793" s="110" t="s">
        <v>279</v>
      </c>
      <c r="R793" s="111">
        <v>3</v>
      </c>
      <c r="S793" s="108" t="s">
        <v>280</v>
      </c>
      <c r="T793" s="108" t="s">
        <v>281</v>
      </c>
      <c r="U793" s="108" t="s">
        <v>280</v>
      </c>
      <c r="V793" s="108" t="s">
        <v>280</v>
      </c>
      <c r="W793" s="108" t="s">
        <v>280</v>
      </c>
    </row>
    <row r="794" spans="1:23" ht="21" customHeight="1" x14ac:dyDescent="0.15">
      <c r="A794" s="104">
        <f t="shared" si="12"/>
        <v>793</v>
      </c>
      <c r="B794" s="105" t="s">
        <v>268</v>
      </c>
      <c r="C794" s="121" t="s">
        <v>2392</v>
      </c>
      <c r="D794" s="107" t="s">
        <v>2393</v>
      </c>
      <c r="E794" s="108" t="s">
        <v>709</v>
      </c>
      <c r="F794" s="108" t="s">
        <v>532</v>
      </c>
      <c r="G794" s="108" t="s">
        <v>710</v>
      </c>
      <c r="H794" s="131" t="s">
        <v>551</v>
      </c>
      <c r="I794" s="140">
        <v>6</v>
      </c>
      <c r="J794" s="109" t="s">
        <v>1180</v>
      </c>
      <c r="K794" s="105" t="s">
        <v>1505</v>
      </c>
      <c r="L794" s="107" t="str">
        <f ca="1">VLOOKUP($K794,OFFSET([1]character_type_i18n!$A$1,0,0,COUNTA([1]character_type_i18n!$A:$A),MATCH(L$1,[1]character_type_i18n!$1:$1,0)-MATCH($K$1,[1]character_type_i18n!$1:$1,0)+1),MATCH(L$1,[1]character_type_i18n!$1:$1,0)-MATCH($K$1,[1]character_type_i18n!$1:$1,0)+1,FALSE)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94" s="105" t="s">
        <v>1987</v>
      </c>
      <c r="N794" s="107" t="str">
        <f>VLOOKUP(M794,[1]character_tribe_i18n!A:C,3,FALSE)</f>
        <v>アカデミア</v>
      </c>
      <c r="O794" s="105" t="s">
        <v>1423</v>
      </c>
      <c r="P794" s="107" t="str">
        <f>VLOOKUP(O794,[1]character_tribe_i18n!A:C,3,FALSE)</f>
        <v>種族なし</v>
      </c>
      <c r="Q794" s="110" t="s">
        <v>279</v>
      </c>
      <c r="R794" s="111">
        <v>3</v>
      </c>
      <c r="S794" s="108" t="s">
        <v>280</v>
      </c>
      <c r="T794" s="108" t="s">
        <v>281</v>
      </c>
      <c r="U794" s="108" t="s">
        <v>280</v>
      </c>
      <c r="V794" s="108" t="s">
        <v>280</v>
      </c>
      <c r="W794" s="108" t="s">
        <v>280</v>
      </c>
    </row>
    <row r="795" spans="1:23" ht="21" customHeight="1" x14ac:dyDescent="0.15">
      <c r="A795" s="104">
        <f t="shared" si="12"/>
        <v>794</v>
      </c>
      <c r="B795" s="105" t="s">
        <v>268</v>
      </c>
      <c r="C795" s="121" t="s">
        <v>2394</v>
      </c>
      <c r="D795" s="107" t="s">
        <v>2395</v>
      </c>
      <c r="E795" s="108" t="s">
        <v>1862</v>
      </c>
      <c r="F795" s="108" t="s">
        <v>1865</v>
      </c>
      <c r="G795" s="108" t="s">
        <v>331</v>
      </c>
      <c r="H795" s="105" t="s">
        <v>285</v>
      </c>
      <c r="I795" s="109">
        <v>3</v>
      </c>
      <c r="J795" s="109" t="s">
        <v>929</v>
      </c>
      <c r="K795" s="105" t="s">
        <v>296</v>
      </c>
      <c r="L795" s="107" t="str">
        <f ca="1">VLOOKUP($K795,OFFSET([1]character_type_i18n!$A$1,0,0,COUNTA([1]character_type_i18n!$A:$A),MATCH(L$1,[1]character_type_i18n!$1:$1,0)-MATCH($K$1,[1]character_type_i18n!$1:$1,0)+1),MATCH(L$1,[1]character_type_i18n!$1:$1,0)-MATCH($K$1,[1]character_type_i18n!$1:$1,0)+1,FALSE)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95" s="105" t="s">
        <v>277</v>
      </c>
      <c r="N795" s="107" t="str">
        <f>VLOOKUP(M795,[1]character_tribe_i18n!A:C,3,FALSE)</f>
        <v>Unknown</v>
      </c>
      <c r="O795" s="105" t="s">
        <v>278</v>
      </c>
      <c r="P795" s="107" t="str">
        <f>VLOOKUP(O795,[1]character_tribe_i18n!A:C,3,FALSE)</f>
        <v>種族なし</v>
      </c>
      <c r="Q795" s="110" t="s">
        <v>279</v>
      </c>
      <c r="R795" s="111">
        <v>3</v>
      </c>
      <c r="S795" s="108" t="s">
        <v>280</v>
      </c>
      <c r="T795" s="108" t="s">
        <v>281</v>
      </c>
      <c r="U795" s="108" t="s">
        <v>280</v>
      </c>
      <c r="V795" s="108" t="s">
        <v>280</v>
      </c>
      <c r="W795" s="108" t="s">
        <v>280</v>
      </c>
    </row>
    <row r="796" spans="1:23" ht="21" customHeight="1" x14ac:dyDescent="0.15">
      <c r="A796" s="104">
        <f t="shared" si="12"/>
        <v>795</v>
      </c>
      <c r="B796" s="105" t="s">
        <v>268</v>
      </c>
      <c r="C796" s="121" t="s">
        <v>2396</v>
      </c>
      <c r="D796" s="107" t="s">
        <v>2395</v>
      </c>
      <c r="E796" s="108" t="s">
        <v>554</v>
      </c>
      <c r="F796" s="108" t="s">
        <v>272</v>
      </c>
      <c r="G796" s="108" t="s">
        <v>273</v>
      </c>
      <c r="H796" s="105" t="s">
        <v>295</v>
      </c>
      <c r="I796" s="109">
        <v>3</v>
      </c>
      <c r="J796" s="109" t="s">
        <v>537</v>
      </c>
      <c r="K796" s="105" t="s">
        <v>1868</v>
      </c>
      <c r="L796" s="107" t="str">
        <f ca="1">VLOOKUP($K796,OFFSET([1]character_type_i18n!$A$1,0,0,COUNTA([1]character_type_i18n!$A:$A),MATCH(L$1,[1]character_type_i18n!$1:$1,0)-MATCH($K$1,[1]character_type_i18n!$1:$1,0)+1),MATCH(L$1,[1]character_type_i18n!$1:$1,0)-MATCH($K$1,[1]character_type_i18n!$1:$1,0)+1,FALSE)</f>
        <v>スキルレベル素材</v>
      </c>
      <c r="M796" s="105" t="s">
        <v>277</v>
      </c>
      <c r="N796" s="107" t="str">
        <f>VLOOKUP(M796,[1]character_tribe_i18n!A:C,3,FALSE)</f>
        <v>Unknown</v>
      </c>
      <c r="O796" s="105" t="s">
        <v>278</v>
      </c>
      <c r="P796" s="107" t="str">
        <f>VLOOKUP(O796,[1]character_tribe_i18n!A:C,3,FALSE)</f>
        <v>種族なし</v>
      </c>
      <c r="Q796" s="110" t="s">
        <v>625</v>
      </c>
      <c r="R796" s="111">
        <v>3</v>
      </c>
      <c r="S796" s="108" t="s">
        <v>280</v>
      </c>
      <c r="T796" s="108" t="s">
        <v>281</v>
      </c>
      <c r="U796" s="108" t="s">
        <v>280</v>
      </c>
      <c r="V796" s="108" t="s">
        <v>280</v>
      </c>
      <c r="W796" s="108" t="s">
        <v>280</v>
      </c>
    </row>
    <row r="797" spans="1:23" ht="21" customHeight="1" x14ac:dyDescent="0.15">
      <c r="A797" s="104">
        <f t="shared" si="12"/>
        <v>796</v>
      </c>
      <c r="B797" s="105" t="s">
        <v>268</v>
      </c>
      <c r="C797" s="121" t="s">
        <v>2397</v>
      </c>
      <c r="D797" s="144" t="s">
        <v>2398</v>
      </c>
      <c r="E797" s="108" t="s">
        <v>709</v>
      </c>
      <c r="F797" s="108" t="s">
        <v>532</v>
      </c>
      <c r="G797" s="108" t="s">
        <v>710</v>
      </c>
      <c r="H797" s="131" t="s">
        <v>1141</v>
      </c>
      <c r="I797" s="140">
        <v>6</v>
      </c>
      <c r="J797" s="109" t="s">
        <v>1180</v>
      </c>
      <c r="K797" s="105" t="s">
        <v>1505</v>
      </c>
      <c r="L797" s="107" t="str">
        <f ca="1">VLOOKUP($K797,OFFSET([1]character_type_i18n!$A$1,0,0,COUNTA([1]character_type_i18n!$A:$A),MATCH(L$1,[1]character_type_i18n!$1:$1,0)-MATCH($K$1,[1]character_type_i18n!$1:$1,0)+1),MATCH(L$1,[1]character_type_i18n!$1:$1,0)-MATCH($K$1,[1]character_type_i18n!$1:$1,0)+1,FALSE)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97" s="105" t="s">
        <v>1011</v>
      </c>
      <c r="N797" s="107" t="str">
        <f>VLOOKUP(M797,[1]character_tribe_i18n!A:C,3,FALSE)</f>
        <v>ヒューマン</v>
      </c>
      <c r="O797" s="105" t="s">
        <v>278</v>
      </c>
      <c r="P797" s="107" t="str">
        <f>VLOOKUP(O797,[1]character_tribe_i18n!A:C,3,FALSE)</f>
        <v>種族なし</v>
      </c>
      <c r="Q797" s="110" t="s">
        <v>279</v>
      </c>
      <c r="R797" s="111">
        <v>3</v>
      </c>
      <c r="S797" s="108" t="s">
        <v>280</v>
      </c>
      <c r="T797" s="108" t="s">
        <v>281</v>
      </c>
      <c r="U797" s="108" t="s">
        <v>280</v>
      </c>
      <c r="V797" s="108" t="s">
        <v>280</v>
      </c>
      <c r="W797" s="108" t="s">
        <v>280</v>
      </c>
    </row>
    <row r="798" spans="1:23" ht="21" customHeight="1" x14ac:dyDescent="0.15">
      <c r="A798" s="104">
        <f t="shared" si="12"/>
        <v>797</v>
      </c>
      <c r="B798" s="105" t="s">
        <v>268</v>
      </c>
      <c r="C798" s="121" t="s">
        <v>2399</v>
      </c>
      <c r="D798" s="107" t="s">
        <v>2400</v>
      </c>
      <c r="E798" s="108" t="s">
        <v>709</v>
      </c>
      <c r="F798" s="108" t="s">
        <v>532</v>
      </c>
      <c r="G798" s="108" t="s">
        <v>710</v>
      </c>
      <c r="H798" s="131" t="s">
        <v>1141</v>
      </c>
      <c r="I798" s="140">
        <v>6</v>
      </c>
      <c r="J798" s="109" t="s">
        <v>1180</v>
      </c>
      <c r="K798" s="105" t="s">
        <v>1008</v>
      </c>
      <c r="L798" s="107" t="str">
        <f ca="1">VLOOKUP($K798,OFFSET([1]character_type_i18n!$A$1,0,0,COUNTA([1]character_type_i18n!$A:$A),MATCH(L$1,[1]character_type_i18n!$1:$1,0)-MATCH($K$1,[1]character_type_i18n!$1:$1,0)+1),MATCH(L$1,[1]character_type_i18n!$1:$1,0)-MATCH($K$1,[1]character_type_i18n!$1:$1,0)+1,FALSE)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98" s="105" t="s">
        <v>313</v>
      </c>
      <c r="N798" s="107" t="str">
        <f>VLOOKUP(M798,[1]character_tribe_i18n!A:C,3,FALSE)</f>
        <v>アニマル</v>
      </c>
      <c r="O798" s="105" t="s">
        <v>278</v>
      </c>
      <c r="P798" s="107" t="str">
        <f>VLOOKUP(O798,[1]character_tribe_i18n!A:C,3,FALSE)</f>
        <v>種族なし</v>
      </c>
      <c r="Q798" s="110" t="s">
        <v>279</v>
      </c>
      <c r="R798" s="111">
        <v>3</v>
      </c>
      <c r="S798" s="108" t="s">
        <v>280</v>
      </c>
      <c r="T798" s="108" t="s">
        <v>281</v>
      </c>
      <c r="U798" s="108" t="s">
        <v>574</v>
      </c>
      <c r="V798" s="108" t="s">
        <v>574</v>
      </c>
      <c r="W798" s="108" t="s">
        <v>574</v>
      </c>
    </row>
    <row r="799" spans="1:23" ht="21" customHeight="1" x14ac:dyDescent="0.15">
      <c r="A799" s="104">
        <f t="shared" si="12"/>
        <v>798</v>
      </c>
      <c r="B799" s="105" t="s">
        <v>2401</v>
      </c>
      <c r="C799" s="121" t="s">
        <v>2402</v>
      </c>
      <c r="D799" s="107" t="s">
        <v>2403</v>
      </c>
      <c r="E799" s="108" t="s">
        <v>2404</v>
      </c>
      <c r="F799" s="108" t="s">
        <v>2405</v>
      </c>
      <c r="G799" s="108" t="s">
        <v>2406</v>
      </c>
      <c r="H799" s="131" t="s">
        <v>2407</v>
      </c>
      <c r="I799" s="140">
        <v>6</v>
      </c>
      <c r="J799" s="109" t="s">
        <v>1980</v>
      </c>
      <c r="K799" s="105" t="s">
        <v>1981</v>
      </c>
      <c r="L799" s="107" t="str">
        <f ca="1">VLOOKUP($K799,OFFSET([1]character_type_i18n!$A$1,0,0,COUNTA([1]character_type_i18n!$A:$A),MATCH(L$1,[1]character_type_i18n!$1:$1,0)-MATCH($K$1,[1]character_type_i18n!$1:$1,0)+1),MATCH(L$1,[1]character_type_i18n!$1:$1,0)-MATCH($K$1,[1]character_type_i18n!$1:$1,0)+1,FALSE)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99" s="105" t="s">
        <v>2408</v>
      </c>
      <c r="N799" s="107" t="str">
        <f>VLOOKUP(M799,[1]character_tribe_i18n!A:C,3,FALSE)</f>
        <v>ヒューマン</v>
      </c>
      <c r="O799" s="105" t="s">
        <v>278</v>
      </c>
      <c r="P799" s="107" t="str">
        <f>VLOOKUP(O799,[1]character_tribe_i18n!A:C,3,FALSE)</f>
        <v>種族なし</v>
      </c>
      <c r="Q799" s="110" t="s">
        <v>279</v>
      </c>
      <c r="R799" s="111">
        <v>3</v>
      </c>
      <c r="S799" s="108" t="s">
        <v>2072</v>
      </c>
      <c r="T799" s="108" t="s">
        <v>2073</v>
      </c>
      <c r="U799" s="108" t="s">
        <v>887</v>
      </c>
      <c r="V799" s="108" t="s">
        <v>887</v>
      </c>
      <c r="W799" s="108" t="s">
        <v>887</v>
      </c>
    </row>
    <row r="800" spans="1:23" ht="21" customHeight="1" x14ac:dyDescent="0.15">
      <c r="A800" s="104">
        <f t="shared" si="12"/>
        <v>799</v>
      </c>
      <c r="B800" s="105" t="s">
        <v>1288</v>
      </c>
      <c r="C800" s="121" t="s">
        <v>2409</v>
      </c>
      <c r="D800" s="107" t="s">
        <v>2410</v>
      </c>
      <c r="E800" s="108" t="s">
        <v>709</v>
      </c>
      <c r="F800" s="108" t="s">
        <v>532</v>
      </c>
      <c r="G800" s="108" t="s">
        <v>710</v>
      </c>
      <c r="H800" s="131" t="s">
        <v>614</v>
      </c>
      <c r="I800" s="140">
        <v>6</v>
      </c>
      <c r="J800" s="109" t="s">
        <v>1180</v>
      </c>
      <c r="K800" s="105" t="s">
        <v>967</v>
      </c>
      <c r="L800" s="107" t="str">
        <f ca="1">VLOOKUP($K800,OFFSET([1]character_type_i18n!$A$1,0,0,COUNTA([1]character_type_i18n!$A:$A),MATCH(L$1,[1]character_type_i18n!$1:$1,0)-MATCH($K$1,[1]character_type_i18n!$1:$1,0)+1),MATCH(L$1,[1]character_type_i18n!$1:$1,0)-MATCH($K$1,[1]character_type_i18n!$1:$1,0)+1,FALSE)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00" s="105" t="s">
        <v>2207</v>
      </c>
      <c r="N800" s="107" t="str">
        <f>VLOOKUP(M800,[1]character_tribe_i18n!A:C,3,FALSE)</f>
        <v>ヒューマン</v>
      </c>
      <c r="O800" s="105" t="s">
        <v>1626</v>
      </c>
      <c r="P800" s="107" t="str">
        <f>VLOOKUP(O800,[1]character_tribe_i18n!A:C,3,FALSE)</f>
        <v>マシン</v>
      </c>
      <c r="Q800" s="110" t="s">
        <v>1915</v>
      </c>
      <c r="R800" s="111">
        <v>3</v>
      </c>
      <c r="S800" s="108" t="s">
        <v>2411</v>
      </c>
      <c r="T800" s="108" t="s">
        <v>2412</v>
      </c>
      <c r="U800" s="108" t="s">
        <v>2413</v>
      </c>
      <c r="V800" s="108" t="s">
        <v>2411</v>
      </c>
      <c r="W800" s="108" t="s">
        <v>2411</v>
      </c>
    </row>
    <row r="801" spans="1:23" ht="21" customHeight="1" x14ac:dyDescent="0.15">
      <c r="A801" s="104">
        <f t="shared" si="12"/>
        <v>800</v>
      </c>
      <c r="B801" s="105" t="s">
        <v>2414</v>
      </c>
      <c r="C801" s="121" t="s">
        <v>2415</v>
      </c>
      <c r="D801" s="107" t="s">
        <v>2416</v>
      </c>
      <c r="E801" s="108" t="s">
        <v>1628</v>
      </c>
      <c r="F801" s="108" t="s">
        <v>1629</v>
      </c>
      <c r="G801" s="108" t="s">
        <v>2417</v>
      </c>
      <c r="H801" s="131" t="s">
        <v>618</v>
      </c>
      <c r="I801" s="140">
        <v>6</v>
      </c>
      <c r="J801" s="109" t="s">
        <v>2418</v>
      </c>
      <c r="K801" s="105" t="s">
        <v>1303</v>
      </c>
      <c r="L801" s="107" t="str">
        <f ca="1">VLOOKUP($K801,OFFSET([1]character_type_i18n!$A$1,0,0,COUNTA([1]character_type_i18n!$A:$A),MATCH(L$1,[1]character_type_i18n!$1:$1,0)-MATCH($K$1,[1]character_type_i18n!$1:$1,0)+1),MATCH(L$1,[1]character_type_i18n!$1:$1,0)-MATCH($K$1,[1]character_type_i18n!$1:$1,0)+1,FALSE)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01" s="105" t="s">
        <v>2419</v>
      </c>
      <c r="N801" s="107" t="str">
        <f>VLOOKUP(M801,[1]character_tribe_i18n!A:C,3,FALSE)</f>
        <v>ヒューマン</v>
      </c>
      <c r="O801" s="105" t="s">
        <v>278</v>
      </c>
      <c r="P801" s="107" t="str">
        <f>VLOOKUP(O801,[1]character_tribe_i18n!A:C,3,FALSE)</f>
        <v>種族なし</v>
      </c>
      <c r="Q801" s="110" t="s">
        <v>301</v>
      </c>
      <c r="R801" s="111">
        <v>3</v>
      </c>
      <c r="S801" s="108" t="s">
        <v>302</v>
      </c>
      <c r="T801" s="108" t="s">
        <v>375</v>
      </c>
      <c r="U801" s="108" t="s">
        <v>302</v>
      </c>
      <c r="V801" s="108" t="s">
        <v>302</v>
      </c>
      <c r="W801" s="108" t="s">
        <v>302</v>
      </c>
    </row>
    <row r="802" spans="1:23" ht="21" customHeight="1" x14ac:dyDescent="0.15">
      <c r="A802" s="104">
        <f t="shared" si="12"/>
        <v>801</v>
      </c>
      <c r="B802" s="105" t="s">
        <v>303</v>
      </c>
      <c r="C802" s="121" t="s">
        <v>2420</v>
      </c>
      <c r="D802" s="107" t="s">
        <v>2421</v>
      </c>
      <c r="E802" s="108" t="s">
        <v>1628</v>
      </c>
      <c r="F802" s="108" t="s">
        <v>1629</v>
      </c>
      <c r="G802" s="108" t="s">
        <v>2417</v>
      </c>
      <c r="H802" s="131" t="s">
        <v>618</v>
      </c>
      <c r="I802" s="140">
        <v>6</v>
      </c>
      <c r="J802" s="109" t="s">
        <v>2422</v>
      </c>
      <c r="K802" s="105" t="s">
        <v>1453</v>
      </c>
      <c r="L802" s="107" t="str">
        <f ca="1">VLOOKUP($K802,OFFSET([1]character_type_i18n!$A$1,0,0,COUNTA([1]character_type_i18n!$A:$A),MATCH(L$1,[1]character_type_i18n!$1:$1,0)-MATCH($K$1,[1]character_type_i18n!$1:$1,0)+1),MATCH(L$1,[1]character_type_i18n!$1:$1,0)-MATCH($K$1,[1]character_type_i18n!$1:$1,0)+1,FALSE)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02" s="105" t="s">
        <v>2423</v>
      </c>
      <c r="N802" s="107" t="str">
        <f>VLOOKUP(M802,[1]character_tribe_i18n!A:C,3,FALSE)</f>
        <v>マシン</v>
      </c>
      <c r="O802" s="105" t="s">
        <v>2424</v>
      </c>
      <c r="P802" s="107" t="str">
        <f>VLOOKUP(O802,[1]character_tribe_i18n!A:C,3,FALSE)</f>
        <v>ゴッド</v>
      </c>
      <c r="Q802" s="110" t="s">
        <v>279</v>
      </c>
      <c r="R802" s="111">
        <v>3</v>
      </c>
      <c r="S802" s="108" t="s">
        <v>280</v>
      </c>
      <c r="T802" s="108" t="s">
        <v>281</v>
      </c>
      <c r="U802" s="108" t="s">
        <v>280</v>
      </c>
      <c r="V802" s="108" t="s">
        <v>280</v>
      </c>
      <c r="W802" s="108" t="s">
        <v>280</v>
      </c>
    </row>
    <row r="803" spans="1:23" ht="21" customHeight="1" x14ac:dyDescent="0.15">
      <c r="A803" s="104">
        <f t="shared" si="12"/>
        <v>802</v>
      </c>
      <c r="B803" s="105" t="s">
        <v>268</v>
      </c>
      <c r="C803" s="121" t="s">
        <v>2425</v>
      </c>
      <c r="D803" s="107" t="s">
        <v>2426</v>
      </c>
      <c r="E803" s="108" t="s">
        <v>709</v>
      </c>
      <c r="F803" s="108" t="s">
        <v>532</v>
      </c>
      <c r="G803" s="108" t="s">
        <v>710</v>
      </c>
      <c r="H803" s="131" t="s">
        <v>551</v>
      </c>
      <c r="I803" s="140">
        <v>6</v>
      </c>
      <c r="J803" s="109" t="s">
        <v>2265</v>
      </c>
      <c r="K803" s="105" t="s">
        <v>1008</v>
      </c>
      <c r="L803" s="107" t="str">
        <f ca="1">VLOOKUP($K803,OFFSET([1]character_type_i18n!$A$1,0,0,COUNTA([1]character_type_i18n!$A:$A),MATCH(L$1,[1]character_type_i18n!$1:$1,0)-MATCH($K$1,[1]character_type_i18n!$1:$1,0)+1),MATCH(L$1,[1]character_type_i18n!$1:$1,0)-MATCH($K$1,[1]character_type_i18n!$1:$1,0)+1,FALSE)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03" s="105" t="s">
        <v>2427</v>
      </c>
      <c r="N803" s="107" t="str">
        <f>VLOOKUP(M803,[1]character_tribe_i18n!A:C,3,FALSE)</f>
        <v>ゴッド</v>
      </c>
      <c r="O803" s="105" t="s">
        <v>278</v>
      </c>
      <c r="P803" s="107" t="str">
        <f>VLOOKUP(O803,[1]character_tribe_i18n!A:C,3,FALSE)</f>
        <v>種族なし</v>
      </c>
      <c r="Q803" s="110" t="s">
        <v>2428</v>
      </c>
      <c r="R803" s="111">
        <v>3</v>
      </c>
      <c r="S803" s="108" t="s">
        <v>2063</v>
      </c>
      <c r="T803" s="108" t="s">
        <v>2062</v>
      </c>
      <c r="U803" s="108" t="s">
        <v>887</v>
      </c>
      <c r="V803" s="108" t="s">
        <v>887</v>
      </c>
      <c r="W803" s="108" t="s">
        <v>887</v>
      </c>
    </row>
    <row r="804" spans="1:23" ht="21" customHeight="1" x14ac:dyDescent="0.15">
      <c r="A804" s="104">
        <f t="shared" si="12"/>
        <v>803</v>
      </c>
      <c r="B804" s="105" t="s">
        <v>1288</v>
      </c>
      <c r="C804" s="136" t="s">
        <v>2429</v>
      </c>
      <c r="D804" s="107" t="s">
        <v>2430</v>
      </c>
      <c r="E804" s="108" t="s">
        <v>2431</v>
      </c>
      <c r="F804" s="108" t="s">
        <v>2432</v>
      </c>
      <c r="G804" s="108" t="s">
        <v>2433</v>
      </c>
      <c r="H804" s="131" t="s">
        <v>2434</v>
      </c>
      <c r="I804" s="140">
        <v>6</v>
      </c>
      <c r="J804" s="109" t="s">
        <v>2435</v>
      </c>
      <c r="K804" s="105" t="s">
        <v>2436</v>
      </c>
      <c r="L804" s="107" t="str">
        <f ca="1">VLOOKUP($K804,OFFSET([1]character_type_i18n!$A$1,0,0,COUNTA([1]character_type_i18n!$A:$A),MATCH(L$1,[1]character_type_i18n!$1:$1,0)-MATCH($K$1,[1]character_type_i18n!$1:$1,0)+1),MATCH(L$1,[1]character_type_i18n!$1:$1,0)-MATCH($K$1,[1]character_type_i18n!$1:$1,0)+1,FALSE)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04" s="105" t="s">
        <v>2437</v>
      </c>
      <c r="N804" s="107" t="str">
        <f>VLOOKUP(M804,[1]character_tribe_i18n!A:C,3,FALSE)</f>
        <v>ヒューマン</v>
      </c>
      <c r="O804" s="105" t="s">
        <v>278</v>
      </c>
      <c r="P804" s="107" t="str">
        <f>VLOOKUP(O804,[1]character_tribe_i18n!A:C,3,FALSE)</f>
        <v>種族なし</v>
      </c>
      <c r="Q804" s="110" t="s">
        <v>2438</v>
      </c>
      <c r="R804" s="111">
        <v>3</v>
      </c>
      <c r="S804" s="108" t="s">
        <v>2439</v>
      </c>
      <c r="T804" s="108" t="s">
        <v>2440</v>
      </c>
      <c r="U804" s="108" t="s">
        <v>887</v>
      </c>
      <c r="V804" s="108" t="s">
        <v>887</v>
      </c>
      <c r="W804" s="108" t="s">
        <v>887</v>
      </c>
    </row>
    <row r="805" spans="1:23" ht="21" customHeight="1" x14ac:dyDescent="0.15">
      <c r="A805" s="104">
        <f t="shared" si="12"/>
        <v>804</v>
      </c>
      <c r="B805" s="105" t="s">
        <v>1288</v>
      </c>
      <c r="C805" s="121" t="s">
        <v>2441</v>
      </c>
      <c r="D805" s="107" t="s">
        <v>2442</v>
      </c>
      <c r="E805" s="108" t="s">
        <v>2431</v>
      </c>
      <c r="F805" s="108" t="s">
        <v>2432</v>
      </c>
      <c r="G805" s="108" t="s">
        <v>2433</v>
      </c>
      <c r="H805" s="131" t="s">
        <v>2434</v>
      </c>
      <c r="I805" s="140">
        <v>6</v>
      </c>
      <c r="J805" s="109" t="s">
        <v>2435</v>
      </c>
      <c r="K805" s="105" t="s">
        <v>2443</v>
      </c>
      <c r="L805" s="107" t="str">
        <f ca="1">VLOOKUP($K805,OFFSET([1]character_type_i18n!$A$1,0,0,COUNTA([1]character_type_i18n!$A:$A),MATCH(L$1,[1]character_type_i18n!$1:$1,0)-MATCH($K$1,[1]character_type_i18n!$1:$1,0)+1),MATCH(L$1,[1]character_type_i18n!$1:$1,0)-MATCH($K$1,[1]character_type_i18n!$1:$1,0)+1,FALSE)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05" s="105" t="s">
        <v>1011</v>
      </c>
      <c r="N805" s="107" t="str">
        <f>VLOOKUP(M805,[1]character_tribe_i18n!A:C,3,FALSE)</f>
        <v>ヒューマン</v>
      </c>
      <c r="O805" s="105" t="s">
        <v>278</v>
      </c>
      <c r="P805" s="107" t="str">
        <f>VLOOKUP(O805,[1]character_tribe_i18n!A:C,3,FALSE)</f>
        <v>種族なし</v>
      </c>
      <c r="Q805" s="110" t="s">
        <v>279</v>
      </c>
      <c r="R805" s="111">
        <v>3</v>
      </c>
      <c r="S805" s="108" t="s">
        <v>280</v>
      </c>
      <c r="T805" s="108" t="s">
        <v>281</v>
      </c>
      <c r="U805" s="108" t="s">
        <v>280</v>
      </c>
      <c r="V805" s="108" t="s">
        <v>280</v>
      </c>
      <c r="W805" s="108" t="s">
        <v>280</v>
      </c>
    </row>
    <row r="806" spans="1:23" ht="21" customHeight="1" x14ac:dyDescent="0.15">
      <c r="A806" s="104">
        <f t="shared" si="12"/>
        <v>805</v>
      </c>
      <c r="B806" s="105" t="s">
        <v>268</v>
      </c>
      <c r="C806" s="121" t="s">
        <v>2444</v>
      </c>
      <c r="D806" s="107" t="s">
        <v>2445</v>
      </c>
      <c r="E806" s="108" t="s">
        <v>709</v>
      </c>
      <c r="F806" s="108" t="s">
        <v>532</v>
      </c>
      <c r="G806" s="108" t="s">
        <v>710</v>
      </c>
      <c r="H806" s="131" t="s">
        <v>1141</v>
      </c>
      <c r="I806" s="140">
        <v>6</v>
      </c>
      <c r="J806" s="109" t="s">
        <v>2367</v>
      </c>
      <c r="K806" s="105" t="s">
        <v>1005</v>
      </c>
      <c r="L806" s="107" t="str">
        <f ca="1">VLOOKUP($K806,OFFSET([1]character_type_i18n!$A$1,0,0,COUNTA([1]character_type_i18n!$A:$A),MATCH(L$1,[1]character_type_i18n!$1:$1,0)-MATCH($K$1,[1]character_type_i18n!$1:$1,0)+1),MATCH(L$1,[1]character_type_i18n!$1:$1,0)-MATCH($K$1,[1]character_type_i18n!$1:$1,0)+1,FALSE)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06" s="105" t="s">
        <v>2446</v>
      </c>
      <c r="N806" s="107" t="str">
        <f>VLOOKUP(M806,[1]character_tribe_i18n!A:C,3,FALSE)</f>
        <v>ゴッド</v>
      </c>
      <c r="O806" s="105" t="s">
        <v>278</v>
      </c>
      <c r="P806" s="107" t="str">
        <f>VLOOKUP(O806,[1]character_tribe_i18n!A:C,3,FALSE)</f>
        <v>種族なし</v>
      </c>
      <c r="Q806" s="110" t="s">
        <v>2447</v>
      </c>
      <c r="R806" s="111">
        <v>3</v>
      </c>
      <c r="S806" s="108" t="s">
        <v>1916</v>
      </c>
      <c r="T806" s="108" t="s">
        <v>1917</v>
      </c>
      <c r="U806" s="108" t="s">
        <v>887</v>
      </c>
      <c r="V806" s="108" t="s">
        <v>887</v>
      </c>
      <c r="W806" s="108" t="s">
        <v>887</v>
      </c>
    </row>
    <row r="807" spans="1:23" ht="21" customHeight="1" x14ac:dyDescent="0.15">
      <c r="A807" s="104">
        <f t="shared" si="12"/>
        <v>806</v>
      </c>
      <c r="B807" s="105" t="s">
        <v>1288</v>
      </c>
      <c r="C807" s="149" t="s">
        <v>2448</v>
      </c>
      <c r="D807" s="107" t="s">
        <v>2449</v>
      </c>
      <c r="E807" s="108" t="s">
        <v>1672</v>
      </c>
      <c r="F807" s="108" t="s">
        <v>1673</v>
      </c>
      <c r="G807" s="108" t="s">
        <v>2450</v>
      </c>
      <c r="H807" s="131" t="s">
        <v>2451</v>
      </c>
      <c r="I807" s="140">
        <v>6</v>
      </c>
      <c r="J807" s="109" t="s">
        <v>2452</v>
      </c>
      <c r="K807" s="105" t="s">
        <v>2453</v>
      </c>
      <c r="L807" s="107" t="str">
        <f ca="1">VLOOKUP($K807,OFFSET([1]character_type_i18n!$A$1,0,0,COUNTA([1]character_type_i18n!$A:$A),MATCH(L$1,[1]character_type_i18n!$1:$1,0)-MATCH($K$1,[1]character_type_i18n!$1:$1,0)+1),MATCH(L$1,[1]character_type_i18n!$1:$1,0)-MATCH($K$1,[1]character_type_i18n!$1:$1,0)+1,FALSE)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07" s="105" t="s">
        <v>2454</v>
      </c>
      <c r="N807" s="107" t="str">
        <f>VLOOKUP(M807,[1]character_tribe_i18n!A:C,3,FALSE)</f>
        <v>ゴッド</v>
      </c>
      <c r="O807" s="105" t="s">
        <v>278</v>
      </c>
      <c r="P807" s="107" t="str">
        <f>VLOOKUP(O807,[1]character_tribe_i18n!A:C,3,FALSE)</f>
        <v>種族なし</v>
      </c>
      <c r="Q807" s="110" t="s">
        <v>279</v>
      </c>
      <c r="R807" s="111">
        <v>3</v>
      </c>
      <c r="S807" s="108" t="s">
        <v>280</v>
      </c>
      <c r="T807" s="108" t="s">
        <v>281</v>
      </c>
      <c r="U807" s="108" t="s">
        <v>280</v>
      </c>
      <c r="V807" s="108" t="s">
        <v>280</v>
      </c>
      <c r="W807" s="108" t="s">
        <v>280</v>
      </c>
    </row>
    <row r="808" spans="1:23" ht="21" customHeight="1" x14ac:dyDescent="0.15">
      <c r="A808" s="104">
        <f t="shared" si="12"/>
        <v>807</v>
      </c>
      <c r="B808" s="105" t="s">
        <v>268</v>
      </c>
      <c r="C808" s="121" t="s">
        <v>2455</v>
      </c>
      <c r="D808" s="107" t="s">
        <v>2456</v>
      </c>
      <c r="E808" s="108" t="s">
        <v>709</v>
      </c>
      <c r="F808" s="108" t="s">
        <v>532</v>
      </c>
      <c r="G808" s="108" t="s">
        <v>710</v>
      </c>
      <c r="H808" s="131" t="s">
        <v>768</v>
      </c>
      <c r="I808" s="140">
        <v>6</v>
      </c>
      <c r="J808" s="109" t="s">
        <v>2367</v>
      </c>
      <c r="K808" s="105" t="s">
        <v>1005</v>
      </c>
      <c r="L808" s="107" t="str">
        <f ca="1">VLOOKUP($K808,OFFSET([1]character_type_i18n!$A$1,0,0,COUNTA([1]character_type_i18n!$A:$A),MATCH(L$1,[1]character_type_i18n!$1:$1,0)-MATCH($K$1,[1]character_type_i18n!$1:$1,0)+1),MATCH(L$1,[1]character_type_i18n!$1:$1,0)-MATCH($K$1,[1]character_type_i18n!$1:$1,0)+1,FALSE)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08" s="105" t="s">
        <v>2457</v>
      </c>
      <c r="N808" s="107" t="str">
        <f>VLOOKUP(M808,[1]character_tribe_i18n!A:C,3,FALSE)</f>
        <v>ゴッド</v>
      </c>
      <c r="O808" s="105" t="s">
        <v>278</v>
      </c>
      <c r="P808" s="107" t="str">
        <f>VLOOKUP(O808,[1]character_tribe_i18n!A:C,3,FALSE)</f>
        <v>種族なし</v>
      </c>
      <c r="Q808" s="110" t="s">
        <v>2458</v>
      </c>
      <c r="R808" s="111">
        <v>3</v>
      </c>
      <c r="S808" s="108" t="s">
        <v>911</v>
      </c>
      <c r="T808" s="108" t="s">
        <v>281</v>
      </c>
      <c r="U808" s="108" t="s">
        <v>280</v>
      </c>
      <c r="V808" s="108" t="s">
        <v>894</v>
      </c>
      <c r="W808" s="108" t="s">
        <v>894</v>
      </c>
    </row>
    <row r="809" spans="1:23" ht="21" customHeight="1" x14ac:dyDescent="0.15">
      <c r="A809" s="104">
        <f t="shared" si="12"/>
        <v>808</v>
      </c>
      <c r="B809" s="105" t="s">
        <v>1261</v>
      </c>
      <c r="C809" s="121" t="s">
        <v>2459</v>
      </c>
      <c r="D809" s="107" t="s">
        <v>2460</v>
      </c>
      <c r="E809" s="108" t="s">
        <v>709</v>
      </c>
      <c r="F809" s="108" t="s">
        <v>532</v>
      </c>
      <c r="G809" s="108" t="s">
        <v>710</v>
      </c>
      <c r="H809" s="131" t="s">
        <v>551</v>
      </c>
      <c r="I809" s="140">
        <v>6</v>
      </c>
      <c r="J809" s="109" t="s">
        <v>2461</v>
      </c>
      <c r="K809" s="105" t="s">
        <v>1005</v>
      </c>
      <c r="L809" s="107" t="str">
        <f ca="1">VLOOKUP($K809,OFFSET([1]character_type_i18n!$A$1,0,0,COUNTA([1]character_type_i18n!$A:$A),MATCH(L$1,[1]character_type_i18n!$1:$1,0)-MATCH($K$1,[1]character_type_i18n!$1:$1,0)+1),MATCH(L$1,[1]character_type_i18n!$1:$1,0)-MATCH($K$1,[1]character_type_i18n!$1:$1,0)+1,FALSE)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09" s="105" t="s">
        <v>1018</v>
      </c>
      <c r="N809" s="107" t="str">
        <f>VLOOKUP(M809,[1]character_tribe_i18n!A:C,3,FALSE)</f>
        <v>ゴッド</v>
      </c>
      <c r="O809" s="105" t="s">
        <v>278</v>
      </c>
      <c r="P809" s="107" t="str">
        <f>VLOOKUP(O809,[1]character_tribe_i18n!A:C,3,FALSE)</f>
        <v>種族なし</v>
      </c>
      <c r="Q809" s="110" t="s">
        <v>279</v>
      </c>
      <c r="R809" s="111">
        <v>3</v>
      </c>
      <c r="S809" s="108" t="s">
        <v>280</v>
      </c>
      <c r="T809" s="108" t="s">
        <v>893</v>
      </c>
      <c r="U809" s="108" t="s">
        <v>898</v>
      </c>
      <c r="V809" s="108" t="s">
        <v>894</v>
      </c>
      <c r="W809" s="108" t="s">
        <v>894</v>
      </c>
    </row>
    <row r="810" spans="1:23" ht="21" customHeight="1" x14ac:dyDescent="0.15">
      <c r="A810" s="104">
        <f t="shared" si="12"/>
        <v>809</v>
      </c>
      <c r="B810" s="105" t="s">
        <v>1261</v>
      </c>
      <c r="C810" s="121" t="s">
        <v>2462</v>
      </c>
      <c r="D810" s="107" t="s">
        <v>2463</v>
      </c>
      <c r="E810" s="108" t="s">
        <v>709</v>
      </c>
      <c r="F810" s="108" t="s">
        <v>1577</v>
      </c>
      <c r="G810" s="108" t="s">
        <v>1578</v>
      </c>
      <c r="H810" s="131" t="s">
        <v>2464</v>
      </c>
      <c r="I810" s="140">
        <v>6</v>
      </c>
      <c r="J810" s="109" t="s">
        <v>2465</v>
      </c>
      <c r="K810" s="105" t="s">
        <v>2466</v>
      </c>
      <c r="L810" s="107" t="str">
        <f ca="1">VLOOKUP($K810,OFFSET([1]character_type_i18n!$A$1,0,0,COUNTA([1]character_type_i18n!$A:$A),MATCH(L$1,[1]character_type_i18n!$1:$1,0)-MATCH($K$1,[1]character_type_i18n!$1:$1,0)+1),MATCH(L$1,[1]character_type_i18n!$1:$1,0)-MATCH($K$1,[1]character_type_i18n!$1:$1,0)+1,FALSE)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10" s="105" t="s">
        <v>2467</v>
      </c>
      <c r="N810" s="107" t="str">
        <f>VLOOKUP(M810,[1]character_tribe_i18n!A:C,3,FALSE)</f>
        <v>ヒューマン</v>
      </c>
      <c r="O810" s="105" t="s">
        <v>278</v>
      </c>
      <c r="P810" s="107" t="str">
        <f>VLOOKUP(O810,[1]character_tribe_i18n!A:C,3,FALSE)</f>
        <v>種族なし</v>
      </c>
      <c r="Q810" s="110" t="s">
        <v>279</v>
      </c>
      <c r="R810" s="111">
        <v>3</v>
      </c>
      <c r="S810" s="108" t="s">
        <v>280</v>
      </c>
      <c r="T810" s="108" t="s">
        <v>2468</v>
      </c>
      <c r="U810" s="108" t="s">
        <v>1540</v>
      </c>
      <c r="V810" s="108" t="s">
        <v>894</v>
      </c>
      <c r="W810" s="108" t="s">
        <v>894</v>
      </c>
    </row>
    <row r="811" spans="1:23" ht="21" customHeight="1" x14ac:dyDescent="0.15">
      <c r="A811" s="104">
        <f t="shared" si="12"/>
        <v>810</v>
      </c>
      <c r="B811" s="105" t="s">
        <v>1261</v>
      </c>
      <c r="C811" s="121" t="s">
        <v>2469</v>
      </c>
      <c r="D811" s="107" t="s">
        <v>2470</v>
      </c>
      <c r="E811" s="108" t="s">
        <v>2388</v>
      </c>
      <c r="F811" s="108" t="s">
        <v>2389</v>
      </c>
      <c r="G811" s="108" t="s">
        <v>2390</v>
      </c>
      <c r="H811" s="131" t="s">
        <v>2471</v>
      </c>
      <c r="I811" s="140">
        <v>6</v>
      </c>
      <c r="J811" s="109" t="s">
        <v>2472</v>
      </c>
      <c r="K811" s="105" t="s">
        <v>2473</v>
      </c>
      <c r="L811" s="107" t="str">
        <f ca="1">VLOOKUP($K811,OFFSET([1]character_type_i18n!$A$1,0,0,COUNTA([1]character_type_i18n!$A:$A),MATCH(L$1,[1]character_type_i18n!$1:$1,0)-MATCH($K$1,[1]character_type_i18n!$1:$1,0)+1),MATCH(L$1,[1]character_type_i18n!$1:$1,0)-MATCH($K$1,[1]character_type_i18n!$1:$1,0)+1,FALSE)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11" s="105" t="s">
        <v>2474</v>
      </c>
      <c r="N811" s="107" t="str">
        <f>VLOOKUP(M811,[1]character_tribe_i18n!A:C,3,FALSE)</f>
        <v>ゴッド</v>
      </c>
      <c r="O811" s="105" t="s">
        <v>278</v>
      </c>
      <c r="P811" s="107" t="str">
        <f>VLOOKUP(O811,[1]character_tribe_i18n!A:C,3,FALSE)</f>
        <v>種族なし</v>
      </c>
      <c r="Q811" s="110" t="s">
        <v>279</v>
      </c>
      <c r="R811" s="111">
        <v>3</v>
      </c>
      <c r="S811" s="108" t="s">
        <v>280</v>
      </c>
      <c r="T811" s="108" t="s">
        <v>2468</v>
      </c>
      <c r="U811" s="108" t="s">
        <v>1540</v>
      </c>
      <c r="V811" s="108" t="s">
        <v>894</v>
      </c>
      <c r="W811" s="108" t="s">
        <v>894</v>
      </c>
    </row>
    <row r="812" spans="1:23" ht="21" customHeight="1" x14ac:dyDescent="0.15">
      <c r="A812" s="104">
        <f t="shared" si="12"/>
        <v>811</v>
      </c>
      <c r="B812" s="105" t="s">
        <v>1261</v>
      </c>
      <c r="C812" s="127" t="s">
        <v>2475</v>
      </c>
      <c r="D812" s="107" t="s">
        <v>2476</v>
      </c>
      <c r="E812" s="108" t="s">
        <v>2477</v>
      </c>
      <c r="F812" s="108" t="s">
        <v>2478</v>
      </c>
      <c r="G812" s="108" t="s">
        <v>2479</v>
      </c>
      <c r="H812" s="131" t="s">
        <v>2480</v>
      </c>
      <c r="I812" s="140">
        <v>6</v>
      </c>
      <c r="J812" s="109" t="s">
        <v>2481</v>
      </c>
      <c r="K812" s="105" t="s">
        <v>2482</v>
      </c>
      <c r="L812" s="107" t="str">
        <f ca="1">VLOOKUP($K812,OFFSET([1]character_type_i18n!$A$1,0,0,COUNTA([1]character_type_i18n!$A:$A),MATCH(L$1,[1]character_type_i18n!$1:$1,0)-MATCH($K$1,[1]character_type_i18n!$1:$1,0)+1),MATCH(L$1,[1]character_type_i18n!$1:$1,0)-MATCH($K$1,[1]character_type_i18n!$1:$1,0)+1,FALSE)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12" s="105" t="s">
        <v>2483</v>
      </c>
      <c r="N812" s="107" t="str">
        <f>VLOOKUP(M812,[1]character_tribe_i18n!A:C,3,FALSE)</f>
        <v>ヒューマン</v>
      </c>
      <c r="O812" s="105" t="s">
        <v>1017</v>
      </c>
      <c r="P812" s="107" t="str">
        <f>VLOOKUP(O812,[1]character_tribe_i18n!A:C,3,FALSE)</f>
        <v>マシン</v>
      </c>
      <c r="Q812" s="110" t="s">
        <v>1539</v>
      </c>
      <c r="R812" s="111">
        <v>3</v>
      </c>
      <c r="S812" s="108" t="s">
        <v>1540</v>
      </c>
      <c r="T812" s="108" t="s">
        <v>2484</v>
      </c>
      <c r="U812" s="108" t="s">
        <v>2485</v>
      </c>
      <c r="V812" s="108" t="s">
        <v>894</v>
      </c>
      <c r="W812" s="108" t="s">
        <v>894</v>
      </c>
    </row>
    <row r="813" spans="1:23" ht="21" customHeight="1" x14ac:dyDescent="0.15">
      <c r="A813" s="104">
        <f t="shared" si="12"/>
        <v>812</v>
      </c>
      <c r="B813" s="105" t="s">
        <v>1261</v>
      </c>
      <c r="C813" s="121" t="s">
        <v>2486</v>
      </c>
      <c r="D813" s="107" t="s">
        <v>2487</v>
      </c>
      <c r="E813" s="108" t="s">
        <v>2488</v>
      </c>
      <c r="F813" s="108" t="s">
        <v>2489</v>
      </c>
      <c r="G813" s="108" t="s">
        <v>2490</v>
      </c>
      <c r="H813" s="131" t="s">
        <v>2491</v>
      </c>
      <c r="I813" s="140">
        <v>6</v>
      </c>
      <c r="J813" s="109" t="s">
        <v>2492</v>
      </c>
      <c r="K813" s="105" t="s">
        <v>2493</v>
      </c>
      <c r="L813" s="107" t="str">
        <f ca="1">VLOOKUP($K813,OFFSET([1]character_type_i18n!$A$1,0,0,COUNTA([1]character_type_i18n!$A:$A),MATCH(L$1,[1]character_type_i18n!$1:$1,0)-MATCH($K$1,[1]character_type_i18n!$1:$1,0)+1),MATCH(L$1,[1]character_type_i18n!$1:$1,0)-MATCH($K$1,[1]character_type_i18n!$1:$1,0)+1,FALSE)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13" s="105" t="s">
        <v>2494</v>
      </c>
      <c r="N813" s="107" t="str">
        <f>VLOOKUP(M813,[1]character_tribe_i18n!A:C,3,FALSE)</f>
        <v>ゴッド</v>
      </c>
      <c r="O813" s="105" t="s">
        <v>278</v>
      </c>
      <c r="P813" s="107" t="str">
        <f>VLOOKUP(O813,[1]character_tribe_i18n!A:C,3,FALSE)</f>
        <v>種族なし</v>
      </c>
      <c r="Q813" s="110" t="s">
        <v>279</v>
      </c>
      <c r="R813" s="111">
        <v>3</v>
      </c>
      <c r="S813" s="108" t="s">
        <v>280</v>
      </c>
      <c r="T813" s="108" t="s">
        <v>281</v>
      </c>
      <c r="U813" s="108" t="s">
        <v>280</v>
      </c>
      <c r="V813" s="108" t="s">
        <v>894</v>
      </c>
      <c r="W813" s="108" t="s">
        <v>894</v>
      </c>
    </row>
    <row r="814" spans="1:23" ht="21" customHeight="1" x14ac:dyDescent="0.15">
      <c r="A814" s="104">
        <f t="shared" si="12"/>
        <v>813</v>
      </c>
      <c r="B814" s="105" t="s">
        <v>1261</v>
      </c>
      <c r="C814" s="127" t="s">
        <v>2495</v>
      </c>
      <c r="D814" s="107" t="s">
        <v>2496</v>
      </c>
      <c r="E814" s="108" t="s">
        <v>2497</v>
      </c>
      <c r="F814" s="108" t="s">
        <v>2498</v>
      </c>
      <c r="G814" s="108" t="s">
        <v>2499</v>
      </c>
      <c r="H814" s="131" t="s">
        <v>551</v>
      </c>
      <c r="I814" s="140">
        <v>6</v>
      </c>
      <c r="J814" s="109" t="s">
        <v>1001</v>
      </c>
      <c r="K814" s="105" t="s">
        <v>1008</v>
      </c>
      <c r="L814" s="107" t="str">
        <f ca="1">VLOOKUP($K814,OFFSET([1]character_type_i18n!$A$1,0,0,COUNTA([1]character_type_i18n!$A:$A),MATCH(L$1,[1]character_type_i18n!$1:$1,0)-MATCH($K$1,[1]character_type_i18n!$1:$1,0)+1),MATCH(L$1,[1]character_type_i18n!$1:$1,0)-MATCH($K$1,[1]character_type_i18n!$1:$1,0)+1,FALSE)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14" s="105" t="s">
        <v>2500</v>
      </c>
      <c r="N814" s="107" t="str">
        <f>VLOOKUP(M814,[1]character_tribe_i18n!A:C,3,FALSE)</f>
        <v>ヒューマン</v>
      </c>
      <c r="O814" s="105" t="s">
        <v>2501</v>
      </c>
      <c r="P814" s="107" t="str">
        <f>VLOOKUP(O814,[1]character_tribe_i18n!A:C,3,FALSE)</f>
        <v>マシン</v>
      </c>
      <c r="Q814" s="110" t="s">
        <v>279</v>
      </c>
      <c r="R814" s="111">
        <v>3</v>
      </c>
      <c r="S814" s="108" t="s">
        <v>280</v>
      </c>
      <c r="T814" s="108" t="s">
        <v>281</v>
      </c>
      <c r="U814" s="108" t="s">
        <v>280</v>
      </c>
      <c r="V814" s="108" t="s">
        <v>280</v>
      </c>
      <c r="W814" s="108" t="s">
        <v>280</v>
      </c>
    </row>
    <row r="815" spans="1:23" ht="21" customHeight="1" x14ac:dyDescent="0.15">
      <c r="A815" s="104">
        <f t="shared" si="12"/>
        <v>814</v>
      </c>
      <c r="B815" s="105" t="s">
        <v>268</v>
      </c>
      <c r="C815" s="121" t="s">
        <v>2502</v>
      </c>
      <c r="D815" s="107" t="s">
        <v>2503</v>
      </c>
      <c r="E815" s="108" t="s">
        <v>709</v>
      </c>
      <c r="F815" s="108" t="s">
        <v>1985</v>
      </c>
      <c r="G815" s="108" t="s">
        <v>2504</v>
      </c>
      <c r="H815" s="131" t="s">
        <v>2289</v>
      </c>
      <c r="I815" s="140">
        <v>6</v>
      </c>
      <c r="J815" s="109" t="s">
        <v>2505</v>
      </c>
      <c r="K815" s="105" t="s">
        <v>2506</v>
      </c>
      <c r="L815" s="107" t="str">
        <f ca="1">VLOOKUP($K815,OFFSET([1]character_type_i18n!$A$1,0,0,COUNTA([1]character_type_i18n!$A:$A),MATCH(L$1,[1]character_type_i18n!$1:$1,0)-MATCH($K$1,[1]character_type_i18n!$1:$1,0)+1),MATCH(L$1,[1]character_type_i18n!$1:$1,0)-MATCH($K$1,[1]character_type_i18n!$1:$1,0)+1,FALSE)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15" s="105" t="s">
        <v>2507</v>
      </c>
      <c r="N815" s="107" t="str">
        <f>VLOOKUP(M815,[1]character_tribe_i18n!A:C,3,FALSE)</f>
        <v>ヒューマン</v>
      </c>
      <c r="O815" s="105" t="s">
        <v>2508</v>
      </c>
      <c r="P815" s="107" t="str">
        <f>VLOOKUP(O815,[1]character_tribe_i18n!A:C,3,FALSE)</f>
        <v>種族なし</v>
      </c>
      <c r="Q815" s="110" t="s">
        <v>1656</v>
      </c>
      <c r="R815" s="111">
        <v>3</v>
      </c>
      <c r="S815" s="108" t="s">
        <v>898</v>
      </c>
      <c r="T815" s="108" t="s">
        <v>281</v>
      </c>
      <c r="U815" s="108" t="s">
        <v>280</v>
      </c>
      <c r="V815" s="108" t="s">
        <v>894</v>
      </c>
      <c r="W815" s="108" t="s">
        <v>894</v>
      </c>
    </row>
    <row r="816" spans="1:23" ht="21" customHeight="1" x14ac:dyDescent="0.15">
      <c r="A816" s="104">
        <f t="shared" si="12"/>
        <v>815</v>
      </c>
      <c r="B816" s="105" t="s">
        <v>1261</v>
      </c>
      <c r="C816" s="127" t="s">
        <v>2509</v>
      </c>
      <c r="D816" s="107" t="s">
        <v>2510</v>
      </c>
      <c r="E816" s="108" t="s">
        <v>2286</v>
      </c>
      <c r="F816" s="108" t="s">
        <v>2287</v>
      </c>
      <c r="G816" s="108" t="s">
        <v>2288</v>
      </c>
      <c r="H816" s="131" t="s">
        <v>2511</v>
      </c>
      <c r="I816" s="140">
        <v>6</v>
      </c>
      <c r="J816" s="109" t="s">
        <v>2512</v>
      </c>
      <c r="K816" s="105" t="s">
        <v>2513</v>
      </c>
      <c r="L816" s="107" t="str">
        <f ca="1">VLOOKUP($K816,OFFSET([1]character_type_i18n!$A$1,0,0,COUNTA([1]character_type_i18n!$A:$A),MATCH(L$1,[1]character_type_i18n!$1:$1,0)-MATCH($K$1,[1]character_type_i18n!$1:$1,0)+1),MATCH(L$1,[1]character_type_i18n!$1:$1,0)-MATCH($K$1,[1]character_type_i18n!$1:$1,0)+1,FALSE)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16" s="105" t="s">
        <v>313</v>
      </c>
      <c r="N816" s="107" t="str">
        <f>VLOOKUP(M816,[1]character_tribe_i18n!A:C,3,FALSE)</f>
        <v>アニマル</v>
      </c>
      <c r="O816" s="105" t="s">
        <v>278</v>
      </c>
      <c r="P816" s="107" t="str">
        <f>VLOOKUP(O816,[1]character_tribe_i18n!A:C,3,FALSE)</f>
        <v>種族なし</v>
      </c>
      <c r="Q816" s="110" t="s">
        <v>1539</v>
      </c>
      <c r="R816" s="111">
        <v>3</v>
      </c>
      <c r="S816" s="108" t="s">
        <v>1540</v>
      </c>
      <c r="T816" s="108" t="s">
        <v>2514</v>
      </c>
      <c r="U816" s="108" t="s">
        <v>280</v>
      </c>
      <c r="V816" s="108" t="s">
        <v>894</v>
      </c>
      <c r="W816" s="108" t="s">
        <v>894</v>
      </c>
    </row>
    <row r="817" spans="1:23" ht="21" customHeight="1" x14ac:dyDescent="0.15">
      <c r="A817" s="104">
        <f t="shared" si="12"/>
        <v>816</v>
      </c>
      <c r="B817" s="105" t="s">
        <v>1261</v>
      </c>
      <c r="C817" s="121" t="s">
        <v>2515</v>
      </c>
      <c r="D817" s="107" t="s">
        <v>2516</v>
      </c>
      <c r="E817" s="108" t="s">
        <v>2488</v>
      </c>
      <c r="F817" s="108" t="s">
        <v>2489</v>
      </c>
      <c r="G817" s="108" t="s">
        <v>2490</v>
      </c>
      <c r="H817" s="131" t="s">
        <v>2517</v>
      </c>
      <c r="I817" s="140">
        <v>6</v>
      </c>
      <c r="J817" s="109" t="s">
        <v>2069</v>
      </c>
      <c r="K817" s="105" t="s">
        <v>1273</v>
      </c>
      <c r="L817" s="107" t="str">
        <f ca="1">VLOOKUP($K817,OFFSET([1]character_type_i18n!$A$1,0,0,COUNTA([1]character_type_i18n!$A:$A),MATCH(L$1,[1]character_type_i18n!$1:$1,0)-MATCH($K$1,[1]character_type_i18n!$1:$1,0)+1),MATCH(L$1,[1]character_type_i18n!$1:$1,0)-MATCH($K$1,[1]character_type_i18n!$1:$1,0)+1,FALSE)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17" s="105" t="s">
        <v>1011</v>
      </c>
      <c r="N817" s="107" t="str">
        <f>VLOOKUP(M817,[1]character_tribe_i18n!A:C,3,FALSE)</f>
        <v>ヒューマン</v>
      </c>
      <c r="O817" s="105" t="s">
        <v>278</v>
      </c>
      <c r="P817" s="107" t="str">
        <f>VLOOKUP(O817,[1]character_tribe_i18n!A:C,3,FALSE)</f>
        <v>種族なし</v>
      </c>
      <c r="Q817" s="110" t="s">
        <v>279</v>
      </c>
      <c r="R817" s="111">
        <v>3</v>
      </c>
      <c r="S817" s="108" t="s">
        <v>280</v>
      </c>
      <c r="T817" s="108" t="s">
        <v>610</v>
      </c>
      <c r="U817" s="108" t="s">
        <v>611</v>
      </c>
      <c r="V817" s="108" t="s">
        <v>894</v>
      </c>
      <c r="W817" s="108" t="s">
        <v>894</v>
      </c>
    </row>
    <row r="818" spans="1:23" ht="21" customHeight="1" x14ac:dyDescent="0.15">
      <c r="A818" s="104">
        <f t="shared" si="12"/>
        <v>817</v>
      </c>
      <c r="B818" s="105" t="s">
        <v>1261</v>
      </c>
      <c r="C818" s="127" t="s">
        <v>2518</v>
      </c>
      <c r="D818" s="107" t="s">
        <v>2519</v>
      </c>
      <c r="E818" s="108" t="s">
        <v>2520</v>
      </c>
      <c r="F818" s="108" t="s">
        <v>2489</v>
      </c>
      <c r="G818" s="108" t="s">
        <v>2490</v>
      </c>
      <c r="H818" s="131" t="s">
        <v>2521</v>
      </c>
      <c r="I818" s="140">
        <v>6</v>
      </c>
      <c r="J818" s="109" t="s">
        <v>2522</v>
      </c>
      <c r="K818" s="105" t="s">
        <v>2523</v>
      </c>
      <c r="L818" s="107" t="str">
        <f ca="1">VLOOKUP($K818,OFFSET([1]character_type_i18n!$A$1,0,0,COUNTA([1]character_type_i18n!$A:$A),MATCH(L$1,[1]character_type_i18n!$1:$1,0)-MATCH($K$1,[1]character_type_i18n!$1:$1,0)+1),MATCH(L$1,[1]character_type_i18n!$1:$1,0)-MATCH($K$1,[1]character_type_i18n!$1:$1,0)+1,FALSE)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18" s="105" t="s">
        <v>1011</v>
      </c>
      <c r="N818" s="107" t="str">
        <f>VLOOKUP(M818,[1]character_tribe_i18n!A:C,3,FALSE)</f>
        <v>ヒューマン</v>
      </c>
      <c r="O818" s="105" t="s">
        <v>278</v>
      </c>
      <c r="P818" s="107" t="str">
        <f>VLOOKUP(O818,[1]character_tribe_i18n!A:C,3,FALSE)</f>
        <v>種族なし</v>
      </c>
      <c r="Q818" s="110" t="s">
        <v>2524</v>
      </c>
      <c r="R818" s="111">
        <v>3</v>
      </c>
      <c r="S818" s="108" t="s">
        <v>892</v>
      </c>
      <c r="T818" s="108" t="s">
        <v>915</v>
      </c>
      <c r="U818" s="108" t="s">
        <v>880</v>
      </c>
      <c r="V818" s="108" t="s">
        <v>894</v>
      </c>
      <c r="W818" s="108" t="s">
        <v>894</v>
      </c>
    </row>
    <row r="819" spans="1:23" ht="21" customHeight="1" x14ac:dyDescent="0.15">
      <c r="A819" s="104">
        <f t="shared" si="12"/>
        <v>818</v>
      </c>
      <c r="B819" s="105" t="s">
        <v>1261</v>
      </c>
      <c r="C819" s="127" t="s">
        <v>2525</v>
      </c>
      <c r="D819" s="107" t="s">
        <v>2526</v>
      </c>
      <c r="E819" s="108" t="s">
        <v>709</v>
      </c>
      <c r="F819" s="108" t="s">
        <v>532</v>
      </c>
      <c r="G819" s="108" t="s">
        <v>710</v>
      </c>
      <c r="H819" s="131" t="s">
        <v>614</v>
      </c>
      <c r="I819" s="140">
        <v>6</v>
      </c>
      <c r="J819" s="109" t="s">
        <v>1504</v>
      </c>
      <c r="K819" s="105" t="s">
        <v>1505</v>
      </c>
      <c r="L819" s="107" t="str">
        <f ca="1">VLOOKUP($K819,OFFSET([1]character_type_i18n!$A$1,0,0,COUNTA([1]character_type_i18n!$A:$A),MATCH(L$1,[1]character_type_i18n!$1:$1,0)-MATCH($K$1,[1]character_type_i18n!$1:$1,0)+1),MATCH(L$1,[1]character_type_i18n!$1:$1,0)-MATCH($K$1,[1]character_type_i18n!$1:$1,0)+1,FALSE)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19" s="105" t="s">
        <v>1011</v>
      </c>
      <c r="N819" s="107" t="str">
        <f>VLOOKUP(M819,[1]character_tribe_i18n!A:C,3,FALSE)</f>
        <v>ヒューマン</v>
      </c>
      <c r="O819" s="105" t="s">
        <v>278</v>
      </c>
      <c r="P819" s="107" t="str">
        <f>VLOOKUP(O819,[1]character_tribe_i18n!A:C,3,FALSE)</f>
        <v>種族なし</v>
      </c>
      <c r="Q819" s="110" t="s">
        <v>279</v>
      </c>
      <c r="R819" s="111">
        <v>3</v>
      </c>
      <c r="S819" s="108" t="s">
        <v>280</v>
      </c>
      <c r="T819" s="108" t="s">
        <v>610</v>
      </c>
      <c r="U819" s="108" t="s">
        <v>611</v>
      </c>
      <c r="V819" s="108" t="s">
        <v>894</v>
      </c>
      <c r="W819" s="108" t="s">
        <v>894</v>
      </c>
    </row>
    <row r="820" spans="1:23" ht="21" customHeight="1" x14ac:dyDescent="0.15">
      <c r="A820" s="104">
        <f t="shared" si="12"/>
        <v>819</v>
      </c>
      <c r="B820" s="105" t="s">
        <v>268</v>
      </c>
      <c r="C820" s="127" t="s">
        <v>2527</v>
      </c>
      <c r="D820" s="107" t="s">
        <v>2528</v>
      </c>
      <c r="E820" s="108" t="s">
        <v>709</v>
      </c>
      <c r="F820" s="108" t="s">
        <v>532</v>
      </c>
      <c r="G820" s="108" t="s">
        <v>710</v>
      </c>
      <c r="H820" s="131" t="s">
        <v>768</v>
      </c>
      <c r="I820" s="140">
        <v>6</v>
      </c>
      <c r="J820" s="109" t="s">
        <v>2529</v>
      </c>
      <c r="K820" s="105" t="s">
        <v>2530</v>
      </c>
      <c r="L820" s="107" t="str">
        <f ca="1">VLOOKUP($K820,OFFSET([1]character_type_i18n!$A$1,0,0,COUNTA([1]character_type_i18n!$A:$A),MATCH(L$1,[1]character_type_i18n!$1:$1,0)-MATCH($K$1,[1]character_type_i18n!$1:$1,0)+1),MATCH(L$1,[1]character_type_i18n!$1:$1,0)-MATCH($K$1,[1]character_type_i18n!$1:$1,0)+1,FALSE)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20" s="105" t="s">
        <v>1394</v>
      </c>
      <c r="N820" s="107" t="str">
        <f>VLOOKUP(M820,[1]character_tribe_i18n!A:C,3,FALSE)</f>
        <v>ヒューマン</v>
      </c>
      <c r="O820" s="105" t="s">
        <v>278</v>
      </c>
      <c r="P820" s="107" t="str">
        <f>VLOOKUP(O820,[1]character_tribe_i18n!A:C,3,FALSE)</f>
        <v>種族なし</v>
      </c>
      <c r="Q820" s="110" t="s">
        <v>362</v>
      </c>
      <c r="R820" s="111">
        <v>3</v>
      </c>
      <c r="S820" s="108" t="s">
        <v>289</v>
      </c>
      <c r="T820" s="108" t="s">
        <v>288</v>
      </c>
      <c r="U820" s="108" t="s">
        <v>289</v>
      </c>
      <c r="V820" s="108" t="s">
        <v>289</v>
      </c>
      <c r="W820" s="108" t="s">
        <v>289</v>
      </c>
    </row>
    <row r="821" spans="1:23" ht="21" customHeight="1" x14ac:dyDescent="0.15">
      <c r="A821" s="104">
        <f t="shared" si="12"/>
        <v>820</v>
      </c>
      <c r="B821" s="105" t="s">
        <v>292</v>
      </c>
      <c r="C821" s="121" t="s">
        <v>2531</v>
      </c>
      <c r="D821" s="107" t="s">
        <v>2532</v>
      </c>
      <c r="E821" s="108" t="s">
        <v>848</v>
      </c>
      <c r="F821" s="108" t="s">
        <v>1422</v>
      </c>
      <c r="G821" s="108" t="s">
        <v>1587</v>
      </c>
      <c r="H821" s="131" t="s">
        <v>1190</v>
      </c>
      <c r="I821" s="140">
        <v>6</v>
      </c>
      <c r="J821" s="109" t="s">
        <v>1859</v>
      </c>
      <c r="K821" s="105" t="s">
        <v>2084</v>
      </c>
      <c r="L821" s="107" t="str">
        <f ca="1">VLOOKUP($K821,OFFSET([1]character_type_i18n!$A$1,0,0,COUNTA([1]character_type_i18n!$A:$A),MATCH(L$1,[1]character_type_i18n!$1:$1,0)-MATCH($K$1,[1]character_type_i18n!$1:$1,0)+1),MATCH(L$1,[1]character_type_i18n!$1:$1,0)-MATCH($K$1,[1]character_type_i18n!$1:$1,0)+1,FALSE)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21" s="105" t="s">
        <v>1011</v>
      </c>
      <c r="N821" s="107" t="str">
        <f>VLOOKUP(M821,[1]character_tribe_i18n!A:C,3,FALSE)</f>
        <v>ヒューマン</v>
      </c>
      <c r="O821" s="105" t="s">
        <v>278</v>
      </c>
      <c r="P821" s="107" t="str">
        <f>VLOOKUP(O821,[1]character_tribe_i18n!A:C,3,FALSE)</f>
        <v>種族なし</v>
      </c>
      <c r="Q821" s="110" t="s">
        <v>279</v>
      </c>
      <c r="R821" s="111">
        <v>3</v>
      </c>
      <c r="S821" s="108" t="s">
        <v>280</v>
      </c>
      <c r="T821" s="108" t="s">
        <v>281</v>
      </c>
      <c r="U821" s="108" t="s">
        <v>280</v>
      </c>
      <c r="V821" s="108" t="s">
        <v>280</v>
      </c>
      <c r="W821" s="108" t="s">
        <v>280</v>
      </c>
    </row>
    <row r="822" spans="1:23" ht="21" customHeight="1" x14ac:dyDescent="0.15">
      <c r="A822" s="104">
        <f t="shared" si="12"/>
        <v>821</v>
      </c>
      <c r="B822" s="105" t="s">
        <v>268</v>
      </c>
      <c r="C822" s="121" t="s">
        <v>2533</v>
      </c>
      <c r="D822" s="107" t="s">
        <v>2534</v>
      </c>
      <c r="E822" s="108" t="s">
        <v>709</v>
      </c>
      <c r="F822" s="108" t="s">
        <v>532</v>
      </c>
      <c r="G822" s="108" t="s">
        <v>710</v>
      </c>
      <c r="H822" s="131" t="s">
        <v>1141</v>
      </c>
      <c r="I822" s="140">
        <v>6</v>
      </c>
      <c r="J822" s="109" t="s">
        <v>1001</v>
      </c>
      <c r="K822" s="105" t="s">
        <v>967</v>
      </c>
      <c r="L822" s="107" t="str">
        <f ca="1">VLOOKUP($K822,OFFSET([1]character_type_i18n!$A$1,0,0,COUNTA([1]character_type_i18n!$A:$A),MATCH(L$1,[1]character_type_i18n!$1:$1,0)-MATCH($K$1,[1]character_type_i18n!$1:$1,0)+1),MATCH(L$1,[1]character_type_i18n!$1:$1,0)-MATCH($K$1,[1]character_type_i18n!$1:$1,0)+1,FALSE)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22" s="105" t="s">
        <v>313</v>
      </c>
      <c r="N822" s="107" t="str">
        <f>VLOOKUP(M822,[1]character_tribe_i18n!A:C,3,FALSE)</f>
        <v>アニマル</v>
      </c>
      <c r="O822" s="105" t="s">
        <v>1599</v>
      </c>
      <c r="P822" s="107" t="str">
        <f>VLOOKUP(O822,[1]character_tribe_i18n!A:C,3,FALSE)</f>
        <v>マシン</v>
      </c>
      <c r="Q822" s="110" t="s">
        <v>362</v>
      </c>
      <c r="R822" s="111">
        <v>3</v>
      </c>
      <c r="S822" s="108" t="s">
        <v>289</v>
      </c>
      <c r="T822" s="108" t="s">
        <v>288</v>
      </c>
      <c r="U822" s="108" t="s">
        <v>289</v>
      </c>
      <c r="V822" s="108" t="s">
        <v>289</v>
      </c>
      <c r="W822" s="108" t="s">
        <v>289</v>
      </c>
    </row>
    <row r="823" spans="1:23" ht="21" customHeight="1" x14ac:dyDescent="0.15">
      <c r="A823" s="104">
        <f t="shared" si="12"/>
        <v>822</v>
      </c>
      <c r="B823" s="105" t="s">
        <v>292</v>
      </c>
      <c r="C823" s="121" t="s">
        <v>2535</v>
      </c>
      <c r="D823" s="107" t="s">
        <v>2536</v>
      </c>
      <c r="E823" s="108" t="s">
        <v>848</v>
      </c>
      <c r="F823" s="108" t="s">
        <v>1422</v>
      </c>
      <c r="G823" s="108" t="s">
        <v>1587</v>
      </c>
      <c r="H823" s="131" t="s">
        <v>1890</v>
      </c>
      <c r="I823" s="140">
        <v>6</v>
      </c>
      <c r="J823" s="109" t="s">
        <v>1859</v>
      </c>
      <c r="K823" s="105" t="s">
        <v>2084</v>
      </c>
      <c r="L823" s="107" t="str">
        <f ca="1">VLOOKUP($K823,OFFSET([1]character_type_i18n!$A$1,0,0,COUNTA([1]character_type_i18n!$A:$A),MATCH(L$1,[1]character_type_i18n!$1:$1,0)-MATCH($K$1,[1]character_type_i18n!$1:$1,0)+1),MATCH(L$1,[1]character_type_i18n!$1:$1,0)-MATCH($K$1,[1]character_type_i18n!$1:$1,0)+1,FALSE)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23" s="105" t="s">
        <v>1011</v>
      </c>
      <c r="N823" s="107" t="str">
        <f>VLOOKUP(M823,[1]character_tribe_i18n!A:C,3,FALSE)</f>
        <v>ヒューマン</v>
      </c>
      <c r="O823" s="105" t="s">
        <v>1164</v>
      </c>
      <c r="P823" s="107" t="str">
        <f>VLOOKUP(O823,[1]character_tribe_i18n!A:C,3,FALSE)</f>
        <v>Unknown</v>
      </c>
      <c r="Q823" s="110" t="s">
        <v>362</v>
      </c>
      <c r="R823" s="111">
        <v>3</v>
      </c>
      <c r="S823" s="108" t="s">
        <v>289</v>
      </c>
      <c r="T823" s="108" t="s">
        <v>288</v>
      </c>
      <c r="U823" s="108" t="s">
        <v>289</v>
      </c>
      <c r="V823" s="108" t="s">
        <v>289</v>
      </c>
      <c r="W823" s="108" t="s">
        <v>289</v>
      </c>
    </row>
    <row r="824" spans="1:23" ht="21" customHeight="1" x14ac:dyDescent="0.15">
      <c r="A824" s="104">
        <f t="shared" si="12"/>
        <v>823</v>
      </c>
      <c r="B824" s="105" t="s">
        <v>292</v>
      </c>
      <c r="C824" s="121" t="s">
        <v>2537</v>
      </c>
      <c r="D824" s="107" t="s">
        <v>2538</v>
      </c>
      <c r="E824" s="108" t="s">
        <v>848</v>
      </c>
      <c r="F824" s="108" t="s">
        <v>1422</v>
      </c>
      <c r="G824" s="108" t="s">
        <v>1587</v>
      </c>
      <c r="H824" s="131" t="s">
        <v>1890</v>
      </c>
      <c r="I824" s="140">
        <v>6</v>
      </c>
      <c r="J824" s="109" t="s">
        <v>2083</v>
      </c>
      <c r="K824" s="105" t="s">
        <v>1171</v>
      </c>
      <c r="L824" s="107" t="str">
        <f ca="1">VLOOKUP($K824,OFFSET([1]character_type_i18n!$A$1,0,0,COUNTA([1]character_type_i18n!$A:$A),MATCH(L$1,[1]character_type_i18n!$1:$1,0)-MATCH($K$1,[1]character_type_i18n!$1:$1,0)+1),MATCH(L$1,[1]character_type_i18n!$1:$1,0)-MATCH($K$1,[1]character_type_i18n!$1:$1,0)+1,FALSE)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24" s="105" t="s">
        <v>1394</v>
      </c>
      <c r="N824" s="107" t="str">
        <f>VLOOKUP(M824,[1]character_tribe_i18n!A:C,3,FALSE)</f>
        <v>ヒューマン</v>
      </c>
      <c r="O824" s="105" t="s">
        <v>278</v>
      </c>
      <c r="P824" s="107" t="str">
        <f>VLOOKUP(O824,[1]character_tribe_i18n!A:C,3,FALSE)</f>
        <v>種族なし</v>
      </c>
      <c r="Q824" s="110" t="s">
        <v>279</v>
      </c>
      <c r="R824" s="111">
        <v>3</v>
      </c>
      <c r="S824" s="108" t="s">
        <v>280</v>
      </c>
      <c r="T824" s="108" t="s">
        <v>281</v>
      </c>
      <c r="U824" s="108" t="s">
        <v>280</v>
      </c>
      <c r="V824" s="108" t="s">
        <v>280</v>
      </c>
      <c r="W824" s="108" t="s">
        <v>280</v>
      </c>
    </row>
    <row r="825" spans="1:23" ht="21" customHeight="1" x14ac:dyDescent="0.15">
      <c r="A825" s="104">
        <f t="shared" si="12"/>
        <v>824</v>
      </c>
      <c r="B825" s="105" t="s">
        <v>268</v>
      </c>
      <c r="C825" s="121" t="s">
        <v>2539</v>
      </c>
      <c r="D825" s="107" t="s">
        <v>2540</v>
      </c>
      <c r="E825" s="108" t="s">
        <v>709</v>
      </c>
      <c r="F825" s="108" t="s">
        <v>532</v>
      </c>
      <c r="G825" s="108" t="s">
        <v>710</v>
      </c>
      <c r="H825" s="131" t="s">
        <v>551</v>
      </c>
      <c r="I825" s="140">
        <v>6</v>
      </c>
      <c r="J825" s="109" t="s">
        <v>1504</v>
      </c>
      <c r="K825" s="105" t="s">
        <v>967</v>
      </c>
      <c r="L825" s="107" t="str">
        <f ca="1">VLOOKUP($K825,OFFSET([1]character_type_i18n!$A$1,0,0,COUNTA([1]character_type_i18n!$A:$A),MATCH(L$1,[1]character_type_i18n!$1:$1,0)-MATCH($K$1,[1]character_type_i18n!$1:$1,0)+1),MATCH(L$1,[1]character_type_i18n!$1:$1,0)-MATCH($K$1,[1]character_type_i18n!$1:$1,0)+1,FALSE)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25" s="105" t="s">
        <v>1164</v>
      </c>
      <c r="N825" s="107" t="str">
        <f>VLOOKUP(M825,[1]character_tribe_i18n!A:C,3,FALSE)</f>
        <v>Unknown</v>
      </c>
      <c r="O825" s="105" t="s">
        <v>278</v>
      </c>
      <c r="P825" s="107" t="str">
        <f>VLOOKUP(O825,[1]character_tribe_i18n!A:C,3,FALSE)</f>
        <v>種族なし</v>
      </c>
      <c r="Q825" s="110" t="s">
        <v>362</v>
      </c>
      <c r="R825" s="111">
        <v>3</v>
      </c>
      <c r="S825" s="108" t="s">
        <v>289</v>
      </c>
      <c r="T825" s="108" t="s">
        <v>288</v>
      </c>
      <c r="U825" s="108" t="s">
        <v>289</v>
      </c>
      <c r="V825" s="108" t="s">
        <v>289</v>
      </c>
      <c r="W825" s="108" t="s">
        <v>289</v>
      </c>
    </row>
    <row r="826" spans="1:23" ht="21" customHeight="1" x14ac:dyDescent="0.15">
      <c r="A826" s="104">
        <f t="shared" si="12"/>
        <v>825</v>
      </c>
      <c r="B826" s="105" t="s">
        <v>292</v>
      </c>
      <c r="C826" s="136" t="s">
        <v>2541</v>
      </c>
      <c r="D826" s="107" t="s">
        <v>2542</v>
      </c>
      <c r="E826" s="108" t="s">
        <v>848</v>
      </c>
      <c r="F826" s="108" t="s">
        <v>1422</v>
      </c>
      <c r="G826" s="108" t="s">
        <v>1587</v>
      </c>
      <c r="H826" s="131" t="s">
        <v>1170</v>
      </c>
      <c r="I826" s="140">
        <v>6</v>
      </c>
      <c r="J826" s="109" t="s">
        <v>2083</v>
      </c>
      <c r="K826" s="105" t="s">
        <v>1887</v>
      </c>
      <c r="L826" s="107" t="str">
        <f ca="1">VLOOKUP($K826,OFFSET([1]character_type_i18n!$A$1,0,0,COUNTA([1]character_type_i18n!$A:$A),MATCH(L$1,[1]character_type_i18n!$1:$1,0)-MATCH($K$1,[1]character_type_i18n!$1:$1,0)+1),MATCH(L$1,[1]character_type_i18n!$1:$1,0)-MATCH($K$1,[1]character_type_i18n!$1:$1,0)+1,FALSE)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26" s="105" t="s">
        <v>313</v>
      </c>
      <c r="N826" s="107" t="str">
        <f>VLOOKUP(M826,[1]character_tribe_i18n!A:C,3,FALSE)</f>
        <v>アニマル</v>
      </c>
      <c r="O826" s="105" t="s">
        <v>278</v>
      </c>
      <c r="P826" s="107" t="str">
        <f>VLOOKUP(O826,[1]character_tribe_i18n!A:C,3,FALSE)</f>
        <v>種族なし</v>
      </c>
      <c r="Q826" s="110" t="s">
        <v>362</v>
      </c>
      <c r="R826" s="111">
        <v>3</v>
      </c>
      <c r="S826" s="108" t="s">
        <v>289</v>
      </c>
      <c r="T826" s="108" t="s">
        <v>288</v>
      </c>
      <c r="U826" s="108" t="s">
        <v>280</v>
      </c>
      <c r="V826" s="108" t="s">
        <v>280</v>
      </c>
      <c r="W826" s="108" t="s">
        <v>280</v>
      </c>
    </row>
    <row r="827" spans="1:23" ht="21" customHeight="1" x14ac:dyDescent="0.15">
      <c r="A827" s="104">
        <f t="shared" si="12"/>
        <v>826</v>
      </c>
      <c r="B827" s="105" t="s">
        <v>1261</v>
      </c>
      <c r="C827" s="121" t="s">
        <v>2543</v>
      </c>
      <c r="D827" s="107" t="s">
        <v>2544</v>
      </c>
      <c r="E827" s="108" t="s">
        <v>709</v>
      </c>
      <c r="F827" s="108" t="s">
        <v>532</v>
      </c>
      <c r="G827" s="108" t="s">
        <v>710</v>
      </c>
      <c r="H827" s="131" t="s">
        <v>1141</v>
      </c>
      <c r="I827" s="140">
        <v>6</v>
      </c>
      <c r="J827" s="109" t="s">
        <v>1504</v>
      </c>
      <c r="K827" s="105" t="s">
        <v>1005</v>
      </c>
      <c r="L827" s="107" t="str">
        <f ca="1">VLOOKUP($K827,OFFSET([1]character_type_i18n!$A$1,0,0,COUNTA([1]character_type_i18n!$A:$A),MATCH(L$1,[1]character_type_i18n!$1:$1,0)-MATCH($K$1,[1]character_type_i18n!$1:$1,0)+1),MATCH(L$1,[1]character_type_i18n!$1:$1,0)-MATCH($K$1,[1]character_type_i18n!$1:$1,0)+1,FALSE)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27" s="105" t="s">
        <v>313</v>
      </c>
      <c r="N827" s="107" t="str">
        <f>VLOOKUP(M827,[1]character_tribe_i18n!A:C,3,FALSE)</f>
        <v>アニマル</v>
      </c>
      <c r="O827" s="105" t="s">
        <v>278</v>
      </c>
      <c r="P827" s="107" t="str">
        <f>VLOOKUP(O827,[1]character_tribe_i18n!A:C,3,FALSE)</f>
        <v>種族なし</v>
      </c>
      <c r="Q827" s="110" t="s">
        <v>279</v>
      </c>
      <c r="R827" s="111">
        <v>3</v>
      </c>
      <c r="S827" s="108" t="s">
        <v>280</v>
      </c>
      <c r="T827" s="108" t="s">
        <v>281</v>
      </c>
      <c r="U827" s="108" t="s">
        <v>280</v>
      </c>
      <c r="V827" s="108" t="s">
        <v>280</v>
      </c>
      <c r="W827" s="108" t="s">
        <v>280</v>
      </c>
    </row>
    <row r="828" spans="1:23" ht="21" customHeight="1" x14ac:dyDescent="0.15">
      <c r="A828" s="104">
        <f t="shared" si="12"/>
        <v>827</v>
      </c>
      <c r="B828" s="105" t="s">
        <v>268</v>
      </c>
      <c r="C828" s="121" t="s">
        <v>2545</v>
      </c>
      <c r="D828" s="107" t="s">
        <v>2546</v>
      </c>
      <c r="E828" s="108" t="s">
        <v>709</v>
      </c>
      <c r="F828" s="108" t="s">
        <v>532</v>
      </c>
      <c r="G828" s="108" t="s">
        <v>710</v>
      </c>
      <c r="H828" s="131" t="s">
        <v>551</v>
      </c>
      <c r="I828" s="140">
        <v>6</v>
      </c>
      <c r="J828" s="109" t="s">
        <v>1001</v>
      </c>
      <c r="K828" s="105" t="s">
        <v>1005</v>
      </c>
      <c r="L828" s="107" t="str">
        <f ca="1">VLOOKUP($K828,OFFSET([1]character_type_i18n!$A$1,0,0,COUNTA([1]character_type_i18n!$A:$A),MATCH(L$1,[1]character_type_i18n!$1:$1,0)-MATCH($K$1,[1]character_type_i18n!$1:$1,0)+1),MATCH(L$1,[1]character_type_i18n!$1:$1,0)-MATCH($K$1,[1]character_type_i18n!$1:$1,0)+1,FALSE)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28" s="105" t="s">
        <v>854</v>
      </c>
      <c r="N828" s="107" t="str">
        <f>VLOOKUP(M828,[1]character_tribe_i18n!A:C,3,FALSE)</f>
        <v>ドラゴン</v>
      </c>
      <c r="O828" s="105" t="s">
        <v>278</v>
      </c>
      <c r="P828" s="107" t="str">
        <f>VLOOKUP(O828,[1]character_tribe_i18n!A:C,3,FALSE)</f>
        <v>種族なし</v>
      </c>
      <c r="Q828" s="110" t="s">
        <v>279</v>
      </c>
      <c r="R828" s="111">
        <v>3</v>
      </c>
      <c r="S828" s="108" t="s">
        <v>280</v>
      </c>
      <c r="T828" s="108" t="s">
        <v>281</v>
      </c>
      <c r="U828" s="108" t="s">
        <v>280</v>
      </c>
      <c r="V828" s="108" t="s">
        <v>280</v>
      </c>
      <c r="W828" s="108" t="s">
        <v>280</v>
      </c>
    </row>
    <row r="829" spans="1:23" ht="21" customHeight="1" x14ac:dyDescent="0.15">
      <c r="A829" s="104">
        <f t="shared" si="12"/>
        <v>828</v>
      </c>
      <c r="B829" s="105" t="s">
        <v>268</v>
      </c>
      <c r="C829" s="121" t="s">
        <v>2547</v>
      </c>
      <c r="D829" s="107" t="s">
        <v>2548</v>
      </c>
      <c r="E829" s="108" t="s">
        <v>709</v>
      </c>
      <c r="F829" s="108" t="s">
        <v>532</v>
      </c>
      <c r="G829" s="108" t="s">
        <v>710</v>
      </c>
      <c r="H829" s="131" t="s">
        <v>768</v>
      </c>
      <c r="I829" s="140">
        <v>6</v>
      </c>
      <c r="J829" s="109" t="s">
        <v>1504</v>
      </c>
      <c r="K829" s="105" t="s">
        <v>1505</v>
      </c>
      <c r="L829" s="107" t="str">
        <f ca="1">VLOOKUP($K829,OFFSET([1]character_type_i18n!$A$1,0,0,COUNTA([1]character_type_i18n!$A:$A),MATCH(L$1,[1]character_type_i18n!$1:$1,0)-MATCH($K$1,[1]character_type_i18n!$1:$1,0)+1),MATCH(L$1,[1]character_type_i18n!$1:$1,0)-MATCH($K$1,[1]character_type_i18n!$1:$1,0)+1,FALSE)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29" s="105" t="s">
        <v>1017</v>
      </c>
      <c r="N829" s="107" t="str">
        <f>VLOOKUP(M829,[1]character_tribe_i18n!A:C,3,FALSE)</f>
        <v>マシン</v>
      </c>
      <c r="O829" s="105" t="s">
        <v>313</v>
      </c>
      <c r="P829" s="107" t="str">
        <f>VLOOKUP(O829,[1]character_tribe_i18n!A:C,3,FALSE)</f>
        <v>アニマル</v>
      </c>
      <c r="Q829" s="110" t="s">
        <v>279</v>
      </c>
      <c r="R829" s="111">
        <v>3</v>
      </c>
      <c r="S829" s="108" t="s">
        <v>280</v>
      </c>
      <c r="T829" s="108" t="s">
        <v>281</v>
      </c>
      <c r="U829" s="108" t="s">
        <v>280</v>
      </c>
      <c r="V829" s="108" t="s">
        <v>280</v>
      </c>
      <c r="W829" s="108" t="s">
        <v>280</v>
      </c>
    </row>
    <row r="830" spans="1:23" ht="21" customHeight="1" x14ac:dyDescent="0.15">
      <c r="A830" s="104">
        <f t="shared" si="12"/>
        <v>829</v>
      </c>
      <c r="B830" s="105" t="s">
        <v>268</v>
      </c>
      <c r="C830" s="121" t="s">
        <v>2549</v>
      </c>
      <c r="D830" s="107" t="s">
        <v>2550</v>
      </c>
      <c r="E830" s="108" t="s">
        <v>709</v>
      </c>
      <c r="F830" s="108" t="s">
        <v>532</v>
      </c>
      <c r="G830" s="108" t="s">
        <v>710</v>
      </c>
      <c r="H830" s="131" t="s">
        <v>1141</v>
      </c>
      <c r="I830" s="140">
        <v>6</v>
      </c>
      <c r="J830" s="109" t="s">
        <v>1001</v>
      </c>
      <c r="K830" s="105" t="s">
        <v>1005</v>
      </c>
      <c r="L830" s="107" t="str">
        <f ca="1">VLOOKUP($K830,OFFSET([1]character_type_i18n!$A$1,0,0,COUNTA([1]character_type_i18n!$A:$A),MATCH(L$1,[1]character_type_i18n!$1:$1,0)-MATCH($K$1,[1]character_type_i18n!$1:$1,0)+1),MATCH(L$1,[1]character_type_i18n!$1:$1,0)-MATCH($K$1,[1]character_type_i18n!$1:$1,0)+1,FALSE)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30" s="105" t="s">
        <v>1164</v>
      </c>
      <c r="N830" s="107" t="str">
        <f>VLOOKUP(M830,[1]character_tribe_i18n!A:C,3,FALSE)</f>
        <v>Unknown</v>
      </c>
      <c r="O830" s="105" t="s">
        <v>313</v>
      </c>
      <c r="P830" s="107" t="str">
        <f>VLOOKUP(O830,[1]character_tribe_i18n!A:C,3,FALSE)</f>
        <v>アニマル</v>
      </c>
      <c r="Q830" s="110" t="s">
        <v>279</v>
      </c>
      <c r="R830" s="111">
        <v>3</v>
      </c>
      <c r="S830" s="108" t="s">
        <v>280</v>
      </c>
      <c r="T830" s="108" t="s">
        <v>281</v>
      </c>
      <c r="U830" s="108" t="s">
        <v>280</v>
      </c>
      <c r="V830" s="108" t="s">
        <v>280</v>
      </c>
      <c r="W830" s="108" t="s">
        <v>280</v>
      </c>
    </row>
    <row r="831" spans="1:23" ht="21" customHeight="1" x14ac:dyDescent="0.15">
      <c r="A831" s="104">
        <f t="shared" si="12"/>
        <v>830</v>
      </c>
      <c r="B831" s="105" t="s">
        <v>268</v>
      </c>
      <c r="C831" s="121" t="s">
        <v>2551</v>
      </c>
      <c r="D831" s="107" t="s">
        <v>2552</v>
      </c>
      <c r="E831" s="108" t="s">
        <v>709</v>
      </c>
      <c r="F831" s="108" t="s">
        <v>532</v>
      </c>
      <c r="G831" s="108" t="s">
        <v>710</v>
      </c>
      <c r="H831" s="131" t="s">
        <v>614</v>
      </c>
      <c r="I831" s="140">
        <v>6</v>
      </c>
      <c r="J831" s="109" t="s">
        <v>1001</v>
      </c>
      <c r="K831" s="105" t="s">
        <v>1008</v>
      </c>
      <c r="L831" s="107" t="str">
        <f ca="1">VLOOKUP($K831,OFFSET([1]character_type_i18n!$A$1,0,0,COUNTA([1]character_type_i18n!$A:$A),MATCH(L$1,[1]character_type_i18n!$1:$1,0)-MATCH($K$1,[1]character_type_i18n!$1:$1,0)+1),MATCH(L$1,[1]character_type_i18n!$1:$1,0)-MATCH($K$1,[1]character_type_i18n!$1:$1,0)+1,FALSE)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31" s="105" t="s">
        <v>1164</v>
      </c>
      <c r="N831" s="107" t="str">
        <f>VLOOKUP(M831,[1]character_tribe_i18n!A:C,3,FALSE)</f>
        <v>Unknown</v>
      </c>
      <c r="O831" s="105" t="s">
        <v>313</v>
      </c>
      <c r="P831" s="107" t="str">
        <f>VLOOKUP(O831,[1]character_tribe_i18n!A:C,3,FALSE)</f>
        <v>アニマル</v>
      </c>
      <c r="Q831" s="110" t="s">
        <v>279</v>
      </c>
      <c r="R831" s="111">
        <v>3</v>
      </c>
      <c r="S831" s="108" t="s">
        <v>280</v>
      </c>
      <c r="T831" s="108" t="s">
        <v>281</v>
      </c>
      <c r="U831" s="108" t="s">
        <v>280</v>
      </c>
      <c r="V831" s="108" t="s">
        <v>280</v>
      </c>
      <c r="W831" s="108" t="s">
        <v>280</v>
      </c>
    </row>
    <row r="832" spans="1:23" ht="21" customHeight="1" x14ac:dyDescent="0.15">
      <c r="A832" s="104">
        <f t="shared" si="12"/>
        <v>831</v>
      </c>
      <c r="B832" s="105" t="s">
        <v>268</v>
      </c>
      <c r="C832" s="121" t="s">
        <v>2553</v>
      </c>
      <c r="D832" s="107" t="s">
        <v>2554</v>
      </c>
      <c r="E832" s="108" t="s">
        <v>709</v>
      </c>
      <c r="F832" s="108" t="s">
        <v>532</v>
      </c>
      <c r="G832" s="108" t="s">
        <v>710</v>
      </c>
      <c r="H832" s="131" t="s">
        <v>614</v>
      </c>
      <c r="I832" s="140">
        <v>6</v>
      </c>
      <c r="J832" s="109" t="s">
        <v>1504</v>
      </c>
      <c r="K832" s="105" t="s">
        <v>1505</v>
      </c>
      <c r="L832" s="107" t="str">
        <f ca="1">VLOOKUP($K832,OFFSET([1]character_type_i18n!$A$1,0,0,COUNTA([1]character_type_i18n!$A:$A),MATCH(L$1,[1]character_type_i18n!$1:$1,0)-MATCH($K$1,[1]character_type_i18n!$1:$1,0)+1),MATCH(L$1,[1]character_type_i18n!$1:$1,0)-MATCH($K$1,[1]character_type_i18n!$1:$1,0)+1,FALSE)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32" s="105" t="s">
        <v>1011</v>
      </c>
      <c r="N832" s="107" t="str">
        <f>VLOOKUP(M832,[1]character_tribe_i18n!A:C,3,FALSE)</f>
        <v>ヒューマン</v>
      </c>
      <c r="O832" s="105" t="s">
        <v>1164</v>
      </c>
      <c r="P832" s="107" t="str">
        <f>VLOOKUP(O832,[1]character_tribe_i18n!A:C,3,FALSE)</f>
        <v>Unknown</v>
      </c>
      <c r="Q832" s="110" t="s">
        <v>279</v>
      </c>
      <c r="R832" s="111">
        <v>3</v>
      </c>
      <c r="S832" s="108" t="s">
        <v>280</v>
      </c>
      <c r="T832" s="108" t="s">
        <v>281</v>
      </c>
      <c r="U832" s="108" t="s">
        <v>280</v>
      </c>
      <c r="V832" s="108" t="s">
        <v>280</v>
      </c>
      <c r="W832" s="108" t="s">
        <v>280</v>
      </c>
    </row>
    <row r="833" spans="1:23" ht="21" customHeight="1" x14ac:dyDescent="0.15">
      <c r="A833" s="104">
        <f t="shared" si="12"/>
        <v>832</v>
      </c>
      <c r="B833" s="105" t="s">
        <v>268</v>
      </c>
      <c r="C833" s="127" t="s">
        <v>2555</v>
      </c>
      <c r="D833" s="107" t="s">
        <v>2556</v>
      </c>
      <c r="E833" s="108" t="s">
        <v>709</v>
      </c>
      <c r="F833" s="108" t="s">
        <v>532</v>
      </c>
      <c r="G833" s="108" t="s">
        <v>710</v>
      </c>
      <c r="H833" s="131" t="s">
        <v>551</v>
      </c>
      <c r="I833" s="140">
        <v>6</v>
      </c>
      <c r="J833" s="109" t="s">
        <v>1504</v>
      </c>
      <c r="K833" s="105" t="s">
        <v>1005</v>
      </c>
      <c r="L833" s="107" t="str">
        <f ca="1">VLOOKUP($K833,OFFSET([1]character_type_i18n!$A$1,0,0,COUNTA([1]character_type_i18n!$A:$A),MATCH(L$1,[1]character_type_i18n!$1:$1,0)-MATCH($K$1,[1]character_type_i18n!$1:$1,0)+1),MATCH(L$1,[1]character_type_i18n!$1:$1,0)-MATCH($K$1,[1]character_type_i18n!$1:$1,0)+1,FALSE)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33" s="105" t="s">
        <v>1018</v>
      </c>
      <c r="N833" s="107" t="str">
        <f>VLOOKUP(M833,[1]character_tribe_i18n!A:C,3,FALSE)</f>
        <v>ゴッド</v>
      </c>
      <c r="O833" s="105" t="s">
        <v>1164</v>
      </c>
      <c r="P833" s="107" t="str">
        <f>VLOOKUP(O833,[1]character_tribe_i18n!A:C,3,FALSE)</f>
        <v>Unknown</v>
      </c>
      <c r="Q833" s="110" t="s">
        <v>279</v>
      </c>
      <c r="R833" s="111">
        <v>3</v>
      </c>
      <c r="S833" s="108" t="s">
        <v>280</v>
      </c>
      <c r="T833" s="108" t="s">
        <v>281</v>
      </c>
      <c r="U833" s="108" t="s">
        <v>280</v>
      </c>
      <c r="V833" s="108" t="s">
        <v>280</v>
      </c>
      <c r="W833" s="108" t="s">
        <v>280</v>
      </c>
    </row>
    <row r="834" spans="1:23" ht="21" customHeight="1" x14ac:dyDescent="0.15">
      <c r="A834" s="104">
        <f t="shared" si="12"/>
        <v>833</v>
      </c>
      <c r="B834" s="105" t="s">
        <v>268</v>
      </c>
      <c r="C834" s="121" t="s">
        <v>2557</v>
      </c>
      <c r="D834" s="107" t="s">
        <v>2558</v>
      </c>
      <c r="E834" s="108" t="s">
        <v>709</v>
      </c>
      <c r="F834" s="108" t="s">
        <v>532</v>
      </c>
      <c r="G834" s="108" t="s">
        <v>710</v>
      </c>
      <c r="H834" s="131" t="s">
        <v>551</v>
      </c>
      <c r="I834" s="140">
        <v>6</v>
      </c>
      <c r="J834" s="109" t="s">
        <v>1001</v>
      </c>
      <c r="K834" s="105" t="s">
        <v>1005</v>
      </c>
      <c r="L834" s="107" t="str">
        <f ca="1">VLOOKUP($K834,OFFSET([1]character_type_i18n!$A$1,0,0,COUNTA([1]character_type_i18n!$A:$A),MATCH(L$1,[1]character_type_i18n!$1:$1,0)-MATCH($K$1,[1]character_type_i18n!$1:$1,0)+1),MATCH(L$1,[1]character_type_i18n!$1:$1,0)-MATCH($K$1,[1]character_type_i18n!$1:$1,0)+1,FALSE)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34" s="105" t="s">
        <v>1018</v>
      </c>
      <c r="N834" s="107" t="str">
        <f>VLOOKUP(M834,[1]character_tribe_i18n!A:C,3,FALSE)</f>
        <v>ゴッド</v>
      </c>
      <c r="O834" s="105" t="s">
        <v>278</v>
      </c>
      <c r="P834" s="107" t="str">
        <f>VLOOKUP(O834,[1]character_tribe_i18n!A:C,3,FALSE)</f>
        <v>種族なし</v>
      </c>
      <c r="Q834" s="110" t="s">
        <v>279</v>
      </c>
      <c r="R834" s="111">
        <v>3</v>
      </c>
      <c r="S834" s="108" t="s">
        <v>280</v>
      </c>
      <c r="T834" s="108" t="s">
        <v>281</v>
      </c>
      <c r="U834" s="108" t="s">
        <v>280</v>
      </c>
      <c r="V834" s="108" t="s">
        <v>280</v>
      </c>
      <c r="W834" s="108" t="s">
        <v>280</v>
      </c>
    </row>
    <row r="835" spans="1:23" ht="21" customHeight="1" x14ac:dyDescent="0.15">
      <c r="A835" s="104">
        <f t="shared" si="12"/>
        <v>834</v>
      </c>
      <c r="B835" s="105" t="s">
        <v>268</v>
      </c>
      <c r="C835" s="142" t="s">
        <v>2559</v>
      </c>
      <c r="D835" s="107" t="s">
        <v>2560</v>
      </c>
      <c r="E835" s="108" t="s">
        <v>709</v>
      </c>
      <c r="F835" s="108" t="s">
        <v>532</v>
      </c>
      <c r="G835" s="108" t="s">
        <v>710</v>
      </c>
      <c r="H835" s="131" t="s">
        <v>768</v>
      </c>
      <c r="I835" s="140">
        <v>6</v>
      </c>
      <c r="J835" s="109" t="s">
        <v>1504</v>
      </c>
      <c r="K835" s="105" t="s">
        <v>1008</v>
      </c>
      <c r="L835" s="107" t="str">
        <f ca="1">VLOOKUP($K835,OFFSET([1]character_type_i18n!$A$1,0,0,COUNTA([1]character_type_i18n!$A:$A),MATCH(L$1,[1]character_type_i18n!$1:$1,0)-MATCH($K$1,[1]character_type_i18n!$1:$1,0)+1),MATCH(L$1,[1]character_type_i18n!$1:$1,0)-MATCH($K$1,[1]character_type_i18n!$1:$1,0)+1,FALSE)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35" s="105" t="s">
        <v>1018</v>
      </c>
      <c r="N835" s="107" t="str">
        <f>VLOOKUP(M835,[1]character_tribe_i18n!A:C,3,FALSE)</f>
        <v>ゴッド</v>
      </c>
      <c r="O835" s="105" t="s">
        <v>278</v>
      </c>
      <c r="P835" s="107" t="str">
        <f>VLOOKUP(O835,[1]character_tribe_i18n!A:C,3,FALSE)</f>
        <v>種族なし</v>
      </c>
      <c r="Q835" s="110" t="s">
        <v>279</v>
      </c>
      <c r="R835" s="111">
        <v>3</v>
      </c>
      <c r="S835" s="108" t="s">
        <v>280</v>
      </c>
      <c r="T835" s="108" t="s">
        <v>281</v>
      </c>
      <c r="U835" s="108" t="s">
        <v>280</v>
      </c>
      <c r="V835" s="108" t="s">
        <v>280</v>
      </c>
      <c r="W835" s="108" t="s">
        <v>280</v>
      </c>
    </row>
    <row r="836" spans="1:23" ht="21" customHeight="1" x14ac:dyDescent="0.15">
      <c r="A836" s="104">
        <f t="shared" si="12"/>
        <v>835</v>
      </c>
      <c r="B836" s="105" t="s">
        <v>268</v>
      </c>
      <c r="C836" s="121" t="s">
        <v>2561</v>
      </c>
      <c r="D836" s="107" t="s">
        <v>2562</v>
      </c>
      <c r="E836" s="108" t="s">
        <v>709</v>
      </c>
      <c r="F836" s="108" t="s">
        <v>532</v>
      </c>
      <c r="G836" s="108" t="s">
        <v>710</v>
      </c>
      <c r="H836" s="131" t="s">
        <v>768</v>
      </c>
      <c r="I836" s="140">
        <v>6</v>
      </c>
      <c r="J836" s="109" t="s">
        <v>1001</v>
      </c>
      <c r="K836" s="105" t="s">
        <v>1008</v>
      </c>
      <c r="L836" s="107" t="str">
        <f ca="1">VLOOKUP($K836,OFFSET([1]character_type_i18n!$A$1,0,0,COUNTA([1]character_type_i18n!$A:$A),MATCH(L$1,[1]character_type_i18n!$1:$1,0)-MATCH($K$1,[1]character_type_i18n!$1:$1,0)+1),MATCH(L$1,[1]character_type_i18n!$1:$1,0)-MATCH($K$1,[1]character_type_i18n!$1:$1,0)+1,FALSE)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36" s="105" t="s">
        <v>1018</v>
      </c>
      <c r="N836" s="107" t="str">
        <f>VLOOKUP(M836,[1]character_tribe_i18n!A:C,3,FALSE)</f>
        <v>ゴッド</v>
      </c>
      <c r="O836" s="105" t="s">
        <v>278</v>
      </c>
      <c r="P836" s="107" t="str">
        <f>VLOOKUP(O836,[1]character_tribe_i18n!A:C,3,FALSE)</f>
        <v>種族なし</v>
      </c>
      <c r="Q836" s="110" t="s">
        <v>279</v>
      </c>
      <c r="R836" s="111">
        <v>3</v>
      </c>
      <c r="S836" s="108" t="s">
        <v>280</v>
      </c>
      <c r="T836" s="108" t="s">
        <v>281</v>
      </c>
      <c r="U836" s="108" t="s">
        <v>280</v>
      </c>
      <c r="V836" s="108" t="s">
        <v>280</v>
      </c>
      <c r="W836" s="108" t="s">
        <v>280</v>
      </c>
    </row>
    <row r="837" spans="1:23" ht="21" customHeight="1" x14ac:dyDescent="0.15">
      <c r="A837" s="104">
        <f t="shared" ref="A837:A900" si="13">ROW()-1</f>
        <v>836</v>
      </c>
      <c r="B837" s="105" t="s">
        <v>268</v>
      </c>
      <c r="C837" s="121" t="s">
        <v>2563</v>
      </c>
      <c r="D837" s="107" t="s">
        <v>2564</v>
      </c>
      <c r="E837" s="108" t="s">
        <v>709</v>
      </c>
      <c r="F837" s="108" t="s">
        <v>532</v>
      </c>
      <c r="G837" s="108" t="s">
        <v>710</v>
      </c>
      <c r="H837" s="131" t="s">
        <v>1141</v>
      </c>
      <c r="I837" s="140">
        <v>6</v>
      </c>
      <c r="J837" s="109" t="s">
        <v>1504</v>
      </c>
      <c r="K837" s="105" t="s">
        <v>1008</v>
      </c>
      <c r="L837" s="107" t="str">
        <f ca="1">VLOOKUP($K837,OFFSET([1]character_type_i18n!$A$1,0,0,COUNTA([1]character_type_i18n!$A:$A),MATCH(L$1,[1]character_type_i18n!$1:$1,0)-MATCH($K$1,[1]character_type_i18n!$1:$1,0)+1),MATCH(L$1,[1]character_type_i18n!$1:$1,0)-MATCH($K$1,[1]character_type_i18n!$1:$1,0)+1,FALSE)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37" s="105" t="s">
        <v>1018</v>
      </c>
      <c r="N837" s="107" t="str">
        <f>VLOOKUP(M837,[1]character_tribe_i18n!A:C,3,FALSE)</f>
        <v>ゴッド</v>
      </c>
      <c r="O837" s="105" t="s">
        <v>278</v>
      </c>
      <c r="P837" s="107" t="str">
        <f>VLOOKUP(O837,[1]character_tribe_i18n!A:C,3,FALSE)</f>
        <v>種族なし</v>
      </c>
      <c r="Q837" s="110" t="s">
        <v>279</v>
      </c>
      <c r="R837" s="111">
        <v>3</v>
      </c>
      <c r="S837" s="108" t="s">
        <v>280</v>
      </c>
      <c r="T837" s="108" t="s">
        <v>281</v>
      </c>
      <c r="U837" s="108" t="s">
        <v>280</v>
      </c>
      <c r="V837" s="108" t="s">
        <v>280</v>
      </c>
      <c r="W837" s="108" t="s">
        <v>280</v>
      </c>
    </row>
    <row r="838" spans="1:23" ht="21" customHeight="1" x14ac:dyDescent="0.15">
      <c r="A838" s="104">
        <f t="shared" si="13"/>
        <v>837</v>
      </c>
      <c r="B838" s="105" t="s">
        <v>336</v>
      </c>
      <c r="C838" s="136" t="s">
        <v>2565</v>
      </c>
      <c r="D838" s="107" t="s">
        <v>2566</v>
      </c>
      <c r="E838" s="108" t="s">
        <v>1277</v>
      </c>
      <c r="F838" s="108" t="s">
        <v>890</v>
      </c>
      <c r="G838" s="108" t="s">
        <v>2201</v>
      </c>
      <c r="H838" s="131" t="s">
        <v>300</v>
      </c>
      <c r="I838" s="140">
        <v>6</v>
      </c>
      <c r="J838" s="109" t="s">
        <v>2567</v>
      </c>
      <c r="K838" s="105" t="s">
        <v>2568</v>
      </c>
      <c r="L838" s="107" t="str">
        <f ca="1">VLOOKUP($K838,OFFSET([1]character_type_i18n!$A$1,0,0,COUNTA([1]character_type_i18n!$A:$A),MATCH(L$1,[1]character_type_i18n!$1:$1,0)-MATCH($K$1,[1]character_type_i18n!$1:$1,0)+1),MATCH(L$1,[1]character_type_i18n!$1:$1,0)-MATCH($K$1,[1]character_type_i18n!$1:$1,0)+1,FALSE)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838" s="105" t="s">
        <v>1164</v>
      </c>
      <c r="N838" s="107" t="str">
        <f>VLOOKUP(M838,[1]character_tribe_i18n!A:C,3,FALSE)</f>
        <v>Unknown</v>
      </c>
      <c r="O838" s="105" t="s">
        <v>278</v>
      </c>
      <c r="P838" s="107" t="str">
        <f>VLOOKUP(O838,[1]character_tribe_i18n!A:C,3,FALSE)</f>
        <v>種族なし</v>
      </c>
      <c r="Q838" s="110" t="s">
        <v>279</v>
      </c>
      <c r="R838" s="111">
        <v>3</v>
      </c>
      <c r="S838" s="108" t="s">
        <v>280</v>
      </c>
      <c r="T838" s="108" t="s">
        <v>893</v>
      </c>
      <c r="U838" s="108" t="s">
        <v>898</v>
      </c>
      <c r="V838" s="108" t="s">
        <v>894</v>
      </c>
      <c r="W838" s="108" t="s">
        <v>894</v>
      </c>
    </row>
    <row r="839" spans="1:23" ht="21" customHeight="1" x14ac:dyDescent="0.15">
      <c r="A839" s="104">
        <f t="shared" si="13"/>
        <v>838</v>
      </c>
      <c r="B839" s="105" t="s">
        <v>1261</v>
      </c>
      <c r="C839" s="121" t="s">
        <v>2569</v>
      </c>
      <c r="D839" s="107" t="s">
        <v>2570</v>
      </c>
      <c r="E839" s="108" t="s">
        <v>2520</v>
      </c>
      <c r="F839" s="108" t="s">
        <v>1685</v>
      </c>
      <c r="G839" s="108" t="s">
        <v>2571</v>
      </c>
      <c r="H839" s="131" t="s">
        <v>2572</v>
      </c>
      <c r="I839" s="140">
        <v>6</v>
      </c>
      <c r="J839" s="109" t="s">
        <v>2573</v>
      </c>
      <c r="K839" s="105" t="s">
        <v>2574</v>
      </c>
      <c r="L839" s="107" t="str">
        <f ca="1">VLOOKUP($K839,OFFSET([1]character_type_i18n!$A$1,0,0,COUNTA([1]character_type_i18n!$A:$A),MATCH(L$1,[1]character_type_i18n!$1:$1,0)-MATCH($K$1,[1]character_type_i18n!$1:$1,0)+1),MATCH(L$1,[1]character_type_i18n!$1:$1,0)-MATCH($K$1,[1]character_type_i18n!$1:$1,0)+1,FALSE)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39" s="105" t="s">
        <v>2207</v>
      </c>
      <c r="N839" s="107" t="str">
        <f>VLOOKUP(M839,[1]character_tribe_i18n!A:C,3,FALSE)</f>
        <v>ヒューマン</v>
      </c>
      <c r="O839" s="105" t="s">
        <v>2575</v>
      </c>
      <c r="P839" s="107" t="str">
        <f>VLOOKUP(O839,[1]character_tribe_i18n!A:C,3,FALSE)</f>
        <v>サムライ</v>
      </c>
      <c r="Q839" s="110" t="s">
        <v>1238</v>
      </c>
      <c r="R839" s="111">
        <v>3</v>
      </c>
      <c r="S839" s="108" t="s">
        <v>1239</v>
      </c>
      <c r="T839" s="108" t="s">
        <v>910</v>
      </c>
      <c r="U839" s="108" t="s">
        <v>911</v>
      </c>
      <c r="V839" s="108" t="s">
        <v>894</v>
      </c>
      <c r="W839" s="108" t="s">
        <v>894</v>
      </c>
    </row>
    <row r="840" spans="1:23" ht="21" customHeight="1" x14ac:dyDescent="0.15">
      <c r="A840" s="104">
        <f t="shared" si="13"/>
        <v>839</v>
      </c>
      <c r="B840" s="105" t="s">
        <v>1261</v>
      </c>
      <c r="C840" s="150" t="s">
        <v>2576</v>
      </c>
      <c r="D840" s="107" t="s">
        <v>2577</v>
      </c>
      <c r="E840" s="108" t="s">
        <v>2286</v>
      </c>
      <c r="F840" s="108" t="s">
        <v>2287</v>
      </c>
      <c r="G840" s="108" t="s">
        <v>2288</v>
      </c>
      <c r="H840" s="131" t="s">
        <v>2511</v>
      </c>
      <c r="I840" s="140">
        <v>6</v>
      </c>
      <c r="J840" s="109" t="s">
        <v>2512</v>
      </c>
      <c r="K840" s="105" t="s">
        <v>2513</v>
      </c>
      <c r="L840" s="107" t="str">
        <f ca="1">VLOOKUP($K840,OFFSET([1]character_type_i18n!$A$1,0,0,COUNTA([1]character_type_i18n!$A:$A),MATCH(L$1,[1]character_type_i18n!$1:$1,0)-MATCH($K$1,[1]character_type_i18n!$1:$1,0)+1),MATCH(L$1,[1]character_type_i18n!$1:$1,0)-MATCH($K$1,[1]character_type_i18n!$1:$1,0)+1,FALSE)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40" s="105" t="s">
        <v>1011</v>
      </c>
      <c r="N840" s="107" t="str">
        <f>VLOOKUP(M840,[1]character_tribe_i18n!A:C,3,FALSE)</f>
        <v>ヒューマン</v>
      </c>
      <c r="O840" s="105" t="s">
        <v>2578</v>
      </c>
      <c r="P840" s="107" t="str">
        <f>VLOOKUP(O840,[1]character_tribe_i18n!A:C,3,FALSE)</f>
        <v>ヒーロー</v>
      </c>
      <c r="Q840" s="110" t="s">
        <v>2458</v>
      </c>
      <c r="R840" s="111">
        <v>3</v>
      </c>
      <c r="S840" s="108" t="s">
        <v>911</v>
      </c>
      <c r="T840" s="108" t="s">
        <v>281</v>
      </c>
      <c r="U840" s="108" t="s">
        <v>280</v>
      </c>
      <c r="V840" s="108" t="s">
        <v>280</v>
      </c>
      <c r="W840" s="108" t="s">
        <v>280</v>
      </c>
    </row>
    <row r="841" spans="1:23" ht="21" customHeight="1" x14ac:dyDescent="0.15">
      <c r="A841" s="104">
        <f t="shared" si="13"/>
        <v>840</v>
      </c>
      <c r="B841" s="105" t="s">
        <v>268</v>
      </c>
      <c r="C841" s="136" t="s">
        <v>2579</v>
      </c>
      <c r="D841" s="107" t="s">
        <v>2580</v>
      </c>
      <c r="E841" s="108" t="s">
        <v>709</v>
      </c>
      <c r="F841" s="108" t="s">
        <v>532</v>
      </c>
      <c r="G841" s="108" t="s">
        <v>710</v>
      </c>
      <c r="H841" s="131" t="s">
        <v>1141</v>
      </c>
      <c r="I841" s="140">
        <v>4</v>
      </c>
      <c r="J841" s="109" t="s">
        <v>1372</v>
      </c>
      <c r="K841" s="105" t="s">
        <v>967</v>
      </c>
      <c r="L841" s="107" t="str">
        <f ca="1">VLOOKUP($K841,OFFSET([1]character_type_i18n!$A$1,0,0,COUNTA([1]character_type_i18n!$A:$A),MATCH(L$1,[1]character_type_i18n!$1:$1,0)-MATCH($K$1,[1]character_type_i18n!$1:$1,0)+1),MATCH(L$1,[1]character_type_i18n!$1:$1,0)-MATCH($K$1,[1]character_type_i18n!$1:$1,0)+1,FALSE)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41" s="105" t="s">
        <v>313</v>
      </c>
      <c r="N841" s="107" t="str">
        <f>VLOOKUP(M841,[1]character_tribe_i18n!A:C,3,FALSE)</f>
        <v>アニマル</v>
      </c>
      <c r="O841" s="105" t="s">
        <v>278</v>
      </c>
      <c r="P841" s="107" t="str">
        <f>VLOOKUP(O841,[1]character_tribe_i18n!A:C,3,FALSE)</f>
        <v>種族なし</v>
      </c>
      <c r="Q841" s="110" t="s">
        <v>279</v>
      </c>
      <c r="R841" s="111">
        <v>3</v>
      </c>
      <c r="S841" s="108" t="s">
        <v>280</v>
      </c>
      <c r="T841" s="108" t="s">
        <v>281</v>
      </c>
      <c r="U841" s="108" t="s">
        <v>280</v>
      </c>
      <c r="V841" s="108" t="s">
        <v>280</v>
      </c>
      <c r="W841" s="108" t="s">
        <v>280</v>
      </c>
    </row>
    <row r="842" spans="1:23" ht="21" customHeight="1" x14ac:dyDescent="0.15">
      <c r="A842" s="104">
        <f t="shared" si="13"/>
        <v>841</v>
      </c>
      <c r="B842" s="105" t="s">
        <v>268</v>
      </c>
      <c r="C842" s="136" t="s">
        <v>2581</v>
      </c>
      <c r="D842" s="107" t="s">
        <v>2582</v>
      </c>
      <c r="E842" s="108" t="s">
        <v>709</v>
      </c>
      <c r="F842" s="108" t="s">
        <v>532</v>
      </c>
      <c r="G842" s="108" t="s">
        <v>710</v>
      </c>
      <c r="H842" s="131" t="s">
        <v>1141</v>
      </c>
      <c r="I842" s="140">
        <v>5</v>
      </c>
      <c r="J842" s="109" t="s">
        <v>1372</v>
      </c>
      <c r="K842" s="105" t="s">
        <v>967</v>
      </c>
      <c r="L842" s="107" t="str">
        <f ca="1">VLOOKUP($K842,OFFSET([1]character_type_i18n!$A$1,0,0,COUNTA([1]character_type_i18n!$A:$A),MATCH(L$1,[1]character_type_i18n!$1:$1,0)-MATCH($K$1,[1]character_type_i18n!$1:$1,0)+1),MATCH(L$1,[1]character_type_i18n!$1:$1,0)-MATCH($K$1,[1]character_type_i18n!$1:$1,0)+1,FALSE)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42" s="105" t="s">
        <v>313</v>
      </c>
      <c r="N842" s="107" t="str">
        <f>VLOOKUP(M842,[1]character_tribe_i18n!A:C,3,FALSE)</f>
        <v>アニマル</v>
      </c>
      <c r="O842" s="105" t="s">
        <v>278</v>
      </c>
      <c r="P842" s="107" t="str">
        <f>VLOOKUP(O842,[1]character_tribe_i18n!A:C,3,FALSE)</f>
        <v>種族なし</v>
      </c>
      <c r="Q842" s="110" t="s">
        <v>279</v>
      </c>
      <c r="R842" s="111">
        <v>3</v>
      </c>
      <c r="S842" s="108" t="s">
        <v>280</v>
      </c>
      <c r="T842" s="108" t="s">
        <v>281</v>
      </c>
      <c r="U842" s="108" t="s">
        <v>280</v>
      </c>
      <c r="V842" s="108" t="s">
        <v>280</v>
      </c>
      <c r="W842" s="108" t="s">
        <v>280</v>
      </c>
    </row>
    <row r="843" spans="1:23" ht="21" customHeight="1" x14ac:dyDescent="0.15">
      <c r="A843" s="104">
        <f t="shared" si="13"/>
        <v>842</v>
      </c>
      <c r="B843" s="105" t="s">
        <v>268</v>
      </c>
      <c r="C843" s="136" t="s">
        <v>2583</v>
      </c>
      <c r="D843" s="107" t="s">
        <v>2584</v>
      </c>
      <c r="E843" s="108" t="s">
        <v>709</v>
      </c>
      <c r="F843" s="108" t="s">
        <v>532</v>
      </c>
      <c r="G843" s="108" t="s">
        <v>710</v>
      </c>
      <c r="H843" s="131" t="s">
        <v>768</v>
      </c>
      <c r="I843" s="140">
        <v>4</v>
      </c>
      <c r="J843" s="109" t="s">
        <v>516</v>
      </c>
      <c r="K843" s="105" t="s">
        <v>989</v>
      </c>
      <c r="L843" s="107" t="str">
        <f ca="1">VLOOKUP($K843,OFFSET([1]character_type_i18n!$A$1,0,0,COUNTA([1]character_type_i18n!$A:$A),MATCH(L$1,[1]character_type_i18n!$1:$1,0)-MATCH($K$1,[1]character_type_i18n!$1:$1,0)+1),MATCH(L$1,[1]character_type_i18n!$1:$1,0)-MATCH($K$1,[1]character_type_i18n!$1:$1,0)+1,FALSE)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43" s="105" t="s">
        <v>313</v>
      </c>
      <c r="N843" s="107" t="str">
        <f>VLOOKUP(M843,[1]character_tribe_i18n!A:C,3,FALSE)</f>
        <v>アニマル</v>
      </c>
      <c r="O843" s="105" t="s">
        <v>278</v>
      </c>
      <c r="P843" s="107" t="str">
        <f>VLOOKUP(O843,[1]character_tribe_i18n!A:C,3,FALSE)</f>
        <v>種族なし</v>
      </c>
      <c r="Q843" s="110" t="s">
        <v>279</v>
      </c>
      <c r="R843" s="111">
        <v>3</v>
      </c>
      <c r="S843" s="108" t="s">
        <v>280</v>
      </c>
      <c r="T843" s="108" t="s">
        <v>281</v>
      </c>
      <c r="U843" s="108" t="s">
        <v>280</v>
      </c>
      <c r="V843" s="108" t="s">
        <v>280</v>
      </c>
      <c r="W843" s="108" t="s">
        <v>280</v>
      </c>
    </row>
    <row r="844" spans="1:23" ht="21" customHeight="1" x14ac:dyDescent="0.15">
      <c r="A844" s="104">
        <f t="shared" si="13"/>
        <v>843</v>
      </c>
      <c r="B844" s="105" t="s">
        <v>268</v>
      </c>
      <c r="C844" s="136" t="s">
        <v>2585</v>
      </c>
      <c r="D844" s="107" t="s">
        <v>2586</v>
      </c>
      <c r="E844" s="108" t="s">
        <v>709</v>
      </c>
      <c r="F844" s="108" t="s">
        <v>532</v>
      </c>
      <c r="G844" s="108" t="s">
        <v>710</v>
      </c>
      <c r="H844" s="131" t="s">
        <v>768</v>
      </c>
      <c r="I844" s="140">
        <v>5</v>
      </c>
      <c r="J844" s="109" t="s">
        <v>516</v>
      </c>
      <c r="K844" s="105" t="s">
        <v>989</v>
      </c>
      <c r="L844" s="107" t="str">
        <f ca="1">VLOOKUP($K844,OFFSET([1]character_type_i18n!$A$1,0,0,COUNTA([1]character_type_i18n!$A:$A),MATCH(L$1,[1]character_type_i18n!$1:$1,0)-MATCH($K$1,[1]character_type_i18n!$1:$1,0)+1),MATCH(L$1,[1]character_type_i18n!$1:$1,0)-MATCH($K$1,[1]character_type_i18n!$1:$1,0)+1,FALSE)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44" s="105" t="s">
        <v>313</v>
      </c>
      <c r="N844" s="107" t="str">
        <f>VLOOKUP(M844,[1]character_tribe_i18n!A:C,3,FALSE)</f>
        <v>アニマル</v>
      </c>
      <c r="O844" s="105" t="s">
        <v>278</v>
      </c>
      <c r="P844" s="107" t="str">
        <f>VLOOKUP(O844,[1]character_tribe_i18n!A:C,3,FALSE)</f>
        <v>種族なし</v>
      </c>
      <c r="Q844" s="110" t="s">
        <v>279</v>
      </c>
      <c r="R844" s="111">
        <v>3</v>
      </c>
      <c r="S844" s="108" t="s">
        <v>280</v>
      </c>
      <c r="T844" s="108" t="s">
        <v>281</v>
      </c>
      <c r="U844" s="108" t="s">
        <v>280</v>
      </c>
      <c r="V844" s="108" t="s">
        <v>280</v>
      </c>
      <c r="W844" s="108" t="s">
        <v>280</v>
      </c>
    </row>
    <row r="845" spans="1:23" ht="21" customHeight="1" x14ac:dyDescent="0.15">
      <c r="A845" s="104">
        <f t="shared" si="13"/>
        <v>844</v>
      </c>
      <c r="B845" s="105" t="s">
        <v>268</v>
      </c>
      <c r="C845" s="121" t="s">
        <v>2587</v>
      </c>
      <c r="D845" s="107" t="s">
        <v>2588</v>
      </c>
      <c r="E845" s="108" t="s">
        <v>709</v>
      </c>
      <c r="F845" s="108" t="s">
        <v>532</v>
      </c>
      <c r="G845" s="108" t="s">
        <v>710</v>
      </c>
      <c r="H845" s="131" t="s">
        <v>614</v>
      </c>
      <c r="I845" s="140">
        <v>5</v>
      </c>
      <c r="J845" s="109" t="s">
        <v>1504</v>
      </c>
      <c r="K845" s="105" t="s">
        <v>1505</v>
      </c>
      <c r="L845" s="107" t="str">
        <f ca="1">VLOOKUP($K845,OFFSET([1]character_type_i18n!$A$1,0,0,COUNTA([1]character_type_i18n!$A:$A),MATCH(L$1,[1]character_type_i18n!$1:$1,0)-MATCH($K$1,[1]character_type_i18n!$1:$1,0)+1),MATCH(L$1,[1]character_type_i18n!$1:$1,0)-MATCH($K$1,[1]character_type_i18n!$1:$1,0)+1,FALSE)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45" s="105" t="s">
        <v>1018</v>
      </c>
      <c r="N845" s="107" t="str">
        <f>VLOOKUP(M845,[1]character_tribe_i18n!A:C,3,FALSE)</f>
        <v>ゴッド</v>
      </c>
      <c r="O845" s="105" t="s">
        <v>313</v>
      </c>
      <c r="P845" s="107" t="str">
        <f>VLOOKUP(O845,[1]character_tribe_i18n!A:C,3,FALSE)</f>
        <v>アニマル</v>
      </c>
      <c r="Q845" s="110" t="s">
        <v>279</v>
      </c>
      <c r="R845" s="111">
        <v>3</v>
      </c>
      <c r="S845" s="108" t="s">
        <v>280</v>
      </c>
      <c r="T845" s="108" t="s">
        <v>281</v>
      </c>
      <c r="U845" s="108" t="s">
        <v>280</v>
      </c>
      <c r="V845" s="108" t="s">
        <v>280</v>
      </c>
      <c r="W845" s="108" t="s">
        <v>280</v>
      </c>
    </row>
    <row r="846" spans="1:23" ht="21" customHeight="1" x14ac:dyDescent="0.15">
      <c r="A846" s="104">
        <f t="shared" si="13"/>
        <v>845</v>
      </c>
      <c r="B846" s="105" t="s">
        <v>268</v>
      </c>
      <c r="C846" s="121" t="s">
        <v>2589</v>
      </c>
      <c r="D846" s="107" t="s">
        <v>2590</v>
      </c>
      <c r="E846" s="108" t="s">
        <v>709</v>
      </c>
      <c r="F846" s="108" t="s">
        <v>532</v>
      </c>
      <c r="G846" s="108" t="s">
        <v>710</v>
      </c>
      <c r="H846" s="131" t="s">
        <v>614</v>
      </c>
      <c r="I846" s="140">
        <v>6</v>
      </c>
      <c r="J846" s="109" t="s">
        <v>1504</v>
      </c>
      <c r="K846" s="105" t="s">
        <v>1505</v>
      </c>
      <c r="L846" s="107" t="str">
        <f ca="1">VLOOKUP($K846,OFFSET([1]character_type_i18n!$A$1,0,0,COUNTA([1]character_type_i18n!$A:$A),MATCH(L$1,[1]character_type_i18n!$1:$1,0)-MATCH($K$1,[1]character_type_i18n!$1:$1,0)+1),MATCH(L$1,[1]character_type_i18n!$1:$1,0)-MATCH($K$1,[1]character_type_i18n!$1:$1,0)+1,FALSE)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46" s="105" t="s">
        <v>1018</v>
      </c>
      <c r="N846" s="107" t="str">
        <f>VLOOKUP(M846,[1]character_tribe_i18n!A:C,3,FALSE)</f>
        <v>ゴッド</v>
      </c>
      <c r="O846" s="105" t="s">
        <v>313</v>
      </c>
      <c r="P846" s="107" t="str">
        <f>VLOOKUP(O846,[1]character_tribe_i18n!A:C,3,FALSE)</f>
        <v>アニマル</v>
      </c>
      <c r="Q846" s="110" t="s">
        <v>362</v>
      </c>
      <c r="R846" s="111">
        <v>3</v>
      </c>
      <c r="S846" s="108" t="s">
        <v>887</v>
      </c>
      <c r="T846" s="108" t="s">
        <v>2591</v>
      </c>
      <c r="U846" s="108" t="s">
        <v>887</v>
      </c>
      <c r="V846" s="108" t="s">
        <v>887</v>
      </c>
      <c r="W846" s="108" t="s">
        <v>887</v>
      </c>
    </row>
    <row r="847" spans="1:23" ht="21" customHeight="1" x14ac:dyDescent="0.15">
      <c r="A847" s="104">
        <f t="shared" si="13"/>
        <v>846</v>
      </c>
      <c r="B847" s="105" t="s">
        <v>1288</v>
      </c>
      <c r="C847" s="121" t="s">
        <v>2592</v>
      </c>
      <c r="D847" s="107" t="s">
        <v>2593</v>
      </c>
      <c r="E847" s="108" t="s">
        <v>2431</v>
      </c>
      <c r="F847" s="108" t="s">
        <v>2432</v>
      </c>
      <c r="G847" s="108" t="s">
        <v>2433</v>
      </c>
      <c r="H847" s="131" t="s">
        <v>2594</v>
      </c>
      <c r="I847" s="140">
        <v>5</v>
      </c>
      <c r="J847" s="109" t="s">
        <v>2595</v>
      </c>
      <c r="K847" s="105" t="s">
        <v>2596</v>
      </c>
      <c r="L847" s="107" t="str">
        <f ca="1">VLOOKUP($K847,OFFSET([1]character_type_i18n!$A$1,0,0,COUNTA([1]character_type_i18n!$A:$A),MATCH(L$1,[1]character_type_i18n!$1:$1,0)-MATCH($K$1,[1]character_type_i18n!$1:$1,0)+1),MATCH(L$1,[1]character_type_i18n!$1:$1,0)-MATCH($K$1,[1]character_type_i18n!$1:$1,0)+1,FALSE)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47" s="105" t="s">
        <v>1018</v>
      </c>
      <c r="N847" s="107" t="str">
        <f>VLOOKUP(M847,[1]character_tribe_i18n!A:C,3,FALSE)</f>
        <v>ゴッド</v>
      </c>
      <c r="O847" s="105" t="s">
        <v>278</v>
      </c>
      <c r="P847" s="107" t="str">
        <f>VLOOKUP(O847,[1]character_tribe_i18n!A:C,3,FALSE)</f>
        <v>種族なし</v>
      </c>
      <c r="Q847" s="110" t="s">
        <v>2156</v>
      </c>
      <c r="R847" s="111">
        <v>3</v>
      </c>
      <c r="S847" s="108" t="s">
        <v>880</v>
      </c>
      <c r="T847" s="108" t="s">
        <v>1360</v>
      </c>
      <c r="U847" s="108" t="s">
        <v>1359</v>
      </c>
      <c r="V847" s="108" t="s">
        <v>894</v>
      </c>
      <c r="W847" s="108" t="s">
        <v>894</v>
      </c>
    </row>
    <row r="848" spans="1:23" ht="21" customHeight="1" x14ac:dyDescent="0.15">
      <c r="A848" s="104">
        <f t="shared" si="13"/>
        <v>847</v>
      </c>
      <c r="B848" s="105" t="s">
        <v>1261</v>
      </c>
      <c r="C848" s="121" t="s">
        <v>2597</v>
      </c>
      <c r="D848" s="107" t="s">
        <v>2598</v>
      </c>
      <c r="E848" s="108" t="s">
        <v>709</v>
      </c>
      <c r="F848" s="108" t="s">
        <v>532</v>
      </c>
      <c r="G848" s="108" t="s">
        <v>710</v>
      </c>
      <c r="H848" s="131" t="s">
        <v>614</v>
      </c>
      <c r="I848" s="140">
        <v>6</v>
      </c>
      <c r="J848" s="109" t="s">
        <v>2265</v>
      </c>
      <c r="K848" s="105" t="s">
        <v>2078</v>
      </c>
      <c r="L848" s="107" t="str">
        <f ca="1">VLOOKUP($K848,OFFSET([1]character_type_i18n!$A$1,0,0,COUNTA([1]character_type_i18n!$A:$A),MATCH(L$1,[1]character_type_i18n!$1:$1,0)-MATCH($K$1,[1]character_type_i18n!$1:$1,0)+1),MATCH(L$1,[1]character_type_i18n!$1:$1,0)-MATCH($K$1,[1]character_type_i18n!$1:$1,0)+1,FALSE)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48" s="105" t="s">
        <v>1018</v>
      </c>
      <c r="N848" s="107" t="str">
        <f>VLOOKUP(M848,[1]character_tribe_i18n!A:C,3,FALSE)</f>
        <v>ゴッド</v>
      </c>
      <c r="O848" s="105" t="s">
        <v>278</v>
      </c>
      <c r="P848" s="107" t="str">
        <f>VLOOKUP(O848,[1]character_tribe_i18n!A:C,3,FALSE)</f>
        <v>種族なし</v>
      </c>
      <c r="Q848" s="110" t="s">
        <v>2458</v>
      </c>
      <c r="R848" s="111">
        <v>3</v>
      </c>
      <c r="S848" s="108" t="s">
        <v>911</v>
      </c>
      <c r="T848" s="108" t="s">
        <v>281</v>
      </c>
      <c r="U848" s="108" t="s">
        <v>280</v>
      </c>
      <c r="V848" s="108" t="s">
        <v>894</v>
      </c>
      <c r="W848" s="108" t="s">
        <v>894</v>
      </c>
    </row>
    <row r="849" spans="1:23" ht="21" customHeight="1" x14ac:dyDescent="0.15">
      <c r="A849" s="104">
        <f t="shared" si="13"/>
        <v>848</v>
      </c>
      <c r="B849" s="105" t="s">
        <v>1261</v>
      </c>
      <c r="C849" s="121" t="s">
        <v>2599</v>
      </c>
      <c r="D849" s="107" t="s">
        <v>2600</v>
      </c>
      <c r="E849" s="108" t="s">
        <v>2286</v>
      </c>
      <c r="F849" s="108" t="s">
        <v>2287</v>
      </c>
      <c r="G849" s="108" t="s">
        <v>2288</v>
      </c>
      <c r="H849" s="131" t="s">
        <v>2601</v>
      </c>
      <c r="I849" s="140">
        <v>5</v>
      </c>
      <c r="J849" s="109" t="s">
        <v>2512</v>
      </c>
      <c r="K849" s="105" t="s">
        <v>2602</v>
      </c>
      <c r="L849" s="107" t="str">
        <f ca="1">VLOOKUP($K849,OFFSET([1]character_type_i18n!$A$1,0,0,COUNTA([1]character_type_i18n!$A:$A),MATCH(L$1,[1]character_type_i18n!$1:$1,0)-MATCH($K$1,[1]character_type_i18n!$1:$1,0)+1),MATCH(L$1,[1]character_type_i18n!$1:$1,0)-MATCH($K$1,[1]character_type_i18n!$1:$1,0)+1,FALSE)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49" s="105" t="s">
        <v>2603</v>
      </c>
      <c r="N849" s="107" t="str">
        <f>VLOOKUP(M849,[1]character_tribe_i18n!A:C,3,FALSE)</f>
        <v>ゴッド</v>
      </c>
      <c r="O849" s="105" t="s">
        <v>1786</v>
      </c>
      <c r="P849" s="107" t="str">
        <f>VLOOKUP(O849,[1]character_tribe_i18n!A:C,3,FALSE)</f>
        <v>マシン</v>
      </c>
      <c r="Q849" s="110" t="s">
        <v>279</v>
      </c>
      <c r="R849" s="111">
        <v>3</v>
      </c>
      <c r="S849" s="108" t="s">
        <v>280</v>
      </c>
      <c r="T849" s="108" t="s">
        <v>2604</v>
      </c>
      <c r="U849" s="108" t="s">
        <v>1550</v>
      </c>
      <c r="V849" s="108" t="s">
        <v>894</v>
      </c>
      <c r="W849" s="108" t="s">
        <v>894</v>
      </c>
    </row>
    <row r="850" spans="1:23" ht="21" customHeight="1" x14ac:dyDescent="0.15">
      <c r="A850" s="104">
        <f t="shared" si="13"/>
        <v>849</v>
      </c>
      <c r="B850" s="105" t="s">
        <v>1261</v>
      </c>
      <c r="C850" s="121" t="s">
        <v>2605</v>
      </c>
      <c r="D850" s="107" t="s">
        <v>2606</v>
      </c>
      <c r="E850" s="108" t="s">
        <v>2607</v>
      </c>
      <c r="F850" s="108" t="s">
        <v>2608</v>
      </c>
      <c r="G850" s="108" t="s">
        <v>2609</v>
      </c>
      <c r="H850" s="131" t="s">
        <v>1364</v>
      </c>
      <c r="I850" s="140">
        <v>6</v>
      </c>
      <c r="J850" s="109" t="s">
        <v>2113</v>
      </c>
      <c r="K850" s="105" t="s">
        <v>2602</v>
      </c>
      <c r="L850" s="107" t="str">
        <f ca="1">VLOOKUP($K850,OFFSET([1]character_type_i18n!$A$1,0,0,COUNTA([1]character_type_i18n!$A:$A),MATCH(L$1,[1]character_type_i18n!$1:$1,0)-MATCH($K$1,[1]character_type_i18n!$1:$1,0)+1),MATCH(L$1,[1]character_type_i18n!$1:$1,0)-MATCH($K$1,[1]character_type_i18n!$1:$1,0)+1,FALSE)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50" s="105" t="s">
        <v>2610</v>
      </c>
      <c r="N850" s="107" t="str">
        <f>VLOOKUP(M850,[1]character_tribe_i18n!A:C,3,FALSE)</f>
        <v>ゴッド</v>
      </c>
      <c r="O850" s="105" t="s">
        <v>2611</v>
      </c>
      <c r="P850" s="107" t="str">
        <f>VLOOKUP(O850,[1]character_tribe_i18n!A:C,3,FALSE)</f>
        <v>マシン</v>
      </c>
      <c r="Q850" s="110" t="s">
        <v>1358</v>
      </c>
      <c r="R850" s="111">
        <v>3</v>
      </c>
      <c r="S850" s="108" t="s">
        <v>1359</v>
      </c>
      <c r="T850" s="108" t="s">
        <v>1360</v>
      </c>
      <c r="U850" s="108" t="s">
        <v>1359</v>
      </c>
      <c r="V850" s="108" t="s">
        <v>1359</v>
      </c>
      <c r="W850" s="108" t="s">
        <v>1359</v>
      </c>
    </row>
    <row r="851" spans="1:23" ht="21" customHeight="1" x14ac:dyDescent="0.15">
      <c r="A851" s="104">
        <f t="shared" si="13"/>
        <v>850</v>
      </c>
      <c r="B851" s="105" t="s">
        <v>1361</v>
      </c>
      <c r="C851" s="121" t="s">
        <v>2612</v>
      </c>
      <c r="D851" s="107" t="s">
        <v>2613</v>
      </c>
      <c r="E851" s="108" t="s">
        <v>2614</v>
      </c>
      <c r="F851" s="108" t="s">
        <v>2615</v>
      </c>
      <c r="G851" s="108" t="s">
        <v>2616</v>
      </c>
      <c r="H851" s="131" t="s">
        <v>2617</v>
      </c>
      <c r="I851" s="140">
        <v>5</v>
      </c>
      <c r="J851" s="109" t="s">
        <v>2618</v>
      </c>
      <c r="K851" s="105" t="s">
        <v>2493</v>
      </c>
      <c r="L851" s="107" t="str">
        <f ca="1">VLOOKUP($K851,OFFSET([1]character_type_i18n!$A$1,0,0,COUNTA([1]character_type_i18n!$A:$A),MATCH(L$1,[1]character_type_i18n!$1:$1,0)-MATCH($K$1,[1]character_type_i18n!$1:$1,0)+1),MATCH(L$1,[1]character_type_i18n!$1:$1,0)-MATCH($K$1,[1]character_type_i18n!$1:$1,0)+1,FALSE)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51" s="105" t="s">
        <v>2427</v>
      </c>
      <c r="N851" s="107" t="str">
        <f>VLOOKUP(M851,[1]character_tribe_i18n!A:C,3,FALSE)</f>
        <v>ゴッド</v>
      </c>
      <c r="O851" s="105" t="s">
        <v>278</v>
      </c>
      <c r="P851" s="107" t="str">
        <f>VLOOKUP(O851,[1]character_tribe_i18n!A:C,3,FALSE)</f>
        <v>種族なし</v>
      </c>
      <c r="Q851" s="110" t="s">
        <v>2428</v>
      </c>
      <c r="R851" s="111">
        <v>3</v>
      </c>
      <c r="S851" s="108" t="s">
        <v>2063</v>
      </c>
      <c r="T851" s="108" t="s">
        <v>2062</v>
      </c>
      <c r="U851" s="108" t="s">
        <v>2063</v>
      </c>
      <c r="V851" s="108" t="s">
        <v>2063</v>
      </c>
      <c r="W851" s="108" t="s">
        <v>2063</v>
      </c>
    </row>
    <row r="852" spans="1:23" ht="21" customHeight="1" x14ac:dyDescent="0.15">
      <c r="A852" s="104">
        <f t="shared" si="13"/>
        <v>851</v>
      </c>
      <c r="B852" s="105" t="s">
        <v>2619</v>
      </c>
      <c r="C852" s="121" t="s">
        <v>2620</v>
      </c>
      <c r="D852" s="107" t="s">
        <v>2621</v>
      </c>
      <c r="E852" s="108" t="s">
        <v>709</v>
      </c>
      <c r="F852" s="108" t="s">
        <v>532</v>
      </c>
      <c r="G852" s="108" t="s">
        <v>710</v>
      </c>
      <c r="H852" s="131" t="s">
        <v>614</v>
      </c>
      <c r="I852" s="140">
        <v>6</v>
      </c>
      <c r="J852" s="109" t="s">
        <v>1001</v>
      </c>
      <c r="K852" s="105" t="s">
        <v>1505</v>
      </c>
      <c r="L852" s="107" t="str">
        <f ca="1">VLOOKUP($K852,OFFSET([1]character_type_i18n!$A$1,0,0,COUNTA([1]character_type_i18n!$A:$A),MATCH(L$1,[1]character_type_i18n!$1:$1,0)-MATCH($K$1,[1]character_type_i18n!$1:$1,0)+1),MATCH(L$1,[1]character_type_i18n!$1:$1,0)-MATCH($K$1,[1]character_type_i18n!$1:$1,0)+1,FALSE)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52" s="105" t="s">
        <v>1018</v>
      </c>
      <c r="N852" s="107" t="str">
        <f>VLOOKUP(M852,[1]character_tribe_i18n!A:C,3,FALSE)</f>
        <v>ゴッド</v>
      </c>
      <c r="O852" s="105" t="s">
        <v>278</v>
      </c>
      <c r="P852" s="107" t="str">
        <f>VLOOKUP(O852,[1]character_tribe_i18n!A:C,3,FALSE)</f>
        <v>種族なし</v>
      </c>
      <c r="Q852" s="110" t="s">
        <v>2622</v>
      </c>
      <c r="R852" s="111">
        <v>3</v>
      </c>
      <c r="S852" s="108" t="s">
        <v>1560</v>
      </c>
      <c r="T852" s="108" t="s">
        <v>1531</v>
      </c>
      <c r="U852" s="108" t="s">
        <v>1530</v>
      </c>
      <c r="V852" s="108" t="s">
        <v>894</v>
      </c>
      <c r="W852" s="108" t="s">
        <v>894</v>
      </c>
    </row>
    <row r="853" spans="1:23" ht="21" customHeight="1" x14ac:dyDescent="0.15">
      <c r="A853" s="104">
        <f t="shared" si="13"/>
        <v>852</v>
      </c>
      <c r="B853" s="105" t="s">
        <v>1261</v>
      </c>
      <c r="C853" s="121" t="s">
        <v>2623</v>
      </c>
      <c r="D853" s="107" t="s">
        <v>2624</v>
      </c>
      <c r="E853" s="108" t="s">
        <v>2477</v>
      </c>
      <c r="F853" s="108" t="s">
        <v>2489</v>
      </c>
      <c r="G853" s="108" t="s">
        <v>2490</v>
      </c>
      <c r="H853" s="131" t="s">
        <v>2625</v>
      </c>
      <c r="I853" s="140">
        <v>4</v>
      </c>
      <c r="J853" s="109" t="s">
        <v>2626</v>
      </c>
      <c r="K853" s="105" t="s">
        <v>2627</v>
      </c>
      <c r="L853" s="107" t="str">
        <f ca="1">VLOOKUP($K853,OFFSET([1]character_type_i18n!$A$1,0,0,COUNTA([1]character_type_i18n!$A:$A),MATCH(L$1,[1]character_type_i18n!$1:$1,0)-MATCH($K$1,[1]character_type_i18n!$1:$1,0)+1),MATCH(L$1,[1]character_type_i18n!$1:$1,0)-MATCH($K$1,[1]character_type_i18n!$1:$1,0)+1,FALSE)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53" s="105" t="s">
        <v>2628</v>
      </c>
      <c r="N853" s="107" t="str">
        <f>VLOOKUP(M853,[1]character_tribe_i18n!A:C,3,FALSE)</f>
        <v>ゴッド</v>
      </c>
      <c r="O853" s="105" t="s">
        <v>2629</v>
      </c>
      <c r="P853" s="107" t="str">
        <f>VLOOKUP(O853,[1]character_tribe_i18n!A:C,3,FALSE)</f>
        <v>マシン</v>
      </c>
      <c r="Q853" s="110" t="s">
        <v>1656</v>
      </c>
      <c r="R853" s="111">
        <v>3</v>
      </c>
      <c r="S853" s="108" t="s">
        <v>898</v>
      </c>
      <c r="T853" s="108" t="s">
        <v>2630</v>
      </c>
      <c r="U853" s="108" t="s">
        <v>2631</v>
      </c>
      <c r="V853" s="108" t="s">
        <v>894</v>
      </c>
      <c r="W853" s="108" t="s">
        <v>894</v>
      </c>
    </row>
    <row r="854" spans="1:23" ht="21" customHeight="1" x14ac:dyDescent="0.15">
      <c r="A854" s="104">
        <f t="shared" si="13"/>
        <v>853</v>
      </c>
      <c r="B854" s="105" t="s">
        <v>1261</v>
      </c>
      <c r="C854" s="121" t="s">
        <v>2632</v>
      </c>
      <c r="D854" s="107" t="s">
        <v>2633</v>
      </c>
      <c r="E854" s="108" t="s">
        <v>2520</v>
      </c>
      <c r="F854" s="108" t="s">
        <v>2634</v>
      </c>
      <c r="G854" s="108" t="s">
        <v>2635</v>
      </c>
      <c r="H854" s="131" t="s">
        <v>2636</v>
      </c>
      <c r="I854" s="140">
        <v>5</v>
      </c>
      <c r="J854" s="109" t="s">
        <v>2637</v>
      </c>
      <c r="K854" s="105" t="s">
        <v>2638</v>
      </c>
      <c r="L854" s="107" t="str">
        <f ca="1">VLOOKUP($K854,OFFSET([1]character_type_i18n!$A$1,0,0,COUNTA([1]character_type_i18n!$A:$A),MATCH(L$1,[1]character_type_i18n!$1:$1,0)-MATCH($K$1,[1]character_type_i18n!$1:$1,0)+1),MATCH(L$1,[1]character_type_i18n!$1:$1,0)-MATCH($K$1,[1]character_type_i18n!$1:$1,0)+1,FALSE)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54" s="105" t="s">
        <v>2639</v>
      </c>
      <c r="N854" s="107" t="str">
        <f>VLOOKUP(M854,[1]character_tribe_i18n!A:C,3,FALSE)</f>
        <v>ゴッド</v>
      </c>
      <c r="O854" s="105" t="s">
        <v>2640</v>
      </c>
      <c r="P854" s="107" t="str">
        <f>VLOOKUP(O854,[1]character_tribe_i18n!A:C,3,FALSE)</f>
        <v>マシン</v>
      </c>
      <c r="Q854" s="110" t="s">
        <v>2428</v>
      </c>
      <c r="R854" s="111">
        <v>3</v>
      </c>
      <c r="S854" s="108" t="s">
        <v>2063</v>
      </c>
      <c r="T854" s="108" t="s">
        <v>2641</v>
      </c>
      <c r="U854" s="108" t="s">
        <v>2642</v>
      </c>
      <c r="V854" s="108" t="s">
        <v>894</v>
      </c>
      <c r="W854" s="108" t="s">
        <v>894</v>
      </c>
    </row>
    <row r="855" spans="1:23" ht="21" customHeight="1" x14ac:dyDescent="0.15">
      <c r="A855" s="104">
        <f t="shared" si="13"/>
        <v>854</v>
      </c>
      <c r="B855" s="105" t="s">
        <v>1261</v>
      </c>
      <c r="C855" s="121" t="s">
        <v>2643</v>
      </c>
      <c r="D855" s="107" t="s">
        <v>2644</v>
      </c>
      <c r="E855" s="108" t="s">
        <v>2645</v>
      </c>
      <c r="F855" s="108" t="s">
        <v>2646</v>
      </c>
      <c r="G855" s="108" t="s">
        <v>2647</v>
      </c>
      <c r="H855" s="131" t="s">
        <v>2648</v>
      </c>
      <c r="I855" s="140">
        <v>4</v>
      </c>
      <c r="J855" s="109" t="s">
        <v>2649</v>
      </c>
      <c r="K855" s="105" t="s">
        <v>2650</v>
      </c>
      <c r="L855" s="107" t="str">
        <f ca="1">VLOOKUP($K855,OFFSET([1]character_type_i18n!$A$1,0,0,COUNTA([1]character_type_i18n!$A:$A),MATCH(L$1,[1]character_type_i18n!$1:$1,0)-MATCH($K$1,[1]character_type_i18n!$1:$1,0)+1),MATCH(L$1,[1]character_type_i18n!$1:$1,0)-MATCH($K$1,[1]character_type_i18n!$1:$1,0)+1,FALSE)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55" s="105" t="s">
        <v>2651</v>
      </c>
      <c r="N855" s="107" t="str">
        <f>VLOOKUP(M855,[1]character_tribe_i18n!A:C,3,FALSE)</f>
        <v>アニマル</v>
      </c>
      <c r="O855" s="105" t="s">
        <v>278</v>
      </c>
      <c r="P855" s="107" t="str">
        <f>VLOOKUP(O855,[1]character_tribe_i18n!A:C,3,FALSE)</f>
        <v>種族なし</v>
      </c>
      <c r="Q855" s="110" t="s">
        <v>2652</v>
      </c>
      <c r="R855" s="111">
        <v>3</v>
      </c>
      <c r="S855" s="108" t="s">
        <v>2642</v>
      </c>
      <c r="T855" s="108" t="s">
        <v>2641</v>
      </c>
      <c r="U855" s="108" t="s">
        <v>771</v>
      </c>
      <c r="V855" s="108" t="s">
        <v>771</v>
      </c>
      <c r="W855" s="108" t="s">
        <v>771</v>
      </c>
    </row>
    <row r="856" spans="1:23" ht="21" customHeight="1" x14ac:dyDescent="0.15">
      <c r="A856" s="104">
        <f t="shared" si="13"/>
        <v>855</v>
      </c>
      <c r="B856" s="105" t="s">
        <v>336</v>
      </c>
      <c r="C856" s="121" t="s">
        <v>2653</v>
      </c>
      <c r="D856" s="107" t="s">
        <v>2654</v>
      </c>
      <c r="E856" s="108" t="s">
        <v>1463</v>
      </c>
      <c r="F856" s="108" t="s">
        <v>1464</v>
      </c>
      <c r="G856" s="108" t="s">
        <v>2655</v>
      </c>
      <c r="H856" s="131" t="s">
        <v>2173</v>
      </c>
      <c r="I856" s="140">
        <v>5</v>
      </c>
      <c r="J856" s="109" t="s">
        <v>2461</v>
      </c>
      <c r="K856" s="105" t="s">
        <v>1273</v>
      </c>
      <c r="L856" s="107" t="str">
        <f ca="1">VLOOKUP($K856,OFFSET([1]character_type_i18n!$A$1,0,0,COUNTA([1]character_type_i18n!$A:$A),MATCH(L$1,[1]character_type_i18n!$1:$1,0)-MATCH($K$1,[1]character_type_i18n!$1:$1,0)+1),MATCH(L$1,[1]character_type_i18n!$1:$1,0)-MATCH($K$1,[1]character_type_i18n!$1:$1,0)+1,FALSE)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56" s="105" t="s">
        <v>313</v>
      </c>
      <c r="N856" s="107" t="str">
        <f>VLOOKUP(M856,[1]character_tribe_i18n!A:C,3,FALSE)</f>
        <v>アニマル</v>
      </c>
      <c r="O856" s="105" t="s">
        <v>278</v>
      </c>
      <c r="P856" s="107" t="str">
        <f>VLOOKUP(O856,[1]character_tribe_i18n!A:C,3,FALSE)</f>
        <v>種族なし</v>
      </c>
      <c r="Q856" s="110" t="s">
        <v>2656</v>
      </c>
      <c r="R856" s="111">
        <v>3</v>
      </c>
      <c r="S856" s="108" t="s">
        <v>289</v>
      </c>
      <c r="T856" s="108" t="s">
        <v>288</v>
      </c>
      <c r="U856" s="108" t="s">
        <v>289</v>
      </c>
      <c r="V856" s="108" t="s">
        <v>289</v>
      </c>
      <c r="W856" s="108" t="s">
        <v>289</v>
      </c>
    </row>
    <row r="857" spans="1:23" ht="20" customHeight="1" x14ac:dyDescent="0.15">
      <c r="A857" s="104">
        <f t="shared" si="13"/>
        <v>856</v>
      </c>
      <c r="B857" s="105" t="s">
        <v>2657</v>
      </c>
      <c r="C857" s="121" t="s">
        <v>2658</v>
      </c>
      <c r="D857" s="107" t="s">
        <v>2659</v>
      </c>
      <c r="E857" s="108" t="s">
        <v>2520</v>
      </c>
      <c r="F857" s="108" t="s">
        <v>2660</v>
      </c>
      <c r="G857" s="108" t="s">
        <v>2661</v>
      </c>
      <c r="H857" s="131" t="s">
        <v>2662</v>
      </c>
      <c r="I857" s="140">
        <v>4</v>
      </c>
      <c r="J857" s="109" t="s">
        <v>2663</v>
      </c>
      <c r="K857" s="105" t="s">
        <v>2664</v>
      </c>
      <c r="L857" s="107" t="str">
        <f ca="1">VLOOKUP($K857,OFFSET([1]character_type_i18n!$A$1,0,0,COUNTA([1]character_type_i18n!$A:$A),MATCH(L$1,[1]character_type_i18n!$1:$1,0)-MATCH($K$1,[1]character_type_i18n!$1:$1,0)+1),MATCH(L$1,[1]character_type_i18n!$1:$1,0)-MATCH($K$1,[1]character_type_i18n!$1:$1,0)+1,FALSE)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57" s="105" t="s">
        <v>2665</v>
      </c>
      <c r="N857" s="107" t="str">
        <f>VLOOKUP(M857,[1]character_tribe_i18n!A:C,3,FALSE)</f>
        <v>ヒューマン</v>
      </c>
      <c r="O857" s="105" t="s">
        <v>278</v>
      </c>
      <c r="P857" s="107" t="str">
        <f>VLOOKUP(O857,[1]character_tribe_i18n!A:C,3,FALSE)</f>
        <v>種族なし</v>
      </c>
      <c r="Q857" s="110" t="s">
        <v>2656</v>
      </c>
      <c r="R857" s="111">
        <v>3</v>
      </c>
      <c r="S857" s="108" t="s">
        <v>2666</v>
      </c>
      <c r="T857" s="108" t="s">
        <v>2667</v>
      </c>
      <c r="U857" s="108" t="s">
        <v>2666</v>
      </c>
      <c r="V857" s="108" t="s">
        <v>2666</v>
      </c>
      <c r="W857" s="108" t="s">
        <v>2666</v>
      </c>
    </row>
    <row r="858" spans="1:23" ht="21" customHeight="1" x14ac:dyDescent="0.15">
      <c r="A858" s="104">
        <f t="shared" si="13"/>
        <v>857</v>
      </c>
      <c r="B858" s="105" t="s">
        <v>2657</v>
      </c>
      <c r="C858" s="121" t="s">
        <v>2668</v>
      </c>
      <c r="D858" s="107" t="s">
        <v>2669</v>
      </c>
      <c r="E858" s="108" t="s">
        <v>709</v>
      </c>
      <c r="F858" s="108" t="s">
        <v>532</v>
      </c>
      <c r="G858" s="108" t="s">
        <v>710</v>
      </c>
      <c r="H858" s="131" t="s">
        <v>1141</v>
      </c>
      <c r="I858" s="140">
        <v>5</v>
      </c>
      <c r="J858" s="109" t="s">
        <v>1372</v>
      </c>
      <c r="K858" s="105" t="s">
        <v>1505</v>
      </c>
      <c r="L858" s="107" t="str">
        <f ca="1">VLOOKUP($K858,OFFSET([1]character_type_i18n!$A$1,0,0,COUNTA([1]character_type_i18n!$A:$A),MATCH(L$1,[1]character_type_i18n!$1:$1,0)-MATCH($K$1,[1]character_type_i18n!$1:$1,0)+1),MATCH(L$1,[1]character_type_i18n!$1:$1,0)-MATCH($K$1,[1]character_type_i18n!$1:$1,0)+1,FALSE)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58" s="105" t="s">
        <v>1011</v>
      </c>
      <c r="N858" s="107" t="str">
        <f>VLOOKUP(M858,[1]character_tribe_i18n!A:C,3,FALSE)</f>
        <v>ヒューマン</v>
      </c>
      <c r="O858" s="105" t="s">
        <v>278</v>
      </c>
      <c r="P858" s="107" t="str">
        <f>VLOOKUP(O858,[1]character_tribe_i18n!A:C,3,FALSE)</f>
        <v>種族なし</v>
      </c>
      <c r="Q858" s="110" t="s">
        <v>2060</v>
      </c>
      <c r="R858" s="111">
        <v>3</v>
      </c>
      <c r="S858" s="108" t="s">
        <v>2061</v>
      </c>
      <c r="T858" s="108" t="s">
        <v>2670</v>
      </c>
      <c r="U858" s="108" t="s">
        <v>2061</v>
      </c>
      <c r="V858" s="108" t="s">
        <v>2061</v>
      </c>
      <c r="W858" s="108" t="s">
        <v>2061</v>
      </c>
    </row>
    <row r="859" spans="1:23" ht="21" customHeight="1" x14ac:dyDescent="0.15">
      <c r="A859" s="104">
        <f t="shared" si="13"/>
        <v>858</v>
      </c>
      <c r="B859" s="105" t="s">
        <v>2064</v>
      </c>
      <c r="C859" s="121" t="s">
        <v>2671</v>
      </c>
      <c r="D859" s="107" t="s">
        <v>2672</v>
      </c>
      <c r="E859" s="108" t="s">
        <v>709</v>
      </c>
      <c r="F859" s="108" t="s">
        <v>532</v>
      </c>
      <c r="G859" s="108" t="s">
        <v>710</v>
      </c>
      <c r="H859" s="131" t="s">
        <v>551</v>
      </c>
      <c r="I859" s="140">
        <v>4</v>
      </c>
      <c r="J859" s="109" t="s">
        <v>516</v>
      </c>
      <c r="K859" s="105" t="s">
        <v>967</v>
      </c>
      <c r="L859" s="107" t="str">
        <f ca="1">VLOOKUP($K859,OFFSET([1]character_type_i18n!$A$1,0,0,COUNTA([1]character_type_i18n!$A:$A),MATCH(L$1,[1]character_type_i18n!$1:$1,0)-MATCH($K$1,[1]character_type_i18n!$1:$1,0)+1),MATCH(L$1,[1]character_type_i18n!$1:$1,0)-MATCH($K$1,[1]character_type_i18n!$1:$1,0)+1,FALSE)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59" s="105" t="s">
        <v>2673</v>
      </c>
      <c r="N859" s="107" t="str">
        <f>VLOOKUP(M859,[1]character_tribe_i18n!A:C,3,FALSE)</f>
        <v>マシン</v>
      </c>
      <c r="O859" s="105" t="s">
        <v>313</v>
      </c>
      <c r="P859" s="107" t="str">
        <f>VLOOKUP(O859,[1]character_tribe_i18n!A:C,3,FALSE)</f>
        <v>アニマル</v>
      </c>
      <c r="Q859" s="110" t="s">
        <v>279</v>
      </c>
      <c r="R859" s="111">
        <v>3</v>
      </c>
      <c r="S859" s="108" t="s">
        <v>280</v>
      </c>
      <c r="T859" s="108" t="s">
        <v>2412</v>
      </c>
      <c r="U859" s="108" t="s">
        <v>2413</v>
      </c>
      <c r="V859" s="108" t="s">
        <v>894</v>
      </c>
      <c r="W859" s="108" t="s">
        <v>894</v>
      </c>
    </row>
    <row r="860" spans="1:23" ht="21" customHeight="1" x14ac:dyDescent="0.15">
      <c r="A860" s="104">
        <f t="shared" si="13"/>
        <v>859</v>
      </c>
      <c r="B860" s="105" t="s">
        <v>1261</v>
      </c>
      <c r="C860" s="121" t="s">
        <v>2674</v>
      </c>
      <c r="D860" s="107" t="s">
        <v>2675</v>
      </c>
      <c r="E860" s="108" t="s">
        <v>2488</v>
      </c>
      <c r="F860" s="108" t="s">
        <v>2489</v>
      </c>
      <c r="G860" s="108" t="s">
        <v>2490</v>
      </c>
      <c r="H860" s="131" t="s">
        <v>2517</v>
      </c>
      <c r="I860" s="140">
        <v>5</v>
      </c>
      <c r="J860" s="109" t="s">
        <v>516</v>
      </c>
      <c r="K860" s="105" t="s">
        <v>2676</v>
      </c>
      <c r="L860" s="107" t="str">
        <f ca="1">VLOOKUP($K860,OFFSET([1]character_type_i18n!$A$1,0,0,COUNTA([1]character_type_i18n!$A:$A),MATCH(L$1,[1]character_type_i18n!$1:$1,0)-MATCH($K$1,[1]character_type_i18n!$1:$1,0)+1),MATCH(L$1,[1]character_type_i18n!$1:$1,0)-MATCH($K$1,[1]character_type_i18n!$1:$1,0)+1,FALSE)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60" s="105" t="s">
        <v>2640</v>
      </c>
      <c r="N860" s="107" t="str">
        <f>VLOOKUP(M860,[1]character_tribe_i18n!A:C,3,FALSE)</f>
        <v>マシン</v>
      </c>
      <c r="O860" s="105" t="s">
        <v>313</v>
      </c>
      <c r="P860" s="107" t="str">
        <f>VLOOKUP(O860,[1]character_tribe_i18n!A:C,3,FALSE)</f>
        <v>アニマル</v>
      </c>
      <c r="Q860" s="110" t="s">
        <v>279</v>
      </c>
      <c r="R860" s="111">
        <v>3</v>
      </c>
      <c r="S860" s="108" t="s">
        <v>280</v>
      </c>
      <c r="T860" s="108" t="s">
        <v>610</v>
      </c>
      <c r="U860" s="108" t="s">
        <v>611</v>
      </c>
      <c r="V860" s="108" t="s">
        <v>894</v>
      </c>
      <c r="W860" s="108" t="s">
        <v>894</v>
      </c>
    </row>
    <row r="861" spans="1:23" ht="21" customHeight="1" x14ac:dyDescent="0.15">
      <c r="A861" s="104">
        <f t="shared" si="13"/>
        <v>860</v>
      </c>
      <c r="B861" s="105" t="s">
        <v>1261</v>
      </c>
      <c r="C861" s="121" t="s">
        <v>2677</v>
      </c>
      <c r="D861" s="107" t="s">
        <v>2678</v>
      </c>
      <c r="E861" s="108" t="s">
        <v>2488</v>
      </c>
      <c r="F861" s="108" t="s">
        <v>2489</v>
      </c>
      <c r="G861" s="108" t="s">
        <v>2490</v>
      </c>
      <c r="H861" s="131" t="s">
        <v>2625</v>
      </c>
      <c r="I861" s="140">
        <v>5</v>
      </c>
      <c r="J861" s="109" t="s">
        <v>2492</v>
      </c>
      <c r="K861" s="105" t="s">
        <v>2676</v>
      </c>
      <c r="L861" s="107" t="str">
        <f ca="1">VLOOKUP($K861,OFFSET([1]character_type_i18n!$A$1,0,0,COUNTA([1]character_type_i18n!$A:$A),MATCH(L$1,[1]character_type_i18n!$1:$1,0)-MATCH($K$1,[1]character_type_i18n!$1:$1,0)+1),MATCH(L$1,[1]character_type_i18n!$1:$1,0)-MATCH($K$1,[1]character_type_i18n!$1:$1,0)+1,FALSE)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61" s="105" t="s">
        <v>2679</v>
      </c>
      <c r="N861" s="107" t="str">
        <f>VLOOKUP(M861,[1]character_tribe_i18n!A:C,3,FALSE)</f>
        <v>Unknown</v>
      </c>
      <c r="O861" s="105" t="s">
        <v>1018</v>
      </c>
      <c r="P861" s="107" t="str">
        <f>VLOOKUP(O861,[1]character_tribe_i18n!A:C,3,FALSE)</f>
        <v>ゴッド</v>
      </c>
      <c r="Q861" s="110" t="s">
        <v>279</v>
      </c>
      <c r="R861" s="111">
        <v>3</v>
      </c>
      <c r="S861" s="108" t="s">
        <v>280</v>
      </c>
      <c r="T861" s="108" t="s">
        <v>2514</v>
      </c>
      <c r="U861" s="108" t="s">
        <v>2680</v>
      </c>
      <c r="V861" s="108" t="s">
        <v>894</v>
      </c>
      <c r="W861" s="108" t="s">
        <v>894</v>
      </c>
    </row>
    <row r="862" spans="1:23" ht="21" customHeight="1" x14ac:dyDescent="0.15">
      <c r="A862" s="104">
        <f t="shared" si="13"/>
        <v>861</v>
      </c>
      <c r="B862" s="105" t="s">
        <v>1261</v>
      </c>
      <c r="C862" s="121" t="s">
        <v>2681</v>
      </c>
      <c r="D862" s="107" t="s">
        <v>2682</v>
      </c>
      <c r="E862" s="108" t="s">
        <v>2286</v>
      </c>
      <c r="F862" s="108" t="s">
        <v>2287</v>
      </c>
      <c r="G862" s="108" t="s">
        <v>2288</v>
      </c>
      <c r="H862" s="131" t="s">
        <v>2289</v>
      </c>
      <c r="I862" s="140">
        <v>6</v>
      </c>
      <c r="J862" s="109" t="s">
        <v>2505</v>
      </c>
      <c r="K862" s="105" t="s">
        <v>2683</v>
      </c>
      <c r="L862" s="107" t="str">
        <f ca="1">VLOOKUP($K862,OFFSET([1]character_type_i18n!$A$1,0,0,COUNTA([1]character_type_i18n!$A:$A),MATCH(L$1,[1]character_type_i18n!$1:$1,0)-MATCH($K$1,[1]character_type_i18n!$1:$1,0)+1),MATCH(L$1,[1]character_type_i18n!$1:$1,0)-MATCH($K$1,[1]character_type_i18n!$1:$1,0)+1,FALSE)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62" s="105" t="s">
        <v>2684</v>
      </c>
      <c r="N862" s="107" t="str">
        <f>VLOOKUP(M862,[1]character_tribe_i18n!A:C,3,FALSE)</f>
        <v>Unknown</v>
      </c>
      <c r="O862" s="105" t="s">
        <v>1018</v>
      </c>
      <c r="P862" s="107" t="str">
        <f>VLOOKUP(O862,[1]character_tribe_i18n!A:C,3,FALSE)</f>
        <v>ゴッド</v>
      </c>
      <c r="Q862" s="110" t="s">
        <v>2458</v>
      </c>
      <c r="R862" s="111">
        <v>3</v>
      </c>
      <c r="S862" s="108" t="s">
        <v>911</v>
      </c>
      <c r="T862" s="108" t="s">
        <v>281</v>
      </c>
      <c r="U862" s="108" t="s">
        <v>280</v>
      </c>
      <c r="V862" s="108" t="s">
        <v>894</v>
      </c>
      <c r="W862" s="108" t="s">
        <v>894</v>
      </c>
    </row>
    <row r="863" spans="1:23" ht="21" customHeight="1" x14ac:dyDescent="0.15">
      <c r="A863" s="104">
        <f t="shared" si="13"/>
        <v>862</v>
      </c>
      <c r="B863" s="105" t="s">
        <v>1261</v>
      </c>
      <c r="C863" s="121" t="s">
        <v>2685</v>
      </c>
      <c r="D863" s="107" t="s">
        <v>2686</v>
      </c>
      <c r="E863" s="108" t="s">
        <v>2488</v>
      </c>
      <c r="F863" s="108" t="s">
        <v>2489</v>
      </c>
      <c r="G863" s="108" t="s">
        <v>2490</v>
      </c>
      <c r="H863" s="131" t="s">
        <v>2521</v>
      </c>
      <c r="I863" s="140">
        <v>4</v>
      </c>
      <c r="J863" s="109" t="s">
        <v>2687</v>
      </c>
      <c r="K863" s="105" t="s">
        <v>2688</v>
      </c>
      <c r="L863" s="107" t="str">
        <f ca="1">VLOOKUP($K863,OFFSET([1]character_type_i18n!$A$1,0,0,COUNTA([1]character_type_i18n!$A:$A),MATCH(L$1,[1]character_type_i18n!$1:$1,0)-MATCH($K$1,[1]character_type_i18n!$1:$1,0)+1),MATCH(L$1,[1]character_type_i18n!$1:$1,0)-MATCH($K$1,[1]character_type_i18n!$1:$1,0)+1,FALSE)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63" s="105" t="s">
        <v>2689</v>
      </c>
      <c r="N863" s="107" t="str">
        <f>VLOOKUP(M863,[1]character_tribe_i18n!A:C,3,FALSE)</f>
        <v>アニマル</v>
      </c>
      <c r="O863" s="105" t="s">
        <v>278</v>
      </c>
      <c r="P863" s="107" t="str">
        <f>VLOOKUP(O863,[1]character_tribe_i18n!A:C,3,FALSE)</f>
        <v>種族なし</v>
      </c>
      <c r="Q863" s="110" t="s">
        <v>2690</v>
      </c>
      <c r="R863" s="111">
        <v>3</v>
      </c>
      <c r="S863" s="108" t="s">
        <v>2691</v>
      </c>
      <c r="T863" s="108" t="s">
        <v>2692</v>
      </c>
      <c r="U863" s="108" t="s">
        <v>2691</v>
      </c>
      <c r="V863" s="108" t="s">
        <v>2691</v>
      </c>
      <c r="W863" s="108" t="s">
        <v>2691</v>
      </c>
    </row>
    <row r="864" spans="1:23" ht="21" customHeight="1" x14ac:dyDescent="0.15">
      <c r="A864" s="104">
        <f t="shared" si="13"/>
        <v>863</v>
      </c>
      <c r="B864" s="105" t="s">
        <v>2693</v>
      </c>
      <c r="C864" s="121" t="s">
        <v>2694</v>
      </c>
      <c r="D864" s="107" t="s">
        <v>2695</v>
      </c>
      <c r="E864" s="108" t="s">
        <v>2696</v>
      </c>
      <c r="F864" s="108" t="s">
        <v>2697</v>
      </c>
      <c r="G864" s="108" t="s">
        <v>2698</v>
      </c>
      <c r="H864" s="131" t="s">
        <v>2699</v>
      </c>
      <c r="I864" s="140">
        <v>5</v>
      </c>
      <c r="J864" s="109" t="s">
        <v>2700</v>
      </c>
      <c r="K864" s="105" t="s">
        <v>2602</v>
      </c>
      <c r="L864" s="107" t="str">
        <f ca="1">VLOOKUP($K864,OFFSET([1]character_type_i18n!$A$1,0,0,COUNTA([1]character_type_i18n!$A:$A),MATCH(L$1,[1]character_type_i18n!$1:$1,0)-MATCH($K$1,[1]character_type_i18n!$1:$1,0)+1),MATCH(L$1,[1]character_type_i18n!$1:$1,0)-MATCH($K$1,[1]character_type_i18n!$1:$1,0)+1,FALSE)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64" s="105" t="s">
        <v>2701</v>
      </c>
      <c r="N864" s="107" t="str">
        <f>VLOOKUP(M864,[1]character_tribe_i18n!A:C,3,FALSE)</f>
        <v>アニマル</v>
      </c>
      <c r="O864" s="105" t="s">
        <v>278</v>
      </c>
      <c r="P864" s="107" t="str">
        <f>VLOOKUP(O864,[1]character_tribe_i18n!A:C,3,FALSE)</f>
        <v>種族なし</v>
      </c>
      <c r="Q864" s="110" t="s">
        <v>1358</v>
      </c>
      <c r="R864" s="111">
        <v>3</v>
      </c>
      <c r="S864" s="108" t="s">
        <v>289</v>
      </c>
      <c r="T864" s="108" t="s">
        <v>288</v>
      </c>
      <c r="U864" s="108" t="s">
        <v>289</v>
      </c>
      <c r="V864" s="108" t="s">
        <v>289</v>
      </c>
      <c r="W864" s="108" t="s">
        <v>289</v>
      </c>
    </row>
    <row r="865" spans="1:23" ht="21" customHeight="1" x14ac:dyDescent="0.15">
      <c r="A865" s="104">
        <f t="shared" si="13"/>
        <v>864</v>
      </c>
      <c r="B865" s="105" t="s">
        <v>292</v>
      </c>
      <c r="C865" s="121" t="s">
        <v>2702</v>
      </c>
      <c r="D865" s="107" t="s">
        <v>2703</v>
      </c>
      <c r="E865" s="108" t="s">
        <v>848</v>
      </c>
      <c r="F865" s="108" t="s">
        <v>1422</v>
      </c>
      <c r="G865" s="108" t="s">
        <v>1587</v>
      </c>
      <c r="H865" s="131" t="s">
        <v>1890</v>
      </c>
      <c r="I865" s="140">
        <v>4</v>
      </c>
      <c r="J865" s="109" t="s">
        <v>2704</v>
      </c>
      <c r="K865" s="105" t="s">
        <v>2705</v>
      </c>
      <c r="L865" s="107" t="str">
        <f ca="1">VLOOKUP($K865,OFFSET([1]character_type_i18n!$A$1,0,0,COUNTA([1]character_type_i18n!$A:$A),MATCH(L$1,[1]character_type_i18n!$1:$1,0)-MATCH($K$1,[1]character_type_i18n!$1:$1,0)+1),MATCH(L$1,[1]character_type_i18n!$1:$1,0)-MATCH($K$1,[1]character_type_i18n!$1:$1,0)+1,FALSE)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65" s="105" t="s">
        <v>1599</v>
      </c>
      <c r="N865" s="107" t="str">
        <f>VLOOKUP(M865,[1]character_tribe_i18n!A:C,3,FALSE)</f>
        <v>マシン</v>
      </c>
      <c r="O865" s="105" t="s">
        <v>278</v>
      </c>
      <c r="P865" s="107" t="str">
        <f>VLOOKUP(O865,[1]character_tribe_i18n!A:C,3,FALSE)</f>
        <v>種族なし</v>
      </c>
      <c r="Q865" s="110" t="s">
        <v>279</v>
      </c>
      <c r="R865" s="111">
        <v>3</v>
      </c>
      <c r="S865" s="108" t="s">
        <v>280</v>
      </c>
      <c r="T865" s="108" t="s">
        <v>281</v>
      </c>
      <c r="U865" s="108" t="s">
        <v>280</v>
      </c>
      <c r="V865" s="108" t="s">
        <v>280</v>
      </c>
      <c r="W865" s="108" t="s">
        <v>280</v>
      </c>
    </row>
    <row r="866" spans="1:23" ht="21" customHeight="1" x14ac:dyDescent="0.15">
      <c r="A866" s="104">
        <f t="shared" si="13"/>
        <v>865</v>
      </c>
      <c r="B866" s="105" t="s">
        <v>268</v>
      </c>
      <c r="C866" s="121" t="s">
        <v>2706</v>
      </c>
      <c r="D866" s="107" t="s">
        <v>2707</v>
      </c>
      <c r="E866" s="108" t="s">
        <v>709</v>
      </c>
      <c r="F866" s="108" t="s">
        <v>532</v>
      </c>
      <c r="G866" s="108" t="s">
        <v>710</v>
      </c>
      <c r="H866" s="131" t="s">
        <v>614</v>
      </c>
      <c r="I866" s="140">
        <v>5</v>
      </c>
      <c r="J866" s="109" t="s">
        <v>2367</v>
      </c>
      <c r="K866" s="105" t="s">
        <v>1005</v>
      </c>
      <c r="L866" s="107" t="str">
        <f ca="1">VLOOKUP($K866,OFFSET([1]character_type_i18n!$A$1,0,0,COUNTA([1]character_type_i18n!$A:$A),MATCH(L$1,[1]character_type_i18n!$1:$1,0)-MATCH($K$1,[1]character_type_i18n!$1:$1,0)+1),MATCH(L$1,[1]character_type_i18n!$1:$1,0)-MATCH($K$1,[1]character_type_i18n!$1:$1,0)+1,FALSE)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66" s="105" t="s">
        <v>1017</v>
      </c>
      <c r="N866" s="107" t="str">
        <f>VLOOKUP(M866,[1]character_tribe_i18n!A:C,3,FALSE)</f>
        <v>マシン</v>
      </c>
      <c r="O866" s="105" t="s">
        <v>278</v>
      </c>
      <c r="P866" s="107" t="str">
        <f>VLOOKUP(O866,[1]character_tribe_i18n!A:C,3,FALSE)</f>
        <v>種族なし</v>
      </c>
      <c r="Q866" s="110" t="s">
        <v>279</v>
      </c>
      <c r="R866" s="111">
        <v>3</v>
      </c>
      <c r="S866" s="108" t="s">
        <v>280</v>
      </c>
      <c r="T866" s="108" t="s">
        <v>281</v>
      </c>
      <c r="U866" s="108" t="s">
        <v>280</v>
      </c>
      <c r="V866" s="108" t="s">
        <v>280</v>
      </c>
      <c r="W866" s="108" t="s">
        <v>280</v>
      </c>
    </row>
    <row r="867" spans="1:23" ht="21" customHeight="1" x14ac:dyDescent="0.15">
      <c r="A867" s="104">
        <f t="shared" si="13"/>
        <v>866</v>
      </c>
      <c r="B867" s="105" t="s">
        <v>268</v>
      </c>
      <c r="C867" s="121" t="s">
        <v>2708</v>
      </c>
      <c r="D867" s="107" t="s">
        <v>2659</v>
      </c>
      <c r="E867" s="108" t="s">
        <v>709</v>
      </c>
      <c r="F867" s="108" t="s">
        <v>532</v>
      </c>
      <c r="G867" s="108" t="s">
        <v>710</v>
      </c>
      <c r="H867" s="131" t="s">
        <v>768</v>
      </c>
      <c r="I867" s="140">
        <v>5</v>
      </c>
      <c r="J867" s="109" t="s">
        <v>1001</v>
      </c>
      <c r="K867" s="105" t="s">
        <v>1008</v>
      </c>
      <c r="L867" s="107" t="str">
        <f ca="1">VLOOKUP($K867,OFFSET([1]character_type_i18n!$A$1,0,0,COUNTA([1]character_type_i18n!$A:$A),MATCH(L$1,[1]character_type_i18n!$1:$1,0)-MATCH($K$1,[1]character_type_i18n!$1:$1,0)+1),MATCH(L$1,[1]character_type_i18n!$1:$1,0)-MATCH($K$1,[1]character_type_i18n!$1:$1,0)+1,FALSE)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67" s="105" t="s">
        <v>1011</v>
      </c>
      <c r="N867" s="107" t="str">
        <f>VLOOKUP(M867,[1]character_tribe_i18n!A:C,3,FALSE)</f>
        <v>ヒューマン</v>
      </c>
      <c r="O867" s="105" t="s">
        <v>1413</v>
      </c>
      <c r="P867" s="107" t="str">
        <f>VLOOKUP(O867,[1]character_tribe_i18n!A:C,3,FALSE)</f>
        <v>Unknown</v>
      </c>
      <c r="Q867" s="110" t="s">
        <v>362</v>
      </c>
      <c r="R867" s="111">
        <v>3</v>
      </c>
      <c r="S867" s="108" t="s">
        <v>289</v>
      </c>
      <c r="T867" s="108" t="s">
        <v>288</v>
      </c>
      <c r="U867" s="108" t="s">
        <v>289</v>
      </c>
      <c r="V867" s="108" t="s">
        <v>289</v>
      </c>
      <c r="W867" s="108" t="s">
        <v>289</v>
      </c>
    </row>
    <row r="868" spans="1:23" ht="21" customHeight="1" x14ac:dyDescent="0.15">
      <c r="A868" s="104">
        <f t="shared" si="13"/>
        <v>867</v>
      </c>
      <c r="B868" s="105" t="s">
        <v>292</v>
      </c>
      <c r="C868" s="121" t="s">
        <v>2709</v>
      </c>
      <c r="D868" s="107" t="s">
        <v>2669</v>
      </c>
      <c r="E868" s="108" t="s">
        <v>848</v>
      </c>
      <c r="F868" s="108" t="s">
        <v>1422</v>
      </c>
      <c r="G868" s="108" t="s">
        <v>1587</v>
      </c>
      <c r="H868" s="131" t="s">
        <v>1170</v>
      </c>
      <c r="I868" s="140">
        <v>6</v>
      </c>
      <c r="J868" s="109" t="s">
        <v>2083</v>
      </c>
      <c r="K868" s="105" t="s">
        <v>2084</v>
      </c>
      <c r="L868" s="107" t="str">
        <f ca="1">VLOOKUP($K868,OFFSET([1]character_type_i18n!$A$1,0,0,COUNTA([1]character_type_i18n!$A:$A),MATCH(L$1,[1]character_type_i18n!$1:$1,0)-MATCH($K$1,[1]character_type_i18n!$1:$1,0)+1),MATCH(L$1,[1]character_type_i18n!$1:$1,0)-MATCH($K$1,[1]character_type_i18n!$1:$1,0)+1,FALSE)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68" s="105" t="s">
        <v>1011</v>
      </c>
      <c r="N868" s="107" t="str">
        <f>VLOOKUP(M868,[1]character_tribe_i18n!A:C,3,FALSE)</f>
        <v>ヒューマン</v>
      </c>
      <c r="O868" s="105" t="s">
        <v>1164</v>
      </c>
      <c r="P868" s="107" t="str">
        <f>VLOOKUP(O868,[1]character_tribe_i18n!A:C,3,FALSE)</f>
        <v>Unknown</v>
      </c>
      <c r="Q868" s="110" t="s">
        <v>362</v>
      </c>
      <c r="R868" s="111">
        <v>3</v>
      </c>
      <c r="S868" s="108" t="s">
        <v>289</v>
      </c>
      <c r="T868" s="108" t="s">
        <v>288</v>
      </c>
      <c r="U868" s="108" t="s">
        <v>289</v>
      </c>
      <c r="V868" s="108" t="s">
        <v>289</v>
      </c>
      <c r="W868" s="108" t="s">
        <v>289</v>
      </c>
    </row>
    <row r="869" spans="1:23" ht="21" customHeight="1" x14ac:dyDescent="0.15">
      <c r="A869" s="104">
        <f t="shared" si="13"/>
        <v>868</v>
      </c>
      <c r="B869" s="105" t="s">
        <v>292</v>
      </c>
      <c r="C869" s="121" t="s">
        <v>2710</v>
      </c>
      <c r="D869" s="107" t="s">
        <v>2672</v>
      </c>
      <c r="E869" s="108" t="s">
        <v>848</v>
      </c>
      <c r="F869" s="108" t="s">
        <v>1422</v>
      </c>
      <c r="G869" s="108" t="s">
        <v>1587</v>
      </c>
      <c r="H869" s="131" t="s">
        <v>2236</v>
      </c>
      <c r="I869" s="140">
        <v>5</v>
      </c>
      <c r="J869" s="109" t="s">
        <v>2083</v>
      </c>
      <c r="K869" s="105" t="s">
        <v>1588</v>
      </c>
      <c r="L869" s="107" t="str">
        <f ca="1">VLOOKUP($K869,OFFSET([1]character_type_i18n!$A$1,0,0,COUNTA([1]character_type_i18n!$A:$A),MATCH(L$1,[1]character_type_i18n!$1:$1,0)-MATCH($K$1,[1]character_type_i18n!$1:$1,0)+1),MATCH(L$1,[1]character_type_i18n!$1:$1,0)-MATCH($K$1,[1]character_type_i18n!$1:$1,0)+1,FALSE)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69" s="105" t="s">
        <v>1394</v>
      </c>
      <c r="N869" s="107" t="str">
        <f>VLOOKUP(M869,[1]character_tribe_i18n!A:C,3,FALSE)</f>
        <v>ヒューマン</v>
      </c>
      <c r="O869" s="105" t="s">
        <v>1017</v>
      </c>
      <c r="P869" s="107" t="str">
        <f>VLOOKUP(O869,[1]character_tribe_i18n!A:C,3,FALSE)</f>
        <v>マシン</v>
      </c>
      <c r="Q869" s="110" t="s">
        <v>279</v>
      </c>
      <c r="R869" s="111">
        <v>3</v>
      </c>
      <c r="S869" s="108" t="s">
        <v>280</v>
      </c>
      <c r="T869" s="108" t="s">
        <v>281</v>
      </c>
      <c r="U869" s="108" t="s">
        <v>280</v>
      </c>
      <c r="V869" s="108" t="s">
        <v>280</v>
      </c>
      <c r="W869" s="108" t="s">
        <v>280</v>
      </c>
    </row>
    <row r="870" spans="1:23" ht="21" customHeight="1" x14ac:dyDescent="0.15">
      <c r="A870" s="104">
        <f t="shared" si="13"/>
        <v>869</v>
      </c>
      <c r="B870" s="105" t="s">
        <v>268</v>
      </c>
      <c r="C870" s="121" t="s">
        <v>2711</v>
      </c>
      <c r="D870" s="107" t="s">
        <v>2675</v>
      </c>
      <c r="E870" s="108" t="s">
        <v>709</v>
      </c>
      <c r="F870" s="108" t="s">
        <v>532</v>
      </c>
      <c r="G870" s="108" t="s">
        <v>710</v>
      </c>
      <c r="H870" s="131" t="s">
        <v>551</v>
      </c>
      <c r="I870" s="140">
        <v>6</v>
      </c>
      <c r="J870" s="109" t="s">
        <v>1001</v>
      </c>
      <c r="K870" s="105" t="s">
        <v>967</v>
      </c>
      <c r="L870" s="107" t="str">
        <f ca="1">VLOOKUP($K870,OFFSET([1]character_type_i18n!$A$1,0,0,COUNTA([1]character_type_i18n!$A:$A),MATCH(L$1,[1]character_type_i18n!$1:$1,0)-MATCH($K$1,[1]character_type_i18n!$1:$1,0)+1),MATCH(L$1,[1]character_type_i18n!$1:$1,0)-MATCH($K$1,[1]character_type_i18n!$1:$1,0)+1,FALSE)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70" s="105" t="s">
        <v>1394</v>
      </c>
      <c r="N870" s="107" t="str">
        <f>VLOOKUP(M870,[1]character_tribe_i18n!A:C,3,FALSE)</f>
        <v>ヒューマン</v>
      </c>
      <c r="O870" s="105" t="s">
        <v>1599</v>
      </c>
      <c r="P870" s="107" t="str">
        <f>VLOOKUP(O870,[1]character_tribe_i18n!A:C,3,FALSE)</f>
        <v>マシン</v>
      </c>
      <c r="Q870" s="110" t="s">
        <v>279</v>
      </c>
      <c r="R870" s="111">
        <v>3</v>
      </c>
      <c r="S870" s="108" t="s">
        <v>280</v>
      </c>
      <c r="T870" s="108" t="s">
        <v>281</v>
      </c>
      <c r="U870" s="108" t="s">
        <v>280</v>
      </c>
      <c r="V870" s="108" t="s">
        <v>280</v>
      </c>
      <c r="W870" s="108" t="s">
        <v>280</v>
      </c>
    </row>
    <row r="871" spans="1:23" ht="21" customHeight="1" x14ac:dyDescent="0.15">
      <c r="A871" s="104">
        <f t="shared" si="13"/>
        <v>870</v>
      </c>
      <c r="B871" s="105" t="s">
        <v>268</v>
      </c>
      <c r="C871" s="121" t="s">
        <v>2712</v>
      </c>
      <c r="D871" s="107" t="s">
        <v>2678</v>
      </c>
      <c r="E871" s="108" t="s">
        <v>709</v>
      </c>
      <c r="F871" s="108" t="s">
        <v>532</v>
      </c>
      <c r="G871" s="108" t="s">
        <v>710</v>
      </c>
      <c r="H871" s="131" t="s">
        <v>1141</v>
      </c>
      <c r="I871" s="140">
        <v>5</v>
      </c>
      <c r="J871" s="109" t="s">
        <v>1180</v>
      </c>
      <c r="K871" s="105" t="s">
        <v>1008</v>
      </c>
      <c r="L871" s="107" t="str">
        <f ca="1">VLOOKUP($K871,OFFSET([1]character_type_i18n!$A$1,0,0,COUNTA([1]character_type_i18n!$A:$A),MATCH(L$1,[1]character_type_i18n!$1:$1,0)-MATCH($K$1,[1]character_type_i18n!$1:$1,0)+1),MATCH(L$1,[1]character_type_i18n!$1:$1,0)-MATCH($K$1,[1]character_type_i18n!$1:$1,0)+1,FALSE)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71" s="105" t="s">
        <v>1987</v>
      </c>
      <c r="N871" s="107" t="str">
        <f>VLOOKUP(M871,[1]character_tribe_i18n!A:C,3,FALSE)</f>
        <v>アカデミア</v>
      </c>
      <c r="O871" s="105" t="s">
        <v>1017</v>
      </c>
      <c r="P871" s="107" t="str">
        <f>VLOOKUP(O871,[1]character_tribe_i18n!A:C,3,FALSE)</f>
        <v>マシン</v>
      </c>
      <c r="Q871" s="110" t="s">
        <v>279</v>
      </c>
      <c r="R871" s="111">
        <v>3</v>
      </c>
      <c r="S871" s="108" t="s">
        <v>280</v>
      </c>
      <c r="T871" s="108" t="s">
        <v>281</v>
      </c>
      <c r="U871" s="108" t="s">
        <v>280</v>
      </c>
      <c r="V871" s="108" t="s">
        <v>280</v>
      </c>
      <c r="W871" s="108" t="s">
        <v>280</v>
      </c>
    </row>
    <row r="872" spans="1:23" ht="21" customHeight="1" x14ac:dyDescent="0.15">
      <c r="A872" s="104">
        <f t="shared" si="13"/>
        <v>871</v>
      </c>
      <c r="B872" s="105" t="s">
        <v>268</v>
      </c>
      <c r="C872" s="121" t="s">
        <v>2713</v>
      </c>
      <c r="D872" s="107" t="s">
        <v>2682</v>
      </c>
      <c r="E872" s="108" t="s">
        <v>709</v>
      </c>
      <c r="F872" s="108" t="s">
        <v>532</v>
      </c>
      <c r="G872" s="108" t="s">
        <v>710</v>
      </c>
      <c r="H872" s="131" t="s">
        <v>1141</v>
      </c>
      <c r="I872" s="140">
        <v>6</v>
      </c>
      <c r="J872" s="109" t="s">
        <v>1180</v>
      </c>
      <c r="K872" s="105" t="s">
        <v>1008</v>
      </c>
      <c r="L872" s="107" t="str">
        <f ca="1">VLOOKUP($K872,OFFSET([1]character_type_i18n!$A$1,0,0,COUNTA([1]character_type_i18n!$A:$A),MATCH(L$1,[1]character_type_i18n!$1:$1,0)-MATCH($K$1,[1]character_type_i18n!$1:$1,0)+1),MATCH(L$1,[1]character_type_i18n!$1:$1,0)-MATCH($K$1,[1]character_type_i18n!$1:$1,0)+1,FALSE)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72" s="105" t="s">
        <v>1987</v>
      </c>
      <c r="N872" s="107" t="str">
        <f>VLOOKUP(M872,[1]character_tribe_i18n!A:C,3,FALSE)</f>
        <v>アカデミア</v>
      </c>
      <c r="O872" s="105" t="s">
        <v>1017</v>
      </c>
      <c r="P872" s="107" t="str">
        <f>VLOOKUP(O872,[1]character_tribe_i18n!A:C,3,FALSE)</f>
        <v>マシン</v>
      </c>
      <c r="Q872" s="110" t="s">
        <v>279</v>
      </c>
      <c r="R872" s="111">
        <v>3</v>
      </c>
      <c r="S872" s="108" t="s">
        <v>280</v>
      </c>
      <c r="T872" s="108" t="s">
        <v>281</v>
      </c>
      <c r="U872" s="108" t="s">
        <v>280</v>
      </c>
      <c r="V872" s="108" t="s">
        <v>280</v>
      </c>
      <c r="W872" s="108" t="s">
        <v>280</v>
      </c>
    </row>
    <row r="873" spans="1:23" ht="21" customHeight="1" x14ac:dyDescent="0.15">
      <c r="A873" s="104">
        <f t="shared" si="13"/>
        <v>872</v>
      </c>
      <c r="B873" s="105" t="s">
        <v>268</v>
      </c>
      <c r="C873" s="121" t="s">
        <v>2714</v>
      </c>
      <c r="D873" s="107" t="s">
        <v>2686</v>
      </c>
      <c r="E873" s="108" t="s">
        <v>709</v>
      </c>
      <c r="F873" s="108" t="s">
        <v>532</v>
      </c>
      <c r="G873" s="108" t="s">
        <v>710</v>
      </c>
      <c r="H873" s="131" t="s">
        <v>768</v>
      </c>
      <c r="I873" s="140">
        <v>5</v>
      </c>
      <c r="J873" s="109" t="s">
        <v>1180</v>
      </c>
      <c r="K873" s="105" t="s">
        <v>1005</v>
      </c>
      <c r="L873" s="107" t="str">
        <f ca="1">VLOOKUP($K873,OFFSET([1]character_type_i18n!$A$1,0,0,COUNTA([1]character_type_i18n!$A:$A),MATCH(L$1,[1]character_type_i18n!$1:$1,0)-MATCH($K$1,[1]character_type_i18n!$1:$1,0)+1),MATCH(L$1,[1]character_type_i18n!$1:$1,0)-MATCH($K$1,[1]character_type_i18n!$1:$1,0)+1,FALSE)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3" s="105" t="s">
        <v>1987</v>
      </c>
      <c r="N873" s="107" t="str">
        <f>VLOOKUP(M873,[1]character_tribe_i18n!A:C,3,FALSE)</f>
        <v>アカデミア</v>
      </c>
      <c r="O873" s="105" t="s">
        <v>1164</v>
      </c>
      <c r="P873" s="107" t="str">
        <f>VLOOKUP(O873,[1]character_tribe_i18n!A:C,3,FALSE)</f>
        <v>Unknown</v>
      </c>
      <c r="Q873" s="110" t="s">
        <v>362</v>
      </c>
      <c r="R873" s="111">
        <v>3</v>
      </c>
      <c r="S873" s="108" t="s">
        <v>289</v>
      </c>
      <c r="T873" s="108" t="s">
        <v>288</v>
      </c>
      <c r="U873" s="108" t="s">
        <v>289</v>
      </c>
      <c r="V873" s="108" t="s">
        <v>289</v>
      </c>
      <c r="W873" s="108" t="s">
        <v>289</v>
      </c>
    </row>
    <row r="874" spans="1:23" ht="21" customHeight="1" x14ac:dyDescent="0.15">
      <c r="A874" s="104">
        <f t="shared" si="13"/>
        <v>873</v>
      </c>
      <c r="B874" s="105" t="s">
        <v>292</v>
      </c>
      <c r="C874" s="121" t="s">
        <v>2715</v>
      </c>
      <c r="D874" s="107" t="s">
        <v>2695</v>
      </c>
      <c r="E874" s="108" t="s">
        <v>848</v>
      </c>
      <c r="F874" s="108" t="s">
        <v>1422</v>
      </c>
      <c r="G874" s="108" t="s">
        <v>1587</v>
      </c>
      <c r="H874" s="131" t="s">
        <v>1170</v>
      </c>
      <c r="I874" s="140">
        <v>6</v>
      </c>
      <c r="J874" s="109" t="s">
        <v>1602</v>
      </c>
      <c r="K874" s="105" t="s">
        <v>2716</v>
      </c>
      <c r="L874" s="107" t="str">
        <f ca="1">VLOOKUP($K874,OFFSET([1]character_type_i18n!$A$1,0,0,COUNTA([1]character_type_i18n!$A:$A),MATCH(L$1,[1]character_type_i18n!$1:$1,0)-MATCH($K$1,[1]character_type_i18n!$1:$1,0)+1),MATCH(L$1,[1]character_type_i18n!$1:$1,0)-MATCH($K$1,[1]character_type_i18n!$1:$1,0)+1,FALSE)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4" s="105" t="s">
        <v>1987</v>
      </c>
      <c r="N874" s="107" t="str">
        <f>VLOOKUP(M874,[1]character_tribe_i18n!A:C,3,FALSE)</f>
        <v>アカデミア</v>
      </c>
      <c r="O874" s="105" t="s">
        <v>1413</v>
      </c>
      <c r="P874" s="107" t="str">
        <f>VLOOKUP(O874,[1]character_tribe_i18n!A:C,3,FALSE)</f>
        <v>Unknown</v>
      </c>
      <c r="Q874" s="110" t="s">
        <v>279</v>
      </c>
      <c r="R874" s="111">
        <v>3</v>
      </c>
      <c r="S874" s="108" t="s">
        <v>280</v>
      </c>
      <c r="T874" s="108" t="s">
        <v>281</v>
      </c>
      <c r="U874" s="108" t="s">
        <v>280</v>
      </c>
      <c r="V874" s="108" t="s">
        <v>280</v>
      </c>
      <c r="W874" s="108" t="s">
        <v>280</v>
      </c>
    </row>
    <row r="875" spans="1:23" ht="21" customHeight="1" x14ac:dyDescent="0.15">
      <c r="A875" s="104">
        <f t="shared" si="13"/>
        <v>874</v>
      </c>
      <c r="B875" s="105" t="s">
        <v>268</v>
      </c>
      <c r="C875" s="121" t="s">
        <v>2717</v>
      </c>
      <c r="D875" s="107" t="s">
        <v>2703</v>
      </c>
      <c r="E875" s="108" t="s">
        <v>709</v>
      </c>
      <c r="F875" s="108" t="s">
        <v>532</v>
      </c>
      <c r="G875" s="108" t="s">
        <v>710</v>
      </c>
      <c r="H875" s="131" t="s">
        <v>551</v>
      </c>
      <c r="I875" s="140">
        <v>5</v>
      </c>
      <c r="J875" s="109" t="s">
        <v>1180</v>
      </c>
      <c r="K875" s="105" t="s">
        <v>1005</v>
      </c>
      <c r="L875" s="107" t="str">
        <f ca="1">VLOOKUP($K875,OFFSET([1]character_type_i18n!$A$1,0,0,COUNTA([1]character_type_i18n!$A:$A),MATCH(L$1,[1]character_type_i18n!$1:$1,0)-MATCH($K$1,[1]character_type_i18n!$1:$1,0)+1),MATCH(L$1,[1]character_type_i18n!$1:$1,0)-MATCH($K$1,[1]character_type_i18n!$1:$1,0)+1,FALSE)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5" s="105" t="s">
        <v>2316</v>
      </c>
      <c r="N875" s="107" t="str">
        <f>VLOOKUP(M875,[1]character_tribe_i18n!A:C,3,FALSE)</f>
        <v>アカデミア</v>
      </c>
      <c r="O875" s="105" t="s">
        <v>1017</v>
      </c>
      <c r="P875" s="107" t="str">
        <f>VLOOKUP(O875,[1]character_tribe_i18n!A:C,3,FALSE)</f>
        <v>マシン</v>
      </c>
      <c r="Q875" s="110" t="s">
        <v>279</v>
      </c>
      <c r="R875" s="111">
        <v>3</v>
      </c>
      <c r="S875" s="108" t="s">
        <v>280</v>
      </c>
      <c r="T875" s="108" t="s">
        <v>281</v>
      </c>
      <c r="U875" s="108" t="s">
        <v>280</v>
      </c>
      <c r="V875" s="108" t="s">
        <v>280</v>
      </c>
      <c r="W875" s="108" t="s">
        <v>280</v>
      </c>
    </row>
    <row r="876" spans="1:23" ht="21" customHeight="1" x14ac:dyDescent="0.15">
      <c r="A876" s="104">
        <f t="shared" si="13"/>
        <v>875</v>
      </c>
      <c r="B876" s="105" t="s">
        <v>268</v>
      </c>
      <c r="C876" s="121" t="s">
        <v>2718</v>
      </c>
      <c r="D876" s="107" t="s">
        <v>2707</v>
      </c>
      <c r="E876" s="108" t="s">
        <v>709</v>
      </c>
      <c r="F876" s="108" t="s">
        <v>532</v>
      </c>
      <c r="G876" s="108" t="s">
        <v>710</v>
      </c>
      <c r="H876" s="131" t="s">
        <v>551</v>
      </c>
      <c r="I876" s="140">
        <v>6</v>
      </c>
      <c r="J876" s="109" t="s">
        <v>1180</v>
      </c>
      <c r="K876" s="105" t="s">
        <v>1005</v>
      </c>
      <c r="L876" s="107" t="str">
        <f ca="1">VLOOKUP($K876,OFFSET([1]character_type_i18n!$A$1,0,0,COUNTA([1]character_type_i18n!$A:$A),MATCH(L$1,[1]character_type_i18n!$1:$1,0)-MATCH($K$1,[1]character_type_i18n!$1:$1,0)+1),MATCH(L$1,[1]character_type_i18n!$1:$1,0)-MATCH($K$1,[1]character_type_i18n!$1:$1,0)+1,FALSE)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6" s="105" t="s">
        <v>1987</v>
      </c>
      <c r="N876" s="107" t="str">
        <f>VLOOKUP(M876,[1]character_tribe_i18n!A:C,3,FALSE)</f>
        <v>アカデミア</v>
      </c>
      <c r="O876" s="105" t="s">
        <v>1017</v>
      </c>
      <c r="P876" s="107" t="str">
        <f>VLOOKUP(O876,[1]character_tribe_i18n!A:C,3,FALSE)</f>
        <v>マシン</v>
      </c>
      <c r="Q876" s="110" t="s">
        <v>279</v>
      </c>
      <c r="R876" s="111">
        <v>3</v>
      </c>
      <c r="S876" s="108" t="s">
        <v>280</v>
      </c>
      <c r="T876" s="108" t="s">
        <v>281</v>
      </c>
      <c r="U876" s="108" t="s">
        <v>280</v>
      </c>
      <c r="V876" s="108" t="s">
        <v>280</v>
      </c>
      <c r="W876" s="108" t="s">
        <v>280</v>
      </c>
    </row>
    <row r="877" spans="1:23" ht="21" customHeight="1" x14ac:dyDescent="0.15">
      <c r="A877" s="104">
        <f t="shared" si="13"/>
        <v>876</v>
      </c>
      <c r="B877" s="105" t="s">
        <v>268</v>
      </c>
      <c r="C877" s="136" t="s">
        <v>2719</v>
      </c>
      <c r="D877" s="107" t="s">
        <v>2686</v>
      </c>
      <c r="E877" s="108" t="s">
        <v>709</v>
      </c>
      <c r="F877" s="108" t="s">
        <v>532</v>
      </c>
      <c r="G877" s="108" t="s">
        <v>710</v>
      </c>
      <c r="H877" s="131" t="s">
        <v>1141</v>
      </c>
      <c r="I877" s="140">
        <v>4</v>
      </c>
      <c r="J877" s="109" t="s">
        <v>1372</v>
      </c>
      <c r="K877" s="105" t="s">
        <v>1005</v>
      </c>
      <c r="L877" s="107" t="str">
        <f ca="1">VLOOKUP($K877,OFFSET([1]character_type_i18n!$A$1,0,0,COUNTA([1]character_type_i18n!$A:$A),MATCH(L$1,[1]character_type_i18n!$1:$1,0)-MATCH($K$1,[1]character_type_i18n!$1:$1,0)+1),MATCH(L$1,[1]character_type_i18n!$1:$1,0)-MATCH($K$1,[1]character_type_i18n!$1:$1,0)+1,FALSE)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7" s="105" t="s">
        <v>1018</v>
      </c>
      <c r="N877" s="107" t="str">
        <f>VLOOKUP(M877,[1]character_tribe_i18n!A:C,3,FALSE)</f>
        <v>ゴッド</v>
      </c>
      <c r="O877" s="105" t="s">
        <v>278</v>
      </c>
      <c r="P877" s="107" t="str">
        <f>VLOOKUP(O877,[1]character_tribe_i18n!A:C,3,FALSE)</f>
        <v>種族なし</v>
      </c>
      <c r="Q877" s="110" t="s">
        <v>279</v>
      </c>
      <c r="R877" s="111">
        <v>3</v>
      </c>
      <c r="S877" s="108" t="s">
        <v>280</v>
      </c>
      <c r="T877" s="108" t="s">
        <v>281</v>
      </c>
      <c r="U877" s="108" t="s">
        <v>280</v>
      </c>
      <c r="V877" s="108" t="s">
        <v>280</v>
      </c>
      <c r="W877" s="108" t="s">
        <v>280</v>
      </c>
    </row>
    <row r="878" spans="1:23" ht="21" customHeight="1" x14ac:dyDescent="0.15">
      <c r="A878" s="104">
        <f t="shared" si="13"/>
        <v>877</v>
      </c>
      <c r="B878" s="105" t="s">
        <v>268</v>
      </c>
      <c r="C878" s="136" t="s">
        <v>2720</v>
      </c>
      <c r="D878" s="107" t="s">
        <v>2695</v>
      </c>
      <c r="E878" s="108" t="s">
        <v>709</v>
      </c>
      <c r="F878" s="108" t="s">
        <v>532</v>
      </c>
      <c r="G878" s="108" t="s">
        <v>710</v>
      </c>
      <c r="H878" s="131" t="s">
        <v>1141</v>
      </c>
      <c r="I878" s="140">
        <v>5</v>
      </c>
      <c r="J878" s="109" t="s">
        <v>1372</v>
      </c>
      <c r="K878" s="105" t="s">
        <v>1005</v>
      </c>
      <c r="L878" s="107" t="str">
        <f ca="1">VLOOKUP($K878,OFFSET([1]character_type_i18n!$A$1,0,0,COUNTA([1]character_type_i18n!$A:$A),MATCH(L$1,[1]character_type_i18n!$1:$1,0)-MATCH($K$1,[1]character_type_i18n!$1:$1,0)+1),MATCH(L$1,[1]character_type_i18n!$1:$1,0)-MATCH($K$1,[1]character_type_i18n!$1:$1,0)+1,FALSE)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8" s="105" t="s">
        <v>1018</v>
      </c>
      <c r="N878" s="107" t="str">
        <f>VLOOKUP(M878,[1]character_tribe_i18n!A:C,3,FALSE)</f>
        <v>ゴッド</v>
      </c>
      <c r="O878" s="105" t="s">
        <v>1423</v>
      </c>
      <c r="P878" s="107" t="str">
        <f>VLOOKUP(O878,[1]character_tribe_i18n!A:C,3,FALSE)</f>
        <v>種族なし</v>
      </c>
      <c r="Q878" s="110" t="s">
        <v>279</v>
      </c>
      <c r="R878" s="111">
        <v>3</v>
      </c>
      <c r="S878" s="108" t="s">
        <v>280</v>
      </c>
      <c r="T878" s="108" t="s">
        <v>281</v>
      </c>
      <c r="U878" s="108" t="s">
        <v>280</v>
      </c>
      <c r="V878" s="108" t="s">
        <v>280</v>
      </c>
      <c r="W878" s="108" t="s">
        <v>280</v>
      </c>
    </row>
    <row r="879" spans="1:23" ht="21" customHeight="1" x14ac:dyDescent="0.15">
      <c r="A879" s="104">
        <f t="shared" si="13"/>
        <v>878</v>
      </c>
      <c r="B879" s="105" t="s">
        <v>268</v>
      </c>
      <c r="C879" s="136" t="s">
        <v>2721</v>
      </c>
      <c r="D879" s="107" t="s">
        <v>2703</v>
      </c>
      <c r="E879" s="108" t="s">
        <v>709</v>
      </c>
      <c r="F879" s="108" t="s">
        <v>532</v>
      </c>
      <c r="G879" s="108" t="s">
        <v>710</v>
      </c>
      <c r="H879" s="131" t="s">
        <v>1141</v>
      </c>
      <c r="I879" s="140">
        <v>4</v>
      </c>
      <c r="J879" s="109" t="s">
        <v>516</v>
      </c>
      <c r="K879" s="105" t="s">
        <v>1008</v>
      </c>
      <c r="L879" s="107" t="str">
        <f ca="1">VLOOKUP($K879,OFFSET([1]character_type_i18n!$A$1,0,0,COUNTA([1]character_type_i18n!$A:$A),MATCH(L$1,[1]character_type_i18n!$1:$1,0)-MATCH($K$1,[1]character_type_i18n!$1:$1,0)+1),MATCH(L$1,[1]character_type_i18n!$1:$1,0)-MATCH($K$1,[1]character_type_i18n!$1:$1,0)+1,FALSE)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79" s="105" t="s">
        <v>1018</v>
      </c>
      <c r="N879" s="107" t="str">
        <f>VLOOKUP(M879,[1]character_tribe_i18n!A:C,3,FALSE)</f>
        <v>ゴッド</v>
      </c>
      <c r="O879" s="105" t="s">
        <v>313</v>
      </c>
      <c r="P879" s="107" t="str">
        <f>VLOOKUP(O879,[1]character_tribe_i18n!A:C,3,FALSE)</f>
        <v>アニマル</v>
      </c>
      <c r="Q879" s="110" t="s">
        <v>279</v>
      </c>
      <c r="R879" s="111">
        <v>3</v>
      </c>
      <c r="S879" s="108" t="s">
        <v>280</v>
      </c>
      <c r="T879" s="108" t="s">
        <v>281</v>
      </c>
      <c r="U879" s="108" t="s">
        <v>280</v>
      </c>
      <c r="V879" s="108" t="s">
        <v>280</v>
      </c>
      <c r="W879" s="108" t="s">
        <v>280</v>
      </c>
    </row>
    <row r="880" spans="1:23" ht="21" customHeight="1" x14ac:dyDescent="0.15">
      <c r="A880" s="104">
        <f t="shared" si="13"/>
        <v>879</v>
      </c>
      <c r="B880" s="105" t="s">
        <v>268</v>
      </c>
      <c r="C880" s="136" t="s">
        <v>2722</v>
      </c>
      <c r="D880" s="107" t="s">
        <v>2707</v>
      </c>
      <c r="E880" s="108" t="s">
        <v>709</v>
      </c>
      <c r="F880" s="108" t="s">
        <v>532</v>
      </c>
      <c r="G880" s="108" t="s">
        <v>710</v>
      </c>
      <c r="H880" s="131" t="s">
        <v>1141</v>
      </c>
      <c r="I880" s="140">
        <v>5</v>
      </c>
      <c r="J880" s="109" t="s">
        <v>516</v>
      </c>
      <c r="K880" s="105" t="s">
        <v>1008</v>
      </c>
      <c r="L880" s="107" t="str">
        <f ca="1">VLOOKUP($K880,OFFSET([1]character_type_i18n!$A$1,0,0,COUNTA([1]character_type_i18n!$A:$A),MATCH(L$1,[1]character_type_i18n!$1:$1,0)-MATCH($K$1,[1]character_type_i18n!$1:$1,0)+1),MATCH(L$1,[1]character_type_i18n!$1:$1,0)-MATCH($K$1,[1]character_type_i18n!$1:$1,0)+1,FALSE)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80" s="105" t="s">
        <v>1018</v>
      </c>
      <c r="N880" s="107" t="str">
        <f>VLOOKUP(M880,[1]character_tribe_i18n!A:C,3,FALSE)</f>
        <v>ゴッド</v>
      </c>
      <c r="O880" s="105" t="s">
        <v>2723</v>
      </c>
      <c r="P880" s="107" t="str">
        <f>VLOOKUP(O880,[1]character_tribe_i18n!A:C,3,FALSE)</f>
        <v>アニマル</v>
      </c>
      <c r="Q880" s="110" t="s">
        <v>279</v>
      </c>
      <c r="R880" s="111">
        <v>3</v>
      </c>
      <c r="S880" s="108" t="s">
        <v>280</v>
      </c>
      <c r="T880" s="108" t="s">
        <v>281</v>
      </c>
      <c r="U880" s="108" t="s">
        <v>280</v>
      </c>
      <c r="V880" s="108" t="s">
        <v>280</v>
      </c>
      <c r="W880" s="108" t="s">
        <v>280</v>
      </c>
    </row>
    <row r="881" spans="1:23" ht="21" customHeight="1" x14ac:dyDescent="0.15">
      <c r="A881" s="104">
        <f t="shared" si="13"/>
        <v>880</v>
      </c>
      <c r="B881" s="105" t="s">
        <v>268</v>
      </c>
      <c r="C881" s="121" t="s">
        <v>2724</v>
      </c>
      <c r="D881" s="107" t="s">
        <v>2725</v>
      </c>
      <c r="E881" s="108" t="s">
        <v>709</v>
      </c>
      <c r="F881" s="108" t="s">
        <v>532</v>
      </c>
      <c r="G881" s="108" t="s">
        <v>710</v>
      </c>
      <c r="H881" s="131" t="s">
        <v>551</v>
      </c>
      <c r="I881" s="140">
        <v>5</v>
      </c>
      <c r="J881" s="109" t="s">
        <v>1180</v>
      </c>
      <c r="K881" s="105" t="s">
        <v>989</v>
      </c>
      <c r="L881" s="107" t="str">
        <f ca="1">VLOOKUP($K881,OFFSET([1]character_type_i18n!$A$1,0,0,COUNTA([1]character_type_i18n!$A:$A),MATCH(L$1,[1]character_type_i18n!$1:$1,0)-MATCH($K$1,[1]character_type_i18n!$1:$1,0)+1),MATCH(L$1,[1]character_type_i18n!$1:$1,0)-MATCH($K$1,[1]character_type_i18n!$1:$1,0)+1,FALSE)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81" s="105" t="s">
        <v>1987</v>
      </c>
      <c r="N881" s="107" t="str">
        <f>VLOOKUP(M881,[1]character_tribe_i18n!A:C,3,FALSE)</f>
        <v>アカデミア</v>
      </c>
      <c r="O881" s="105" t="s">
        <v>313</v>
      </c>
      <c r="P881" s="107" t="str">
        <f>VLOOKUP(O881,[1]character_tribe_i18n!A:C,3,FALSE)</f>
        <v>アニマル</v>
      </c>
      <c r="Q881" s="110" t="s">
        <v>279</v>
      </c>
      <c r="R881" s="111">
        <v>3</v>
      </c>
      <c r="S881" s="108" t="s">
        <v>280</v>
      </c>
      <c r="T881" s="108" t="s">
        <v>281</v>
      </c>
      <c r="U881" s="108" t="s">
        <v>280</v>
      </c>
      <c r="V881" s="108" t="s">
        <v>280</v>
      </c>
      <c r="W881" s="108" t="s">
        <v>280</v>
      </c>
    </row>
    <row r="882" spans="1:23" ht="21" customHeight="1" x14ac:dyDescent="0.15">
      <c r="A882" s="104">
        <f t="shared" si="13"/>
        <v>881</v>
      </c>
      <c r="B882" s="105" t="s">
        <v>268</v>
      </c>
      <c r="C882" s="121" t="s">
        <v>2726</v>
      </c>
      <c r="D882" s="107" t="s">
        <v>2727</v>
      </c>
      <c r="E882" s="108" t="s">
        <v>709</v>
      </c>
      <c r="F882" s="108" t="s">
        <v>532</v>
      </c>
      <c r="G882" s="108" t="s">
        <v>710</v>
      </c>
      <c r="H882" s="131" t="s">
        <v>2728</v>
      </c>
      <c r="I882" s="121">
        <v>6</v>
      </c>
      <c r="J882" s="109" t="s">
        <v>2729</v>
      </c>
      <c r="K882" s="105" t="s">
        <v>2730</v>
      </c>
      <c r="L882" s="107" t="str">
        <f ca="1">VLOOKUP($K882,OFFSET([1]character_type_i18n!$A$1,0,0,COUNTA([1]character_type_i18n!$A:$A),MATCH(L$1,[1]character_type_i18n!$1:$1,0)-MATCH($K$1,[1]character_type_i18n!$1:$1,0)+1),MATCH(L$1,[1]character_type_i18n!$1:$1,0)-MATCH($K$1,[1]character_type_i18n!$1:$1,0)+1,FALSE)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82" s="105" t="s">
        <v>2731</v>
      </c>
      <c r="N882" s="107" t="str">
        <f>VLOOKUP(M882,[1]character_tribe_i18n!A:C,3,FALSE)</f>
        <v>アカデミア</v>
      </c>
      <c r="O882" s="105" t="s">
        <v>313</v>
      </c>
      <c r="P882" s="107" t="str">
        <f>VLOOKUP(O882,[1]character_tribe_i18n!A:C,3,FALSE)</f>
        <v>アニマル</v>
      </c>
      <c r="Q882" s="110" t="s">
        <v>279</v>
      </c>
      <c r="R882" s="111">
        <v>3</v>
      </c>
      <c r="S882" s="108" t="s">
        <v>280</v>
      </c>
      <c r="T882" s="108" t="s">
        <v>281</v>
      </c>
      <c r="U882" s="108" t="s">
        <v>280</v>
      </c>
      <c r="V882" s="108" t="s">
        <v>280</v>
      </c>
      <c r="W882" s="108" t="s">
        <v>280</v>
      </c>
    </row>
    <row r="883" spans="1:23" ht="21" customHeight="1" x14ac:dyDescent="0.15">
      <c r="A883" s="104">
        <f t="shared" si="13"/>
        <v>882</v>
      </c>
      <c r="B883" s="105" t="s">
        <v>268</v>
      </c>
      <c r="C883" s="151" t="s">
        <v>2732</v>
      </c>
      <c r="D883" s="107" t="s">
        <v>2733</v>
      </c>
      <c r="E883" s="108" t="s">
        <v>709</v>
      </c>
      <c r="F883" s="108" t="s">
        <v>532</v>
      </c>
      <c r="G883" s="108" t="s">
        <v>710</v>
      </c>
      <c r="H883" s="131" t="s">
        <v>1141</v>
      </c>
      <c r="I883" s="140">
        <v>5</v>
      </c>
      <c r="J883" s="109" t="s">
        <v>1504</v>
      </c>
      <c r="K883" s="105" t="s">
        <v>967</v>
      </c>
      <c r="L883" s="107" t="str">
        <f ca="1">VLOOKUP($K883,OFFSET([1]character_type_i18n!$A$1,0,0,COUNTA([1]character_type_i18n!$A:$A),MATCH(L$1,[1]character_type_i18n!$1:$1,0)-MATCH($K$1,[1]character_type_i18n!$1:$1,0)+1),MATCH(L$1,[1]character_type_i18n!$1:$1,0)-MATCH($K$1,[1]character_type_i18n!$1:$1,0)+1,FALSE)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83" s="105" t="s">
        <v>1164</v>
      </c>
      <c r="N883" s="107" t="str">
        <f>VLOOKUP(M883,[1]character_tribe_i18n!A:C,3,FALSE)</f>
        <v>Unknown</v>
      </c>
      <c r="O883" s="105" t="s">
        <v>278</v>
      </c>
      <c r="P883" s="107" t="str">
        <f>VLOOKUP(O883,[1]character_tribe_i18n!A:C,3,FALSE)</f>
        <v>種族なし</v>
      </c>
      <c r="Q883" s="110" t="s">
        <v>279</v>
      </c>
      <c r="R883" s="111">
        <v>3</v>
      </c>
      <c r="S883" s="108" t="s">
        <v>2734</v>
      </c>
      <c r="T883" s="108" t="s">
        <v>281</v>
      </c>
      <c r="U883" s="108" t="s">
        <v>280</v>
      </c>
      <c r="V883" s="108" t="s">
        <v>280</v>
      </c>
      <c r="W883" s="108" t="s">
        <v>280</v>
      </c>
    </row>
    <row r="884" spans="1:23" ht="21" customHeight="1" x14ac:dyDescent="0.15">
      <c r="A884" s="104">
        <f t="shared" si="13"/>
        <v>883</v>
      </c>
      <c r="B884" s="105" t="s">
        <v>268</v>
      </c>
      <c r="C884" s="117" t="s">
        <v>2735</v>
      </c>
      <c r="D884" s="107" t="s">
        <v>2736</v>
      </c>
      <c r="E884" s="108" t="s">
        <v>709</v>
      </c>
      <c r="F884" s="108" t="s">
        <v>532</v>
      </c>
      <c r="G884" s="108" t="s">
        <v>710</v>
      </c>
      <c r="H884" s="131" t="s">
        <v>274</v>
      </c>
      <c r="I884" s="117">
        <v>6</v>
      </c>
      <c r="J884" s="109" t="s">
        <v>2367</v>
      </c>
      <c r="K884" s="105" t="s">
        <v>967</v>
      </c>
      <c r="L884" s="107" t="str">
        <f ca="1">VLOOKUP($K884,OFFSET([1]character_type_i18n!$A$1,0,0,COUNTA([1]character_type_i18n!$A:$A),MATCH(L$1,[1]character_type_i18n!$1:$1,0)-MATCH($K$1,[1]character_type_i18n!$1:$1,0)+1),MATCH(L$1,[1]character_type_i18n!$1:$1,0)-MATCH($K$1,[1]character_type_i18n!$1:$1,0)+1,FALSE)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84" s="105" t="s">
        <v>1018</v>
      </c>
      <c r="N884" s="107" t="str">
        <f>VLOOKUP(M884,[1]character_tribe_i18n!A:C,3,FALSE)</f>
        <v>ゴッド</v>
      </c>
      <c r="O884" s="105" t="s">
        <v>278</v>
      </c>
      <c r="P884" s="107" t="str">
        <f>VLOOKUP(O884,[1]character_tribe_i18n!A:C,3,FALSE)</f>
        <v>種族なし</v>
      </c>
      <c r="Q884" s="110" t="s">
        <v>279</v>
      </c>
      <c r="R884" s="111">
        <v>3</v>
      </c>
      <c r="S884" s="108" t="s">
        <v>280</v>
      </c>
      <c r="T884" s="108" t="s">
        <v>281</v>
      </c>
      <c r="U884" s="108" t="s">
        <v>280</v>
      </c>
      <c r="V884" s="108" t="s">
        <v>280</v>
      </c>
      <c r="W884" s="108" t="s">
        <v>280</v>
      </c>
    </row>
    <row r="885" spans="1:23" ht="21" customHeight="1" x14ac:dyDescent="0.15">
      <c r="A885" s="104">
        <f t="shared" si="13"/>
        <v>884</v>
      </c>
      <c r="B885" s="105" t="s">
        <v>268</v>
      </c>
      <c r="C885" s="117" t="s">
        <v>2737</v>
      </c>
      <c r="D885" s="107" t="s">
        <v>2738</v>
      </c>
      <c r="E885" s="108" t="s">
        <v>709</v>
      </c>
      <c r="F885" s="108" t="s">
        <v>532</v>
      </c>
      <c r="G885" s="108" t="s">
        <v>710</v>
      </c>
      <c r="H885" s="131" t="s">
        <v>614</v>
      </c>
      <c r="I885" s="117">
        <v>6</v>
      </c>
      <c r="J885" s="109" t="s">
        <v>2367</v>
      </c>
      <c r="K885" s="105" t="s">
        <v>967</v>
      </c>
      <c r="L885" s="107" t="str">
        <f ca="1">VLOOKUP($K885,OFFSET([1]character_type_i18n!$A$1,0,0,COUNTA([1]character_type_i18n!$A:$A),MATCH(L$1,[1]character_type_i18n!$1:$1,0)-MATCH($K$1,[1]character_type_i18n!$1:$1,0)+1),MATCH(L$1,[1]character_type_i18n!$1:$1,0)-MATCH($K$1,[1]character_type_i18n!$1:$1,0)+1,FALSE)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85" s="105" t="s">
        <v>1018</v>
      </c>
      <c r="N885" s="107" t="str">
        <f>VLOOKUP(M885,[1]character_tribe_i18n!A:C,3,FALSE)</f>
        <v>ゴッド</v>
      </c>
      <c r="O885" s="105" t="s">
        <v>278</v>
      </c>
      <c r="P885" s="107" t="str">
        <f>VLOOKUP(O885,[1]character_tribe_i18n!A:C,3,FALSE)</f>
        <v>種族なし</v>
      </c>
      <c r="Q885" s="110" t="s">
        <v>279</v>
      </c>
      <c r="R885" s="111">
        <v>3</v>
      </c>
      <c r="S885" s="108" t="s">
        <v>280</v>
      </c>
      <c r="T885" s="108" t="s">
        <v>281</v>
      </c>
      <c r="U885" s="108" t="s">
        <v>280</v>
      </c>
      <c r="V885" s="108" t="s">
        <v>280</v>
      </c>
      <c r="W885" s="108" t="s">
        <v>280</v>
      </c>
    </row>
    <row r="886" spans="1:23" ht="21" customHeight="1" x14ac:dyDescent="0.15">
      <c r="A886" s="104">
        <f t="shared" si="13"/>
        <v>885</v>
      </c>
      <c r="B886" s="105" t="s">
        <v>268</v>
      </c>
      <c r="C886" s="117" t="s">
        <v>2739</v>
      </c>
      <c r="D886" s="107" t="s">
        <v>2740</v>
      </c>
      <c r="E886" s="108" t="s">
        <v>709</v>
      </c>
      <c r="F886" s="108" t="s">
        <v>532</v>
      </c>
      <c r="G886" s="108" t="s">
        <v>710</v>
      </c>
      <c r="H886" s="131" t="s">
        <v>295</v>
      </c>
      <c r="I886" s="117">
        <v>6</v>
      </c>
      <c r="J886" s="109" t="s">
        <v>2367</v>
      </c>
      <c r="K886" s="105" t="s">
        <v>967</v>
      </c>
      <c r="L886" s="107" t="str">
        <f ca="1">VLOOKUP($K886,OFFSET([1]character_type_i18n!$A$1,0,0,COUNTA([1]character_type_i18n!$A:$A),MATCH(L$1,[1]character_type_i18n!$1:$1,0)-MATCH($K$1,[1]character_type_i18n!$1:$1,0)+1),MATCH(L$1,[1]character_type_i18n!$1:$1,0)-MATCH($K$1,[1]character_type_i18n!$1:$1,0)+1,FALSE)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86" s="105" t="s">
        <v>1018</v>
      </c>
      <c r="N886" s="107" t="str">
        <f>VLOOKUP(M886,[1]character_tribe_i18n!A:C,3,FALSE)</f>
        <v>ゴッド</v>
      </c>
      <c r="O886" s="105" t="s">
        <v>278</v>
      </c>
      <c r="P886" s="107" t="str">
        <f>VLOOKUP(O886,[1]character_tribe_i18n!A:C,3,FALSE)</f>
        <v>種族なし</v>
      </c>
      <c r="Q886" s="110" t="s">
        <v>279</v>
      </c>
      <c r="R886" s="111">
        <v>3</v>
      </c>
      <c r="S886" s="108" t="s">
        <v>280</v>
      </c>
      <c r="T886" s="108" t="s">
        <v>281</v>
      </c>
      <c r="U886" s="108" t="s">
        <v>280</v>
      </c>
      <c r="V886" s="108" t="s">
        <v>280</v>
      </c>
      <c r="W886" s="108" t="s">
        <v>280</v>
      </c>
    </row>
    <row r="887" spans="1:23" ht="21" customHeight="1" x14ac:dyDescent="0.15">
      <c r="A887" s="104">
        <f t="shared" si="13"/>
        <v>886</v>
      </c>
      <c r="B887" s="105" t="s">
        <v>268</v>
      </c>
      <c r="C887" s="117" t="s">
        <v>2741</v>
      </c>
      <c r="D887" s="107" t="s">
        <v>2742</v>
      </c>
      <c r="E887" s="108" t="s">
        <v>709</v>
      </c>
      <c r="F887" s="108" t="s">
        <v>532</v>
      </c>
      <c r="G887" s="108" t="s">
        <v>710</v>
      </c>
      <c r="H887" s="131" t="s">
        <v>300</v>
      </c>
      <c r="I887" s="117">
        <v>6</v>
      </c>
      <c r="J887" s="109" t="s">
        <v>2743</v>
      </c>
      <c r="K887" s="105" t="s">
        <v>2744</v>
      </c>
      <c r="L887" s="107" t="str">
        <f ca="1">VLOOKUP($K887,OFFSET([1]character_type_i18n!$A$1,0,0,COUNTA([1]character_type_i18n!$A:$A),MATCH(L$1,[1]character_type_i18n!$1:$1,0)-MATCH($K$1,[1]character_type_i18n!$1:$1,0)+1),MATCH(L$1,[1]character_type_i18n!$1:$1,0)-MATCH($K$1,[1]character_type_i18n!$1:$1,0)+1,FALSE)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87" s="105" t="s">
        <v>1018</v>
      </c>
      <c r="N887" s="107" t="str">
        <f>VLOOKUP(M887,[1]character_tribe_i18n!A:C,3,FALSE)</f>
        <v>ゴッド</v>
      </c>
      <c r="O887" s="105" t="s">
        <v>278</v>
      </c>
      <c r="P887" s="107" t="str">
        <f>VLOOKUP(O887,[1]character_tribe_i18n!A:C,3,FALSE)</f>
        <v>種族なし</v>
      </c>
      <c r="Q887" s="110" t="s">
        <v>279</v>
      </c>
      <c r="R887" s="111">
        <v>3</v>
      </c>
      <c r="S887" s="108" t="s">
        <v>280</v>
      </c>
      <c r="T887" s="108" t="s">
        <v>281</v>
      </c>
      <c r="U887" s="108" t="s">
        <v>280</v>
      </c>
      <c r="V887" s="108" t="s">
        <v>280</v>
      </c>
      <c r="W887" s="108" t="s">
        <v>280</v>
      </c>
    </row>
    <row r="888" spans="1:23" ht="21" customHeight="1" x14ac:dyDescent="0.15">
      <c r="A888" s="104">
        <f t="shared" si="13"/>
        <v>887</v>
      </c>
      <c r="B888" s="105" t="s">
        <v>268</v>
      </c>
      <c r="C888" s="147" t="s">
        <v>2745</v>
      </c>
      <c r="D888" s="107" t="s">
        <v>2746</v>
      </c>
      <c r="E888" s="108" t="s">
        <v>709</v>
      </c>
      <c r="F888" s="108" t="s">
        <v>532</v>
      </c>
      <c r="G888" s="108" t="s">
        <v>710</v>
      </c>
      <c r="H888" s="131" t="s">
        <v>274</v>
      </c>
      <c r="I888" s="117">
        <v>5</v>
      </c>
      <c r="J888" s="109" t="s">
        <v>1504</v>
      </c>
      <c r="K888" s="105" t="s">
        <v>1005</v>
      </c>
      <c r="L888" s="107" t="str">
        <f ca="1">VLOOKUP($K888,OFFSET([1]character_type_i18n!$A$1,0,0,COUNTA([1]character_type_i18n!$A:$A),MATCH(L$1,[1]character_type_i18n!$1:$1,0)-MATCH($K$1,[1]character_type_i18n!$1:$1,0)+1),MATCH(L$1,[1]character_type_i18n!$1:$1,0)-MATCH($K$1,[1]character_type_i18n!$1:$1,0)+1,FALSE)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88" s="105" t="s">
        <v>1018</v>
      </c>
      <c r="N888" s="107" t="str">
        <f>VLOOKUP(M888,[1]character_tribe_i18n!A:C,3,FALSE)</f>
        <v>ゴッド</v>
      </c>
      <c r="O888" s="105" t="s">
        <v>1017</v>
      </c>
      <c r="P888" s="107" t="str">
        <f>VLOOKUP(O888,[1]character_tribe_i18n!A:C,3,FALSE)</f>
        <v>マシン</v>
      </c>
      <c r="Q888" s="110" t="s">
        <v>279</v>
      </c>
      <c r="R888" s="111">
        <v>3</v>
      </c>
      <c r="S888" s="108" t="s">
        <v>280</v>
      </c>
      <c r="T888" s="108" t="s">
        <v>281</v>
      </c>
      <c r="U888" s="108" t="s">
        <v>280</v>
      </c>
      <c r="V888" s="108" t="s">
        <v>280</v>
      </c>
      <c r="W888" s="108" t="s">
        <v>280</v>
      </c>
    </row>
    <row r="889" spans="1:23" ht="21" customHeight="1" x14ac:dyDescent="0.15">
      <c r="A889" s="104">
        <f t="shared" si="13"/>
        <v>888</v>
      </c>
      <c r="B889" s="105" t="s">
        <v>268</v>
      </c>
      <c r="C889" s="147" t="s">
        <v>2747</v>
      </c>
      <c r="D889" s="107" t="s">
        <v>2748</v>
      </c>
      <c r="E889" s="108" t="s">
        <v>709</v>
      </c>
      <c r="F889" s="108" t="s">
        <v>532</v>
      </c>
      <c r="G889" s="108" t="s">
        <v>710</v>
      </c>
      <c r="H889" s="131" t="s">
        <v>274</v>
      </c>
      <c r="I889" s="117">
        <v>6</v>
      </c>
      <c r="J889" s="109" t="s">
        <v>1504</v>
      </c>
      <c r="K889" s="105" t="s">
        <v>1005</v>
      </c>
      <c r="L889" s="107" t="str">
        <f ca="1">VLOOKUP($K889,OFFSET([1]character_type_i18n!$A$1,0,0,COUNTA([1]character_type_i18n!$A:$A),MATCH(L$1,[1]character_type_i18n!$1:$1,0)-MATCH($K$1,[1]character_type_i18n!$1:$1,0)+1),MATCH(L$1,[1]character_type_i18n!$1:$1,0)-MATCH($K$1,[1]character_type_i18n!$1:$1,0)+1,FALSE)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89" s="105" t="s">
        <v>1018</v>
      </c>
      <c r="N889" s="107" t="str">
        <f>VLOOKUP(M889,[1]character_tribe_i18n!A:C,3,FALSE)</f>
        <v>ゴッド</v>
      </c>
      <c r="O889" s="105" t="s">
        <v>1017</v>
      </c>
      <c r="P889" s="107" t="str">
        <f>VLOOKUP(O889,[1]character_tribe_i18n!A:C,3,FALSE)</f>
        <v>マシン</v>
      </c>
      <c r="Q889" s="110" t="s">
        <v>279</v>
      </c>
      <c r="R889" s="111">
        <v>3</v>
      </c>
      <c r="S889" s="108" t="s">
        <v>280</v>
      </c>
      <c r="T889" s="108" t="s">
        <v>281</v>
      </c>
      <c r="U889" s="108" t="s">
        <v>280</v>
      </c>
      <c r="V889" s="108" t="s">
        <v>280</v>
      </c>
      <c r="W889" s="108" t="s">
        <v>280</v>
      </c>
    </row>
    <row r="890" spans="1:23" ht="21" customHeight="1" x14ac:dyDescent="0.15">
      <c r="A890" s="104">
        <f t="shared" si="13"/>
        <v>889</v>
      </c>
      <c r="B890" s="105" t="s">
        <v>268</v>
      </c>
      <c r="C890" s="152" t="s">
        <v>2749</v>
      </c>
      <c r="D890" s="107" t="s">
        <v>2313</v>
      </c>
      <c r="E890" s="108" t="s">
        <v>2750</v>
      </c>
      <c r="F890" s="108" t="s">
        <v>2751</v>
      </c>
      <c r="G890" s="108" t="s">
        <v>2752</v>
      </c>
      <c r="H890" s="131" t="s">
        <v>2753</v>
      </c>
      <c r="I890" s="117">
        <v>5</v>
      </c>
      <c r="J890" s="109" t="s">
        <v>2754</v>
      </c>
      <c r="K890" s="105" t="s">
        <v>2755</v>
      </c>
      <c r="L890" s="107" t="str">
        <f ca="1">VLOOKUP($K890,OFFSET([1]character_type_i18n!$A$1,0,0,COUNTA([1]character_type_i18n!$A:$A),MATCH(L$1,[1]character_type_i18n!$1:$1,0)-MATCH($K$1,[1]character_type_i18n!$1:$1,0)+1),MATCH(L$1,[1]character_type_i18n!$1:$1,0)-MATCH($K$1,[1]character_type_i18n!$1:$1,0)+1,FALSE)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0" s="105" t="s">
        <v>2756</v>
      </c>
      <c r="N890" s="107" t="str">
        <f>VLOOKUP(M890,[1]character_tribe_i18n!A:C,3,FALSE)</f>
        <v>アカデミア</v>
      </c>
      <c r="O890" s="105" t="s">
        <v>1811</v>
      </c>
      <c r="P890" s="107" t="str">
        <f>VLOOKUP(O890,[1]character_tribe_i18n!A:C,3,FALSE)</f>
        <v>Unknown</v>
      </c>
      <c r="Q890" s="110" t="s">
        <v>279</v>
      </c>
      <c r="R890" s="111">
        <v>1</v>
      </c>
      <c r="S890" s="108" t="s">
        <v>280</v>
      </c>
      <c r="T890" s="108" t="s">
        <v>281</v>
      </c>
      <c r="U890" s="108" t="s">
        <v>280</v>
      </c>
      <c r="V890" s="108" t="s">
        <v>280</v>
      </c>
      <c r="W890" s="108" t="s">
        <v>280</v>
      </c>
    </row>
    <row r="891" spans="1:23" ht="21" customHeight="1" x14ac:dyDescent="0.15">
      <c r="A891" s="104">
        <f t="shared" si="13"/>
        <v>890</v>
      </c>
      <c r="B891" s="105" t="s">
        <v>268</v>
      </c>
      <c r="C891" s="152" t="s">
        <v>2757</v>
      </c>
      <c r="D891" s="107" t="s">
        <v>2315</v>
      </c>
      <c r="E891" s="108" t="s">
        <v>709</v>
      </c>
      <c r="F891" s="108" t="s">
        <v>532</v>
      </c>
      <c r="G891" s="108" t="s">
        <v>710</v>
      </c>
      <c r="H891" s="131" t="s">
        <v>614</v>
      </c>
      <c r="I891" s="117">
        <v>6</v>
      </c>
      <c r="J891" s="109" t="s">
        <v>1180</v>
      </c>
      <c r="K891" s="105" t="s">
        <v>1008</v>
      </c>
      <c r="L891" s="107" t="str">
        <f ca="1">VLOOKUP($K891,OFFSET([1]character_type_i18n!$A$1,0,0,COUNTA([1]character_type_i18n!$A:$A),MATCH(L$1,[1]character_type_i18n!$1:$1,0)-MATCH($K$1,[1]character_type_i18n!$1:$1,0)+1),MATCH(L$1,[1]character_type_i18n!$1:$1,0)-MATCH($K$1,[1]character_type_i18n!$1:$1,0)+1,FALSE)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1" s="105" t="s">
        <v>2316</v>
      </c>
      <c r="N891" s="107" t="str">
        <f>VLOOKUP(M891,[1]character_tribe_i18n!A:C,3,FALSE)</f>
        <v>アカデミア</v>
      </c>
      <c r="O891" s="105" t="s">
        <v>1164</v>
      </c>
      <c r="P891" s="107" t="str">
        <f>VLOOKUP(O891,[1]character_tribe_i18n!A:C,3,FALSE)</f>
        <v>Unknown</v>
      </c>
      <c r="Q891" s="110" t="s">
        <v>362</v>
      </c>
      <c r="R891" s="111">
        <v>1</v>
      </c>
      <c r="S891" s="108" t="s">
        <v>289</v>
      </c>
      <c r="T891" s="108" t="s">
        <v>288</v>
      </c>
      <c r="U891" s="108" t="s">
        <v>289</v>
      </c>
      <c r="V891" s="108" t="s">
        <v>289</v>
      </c>
      <c r="W891" s="108" t="s">
        <v>289</v>
      </c>
    </row>
    <row r="892" spans="1:23" ht="21" customHeight="1" x14ac:dyDescent="0.15">
      <c r="A892" s="104">
        <f t="shared" si="13"/>
        <v>891</v>
      </c>
      <c r="B892" s="105" t="s">
        <v>292</v>
      </c>
      <c r="C892" s="147" t="s">
        <v>2758</v>
      </c>
      <c r="D892" s="107" t="s">
        <v>2759</v>
      </c>
      <c r="E892" s="108" t="s">
        <v>848</v>
      </c>
      <c r="F892" s="108" t="s">
        <v>1422</v>
      </c>
      <c r="G892" s="108" t="s">
        <v>1587</v>
      </c>
      <c r="H892" s="131" t="s">
        <v>295</v>
      </c>
      <c r="I892" s="140">
        <v>5</v>
      </c>
      <c r="J892" s="109" t="s">
        <v>1859</v>
      </c>
      <c r="K892" s="105" t="s">
        <v>1588</v>
      </c>
      <c r="L892" s="107" t="str">
        <f ca="1">VLOOKUP($K892,OFFSET([1]character_type_i18n!$A$1,0,0,COUNTA([1]character_type_i18n!$A:$A),MATCH(L$1,[1]character_type_i18n!$1:$1,0)-MATCH($K$1,[1]character_type_i18n!$1:$1,0)+1),MATCH(L$1,[1]character_type_i18n!$1:$1,0)-MATCH($K$1,[1]character_type_i18n!$1:$1,0)+1,FALSE)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92" s="105" t="s">
        <v>1018</v>
      </c>
      <c r="N892" s="107" t="str">
        <f>VLOOKUP(M892,[1]character_tribe_i18n!A:C,3,FALSE)</f>
        <v>ゴッド</v>
      </c>
      <c r="O892" s="129" t="s">
        <v>318</v>
      </c>
      <c r="P892" s="107" t="str">
        <f>VLOOKUP(O892,[1]character_tribe_i18n!A:C,3,FALSE)</f>
        <v>アニマル</v>
      </c>
      <c r="Q892" s="110" t="s">
        <v>279</v>
      </c>
      <c r="R892" s="111">
        <v>3</v>
      </c>
      <c r="S892" s="108" t="s">
        <v>280</v>
      </c>
      <c r="T892" s="108" t="s">
        <v>281</v>
      </c>
      <c r="U892" s="108" t="s">
        <v>280</v>
      </c>
      <c r="V892" s="108" t="s">
        <v>280</v>
      </c>
      <c r="W892" s="108" t="s">
        <v>280</v>
      </c>
    </row>
    <row r="893" spans="1:23" ht="21" customHeight="1" x14ac:dyDescent="0.15">
      <c r="A893" s="104">
        <f t="shared" si="13"/>
        <v>892</v>
      </c>
      <c r="B893" s="105" t="s">
        <v>268</v>
      </c>
      <c r="C893" s="147" t="s">
        <v>2760</v>
      </c>
      <c r="D893" s="107" t="s">
        <v>2761</v>
      </c>
      <c r="E893" s="108" t="s">
        <v>709</v>
      </c>
      <c r="F893" s="108" t="s">
        <v>532</v>
      </c>
      <c r="G893" s="108" t="s">
        <v>710</v>
      </c>
      <c r="H893" s="131" t="s">
        <v>295</v>
      </c>
      <c r="I893" s="140">
        <v>6</v>
      </c>
      <c r="J893" s="109" t="s">
        <v>1504</v>
      </c>
      <c r="K893" s="105" t="s">
        <v>967</v>
      </c>
      <c r="L893" s="107" t="str">
        <f ca="1">VLOOKUP($K893,OFFSET([1]character_type_i18n!$A$1,0,0,COUNTA([1]character_type_i18n!$A:$A),MATCH(L$1,[1]character_type_i18n!$1:$1,0)-MATCH($K$1,[1]character_type_i18n!$1:$1,0)+1),MATCH(L$1,[1]character_type_i18n!$1:$1,0)-MATCH($K$1,[1]character_type_i18n!$1:$1,0)+1,FALSE)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93" s="105" t="s">
        <v>1872</v>
      </c>
      <c r="N893" s="107" t="str">
        <f>VLOOKUP(M893,[1]character_tribe_i18n!A:C,3,FALSE)</f>
        <v>ゴッド</v>
      </c>
      <c r="O893" s="153" t="s">
        <v>318</v>
      </c>
      <c r="P893" s="107" t="str">
        <f>VLOOKUP(O893,[1]character_tribe_i18n!A:C,3,FALSE)</f>
        <v>アニマル</v>
      </c>
      <c r="Q893" s="110" t="s">
        <v>362</v>
      </c>
      <c r="R893" s="111">
        <v>3</v>
      </c>
      <c r="S893" s="108" t="s">
        <v>289</v>
      </c>
      <c r="T893" s="108" t="s">
        <v>288</v>
      </c>
      <c r="U893" s="108" t="s">
        <v>289</v>
      </c>
      <c r="V893" s="108" t="s">
        <v>289</v>
      </c>
      <c r="W893" s="108" t="s">
        <v>289</v>
      </c>
    </row>
    <row r="894" spans="1:23" ht="21" customHeight="1" x14ac:dyDescent="0.15">
      <c r="A894" s="104">
        <f t="shared" si="13"/>
        <v>893</v>
      </c>
      <c r="B894" s="105" t="s">
        <v>292</v>
      </c>
      <c r="C894" s="147" t="s">
        <v>2762</v>
      </c>
      <c r="D894" s="107" t="s">
        <v>2763</v>
      </c>
      <c r="E894" s="108" t="s">
        <v>709</v>
      </c>
      <c r="F894" s="108" t="s">
        <v>1422</v>
      </c>
      <c r="G894" s="108" t="s">
        <v>1587</v>
      </c>
      <c r="H894" s="131" t="s">
        <v>300</v>
      </c>
      <c r="I894" s="140">
        <v>5</v>
      </c>
      <c r="J894" s="109" t="s">
        <v>1859</v>
      </c>
      <c r="K894" s="105" t="s">
        <v>2084</v>
      </c>
      <c r="L894" s="107" t="str">
        <f ca="1">VLOOKUP($K894,OFFSET([1]character_type_i18n!$A$1,0,0,COUNTA([1]character_type_i18n!$A:$A),MATCH(L$1,[1]character_type_i18n!$1:$1,0)-MATCH($K$1,[1]character_type_i18n!$1:$1,0)+1),MATCH(L$1,[1]character_type_i18n!$1:$1,0)-MATCH($K$1,[1]character_type_i18n!$1:$1,0)+1,FALSE)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4" s="105" t="s">
        <v>1018</v>
      </c>
      <c r="N894" s="107" t="str">
        <f>VLOOKUP(M894,[1]character_tribe_i18n!A:C,3,FALSE)</f>
        <v>ゴッド</v>
      </c>
      <c r="O894" s="105" t="s">
        <v>1599</v>
      </c>
      <c r="P894" s="107" t="str">
        <f>VLOOKUP(O894,[1]character_tribe_i18n!A:C,3,FALSE)</f>
        <v>マシン</v>
      </c>
      <c r="Q894" s="110" t="s">
        <v>279</v>
      </c>
      <c r="R894" s="111">
        <v>3</v>
      </c>
      <c r="S894" s="108" t="s">
        <v>280</v>
      </c>
      <c r="T894" s="108" t="s">
        <v>281</v>
      </c>
      <c r="U894" s="108" t="s">
        <v>280</v>
      </c>
      <c r="V894" s="108" t="s">
        <v>280</v>
      </c>
      <c r="W894" s="108" t="s">
        <v>280</v>
      </c>
    </row>
    <row r="895" spans="1:23" ht="21" customHeight="1" x14ac:dyDescent="0.15">
      <c r="A895" s="104">
        <f t="shared" si="13"/>
        <v>894</v>
      </c>
      <c r="B895" s="105" t="s">
        <v>268</v>
      </c>
      <c r="C895" s="147" t="s">
        <v>2764</v>
      </c>
      <c r="D895" s="107" t="s">
        <v>2765</v>
      </c>
      <c r="E895" s="108" t="s">
        <v>709</v>
      </c>
      <c r="F895" s="108" t="s">
        <v>532</v>
      </c>
      <c r="G895" s="108" t="s">
        <v>710</v>
      </c>
      <c r="H895" s="131" t="s">
        <v>300</v>
      </c>
      <c r="I895" s="140">
        <v>6</v>
      </c>
      <c r="J895" s="109" t="s">
        <v>1504</v>
      </c>
      <c r="K895" s="105" t="s">
        <v>1008</v>
      </c>
      <c r="L895" s="107" t="str">
        <f ca="1">VLOOKUP($K895,OFFSET([1]character_type_i18n!$A$1,0,0,COUNTA([1]character_type_i18n!$A:$A),MATCH(L$1,[1]character_type_i18n!$1:$1,0)-MATCH($K$1,[1]character_type_i18n!$1:$1,0)+1),MATCH(L$1,[1]character_type_i18n!$1:$1,0)-MATCH($K$1,[1]character_type_i18n!$1:$1,0)+1,FALSE)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5" s="105" t="s">
        <v>1872</v>
      </c>
      <c r="N895" s="107" t="str">
        <f>VLOOKUP(M895,[1]character_tribe_i18n!A:C,3,FALSE)</f>
        <v>ゴッド</v>
      </c>
      <c r="O895" s="105" t="s">
        <v>2766</v>
      </c>
      <c r="P895" s="107" t="str">
        <f>VLOOKUP(O895,[1]character_tribe_i18n!A:C,3,FALSE)</f>
        <v>マシン</v>
      </c>
      <c r="Q895" s="110" t="s">
        <v>305</v>
      </c>
      <c r="R895" s="111">
        <v>3</v>
      </c>
      <c r="S895" s="108" t="s">
        <v>306</v>
      </c>
      <c r="T895" s="108" t="s">
        <v>307</v>
      </c>
      <c r="U895" s="108" t="s">
        <v>306</v>
      </c>
      <c r="V895" s="108" t="s">
        <v>306</v>
      </c>
      <c r="W895" s="108" t="s">
        <v>306</v>
      </c>
    </row>
    <row r="896" spans="1:23" ht="21" customHeight="1" x14ac:dyDescent="0.15">
      <c r="A896" s="104">
        <f t="shared" si="13"/>
        <v>895</v>
      </c>
      <c r="B896" s="105" t="s">
        <v>314</v>
      </c>
      <c r="C896" s="152" t="s">
        <v>2767</v>
      </c>
      <c r="D896" s="107" t="s">
        <v>2768</v>
      </c>
      <c r="E896" s="108" t="s">
        <v>1396</v>
      </c>
      <c r="F896" s="108" t="s">
        <v>1397</v>
      </c>
      <c r="G896" s="108" t="s">
        <v>1398</v>
      </c>
      <c r="H896" s="131" t="s">
        <v>295</v>
      </c>
      <c r="I896" s="140">
        <v>5</v>
      </c>
      <c r="J896" s="109" t="s">
        <v>516</v>
      </c>
      <c r="K896" s="105" t="s">
        <v>1400</v>
      </c>
      <c r="L896" s="107" t="str">
        <f ca="1">VLOOKUP($K896,OFFSET([1]character_type_i18n!$A$1,0,0,COUNTA([1]character_type_i18n!$A:$A),MATCH(L$1,[1]character_type_i18n!$1:$1,0)-MATCH($K$1,[1]character_type_i18n!$1:$1,0)+1),MATCH(L$1,[1]character_type_i18n!$1:$1,0)-MATCH($K$1,[1]character_type_i18n!$1:$1,0)+1,FALSE)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96" s="105" t="s">
        <v>1401</v>
      </c>
      <c r="N896" s="107" t="str">
        <f>VLOOKUP(M896,[1]character_tribe_i18n!A:C,3,FALSE)</f>
        <v>ヒューマン</v>
      </c>
      <c r="O896" s="105" t="s">
        <v>278</v>
      </c>
      <c r="P896" s="107" t="str">
        <f>VLOOKUP(O896,[1]character_tribe_i18n!A:C,3,FALSE)</f>
        <v>種族なし</v>
      </c>
      <c r="Q896" s="110" t="s">
        <v>305</v>
      </c>
      <c r="R896" s="111">
        <v>1</v>
      </c>
      <c r="S896" s="108" t="s">
        <v>306</v>
      </c>
      <c r="T896" s="108" t="s">
        <v>307</v>
      </c>
      <c r="U896" s="108" t="s">
        <v>306</v>
      </c>
      <c r="V896" s="108" t="s">
        <v>306</v>
      </c>
      <c r="W896" s="108" t="s">
        <v>306</v>
      </c>
    </row>
    <row r="897" spans="1:23" ht="21" customHeight="1" x14ac:dyDescent="0.15">
      <c r="A897" s="104">
        <f t="shared" si="13"/>
        <v>896</v>
      </c>
      <c r="B897" s="105" t="s">
        <v>314</v>
      </c>
      <c r="C897" s="154" t="s">
        <v>2769</v>
      </c>
      <c r="D897" s="107" t="s">
        <v>2770</v>
      </c>
      <c r="E897" s="108" t="s">
        <v>1396</v>
      </c>
      <c r="F897" s="108" t="s">
        <v>1397</v>
      </c>
      <c r="G897" s="108" t="s">
        <v>1398</v>
      </c>
      <c r="H897" s="131" t="s">
        <v>274</v>
      </c>
      <c r="I897" s="140">
        <v>6</v>
      </c>
      <c r="J897" s="109" t="s">
        <v>1582</v>
      </c>
      <c r="K897" s="105" t="s">
        <v>2771</v>
      </c>
      <c r="L897" s="107" t="str">
        <f ca="1">VLOOKUP($K897,OFFSET([1]character_type_i18n!$A$1,0,0,COUNTA([1]character_type_i18n!$A:$A),MATCH(L$1,[1]character_type_i18n!$1:$1,0)-MATCH($K$1,[1]character_type_i18n!$1:$1,0)+1),MATCH(L$1,[1]character_type_i18n!$1:$1,0)-MATCH($K$1,[1]character_type_i18n!$1:$1,0)+1,FALSE)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7" s="105" t="s">
        <v>1942</v>
      </c>
      <c r="N897" s="107" t="str">
        <f>VLOOKUP(M897,[1]character_tribe_i18n!A:C,3,FALSE)</f>
        <v>アニマル</v>
      </c>
      <c r="O897" s="105" t="s">
        <v>278</v>
      </c>
      <c r="P897" s="107" t="str">
        <f>VLOOKUP(O897,[1]character_tribe_i18n!A:C,3,FALSE)</f>
        <v>種族なし</v>
      </c>
      <c r="Q897" s="110" t="s">
        <v>305</v>
      </c>
      <c r="R897" s="111">
        <v>3</v>
      </c>
      <c r="S897" s="108" t="s">
        <v>306</v>
      </c>
      <c r="T897" s="108" t="s">
        <v>307</v>
      </c>
      <c r="U897" s="108" t="s">
        <v>306</v>
      </c>
      <c r="V897" s="108" t="s">
        <v>306</v>
      </c>
      <c r="W897" s="108" t="s">
        <v>306</v>
      </c>
    </row>
    <row r="898" spans="1:23" ht="21" customHeight="1" x14ac:dyDescent="0.15">
      <c r="A898" s="104">
        <f t="shared" si="13"/>
        <v>897</v>
      </c>
      <c r="B898" s="105" t="s">
        <v>314</v>
      </c>
      <c r="C898" s="154" t="s">
        <v>2772</v>
      </c>
      <c r="D898" s="107" t="s">
        <v>2773</v>
      </c>
      <c r="E898" s="108" t="s">
        <v>1396</v>
      </c>
      <c r="F898" s="108" t="s">
        <v>1397</v>
      </c>
      <c r="G898" s="108" t="s">
        <v>1398</v>
      </c>
      <c r="H898" s="131" t="s">
        <v>285</v>
      </c>
      <c r="I898" s="140">
        <v>6</v>
      </c>
      <c r="J898" s="109" t="s">
        <v>1582</v>
      </c>
      <c r="K898" s="105" t="s">
        <v>2771</v>
      </c>
      <c r="L898" s="107" t="str">
        <f ca="1">VLOOKUP($K898,OFFSET([1]character_type_i18n!$A$1,0,0,COUNTA([1]character_type_i18n!$A:$A),MATCH(L$1,[1]character_type_i18n!$1:$1,0)-MATCH($K$1,[1]character_type_i18n!$1:$1,0)+1),MATCH(L$1,[1]character_type_i18n!$1:$1,0)-MATCH($K$1,[1]character_type_i18n!$1:$1,0)+1,FALSE)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8" s="105" t="s">
        <v>1942</v>
      </c>
      <c r="N898" s="107" t="str">
        <f>VLOOKUP(M898,[1]character_tribe_i18n!A:C,3,FALSE)</f>
        <v>アニマル</v>
      </c>
      <c r="O898" s="105" t="s">
        <v>278</v>
      </c>
      <c r="P898" s="107" t="str">
        <f>VLOOKUP(O898,[1]character_tribe_i18n!A:C,3,FALSE)</f>
        <v>種族なし</v>
      </c>
      <c r="Q898" s="110" t="s">
        <v>362</v>
      </c>
      <c r="R898" s="111">
        <v>3</v>
      </c>
      <c r="S898" s="108" t="s">
        <v>289</v>
      </c>
      <c r="T898" s="108" t="s">
        <v>288</v>
      </c>
      <c r="U898" s="108" t="s">
        <v>289</v>
      </c>
      <c r="V898" s="108" t="s">
        <v>289</v>
      </c>
      <c r="W898" s="108" t="s">
        <v>289</v>
      </c>
    </row>
    <row r="899" spans="1:23" ht="21" customHeight="1" x14ac:dyDescent="0.15">
      <c r="A899" s="104">
        <f t="shared" si="13"/>
        <v>898</v>
      </c>
      <c r="B899" s="105" t="s">
        <v>292</v>
      </c>
      <c r="C899" s="152" t="s">
        <v>2774</v>
      </c>
      <c r="D899" s="107" t="s">
        <v>2775</v>
      </c>
      <c r="E899" s="108" t="s">
        <v>848</v>
      </c>
      <c r="F899" s="108" t="s">
        <v>1422</v>
      </c>
      <c r="G899" s="108" t="s">
        <v>1587</v>
      </c>
      <c r="H899" s="131" t="s">
        <v>274</v>
      </c>
      <c r="I899" s="140">
        <v>6</v>
      </c>
      <c r="J899" s="109" t="s">
        <v>516</v>
      </c>
      <c r="K899" s="105" t="s">
        <v>2716</v>
      </c>
      <c r="L899" s="107" t="str">
        <f ca="1">VLOOKUP($K899,OFFSET([1]character_type_i18n!$A$1,0,0,COUNTA([1]character_type_i18n!$A:$A),MATCH(L$1,[1]character_type_i18n!$1:$1,0)-MATCH($K$1,[1]character_type_i18n!$1:$1,0)+1),MATCH(L$1,[1]character_type_i18n!$1:$1,0)-MATCH($K$1,[1]character_type_i18n!$1:$1,0)+1,FALSE)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99" s="105" t="s">
        <v>1011</v>
      </c>
      <c r="N899" s="107" t="str">
        <f>VLOOKUP(M899,[1]character_tribe_i18n!A:C,3,FALSE)</f>
        <v>ヒューマン</v>
      </c>
      <c r="O899" s="105" t="s">
        <v>278</v>
      </c>
      <c r="P899" s="107" t="str">
        <f>VLOOKUP(O899,[1]character_tribe_i18n!A:C,3,FALSE)</f>
        <v>種族なし</v>
      </c>
      <c r="Q899" s="110" t="s">
        <v>279</v>
      </c>
      <c r="R899" s="111">
        <v>1</v>
      </c>
      <c r="S899" s="108" t="s">
        <v>280</v>
      </c>
      <c r="T899" s="108" t="s">
        <v>281</v>
      </c>
      <c r="U899" s="108" t="s">
        <v>280</v>
      </c>
      <c r="V899" s="108" t="s">
        <v>280</v>
      </c>
      <c r="W899" s="108" t="s">
        <v>280</v>
      </c>
    </row>
    <row r="900" spans="1:23" ht="21" customHeight="1" x14ac:dyDescent="0.15">
      <c r="A900" s="104">
        <f t="shared" si="13"/>
        <v>899</v>
      </c>
      <c r="B900" s="155" t="s">
        <v>292</v>
      </c>
      <c r="C900" s="156" t="s">
        <v>2776</v>
      </c>
      <c r="D900" s="157" t="s">
        <v>2777</v>
      </c>
      <c r="E900" s="108" t="s">
        <v>709</v>
      </c>
      <c r="F900" s="108" t="s">
        <v>2778</v>
      </c>
      <c r="G900" s="108" t="s">
        <v>2779</v>
      </c>
      <c r="H900" s="131" t="s">
        <v>2780</v>
      </c>
      <c r="I900" s="117">
        <v>5</v>
      </c>
      <c r="J900" s="109" t="s">
        <v>2781</v>
      </c>
      <c r="K900" s="105" t="s">
        <v>2782</v>
      </c>
      <c r="L900" s="107" t="str">
        <f ca="1">VLOOKUP($K900,OFFSET([1]character_type_i18n!$A$1,0,0,COUNTA([1]character_type_i18n!$A:$A),MATCH(L$1,[1]character_type_i18n!$1:$1,0)-MATCH($K$1,[1]character_type_i18n!$1:$1,0)+1),MATCH(L$1,[1]character_type_i18n!$1:$1,0)-MATCH($K$1,[1]character_type_i18n!$1:$1,0)+1,FALSE)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00" s="105" t="s">
        <v>2783</v>
      </c>
      <c r="N900" s="107" t="str">
        <f>VLOOKUP(M900,[1]character_tribe_i18n!A:C,3,FALSE)</f>
        <v>サンリオキャラクターズ</v>
      </c>
      <c r="O900" s="105" t="s">
        <v>278</v>
      </c>
      <c r="P900" s="107" t="str">
        <f>VLOOKUP(O900,[1]character_tribe_i18n!A:C,3,FALSE)</f>
        <v>種族なし</v>
      </c>
      <c r="Q900" s="110" t="s">
        <v>279</v>
      </c>
      <c r="R900" s="111">
        <v>3</v>
      </c>
      <c r="S900" s="108" t="s">
        <v>280</v>
      </c>
      <c r="T900" s="108" t="s">
        <v>281</v>
      </c>
      <c r="U900" s="108" t="s">
        <v>2784</v>
      </c>
      <c r="V900" s="108" t="s">
        <v>280</v>
      </c>
      <c r="W900" s="108" t="s">
        <v>280</v>
      </c>
    </row>
    <row r="901" spans="1:23" ht="21" customHeight="1" x14ac:dyDescent="0.15">
      <c r="A901" s="104">
        <f t="shared" ref="A901:A964" si="14">ROW()-1</f>
        <v>900</v>
      </c>
      <c r="B901" s="155" t="s">
        <v>268</v>
      </c>
      <c r="C901" s="156" t="s">
        <v>2785</v>
      </c>
      <c r="D901" s="157" t="s">
        <v>2777</v>
      </c>
      <c r="E901" s="108" t="s">
        <v>709</v>
      </c>
      <c r="F901" s="108" t="s">
        <v>532</v>
      </c>
      <c r="G901" s="108" t="s">
        <v>710</v>
      </c>
      <c r="H901" s="131" t="s">
        <v>614</v>
      </c>
      <c r="I901" s="140">
        <v>6</v>
      </c>
      <c r="J901" s="109" t="s">
        <v>1504</v>
      </c>
      <c r="K901" s="105" t="s">
        <v>1505</v>
      </c>
      <c r="L901" s="107" t="str">
        <f ca="1">VLOOKUP($K901,OFFSET([1]character_type_i18n!$A$1,0,0,COUNTA([1]character_type_i18n!$A:$A),MATCH(L$1,[1]character_type_i18n!$1:$1,0)-MATCH($K$1,[1]character_type_i18n!$1:$1,0)+1),MATCH(L$1,[1]character_type_i18n!$1:$1,0)-MATCH($K$1,[1]character_type_i18n!$1:$1,0)+1,FALSE)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01" s="105" t="s">
        <v>2783</v>
      </c>
      <c r="N901" s="107" t="str">
        <f>VLOOKUP(M901,[1]character_tribe_i18n!A:C,3,FALSE)</f>
        <v>サンリオキャラクターズ</v>
      </c>
      <c r="O901" s="105" t="s">
        <v>278</v>
      </c>
      <c r="P901" s="107" t="str">
        <f>VLOOKUP(O901,[1]character_tribe_i18n!A:C,3,FALSE)</f>
        <v>種族なし</v>
      </c>
      <c r="Q901" s="110" t="s">
        <v>279</v>
      </c>
      <c r="R901" s="111">
        <v>3</v>
      </c>
      <c r="S901" s="108" t="s">
        <v>280</v>
      </c>
      <c r="T901" s="108" t="s">
        <v>281</v>
      </c>
      <c r="U901" s="108" t="s">
        <v>2786</v>
      </c>
      <c r="V901" s="108" t="s">
        <v>280</v>
      </c>
      <c r="W901" s="108" t="s">
        <v>280</v>
      </c>
    </row>
    <row r="902" spans="1:23" ht="21" customHeight="1" x14ac:dyDescent="0.15">
      <c r="A902" s="104">
        <f t="shared" si="14"/>
        <v>901</v>
      </c>
      <c r="B902" s="155" t="s">
        <v>268</v>
      </c>
      <c r="C902" s="158" t="s">
        <v>2787</v>
      </c>
      <c r="D902" s="157" t="s">
        <v>2788</v>
      </c>
      <c r="E902" s="108" t="s">
        <v>709</v>
      </c>
      <c r="F902" s="108" t="s">
        <v>532</v>
      </c>
      <c r="G902" s="108" t="s">
        <v>710</v>
      </c>
      <c r="H902" s="131" t="s">
        <v>300</v>
      </c>
      <c r="I902" s="140">
        <v>4</v>
      </c>
      <c r="J902" s="109" t="s" ph="1">
        <v>516</v>
      </c>
      <c r="K902" s="105" t="s">
        <v>1505</v>
      </c>
      <c r="L902" s="107" t="str">
        <f ca="1">VLOOKUP($K902,OFFSET([1]character_type_i18n!$A$1,0,0,COUNTA([1]character_type_i18n!$A:$A),MATCH(L$1,[1]character_type_i18n!$1:$1,0)-MATCH($K$1,[1]character_type_i18n!$1:$1,0)+1),MATCH(L$1,[1]character_type_i18n!$1:$1,0)-MATCH($K$1,[1]character_type_i18n!$1:$1,0)+1,FALSE)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02" s="105" t="s">
        <v>2783</v>
      </c>
      <c r="N902" s="107" t="str">
        <f>VLOOKUP(M902,[1]character_tribe_i18n!A:C,3,FALSE)</f>
        <v>サンリオキャラクターズ</v>
      </c>
      <c r="O902" s="105" t="s">
        <v>278</v>
      </c>
      <c r="P902" s="107" t="str">
        <f>VLOOKUP(O902,[1]character_tribe_i18n!A:C,3,FALSE)</f>
        <v>種族なし</v>
      </c>
      <c r="Q902" s="110" t="s">
        <v>279</v>
      </c>
      <c r="R902" s="111">
        <v>3</v>
      </c>
      <c r="S902" s="108" t="s">
        <v>280</v>
      </c>
      <c r="T902" s="108" t="s">
        <v>281</v>
      </c>
      <c r="U902" s="108" t="s">
        <v>2789</v>
      </c>
      <c r="V902" s="108" t="s">
        <v>280</v>
      </c>
      <c r="W902" s="108" t="s">
        <v>280</v>
      </c>
    </row>
    <row r="903" spans="1:23" ht="21" customHeight="1" x14ac:dyDescent="0.15">
      <c r="A903" s="104">
        <f t="shared" si="14"/>
        <v>902</v>
      </c>
      <c r="B903" s="155" t="s">
        <v>268</v>
      </c>
      <c r="C903" s="158" t="s">
        <v>2790</v>
      </c>
      <c r="D903" s="157" t="s">
        <v>2788</v>
      </c>
      <c r="E903" s="108" t="s">
        <v>709</v>
      </c>
      <c r="F903" s="108" t="s">
        <v>532</v>
      </c>
      <c r="G903" s="108" t="s">
        <v>710</v>
      </c>
      <c r="H903" s="131" t="s">
        <v>300</v>
      </c>
      <c r="I903" s="140">
        <v>5</v>
      </c>
      <c r="J903" s="109" t="s">
        <v>516</v>
      </c>
      <c r="K903" s="105" t="s">
        <v>1505</v>
      </c>
      <c r="L903" s="107" t="str">
        <f ca="1">VLOOKUP($K903,OFFSET([1]character_type_i18n!$A$1,0,0,COUNTA([1]character_type_i18n!$A:$A),MATCH(L$1,[1]character_type_i18n!$1:$1,0)-MATCH($K$1,[1]character_type_i18n!$1:$1,0)+1),MATCH(L$1,[1]character_type_i18n!$1:$1,0)-MATCH($K$1,[1]character_type_i18n!$1:$1,0)+1,FALSE)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03" s="105" t="s">
        <v>2783</v>
      </c>
      <c r="N903" s="107" t="str">
        <f>VLOOKUP(M903,[1]character_tribe_i18n!A:C,3,FALSE)</f>
        <v>サンリオキャラクターズ</v>
      </c>
      <c r="O903" s="105" t="s">
        <v>278</v>
      </c>
      <c r="P903" s="107" t="str">
        <f>VLOOKUP(O903,[1]character_tribe_i18n!A:C,3,FALSE)</f>
        <v>種族なし</v>
      </c>
      <c r="Q903" s="110" t="s">
        <v>279</v>
      </c>
      <c r="R903" s="111">
        <v>3</v>
      </c>
      <c r="S903" s="108" t="s">
        <v>280</v>
      </c>
      <c r="T903" s="108" t="s">
        <v>281</v>
      </c>
      <c r="U903" s="108" t="s">
        <v>2786</v>
      </c>
      <c r="V903" s="108" t="s">
        <v>280</v>
      </c>
      <c r="W903" s="108" t="s">
        <v>280</v>
      </c>
    </row>
    <row r="904" spans="1:23" ht="21" customHeight="1" x14ac:dyDescent="0.15">
      <c r="A904" s="104">
        <f t="shared" si="14"/>
        <v>903</v>
      </c>
      <c r="B904" s="155" t="s">
        <v>268</v>
      </c>
      <c r="C904" s="158" t="s">
        <v>2791</v>
      </c>
      <c r="D904" s="157" t="s">
        <v>2792</v>
      </c>
      <c r="E904" s="108" t="s">
        <v>709</v>
      </c>
      <c r="F904" s="108" t="s">
        <v>532</v>
      </c>
      <c r="G904" s="108" t="s">
        <v>710</v>
      </c>
      <c r="H904" s="131" t="s">
        <v>274</v>
      </c>
      <c r="I904" s="140">
        <v>4</v>
      </c>
      <c r="J904" s="109" t="s">
        <v>516</v>
      </c>
      <c r="K904" s="105" t="s">
        <v>1008</v>
      </c>
      <c r="L904" s="107" t="str">
        <f ca="1">VLOOKUP($K904,OFFSET([1]character_type_i18n!$A$1,0,0,COUNTA([1]character_type_i18n!$A:$A),MATCH(L$1,[1]character_type_i18n!$1:$1,0)-MATCH($K$1,[1]character_type_i18n!$1:$1,0)+1),MATCH(L$1,[1]character_type_i18n!$1:$1,0)-MATCH($K$1,[1]character_type_i18n!$1:$1,0)+1,FALSE)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04" s="105" t="s">
        <v>2783</v>
      </c>
      <c r="N904" s="107" t="str">
        <f>VLOOKUP(M904,[1]character_tribe_i18n!A:C,3,FALSE)</f>
        <v>サンリオキャラクターズ</v>
      </c>
      <c r="O904" s="105" t="s">
        <v>278</v>
      </c>
      <c r="P904" s="107" t="str">
        <f>VLOOKUP(O904,[1]character_tribe_i18n!A:C,3,FALSE)</f>
        <v>種族なし</v>
      </c>
      <c r="Q904" s="110" t="s">
        <v>279</v>
      </c>
      <c r="R904" s="111">
        <v>3</v>
      </c>
      <c r="S904" s="108" t="s">
        <v>280</v>
      </c>
      <c r="T904" s="108" t="s">
        <v>281</v>
      </c>
      <c r="U904" s="108" t="s">
        <v>2793</v>
      </c>
      <c r="V904" s="108" t="s">
        <v>900</v>
      </c>
      <c r="W904" s="108" t="s">
        <v>280</v>
      </c>
    </row>
    <row r="905" spans="1:23" ht="21" customHeight="1" x14ac:dyDescent="0.15">
      <c r="A905" s="104">
        <f t="shared" si="14"/>
        <v>904</v>
      </c>
      <c r="B905" s="155" t="s">
        <v>268</v>
      </c>
      <c r="C905" s="159" t="s">
        <v>2794</v>
      </c>
      <c r="D905" s="157" t="s">
        <v>2792</v>
      </c>
      <c r="E905" s="108" t="s">
        <v>709</v>
      </c>
      <c r="F905" s="108" t="s">
        <v>532</v>
      </c>
      <c r="G905" s="108" t="s">
        <v>710</v>
      </c>
      <c r="H905" s="131" t="s">
        <v>274</v>
      </c>
      <c r="I905" s="140">
        <v>5</v>
      </c>
      <c r="J905" s="109" t="s">
        <v>516</v>
      </c>
      <c r="K905" s="105" t="s">
        <v>1008</v>
      </c>
      <c r="L905" s="107" t="str">
        <f ca="1">VLOOKUP($K905,OFFSET([1]character_type_i18n!$A$1,0,0,COUNTA([1]character_type_i18n!$A:$A),MATCH(L$1,[1]character_type_i18n!$1:$1,0)-MATCH($K$1,[1]character_type_i18n!$1:$1,0)+1),MATCH(L$1,[1]character_type_i18n!$1:$1,0)-MATCH($K$1,[1]character_type_i18n!$1:$1,0)+1,FALSE)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05" s="105" t="s">
        <v>2783</v>
      </c>
      <c r="N905" s="107" t="str">
        <f>VLOOKUP(M905,[1]character_tribe_i18n!A:C,3,FALSE)</f>
        <v>サンリオキャラクターズ</v>
      </c>
      <c r="O905" s="105" t="s">
        <v>278</v>
      </c>
      <c r="P905" s="107" t="str">
        <f>VLOOKUP(O905,[1]character_tribe_i18n!A:C,3,FALSE)</f>
        <v>種族なし</v>
      </c>
      <c r="Q905" s="110" t="s">
        <v>279</v>
      </c>
      <c r="R905" s="111">
        <v>3</v>
      </c>
      <c r="S905" s="108" t="s">
        <v>280</v>
      </c>
      <c r="T905" s="108" t="s">
        <v>281</v>
      </c>
      <c r="U905" s="108" t="s">
        <v>2793</v>
      </c>
      <c r="V905" s="108" t="s">
        <v>280</v>
      </c>
      <c r="W905" s="108" t="s">
        <v>280</v>
      </c>
    </row>
    <row r="906" spans="1:23" ht="21" customHeight="1" x14ac:dyDescent="0.15">
      <c r="A906" s="104">
        <f t="shared" si="14"/>
        <v>905</v>
      </c>
      <c r="B906" s="155" t="s">
        <v>268</v>
      </c>
      <c r="C906" s="158" t="s">
        <v>2795</v>
      </c>
      <c r="D906" s="157" t="s">
        <v>2796</v>
      </c>
      <c r="E906" s="108" t="s">
        <v>709</v>
      </c>
      <c r="F906" s="108" t="s">
        <v>532</v>
      </c>
      <c r="G906" s="108" t="s">
        <v>710</v>
      </c>
      <c r="H906" s="131" t="s">
        <v>274</v>
      </c>
      <c r="I906" s="140">
        <v>4</v>
      </c>
      <c r="J906" s="109" t="s">
        <v>516</v>
      </c>
      <c r="K906" s="105" t="s">
        <v>967</v>
      </c>
      <c r="L906" s="107" t="str">
        <f ca="1">VLOOKUP($K906,OFFSET([1]character_type_i18n!$A$1,0,0,COUNTA([1]character_type_i18n!$A:$A),MATCH(L$1,[1]character_type_i18n!$1:$1,0)-MATCH($K$1,[1]character_type_i18n!$1:$1,0)+1),MATCH(L$1,[1]character_type_i18n!$1:$1,0)-MATCH($K$1,[1]character_type_i18n!$1:$1,0)+1,FALSE)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06" s="105" t="s">
        <v>2783</v>
      </c>
      <c r="N906" s="107" t="str">
        <f>VLOOKUP(M906,[1]character_tribe_i18n!A:C,3,FALSE)</f>
        <v>サンリオキャラクターズ</v>
      </c>
      <c r="O906" s="105" t="s">
        <v>278</v>
      </c>
      <c r="P906" s="107" t="str">
        <f>VLOOKUP(O906,[1]character_tribe_i18n!A:C,3,FALSE)</f>
        <v>種族なし</v>
      </c>
      <c r="Q906" s="110" t="s">
        <v>279</v>
      </c>
      <c r="R906" s="111">
        <v>3</v>
      </c>
      <c r="S906" s="108" t="s">
        <v>280</v>
      </c>
      <c r="T906" s="108" t="s">
        <v>281</v>
      </c>
      <c r="U906" s="108" t="s">
        <v>2797</v>
      </c>
      <c r="V906" s="108" t="s">
        <v>280</v>
      </c>
      <c r="W906" s="108" t="s">
        <v>280</v>
      </c>
    </row>
    <row r="907" spans="1:23" ht="21" customHeight="1" x14ac:dyDescent="0.15">
      <c r="A907" s="104">
        <f t="shared" si="14"/>
        <v>906</v>
      </c>
      <c r="B907" s="155" t="s">
        <v>268</v>
      </c>
      <c r="C907" s="159" t="s">
        <v>2798</v>
      </c>
      <c r="D907" s="157" t="s">
        <v>2796</v>
      </c>
      <c r="E907" s="108" t="s">
        <v>709</v>
      </c>
      <c r="F907" s="108" t="s">
        <v>532</v>
      </c>
      <c r="G907" s="108" t="s">
        <v>710</v>
      </c>
      <c r="H907" s="131" t="s">
        <v>274</v>
      </c>
      <c r="I907" s="140">
        <v>5</v>
      </c>
      <c r="J907" s="109" t="s">
        <v>516</v>
      </c>
      <c r="K907" s="105" t="s">
        <v>967</v>
      </c>
      <c r="L907" s="107" t="str">
        <f ca="1">VLOOKUP($K907,OFFSET([1]character_type_i18n!$A$1,0,0,COUNTA([1]character_type_i18n!$A:$A),MATCH(L$1,[1]character_type_i18n!$1:$1,0)-MATCH($K$1,[1]character_type_i18n!$1:$1,0)+1),MATCH(L$1,[1]character_type_i18n!$1:$1,0)-MATCH($K$1,[1]character_type_i18n!$1:$1,0)+1,FALSE)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07" s="105" t="s">
        <v>2783</v>
      </c>
      <c r="N907" s="107" t="str">
        <f>VLOOKUP(M907,[1]character_tribe_i18n!A:C,3,FALSE)</f>
        <v>サンリオキャラクターズ</v>
      </c>
      <c r="O907" s="105" t="s">
        <v>278</v>
      </c>
      <c r="P907" s="107" t="str">
        <f>VLOOKUP(O907,[1]character_tribe_i18n!A:C,3,FALSE)</f>
        <v>種族なし</v>
      </c>
      <c r="Q907" s="110" t="s">
        <v>279</v>
      </c>
      <c r="R907" s="111">
        <v>3</v>
      </c>
      <c r="S907" s="108" t="s">
        <v>280</v>
      </c>
      <c r="T907" s="108" t="s">
        <v>281</v>
      </c>
      <c r="U907" s="108" t="s">
        <v>2797</v>
      </c>
      <c r="V907" s="108" t="s">
        <v>280</v>
      </c>
      <c r="W907" s="108" t="s">
        <v>280</v>
      </c>
    </row>
    <row r="908" spans="1:23" ht="21" customHeight="1" x14ac:dyDescent="0.15">
      <c r="A908" s="104">
        <f t="shared" si="14"/>
        <v>907</v>
      </c>
      <c r="B908" s="155" t="s">
        <v>268</v>
      </c>
      <c r="C908" s="158" t="s">
        <v>2799</v>
      </c>
      <c r="D908" s="157" t="s">
        <v>2800</v>
      </c>
      <c r="E908" s="108" t="s">
        <v>709</v>
      </c>
      <c r="F908" s="108" t="s">
        <v>532</v>
      </c>
      <c r="G908" s="108" t="s">
        <v>710</v>
      </c>
      <c r="H908" s="131" t="s">
        <v>274</v>
      </c>
      <c r="I908" s="140">
        <v>5</v>
      </c>
      <c r="J908" s="109" t="s">
        <v>516</v>
      </c>
      <c r="K908" s="160" t="s">
        <v>2801</v>
      </c>
      <c r="L908" s="107" t="str">
        <f ca="1">VLOOKUP($K908,OFFSET([1]character_type_i18n!$A$1,0,0,COUNTA([1]character_type_i18n!$A:$A),MATCH(L$1,[1]character_type_i18n!$1:$1,0)-MATCH($K$1,[1]character_type_i18n!$1:$1,0)+1),MATCH(L$1,[1]character_type_i18n!$1:$1,0)-MATCH($K$1,[1]character_type_i18n!$1:$1,0)+1,FALSE)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908" s="105" t="s">
        <v>2783</v>
      </c>
      <c r="N908" s="107" t="str">
        <f>VLOOKUP(M908,[1]character_tribe_i18n!A:C,3,FALSE)</f>
        <v>サンリオキャラクターズ</v>
      </c>
      <c r="O908" s="105" t="s">
        <v>278</v>
      </c>
      <c r="P908" s="107" t="str">
        <f>VLOOKUP(O908,[1]character_tribe_i18n!A:C,3,FALSE)</f>
        <v>種族なし</v>
      </c>
      <c r="Q908" s="110" t="s">
        <v>279</v>
      </c>
      <c r="R908" s="111">
        <v>3</v>
      </c>
      <c r="S908" s="108" t="s">
        <v>280</v>
      </c>
      <c r="T908" s="108" t="s">
        <v>281</v>
      </c>
      <c r="U908" s="108" t="s">
        <v>2802</v>
      </c>
      <c r="V908" s="108" t="s">
        <v>280</v>
      </c>
      <c r="W908" s="108" t="s">
        <v>280</v>
      </c>
    </row>
    <row r="909" spans="1:23" ht="21" customHeight="1" x14ac:dyDescent="0.15">
      <c r="A909" s="104">
        <f t="shared" si="14"/>
        <v>908</v>
      </c>
      <c r="B909" s="155" t="s">
        <v>268</v>
      </c>
      <c r="C909" s="158" t="s">
        <v>2803</v>
      </c>
      <c r="D909" s="157" t="s">
        <v>2804</v>
      </c>
      <c r="E909" s="108" t="s">
        <v>709</v>
      </c>
      <c r="F909" s="108" t="s">
        <v>532</v>
      </c>
      <c r="G909" s="108" t="s">
        <v>710</v>
      </c>
      <c r="H909" s="131" t="s">
        <v>274</v>
      </c>
      <c r="I909" s="140">
        <v>4</v>
      </c>
      <c r="J909" s="109" t="s">
        <v>516</v>
      </c>
      <c r="K909" s="160" t="s">
        <v>2801</v>
      </c>
      <c r="L909" s="107" t="str">
        <f ca="1">VLOOKUP($K909,OFFSET([1]character_type_i18n!$A$1,0,0,COUNTA([1]character_type_i18n!$A:$A),MATCH(L$1,[1]character_type_i18n!$1:$1,0)-MATCH($K$1,[1]character_type_i18n!$1:$1,0)+1),MATCH(L$1,[1]character_type_i18n!$1:$1,0)-MATCH($K$1,[1]character_type_i18n!$1:$1,0)+1,FALSE)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909" s="105" t="s">
        <v>2783</v>
      </c>
      <c r="N909" s="107" t="str">
        <f>VLOOKUP(M909,[1]character_tribe_i18n!A:C,3,FALSE)</f>
        <v>サンリオキャラクターズ</v>
      </c>
      <c r="O909" s="105" t="s">
        <v>278</v>
      </c>
      <c r="P909" s="107" t="str">
        <f>VLOOKUP(O909,[1]character_tribe_i18n!A:C,3,FALSE)</f>
        <v>種族なし</v>
      </c>
      <c r="Q909" s="110" t="s">
        <v>279</v>
      </c>
      <c r="R909" s="111">
        <v>3</v>
      </c>
      <c r="S909" s="108" t="s">
        <v>280</v>
      </c>
      <c r="T909" s="108" t="s">
        <v>281</v>
      </c>
      <c r="U909" s="108" t="s">
        <v>2793</v>
      </c>
      <c r="V909" s="108" t="s">
        <v>280</v>
      </c>
      <c r="W909" s="108" t="s">
        <v>280</v>
      </c>
    </row>
    <row r="910" spans="1:23" ht="21" customHeight="1" x14ac:dyDescent="0.15">
      <c r="A910" s="104">
        <f t="shared" si="14"/>
        <v>909</v>
      </c>
      <c r="B910" s="155" t="s">
        <v>268</v>
      </c>
      <c r="C910" s="158" t="s">
        <v>2805</v>
      </c>
      <c r="D910" s="157" t="s">
        <v>2806</v>
      </c>
      <c r="E910" s="108" t="s">
        <v>709</v>
      </c>
      <c r="F910" s="108" t="s">
        <v>532</v>
      </c>
      <c r="G910" s="108" t="s">
        <v>710</v>
      </c>
      <c r="H910" s="131" t="s">
        <v>274</v>
      </c>
      <c r="I910" s="140">
        <v>5</v>
      </c>
      <c r="J910" s="109" t="s">
        <v>1001</v>
      </c>
      <c r="K910" s="105" t="s">
        <v>1008</v>
      </c>
      <c r="L910" s="107" t="str">
        <f ca="1">VLOOKUP($K910,OFFSET([1]character_type_i18n!$A$1,0,0,COUNTA([1]character_type_i18n!$A:$A),MATCH(L$1,[1]character_type_i18n!$1:$1,0)-MATCH($K$1,[1]character_type_i18n!$1:$1,0)+1),MATCH(L$1,[1]character_type_i18n!$1:$1,0)-MATCH($K$1,[1]character_type_i18n!$1:$1,0)+1,FALSE)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0" s="105" t="s">
        <v>2783</v>
      </c>
      <c r="N910" s="107" t="str">
        <f>VLOOKUP(M910,[1]character_tribe_i18n!A:C,3,FALSE)</f>
        <v>サンリオキャラクターズ</v>
      </c>
      <c r="O910" s="105" t="s">
        <v>278</v>
      </c>
      <c r="P910" s="107" t="str">
        <f>VLOOKUP(O910,[1]character_tribe_i18n!A:C,3,FALSE)</f>
        <v>種族なし</v>
      </c>
      <c r="Q910" s="110" t="s">
        <v>279</v>
      </c>
      <c r="R910" s="111">
        <v>3</v>
      </c>
      <c r="S910" s="108" t="s">
        <v>280</v>
      </c>
      <c r="T910" s="108" t="s">
        <v>281</v>
      </c>
      <c r="U910" s="108" t="s">
        <v>2793</v>
      </c>
      <c r="V910" s="108" t="s">
        <v>280</v>
      </c>
      <c r="W910" s="108" t="s">
        <v>280</v>
      </c>
    </row>
    <row r="911" spans="1:23" ht="21" customHeight="1" x14ac:dyDescent="0.15">
      <c r="A911" s="104">
        <f t="shared" si="14"/>
        <v>910</v>
      </c>
      <c r="B911" s="155" t="s">
        <v>268</v>
      </c>
      <c r="C911" s="158" t="s">
        <v>2807</v>
      </c>
      <c r="D911" s="157" t="s">
        <v>2806</v>
      </c>
      <c r="E911" s="108" t="s">
        <v>709</v>
      </c>
      <c r="F911" s="108" t="s">
        <v>532</v>
      </c>
      <c r="G911" s="108" t="s">
        <v>710</v>
      </c>
      <c r="H911" s="131" t="s">
        <v>274</v>
      </c>
      <c r="I911" s="140">
        <v>6</v>
      </c>
      <c r="J911" s="109" t="s">
        <v>1001</v>
      </c>
      <c r="K911" s="105" t="s">
        <v>1008</v>
      </c>
      <c r="L911" s="107" t="str">
        <f ca="1">VLOOKUP($K911,OFFSET([1]character_type_i18n!$A$1,0,0,COUNTA([1]character_type_i18n!$A:$A),MATCH(L$1,[1]character_type_i18n!$1:$1,0)-MATCH($K$1,[1]character_type_i18n!$1:$1,0)+1),MATCH(L$1,[1]character_type_i18n!$1:$1,0)-MATCH($K$1,[1]character_type_i18n!$1:$1,0)+1,FALSE)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1" s="105" t="s">
        <v>2783</v>
      </c>
      <c r="N911" s="107" t="str">
        <f>VLOOKUP(M911,[1]character_tribe_i18n!A:C,3,FALSE)</f>
        <v>サンリオキャラクターズ</v>
      </c>
      <c r="O911" s="105" t="s">
        <v>278</v>
      </c>
      <c r="P911" s="107" t="str">
        <f>VLOOKUP(O911,[1]character_tribe_i18n!A:C,3,FALSE)</f>
        <v>種族なし</v>
      </c>
      <c r="Q911" s="110" t="s">
        <v>279</v>
      </c>
      <c r="R911" s="111">
        <v>3</v>
      </c>
      <c r="S911" s="108" t="s">
        <v>280</v>
      </c>
      <c r="T911" s="108" t="s">
        <v>281</v>
      </c>
      <c r="U911" s="108" t="s">
        <v>2793</v>
      </c>
      <c r="V911" s="108" t="s">
        <v>280</v>
      </c>
      <c r="W911" s="108" t="s">
        <v>280</v>
      </c>
    </row>
    <row r="912" spans="1:23" ht="21" customHeight="1" x14ac:dyDescent="0.15">
      <c r="A912" s="104">
        <f t="shared" si="14"/>
        <v>911</v>
      </c>
      <c r="B912" s="155" t="s">
        <v>268</v>
      </c>
      <c r="C912" s="158" t="s">
        <v>2808</v>
      </c>
      <c r="D912" s="157" t="s">
        <v>2809</v>
      </c>
      <c r="E912" s="108" t="s">
        <v>709</v>
      </c>
      <c r="F912" s="108" t="s">
        <v>532</v>
      </c>
      <c r="G912" s="108" t="s">
        <v>710</v>
      </c>
      <c r="H912" s="131" t="s">
        <v>274</v>
      </c>
      <c r="I912" s="140">
        <v>4</v>
      </c>
      <c r="J912" s="109" t="s">
        <v>2367</v>
      </c>
      <c r="K912" s="105" t="s">
        <v>1005</v>
      </c>
      <c r="L912" s="107" t="str">
        <f ca="1">VLOOKUP($K912,OFFSET([1]character_type_i18n!$A$1,0,0,COUNTA([1]character_type_i18n!$A:$A),MATCH(L$1,[1]character_type_i18n!$1:$1,0)-MATCH($K$1,[1]character_type_i18n!$1:$1,0)+1),MATCH(L$1,[1]character_type_i18n!$1:$1,0)-MATCH($K$1,[1]character_type_i18n!$1:$1,0)+1,FALSE)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12" s="105" t="s">
        <v>2783</v>
      </c>
      <c r="N912" s="107" t="str">
        <f>VLOOKUP(M912,[1]character_tribe_i18n!A:C,3,FALSE)</f>
        <v>サンリオキャラクターズ</v>
      </c>
      <c r="O912" s="105" t="s">
        <v>278</v>
      </c>
      <c r="P912" s="107" t="str">
        <f>VLOOKUP(O912,[1]character_tribe_i18n!A:C,3,FALSE)</f>
        <v>種族なし</v>
      </c>
      <c r="Q912" s="110" t="s">
        <v>279</v>
      </c>
      <c r="R912" s="111">
        <v>3</v>
      </c>
      <c r="S912" s="108" t="s">
        <v>280</v>
      </c>
      <c r="T912" s="108" t="s">
        <v>281</v>
      </c>
      <c r="U912" s="108" t="s">
        <v>2793</v>
      </c>
      <c r="V912" s="108" t="s">
        <v>280</v>
      </c>
      <c r="W912" s="108" t="s">
        <v>280</v>
      </c>
    </row>
    <row r="913" spans="1:23" ht="21" customHeight="1" x14ac:dyDescent="0.15">
      <c r="A913" s="104">
        <f t="shared" si="14"/>
        <v>912</v>
      </c>
      <c r="B913" s="155" t="s">
        <v>268</v>
      </c>
      <c r="C913" s="159" t="s">
        <v>2810</v>
      </c>
      <c r="D913" s="157" t="s">
        <v>2809</v>
      </c>
      <c r="E913" s="108" t="s">
        <v>709</v>
      </c>
      <c r="F913" s="108" t="s">
        <v>532</v>
      </c>
      <c r="G913" s="108" t="s">
        <v>710</v>
      </c>
      <c r="H913" s="131" t="s">
        <v>274</v>
      </c>
      <c r="I913" s="140">
        <v>5</v>
      </c>
      <c r="J913" s="109" t="s">
        <v>2367</v>
      </c>
      <c r="K913" s="105" t="s">
        <v>1005</v>
      </c>
      <c r="L913" s="107" t="str">
        <f ca="1">VLOOKUP($K913,OFFSET([1]character_type_i18n!$A$1,0,0,COUNTA([1]character_type_i18n!$A:$A),MATCH(L$1,[1]character_type_i18n!$1:$1,0)-MATCH($K$1,[1]character_type_i18n!$1:$1,0)+1),MATCH(L$1,[1]character_type_i18n!$1:$1,0)-MATCH($K$1,[1]character_type_i18n!$1:$1,0)+1,FALSE)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13" s="105" t="s">
        <v>2783</v>
      </c>
      <c r="N913" s="107" t="str">
        <f>VLOOKUP(M913,[1]character_tribe_i18n!A:C,3,FALSE)</f>
        <v>サンリオキャラクターズ</v>
      </c>
      <c r="O913" s="105" t="s">
        <v>278</v>
      </c>
      <c r="P913" s="107" t="str">
        <f>VLOOKUP(O913,[1]character_tribe_i18n!A:C,3,FALSE)</f>
        <v>種族なし</v>
      </c>
      <c r="Q913" s="110" t="s">
        <v>279</v>
      </c>
      <c r="R913" s="111">
        <v>3</v>
      </c>
      <c r="S913" s="108" t="s">
        <v>280</v>
      </c>
      <c r="T913" s="108" t="s">
        <v>281</v>
      </c>
      <c r="U913" s="108" t="s">
        <v>2793</v>
      </c>
      <c r="V913" s="108" t="s">
        <v>280</v>
      </c>
      <c r="W913" s="108" t="s">
        <v>280</v>
      </c>
    </row>
    <row r="914" spans="1:23" ht="21" customHeight="1" x14ac:dyDescent="0.15">
      <c r="A914" s="104">
        <f t="shared" si="14"/>
        <v>913</v>
      </c>
      <c r="B914" s="155" t="s">
        <v>268</v>
      </c>
      <c r="C914" s="158" t="s">
        <v>2811</v>
      </c>
      <c r="D914" s="157" t="s">
        <v>2812</v>
      </c>
      <c r="E914" s="108" t="s">
        <v>709</v>
      </c>
      <c r="F914" s="108" t="s">
        <v>532</v>
      </c>
      <c r="G914" s="108" t="s">
        <v>710</v>
      </c>
      <c r="H914" s="131" t="s">
        <v>614</v>
      </c>
      <c r="I914" s="140">
        <v>4</v>
      </c>
      <c r="J914" s="109" t="s">
        <v>2367</v>
      </c>
      <c r="K914" s="161" t="s">
        <v>2813</v>
      </c>
      <c r="L914" s="107" t="str">
        <f ca="1">VLOOKUP($K914,OFFSET([1]character_type_i18n!$A$1,0,0,COUNTA([1]character_type_i18n!$A:$A),MATCH(L$1,[1]character_type_i18n!$1:$1,0)-MATCH($K$1,[1]character_type_i18n!$1:$1,0)+1),MATCH(L$1,[1]character_type_i18n!$1:$1,0)-MATCH($K$1,[1]character_type_i18n!$1:$1,0)+1,FALSE)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4" s="105" t="s">
        <v>2783</v>
      </c>
      <c r="N914" s="107" t="str">
        <f>VLOOKUP(M914,[1]character_tribe_i18n!A:C,3,FALSE)</f>
        <v>サンリオキャラクターズ</v>
      </c>
      <c r="O914" s="105" t="s">
        <v>278</v>
      </c>
      <c r="P914" s="107" t="str">
        <f>VLOOKUP(O914,[1]character_tribe_i18n!A:C,3,FALSE)</f>
        <v>種族なし</v>
      </c>
      <c r="Q914" s="110" t="s">
        <v>279</v>
      </c>
      <c r="R914" s="111">
        <v>3</v>
      </c>
      <c r="S914" s="108" t="s">
        <v>280</v>
      </c>
      <c r="T914" s="108" t="s">
        <v>281</v>
      </c>
      <c r="U914" s="108" t="s">
        <v>2814</v>
      </c>
      <c r="V914" s="108" t="s">
        <v>280</v>
      </c>
      <c r="W914" s="108" t="s">
        <v>280</v>
      </c>
    </row>
    <row r="915" spans="1:23" ht="21" customHeight="1" x14ac:dyDescent="0.15">
      <c r="A915" s="104">
        <f t="shared" si="14"/>
        <v>914</v>
      </c>
      <c r="B915" s="155" t="s">
        <v>268</v>
      </c>
      <c r="C915" s="156" t="s">
        <v>2815</v>
      </c>
      <c r="D915" s="157" t="s">
        <v>2812</v>
      </c>
      <c r="E915" s="108" t="s">
        <v>709</v>
      </c>
      <c r="F915" s="108" t="s">
        <v>532</v>
      </c>
      <c r="G915" s="108" t="s">
        <v>710</v>
      </c>
      <c r="H915" s="131" t="s">
        <v>614</v>
      </c>
      <c r="I915" s="140">
        <v>5</v>
      </c>
      <c r="J915" s="109" t="s">
        <v>2816</v>
      </c>
      <c r="K915" s="161" t="s">
        <v>2817</v>
      </c>
      <c r="L915" s="107" t="str">
        <f ca="1">VLOOKUP($K915,OFFSET([1]character_type_i18n!$A$1,0,0,COUNTA([1]character_type_i18n!$A:$A),MATCH(L$1,[1]character_type_i18n!$1:$1,0)-MATCH($K$1,[1]character_type_i18n!$1:$1,0)+1),MATCH(L$1,[1]character_type_i18n!$1:$1,0)-MATCH($K$1,[1]character_type_i18n!$1:$1,0)+1,FALSE)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5" s="105" t="s">
        <v>2783</v>
      </c>
      <c r="N915" s="107" t="str">
        <f>VLOOKUP(M915,[1]character_tribe_i18n!A:C,3,FALSE)</f>
        <v>サンリオキャラクターズ</v>
      </c>
      <c r="O915" s="105" t="s">
        <v>278</v>
      </c>
      <c r="P915" s="107" t="str">
        <f>VLOOKUP(O915,[1]character_tribe_i18n!A:C,3,FALSE)</f>
        <v>種族なし</v>
      </c>
      <c r="Q915" s="110" t="s">
        <v>279</v>
      </c>
      <c r="R915" s="111">
        <v>3</v>
      </c>
      <c r="S915" s="108" t="s">
        <v>280</v>
      </c>
      <c r="T915" s="108" t="s">
        <v>281</v>
      </c>
      <c r="U915" s="108" t="s">
        <v>2814</v>
      </c>
      <c r="V915" s="108" t="s">
        <v>280</v>
      </c>
      <c r="W915" s="108" t="s">
        <v>280</v>
      </c>
    </row>
    <row r="916" spans="1:23" ht="21" customHeight="1" x14ac:dyDescent="0.15">
      <c r="A916" s="104">
        <f t="shared" si="14"/>
        <v>915</v>
      </c>
      <c r="B916" s="155" t="s">
        <v>268</v>
      </c>
      <c r="C916" s="156" t="s">
        <v>2818</v>
      </c>
      <c r="D916" s="157" t="s">
        <v>2819</v>
      </c>
      <c r="E916" s="108" t="s">
        <v>2820</v>
      </c>
      <c r="F916" s="108" t="s">
        <v>2821</v>
      </c>
      <c r="G916" s="108" t="s">
        <v>2822</v>
      </c>
      <c r="H916" s="131" t="s">
        <v>2823</v>
      </c>
      <c r="I916" s="140">
        <v>4</v>
      </c>
      <c r="J916" s="109" t="s">
        <v>2824</v>
      </c>
      <c r="K916" s="161" t="s">
        <v>2825</v>
      </c>
      <c r="L916" s="107" t="str">
        <f ca="1">VLOOKUP($K916,OFFSET([1]character_type_i18n!$A$1,0,0,COUNTA([1]character_type_i18n!$A:$A),MATCH(L$1,[1]character_type_i18n!$1:$1,0)-MATCH($K$1,[1]character_type_i18n!$1:$1,0)+1),MATCH(L$1,[1]character_type_i18n!$1:$1,0)-MATCH($K$1,[1]character_type_i18n!$1:$1,0)+1,FALSE)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16" s="105" t="s">
        <v>2783</v>
      </c>
      <c r="N916" s="107" t="str">
        <f>VLOOKUP(M916,[1]character_tribe_i18n!A:C,3,FALSE)</f>
        <v>サンリオキャラクターズ</v>
      </c>
      <c r="O916" s="105" t="s">
        <v>278</v>
      </c>
      <c r="P916" s="107" t="str">
        <f>VLOOKUP(O916,[1]character_tribe_i18n!A:C,3,FALSE)</f>
        <v>種族なし</v>
      </c>
      <c r="Q916" s="110" t="s">
        <v>279</v>
      </c>
      <c r="R916" s="111">
        <v>3</v>
      </c>
      <c r="S916" s="108" t="s">
        <v>280</v>
      </c>
      <c r="T916" s="108" t="s">
        <v>281</v>
      </c>
      <c r="U916" s="108" t="s">
        <v>2793</v>
      </c>
      <c r="V916" s="108" t="s">
        <v>280</v>
      </c>
      <c r="W916" s="108" t="s">
        <v>280</v>
      </c>
    </row>
    <row r="917" spans="1:23" ht="21" customHeight="1" x14ac:dyDescent="0.15">
      <c r="A917" s="104">
        <f t="shared" si="14"/>
        <v>916</v>
      </c>
      <c r="B917" s="155" t="s">
        <v>268</v>
      </c>
      <c r="C917" s="156" t="s">
        <v>2826</v>
      </c>
      <c r="D917" s="157" t="s">
        <v>2819</v>
      </c>
      <c r="E917" s="108" t="s">
        <v>1576</v>
      </c>
      <c r="F917" s="108" t="s">
        <v>1577</v>
      </c>
      <c r="G917" s="108" t="s">
        <v>1578</v>
      </c>
      <c r="H917" s="131" t="s">
        <v>1686</v>
      </c>
      <c r="I917" s="140">
        <v>5</v>
      </c>
      <c r="J917" s="109" t="s">
        <v>2827</v>
      </c>
      <c r="K917" s="161" t="s">
        <v>2825</v>
      </c>
      <c r="L917" s="107" t="str">
        <f ca="1">VLOOKUP($K917,OFFSET([1]character_type_i18n!$A$1,0,0,COUNTA([1]character_type_i18n!$A:$A),MATCH(L$1,[1]character_type_i18n!$1:$1,0)-MATCH($K$1,[1]character_type_i18n!$1:$1,0)+1),MATCH(L$1,[1]character_type_i18n!$1:$1,0)-MATCH($K$1,[1]character_type_i18n!$1:$1,0)+1,FALSE)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17" s="105" t="s">
        <v>2783</v>
      </c>
      <c r="N917" s="107" t="str">
        <f>VLOOKUP(M917,[1]character_tribe_i18n!A:C,3,FALSE)</f>
        <v>サンリオキャラクターズ</v>
      </c>
      <c r="O917" s="105" t="s">
        <v>278</v>
      </c>
      <c r="P917" s="107" t="str">
        <f>VLOOKUP(O917,[1]character_tribe_i18n!A:C,3,FALSE)</f>
        <v>種族なし</v>
      </c>
      <c r="Q917" s="110" t="s">
        <v>279</v>
      </c>
      <c r="R917" s="111">
        <v>3</v>
      </c>
      <c r="S917" s="108" t="s">
        <v>280</v>
      </c>
      <c r="T917" s="108" t="s">
        <v>281</v>
      </c>
      <c r="U917" s="108" t="s">
        <v>2793</v>
      </c>
      <c r="V917" s="108" t="s">
        <v>280</v>
      </c>
      <c r="W917" s="108" t="s">
        <v>280</v>
      </c>
    </row>
    <row r="918" spans="1:23" ht="21" customHeight="1" x14ac:dyDescent="0.15">
      <c r="A918" s="104">
        <f t="shared" si="14"/>
        <v>917</v>
      </c>
      <c r="B918" s="155" t="s">
        <v>268</v>
      </c>
      <c r="C918" s="156" t="s">
        <v>2828</v>
      </c>
      <c r="D918" s="157" t="s">
        <v>2829</v>
      </c>
      <c r="E918" s="108" t="s">
        <v>709</v>
      </c>
      <c r="F918" s="108" t="s">
        <v>532</v>
      </c>
      <c r="G918" s="108" t="s">
        <v>710</v>
      </c>
      <c r="H918" s="131" t="s">
        <v>614</v>
      </c>
      <c r="I918" s="140">
        <v>3</v>
      </c>
      <c r="J918" s="109" t="s">
        <v>2367</v>
      </c>
      <c r="K918" s="161" t="s">
        <v>2813</v>
      </c>
      <c r="L918" s="107" t="str">
        <f ca="1">VLOOKUP($K918,OFFSET([1]character_type_i18n!$A$1,0,0,COUNTA([1]character_type_i18n!$A:$A),MATCH(L$1,[1]character_type_i18n!$1:$1,0)-MATCH($K$1,[1]character_type_i18n!$1:$1,0)+1),MATCH(L$1,[1]character_type_i18n!$1:$1,0)-MATCH($K$1,[1]character_type_i18n!$1:$1,0)+1,FALSE)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8" s="105" t="s">
        <v>2783</v>
      </c>
      <c r="N918" s="107" t="str">
        <f>VLOOKUP(M918,[1]character_tribe_i18n!A:C,3,FALSE)</f>
        <v>サンリオキャラクターズ</v>
      </c>
      <c r="O918" s="105" t="s">
        <v>278</v>
      </c>
      <c r="P918" s="107" t="str">
        <f>VLOOKUP(O918,[1]character_tribe_i18n!A:C,3,FALSE)</f>
        <v>種族なし</v>
      </c>
      <c r="Q918" s="110" t="s">
        <v>279</v>
      </c>
      <c r="R918" s="111">
        <v>3</v>
      </c>
      <c r="S918" s="108" t="s">
        <v>280</v>
      </c>
      <c r="T918" s="108" t="s">
        <v>281</v>
      </c>
      <c r="U918" s="108" t="s">
        <v>2830</v>
      </c>
      <c r="V918" s="108" t="s">
        <v>280</v>
      </c>
      <c r="W918" s="108" t="s">
        <v>280</v>
      </c>
    </row>
    <row r="919" spans="1:23" ht="21" customHeight="1" x14ac:dyDescent="0.15">
      <c r="A919" s="104">
        <f t="shared" si="14"/>
        <v>918</v>
      </c>
      <c r="B919" s="155" t="s">
        <v>268</v>
      </c>
      <c r="C919" s="162" t="s">
        <v>2831</v>
      </c>
      <c r="D919" s="157" t="s">
        <v>2829</v>
      </c>
      <c r="E919" s="108" t="s">
        <v>709</v>
      </c>
      <c r="F919" s="108" t="s">
        <v>532</v>
      </c>
      <c r="G919" s="108" t="s">
        <v>710</v>
      </c>
      <c r="H919" s="131" t="s">
        <v>614</v>
      </c>
      <c r="I919" s="140">
        <v>4</v>
      </c>
      <c r="J919" s="109" t="s">
        <v>2367</v>
      </c>
      <c r="K919" s="161" t="s">
        <v>2813</v>
      </c>
      <c r="L919" s="107" t="str">
        <f ca="1">VLOOKUP($K919,OFFSET([1]character_type_i18n!$A$1,0,0,COUNTA([1]character_type_i18n!$A:$A),MATCH(L$1,[1]character_type_i18n!$1:$1,0)-MATCH($K$1,[1]character_type_i18n!$1:$1,0)+1),MATCH(L$1,[1]character_type_i18n!$1:$1,0)-MATCH($K$1,[1]character_type_i18n!$1:$1,0)+1,FALSE)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9" s="105" t="s">
        <v>2783</v>
      </c>
      <c r="N919" s="107" t="str">
        <f>VLOOKUP(M919,[1]character_tribe_i18n!A:C,3,FALSE)</f>
        <v>サンリオキャラクターズ</v>
      </c>
      <c r="O919" s="105" t="s">
        <v>278</v>
      </c>
      <c r="P919" s="107" t="str">
        <f>VLOOKUP(O919,[1]character_tribe_i18n!A:C,3,FALSE)</f>
        <v>種族なし</v>
      </c>
      <c r="Q919" s="110" t="s">
        <v>279</v>
      </c>
      <c r="R919" s="111">
        <v>3</v>
      </c>
      <c r="S919" s="108" t="s">
        <v>280</v>
      </c>
      <c r="T919" s="108" t="s">
        <v>281</v>
      </c>
      <c r="U919" s="108" t="s">
        <v>2830</v>
      </c>
      <c r="V919" s="108" t="s">
        <v>280</v>
      </c>
      <c r="W919" s="108" t="s">
        <v>280</v>
      </c>
    </row>
    <row r="920" spans="1:23" ht="21" customHeight="1" x14ac:dyDescent="0.15">
      <c r="A920" s="104">
        <f t="shared" si="14"/>
        <v>919</v>
      </c>
      <c r="B920" s="155" t="s">
        <v>292</v>
      </c>
      <c r="C920" s="162" t="s">
        <v>2832</v>
      </c>
      <c r="D920" s="157" t="s">
        <v>2833</v>
      </c>
      <c r="E920" s="108" t="s">
        <v>848</v>
      </c>
      <c r="F920" s="108" t="s">
        <v>1422</v>
      </c>
      <c r="G920" s="108" t="s">
        <v>1587</v>
      </c>
      <c r="H920" s="131" t="s">
        <v>295</v>
      </c>
      <c r="I920" s="140">
        <v>5</v>
      </c>
      <c r="J920" s="109" t="s">
        <v>2083</v>
      </c>
      <c r="K920" s="161" t="s">
        <v>2834</v>
      </c>
      <c r="L920" s="107" t="str">
        <f ca="1">VLOOKUP($K920,OFFSET([1]character_type_i18n!$A$1,0,0,COUNTA([1]character_type_i18n!$A:$A),MATCH(L$1,[1]character_type_i18n!$1:$1,0)-MATCH($K$1,[1]character_type_i18n!$1:$1,0)+1),MATCH(L$1,[1]character_type_i18n!$1:$1,0)-MATCH($K$1,[1]character_type_i18n!$1:$1,0)+1,FALSE)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920" s="105" t="s">
        <v>2783</v>
      </c>
      <c r="N920" s="107" t="str">
        <f>VLOOKUP(M920,[1]character_tribe_i18n!A:C,3,FALSE)</f>
        <v>サンリオキャラクターズ</v>
      </c>
      <c r="O920" s="105" t="s">
        <v>278</v>
      </c>
      <c r="P920" s="107" t="str">
        <f>VLOOKUP(O920,[1]character_tribe_i18n!A:C,3,FALSE)</f>
        <v>種族なし</v>
      </c>
      <c r="Q920" s="110" t="s">
        <v>279</v>
      </c>
      <c r="R920" s="111">
        <v>3</v>
      </c>
      <c r="S920" s="108" t="s">
        <v>280</v>
      </c>
      <c r="T920" s="108" t="s">
        <v>281</v>
      </c>
      <c r="U920" s="108" t="s">
        <v>2835</v>
      </c>
      <c r="V920" s="108" t="s">
        <v>280</v>
      </c>
      <c r="W920" s="108" t="s">
        <v>280</v>
      </c>
    </row>
    <row r="921" spans="1:23" ht="21" customHeight="1" x14ac:dyDescent="0.15">
      <c r="A921" s="104">
        <f t="shared" si="14"/>
        <v>920</v>
      </c>
      <c r="B921" s="155" t="s">
        <v>268</v>
      </c>
      <c r="C921" s="162" t="s">
        <v>2836</v>
      </c>
      <c r="D921" s="157" t="s">
        <v>2837</v>
      </c>
      <c r="E921" s="108" t="s">
        <v>709</v>
      </c>
      <c r="F921" s="108" t="s">
        <v>532</v>
      </c>
      <c r="G921" s="108" t="s">
        <v>710</v>
      </c>
      <c r="H921" s="131" t="s">
        <v>295</v>
      </c>
      <c r="I921" s="140">
        <v>6</v>
      </c>
      <c r="J921" s="109" t="s">
        <v>1001</v>
      </c>
      <c r="K921" s="161" t="s">
        <v>2838</v>
      </c>
      <c r="L921" s="107" t="str">
        <f ca="1">VLOOKUP($K921,OFFSET([1]character_type_i18n!$A$1,0,0,COUNTA([1]character_type_i18n!$A:$A),MATCH(L$1,[1]character_type_i18n!$1:$1,0)-MATCH($K$1,[1]character_type_i18n!$1:$1,0)+1),MATCH(L$1,[1]character_type_i18n!$1:$1,0)-MATCH($K$1,[1]character_type_i18n!$1:$1,0)+1,FALSE)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921" s="105" t="s">
        <v>2783</v>
      </c>
      <c r="N921" s="107" t="str">
        <f>VLOOKUP(M921,[1]character_tribe_i18n!A:C,3,FALSE)</f>
        <v>サンリオキャラクターズ</v>
      </c>
      <c r="O921" s="105" t="s">
        <v>278</v>
      </c>
      <c r="P921" s="107" t="str">
        <f>VLOOKUP(O921,[1]character_tribe_i18n!A:C,3,FALSE)</f>
        <v>種族なし</v>
      </c>
      <c r="Q921" s="110" t="s">
        <v>2652</v>
      </c>
      <c r="R921" s="111">
        <v>3</v>
      </c>
      <c r="S921" s="108" t="s">
        <v>2642</v>
      </c>
      <c r="T921" s="108" t="s">
        <v>281</v>
      </c>
      <c r="U921" s="108" t="s">
        <v>2839</v>
      </c>
      <c r="V921" s="108" t="s">
        <v>911</v>
      </c>
      <c r="W921" s="108" t="s">
        <v>289</v>
      </c>
    </row>
    <row r="922" spans="1:23" ht="21" customHeight="1" x14ac:dyDescent="0.15">
      <c r="A922" s="104">
        <f t="shared" si="14"/>
        <v>921</v>
      </c>
      <c r="B922" s="155" t="s">
        <v>268</v>
      </c>
      <c r="C922" s="156" t="s">
        <v>2840</v>
      </c>
      <c r="D922" s="157" t="s">
        <v>2841</v>
      </c>
      <c r="E922" s="108" t="s">
        <v>709</v>
      </c>
      <c r="F922" s="108" t="s">
        <v>532</v>
      </c>
      <c r="G922" s="108" t="s">
        <v>710</v>
      </c>
      <c r="H922" s="131" t="s">
        <v>295</v>
      </c>
      <c r="I922" s="140">
        <v>3</v>
      </c>
      <c r="J922" s="109" t="s">
        <v>2367</v>
      </c>
      <c r="K922" s="161" t="s">
        <v>2842</v>
      </c>
      <c r="L922" s="107" t="str">
        <f ca="1">VLOOKUP($K922,OFFSET([1]character_type_i18n!$A$1,0,0,COUNTA([1]character_type_i18n!$A:$A),MATCH(L$1,[1]character_type_i18n!$1:$1,0)-MATCH($K$1,[1]character_type_i18n!$1:$1,0)+1),MATCH(L$1,[1]character_type_i18n!$1:$1,0)-MATCH($K$1,[1]character_type_i18n!$1:$1,0)+1,FALSE)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22" s="105" t="s">
        <v>2783</v>
      </c>
      <c r="N922" s="107" t="str">
        <f>VLOOKUP(M922,[1]character_tribe_i18n!A:C,3,FALSE)</f>
        <v>サンリオキャラクターズ</v>
      </c>
      <c r="O922" s="105" t="s">
        <v>278</v>
      </c>
      <c r="P922" s="107" t="str">
        <f>VLOOKUP(O922,[1]character_tribe_i18n!A:C,3,FALSE)</f>
        <v>種族なし</v>
      </c>
      <c r="Q922" s="110" t="s">
        <v>362</v>
      </c>
      <c r="R922" s="111">
        <v>3</v>
      </c>
      <c r="S922" s="108" t="s">
        <v>289</v>
      </c>
      <c r="T922" s="108" t="s">
        <v>288</v>
      </c>
      <c r="U922" s="108" t="s">
        <v>2843</v>
      </c>
      <c r="V922" s="108" t="s">
        <v>289</v>
      </c>
      <c r="W922" s="108" t="s">
        <v>289</v>
      </c>
    </row>
    <row r="923" spans="1:23" ht="21" customHeight="1" x14ac:dyDescent="0.15">
      <c r="A923" s="104">
        <f t="shared" si="14"/>
        <v>922</v>
      </c>
      <c r="B923" s="155" t="s">
        <v>292</v>
      </c>
      <c r="C923" s="162" t="s">
        <v>2844</v>
      </c>
      <c r="D923" s="157" t="s">
        <v>2845</v>
      </c>
      <c r="E923" s="108" t="s">
        <v>848</v>
      </c>
      <c r="F923" s="108" t="s">
        <v>1422</v>
      </c>
      <c r="G923" s="108" t="s">
        <v>1587</v>
      </c>
      <c r="H923" s="131" t="s">
        <v>295</v>
      </c>
      <c r="I923" s="140">
        <v>4</v>
      </c>
      <c r="J923" s="109" t="s">
        <v>2846</v>
      </c>
      <c r="K923" s="161" t="s">
        <v>2842</v>
      </c>
      <c r="L923" s="107" t="str">
        <f ca="1">VLOOKUP($K923,OFFSET([1]character_type_i18n!$A$1,0,0,COUNTA([1]character_type_i18n!$A:$A),MATCH(L$1,[1]character_type_i18n!$1:$1,0)-MATCH($K$1,[1]character_type_i18n!$1:$1,0)+1),MATCH(L$1,[1]character_type_i18n!$1:$1,0)-MATCH($K$1,[1]character_type_i18n!$1:$1,0)+1,FALSE)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23" s="105" t="s">
        <v>2847</v>
      </c>
      <c r="N923" s="107" t="str">
        <f>VLOOKUP(M923,[1]character_tribe_i18n!A:C,3,FALSE)</f>
        <v>サンリオキャラクターズ</v>
      </c>
      <c r="O923" s="105" t="s">
        <v>278</v>
      </c>
      <c r="P923" s="107" t="str">
        <f>VLOOKUP(O923,[1]character_tribe_i18n!A:C,3,FALSE)</f>
        <v>種族なし</v>
      </c>
      <c r="Q923" s="110" t="s">
        <v>279</v>
      </c>
      <c r="R923" s="111">
        <v>3</v>
      </c>
      <c r="S923" s="108" t="s">
        <v>280</v>
      </c>
      <c r="T923" s="108" t="s">
        <v>281</v>
      </c>
      <c r="U923" s="108" t="s">
        <v>2848</v>
      </c>
      <c r="V923" s="108" t="s">
        <v>280</v>
      </c>
      <c r="W923" s="108" t="s">
        <v>280</v>
      </c>
    </row>
    <row r="924" spans="1:23" ht="21" customHeight="1" x14ac:dyDescent="0.15">
      <c r="A924" s="104">
        <f t="shared" si="14"/>
        <v>923</v>
      </c>
      <c r="B924" s="155" t="s">
        <v>292</v>
      </c>
      <c r="C924" s="156" t="s">
        <v>2849</v>
      </c>
      <c r="D924" s="157" t="s">
        <v>2850</v>
      </c>
      <c r="E924" s="108" t="s">
        <v>848</v>
      </c>
      <c r="F924" s="108" t="s">
        <v>1422</v>
      </c>
      <c r="G924" s="108" t="s">
        <v>1587</v>
      </c>
      <c r="H924" s="131" t="s">
        <v>295</v>
      </c>
      <c r="I924" s="140">
        <v>3</v>
      </c>
      <c r="J924" s="109" t="s">
        <v>2846</v>
      </c>
      <c r="K924" s="161" t="s">
        <v>2851</v>
      </c>
      <c r="L924" s="107" t="str">
        <f ca="1">VLOOKUP($K924,OFFSET([1]character_type_i18n!$A$1,0,0,COUNTA([1]character_type_i18n!$A:$A),MATCH(L$1,[1]character_type_i18n!$1:$1,0)-MATCH($K$1,[1]character_type_i18n!$1:$1,0)+1),MATCH(L$1,[1]character_type_i18n!$1:$1,0)-MATCH($K$1,[1]character_type_i18n!$1:$1,0)+1,FALSE)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24" s="105" t="s">
        <v>2783</v>
      </c>
      <c r="N924" s="107" t="str">
        <f>VLOOKUP(M924,[1]character_tribe_i18n!A:C,3,FALSE)</f>
        <v>サンリオキャラクターズ</v>
      </c>
      <c r="O924" s="105" t="s">
        <v>278</v>
      </c>
      <c r="P924" s="107" t="str">
        <f>VLOOKUP(O924,[1]character_tribe_i18n!A:C,3,FALSE)</f>
        <v>種族なし</v>
      </c>
      <c r="Q924" s="110" t="s">
        <v>279</v>
      </c>
      <c r="R924" s="111">
        <v>3</v>
      </c>
      <c r="S924" s="108" t="s">
        <v>280</v>
      </c>
      <c r="T924" s="108" t="s">
        <v>281</v>
      </c>
      <c r="U924" s="108" t="s">
        <v>2852</v>
      </c>
      <c r="V924" s="108" t="s">
        <v>280</v>
      </c>
      <c r="W924" s="108" t="s">
        <v>280</v>
      </c>
    </row>
    <row r="925" spans="1:23" ht="21" customHeight="1" x14ac:dyDescent="0.15">
      <c r="A925" s="104">
        <f t="shared" si="14"/>
        <v>924</v>
      </c>
      <c r="B925" s="155" t="s">
        <v>268</v>
      </c>
      <c r="C925" s="162" t="s">
        <v>2853</v>
      </c>
      <c r="D925" s="157" t="s">
        <v>2850</v>
      </c>
      <c r="E925" s="108" t="s">
        <v>709</v>
      </c>
      <c r="F925" s="108" t="s">
        <v>532</v>
      </c>
      <c r="G925" s="108" t="s">
        <v>710</v>
      </c>
      <c r="H925" s="131" t="s">
        <v>295</v>
      </c>
      <c r="I925" s="140">
        <v>4</v>
      </c>
      <c r="J925" s="109" t="s">
        <v>2367</v>
      </c>
      <c r="K925" s="161" t="s">
        <v>2854</v>
      </c>
      <c r="L925" s="107" t="str">
        <f ca="1">VLOOKUP($K925,OFFSET([1]character_type_i18n!$A$1,0,0,COUNTA([1]character_type_i18n!$A:$A),MATCH(L$1,[1]character_type_i18n!$1:$1,0)-MATCH($K$1,[1]character_type_i18n!$1:$1,0)+1),MATCH(L$1,[1]character_type_i18n!$1:$1,0)-MATCH($K$1,[1]character_type_i18n!$1:$1,0)+1,FALSE)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25" s="105" t="s">
        <v>2847</v>
      </c>
      <c r="N925" s="107" t="str">
        <f>VLOOKUP(M925,[1]character_tribe_i18n!A:C,3,FALSE)</f>
        <v>サンリオキャラクターズ</v>
      </c>
      <c r="O925" s="105" t="s">
        <v>278</v>
      </c>
      <c r="P925" s="107" t="str">
        <f>VLOOKUP(O925,[1]character_tribe_i18n!A:C,3,FALSE)</f>
        <v>種族なし</v>
      </c>
      <c r="Q925" s="110" t="s">
        <v>362</v>
      </c>
      <c r="R925" s="111">
        <v>3</v>
      </c>
      <c r="S925" s="108" t="s">
        <v>289</v>
      </c>
      <c r="T925" s="108" t="s">
        <v>288</v>
      </c>
      <c r="U925" s="108" t="s">
        <v>2855</v>
      </c>
      <c r="V925" s="108" t="s">
        <v>289</v>
      </c>
      <c r="W925" s="108" t="s">
        <v>289</v>
      </c>
    </row>
    <row r="926" spans="1:23" ht="21" customHeight="1" x14ac:dyDescent="0.15">
      <c r="A926" s="104">
        <f t="shared" si="14"/>
        <v>925</v>
      </c>
      <c r="B926" s="155" t="s">
        <v>268</v>
      </c>
      <c r="C926" s="158" t="s">
        <v>2856</v>
      </c>
      <c r="D926" s="157" t="s">
        <v>2856</v>
      </c>
      <c r="E926" s="108" t="s">
        <v>709</v>
      </c>
      <c r="F926" s="108" t="s">
        <v>532</v>
      </c>
      <c r="G926" s="108" t="s">
        <v>710</v>
      </c>
      <c r="H926" s="131" t="s">
        <v>300</v>
      </c>
      <c r="I926" s="140">
        <v>4</v>
      </c>
      <c r="J926" s="109" t="s">
        <v>2367</v>
      </c>
      <c r="K926" s="161" t="s">
        <v>2838</v>
      </c>
      <c r="L926" s="107" t="str">
        <f ca="1">VLOOKUP($K926,OFFSET([1]character_type_i18n!$A$1,0,0,COUNTA([1]character_type_i18n!$A:$A),MATCH(L$1,[1]character_type_i18n!$1:$1,0)-MATCH($K$1,[1]character_type_i18n!$1:$1,0)+1),MATCH(L$1,[1]character_type_i18n!$1:$1,0)-MATCH($K$1,[1]character_type_i18n!$1:$1,0)+1,FALSE)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926" s="105" t="s">
        <v>2783</v>
      </c>
      <c r="N926" s="107" t="str">
        <f>VLOOKUP(M926,[1]character_tribe_i18n!A:C,3,FALSE)</f>
        <v>サンリオキャラクターズ</v>
      </c>
      <c r="O926" s="105" t="s">
        <v>278</v>
      </c>
      <c r="P926" s="107" t="str">
        <f>VLOOKUP(O926,[1]character_tribe_i18n!A:C,3,FALSE)</f>
        <v>種族なし</v>
      </c>
      <c r="Q926" s="110" t="s">
        <v>362</v>
      </c>
      <c r="R926" s="111">
        <v>3</v>
      </c>
      <c r="S926" s="108" t="s">
        <v>289</v>
      </c>
      <c r="T926" s="108" t="s">
        <v>288</v>
      </c>
      <c r="U926" s="108" t="s">
        <v>2857</v>
      </c>
      <c r="V926" s="108" t="s">
        <v>289</v>
      </c>
      <c r="W926" s="108" t="s">
        <v>289</v>
      </c>
    </row>
    <row r="927" spans="1:23" ht="21" customHeight="1" x14ac:dyDescent="0.15">
      <c r="A927" s="104">
        <f t="shared" si="14"/>
        <v>926</v>
      </c>
      <c r="B927" s="155" t="s">
        <v>292</v>
      </c>
      <c r="C927" s="163" t="s">
        <v>2858</v>
      </c>
      <c r="D927" s="157" t="s">
        <v>2859</v>
      </c>
      <c r="E927" s="108" t="s">
        <v>2860</v>
      </c>
      <c r="F927" s="108" t="s">
        <v>1422</v>
      </c>
      <c r="G927" s="108" t="s">
        <v>1587</v>
      </c>
      <c r="H927" s="131" t="s">
        <v>300</v>
      </c>
      <c r="I927" s="140">
        <v>5</v>
      </c>
      <c r="J927" s="109" t="s">
        <v>2743</v>
      </c>
      <c r="K927" s="161" t="s">
        <v>2838</v>
      </c>
      <c r="L927" s="107" t="str">
        <f ca="1">VLOOKUP($K927,OFFSET([1]character_type_i18n!$A$1,0,0,COUNTA([1]character_type_i18n!$A:$A),MATCH(L$1,[1]character_type_i18n!$1:$1,0)-MATCH($K$1,[1]character_type_i18n!$1:$1,0)+1),MATCH(L$1,[1]character_type_i18n!$1:$1,0)-MATCH($K$1,[1]character_type_i18n!$1:$1,0)+1,FALSE)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927" s="105" t="s">
        <v>2847</v>
      </c>
      <c r="N927" s="107" t="str">
        <f>VLOOKUP(M927,[1]character_tribe_i18n!A:C,3,FALSE)</f>
        <v>サンリオキャラクターズ</v>
      </c>
      <c r="O927" s="105" t="s">
        <v>278</v>
      </c>
      <c r="P927" s="107" t="str">
        <f>VLOOKUP(O927,[1]character_tribe_i18n!A:C,3,FALSE)</f>
        <v>種族なし</v>
      </c>
      <c r="Q927" s="110" t="s">
        <v>279</v>
      </c>
      <c r="R927" s="111">
        <v>3</v>
      </c>
      <c r="S927" s="108" t="s">
        <v>280</v>
      </c>
      <c r="T927" s="108" t="s">
        <v>281</v>
      </c>
      <c r="U927" s="108" t="s">
        <v>2814</v>
      </c>
      <c r="V927" s="108" t="s">
        <v>280</v>
      </c>
      <c r="W927" s="108" t="s">
        <v>280</v>
      </c>
    </row>
    <row r="928" spans="1:23" ht="21" customHeight="1" x14ac:dyDescent="0.15">
      <c r="A928" s="104">
        <f t="shared" si="14"/>
        <v>927</v>
      </c>
      <c r="B928" s="155" t="s">
        <v>292</v>
      </c>
      <c r="C928" s="156" t="s">
        <v>2861</v>
      </c>
      <c r="D928" s="157" t="s">
        <v>2862</v>
      </c>
      <c r="E928" s="108" t="s">
        <v>848</v>
      </c>
      <c r="F928" s="108" t="s">
        <v>1422</v>
      </c>
      <c r="G928" s="108" t="s">
        <v>1587</v>
      </c>
      <c r="H928" s="131" t="s">
        <v>300</v>
      </c>
      <c r="I928" s="140">
        <v>3</v>
      </c>
      <c r="J928" s="109" t="s">
        <v>2846</v>
      </c>
      <c r="K928" s="161" t="s">
        <v>2863</v>
      </c>
      <c r="L928" s="107" t="str">
        <f ca="1">VLOOKUP($K928,OFFSET([1]character_type_i18n!$A$1,0,0,COUNTA([1]character_type_i18n!$A:$A),MATCH(L$1,[1]character_type_i18n!$1:$1,0)-MATCH($K$1,[1]character_type_i18n!$1:$1,0)+1),MATCH(L$1,[1]character_type_i18n!$1:$1,0)-MATCH($K$1,[1]character_type_i18n!$1:$1,0)+1,FALSE)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28" s="105" t="s">
        <v>2783</v>
      </c>
      <c r="N928" s="107" t="str">
        <f>VLOOKUP(M928,[1]character_tribe_i18n!A:C,3,FALSE)</f>
        <v>サンリオキャラクターズ</v>
      </c>
      <c r="O928" s="105" t="s">
        <v>278</v>
      </c>
      <c r="P928" s="107" t="str">
        <f>VLOOKUP(O928,[1]character_tribe_i18n!A:C,3,FALSE)</f>
        <v>種族なし</v>
      </c>
      <c r="Q928" s="110" t="s">
        <v>362</v>
      </c>
      <c r="R928" s="111">
        <v>3</v>
      </c>
      <c r="S928" s="108" t="s">
        <v>289</v>
      </c>
      <c r="T928" s="108" t="s">
        <v>288</v>
      </c>
      <c r="U928" s="108" t="s">
        <v>2839</v>
      </c>
      <c r="V928" s="108" t="s">
        <v>289</v>
      </c>
      <c r="W928" s="108" t="s">
        <v>289</v>
      </c>
    </row>
    <row r="929" spans="1:23" ht="21" customHeight="1" x14ac:dyDescent="0.15">
      <c r="A929" s="104">
        <f t="shared" si="14"/>
        <v>928</v>
      </c>
      <c r="B929" s="155" t="s">
        <v>292</v>
      </c>
      <c r="C929" s="162" t="s">
        <v>2864</v>
      </c>
      <c r="D929" s="157" t="s">
        <v>2862</v>
      </c>
      <c r="E929" s="108" t="s">
        <v>848</v>
      </c>
      <c r="F929" s="108" t="s">
        <v>1422</v>
      </c>
      <c r="G929" s="108" t="s">
        <v>1587</v>
      </c>
      <c r="H929" s="131" t="s">
        <v>300</v>
      </c>
      <c r="I929" s="140">
        <v>4</v>
      </c>
      <c r="J929" s="109" t="s">
        <v>2846</v>
      </c>
      <c r="K929" s="161" t="s">
        <v>2863</v>
      </c>
      <c r="L929" s="107" t="str">
        <f ca="1">VLOOKUP($K929,OFFSET([1]character_type_i18n!$A$1,0,0,COUNTA([1]character_type_i18n!$A:$A),MATCH(L$1,[1]character_type_i18n!$1:$1,0)-MATCH($K$1,[1]character_type_i18n!$1:$1,0)+1),MATCH(L$1,[1]character_type_i18n!$1:$1,0)-MATCH($K$1,[1]character_type_i18n!$1:$1,0)+1,FALSE)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29" s="105" t="s">
        <v>2783</v>
      </c>
      <c r="N929" s="107" t="str">
        <f>VLOOKUP(M929,[1]character_tribe_i18n!A:C,3,FALSE)</f>
        <v>サンリオキャラクターズ</v>
      </c>
      <c r="O929" s="105" t="s">
        <v>278</v>
      </c>
      <c r="P929" s="107" t="str">
        <f>VLOOKUP(O929,[1]character_tribe_i18n!A:C,3,FALSE)</f>
        <v>種族なし</v>
      </c>
      <c r="Q929" s="110" t="s">
        <v>362</v>
      </c>
      <c r="R929" s="111">
        <v>3</v>
      </c>
      <c r="S929" s="108" t="s">
        <v>289</v>
      </c>
      <c r="T929" s="108" t="s">
        <v>288</v>
      </c>
      <c r="U929" s="108" t="s">
        <v>2839</v>
      </c>
      <c r="V929" s="108" t="s">
        <v>289</v>
      </c>
      <c r="W929" s="108" t="s">
        <v>289</v>
      </c>
    </row>
    <row r="930" spans="1:23" ht="21" customHeight="1" x14ac:dyDescent="0.15">
      <c r="A930" s="104">
        <f t="shared" si="14"/>
        <v>929</v>
      </c>
      <c r="B930" s="155" t="s">
        <v>268</v>
      </c>
      <c r="C930" s="164" t="s">
        <v>2865</v>
      </c>
      <c r="D930" s="165" t="s">
        <v>2866</v>
      </c>
      <c r="E930" s="108" t="s">
        <v>709</v>
      </c>
      <c r="F930" s="108" t="s">
        <v>532</v>
      </c>
      <c r="G930" s="108" t="s">
        <v>710</v>
      </c>
      <c r="H930" s="131" t="s">
        <v>300</v>
      </c>
      <c r="I930" s="140">
        <v>5</v>
      </c>
      <c r="J930" s="109" t="s">
        <v>2265</v>
      </c>
      <c r="K930" s="105" t="s">
        <v>1008</v>
      </c>
      <c r="L930" s="107" t="str">
        <f ca="1">VLOOKUP($K930,OFFSET([1]character_type_i18n!$A$1,0,0,COUNTA([1]character_type_i18n!$A:$A),MATCH(L$1,[1]character_type_i18n!$1:$1,0)-MATCH($K$1,[1]character_type_i18n!$1:$1,0)+1),MATCH(L$1,[1]character_type_i18n!$1:$1,0)-MATCH($K$1,[1]character_type_i18n!$1:$1,0)+1,FALSE)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0" s="105" t="s">
        <v>1872</v>
      </c>
      <c r="N930" s="107" t="str">
        <f>VLOOKUP(M930,[1]character_tribe_i18n!A:C,3,FALSE)</f>
        <v>ゴッド</v>
      </c>
      <c r="O930" s="105" t="s">
        <v>278</v>
      </c>
      <c r="P930" s="107" t="str">
        <f>VLOOKUP(O930,[1]character_tribe_i18n!A:C,3,FALSE)</f>
        <v>種族なし</v>
      </c>
      <c r="Q930" s="110" t="s">
        <v>362</v>
      </c>
      <c r="R930" s="111">
        <v>3</v>
      </c>
      <c r="S930" s="108" t="s">
        <v>289</v>
      </c>
      <c r="T930" s="108" t="s">
        <v>288</v>
      </c>
      <c r="U930" s="108" t="s">
        <v>289</v>
      </c>
      <c r="V930" s="108" t="s">
        <v>289</v>
      </c>
      <c r="W930" s="108" t="s">
        <v>289</v>
      </c>
    </row>
    <row r="931" spans="1:23" ht="21" customHeight="1" x14ac:dyDescent="0.15">
      <c r="A931" s="104">
        <f t="shared" si="14"/>
        <v>930</v>
      </c>
      <c r="B931" s="105" t="s">
        <v>292</v>
      </c>
      <c r="C931" s="154" t="s">
        <v>2867</v>
      </c>
      <c r="D931" s="107" t="s">
        <v>2868</v>
      </c>
      <c r="E931" s="108" t="s">
        <v>709</v>
      </c>
      <c r="F931" s="108" t="s">
        <v>532</v>
      </c>
      <c r="G931" s="108" t="s">
        <v>710</v>
      </c>
      <c r="H931" s="131" t="s">
        <v>300</v>
      </c>
      <c r="I931" s="140">
        <v>6</v>
      </c>
      <c r="J931" s="109" t="s">
        <v>2265</v>
      </c>
      <c r="K931" s="105" t="s">
        <v>1008</v>
      </c>
      <c r="L931" s="107" t="str">
        <f ca="1">VLOOKUP($K931,OFFSET([1]character_type_i18n!$A$1,0,0,COUNTA([1]character_type_i18n!$A:$A),MATCH(L$1,[1]character_type_i18n!$1:$1,0)-MATCH($K$1,[1]character_type_i18n!$1:$1,0)+1),MATCH(L$1,[1]character_type_i18n!$1:$1,0)-MATCH($K$1,[1]character_type_i18n!$1:$1,0)+1,FALSE)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1" s="105" t="s">
        <v>1872</v>
      </c>
      <c r="N931" s="107" t="str">
        <f>VLOOKUP(M931,[1]character_tribe_i18n!A:C,3,FALSE)</f>
        <v>ゴッド</v>
      </c>
      <c r="O931" s="105" t="s">
        <v>278</v>
      </c>
      <c r="P931" s="107" t="str">
        <f>VLOOKUP(O931,[1]character_tribe_i18n!A:C,3,FALSE)</f>
        <v>種族なし</v>
      </c>
      <c r="Q931" s="110" t="s">
        <v>362</v>
      </c>
      <c r="R931" s="111">
        <v>3</v>
      </c>
      <c r="S931" s="108" t="s">
        <v>289</v>
      </c>
      <c r="T931" s="108" t="s">
        <v>288</v>
      </c>
      <c r="U931" s="108" t="s">
        <v>289</v>
      </c>
      <c r="V931" s="108" t="s">
        <v>289</v>
      </c>
      <c r="W931" s="108" t="s">
        <v>289</v>
      </c>
    </row>
    <row r="932" spans="1:23" ht="21" customHeight="1" x14ac:dyDescent="0.15">
      <c r="A932" s="104">
        <f t="shared" si="14"/>
        <v>931</v>
      </c>
      <c r="B932" s="105" t="s">
        <v>292</v>
      </c>
      <c r="C932" s="154" t="s">
        <v>2869</v>
      </c>
      <c r="D932" s="107" t="s">
        <v>2870</v>
      </c>
      <c r="E932" s="108" t="s">
        <v>848</v>
      </c>
      <c r="F932" s="108" t="s">
        <v>1422</v>
      </c>
      <c r="G932" s="108" t="s">
        <v>1587</v>
      </c>
      <c r="H932" s="131" t="s">
        <v>1890</v>
      </c>
      <c r="I932" s="140">
        <v>4</v>
      </c>
      <c r="J932" s="109" t="s">
        <v>2244</v>
      </c>
      <c r="K932" s="161" t="s">
        <v>2842</v>
      </c>
      <c r="L932" s="107" t="str">
        <f ca="1">VLOOKUP($K932,OFFSET([1]character_type_i18n!$A$1,0,0,COUNTA([1]character_type_i18n!$A:$A),MATCH(L$1,[1]character_type_i18n!$1:$1,0)-MATCH($K$1,[1]character_type_i18n!$1:$1,0)+1),MATCH(L$1,[1]character_type_i18n!$1:$1,0)-MATCH($K$1,[1]character_type_i18n!$1:$1,0)+1,FALSE)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32" s="105" t="s">
        <v>1394</v>
      </c>
      <c r="N932" s="107" t="str">
        <f>VLOOKUP(M932,[1]character_tribe_i18n!A:C,3,FALSE)</f>
        <v>ヒューマン</v>
      </c>
      <c r="O932" s="105" t="s">
        <v>1017</v>
      </c>
      <c r="P932" s="107" t="str">
        <f>VLOOKUP(O932,[1]character_tribe_i18n!A:C,3,FALSE)</f>
        <v>マシン</v>
      </c>
      <c r="Q932" s="110" t="s">
        <v>362</v>
      </c>
      <c r="R932" s="111">
        <v>3</v>
      </c>
      <c r="S932" s="108" t="s">
        <v>289</v>
      </c>
      <c r="T932" s="108" t="s">
        <v>288</v>
      </c>
      <c r="U932" s="108" t="s">
        <v>289</v>
      </c>
      <c r="V932" s="108" t="s">
        <v>289</v>
      </c>
      <c r="W932" s="108" t="s">
        <v>289</v>
      </c>
    </row>
    <row r="933" spans="1:23" ht="21" customHeight="1" x14ac:dyDescent="0.15">
      <c r="A933" s="104">
        <f t="shared" si="14"/>
        <v>932</v>
      </c>
      <c r="B933" s="105" t="s">
        <v>292</v>
      </c>
      <c r="C933" s="154" t="s">
        <v>2871</v>
      </c>
      <c r="D933" s="107" t="s">
        <v>2872</v>
      </c>
      <c r="E933" s="108" t="s">
        <v>848</v>
      </c>
      <c r="F933" s="108" t="s">
        <v>1422</v>
      </c>
      <c r="G933" s="108" t="s">
        <v>1587</v>
      </c>
      <c r="H933" s="131" t="s">
        <v>1890</v>
      </c>
      <c r="I933" s="140">
        <v>5</v>
      </c>
      <c r="J933" s="109" t="s">
        <v>2244</v>
      </c>
      <c r="K933" s="161" t="s">
        <v>2842</v>
      </c>
      <c r="L933" s="107" t="str">
        <f ca="1">VLOOKUP($K933,OFFSET([1]character_type_i18n!$A$1,0,0,COUNTA([1]character_type_i18n!$A:$A),MATCH(L$1,[1]character_type_i18n!$1:$1,0)-MATCH($K$1,[1]character_type_i18n!$1:$1,0)+1),MATCH(L$1,[1]character_type_i18n!$1:$1,0)-MATCH($K$1,[1]character_type_i18n!$1:$1,0)+1,FALSE)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33" s="105" t="s">
        <v>1394</v>
      </c>
      <c r="N933" s="107" t="str">
        <f>VLOOKUP(M933,[1]character_tribe_i18n!A:C,3,FALSE)</f>
        <v>ヒューマン</v>
      </c>
      <c r="O933" s="105" t="s">
        <v>1017</v>
      </c>
      <c r="P933" s="107" t="str">
        <f>VLOOKUP(O933,[1]character_tribe_i18n!A:C,3,FALSE)</f>
        <v>マシン</v>
      </c>
      <c r="Q933" s="110" t="s">
        <v>362</v>
      </c>
      <c r="R933" s="111">
        <v>3</v>
      </c>
      <c r="S933" s="108" t="s">
        <v>289</v>
      </c>
      <c r="T933" s="108" t="s">
        <v>288</v>
      </c>
      <c r="U933" s="108" t="s">
        <v>289</v>
      </c>
      <c r="V933" s="108" t="s">
        <v>289</v>
      </c>
      <c r="W933" s="108" t="s">
        <v>289</v>
      </c>
    </row>
    <row r="934" spans="1:23" ht="21" customHeight="1" x14ac:dyDescent="0.15">
      <c r="A934" s="104">
        <f t="shared" si="14"/>
        <v>933</v>
      </c>
      <c r="B934" s="105" t="s">
        <v>292</v>
      </c>
      <c r="C934" s="154" t="s">
        <v>2873</v>
      </c>
      <c r="D934" s="107" t="s">
        <v>2874</v>
      </c>
      <c r="E934" s="108" t="s">
        <v>848</v>
      </c>
      <c r="F934" s="108" t="s">
        <v>1422</v>
      </c>
      <c r="G934" s="108" t="s">
        <v>1587</v>
      </c>
      <c r="H934" s="131" t="s">
        <v>300</v>
      </c>
      <c r="I934" s="140">
        <v>4</v>
      </c>
      <c r="J934" s="109" t="s">
        <v>2244</v>
      </c>
      <c r="K934" s="105" t="s">
        <v>2716</v>
      </c>
      <c r="L934" s="107" t="str">
        <f ca="1">VLOOKUP($K934,OFFSET([1]character_type_i18n!$A$1,0,0,COUNTA([1]character_type_i18n!$A:$A),MATCH(L$1,[1]character_type_i18n!$1:$1,0)-MATCH($K$1,[1]character_type_i18n!$1:$1,0)+1),MATCH(L$1,[1]character_type_i18n!$1:$1,0)-MATCH($K$1,[1]character_type_i18n!$1:$1,0)+1,FALSE)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34" s="105" t="s">
        <v>1164</v>
      </c>
      <c r="N934" s="107" t="str">
        <f>VLOOKUP(M934,[1]character_tribe_i18n!A:C,3,FALSE)</f>
        <v>Unknown</v>
      </c>
      <c r="O934" s="105" t="s">
        <v>278</v>
      </c>
      <c r="P934" s="107" t="str">
        <f>VLOOKUP(O934,[1]character_tribe_i18n!A:C,3,FALSE)</f>
        <v>種族なし</v>
      </c>
      <c r="Q934" s="110" t="s">
        <v>279</v>
      </c>
      <c r="R934" s="111">
        <v>3</v>
      </c>
      <c r="S934" s="108" t="s">
        <v>280</v>
      </c>
      <c r="T934" s="108" t="s">
        <v>281</v>
      </c>
      <c r="U934" s="108" t="s">
        <v>280</v>
      </c>
      <c r="V934" s="108" t="s">
        <v>280</v>
      </c>
      <c r="W934" s="108" t="s">
        <v>280</v>
      </c>
    </row>
    <row r="935" spans="1:23" ht="21" customHeight="1" x14ac:dyDescent="0.15">
      <c r="A935" s="104">
        <f t="shared" si="14"/>
        <v>934</v>
      </c>
      <c r="B935" s="105" t="s">
        <v>268</v>
      </c>
      <c r="C935" s="154" t="s">
        <v>2875</v>
      </c>
      <c r="D935" s="107" t="s">
        <v>2876</v>
      </c>
      <c r="E935" s="108" t="s">
        <v>709</v>
      </c>
      <c r="F935" s="108" t="s">
        <v>532</v>
      </c>
      <c r="G935" s="108" t="s">
        <v>710</v>
      </c>
      <c r="H935" s="131" t="s">
        <v>300</v>
      </c>
      <c r="I935" s="140">
        <v>5</v>
      </c>
      <c r="J935" s="109" t="s">
        <v>1372</v>
      </c>
      <c r="K935" s="105" t="s">
        <v>1005</v>
      </c>
      <c r="L935" s="107" t="str">
        <f ca="1">VLOOKUP($K935,OFFSET([1]character_type_i18n!$A$1,0,0,COUNTA([1]character_type_i18n!$A:$A),MATCH(L$1,[1]character_type_i18n!$1:$1,0)-MATCH($K$1,[1]character_type_i18n!$1:$1,0)+1),MATCH(L$1,[1]character_type_i18n!$1:$1,0)-MATCH($K$1,[1]character_type_i18n!$1:$1,0)+1,FALSE)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35" s="105" t="s">
        <v>1413</v>
      </c>
      <c r="N935" s="107" t="str">
        <f>VLOOKUP(M935,[1]character_tribe_i18n!A:C,3,FALSE)</f>
        <v>Unknown</v>
      </c>
      <c r="O935" s="105" t="s">
        <v>278</v>
      </c>
      <c r="P935" s="107" t="str">
        <f>VLOOKUP(O935,[1]character_tribe_i18n!A:C,3,FALSE)</f>
        <v>種族なし</v>
      </c>
      <c r="Q935" s="110" t="s">
        <v>362</v>
      </c>
      <c r="R935" s="111">
        <v>3</v>
      </c>
      <c r="S935" s="108" t="s">
        <v>289</v>
      </c>
      <c r="T935" s="108" t="s">
        <v>288</v>
      </c>
      <c r="U935" s="108" t="s">
        <v>289</v>
      </c>
      <c r="V935" s="108" t="s">
        <v>289</v>
      </c>
      <c r="W935" s="108" t="s">
        <v>289</v>
      </c>
    </row>
    <row r="936" spans="1:23" ht="21" customHeight="1" x14ac:dyDescent="0.15">
      <c r="A936" s="104">
        <f t="shared" si="14"/>
        <v>935</v>
      </c>
      <c r="B936" s="105" t="s">
        <v>292</v>
      </c>
      <c r="C936" s="166" t="s">
        <v>2877</v>
      </c>
      <c r="D936" s="107" t="s">
        <v>2878</v>
      </c>
      <c r="E936" s="108" t="s">
        <v>848</v>
      </c>
      <c r="F936" s="108" t="s">
        <v>1422</v>
      </c>
      <c r="G936" s="108" t="s">
        <v>1587</v>
      </c>
      <c r="H936" s="131" t="s">
        <v>274</v>
      </c>
      <c r="I936" s="140">
        <v>5</v>
      </c>
      <c r="J936" s="109" t="s">
        <v>1859</v>
      </c>
      <c r="K936" s="105" t="s">
        <v>2084</v>
      </c>
      <c r="L936" s="107" t="str">
        <f ca="1">VLOOKUP($K936,OFFSET([1]character_type_i18n!$A$1,0,0,COUNTA([1]character_type_i18n!$A:$A),MATCH(L$1,[1]character_type_i18n!$1:$1,0)-MATCH($K$1,[1]character_type_i18n!$1:$1,0)+1),MATCH(L$1,[1]character_type_i18n!$1:$1,0)-MATCH($K$1,[1]character_type_i18n!$1:$1,0)+1,FALSE)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6" s="105" t="s">
        <v>1011</v>
      </c>
      <c r="N936" s="107" t="str">
        <f>VLOOKUP(M936,[1]character_tribe_i18n!A:C,3,FALSE)</f>
        <v>ヒューマン</v>
      </c>
      <c r="O936" s="105" t="s">
        <v>278</v>
      </c>
      <c r="P936" s="107" t="str">
        <f>VLOOKUP(O936,[1]character_tribe_i18n!A:C,3,FALSE)</f>
        <v>種族なし</v>
      </c>
      <c r="Q936" s="110" t="s">
        <v>279</v>
      </c>
      <c r="R936" s="111">
        <v>3</v>
      </c>
      <c r="S936" s="108" t="s">
        <v>280</v>
      </c>
      <c r="T936" s="108" t="s">
        <v>281</v>
      </c>
      <c r="U936" s="108" t="s">
        <v>280</v>
      </c>
      <c r="V936" s="108" t="s">
        <v>280</v>
      </c>
      <c r="W936" s="108" t="s">
        <v>280</v>
      </c>
    </row>
    <row r="937" spans="1:23" ht="21" customHeight="1" x14ac:dyDescent="0.15">
      <c r="A937" s="104">
        <f t="shared" si="14"/>
        <v>936</v>
      </c>
      <c r="B937" s="105" t="s">
        <v>268</v>
      </c>
      <c r="C937" s="166" t="s">
        <v>2879</v>
      </c>
      <c r="D937" s="107" t="s">
        <v>2880</v>
      </c>
      <c r="E937" s="108" t="s">
        <v>709</v>
      </c>
      <c r="F937" s="108" t="s">
        <v>532</v>
      </c>
      <c r="G937" s="108" t="s">
        <v>710</v>
      </c>
      <c r="H937" s="131" t="s">
        <v>274</v>
      </c>
      <c r="I937" s="140">
        <v>6</v>
      </c>
      <c r="J937" s="109" t="s">
        <v>1504</v>
      </c>
      <c r="K937" s="105" t="s">
        <v>1008</v>
      </c>
      <c r="L937" s="107" t="str">
        <f ca="1">VLOOKUP($K937,OFFSET([1]character_type_i18n!$A$1,0,0,COUNTA([1]character_type_i18n!$A:$A),MATCH(L$1,[1]character_type_i18n!$1:$1,0)-MATCH($K$1,[1]character_type_i18n!$1:$1,0)+1),MATCH(L$1,[1]character_type_i18n!$1:$1,0)-MATCH($K$1,[1]character_type_i18n!$1:$1,0)+1,FALSE)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7" s="105" t="s">
        <v>1011</v>
      </c>
      <c r="N937" s="107" t="str">
        <f>VLOOKUP(M937,[1]character_tribe_i18n!A:C,3,FALSE)</f>
        <v>ヒューマン</v>
      </c>
      <c r="O937" s="105" t="s">
        <v>278</v>
      </c>
      <c r="P937" s="107" t="str">
        <f>VLOOKUP(O937,[1]character_tribe_i18n!A:C,3,FALSE)</f>
        <v>種族なし</v>
      </c>
      <c r="Q937" s="110" t="s">
        <v>279</v>
      </c>
      <c r="R937" s="111">
        <v>3</v>
      </c>
      <c r="S937" s="108" t="s">
        <v>280</v>
      </c>
      <c r="T937" s="108" t="s">
        <v>281</v>
      </c>
      <c r="U937" s="108" t="s">
        <v>280</v>
      </c>
      <c r="V937" s="108" t="s">
        <v>280</v>
      </c>
      <c r="W937" s="108" t="s">
        <v>280</v>
      </c>
    </row>
    <row r="938" spans="1:23" ht="21" customHeight="1" x14ac:dyDescent="0.15">
      <c r="A938" s="104">
        <f t="shared" si="14"/>
        <v>937</v>
      </c>
      <c r="B938" s="105" t="s">
        <v>268</v>
      </c>
      <c r="C938" s="166" t="s">
        <v>2881</v>
      </c>
      <c r="D938" s="107" t="s">
        <v>2882</v>
      </c>
      <c r="E938" s="108" t="s">
        <v>709</v>
      </c>
      <c r="F938" s="108" t="s">
        <v>532</v>
      </c>
      <c r="G938" s="108" t="s">
        <v>710</v>
      </c>
      <c r="H938" s="131" t="s">
        <v>274</v>
      </c>
      <c r="I938" s="140">
        <v>5</v>
      </c>
      <c r="J938" s="109" t="s">
        <v>1001</v>
      </c>
      <c r="K938" s="105" t="s">
        <v>1008</v>
      </c>
      <c r="L938" s="107" t="str">
        <f ca="1">VLOOKUP($K938,OFFSET([1]character_type_i18n!$A$1,0,0,COUNTA([1]character_type_i18n!$A:$A),MATCH(L$1,[1]character_type_i18n!$1:$1,0)-MATCH($K$1,[1]character_type_i18n!$1:$1,0)+1),MATCH(L$1,[1]character_type_i18n!$1:$1,0)-MATCH($K$1,[1]character_type_i18n!$1:$1,0)+1,FALSE)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8" s="105" t="s">
        <v>1394</v>
      </c>
      <c r="N938" s="107" t="str">
        <f>VLOOKUP(M938,[1]character_tribe_i18n!A:C,3,FALSE)</f>
        <v>ヒューマン</v>
      </c>
      <c r="O938" s="105" t="s">
        <v>278</v>
      </c>
      <c r="P938" s="107" t="str">
        <f>VLOOKUP(O938,[1]character_tribe_i18n!A:C,3,FALSE)</f>
        <v>種族なし</v>
      </c>
      <c r="Q938" s="110" t="s">
        <v>362</v>
      </c>
      <c r="R938" s="111">
        <v>3</v>
      </c>
      <c r="S938" s="108" t="s">
        <v>289</v>
      </c>
      <c r="T938" s="108" t="s">
        <v>288</v>
      </c>
      <c r="U938" s="108" t="s">
        <v>289</v>
      </c>
      <c r="V938" s="108" t="s">
        <v>289</v>
      </c>
      <c r="W938" s="108" t="s">
        <v>289</v>
      </c>
    </row>
    <row r="939" spans="1:23" ht="21" customHeight="1" x14ac:dyDescent="0.15">
      <c r="A939" s="104">
        <f t="shared" si="14"/>
        <v>938</v>
      </c>
      <c r="B939" s="105" t="s">
        <v>292</v>
      </c>
      <c r="C939" s="166" t="s">
        <v>2883</v>
      </c>
      <c r="D939" s="107" t="s">
        <v>2884</v>
      </c>
      <c r="E939" s="108" t="s">
        <v>709</v>
      </c>
      <c r="F939" s="108" t="s">
        <v>532</v>
      </c>
      <c r="G939" s="108" t="s">
        <v>710</v>
      </c>
      <c r="H939" s="131" t="s">
        <v>274</v>
      </c>
      <c r="I939" s="140">
        <v>6</v>
      </c>
      <c r="J939" s="109" t="s">
        <v>1001</v>
      </c>
      <c r="K939" s="105" t="s">
        <v>2084</v>
      </c>
      <c r="L939" s="107" t="str">
        <f ca="1">VLOOKUP($K939,OFFSET([1]character_type_i18n!$A$1,0,0,COUNTA([1]character_type_i18n!$A:$A),MATCH(L$1,[1]character_type_i18n!$1:$1,0)-MATCH($K$1,[1]character_type_i18n!$1:$1,0)+1),MATCH(L$1,[1]character_type_i18n!$1:$1,0)-MATCH($K$1,[1]character_type_i18n!$1:$1,0)+1,FALSE)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9" s="105" t="s">
        <v>1011</v>
      </c>
      <c r="N939" s="107" t="str">
        <f>VLOOKUP(M939,[1]character_tribe_i18n!A:C,3,FALSE)</f>
        <v>ヒューマン</v>
      </c>
      <c r="O939" s="105" t="s">
        <v>278</v>
      </c>
      <c r="P939" s="107" t="str">
        <f>VLOOKUP(O939,[1]character_tribe_i18n!A:C,3,FALSE)</f>
        <v>種族なし</v>
      </c>
      <c r="Q939" s="110" t="s">
        <v>362</v>
      </c>
      <c r="R939" s="111">
        <v>3</v>
      </c>
      <c r="S939" s="108" t="s">
        <v>289</v>
      </c>
      <c r="T939" s="108" t="s">
        <v>288</v>
      </c>
      <c r="U939" s="108" t="s">
        <v>289</v>
      </c>
      <c r="V939" s="108" t="s">
        <v>289</v>
      </c>
      <c r="W939" s="108" t="s">
        <v>289</v>
      </c>
    </row>
    <row r="940" spans="1:23" ht="21" customHeight="1" x14ac:dyDescent="0.15">
      <c r="A940" s="104">
        <f t="shared" si="14"/>
        <v>939</v>
      </c>
      <c r="B940" s="105" t="s">
        <v>292</v>
      </c>
      <c r="C940" s="166" t="s">
        <v>2885</v>
      </c>
      <c r="D940" s="107" t="s">
        <v>2886</v>
      </c>
      <c r="E940" s="108" t="s">
        <v>848</v>
      </c>
      <c r="F940" s="108" t="s">
        <v>1422</v>
      </c>
      <c r="G940" s="108" t="s">
        <v>1587</v>
      </c>
      <c r="H940" s="131" t="s">
        <v>1890</v>
      </c>
      <c r="I940" s="140">
        <v>4</v>
      </c>
      <c r="J940" s="109" t="s">
        <v>2846</v>
      </c>
      <c r="K940" s="105" t="s">
        <v>1588</v>
      </c>
      <c r="L940" s="107" t="str">
        <f ca="1">VLOOKUP($K940,OFFSET([1]character_type_i18n!$A$1,0,0,COUNTA([1]character_type_i18n!$A:$A),MATCH(L$1,[1]character_type_i18n!$1:$1,0)-MATCH($K$1,[1]character_type_i18n!$1:$1,0)+1),MATCH(L$1,[1]character_type_i18n!$1:$1,0)-MATCH($K$1,[1]character_type_i18n!$1:$1,0)+1,FALSE)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40" s="105" t="s">
        <v>1164</v>
      </c>
      <c r="N940" s="107" t="str">
        <f>VLOOKUP(M940,[1]character_tribe_i18n!A:C,3,FALSE)</f>
        <v>Unknown</v>
      </c>
      <c r="O940" s="105" t="s">
        <v>278</v>
      </c>
      <c r="P940" s="107" t="str">
        <f>VLOOKUP(O940,[1]character_tribe_i18n!A:C,3,FALSE)</f>
        <v>種族なし</v>
      </c>
      <c r="Q940" s="110" t="s">
        <v>279</v>
      </c>
      <c r="R940" s="111">
        <v>3</v>
      </c>
      <c r="S940" s="108" t="s">
        <v>280</v>
      </c>
      <c r="T940" s="108" t="s">
        <v>281</v>
      </c>
      <c r="U940" s="108" t="s">
        <v>280</v>
      </c>
      <c r="V940" s="108" t="s">
        <v>280</v>
      </c>
      <c r="W940" s="108" t="s">
        <v>280</v>
      </c>
    </row>
    <row r="941" spans="1:23" ht="21" customHeight="1" x14ac:dyDescent="0.15">
      <c r="A941" s="104">
        <f t="shared" si="14"/>
        <v>940</v>
      </c>
      <c r="B941" s="105" t="s">
        <v>268</v>
      </c>
      <c r="C941" s="166" t="s">
        <v>2887</v>
      </c>
      <c r="D941" s="107" t="s">
        <v>2888</v>
      </c>
      <c r="E941" s="108" t="s">
        <v>709</v>
      </c>
      <c r="F941" s="108" t="s">
        <v>532</v>
      </c>
      <c r="G941" s="108" t="s">
        <v>710</v>
      </c>
      <c r="H941" s="131" t="s">
        <v>614</v>
      </c>
      <c r="I941" s="140">
        <v>5</v>
      </c>
      <c r="J941" s="109" t="s">
        <v>2367</v>
      </c>
      <c r="K941" s="105" t="s">
        <v>967</v>
      </c>
      <c r="L941" s="107" t="str">
        <f ca="1">VLOOKUP($K941,OFFSET([1]character_type_i18n!$A$1,0,0,COUNTA([1]character_type_i18n!$A:$A),MATCH(L$1,[1]character_type_i18n!$1:$1,0)-MATCH($K$1,[1]character_type_i18n!$1:$1,0)+1),MATCH(L$1,[1]character_type_i18n!$1:$1,0)-MATCH($K$1,[1]character_type_i18n!$1:$1,0)+1,FALSE)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41" s="105" t="s">
        <v>1413</v>
      </c>
      <c r="N941" s="107" t="str">
        <f>VLOOKUP(M941,[1]character_tribe_i18n!A:C,3,FALSE)</f>
        <v>Unknown</v>
      </c>
      <c r="O941" s="105" t="s">
        <v>278</v>
      </c>
      <c r="P941" s="107" t="str">
        <f>VLOOKUP(O941,[1]character_tribe_i18n!A:C,3,FALSE)</f>
        <v>種族なし</v>
      </c>
      <c r="Q941" s="110" t="s">
        <v>362</v>
      </c>
      <c r="R941" s="111">
        <v>3</v>
      </c>
      <c r="S941" s="108" t="s">
        <v>289</v>
      </c>
      <c r="T941" s="108" t="s">
        <v>288</v>
      </c>
      <c r="U941" s="108" t="s">
        <v>289</v>
      </c>
      <c r="V941" s="108" t="s">
        <v>289</v>
      </c>
      <c r="W941" s="108" t="s">
        <v>289</v>
      </c>
    </row>
    <row r="942" spans="1:23" ht="21" customHeight="1" x14ac:dyDescent="0.15">
      <c r="A942" s="104">
        <f t="shared" si="14"/>
        <v>941</v>
      </c>
      <c r="B942" s="105" t="s">
        <v>292</v>
      </c>
      <c r="C942" s="166" t="s">
        <v>2889</v>
      </c>
      <c r="D942" s="107" t="s">
        <v>2890</v>
      </c>
      <c r="E942" s="108" t="s">
        <v>848</v>
      </c>
      <c r="F942" s="108" t="s">
        <v>1422</v>
      </c>
      <c r="G942" s="108" t="s">
        <v>1587</v>
      </c>
      <c r="H942" s="131" t="s">
        <v>295</v>
      </c>
      <c r="I942" s="140">
        <v>5</v>
      </c>
      <c r="J942" s="109" t="s">
        <v>2083</v>
      </c>
      <c r="K942" s="161" t="s">
        <v>2842</v>
      </c>
      <c r="L942" s="107" t="str">
        <f ca="1">VLOOKUP($K942,OFFSET([1]character_type_i18n!$A$1,0,0,COUNTA([1]character_type_i18n!$A:$A),MATCH(L$1,[1]character_type_i18n!$1:$1,0)-MATCH($K$1,[1]character_type_i18n!$1:$1,0)+1),MATCH(L$1,[1]character_type_i18n!$1:$1,0)-MATCH($K$1,[1]character_type_i18n!$1:$1,0)+1,FALSE)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42" s="105" t="s">
        <v>1394</v>
      </c>
      <c r="N942" s="107" t="str">
        <f>VLOOKUP(M942,[1]character_tribe_i18n!A:C,3,FALSE)</f>
        <v>ヒューマン</v>
      </c>
      <c r="O942" s="105" t="s">
        <v>278</v>
      </c>
      <c r="P942" s="107" t="str">
        <f>VLOOKUP(O942,[1]character_tribe_i18n!A:C,3,FALSE)</f>
        <v>種族なし</v>
      </c>
      <c r="Q942" s="110" t="s">
        <v>362</v>
      </c>
      <c r="R942" s="111">
        <v>3</v>
      </c>
      <c r="S942" s="108" t="s">
        <v>289</v>
      </c>
      <c r="T942" s="108" t="s">
        <v>288</v>
      </c>
      <c r="U942" s="108" t="s">
        <v>289</v>
      </c>
      <c r="V942" s="108" t="s">
        <v>289</v>
      </c>
      <c r="W942" s="108" t="s">
        <v>289</v>
      </c>
    </row>
    <row r="943" spans="1:23" ht="21" customHeight="1" x14ac:dyDescent="0.15">
      <c r="A943" s="104">
        <f t="shared" si="14"/>
        <v>942</v>
      </c>
      <c r="B943" s="105" t="s">
        <v>292</v>
      </c>
      <c r="C943" s="166" t="s">
        <v>2891</v>
      </c>
      <c r="D943" s="107" t="s">
        <v>2892</v>
      </c>
      <c r="E943" s="108" t="s">
        <v>2520</v>
      </c>
      <c r="F943" s="108" t="s">
        <v>1422</v>
      </c>
      <c r="G943" s="108" t="s">
        <v>1587</v>
      </c>
      <c r="H943" s="131" t="s">
        <v>295</v>
      </c>
      <c r="I943" s="140">
        <v>6</v>
      </c>
      <c r="J943" s="109" t="s">
        <v>2083</v>
      </c>
      <c r="K943" s="161" t="s">
        <v>2842</v>
      </c>
      <c r="L943" s="107" t="str">
        <f ca="1">VLOOKUP($K943,OFFSET([1]character_type_i18n!$A$1,0,0,COUNTA([1]character_type_i18n!$A:$A),MATCH(L$1,[1]character_type_i18n!$1:$1,0)-MATCH($K$1,[1]character_type_i18n!$1:$1,0)+1),MATCH(L$1,[1]character_type_i18n!$1:$1,0)-MATCH($K$1,[1]character_type_i18n!$1:$1,0)+1,FALSE)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43" s="105" t="s">
        <v>1394</v>
      </c>
      <c r="N943" s="107" t="str">
        <f>VLOOKUP(M943,[1]character_tribe_i18n!A:C,3,FALSE)</f>
        <v>ヒューマン</v>
      </c>
      <c r="O943" s="105" t="s">
        <v>278</v>
      </c>
      <c r="P943" s="107" t="str">
        <f>VLOOKUP(O943,[1]character_tribe_i18n!A:C,3,FALSE)</f>
        <v>種族なし</v>
      </c>
      <c r="Q943" s="110" t="s">
        <v>362</v>
      </c>
      <c r="R943" s="111">
        <v>3</v>
      </c>
      <c r="S943" s="108" t="s">
        <v>289</v>
      </c>
      <c r="T943" s="108" t="s">
        <v>288</v>
      </c>
      <c r="U943" s="108" t="s">
        <v>289</v>
      </c>
      <c r="V943" s="108" t="s">
        <v>289</v>
      </c>
      <c r="W943" s="108" t="s">
        <v>289</v>
      </c>
    </row>
    <row r="944" spans="1:23" ht="21" customHeight="1" x14ac:dyDescent="0.15">
      <c r="A944" s="104">
        <f t="shared" si="14"/>
        <v>943</v>
      </c>
      <c r="B944" s="105" t="s">
        <v>292</v>
      </c>
      <c r="C944" s="166" t="s">
        <v>2893</v>
      </c>
      <c r="D944" s="107" t="s">
        <v>2894</v>
      </c>
      <c r="E944" s="108" t="s">
        <v>848</v>
      </c>
      <c r="F944" s="108" t="s">
        <v>1422</v>
      </c>
      <c r="G944" s="108" t="s">
        <v>1587</v>
      </c>
      <c r="H944" s="131" t="s">
        <v>300</v>
      </c>
      <c r="I944" s="140">
        <v>5</v>
      </c>
      <c r="J944" s="109" t="s">
        <v>2083</v>
      </c>
      <c r="K944" s="105" t="s">
        <v>2716</v>
      </c>
      <c r="L944" s="107" t="str">
        <f ca="1">VLOOKUP($K944,OFFSET([1]character_type_i18n!$A$1,0,0,COUNTA([1]character_type_i18n!$A:$A),MATCH(L$1,[1]character_type_i18n!$1:$1,0)-MATCH($K$1,[1]character_type_i18n!$1:$1,0)+1),MATCH(L$1,[1]character_type_i18n!$1:$1,0)-MATCH($K$1,[1]character_type_i18n!$1:$1,0)+1,FALSE)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4" s="105" t="s">
        <v>1011</v>
      </c>
      <c r="N944" s="107" t="str">
        <f>VLOOKUP(M944,[1]character_tribe_i18n!A:C,3,FALSE)</f>
        <v>ヒューマン</v>
      </c>
      <c r="O944" s="105" t="s">
        <v>278</v>
      </c>
      <c r="P944" s="107" t="str">
        <f>VLOOKUP(O944,[1]character_tribe_i18n!A:C,3,FALSE)</f>
        <v>種族なし</v>
      </c>
      <c r="Q944" s="110" t="s">
        <v>279</v>
      </c>
      <c r="R944" s="111">
        <v>3</v>
      </c>
      <c r="S944" s="108" t="s">
        <v>280</v>
      </c>
      <c r="T944" s="108" t="s">
        <v>281</v>
      </c>
      <c r="U944" s="108" t="s">
        <v>280</v>
      </c>
      <c r="V944" s="108" t="s">
        <v>280</v>
      </c>
      <c r="W944" s="108" t="s">
        <v>280</v>
      </c>
    </row>
    <row r="945" spans="1:23" ht="21" customHeight="1" x14ac:dyDescent="0.15">
      <c r="A945" s="104">
        <f t="shared" si="14"/>
        <v>944</v>
      </c>
      <c r="B945" s="105" t="s">
        <v>268</v>
      </c>
      <c r="C945" s="166" t="s">
        <v>2895</v>
      </c>
      <c r="D945" s="107" t="s">
        <v>2896</v>
      </c>
      <c r="E945" s="108" t="s">
        <v>709</v>
      </c>
      <c r="F945" s="108" t="s">
        <v>532</v>
      </c>
      <c r="G945" s="108" t="s">
        <v>710</v>
      </c>
      <c r="H945" s="131" t="s">
        <v>300</v>
      </c>
      <c r="I945" s="140">
        <v>6</v>
      </c>
      <c r="J945" s="109" t="s">
        <v>1001</v>
      </c>
      <c r="K945" s="105" t="s">
        <v>1005</v>
      </c>
      <c r="L945" s="107" t="str">
        <f ca="1">VLOOKUP($K945,OFFSET([1]character_type_i18n!$A$1,0,0,COUNTA([1]character_type_i18n!$A:$A),MATCH(L$1,[1]character_type_i18n!$1:$1,0)-MATCH($K$1,[1]character_type_i18n!$1:$1,0)+1),MATCH(L$1,[1]character_type_i18n!$1:$1,0)-MATCH($K$1,[1]character_type_i18n!$1:$1,0)+1,FALSE)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5" s="105" t="s">
        <v>1394</v>
      </c>
      <c r="N945" s="107" t="str">
        <f>VLOOKUP(M945,[1]character_tribe_i18n!A:C,3,FALSE)</f>
        <v>ヒューマン</v>
      </c>
      <c r="O945" s="105" t="s">
        <v>278</v>
      </c>
      <c r="P945" s="107" t="str">
        <f>VLOOKUP(O945,[1]character_tribe_i18n!A:C,3,FALSE)</f>
        <v>種族なし</v>
      </c>
      <c r="Q945" s="110" t="s">
        <v>362</v>
      </c>
      <c r="R945" s="111">
        <v>3</v>
      </c>
      <c r="S945" s="108" t="s">
        <v>289</v>
      </c>
      <c r="T945" s="108" t="s">
        <v>288</v>
      </c>
      <c r="U945" s="108" t="s">
        <v>289</v>
      </c>
      <c r="V945" s="108" t="s">
        <v>289</v>
      </c>
      <c r="W945" s="108" t="s">
        <v>289</v>
      </c>
    </row>
    <row r="946" spans="1:23" ht="21" customHeight="1" x14ac:dyDescent="0.15">
      <c r="A946" s="104">
        <f t="shared" si="14"/>
        <v>945</v>
      </c>
      <c r="B946" s="105" t="s">
        <v>292</v>
      </c>
      <c r="C946" s="154" t="s">
        <v>2897</v>
      </c>
      <c r="D946" s="107" t="s">
        <v>2898</v>
      </c>
      <c r="E946" s="108" t="s">
        <v>709</v>
      </c>
      <c r="F946" s="108" t="s">
        <v>1422</v>
      </c>
      <c r="G946" s="108" t="s">
        <v>1587</v>
      </c>
      <c r="H946" s="131" t="s">
        <v>274</v>
      </c>
      <c r="I946" s="167">
        <v>5</v>
      </c>
      <c r="J946" s="109" t="s">
        <v>1602</v>
      </c>
      <c r="K946" s="105" t="s">
        <v>2716</v>
      </c>
      <c r="L946" s="107" t="str">
        <f ca="1">VLOOKUP($K946,OFFSET([1]character_type_i18n!$A$1,0,0,COUNTA([1]character_type_i18n!$A:$A),MATCH(L$1,[1]character_type_i18n!$1:$1,0)-MATCH($K$1,[1]character_type_i18n!$1:$1,0)+1),MATCH(L$1,[1]character_type_i18n!$1:$1,0)-MATCH($K$1,[1]character_type_i18n!$1:$1,0)+1,FALSE)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6" s="105" t="s">
        <v>1987</v>
      </c>
      <c r="N946" s="107" t="str">
        <f>VLOOKUP(M946,[1]character_tribe_i18n!A:C,3,FALSE)</f>
        <v>アカデミア</v>
      </c>
      <c r="O946" s="105" t="s">
        <v>1164</v>
      </c>
      <c r="P946" s="107" t="str">
        <f>VLOOKUP(O946,[1]character_tribe_i18n!A:C,3,FALSE)</f>
        <v>Unknown</v>
      </c>
      <c r="Q946" s="110" t="s">
        <v>362</v>
      </c>
      <c r="R946" s="111">
        <v>1</v>
      </c>
      <c r="S946" s="108" t="s">
        <v>289</v>
      </c>
      <c r="T946" s="108" t="s">
        <v>288</v>
      </c>
      <c r="U946" s="108" t="s">
        <v>289</v>
      </c>
      <c r="V946" s="108" t="s">
        <v>289</v>
      </c>
      <c r="W946" s="108" t="s">
        <v>289</v>
      </c>
    </row>
    <row r="947" spans="1:23" ht="21" customHeight="1" x14ac:dyDescent="0.15">
      <c r="A947" s="104">
        <f t="shared" si="14"/>
        <v>946</v>
      </c>
      <c r="B947" s="105" t="s">
        <v>292</v>
      </c>
      <c r="C947" s="154" t="s">
        <v>2897</v>
      </c>
      <c r="D947" s="107" t="s">
        <v>2899</v>
      </c>
      <c r="E947" s="108" t="s">
        <v>848</v>
      </c>
      <c r="F947" s="108" t="s">
        <v>1422</v>
      </c>
      <c r="G947" s="108" t="s">
        <v>1587</v>
      </c>
      <c r="H947" s="131" t="s">
        <v>274</v>
      </c>
      <c r="I947" s="167">
        <v>6</v>
      </c>
      <c r="J947" s="109" t="s">
        <v>1602</v>
      </c>
      <c r="K947" s="105" t="s">
        <v>2716</v>
      </c>
      <c r="L947" s="107" t="str">
        <f ca="1">VLOOKUP($K947,OFFSET([1]character_type_i18n!$A$1,0,0,COUNTA([1]character_type_i18n!$A:$A),MATCH(L$1,[1]character_type_i18n!$1:$1,0)-MATCH($K$1,[1]character_type_i18n!$1:$1,0)+1),MATCH(L$1,[1]character_type_i18n!$1:$1,0)-MATCH($K$1,[1]character_type_i18n!$1:$1,0)+1,FALSE)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7" s="105" t="s">
        <v>1987</v>
      </c>
      <c r="N947" s="107" t="str">
        <f>VLOOKUP(M947,[1]character_tribe_i18n!A:C,3,FALSE)</f>
        <v>アカデミア</v>
      </c>
      <c r="O947" s="105" t="s">
        <v>1413</v>
      </c>
      <c r="P947" s="107" t="str">
        <f>VLOOKUP(O947,[1]character_tribe_i18n!A:C,3,FALSE)</f>
        <v>Unknown</v>
      </c>
      <c r="Q947" s="110" t="s">
        <v>279</v>
      </c>
      <c r="R947" s="111">
        <v>1</v>
      </c>
      <c r="S947" s="108" t="s">
        <v>280</v>
      </c>
      <c r="T947" s="108" t="s">
        <v>281</v>
      </c>
      <c r="U947" s="108" t="s">
        <v>280</v>
      </c>
      <c r="V947" s="108" t="s">
        <v>280</v>
      </c>
      <c r="W947" s="108" t="s">
        <v>280</v>
      </c>
    </row>
    <row r="948" spans="1:23" ht="21" customHeight="1" x14ac:dyDescent="0.15">
      <c r="A948" s="104">
        <f t="shared" si="14"/>
        <v>947</v>
      </c>
      <c r="B948" s="105" t="s">
        <v>268</v>
      </c>
      <c r="C948" s="154" t="s">
        <v>2900</v>
      </c>
      <c r="D948" s="107" t="s">
        <v>2901</v>
      </c>
      <c r="E948" s="108" t="s">
        <v>709</v>
      </c>
      <c r="F948" s="108" t="s">
        <v>532</v>
      </c>
      <c r="G948" s="108" t="s">
        <v>710</v>
      </c>
      <c r="H948" s="131" t="s">
        <v>614</v>
      </c>
      <c r="I948" s="140">
        <v>5</v>
      </c>
      <c r="J948" s="109" t="s">
        <v>1016</v>
      </c>
      <c r="K948" s="105" t="s">
        <v>1005</v>
      </c>
      <c r="L948" s="107" t="str">
        <f ca="1">VLOOKUP($K948,OFFSET([1]character_type_i18n!$A$1,0,0,COUNTA([1]character_type_i18n!$A:$A),MATCH(L$1,[1]character_type_i18n!$1:$1,0)-MATCH($K$1,[1]character_type_i18n!$1:$1,0)+1),MATCH(L$1,[1]character_type_i18n!$1:$1,0)-MATCH($K$1,[1]character_type_i18n!$1:$1,0)+1,FALSE)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8" s="105" t="s">
        <v>2319</v>
      </c>
      <c r="N948" s="107" t="str">
        <f>VLOOKUP(M948,[1]character_tribe_i18n!A:C,3,FALSE)</f>
        <v>ウェポン</v>
      </c>
      <c r="O948" s="105" t="s">
        <v>278</v>
      </c>
      <c r="P948" s="107" t="str">
        <f>VLOOKUP(O948,[1]character_tribe_i18n!A:C,3,FALSE)</f>
        <v>種族なし</v>
      </c>
      <c r="Q948" s="110" t="s">
        <v>279</v>
      </c>
      <c r="R948" s="111">
        <v>3</v>
      </c>
      <c r="S948" s="108" t="s">
        <v>280</v>
      </c>
      <c r="T948" s="108" t="s">
        <v>281</v>
      </c>
      <c r="U948" s="108" t="s">
        <v>280</v>
      </c>
      <c r="V948" s="108" t="s">
        <v>280</v>
      </c>
      <c r="W948" s="108" t="s">
        <v>280</v>
      </c>
    </row>
    <row r="949" spans="1:23" ht="21" customHeight="1" x14ac:dyDescent="0.15">
      <c r="A949" s="104">
        <f t="shared" si="14"/>
        <v>948</v>
      </c>
      <c r="B949" s="105" t="s">
        <v>268</v>
      </c>
      <c r="C949" s="154" t="s">
        <v>2902</v>
      </c>
      <c r="D949" s="107" t="s">
        <v>2903</v>
      </c>
      <c r="E949" s="108" t="s">
        <v>709</v>
      </c>
      <c r="F949" s="108" t="s">
        <v>532</v>
      </c>
      <c r="G949" s="108" t="s">
        <v>710</v>
      </c>
      <c r="H949" s="131" t="s">
        <v>614</v>
      </c>
      <c r="I949" s="140">
        <v>6</v>
      </c>
      <c r="J949" s="109" t="s">
        <v>1016</v>
      </c>
      <c r="K949" s="105" t="s">
        <v>1005</v>
      </c>
      <c r="L949" s="107" t="str">
        <f ca="1">VLOOKUP($K949,OFFSET([1]character_type_i18n!$A$1,0,0,COUNTA([1]character_type_i18n!$A:$A),MATCH(L$1,[1]character_type_i18n!$1:$1,0)-MATCH($K$1,[1]character_type_i18n!$1:$1,0)+1),MATCH(L$1,[1]character_type_i18n!$1:$1,0)-MATCH($K$1,[1]character_type_i18n!$1:$1,0)+1,FALSE)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9" s="105" t="s">
        <v>2321</v>
      </c>
      <c r="N949" s="107" t="str">
        <f>VLOOKUP(M949,[1]character_tribe_i18n!A:C,3,FALSE)</f>
        <v>ウェポン</v>
      </c>
      <c r="O949" s="105" t="s">
        <v>278</v>
      </c>
      <c r="P949" s="107" t="str">
        <f>VLOOKUP(O949,[1]character_tribe_i18n!A:C,3,FALSE)</f>
        <v>種族なし</v>
      </c>
      <c r="Q949" s="110" t="s">
        <v>279</v>
      </c>
      <c r="R949" s="111">
        <v>3</v>
      </c>
      <c r="S949" s="108" t="s">
        <v>280</v>
      </c>
      <c r="T949" s="108" t="s">
        <v>281</v>
      </c>
      <c r="U949" s="108" t="s">
        <v>280</v>
      </c>
      <c r="V949" s="108" t="s">
        <v>280</v>
      </c>
      <c r="W949" s="108" t="s">
        <v>280</v>
      </c>
    </row>
    <row r="950" spans="1:23" ht="21" customHeight="1" x14ac:dyDescent="0.15">
      <c r="A950" s="104">
        <f t="shared" si="14"/>
        <v>949</v>
      </c>
      <c r="B950" s="105" t="s">
        <v>268</v>
      </c>
      <c r="C950" s="154" t="s">
        <v>2904</v>
      </c>
      <c r="D950" s="107" t="s">
        <v>2905</v>
      </c>
      <c r="E950" s="108" t="s">
        <v>709</v>
      </c>
      <c r="F950" s="108" t="s">
        <v>532</v>
      </c>
      <c r="G950" s="108" t="s">
        <v>710</v>
      </c>
      <c r="H950" s="131" t="s">
        <v>295</v>
      </c>
      <c r="I950" s="140">
        <v>5</v>
      </c>
      <c r="J950" s="109" t="s">
        <v>1016</v>
      </c>
      <c r="K950" s="105" t="s">
        <v>1008</v>
      </c>
      <c r="L950" s="107" t="str">
        <f ca="1">VLOOKUP($K950,OFFSET([1]character_type_i18n!$A$1,0,0,COUNTA([1]character_type_i18n!$A:$A),MATCH(L$1,[1]character_type_i18n!$1:$1,0)-MATCH($K$1,[1]character_type_i18n!$1:$1,0)+1),MATCH(L$1,[1]character_type_i18n!$1:$1,0)-MATCH($K$1,[1]character_type_i18n!$1:$1,0)+1,FALSE)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50" s="105" t="s">
        <v>2321</v>
      </c>
      <c r="N950" s="107" t="str">
        <f>VLOOKUP(M950,[1]character_tribe_i18n!A:C,3,FALSE)</f>
        <v>ウェポン</v>
      </c>
      <c r="O950" s="105" t="s">
        <v>278</v>
      </c>
      <c r="P950" s="107" t="str">
        <f>VLOOKUP(O950,[1]character_tribe_i18n!A:C,3,FALSE)</f>
        <v>種族なし</v>
      </c>
      <c r="Q950" s="110" t="s">
        <v>279</v>
      </c>
      <c r="R950" s="111">
        <v>3</v>
      </c>
      <c r="S950" s="108" t="s">
        <v>280</v>
      </c>
      <c r="T950" s="108" t="s">
        <v>281</v>
      </c>
      <c r="U950" s="108" t="s">
        <v>280</v>
      </c>
      <c r="V950" s="108" t="s">
        <v>280</v>
      </c>
      <c r="W950" s="108" t="s">
        <v>280</v>
      </c>
    </row>
    <row r="951" spans="1:23" ht="21" customHeight="1" x14ac:dyDescent="0.15">
      <c r="A951" s="104">
        <f t="shared" si="14"/>
        <v>950</v>
      </c>
      <c r="B951" s="105" t="s">
        <v>268</v>
      </c>
      <c r="C951" s="154" t="s">
        <v>2906</v>
      </c>
      <c r="D951" s="107" t="s">
        <v>2907</v>
      </c>
      <c r="E951" s="108" t="s">
        <v>709</v>
      </c>
      <c r="F951" s="108" t="s">
        <v>532</v>
      </c>
      <c r="G951" s="108" t="s">
        <v>710</v>
      </c>
      <c r="H951" s="131" t="s">
        <v>295</v>
      </c>
      <c r="I951" s="140">
        <v>6</v>
      </c>
      <c r="J951" s="109" t="s">
        <v>1016</v>
      </c>
      <c r="K951" s="105" t="s">
        <v>1008</v>
      </c>
      <c r="L951" s="107" t="str">
        <f ca="1">VLOOKUP($K951,OFFSET([1]character_type_i18n!$A$1,0,0,COUNTA([1]character_type_i18n!$A:$A),MATCH(L$1,[1]character_type_i18n!$1:$1,0)-MATCH($K$1,[1]character_type_i18n!$1:$1,0)+1),MATCH(L$1,[1]character_type_i18n!$1:$1,0)-MATCH($K$1,[1]character_type_i18n!$1:$1,0)+1,FALSE)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51" s="105" t="s">
        <v>2319</v>
      </c>
      <c r="N951" s="107" t="str">
        <f>VLOOKUP(M951,[1]character_tribe_i18n!A:C,3,FALSE)</f>
        <v>ウェポン</v>
      </c>
      <c r="O951" s="105" t="s">
        <v>278</v>
      </c>
      <c r="P951" s="107" t="str">
        <f>VLOOKUP(O951,[1]character_tribe_i18n!A:C,3,FALSE)</f>
        <v>種族なし</v>
      </c>
      <c r="Q951" s="110" t="s">
        <v>279</v>
      </c>
      <c r="R951" s="111">
        <v>3</v>
      </c>
      <c r="S951" s="108" t="s">
        <v>280</v>
      </c>
      <c r="T951" s="108" t="s">
        <v>281</v>
      </c>
      <c r="U951" s="108" t="s">
        <v>280</v>
      </c>
      <c r="V951" s="108" t="s">
        <v>280</v>
      </c>
      <c r="W951" s="108" t="s">
        <v>280</v>
      </c>
    </row>
    <row r="952" spans="1:23" ht="21" customHeight="1" x14ac:dyDescent="0.15">
      <c r="A952" s="104">
        <f t="shared" si="14"/>
        <v>951</v>
      </c>
      <c r="B952" s="105" t="s">
        <v>268</v>
      </c>
      <c r="C952" s="154" t="s">
        <v>2908</v>
      </c>
      <c r="D952" s="107" t="s">
        <v>2909</v>
      </c>
      <c r="E952" s="108" t="s">
        <v>709</v>
      </c>
      <c r="F952" s="108" t="s">
        <v>532</v>
      </c>
      <c r="G952" s="108" t="s">
        <v>710</v>
      </c>
      <c r="H952" s="131" t="s">
        <v>300</v>
      </c>
      <c r="I952" s="140">
        <v>5</v>
      </c>
      <c r="J952" s="109" t="s">
        <v>1016</v>
      </c>
      <c r="K952" s="105" t="s">
        <v>1005</v>
      </c>
      <c r="L952" s="107" t="str">
        <f ca="1">VLOOKUP($K952,OFFSET([1]character_type_i18n!$A$1,0,0,COUNTA([1]character_type_i18n!$A:$A),MATCH(L$1,[1]character_type_i18n!$1:$1,0)-MATCH($K$1,[1]character_type_i18n!$1:$1,0)+1),MATCH(L$1,[1]character_type_i18n!$1:$1,0)-MATCH($K$1,[1]character_type_i18n!$1:$1,0)+1,FALSE)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52" s="105" t="s">
        <v>2319</v>
      </c>
      <c r="N952" s="107" t="str">
        <f>VLOOKUP(M952,[1]character_tribe_i18n!A:C,3,FALSE)</f>
        <v>ウェポン</v>
      </c>
      <c r="O952" s="105" t="s">
        <v>278</v>
      </c>
      <c r="P952" s="107" t="str">
        <f>VLOOKUP(O952,[1]character_tribe_i18n!A:C,3,FALSE)</f>
        <v>種族なし</v>
      </c>
      <c r="Q952" s="110" t="s">
        <v>362</v>
      </c>
      <c r="R952" s="111">
        <v>3</v>
      </c>
      <c r="S952" s="108" t="s">
        <v>289</v>
      </c>
      <c r="T952" s="108" t="s">
        <v>288</v>
      </c>
      <c r="U952" s="108" t="s">
        <v>289</v>
      </c>
      <c r="V952" s="108" t="s">
        <v>289</v>
      </c>
      <c r="W952" s="108" t="s">
        <v>289</v>
      </c>
    </row>
    <row r="953" spans="1:23" ht="21" customHeight="1" x14ac:dyDescent="0.15">
      <c r="A953" s="104">
        <f t="shared" si="14"/>
        <v>952</v>
      </c>
      <c r="B953" s="105" t="s">
        <v>292</v>
      </c>
      <c r="C953" s="154" t="s">
        <v>2910</v>
      </c>
      <c r="D953" s="107" t="s">
        <v>2911</v>
      </c>
      <c r="E953" s="108" t="s">
        <v>848</v>
      </c>
      <c r="F953" s="108" t="s">
        <v>1422</v>
      </c>
      <c r="G953" s="108" t="s">
        <v>1587</v>
      </c>
      <c r="H953" s="131" t="s">
        <v>300</v>
      </c>
      <c r="I953" s="140">
        <v>6</v>
      </c>
      <c r="J953" s="109" t="s">
        <v>2324</v>
      </c>
      <c r="K953" s="105" t="s">
        <v>2716</v>
      </c>
      <c r="L953" s="107" t="str">
        <f ca="1">VLOOKUP($K953,OFFSET([1]character_type_i18n!$A$1,0,0,COUNTA([1]character_type_i18n!$A:$A),MATCH(L$1,[1]character_type_i18n!$1:$1,0)-MATCH($K$1,[1]character_type_i18n!$1:$1,0)+1),MATCH(L$1,[1]character_type_i18n!$1:$1,0)-MATCH($K$1,[1]character_type_i18n!$1:$1,0)+1,FALSE)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53" s="105" t="s">
        <v>2321</v>
      </c>
      <c r="N953" s="107" t="str">
        <f>VLOOKUP(M953,[1]character_tribe_i18n!A:C,3,FALSE)</f>
        <v>ウェポン</v>
      </c>
      <c r="O953" s="105" t="s">
        <v>278</v>
      </c>
      <c r="P953" s="107" t="str">
        <f>VLOOKUP(O953,[1]character_tribe_i18n!A:C,3,FALSE)</f>
        <v>種族なし</v>
      </c>
      <c r="Q953" s="110" t="s">
        <v>279</v>
      </c>
      <c r="R953" s="111">
        <v>3</v>
      </c>
      <c r="S953" s="108" t="s">
        <v>280</v>
      </c>
      <c r="T953" s="108" t="s">
        <v>281</v>
      </c>
      <c r="U953" s="108" t="s">
        <v>280</v>
      </c>
      <c r="V953" s="108" t="s">
        <v>280</v>
      </c>
      <c r="W953" s="108" t="s">
        <v>280</v>
      </c>
    </row>
    <row r="954" spans="1:23" ht="21" customHeight="1" x14ac:dyDescent="0.15">
      <c r="A954" s="104">
        <f t="shared" si="14"/>
        <v>953</v>
      </c>
      <c r="B954" s="105" t="s">
        <v>268</v>
      </c>
      <c r="C954" s="154" t="s">
        <v>2912</v>
      </c>
      <c r="D954" s="107" t="s">
        <v>2913</v>
      </c>
      <c r="E954" s="108" t="s">
        <v>1576</v>
      </c>
      <c r="F954" s="108" t="s">
        <v>1577</v>
      </c>
      <c r="G954" s="108" t="s">
        <v>1578</v>
      </c>
      <c r="H954" s="131" t="s">
        <v>1686</v>
      </c>
      <c r="I954" s="140">
        <v>5</v>
      </c>
      <c r="J954" s="109" t="s">
        <v>2914</v>
      </c>
      <c r="K954" s="105" t="s">
        <v>1005</v>
      </c>
      <c r="L954" s="107" t="str">
        <f ca="1">VLOOKUP($K954,OFFSET([1]character_type_i18n!$A$1,0,0,COUNTA([1]character_type_i18n!$A:$A),MATCH(L$1,[1]character_type_i18n!$1:$1,0)-MATCH($K$1,[1]character_type_i18n!$1:$1,0)+1),MATCH(L$1,[1]character_type_i18n!$1:$1,0)-MATCH($K$1,[1]character_type_i18n!$1:$1,0)+1,FALSE)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54" s="105" t="s">
        <v>2316</v>
      </c>
      <c r="N954" s="107" t="str">
        <f>VLOOKUP(M954,[1]character_tribe_i18n!A:C,3,FALSE)</f>
        <v>アカデミア</v>
      </c>
      <c r="O954" s="105" t="s">
        <v>1017</v>
      </c>
      <c r="P954" s="107" t="str">
        <f>VLOOKUP(O954,[1]character_tribe_i18n!A:C,3,FALSE)</f>
        <v>マシン</v>
      </c>
      <c r="Q954" s="110" t="s">
        <v>362</v>
      </c>
      <c r="R954" s="111">
        <v>3</v>
      </c>
      <c r="S954" s="108" t="s">
        <v>289</v>
      </c>
      <c r="T954" s="108" t="s">
        <v>288</v>
      </c>
      <c r="U954" s="108" t="s">
        <v>280</v>
      </c>
      <c r="V954" s="108" t="s">
        <v>280</v>
      </c>
      <c r="W954" s="108" t="s">
        <v>280</v>
      </c>
    </row>
    <row r="955" spans="1:23" ht="21" customHeight="1" x14ac:dyDescent="0.15">
      <c r="A955" s="104">
        <f t="shared" si="14"/>
        <v>954</v>
      </c>
      <c r="B955" s="105" t="s">
        <v>2915</v>
      </c>
      <c r="C955" s="154" t="s">
        <v>2916</v>
      </c>
      <c r="D955" s="107" t="s">
        <v>2917</v>
      </c>
      <c r="E955" s="108" t="s">
        <v>2918</v>
      </c>
      <c r="F955" s="108" t="s">
        <v>2919</v>
      </c>
      <c r="G955" s="108" t="s">
        <v>2920</v>
      </c>
      <c r="H955" s="131" t="s">
        <v>2921</v>
      </c>
      <c r="I955" s="140">
        <v>6</v>
      </c>
      <c r="J955" s="109" t="s">
        <v>2922</v>
      </c>
      <c r="K955" s="105" t="s">
        <v>2923</v>
      </c>
      <c r="L955" s="107" t="str">
        <f ca="1">VLOOKUP($K955,OFFSET([1]character_type_i18n!$A$1,0,0,COUNTA([1]character_type_i18n!$A:$A),MATCH(L$1,[1]character_type_i18n!$1:$1,0)-MATCH($K$1,[1]character_type_i18n!$1:$1,0)+1),MATCH(L$1,[1]character_type_i18n!$1:$1,0)-MATCH($K$1,[1]character_type_i18n!$1:$1,0)+1,FALSE)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55" s="105" t="s">
        <v>2924</v>
      </c>
      <c r="N955" s="107" t="str">
        <f>VLOOKUP(M955,[1]character_tribe_i18n!A:C,3,FALSE)</f>
        <v>アカデミア</v>
      </c>
      <c r="O955" s="105" t="s">
        <v>2925</v>
      </c>
      <c r="P955" s="107" t="str">
        <f>VLOOKUP(O955,[1]character_tribe_i18n!A:C,3,FALSE)</f>
        <v>マシン</v>
      </c>
      <c r="Q955" s="110" t="s">
        <v>2652</v>
      </c>
      <c r="R955" s="111">
        <v>3</v>
      </c>
      <c r="S955" s="108" t="s">
        <v>2642</v>
      </c>
      <c r="T955" s="108" t="s">
        <v>2641</v>
      </c>
      <c r="U955" s="108" t="s">
        <v>887</v>
      </c>
      <c r="V955" s="108" t="s">
        <v>887</v>
      </c>
      <c r="W955" s="108" t="s">
        <v>887</v>
      </c>
    </row>
    <row r="956" spans="1:23" ht="21" customHeight="1" x14ac:dyDescent="0.15">
      <c r="A956" s="104">
        <f t="shared" si="14"/>
        <v>955</v>
      </c>
      <c r="B956" s="105" t="s">
        <v>1288</v>
      </c>
      <c r="C956" s="154" t="s">
        <v>2926</v>
      </c>
      <c r="D956" s="107" t="s">
        <v>2927</v>
      </c>
      <c r="E956" s="108" t="s">
        <v>1290</v>
      </c>
      <c r="F956" s="108" t="s">
        <v>1291</v>
      </c>
      <c r="G956" s="108" t="s">
        <v>2928</v>
      </c>
      <c r="H956" s="131" t="s">
        <v>274</v>
      </c>
      <c r="I956" s="140">
        <v>5</v>
      </c>
      <c r="J956" s="109" t="s">
        <v>2929</v>
      </c>
      <c r="K956" s="105" t="s">
        <v>2930</v>
      </c>
      <c r="L956" s="107" t="str">
        <f ca="1">VLOOKUP($K956,OFFSET([1]character_type_i18n!$A$1,0,0,COUNTA([1]character_type_i18n!$A:$A),MATCH(L$1,[1]character_type_i18n!$1:$1,0)-MATCH($K$1,[1]character_type_i18n!$1:$1,0)+1),MATCH(L$1,[1]character_type_i18n!$1:$1,0)-MATCH($K$1,[1]character_type_i18n!$1:$1,0)+1,FALSE)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56" s="105" t="s">
        <v>2931</v>
      </c>
      <c r="N956" s="107" t="str">
        <f>VLOOKUP(M956,[1]character_tribe_i18n!A:C,3,FALSE)</f>
        <v>アカデミア</v>
      </c>
      <c r="O956" s="105" t="s">
        <v>2723</v>
      </c>
      <c r="P956" s="107" t="str">
        <f>VLOOKUP(O956,[1]character_tribe_i18n!A:C,3,FALSE)</f>
        <v>アニマル</v>
      </c>
      <c r="Q956" s="110" t="s">
        <v>1529</v>
      </c>
      <c r="R956" s="111">
        <v>3</v>
      </c>
      <c r="S956" s="108" t="s">
        <v>1530</v>
      </c>
      <c r="T956" s="108" t="s">
        <v>1531</v>
      </c>
      <c r="U956" s="108" t="s">
        <v>887</v>
      </c>
      <c r="V956" s="108" t="s">
        <v>887</v>
      </c>
      <c r="W956" s="108" t="s">
        <v>887</v>
      </c>
    </row>
    <row r="957" spans="1:23" ht="21" customHeight="1" x14ac:dyDescent="0.15">
      <c r="A957" s="104">
        <f t="shared" si="14"/>
        <v>956</v>
      </c>
      <c r="B957" s="105" t="s">
        <v>1288</v>
      </c>
      <c r="C957" s="154" t="s">
        <v>2932</v>
      </c>
      <c r="D957" s="107" t="s">
        <v>2933</v>
      </c>
      <c r="E957" s="108" t="s">
        <v>2431</v>
      </c>
      <c r="F957" s="108" t="s">
        <v>2432</v>
      </c>
      <c r="G957" s="108" t="s">
        <v>2433</v>
      </c>
      <c r="H957" s="131" t="s">
        <v>274</v>
      </c>
      <c r="I957" s="140">
        <v>6</v>
      </c>
      <c r="J957" s="109" t="s">
        <v>2435</v>
      </c>
      <c r="K957" s="105" t="s">
        <v>2436</v>
      </c>
      <c r="L957" s="107" t="str">
        <f ca="1">VLOOKUP($K957,OFFSET([1]character_type_i18n!$A$1,0,0,COUNTA([1]character_type_i18n!$A:$A),MATCH(L$1,[1]character_type_i18n!$1:$1,0)-MATCH($K$1,[1]character_type_i18n!$1:$1,0)+1),MATCH(L$1,[1]character_type_i18n!$1:$1,0)-MATCH($K$1,[1]character_type_i18n!$1:$1,0)+1,FALSE)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57" s="105" t="s">
        <v>2931</v>
      </c>
      <c r="N957" s="107" t="str">
        <f>VLOOKUP(M957,[1]character_tribe_i18n!A:C,3,FALSE)</f>
        <v>アカデミア</v>
      </c>
      <c r="O957" s="105" t="s">
        <v>1280</v>
      </c>
      <c r="P957" s="107" t="str">
        <f>VLOOKUP(O957,[1]character_tribe_i18n!A:C,3,FALSE)</f>
        <v>アニマル</v>
      </c>
      <c r="Q957" s="110" t="s">
        <v>279</v>
      </c>
      <c r="R957" s="111">
        <v>3</v>
      </c>
      <c r="S957" s="108" t="s">
        <v>280</v>
      </c>
      <c r="T957" s="108" t="s">
        <v>281</v>
      </c>
      <c r="U957" s="108" t="s">
        <v>280</v>
      </c>
      <c r="V957" s="108" t="s">
        <v>280</v>
      </c>
      <c r="W957" s="108" t="s">
        <v>280</v>
      </c>
    </row>
    <row r="958" spans="1:23" ht="21" customHeight="1" x14ac:dyDescent="0.15">
      <c r="A958" s="104">
        <f t="shared" si="14"/>
        <v>957</v>
      </c>
      <c r="B958" s="105" t="s">
        <v>268</v>
      </c>
      <c r="C958" s="154" t="s">
        <v>2934</v>
      </c>
      <c r="D958" s="107" t="s">
        <v>2935</v>
      </c>
      <c r="E958" s="108" t="s">
        <v>2520</v>
      </c>
      <c r="F958" s="108" t="s">
        <v>2660</v>
      </c>
      <c r="G958" s="108" t="s">
        <v>2661</v>
      </c>
      <c r="H958" s="131" t="s">
        <v>274</v>
      </c>
      <c r="I958" s="140">
        <v>6</v>
      </c>
      <c r="J958" s="109" t="s">
        <v>2936</v>
      </c>
      <c r="K958" s="105" t="s">
        <v>2683</v>
      </c>
      <c r="L958" s="107" t="str">
        <f ca="1">VLOOKUP($K958,OFFSET([1]character_type_i18n!$A$1,0,0,COUNTA([1]character_type_i18n!$A:$A),MATCH(L$1,[1]character_type_i18n!$1:$1,0)-MATCH($K$1,[1]character_type_i18n!$1:$1,0)+1),MATCH(L$1,[1]character_type_i18n!$1:$1,0)-MATCH($K$1,[1]character_type_i18n!$1:$1,0)+1,FALSE)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58" s="105" t="s">
        <v>2937</v>
      </c>
      <c r="N958" s="107" t="str">
        <f>VLOOKUP(M958,[1]character_tribe_i18n!A:C,3,FALSE)</f>
        <v>アカデミア</v>
      </c>
      <c r="O958" s="105" t="s">
        <v>2353</v>
      </c>
      <c r="P958" s="107" t="str">
        <f>VLOOKUP(O958,[1]character_tribe_i18n!A:C,3,FALSE)</f>
        <v>アニマル</v>
      </c>
      <c r="Q958" s="110" t="s">
        <v>2447</v>
      </c>
      <c r="R958" s="111">
        <v>3</v>
      </c>
      <c r="S958" s="108" t="s">
        <v>1916</v>
      </c>
      <c r="T958" s="108" t="s">
        <v>2938</v>
      </c>
      <c r="U958" s="108" t="s">
        <v>2063</v>
      </c>
      <c r="V958" s="108" t="s">
        <v>2063</v>
      </c>
      <c r="W958" s="108" t="s">
        <v>2063</v>
      </c>
    </row>
    <row r="959" spans="1:23" ht="21" customHeight="1" x14ac:dyDescent="0.15">
      <c r="A959" s="104">
        <f t="shared" si="14"/>
        <v>958</v>
      </c>
      <c r="B959" s="105" t="s">
        <v>2619</v>
      </c>
      <c r="C959" s="133" t="s">
        <v>2939</v>
      </c>
      <c r="D959" s="107" t="s">
        <v>2940</v>
      </c>
      <c r="E959" s="108" t="s">
        <v>1564</v>
      </c>
      <c r="F959" s="108" t="s">
        <v>2489</v>
      </c>
      <c r="G959" s="108" t="s">
        <v>2490</v>
      </c>
      <c r="H959" s="131" t="s">
        <v>285</v>
      </c>
      <c r="I959" s="140">
        <v>5</v>
      </c>
      <c r="J959" s="109" t="s">
        <v>2941</v>
      </c>
      <c r="K959" s="105" t="s">
        <v>1292</v>
      </c>
      <c r="L959" s="107" t="str">
        <f ca="1">VLOOKUP($K959,OFFSET([1]character_type_i18n!$A$1,0,0,COUNTA([1]character_type_i18n!$A:$A),MATCH(L$1,[1]character_type_i18n!$1:$1,0)-MATCH($K$1,[1]character_type_i18n!$1:$1,0)+1),MATCH(L$1,[1]character_type_i18n!$1:$1,0)-MATCH($K$1,[1]character_type_i18n!$1:$1,0)+1,FALSE)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59" s="105" t="s">
        <v>1987</v>
      </c>
      <c r="N959" s="107" t="str">
        <f>VLOOKUP(M959,[1]character_tribe_i18n!A:C,3,FALSE)</f>
        <v>アカデミア</v>
      </c>
      <c r="O959" s="105" t="s">
        <v>313</v>
      </c>
      <c r="P959" s="107" t="str">
        <f>VLOOKUP(O959,[1]character_tribe_i18n!A:C,3,FALSE)</f>
        <v>アニマル</v>
      </c>
      <c r="Q959" s="110" t="s">
        <v>279</v>
      </c>
      <c r="R959" s="111">
        <v>3</v>
      </c>
      <c r="S959" s="108" t="s">
        <v>280</v>
      </c>
      <c r="T959" s="108" t="s">
        <v>2468</v>
      </c>
      <c r="U959" s="108" t="s">
        <v>1540</v>
      </c>
      <c r="V959" s="108" t="s">
        <v>894</v>
      </c>
      <c r="W959" s="108" t="s">
        <v>894</v>
      </c>
    </row>
    <row r="960" spans="1:23" ht="21" customHeight="1" x14ac:dyDescent="0.15">
      <c r="A960" s="104">
        <f t="shared" si="14"/>
        <v>959</v>
      </c>
      <c r="B960" s="105" t="s">
        <v>1261</v>
      </c>
      <c r="C960" s="133" t="s">
        <v>2942</v>
      </c>
      <c r="D960" s="107" t="s">
        <v>2943</v>
      </c>
      <c r="E960" s="108" t="s">
        <v>2488</v>
      </c>
      <c r="F960" s="108" t="s">
        <v>2489</v>
      </c>
      <c r="G960" s="108" t="s">
        <v>2490</v>
      </c>
      <c r="H960" s="131" t="s">
        <v>285</v>
      </c>
      <c r="I960" s="115">
        <v>6</v>
      </c>
      <c r="J960" s="109" t="s">
        <v>2941</v>
      </c>
      <c r="K960" s="105" t="s">
        <v>1292</v>
      </c>
      <c r="L960" s="107" t="str">
        <f ca="1">VLOOKUP($K960,OFFSET([1]character_type_i18n!$A$1,0,0,COUNTA([1]character_type_i18n!$A:$A),MATCH(L$1,[1]character_type_i18n!$1:$1,0)-MATCH($K$1,[1]character_type_i18n!$1:$1,0)+1),MATCH(L$1,[1]character_type_i18n!$1:$1,0)-MATCH($K$1,[1]character_type_i18n!$1:$1,0)+1,FALSE)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60" s="105" t="s">
        <v>1987</v>
      </c>
      <c r="N960" s="107" t="str">
        <f>VLOOKUP(M960,[1]character_tribe_i18n!A:C,3,FALSE)</f>
        <v>アカデミア</v>
      </c>
      <c r="O960" s="105" t="s">
        <v>2944</v>
      </c>
      <c r="P960" s="107" t="str">
        <f>VLOOKUP(O960,[1]character_tribe_i18n!A:C,3,FALSE)</f>
        <v>アニマル</v>
      </c>
      <c r="Q960" s="110" t="s">
        <v>1656</v>
      </c>
      <c r="R960" s="111">
        <v>3</v>
      </c>
      <c r="S960" s="108" t="s">
        <v>898</v>
      </c>
      <c r="T960" s="108" t="s">
        <v>281</v>
      </c>
      <c r="U960" s="108" t="s">
        <v>280</v>
      </c>
      <c r="V960" s="108" t="s">
        <v>894</v>
      </c>
      <c r="W960" s="108" t="s">
        <v>894</v>
      </c>
    </row>
    <row r="961" spans="1:23" ht="21" customHeight="1" x14ac:dyDescent="0.15">
      <c r="A961" s="104">
        <f t="shared" si="14"/>
        <v>960</v>
      </c>
      <c r="B961" s="105" t="s">
        <v>1261</v>
      </c>
      <c r="C961" s="168" t="s">
        <v>2945</v>
      </c>
      <c r="D961" s="107" t="s">
        <v>2946</v>
      </c>
      <c r="E961" s="108" t="s">
        <v>1788</v>
      </c>
      <c r="F961" s="108" t="s">
        <v>1985</v>
      </c>
      <c r="G961" s="108" t="s">
        <v>2504</v>
      </c>
      <c r="H961" s="131" t="s">
        <v>285</v>
      </c>
      <c r="I961" s="115">
        <v>6</v>
      </c>
      <c r="J961" s="109" t="s">
        <v>1606</v>
      </c>
      <c r="K961" s="105" t="s">
        <v>2947</v>
      </c>
      <c r="L961" s="107" t="str">
        <f ca="1">VLOOKUP($K961,OFFSET([1]character_type_i18n!$A$1,0,0,COUNTA([1]character_type_i18n!$A:$A),MATCH(L$1,[1]character_type_i18n!$1:$1,0)-MATCH($K$1,[1]character_type_i18n!$1:$1,0)+1),MATCH(L$1,[1]character_type_i18n!$1:$1,0)-MATCH($K$1,[1]character_type_i18n!$1:$1,0)+1,FALSE)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961" s="105" t="s">
        <v>2948</v>
      </c>
      <c r="N961" s="107" t="str">
        <f>VLOOKUP(M961,[1]character_tribe_i18n!A:C,3,FALSE)</f>
        <v>アカデミア</v>
      </c>
      <c r="O961" s="105" t="s">
        <v>2949</v>
      </c>
      <c r="P961" s="107" t="str">
        <f>VLOOKUP(O961,[1]character_tribe_i18n!A:C,3,FALSE)</f>
        <v>アニマル</v>
      </c>
      <c r="Q961" s="110" t="s">
        <v>279</v>
      </c>
      <c r="R961" s="111">
        <v>3</v>
      </c>
      <c r="S961" s="108" t="s">
        <v>280</v>
      </c>
      <c r="T961" s="108" t="s">
        <v>2950</v>
      </c>
      <c r="U961" s="108" t="s">
        <v>280</v>
      </c>
      <c r="V961" s="108" t="s">
        <v>280</v>
      </c>
      <c r="W961" s="108" t="s">
        <v>280</v>
      </c>
    </row>
    <row r="962" spans="1:23" ht="21" customHeight="1" x14ac:dyDescent="0.15">
      <c r="A962" s="104">
        <f t="shared" si="14"/>
        <v>961</v>
      </c>
      <c r="B962" s="105" t="s">
        <v>268</v>
      </c>
      <c r="C962" s="121" t="s">
        <v>2951</v>
      </c>
      <c r="D962" s="107" t="s">
        <v>2952</v>
      </c>
      <c r="E962" s="108" t="s">
        <v>1277</v>
      </c>
      <c r="F962" s="108" t="s">
        <v>890</v>
      </c>
      <c r="G962" s="108" t="s">
        <v>2201</v>
      </c>
      <c r="H962" s="131" t="s">
        <v>285</v>
      </c>
      <c r="I962" s="121">
        <v>6</v>
      </c>
      <c r="J962" s="109" t="s">
        <v>2492</v>
      </c>
      <c r="K962" s="105" t="s">
        <v>2953</v>
      </c>
      <c r="L962" s="107" t="str">
        <f ca="1">VLOOKUP($K962,OFFSET([1]character_type_i18n!$A$1,0,0,COUNTA([1]character_type_i18n!$A:$A),MATCH(L$1,[1]character_type_i18n!$1:$1,0)-MATCH($K$1,[1]character_type_i18n!$1:$1,0)+1),MATCH(L$1,[1]character_type_i18n!$1:$1,0)-MATCH($K$1,[1]character_type_i18n!$1:$1,0)+1,FALSE)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62" s="105" t="s">
        <v>2507</v>
      </c>
      <c r="N962" s="107" t="str">
        <f>VLOOKUP(M962,[1]character_tribe_i18n!A:C,3,FALSE)</f>
        <v>ヒューマン</v>
      </c>
      <c r="O962" s="105" t="s">
        <v>278</v>
      </c>
      <c r="P962" s="107" t="str">
        <f>VLOOKUP(O962,[1]character_tribe_i18n!A:C,3,FALSE)</f>
        <v>種族なし</v>
      </c>
      <c r="Q962" s="110" t="s">
        <v>2954</v>
      </c>
      <c r="R962" s="111">
        <v>3</v>
      </c>
      <c r="S962" s="108" t="s">
        <v>2955</v>
      </c>
      <c r="T962" s="108" t="s">
        <v>910</v>
      </c>
      <c r="U962" s="108" t="s">
        <v>911</v>
      </c>
      <c r="V962" s="108" t="s">
        <v>894</v>
      </c>
      <c r="W962" s="108" t="s">
        <v>894</v>
      </c>
    </row>
    <row r="963" spans="1:23" ht="21" customHeight="1" x14ac:dyDescent="0.15">
      <c r="A963" s="104">
        <f t="shared" si="14"/>
        <v>962</v>
      </c>
      <c r="B963" s="105" t="s">
        <v>1261</v>
      </c>
      <c r="C963" s="121" t="s">
        <v>2956</v>
      </c>
      <c r="D963" s="107" t="s">
        <v>2957</v>
      </c>
      <c r="E963" s="108" t="s">
        <v>1277</v>
      </c>
      <c r="F963" s="108" t="s">
        <v>890</v>
      </c>
      <c r="G963" s="108" t="s">
        <v>2201</v>
      </c>
      <c r="H963" s="131" t="s">
        <v>2958</v>
      </c>
      <c r="I963" s="121">
        <v>6</v>
      </c>
      <c r="J963" s="109" t="s">
        <v>2522</v>
      </c>
      <c r="K963" s="105" t="s">
        <v>2676</v>
      </c>
      <c r="L963" s="107" t="str">
        <f ca="1">VLOOKUP($K963,OFFSET([1]character_type_i18n!$A$1,0,0,COUNTA([1]character_type_i18n!$A:$A),MATCH(L$1,[1]character_type_i18n!$1:$1,0)-MATCH($K$1,[1]character_type_i18n!$1:$1,0)+1),MATCH(L$1,[1]character_type_i18n!$1:$1,0)-MATCH($K$1,[1]character_type_i18n!$1:$1,0)+1,FALSE)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63" s="105" t="s">
        <v>2959</v>
      </c>
      <c r="N963" s="107" t="str">
        <f>VLOOKUP(M963,[1]character_tribe_i18n!A:C,3,FALSE)</f>
        <v>ドラゴン</v>
      </c>
      <c r="O963" s="105" t="s">
        <v>278</v>
      </c>
      <c r="P963" s="107" t="str">
        <f>VLOOKUP(O963,[1]character_tribe_i18n!A:C,3,FALSE)</f>
        <v>種族なし</v>
      </c>
      <c r="Q963" s="110" t="s">
        <v>2960</v>
      </c>
      <c r="R963" s="111">
        <v>3</v>
      </c>
      <c r="S963" s="108" t="s">
        <v>540</v>
      </c>
      <c r="T963" s="108" t="s">
        <v>2175</v>
      </c>
      <c r="U963" s="108" t="s">
        <v>1659</v>
      </c>
      <c r="V963" s="108" t="s">
        <v>894</v>
      </c>
      <c r="W963" s="108" t="s">
        <v>894</v>
      </c>
    </row>
    <row r="964" spans="1:23" ht="21" customHeight="1" x14ac:dyDescent="0.15">
      <c r="A964" s="104">
        <f t="shared" si="14"/>
        <v>963</v>
      </c>
      <c r="B964" s="105" t="s">
        <v>1261</v>
      </c>
      <c r="C964" s="121" t="s">
        <v>2961</v>
      </c>
      <c r="D964" s="107" t="s">
        <v>2962</v>
      </c>
      <c r="E964" s="108" t="s">
        <v>2488</v>
      </c>
      <c r="F964" s="108" t="s">
        <v>2489</v>
      </c>
      <c r="G964" s="108" t="s">
        <v>2490</v>
      </c>
      <c r="H964" s="131" t="s">
        <v>300</v>
      </c>
      <c r="I964" s="121">
        <v>6</v>
      </c>
      <c r="J964" s="109" t="s">
        <v>2522</v>
      </c>
      <c r="K964" s="105" t="s">
        <v>1273</v>
      </c>
      <c r="L964" s="107" t="str">
        <f ca="1">VLOOKUP($K964,OFFSET([1]character_type_i18n!$A$1,0,0,COUNTA([1]character_type_i18n!$A:$A),MATCH(L$1,[1]character_type_i18n!$1:$1,0)-MATCH($K$1,[1]character_type_i18n!$1:$1,0)+1),MATCH(L$1,[1]character_type_i18n!$1:$1,0)-MATCH($K$1,[1]character_type_i18n!$1:$1,0)+1,FALSE)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64" s="105" t="s">
        <v>1018</v>
      </c>
      <c r="N964" s="107" t="str">
        <f>VLOOKUP(M964,[1]character_tribe_i18n!A:C,3,FALSE)</f>
        <v>ゴッド</v>
      </c>
      <c r="O964" s="105" t="s">
        <v>278</v>
      </c>
      <c r="P964" s="107" t="str">
        <f>VLOOKUP(O964,[1]character_tribe_i18n!A:C,3,FALSE)</f>
        <v>種族なし</v>
      </c>
      <c r="Q964" s="110" t="s">
        <v>279</v>
      </c>
      <c r="R964" s="111">
        <v>2</v>
      </c>
      <c r="S964" s="108" t="s">
        <v>280</v>
      </c>
      <c r="T964" s="108" t="s">
        <v>2468</v>
      </c>
      <c r="U964" s="108" t="s">
        <v>1540</v>
      </c>
      <c r="V964" s="108" t="s">
        <v>894</v>
      </c>
      <c r="W964" s="108" t="s">
        <v>894</v>
      </c>
    </row>
    <row r="965" spans="1:23" ht="21" customHeight="1" x14ac:dyDescent="0.15">
      <c r="A965" s="104">
        <f t="shared" ref="A965:A1052" si="15">ROW()-1</f>
        <v>964</v>
      </c>
      <c r="B965" s="105" t="s">
        <v>268</v>
      </c>
      <c r="C965" s="121" t="s">
        <v>2963</v>
      </c>
      <c r="D965" s="107" t="s">
        <v>2964</v>
      </c>
      <c r="E965" s="108" t="s">
        <v>1277</v>
      </c>
      <c r="F965" s="108" t="s">
        <v>890</v>
      </c>
      <c r="G965" s="108" t="s">
        <v>2201</v>
      </c>
      <c r="H965" s="131" t="s">
        <v>295</v>
      </c>
      <c r="I965" s="121">
        <v>6</v>
      </c>
      <c r="J965" s="109" t="s">
        <v>2522</v>
      </c>
      <c r="K965" s="105" t="s">
        <v>1292</v>
      </c>
      <c r="L965" s="107" t="str">
        <f ca="1">VLOOKUP($K965,OFFSET([1]character_type_i18n!$A$1,0,0,COUNTA([1]character_type_i18n!$A:$A),MATCH(L$1,[1]character_type_i18n!$1:$1,0)-MATCH($K$1,[1]character_type_i18n!$1:$1,0)+1),MATCH(L$1,[1]character_type_i18n!$1:$1,0)-MATCH($K$1,[1]character_type_i18n!$1:$1,0)+1,FALSE)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65" s="105" t="s">
        <v>854</v>
      </c>
      <c r="N965" s="107" t="str">
        <f>VLOOKUP(M965,[1]character_tribe_i18n!A:C,3,FALSE)</f>
        <v>ドラゴン</v>
      </c>
      <c r="O965" s="105" t="s">
        <v>278</v>
      </c>
      <c r="P965" s="107" t="str">
        <f>VLOOKUP(O965,[1]character_tribe_i18n!A:C,3,FALSE)</f>
        <v>種族なし</v>
      </c>
      <c r="Q965" s="110" t="s">
        <v>279</v>
      </c>
      <c r="R965" s="111">
        <v>3</v>
      </c>
      <c r="S965" s="108" t="s">
        <v>280</v>
      </c>
      <c r="T965" s="108" t="s">
        <v>281</v>
      </c>
      <c r="U965" s="108" t="s">
        <v>280</v>
      </c>
      <c r="V965" s="108" t="s">
        <v>894</v>
      </c>
      <c r="W965" s="108" t="s">
        <v>894</v>
      </c>
    </row>
    <row r="966" spans="1:23" ht="21" customHeight="1" x14ac:dyDescent="0.15">
      <c r="A966" s="104">
        <f t="shared" si="15"/>
        <v>965</v>
      </c>
      <c r="B966" s="105" t="s">
        <v>1261</v>
      </c>
      <c r="C966" s="135" t="s">
        <v>2965</v>
      </c>
      <c r="D966" s="107" t="s">
        <v>2966</v>
      </c>
      <c r="E966" s="108" t="s">
        <v>2488</v>
      </c>
      <c r="F966" s="108" t="s">
        <v>2489</v>
      </c>
      <c r="G966" s="108" t="s">
        <v>2490</v>
      </c>
      <c r="H966" s="131" t="s">
        <v>274</v>
      </c>
      <c r="I966" s="121">
        <v>6</v>
      </c>
      <c r="J966" s="109" t="s">
        <v>2522</v>
      </c>
      <c r="K966" s="105" t="s">
        <v>1273</v>
      </c>
      <c r="L966" s="107" t="str">
        <f ca="1">VLOOKUP($K966,OFFSET([1]character_type_i18n!$A$1,0,0,COUNTA([1]character_type_i18n!$A:$A),MATCH(L$1,[1]character_type_i18n!$1:$1,0)-MATCH($K$1,[1]character_type_i18n!$1:$1,0)+1),MATCH(L$1,[1]character_type_i18n!$1:$1,0)-MATCH($K$1,[1]character_type_i18n!$1:$1,0)+1,FALSE)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66" s="105" t="s">
        <v>854</v>
      </c>
      <c r="N966" s="107" t="str">
        <f>VLOOKUP(M966,[1]character_tribe_i18n!A:C,3,FALSE)</f>
        <v>ドラゴン</v>
      </c>
      <c r="O966" s="105" t="s">
        <v>278</v>
      </c>
      <c r="P966" s="107" t="str">
        <f>VLOOKUP(O966,[1]character_tribe_i18n!A:C,3,FALSE)</f>
        <v>種族なし</v>
      </c>
      <c r="Q966" s="110" t="s">
        <v>1656</v>
      </c>
      <c r="R966" s="111">
        <v>3</v>
      </c>
      <c r="S966" s="108" t="s">
        <v>898</v>
      </c>
      <c r="T966" s="108" t="s">
        <v>899</v>
      </c>
      <c r="U966" s="108" t="s">
        <v>900</v>
      </c>
      <c r="V966" s="108" t="s">
        <v>894</v>
      </c>
      <c r="W966" s="108" t="s">
        <v>894</v>
      </c>
    </row>
    <row r="967" spans="1:23" ht="21" customHeight="1" x14ac:dyDescent="0.15">
      <c r="A967" s="104">
        <f t="shared" si="15"/>
        <v>966</v>
      </c>
      <c r="B967" s="105" t="s">
        <v>1261</v>
      </c>
      <c r="C967" s="121" t="s">
        <v>2967</v>
      </c>
      <c r="D967" s="107" t="s">
        <v>2968</v>
      </c>
      <c r="E967" s="108" t="s">
        <v>2520</v>
      </c>
      <c r="F967" s="108" t="s">
        <v>532</v>
      </c>
      <c r="G967" s="108" t="s">
        <v>710</v>
      </c>
      <c r="H967" s="131" t="s">
        <v>285</v>
      </c>
      <c r="I967" s="121">
        <v>6</v>
      </c>
      <c r="J967" s="109" t="s">
        <v>1001</v>
      </c>
      <c r="K967" s="105" t="s">
        <v>1005</v>
      </c>
      <c r="L967" s="107" t="str">
        <f ca="1">VLOOKUP($K967,OFFSET([1]character_type_i18n!$A$1,0,0,COUNTA([1]character_type_i18n!$A:$A),MATCH(L$1,[1]character_type_i18n!$1:$1,0)-MATCH($K$1,[1]character_type_i18n!$1:$1,0)+1),MATCH(L$1,[1]character_type_i18n!$1:$1,0)-MATCH($K$1,[1]character_type_i18n!$1:$1,0)+1,FALSE)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67" s="105" t="s">
        <v>2969</v>
      </c>
      <c r="N967" s="107" t="str">
        <f>VLOOKUP(M967,[1]character_tribe_i18n!A:C,3,FALSE)</f>
        <v>ヒューマン</v>
      </c>
      <c r="O967" s="105" t="s">
        <v>2970</v>
      </c>
      <c r="P967" s="107" t="str">
        <f>VLOOKUP(O967,[1]character_tribe_i18n!A:C,3,FALSE)</f>
        <v>サムライ</v>
      </c>
      <c r="Q967" s="110" t="s">
        <v>279</v>
      </c>
      <c r="R967" s="111">
        <v>3</v>
      </c>
      <c r="S967" s="108" t="s">
        <v>280</v>
      </c>
      <c r="T967" s="108" t="s">
        <v>281</v>
      </c>
      <c r="U967" s="108" t="s">
        <v>280</v>
      </c>
      <c r="V967" s="108" t="s">
        <v>280</v>
      </c>
      <c r="W967" s="108" t="s">
        <v>280</v>
      </c>
    </row>
    <row r="968" spans="1:23" ht="21" customHeight="1" x14ac:dyDescent="0.15">
      <c r="A968" s="104">
        <f t="shared" si="15"/>
        <v>967</v>
      </c>
      <c r="B968" s="105" t="s">
        <v>268</v>
      </c>
      <c r="C968" s="121" t="s">
        <v>2971</v>
      </c>
      <c r="D968" s="107" t="s">
        <v>2972</v>
      </c>
      <c r="E968" s="108" t="s">
        <v>709</v>
      </c>
      <c r="F968" s="108" t="s">
        <v>532</v>
      </c>
      <c r="G968" s="108" t="s">
        <v>710</v>
      </c>
      <c r="H968" s="131" t="s">
        <v>300</v>
      </c>
      <c r="I968" s="121">
        <v>6</v>
      </c>
      <c r="J968" s="109" t="s">
        <v>1001</v>
      </c>
      <c r="K968" s="105" t="s">
        <v>1505</v>
      </c>
      <c r="L968" s="107" t="str">
        <f ca="1">VLOOKUP($K968,OFFSET([1]character_type_i18n!$A$1,0,0,COUNTA([1]character_type_i18n!$A:$A),MATCH(L$1,[1]character_type_i18n!$1:$1,0)-MATCH($K$1,[1]character_type_i18n!$1:$1,0)+1),MATCH(L$1,[1]character_type_i18n!$1:$1,0)-MATCH($K$1,[1]character_type_i18n!$1:$1,0)+1,FALSE)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68" s="105" t="s">
        <v>1011</v>
      </c>
      <c r="N968" s="107" t="str">
        <f>VLOOKUP(M968,[1]character_tribe_i18n!A:C,3,FALSE)</f>
        <v>ヒューマン</v>
      </c>
      <c r="O968" s="105" t="s">
        <v>2245</v>
      </c>
      <c r="P968" s="107" t="str">
        <f>VLOOKUP(O968,[1]character_tribe_i18n!A:C,3,FALSE)</f>
        <v>サムライ</v>
      </c>
      <c r="Q968" s="110" t="s">
        <v>279</v>
      </c>
      <c r="R968" s="111">
        <v>3</v>
      </c>
      <c r="S968" s="108" t="s">
        <v>280</v>
      </c>
      <c r="T968" s="108" t="s">
        <v>281</v>
      </c>
      <c r="U968" s="108" t="s">
        <v>280</v>
      </c>
      <c r="V968" s="108" t="s">
        <v>280</v>
      </c>
      <c r="W968" s="108" t="s">
        <v>280</v>
      </c>
    </row>
    <row r="969" spans="1:23" ht="21" customHeight="1" x14ac:dyDescent="0.15">
      <c r="A969" s="104">
        <f t="shared" si="15"/>
        <v>968</v>
      </c>
      <c r="B969" s="105" t="s">
        <v>268</v>
      </c>
      <c r="C969" s="127" t="s">
        <v>2973</v>
      </c>
      <c r="D969" s="107" t="s">
        <v>2974</v>
      </c>
      <c r="E969" s="108" t="s">
        <v>709</v>
      </c>
      <c r="F969" s="108" t="s">
        <v>532</v>
      </c>
      <c r="G969" s="108" t="s">
        <v>710</v>
      </c>
      <c r="H969" s="131" t="s">
        <v>295</v>
      </c>
      <c r="I969" s="121">
        <v>6</v>
      </c>
      <c r="J969" s="109" t="s">
        <v>1001</v>
      </c>
      <c r="K969" s="105" t="s">
        <v>1505</v>
      </c>
      <c r="L969" s="107" t="str">
        <f ca="1">VLOOKUP($K969,OFFSET([1]character_type_i18n!$A$1,0,0,COUNTA([1]character_type_i18n!$A:$A),MATCH(L$1,[1]character_type_i18n!$1:$1,0)-MATCH($K$1,[1]character_type_i18n!$1:$1,0)+1),MATCH(L$1,[1]character_type_i18n!$1:$1,0)-MATCH($K$1,[1]character_type_i18n!$1:$1,0)+1,FALSE)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69" s="105" t="s">
        <v>1018</v>
      </c>
      <c r="N969" s="107" t="str">
        <f>VLOOKUP(M969,[1]character_tribe_i18n!A:C,3,FALSE)</f>
        <v>ゴッド</v>
      </c>
      <c r="O969" s="105" t="s">
        <v>278</v>
      </c>
      <c r="P969" s="107" t="str">
        <f>VLOOKUP(O969,[1]character_tribe_i18n!A:C,3,FALSE)</f>
        <v>種族なし</v>
      </c>
      <c r="Q969" s="110" t="s">
        <v>2954</v>
      </c>
      <c r="R969" s="111">
        <v>2</v>
      </c>
      <c r="S969" s="108" t="s">
        <v>2955</v>
      </c>
      <c r="T969" s="108" t="s">
        <v>910</v>
      </c>
      <c r="U969" s="108" t="s">
        <v>911</v>
      </c>
      <c r="V969" s="108" t="s">
        <v>894</v>
      </c>
      <c r="W969" s="108" t="s">
        <v>894</v>
      </c>
    </row>
    <row r="970" spans="1:23" ht="21" customHeight="1" x14ac:dyDescent="0.15">
      <c r="A970" s="104">
        <f t="shared" si="15"/>
        <v>969</v>
      </c>
      <c r="B970" s="105" t="s">
        <v>1261</v>
      </c>
      <c r="C970" s="121" t="s">
        <v>2975</v>
      </c>
      <c r="D970" s="107" t="s">
        <v>2976</v>
      </c>
      <c r="E970" s="108" t="s">
        <v>709</v>
      </c>
      <c r="F970" s="108" t="s">
        <v>532</v>
      </c>
      <c r="G970" s="108" t="s">
        <v>710</v>
      </c>
      <c r="H970" s="131" t="s">
        <v>274</v>
      </c>
      <c r="I970" s="121">
        <v>6</v>
      </c>
      <c r="J970" s="109" t="s">
        <v>1001</v>
      </c>
      <c r="K970" s="105" t="s">
        <v>967</v>
      </c>
      <c r="L970" s="107" t="str">
        <f ca="1">VLOOKUP($K970,OFFSET([1]character_type_i18n!$A$1,0,0,COUNTA([1]character_type_i18n!$A:$A),MATCH(L$1,[1]character_type_i18n!$1:$1,0)-MATCH($K$1,[1]character_type_i18n!$1:$1,0)+1),MATCH(L$1,[1]character_type_i18n!$1:$1,0)-MATCH($K$1,[1]character_type_i18n!$1:$1,0)+1,FALSE)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70" s="105" t="s">
        <v>2977</v>
      </c>
      <c r="N970" s="107" t="str">
        <f>VLOOKUP(M970,[1]character_tribe_i18n!A:C,3,FALSE)</f>
        <v>マシン</v>
      </c>
      <c r="O970" s="105" t="s">
        <v>1423</v>
      </c>
      <c r="P970" s="107" t="str">
        <f>VLOOKUP(O970,[1]character_tribe_i18n!A:C,3,FALSE)</f>
        <v>種族なし</v>
      </c>
      <c r="Q970" s="110" t="s">
        <v>1656</v>
      </c>
      <c r="R970" s="111">
        <v>3</v>
      </c>
      <c r="S970" s="108" t="s">
        <v>898</v>
      </c>
      <c r="T970" s="108" t="s">
        <v>899</v>
      </c>
      <c r="U970" s="108" t="s">
        <v>900</v>
      </c>
      <c r="V970" s="108" t="s">
        <v>894</v>
      </c>
      <c r="W970" s="108" t="s">
        <v>894</v>
      </c>
    </row>
    <row r="971" spans="1:23" ht="21" customHeight="1" x14ac:dyDescent="0.15">
      <c r="A971" s="104">
        <f t="shared" si="15"/>
        <v>970</v>
      </c>
      <c r="B971" s="105" t="s">
        <v>1261</v>
      </c>
      <c r="C971" s="121" t="s">
        <v>2978</v>
      </c>
      <c r="D971" s="107" t="s">
        <v>2979</v>
      </c>
      <c r="E971" s="108" t="s">
        <v>709</v>
      </c>
      <c r="F971" s="108" t="s">
        <v>2489</v>
      </c>
      <c r="G971" s="108" t="s">
        <v>2490</v>
      </c>
      <c r="H971" s="131" t="s">
        <v>300</v>
      </c>
      <c r="I971" s="121">
        <v>6</v>
      </c>
      <c r="J971" s="109" t="s">
        <v>2522</v>
      </c>
      <c r="K971" s="105" t="s">
        <v>1292</v>
      </c>
      <c r="L971" s="107" t="str">
        <f ca="1">VLOOKUP($K971,OFFSET([1]character_type_i18n!$A$1,0,0,COUNTA([1]character_type_i18n!$A:$A),MATCH(L$1,[1]character_type_i18n!$1:$1,0)-MATCH($K$1,[1]character_type_i18n!$1:$1,0)+1),MATCH(L$1,[1]character_type_i18n!$1:$1,0)-MATCH($K$1,[1]character_type_i18n!$1:$1,0)+1,FALSE)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71" s="105" t="s">
        <v>1011</v>
      </c>
      <c r="N971" s="107" t="str">
        <f>VLOOKUP(M971,[1]character_tribe_i18n!A:C,3,FALSE)</f>
        <v>ヒューマン</v>
      </c>
      <c r="O971" s="105" t="s">
        <v>278</v>
      </c>
      <c r="P971" s="107" t="str">
        <f>VLOOKUP(O971,[1]character_tribe_i18n!A:C,3,FALSE)</f>
        <v>種族なし</v>
      </c>
      <c r="Q971" s="110" t="s">
        <v>2954</v>
      </c>
      <c r="R971" s="111">
        <v>3</v>
      </c>
      <c r="S971" s="108" t="s">
        <v>2955</v>
      </c>
      <c r="T971" s="108" t="s">
        <v>2980</v>
      </c>
      <c r="U971" s="108" t="s">
        <v>280</v>
      </c>
      <c r="V971" s="108" t="s">
        <v>887</v>
      </c>
      <c r="W971" s="108" t="s">
        <v>887</v>
      </c>
    </row>
    <row r="972" spans="1:23" ht="21" customHeight="1" x14ac:dyDescent="0.15">
      <c r="A972" s="104">
        <f t="shared" si="15"/>
        <v>971</v>
      </c>
      <c r="B972" s="105" t="s">
        <v>1288</v>
      </c>
      <c r="C972" s="127" t="s">
        <v>2981</v>
      </c>
      <c r="D972" s="107" t="s">
        <v>2982</v>
      </c>
      <c r="E972" s="108" t="s">
        <v>1712</v>
      </c>
      <c r="F972" s="108" t="s">
        <v>1713</v>
      </c>
      <c r="G972" s="108" t="s">
        <v>1714</v>
      </c>
      <c r="H972" s="131" t="s">
        <v>300</v>
      </c>
      <c r="I972" s="121">
        <v>6</v>
      </c>
      <c r="J972" s="109" t="s">
        <v>2481</v>
      </c>
      <c r="K972" s="105" t="s">
        <v>2983</v>
      </c>
      <c r="L972" s="107" t="str">
        <f ca="1">VLOOKUP($K972,OFFSET([1]character_type_i18n!$A$1,0,0,COUNTA([1]character_type_i18n!$A:$A),MATCH(L$1,[1]character_type_i18n!$1:$1,0)-MATCH($K$1,[1]character_type_i18n!$1:$1,0)+1),MATCH(L$1,[1]character_type_i18n!$1:$1,0)-MATCH($K$1,[1]character_type_i18n!$1:$1,0)+1,FALSE)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72" s="105" t="s">
        <v>2984</v>
      </c>
      <c r="N972" s="107" t="str">
        <f>VLOOKUP(M972,[1]character_tribe_i18n!A:C,3,FALSE)</f>
        <v>アニマル</v>
      </c>
      <c r="O972" s="105" t="s">
        <v>1018</v>
      </c>
      <c r="P972" s="107" t="str">
        <f>VLOOKUP(O972,[1]character_tribe_i18n!A:C,3,FALSE)</f>
        <v>ゴッド</v>
      </c>
      <c r="Q972" s="110" t="s">
        <v>1658</v>
      </c>
      <c r="R972" s="111">
        <v>3</v>
      </c>
      <c r="S972" s="108" t="s">
        <v>1659</v>
      </c>
      <c r="T972" s="108" t="s">
        <v>281</v>
      </c>
      <c r="U972" s="108" t="s">
        <v>280</v>
      </c>
      <c r="V972" s="108" t="s">
        <v>894</v>
      </c>
      <c r="W972" s="108" t="s">
        <v>894</v>
      </c>
    </row>
    <row r="973" spans="1:23" ht="21" customHeight="1" x14ac:dyDescent="0.15">
      <c r="A973" s="104">
        <f t="shared" si="15"/>
        <v>972</v>
      </c>
      <c r="B973" s="105" t="s">
        <v>1261</v>
      </c>
      <c r="C973" s="154" t="s">
        <v>2985</v>
      </c>
      <c r="D973" s="107" t="s">
        <v>2986</v>
      </c>
      <c r="E973" s="108" t="s">
        <v>2286</v>
      </c>
      <c r="F973" s="108" t="s">
        <v>2287</v>
      </c>
      <c r="G973" s="108" t="s">
        <v>2288</v>
      </c>
      <c r="H973" s="131" t="s">
        <v>274</v>
      </c>
      <c r="I973" s="140">
        <v>5</v>
      </c>
      <c r="J973" s="109" t="s">
        <v>2936</v>
      </c>
      <c r="K973" s="105" t="s">
        <v>1273</v>
      </c>
      <c r="L973" s="107" t="str">
        <f ca="1">VLOOKUP($K973,OFFSET([1]character_type_i18n!$A$1,0,0,COUNTA([1]character_type_i18n!$A:$A),MATCH(L$1,[1]character_type_i18n!$1:$1,0)-MATCH($K$1,[1]character_type_i18n!$1:$1,0)+1),MATCH(L$1,[1]character_type_i18n!$1:$1,0)-MATCH($K$1,[1]character_type_i18n!$1:$1,0)+1,FALSE)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73" s="105" t="s">
        <v>1987</v>
      </c>
      <c r="N973" s="107" t="str">
        <f>VLOOKUP(M973,[1]character_tribe_i18n!A:C,3,FALSE)</f>
        <v>アカデミア</v>
      </c>
      <c r="O973" s="105" t="s">
        <v>1771</v>
      </c>
      <c r="P973" s="107" t="str">
        <f>VLOOKUP(O973,[1]character_tribe_i18n!A:C,3,FALSE)</f>
        <v>Unknown</v>
      </c>
      <c r="Q973" s="110" t="s">
        <v>279</v>
      </c>
      <c r="R973" s="111">
        <v>3</v>
      </c>
      <c r="S973" s="108" t="s">
        <v>280</v>
      </c>
      <c r="T973" s="108" t="s">
        <v>1307</v>
      </c>
      <c r="U973" s="108" t="s">
        <v>1308</v>
      </c>
      <c r="V973" s="108" t="s">
        <v>894</v>
      </c>
      <c r="W973" s="108" t="s">
        <v>894</v>
      </c>
    </row>
    <row r="974" spans="1:23" ht="21" customHeight="1" x14ac:dyDescent="0.15">
      <c r="A974" s="104">
        <f t="shared" si="15"/>
        <v>973</v>
      </c>
      <c r="B974" s="105" t="s">
        <v>1261</v>
      </c>
      <c r="C974" s="154" t="s">
        <v>2987</v>
      </c>
      <c r="D974" s="107" t="s">
        <v>2988</v>
      </c>
      <c r="E974" s="108" t="s">
        <v>709</v>
      </c>
      <c r="F974" s="108" t="s">
        <v>2489</v>
      </c>
      <c r="G974" s="108" t="s">
        <v>2490</v>
      </c>
      <c r="H974" s="131" t="s">
        <v>274</v>
      </c>
      <c r="I974" s="140">
        <v>6</v>
      </c>
      <c r="J974" s="109" t="s">
        <v>2941</v>
      </c>
      <c r="K974" s="105" t="s">
        <v>1005</v>
      </c>
      <c r="L974" s="107" t="str">
        <f ca="1">VLOOKUP($K974,OFFSET([1]character_type_i18n!$A$1,0,0,COUNTA([1]character_type_i18n!$A:$A),MATCH(L$1,[1]character_type_i18n!$1:$1,0)-MATCH($K$1,[1]character_type_i18n!$1:$1,0)+1),MATCH(L$1,[1]character_type_i18n!$1:$1,0)-MATCH($K$1,[1]character_type_i18n!$1:$1,0)+1,FALSE)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74" s="105" t="s">
        <v>1987</v>
      </c>
      <c r="N974" s="107" t="str">
        <f>VLOOKUP(M974,[1]character_tribe_i18n!A:C,3,FALSE)</f>
        <v>アカデミア</v>
      </c>
      <c r="O974" s="105" t="s">
        <v>2679</v>
      </c>
      <c r="P974" s="107" t="str">
        <f>VLOOKUP(O974,[1]character_tribe_i18n!A:C,3,FALSE)</f>
        <v>Unknown</v>
      </c>
      <c r="Q974" s="110" t="s">
        <v>2656</v>
      </c>
      <c r="R974" s="111">
        <v>3</v>
      </c>
      <c r="S974" s="108" t="s">
        <v>2666</v>
      </c>
      <c r="T974" s="108" t="s">
        <v>2667</v>
      </c>
      <c r="U974" s="108" t="s">
        <v>2666</v>
      </c>
      <c r="V974" s="108" t="s">
        <v>2666</v>
      </c>
      <c r="W974" s="108" t="s">
        <v>2666</v>
      </c>
    </row>
    <row r="975" spans="1:23" ht="21" customHeight="1" x14ac:dyDescent="0.15">
      <c r="A975" s="104">
        <f t="shared" si="15"/>
        <v>974</v>
      </c>
      <c r="B975" s="105" t="s">
        <v>2657</v>
      </c>
      <c r="C975" s="154" t="s">
        <v>2989</v>
      </c>
      <c r="D975" s="107" t="s">
        <v>2990</v>
      </c>
      <c r="E975" s="108" t="s">
        <v>1749</v>
      </c>
      <c r="F975" s="108" t="s">
        <v>2489</v>
      </c>
      <c r="G975" s="108" t="s">
        <v>2490</v>
      </c>
      <c r="H975" s="131" t="s">
        <v>2625</v>
      </c>
      <c r="I975" s="140">
        <v>5</v>
      </c>
      <c r="J975" s="109" t="s">
        <v>2941</v>
      </c>
      <c r="K975" s="105" t="s">
        <v>1008</v>
      </c>
      <c r="L975" s="107" t="str">
        <f ca="1">VLOOKUP($K975,OFFSET([1]character_type_i18n!$A$1,0,0,COUNTA([1]character_type_i18n!$A:$A),MATCH(L$1,[1]character_type_i18n!$1:$1,0)-MATCH($K$1,[1]character_type_i18n!$1:$1,0)+1),MATCH(L$1,[1]character_type_i18n!$1:$1,0)-MATCH($K$1,[1]character_type_i18n!$1:$1,0)+1,FALSE)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75" s="105" t="s">
        <v>2991</v>
      </c>
      <c r="N975" s="107" t="str">
        <f>VLOOKUP(M975,[1]character_tribe_i18n!A:C,3,FALSE)</f>
        <v>アカデミア</v>
      </c>
      <c r="O975" s="105" t="s">
        <v>278</v>
      </c>
      <c r="P975" s="107" t="str">
        <f>VLOOKUP(O975,[1]character_tribe_i18n!A:C,3,FALSE)</f>
        <v>種族なし</v>
      </c>
      <c r="Q975" s="110" t="s">
        <v>2656</v>
      </c>
      <c r="R975" s="111">
        <v>3</v>
      </c>
      <c r="S975" s="108" t="s">
        <v>2666</v>
      </c>
      <c r="T975" s="108" t="s">
        <v>2667</v>
      </c>
      <c r="U975" s="108" t="s">
        <v>2666</v>
      </c>
      <c r="V975" s="108" t="s">
        <v>2666</v>
      </c>
      <c r="W975" s="108" t="s">
        <v>2666</v>
      </c>
    </row>
    <row r="976" spans="1:23" ht="21" customHeight="1" x14ac:dyDescent="0.15">
      <c r="A976" s="104">
        <f t="shared" si="15"/>
        <v>975</v>
      </c>
      <c r="B976" s="105" t="s">
        <v>2657</v>
      </c>
      <c r="C976" s="154" t="s">
        <v>2992</v>
      </c>
      <c r="D976" s="107" t="s">
        <v>2993</v>
      </c>
      <c r="E976" s="108" t="s">
        <v>2520</v>
      </c>
      <c r="F976" s="108" t="s">
        <v>2287</v>
      </c>
      <c r="G976" s="108" t="s">
        <v>2288</v>
      </c>
      <c r="H976" s="131" t="s">
        <v>295</v>
      </c>
      <c r="I976" s="140">
        <v>6</v>
      </c>
      <c r="J976" s="109" t="s">
        <v>2936</v>
      </c>
      <c r="K976" s="105" t="s">
        <v>2994</v>
      </c>
      <c r="L976" s="107" t="str">
        <f ca="1">VLOOKUP($K976,OFFSET([1]character_type_i18n!$A$1,0,0,COUNTA([1]character_type_i18n!$A:$A),MATCH(L$1,[1]character_type_i18n!$1:$1,0)-MATCH($K$1,[1]character_type_i18n!$1:$1,0)+1),MATCH(L$1,[1]character_type_i18n!$1:$1,0)-MATCH($K$1,[1]character_type_i18n!$1:$1,0)+1,FALSE)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76" s="105" t="s">
        <v>2931</v>
      </c>
      <c r="N976" s="107" t="str">
        <f>VLOOKUP(M976,[1]character_tribe_i18n!A:C,3,FALSE)</f>
        <v>アカデミア</v>
      </c>
      <c r="O976" s="105" t="s">
        <v>278</v>
      </c>
      <c r="P976" s="107" t="str">
        <f>VLOOKUP(O976,[1]character_tribe_i18n!A:C,3,FALSE)</f>
        <v>種族なし</v>
      </c>
      <c r="Q976" s="110" t="s">
        <v>1656</v>
      </c>
      <c r="R976" s="111">
        <v>3</v>
      </c>
      <c r="S976" s="108" t="s">
        <v>898</v>
      </c>
      <c r="T976" s="108" t="s">
        <v>281</v>
      </c>
      <c r="U976" s="108" t="s">
        <v>280</v>
      </c>
      <c r="V976" s="108" t="s">
        <v>894</v>
      </c>
      <c r="W976" s="108" t="s">
        <v>280</v>
      </c>
    </row>
    <row r="977" spans="1:23" ht="21" customHeight="1" x14ac:dyDescent="0.15">
      <c r="A977" s="104">
        <f t="shared" si="15"/>
        <v>976</v>
      </c>
      <c r="B977" s="105" t="s">
        <v>268</v>
      </c>
      <c r="C977" s="136" t="s">
        <v>2995</v>
      </c>
      <c r="D977" s="107" t="s">
        <v>2707</v>
      </c>
      <c r="E977" s="108" t="s">
        <v>709</v>
      </c>
      <c r="F977" s="108" t="s">
        <v>532</v>
      </c>
      <c r="G977" s="108" t="s">
        <v>710</v>
      </c>
      <c r="H977" s="131" t="s">
        <v>1141</v>
      </c>
      <c r="I977" s="140">
        <v>3</v>
      </c>
      <c r="J977" s="109" t="s">
        <v>516</v>
      </c>
      <c r="K977" s="105" t="s">
        <v>1505</v>
      </c>
      <c r="L977" s="107" t="str">
        <f ca="1">VLOOKUP($K977,OFFSET([1]character_type_i18n!$A$1,0,0,COUNTA([1]character_type_i18n!$A:$A),MATCH(L$1,[1]character_type_i18n!$1:$1,0)-MATCH($K$1,[1]character_type_i18n!$1:$1,0)+1),MATCH(L$1,[1]character_type_i18n!$1:$1,0)-MATCH($K$1,[1]character_type_i18n!$1:$1,0)+1,FALSE)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77" s="105" t="s">
        <v>1164</v>
      </c>
      <c r="N977" s="107" t="str">
        <f>VLOOKUP(M977,[1]character_tribe_i18n!A:C,3,FALSE)</f>
        <v>Unknown</v>
      </c>
      <c r="O977" s="105" t="s">
        <v>1011</v>
      </c>
      <c r="P977" s="107" t="str">
        <f>VLOOKUP(O977,[1]character_tribe_i18n!A:C,3,FALSE)</f>
        <v>ヒューマン</v>
      </c>
      <c r="Q977" s="110" t="s">
        <v>279</v>
      </c>
      <c r="R977" s="111">
        <v>3</v>
      </c>
      <c r="S977" s="108" t="s">
        <v>2734</v>
      </c>
      <c r="T977" s="108" t="s">
        <v>281</v>
      </c>
      <c r="U977" s="108" t="s">
        <v>280</v>
      </c>
      <c r="V977" s="108" t="s">
        <v>280</v>
      </c>
      <c r="W977" s="108" t="s">
        <v>280</v>
      </c>
    </row>
    <row r="978" spans="1:23" ht="21" customHeight="1" x14ac:dyDescent="0.15">
      <c r="A978" s="104">
        <f t="shared" si="15"/>
        <v>977</v>
      </c>
      <c r="B978" s="105" t="s">
        <v>268</v>
      </c>
      <c r="C978" s="169" t="s">
        <v>2996</v>
      </c>
      <c r="D978" s="157" t="s">
        <v>2997</v>
      </c>
      <c r="E978" s="108" t="s">
        <v>709</v>
      </c>
      <c r="F978" s="108" t="s">
        <v>532</v>
      </c>
      <c r="G978" s="108" t="s">
        <v>710</v>
      </c>
      <c r="H978" s="131" t="s">
        <v>295</v>
      </c>
      <c r="I978" s="140">
        <v>4</v>
      </c>
      <c r="J978" s="109" t="s">
        <v>516</v>
      </c>
      <c r="K978" s="105" t="s">
        <v>1008</v>
      </c>
      <c r="L978" s="107" t="str">
        <f ca="1">VLOOKUP($K978,OFFSET([1]character_type_i18n!$A$1,0,0,COUNTA([1]character_type_i18n!$A:$A),MATCH(L$1,[1]character_type_i18n!$1:$1,0)-MATCH($K$1,[1]character_type_i18n!$1:$1,0)+1),MATCH(L$1,[1]character_type_i18n!$1:$1,0)-MATCH($K$1,[1]character_type_i18n!$1:$1,0)+1,FALSE)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78" s="105" t="s">
        <v>1011</v>
      </c>
      <c r="N978" s="107" t="str">
        <f>VLOOKUP(M978,[1]character_tribe_i18n!A:C,3,FALSE)</f>
        <v>ヒューマン</v>
      </c>
      <c r="O978" s="105" t="s">
        <v>1423</v>
      </c>
      <c r="P978" s="107" t="str">
        <f>VLOOKUP(O978,[1]character_tribe_i18n!A:C,3,FALSE)</f>
        <v>種族なし</v>
      </c>
      <c r="Q978" s="110" t="s">
        <v>279</v>
      </c>
      <c r="R978" s="111">
        <v>3</v>
      </c>
      <c r="S978" s="108" t="s">
        <v>280</v>
      </c>
      <c r="T978" s="108" t="s">
        <v>281</v>
      </c>
      <c r="U978" s="108" t="s">
        <v>280</v>
      </c>
      <c r="V978" s="108" t="s">
        <v>280</v>
      </c>
      <c r="W978" s="108" t="s">
        <v>280</v>
      </c>
    </row>
    <row r="979" spans="1:23" ht="21" customHeight="1" x14ac:dyDescent="0.15">
      <c r="A979" s="104">
        <f t="shared" si="15"/>
        <v>978</v>
      </c>
      <c r="B979" s="105" t="s">
        <v>268</v>
      </c>
      <c r="C979" s="170" t="s">
        <v>2998</v>
      </c>
      <c r="D979" s="157" t="s">
        <v>2997</v>
      </c>
      <c r="E979" s="108" t="s">
        <v>709</v>
      </c>
      <c r="F979" s="108" t="s">
        <v>532</v>
      </c>
      <c r="G979" s="108" t="s">
        <v>710</v>
      </c>
      <c r="H979" s="131" t="s">
        <v>295</v>
      </c>
      <c r="I979" s="140">
        <v>5</v>
      </c>
      <c r="J979" s="109" t="s">
        <v>516</v>
      </c>
      <c r="K979" s="105" t="s">
        <v>1008</v>
      </c>
      <c r="L979" s="107" t="str">
        <f ca="1">VLOOKUP($K979,OFFSET([1]character_type_i18n!$A$1,0,0,COUNTA([1]character_type_i18n!$A:$A),MATCH(L$1,[1]character_type_i18n!$1:$1,0)-MATCH($K$1,[1]character_type_i18n!$1:$1,0)+1),MATCH(L$1,[1]character_type_i18n!$1:$1,0)-MATCH($K$1,[1]character_type_i18n!$1:$1,0)+1,FALSE)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79" s="105" t="s">
        <v>1011</v>
      </c>
      <c r="N979" s="107" t="str">
        <f>VLOOKUP(M979,[1]character_tribe_i18n!A:C,3,FALSE)</f>
        <v>ヒューマン</v>
      </c>
      <c r="O979" s="105" t="s">
        <v>1423</v>
      </c>
      <c r="P979" s="107" t="str">
        <f>VLOOKUP(O979,[1]character_tribe_i18n!A:C,3,FALSE)</f>
        <v>種族なし</v>
      </c>
      <c r="Q979" s="110" t="s">
        <v>279</v>
      </c>
      <c r="R979" s="111">
        <v>3</v>
      </c>
      <c r="S979" s="108" t="s">
        <v>280</v>
      </c>
      <c r="T979" s="108" t="s">
        <v>281</v>
      </c>
      <c r="U979" s="108" t="s">
        <v>280</v>
      </c>
      <c r="V979" s="108" t="s">
        <v>280</v>
      </c>
      <c r="W979" s="108" t="s">
        <v>280</v>
      </c>
    </row>
    <row r="980" spans="1:23" ht="21" customHeight="1" x14ac:dyDescent="0.15">
      <c r="A980" s="104">
        <f t="shared" si="15"/>
        <v>979</v>
      </c>
      <c r="B980" s="105" t="s">
        <v>268</v>
      </c>
      <c r="C980" s="151" t="s">
        <v>2999</v>
      </c>
      <c r="D980" s="157" t="s">
        <v>2999</v>
      </c>
      <c r="E980" s="108" t="s">
        <v>709</v>
      </c>
      <c r="F980" s="108" t="s">
        <v>532</v>
      </c>
      <c r="G980" s="108" t="s">
        <v>710</v>
      </c>
      <c r="H980" s="131" t="s">
        <v>274</v>
      </c>
      <c r="I980" s="140">
        <v>5</v>
      </c>
      <c r="J980" s="109" t="s">
        <v>1504</v>
      </c>
      <c r="K980" s="105" t="s">
        <v>967</v>
      </c>
      <c r="L980" s="107" t="str">
        <f ca="1">VLOOKUP($K980,OFFSET([1]character_type_i18n!$A$1,0,0,COUNTA([1]character_type_i18n!$A:$A),MATCH(L$1,[1]character_type_i18n!$1:$1,0)-MATCH($K$1,[1]character_type_i18n!$1:$1,0)+1),MATCH(L$1,[1]character_type_i18n!$1:$1,0)-MATCH($K$1,[1]character_type_i18n!$1:$1,0)+1,FALSE)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80" s="105" t="s">
        <v>1164</v>
      </c>
      <c r="N980" s="107" t="str">
        <f>VLOOKUP(M980,[1]character_tribe_i18n!A:C,3,FALSE)</f>
        <v>Unknown</v>
      </c>
      <c r="O980" s="105" t="s">
        <v>1423</v>
      </c>
      <c r="P980" s="107" t="str">
        <f>VLOOKUP(O980,[1]character_tribe_i18n!A:C,3,FALSE)</f>
        <v>種族なし</v>
      </c>
      <c r="Q980" s="110" t="s">
        <v>279</v>
      </c>
      <c r="R980" s="111">
        <v>3</v>
      </c>
      <c r="S980" s="108" t="s">
        <v>280</v>
      </c>
      <c r="T980" s="108" t="s">
        <v>281</v>
      </c>
      <c r="U980" s="108" t="s">
        <v>280</v>
      </c>
      <c r="V980" s="108" t="s">
        <v>280</v>
      </c>
      <c r="W980" s="108" t="s">
        <v>280</v>
      </c>
    </row>
    <row r="981" spans="1:23" ht="21" customHeight="1" x14ac:dyDescent="0.15">
      <c r="A981" s="104">
        <f t="shared" si="15"/>
        <v>980</v>
      </c>
      <c r="B981" s="105" t="s">
        <v>268</v>
      </c>
      <c r="C981" s="171" t="s">
        <v>3000</v>
      </c>
      <c r="D981" s="157" t="s">
        <v>2999</v>
      </c>
      <c r="E981" s="108" t="s">
        <v>709</v>
      </c>
      <c r="F981" s="108" t="s">
        <v>532</v>
      </c>
      <c r="G981" s="108" t="s">
        <v>710</v>
      </c>
      <c r="H981" s="131" t="s">
        <v>274</v>
      </c>
      <c r="I981" s="140">
        <v>6</v>
      </c>
      <c r="J981" s="109" t="s">
        <v>1504</v>
      </c>
      <c r="K981" s="105" t="s">
        <v>967</v>
      </c>
      <c r="L981" s="107" t="str">
        <f ca="1">VLOOKUP($K981,OFFSET([1]character_type_i18n!$A$1,0,0,COUNTA([1]character_type_i18n!$A:$A),MATCH(L$1,[1]character_type_i18n!$1:$1,0)-MATCH($K$1,[1]character_type_i18n!$1:$1,0)+1),MATCH(L$1,[1]character_type_i18n!$1:$1,0)-MATCH($K$1,[1]character_type_i18n!$1:$1,0)+1,FALSE)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81" s="105" t="s">
        <v>1164</v>
      </c>
      <c r="N981" s="107" t="str">
        <f>VLOOKUP(M981,[1]character_tribe_i18n!A:C,3,FALSE)</f>
        <v>Unknown</v>
      </c>
      <c r="O981" s="105" t="s">
        <v>1423</v>
      </c>
      <c r="P981" s="107" t="str">
        <f>VLOOKUP(O981,[1]character_tribe_i18n!A:C,3,FALSE)</f>
        <v>種族なし</v>
      </c>
      <c r="Q981" s="110" t="s">
        <v>279</v>
      </c>
      <c r="R981" s="111">
        <v>3</v>
      </c>
      <c r="S981" s="108" t="s">
        <v>280</v>
      </c>
      <c r="T981" s="108" t="s">
        <v>281</v>
      </c>
      <c r="U981" s="108" t="s">
        <v>280</v>
      </c>
      <c r="V981" s="108" t="s">
        <v>280</v>
      </c>
      <c r="W981" s="108" t="s">
        <v>280</v>
      </c>
    </row>
    <row r="982" spans="1:23" ht="21" customHeight="1" x14ac:dyDescent="0.15">
      <c r="A982" s="104">
        <f t="shared" si="15"/>
        <v>981</v>
      </c>
      <c r="B982" s="105" t="s">
        <v>268</v>
      </c>
      <c r="C982" s="151" t="s">
        <v>3001</v>
      </c>
      <c r="D982" s="157" t="s">
        <v>3001</v>
      </c>
      <c r="E982" s="108" t="s">
        <v>709</v>
      </c>
      <c r="F982" s="108" t="s">
        <v>532</v>
      </c>
      <c r="G982" s="108" t="s">
        <v>710</v>
      </c>
      <c r="H982" s="131" t="s">
        <v>285</v>
      </c>
      <c r="I982" s="140">
        <v>4</v>
      </c>
      <c r="J982" s="109" t="s">
        <v>516</v>
      </c>
      <c r="K982" s="105" t="s">
        <v>1008</v>
      </c>
      <c r="L982" s="107" t="str">
        <f ca="1">VLOOKUP($K982,OFFSET([1]character_type_i18n!$A$1,0,0,COUNTA([1]character_type_i18n!$A:$A),MATCH(L$1,[1]character_type_i18n!$1:$1,0)-MATCH($K$1,[1]character_type_i18n!$1:$1,0)+1),MATCH(L$1,[1]character_type_i18n!$1:$1,0)-MATCH($K$1,[1]character_type_i18n!$1:$1,0)+1,FALSE)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82" s="105" t="s">
        <v>1164</v>
      </c>
      <c r="N982" s="107" t="str">
        <f>VLOOKUP(M982,[1]character_tribe_i18n!A:C,3,FALSE)</f>
        <v>Unknown</v>
      </c>
      <c r="O982" s="105" t="s">
        <v>1423</v>
      </c>
      <c r="P982" s="107" t="str">
        <f>VLOOKUP(O982,[1]character_tribe_i18n!A:C,3,FALSE)</f>
        <v>種族なし</v>
      </c>
      <c r="Q982" s="110" t="s">
        <v>279</v>
      </c>
      <c r="R982" s="111">
        <v>3</v>
      </c>
      <c r="S982" s="108" t="s">
        <v>280</v>
      </c>
      <c r="T982" s="108" t="s">
        <v>281</v>
      </c>
      <c r="U982" s="108" t="s">
        <v>280</v>
      </c>
      <c r="V982" s="108" t="s">
        <v>280</v>
      </c>
      <c r="W982" s="108" t="s">
        <v>280</v>
      </c>
    </row>
    <row r="983" spans="1:23" ht="21" customHeight="1" x14ac:dyDescent="0.15">
      <c r="A983" s="104">
        <f t="shared" si="15"/>
        <v>982</v>
      </c>
      <c r="B983" s="105" t="s">
        <v>268</v>
      </c>
      <c r="C983" s="171" t="s">
        <v>3002</v>
      </c>
      <c r="D983" s="157" t="s">
        <v>3001</v>
      </c>
      <c r="E983" s="108" t="s">
        <v>709</v>
      </c>
      <c r="F983" s="108" t="s">
        <v>532</v>
      </c>
      <c r="G983" s="108" t="s">
        <v>710</v>
      </c>
      <c r="H983" s="131" t="s">
        <v>285</v>
      </c>
      <c r="I983" s="140">
        <v>5</v>
      </c>
      <c r="J983" s="109" t="s">
        <v>516</v>
      </c>
      <c r="K983" s="105" t="s">
        <v>1008</v>
      </c>
      <c r="L983" s="107" t="str">
        <f ca="1">VLOOKUP($K983,OFFSET([1]character_type_i18n!$A$1,0,0,COUNTA([1]character_type_i18n!$A:$A),MATCH(L$1,[1]character_type_i18n!$1:$1,0)-MATCH($K$1,[1]character_type_i18n!$1:$1,0)+1),MATCH(L$1,[1]character_type_i18n!$1:$1,0)-MATCH($K$1,[1]character_type_i18n!$1:$1,0)+1,FALSE)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83" s="105" t="s">
        <v>1164</v>
      </c>
      <c r="N983" s="107" t="str">
        <f>VLOOKUP(M983,[1]character_tribe_i18n!A:C,3,FALSE)</f>
        <v>Unknown</v>
      </c>
      <c r="O983" s="105" t="s">
        <v>1423</v>
      </c>
      <c r="P983" s="107" t="str">
        <f>VLOOKUP(O983,[1]character_tribe_i18n!A:C,3,FALSE)</f>
        <v>種族なし</v>
      </c>
      <c r="Q983" s="110" t="s">
        <v>279</v>
      </c>
      <c r="R983" s="111">
        <v>3</v>
      </c>
      <c r="S983" s="108" t="s">
        <v>280</v>
      </c>
      <c r="T983" s="108" t="s">
        <v>281</v>
      </c>
      <c r="U983" s="108" t="s">
        <v>280</v>
      </c>
      <c r="V983" s="108" t="s">
        <v>280</v>
      </c>
      <c r="W983" s="108" t="s">
        <v>280</v>
      </c>
    </row>
    <row r="984" spans="1:23" ht="21" customHeight="1" x14ac:dyDescent="0.15">
      <c r="A984" s="104">
        <f t="shared" si="15"/>
        <v>983</v>
      </c>
      <c r="B984" s="105" t="s">
        <v>268</v>
      </c>
      <c r="C984" s="151" t="s">
        <v>3003</v>
      </c>
      <c r="D984" s="157" t="s">
        <v>3003</v>
      </c>
      <c r="E984" s="108" t="s">
        <v>709</v>
      </c>
      <c r="F984" s="108" t="s">
        <v>532</v>
      </c>
      <c r="G984" s="108" t="s">
        <v>710</v>
      </c>
      <c r="H984" s="131" t="s">
        <v>300</v>
      </c>
      <c r="I984" s="140">
        <v>4</v>
      </c>
      <c r="J984" s="109" t="s">
        <v>516</v>
      </c>
      <c r="K984" s="105" t="s">
        <v>1005</v>
      </c>
      <c r="L984" s="107" t="str">
        <f ca="1">VLOOKUP($K984,OFFSET([1]character_type_i18n!$A$1,0,0,COUNTA([1]character_type_i18n!$A:$A),MATCH(L$1,[1]character_type_i18n!$1:$1,0)-MATCH($K$1,[1]character_type_i18n!$1:$1,0)+1),MATCH(L$1,[1]character_type_i18n!$1:$1,0)-MATCH($K$1,[1]character_type_i18n!$1:$1,0)+1,FALSE)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84" s="105" t="s">
        <v>1164</v>
      </c>
      <c r="N984" s="107" t="str">
        <f>VLOOKUP(M984,[1]character_tribe_i18n!A:C,3,FALSE)</f>
        <v>Unknown</v>
      </c>
      <c r="O984" s="105" t="s">
        <v>1423</v>
      </c>
      <c r="P984" s="107" t="str">
        <f>VLOOKUP(O984,[1]character_tribe_i18n!A:C,3,FALSE)</f>
        <v>種族なし</v>
      </c>
      <c r="Q984" s="110" t="s">
        <v>279</v>
      </c>
      <c r="R984" s="111">
        <v>3</v>
      </c>
      <c r="S984" s="108" t="s">
        <v>280</v>
      </c>
      <c r="T984" s="108" t="s">
        <v>281</v>
      </c>
      <c r="U984" s="108" t="s">
        <v>280</v>
      </c>
      <c r="V984" s="108" t="s">
        <v>280</v>
      </c>
      <c r="W984" s="108" t="s">
        <v>280</v>
      </c>
    </row>
    <row r="985" spans="1:23" ht="21" customHeight="1" x14ac:dyDescent="0.15">
      <c r="A985" s="104">
        <f t="shared" si="15"/>
        <v>984</v>
      </c>
      <c r="B985" s="105" t="s">
        <v>268</v>
      </c>
      <c r="C985" s="171" t="s">
        <v>3004</v>
      </c>
      <c r="D985" s="157" t="s">
        <v>3003</v>
      </c>
      <c r="E985" s="108" t="s">
        <v>709</v>
      </c>
      <c r="F985" s="108" t="s">
        <v>532</v>
      </c>
      <c r="G985" s="108" t="s">
        <v>710</v>
      </c>
      <c r="H985" s="131" t="s">
        <v>300</v>
      </c>
      <c r="I985" s="140">
        <v>5</v>
      </c>
      <c r="J985" s="109" t="s">
        <v>516</v>
      </c>
      <c r="K985" s="105" t="s">
        <v>1005</v>
      </c>
      <c r="L985" s="107" t="str">
        <f ca="1">VLOOKUP($K985,OFFSET([1]character_type_i18n!$A$1,0,0,COUNTA([1]character_type_i18n!$A:$A),MATCH(L$1,[1]character_type_i18n!$1:$1,0)-MATCH($K$1,[1]character_type_i18n!$1:$1,0)+1),MATCH(L$1,[1]character_type_i18n!$1:$1,0)-MATCH($K$1,[1]character_type_i18n!$1:$1,0)+1,FALSE)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85" s="105" t="s">
        <v>1164</v>
      </c>
      <c r="N985" s="107" t="str">
        <f>VLOOKUP(M985,[1]character_tribe_i18n!A:C,3,FALSE)</f>
        <v>Unknown</v>
      </c>
      <c r="O985" s="105" t="s">
        <v>1423</v>
      </c>
      <c r="P985" s="107" t="str">
        <f>VLOOKUP(O985,[1]character_tribe_i18n!A:C,3,FALSE)</f>
        <v>種族なし</v>
      </c>
      <c r="Q985" s="110" t="s">
        <v>279</v>
      </c>
      <c r="R985" s="111">
        <v>3</v>
      </c>
      <c r="S985" s="108" t="s">
        <v>280</v>
      </c>
      <c r="T985" s="108" t="s">
        <v>281</v>
      </c>
      <c r="U985" s="108" t="s">
        <v>280</v>
      </c>
      <c r="V985" s="108" t="s">
        <v>280</v>
      </c>
      <c r="W985" s="108" t="s">
        <v>280</v>
      </c>
    </row>
    <row r="986" spans="1:23" ht="21" customHeight="1" x14ac:dyDescent="0.15">
      <c r="A986" s="104">
        <f t="shared" si="15"/>
        <v>985</v>
      </c>
      <c r="B986" s="105" t="s">
        <v>268</v>
      </c>
      <c r="C986" s="170" t="s">
        <v>3005</v>
      </c>
      <c r="D986" s="157" t="s">
        <v>3006</v>
      </c>
      <c r="E986" s="108" t="s">
        <v>709</v>
      </c>
      <c r="F986" s="108" t="s">
        <v>532</v>
      </c>
      <c r="G986" s="108" t="s">
        <v>710</v>
      </c>
      <c r="H986" s="131" t="s">
        <v>274</v>
      </c>
      <c r="I986" s="140">
        <v>5</v>
      </c>
      <c r="J986" s="109" t="s">
        <v>1001</v>
      </c>
      <c r="K986" s="105" t="s">
        <v>1008</v>
      </c>
      <c r="L986" s="107" t="str">
        <f ca="1">VLOOKUP($K986,OFFSET([1]character_type_i18n!$A$1,0,0,COUNTA([1]character_type_i18n!$A:$A),MATCH(L$1,[1]character_type_i18n!$1:$1,0)-MATCH($K$1,[1]character_type_i18n!$1:$1,0)+1),MATCH(L$1,[1]character_type_i18n!$1:$1,0)-MATCH($K$1,[1]character_type_i18n!$1:$1,0)+1,FALSE)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86" s="105" t="s">
        <v>1011</v>
      </c>
      <c r="N986" s="107" t="str">
        <f>VLOOKUP(M986,[1]character_tribe_i18n!A:C,3,FALSE)</f>
        <v>ヒューマン</v>
      </c>
      <c r="O986" s="105" t="s">
        <v>1017</v>
      </c>
      <c r="P986" s="107" t="str">
        <f>VLOOKUP(O986,[1]character_tribe_i18n!A:C,3,FALSE)</f>
        <v>マシン</v>
      </c>
      <c r="Q986" s="110" t="s">
        <v>279</v>
      </c>
      <c r="R986" s="111">
        <v>3</v>
      </c>
      <c r="S986" s="108" t="s">
        <v>280</v>
      </c>
      <c r="T986" s="108" t="s">
        <v>281</v>
      </c>
      <c r="U986" s="108" t="s">
        <v>280</v>
      </c>
      <c r="V986" s="108" t="s">
        <v>280</v>
      </c>
      <c r="W986" s="108" t="s">
        <v>280</v>
      </c>
    </row>
    <row r="987" spans="1:23" ht="21" customHeight="1" x14ac:dyDescent="0.15">
      <c r="A987" s="104">
        <f t="shared" si="15"/>
        <v>986</v>
      </c>
      <c r="B987" s="105" t="s">
        <v>268</v>
      </c>
      <c r="C987" s="170" t="s">
        <v>3007</v>
      </c>
      <c r="D987" s="157" t="s">
        <v>3008</v>
      </c>
      <c r="E987" s="108" t="s">
        <v>709</v>
      </c>
      <c r="F987" s="108" t="s">
        <v>532</v>
      </c>
      <c r="G987" s="108" t="s">
        <v>710</v>
      </c>
      <c r="H987" s="131" t="s">
        <v>274</v>
      </c>
      <c r="I987" s="140">
        <v>6</v>
      </c>
      <c r="J987" s="109" t="s">
        <v>1001</v>
      </c>
      <c r="K987" s="105" t="s">
        <v>2443</v>
      </c>
      <c r="L987" s="107" t="str">
        <f ca="1">VLOOKUP($K987,OFFSET([1]character_type_i18n!$A$1,0,0,COUNTA([1]character_type_i18n!$A:$A),MATCH(L$1,[1]character_type_i18n!$1:$1,0)-MATCH($K$1,[1]character_type_i18n!$1:$1,0)+1),MATCH(L$1,[1]character_type_i18n!$1:$1,0)-MATCH($K$1,[1]character_type_i18n!$1:$1,0)+1,FALSE)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87" s="105" t="s">
        <v>1011</v>
      </c>
      <c r="N987" s="107" t="str">
        <f>VLOOKUP(M987,[1]character_tribe_i18n!A:C,3,FALSE)</f>
        <v>ヒューマン</v>
      </c>
      <c r="O987" s="105" t="s">
        <v>3009</v>
      </c>
      <c r="P987" s="107" t="str">
        <f>VLOOKUP(O987,[1]character_tribe_i18n!A:C,3,FALSE)</f>
        <v>マシン</v>
      </c>
      <c r="Q987" s="110" t="s">
        <v>279</v>
      </c>
      <c r="R987" s="111">
        <v>3</v>
      </c>
      <c r="S987" s="108" t="s">
        <v>280</v>
      </c>
      <c r="T987" s="108" t="s">
        <v>281</v>
      </c>
      <c r="U987" s="108" t="s">
        <v>280</v>
      </c>
      <c r="V987" s="108" t="s">
        <v>280</v>
      </c>
      <c r="W987" s="108" t="s">
        <v>280</v>
      </c>
    </row>
    <row r="988" spans="1:23" ht="21" customHeight="1" x14ac:dyDescent="0.15">
      <c r="A988" s="104">
        <f t="shared" si="15"/>
        <v>987</v>
      </c>
      <c r="B988" s="105" t="s">
        <v>268</v>
      </c>
      <c r="C988" s="170" t="s">
        <v>3010</v>
      </c>
      <c r="D988" s="157" t="s">
        <v>3011</v>
      </c>
      <c r="E988" s="108" t="s">
        <v>709</v>
      </c>
      <c r="F988" s="108" t="s">
        <v>532</v>
      </c>
      <c r="G988" s="108" t="s">
        <v>710</v>
      </c>
      <c r="H988" s="131" t="s">
        <v>295</v>
      </c>
      <c r="I988" s="140">
        <v>6</v>
      </c>
      <c r="J988" s="109" t="s">
        <v>1001</v>
      </c>
      <c r="K988" s="105" t="s">
        <v>1005</v>
      </c>
      <c r="L988" s="107" t="str">
        <f ca="1">VLOOKUP($K988,OFFSET([1]character_type_i18n!$A$1,0,0,COUNTA([1]character_type_i18n!$A:$A),MATCH(L$1,[1]character_type_i18n!$1:$1,0)-MATCH($K$1,[1]character_type_i18n!$1:$1,0)+1),MATCH(L$1,[1]character_type_i18n!$1:$1,0)-MATCH($K$1,[1]character_type_i18n!$1:$1,0)+1,FALSE)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88" s="105" t="s">
        <v>3012</v>
      </c>
      <c r="N988" s="107" t="str">
        <f>VLOOKUP(M988,[1]character_tribe_i18n!A:C,3,FALSE)</f>
        <v>Unknown</v>
      </c>
      <c r="O988" s="105" t="s">
        <v>1423</v>
      </c>
      <c r="P988" s="107" t="str">
        <f>VLOOKUP(O988,[1]character_tribe_i18n!A:C,3,FALSE)</f>
        <v>種族なし</v>
      </c>
      <c r="Q988" s="110" t="s">
        <v>1656</v>
      </c>
      <c r="R988" s="111">
        <v>3</v>
      </c>
      <c r="S988" s="108" t="s">
        <v>898</v>
      </c>
      <c r="T988" s="108" t="s">
        <v>915</v>
      </c>
      <c r="U988" s="108" t="s">
        <v>880</v>
      </c>
      <c r="V988" s="108" t="s">
        <v>894</v>
      </c>
      <c r="W988" s="108" t="s">
        <v>894</v>
      </c>
    </row>
    <row r="989" spans="1:23" ht="21" customHeight="1" x14ac:dyDescent="0.15">
      <c r="A989" s="104">
        <f t="shared" si="15"/>
        <v>988</v>
      </c>
      <c r="B989" s="105" t="s">
        <v>1261</v>
      </c>
      <c r="C989" s="170" t="s">
        <v>3013</v>
      </c>
      <c r="D989" s="157" t="s">
        <v>3014</v>
      </c>
      <c r="E989" s="108" t="s">
        <v>3015</v>
      </c>
      <c r="F989" s="108" t="s">
        <v>3016</v>
      </c>
      <c r="G989" s="108" t="s">
        <v>3017</v>
      </c>
      <c r="H989" s="131" t="s">
        <v>274</v>
      </c>
      <c r="I989" s="140">
        <v>5</v>
      </c>
      <c r="J989" s="109" t="s">
        <v>1001</v>
      </c>
      <c r="K989" s="105" t="s">
        <v>1273</v>
      </c>
      <c r="L989" s="107" t="str">
        <f ca="1">VLOOKUP($K989,OFFSET([1]character_type_i18n!$A$1,0,0,COUNTA([1]character_type_i18n!$A:$A),MATCH(L$1,[1]character_type_i18n!$1:$1,0)-MATCH($K$1,[1]character_type_i18n!$1:$1,0)+1),MATCH(L$1,[1]character_type_i18n!$1:$1,0)-MATCH($K$1,[1]character_type_i18n!$1:$1,0)+1,FALSE)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89" s="105" t="s">
        <v>1011</v>
      </c>
      <c r="N989" s="107" t="str">
        <f>VLOOKUP(M989,[1]character_tribe_i18n!A:C,3,FALSE)</f>
        <v>ヒューマン</v>
      </c>
      <c r="O989" s="105" t="s">
        <v>3018</v>
      </c>
      <c r="P989" s="107" t="str">
        <f>VLOOKUP(O989,[1]character_tribe_i18n!A:C,3,FALSE)</f>
        <v>マシン</v>
      </c>
      <c r="Q989" s="110" t="s">
        <v>279</v>
      </c>
      <c r="R989" s="111">
        <v>3</v>
      </c>
      <c r="S989" s="108" t="s">
        <v>280</v>
      </c>
      <c r="T989" s="108" t="s">
        <v>281</v>
      </c>
      <c r="U989" s="108" t="s">
        <v>280</v>
      </c>
      <c r="V989" s="108" t="s">
        <v>280</v>
      </c>
      <c r="W989" s="108" t="s">
        <v>280</v>
      </c>
    </row>
    <row r="990" spans="1:23" ht="21" customHeight="1" x14ac:dyDescent="0.15">
      <c r="A990" s="104">
        <f t="shared" si="15"/>
        <v>989</v>
      </c>
      <c r="B990" s="105" t="s">
        <v>268</v>
      </c>
      <c r="C990" s="170" t="s">
        <v>3019</v>
      </c>
      <c r="D990" s="157" t="s">
        <v>3014</v>
      </c>
      <c r="E990" s="108" t="s">
        <v>709</v>
      </c>
      <c r="F990" s="108" t="s">
        <v>532</v>
      </c>
      <c r="G990" s="108" t="s">
        <v>710</v>
      </c>
      <c r="H990" s="131" t="s">
        <v>274</v>
      </c>
      <c r="I990" s="140">
        <v>6</v>
      </c>
      <c r="J990" s="109" t="s">
        <v>1001</v>
      </c>
      <c r="K990" s="105" t="s">
        <v>1005</v>
      </c>
      <c r="L990" s="107" t="str">
        <f ca="1">VLOOKUP($K990,OFFSET([1]character_type_i18n!$A$1,0,0,COUNTA([1]character_type_i18n!$A:$A),MATCH(L$1,[1]character_type_i18n!$1:$1,0)-MATCH($K$1,[1]character_type_i18n!$1:$1,0)+1),MATCH(L$1,[1]character_type_i18n!$1:$1,0)-MATCH($K$1,[1]character_type_i18n!$1:$1,0)+1,FALSE)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90" s="105" t="s">
        <v>3020</v>
      </c>
      <c r="N990" s="107" t="str">
        <f>VLOOKUP(M990,[1]character_tribe_i18n!A:C,3,FALSE)</f>
        <v>ヒューマン</v>
      </c>
      <c r="O990" s="105" t="s">
        <v>1789</v>
      </c>
      <c r="P990" s="107" t="str">
        <f>VLOOKUP(O990,[1]character_tribe_i18n!A:C,3,FALSE)</f>
        <v>マシン</v>
      </c>
      <c r="Q990" s="110" t="s">
        <v>279</v>
      </c>
      <c r="R990" s="111">
        <v>3</v>
      </c>
      <c r="S990" s="108" t="s">
        <v>280</v>
      </c>
      <c r="T990" s="108" t="s">
        <v>281</v>
      </c>
      <c r="U990" s="108" t="s">
        <v>280</v>
      </c>
      <c r="V990" s="108" t="s">
        <v>280</v>
      </c>
      <c r="W990" s="108" t="s">
        <v>280</v>
      </c>
    </row>
    <row r="991" spans="1:23" ht="21" customHeight="1" x14ac:dyDescent="0.15">
      <c r="A991" s="104">
        <f t="shared" si="15"/>
        <v>990</v>
      </c>
      <c r="B991" s="105" t="s">
        <v>268</v>
      </c>
      <c r="C991" s="170" t="s">
        <v>3021</v>
      </c>
      <c r="D991" s="157" t="s">
        <v>3022</v>
      </c>
      <c r="E991" s="108" t="s">
        <v>709</v>
      </c>
      <c r="F991" s="108" t="s">
        <v>532</v>
      </c>
      <c r="G991" s="108" t="s">
        <v>710</v>
      </c>
      <c r="H991" s="131" t="s">
        <v>274</v>
      </c>
      <c r="I991" s="140">
        <v>4</v>
      </c>
      <c r="J991" s="109" t="s">
        <v>2367</v>
      </c>
      <c r="K991" s="105" t="s">
        <v>1008</v>
      </c>
      <c r="L991" s="107" t="str">
        <f ca="1">VLOOKUP($K991,OFFSET([1]character_type_i18n!$A$1,0,0,COUNTA([1]character_type_i18n!$A:$A),MATCH(L$1,[1]character_type_i18n!$1:$1,0)-MATCH($K$1,[1]character_type_i18n!$1:$1,0)+1),MATCH(L$1,[1]character_type_i18n!$1:$1,0)-MATCH($K$1,[1]character_type_i18n!$1:$1,0)+1,FALSE)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91" s="105" t="s">
        <v>1011</v>
      </c>
      <c r="N991" s="107" t="str">
        <f>VLOOKUP(M991,[1]character_tribe_i18n!A:C,3,FALSE)</f>
        <v>ヒューマン</v>
      </c>
      <c r="O991" s="105" t="s">
        <v>1017</v>
      </c>
      <c r="P991" s="107" t="str">
        <f>VLOOKUP(O991,[1]character_tribe_i18n!A:C,3,FALSE)</f>
        <v>マシン</v>
      </c>
      <c r="Q991" s="110" t="s">
        <v>2156</v>
      </c>
      <c r="R991" s="111">
        <v>3</v>
      </c>
      <c r="S991" s="108" t="s">
        <v>880</v>
      </c>
      <c r="T991" s="108" t="s">
        <v>3023</v>
      </c>
      <c r="U991" s="108" t="s">
        <v>3024</v>
      </c>
      <c r="V991" s="108" t="s">
        <v>894</v>
      </c>
      <c r="W991" s="108" t="s">
        <v>894</v>
      </c>
    </row>
    <row r="992" spans="1:23" ht="21" customHeight="1" x14ac:dyDescent="0.15">
      <c r="A992" s="104">
        <f t="shared" si="15"/>
        <v>991</v>
      </c>
      <c r="B992" s="105" t="s">
        <v>1261</v>
      </c>
      <c r="C992" s="170" t="s">
        <v>3025</v>
      </c>
      <c r="D992" s="157" t="s">
        <v>3022</v>
      </c>
      <c r="E992" s="108" t="s">
        <v>3026</v>
      </c>
      <c r="F992" s="108" t="s">
        <v>3027</v>
      </c>
      <c r="G992" s="108" t="s">
        <v>3028</v>
      </c>
      <c r="H992" s="131" t="s">
        <v>274</v>
      </c>
      <c r="I992" s="140">
        <v>5</v>
      </c>
      <c r="J992" s="109" t="s">
        <v>2827</v>
      </c>
      <c r="K992" s="105" t="s">
        <v>1292</v>
      </c>
      <c r="L992" s="107" t="str">
        <f ca="1">VLOOKUP($K992,OFFSET([1]character_type_i18n!$A$1,0,0,COUNTA([1]character_type_i18n!$A:$A),MATCH(L$1,[1]character_type_i18n!$1:$1,0)-MATCH($K$1,[1]character_type_i18n!$1:$1,0)+1),MATCH(L$1,[1]character_type_i18n!$1:$1,0)-MATCH($K$1,[1]character_type_i18n!$1:$1,0)+1,FALSE)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92" s="105" t="s">
        <v>1011</v>
      </c>
      <c r="N992" s="107" t="str">
        <f>VLOOKUP(M992,[1]character_tribe_i18n!A:C,3,FALSE)</f>
        <v>ヒューマン</v>
      </c>
      <c r="O992" s="105" t="s">
        <v>1905</v>
      </c>
      <c r="P992" s="107" t="str">
        <f>VLOOKUP(O992,[1]character_tribe_i18n!A:C,3,FALSE)</f>
        <v>マシン</v>
      </c>
      <c r="Q992" s="110" t="s">
        <v>279</v>
      </c>
      <c r="R992" s="111">
        <v>3</v>
      </c>
      <c r="S992" s="108" t="s">
        <v>280</v>
      </c>
      <c r="T992" s="108" t="s">
        <v>281</v>
      </c>
      <c r="U992" s="108" t="s">
        <v>280</v>
      </c>
      <c r="V992" s="108" t="s">
        <v>280</v>
      </c>
      <c r="W992" s="108" t="s">
        <v>280</v>
      </c>
    </row>
    <row r="993" spans="1:23" ht="21" customHeight="1" x14ac:dyDescent="0.15">
      <c r="A993" s="104">
        <f t="shared" si="15"/>
        <v>992</v>
      </c>
      <c r="B993" s="105" t="s">
        <v>268</v>
      </c>
      <c r="C993" s="170" t="s">
        <v>3029</v>
      </c>
      <c r="D993" s="157" t="s">
        <v>3030</v>
      </c>
      <c r="E993" s="108" t="s">
        <v>709</v>
      </c>
      <c r="F993" s="108" t="s">
        <v>532</v>
      </c>
      <c r="G993" s="108" t="s">
        <v>710</v>
      </c>
      <c r="H993" s="131" t="s">
        <v>285</v>
      </c>
      <c r="I993" s="140">
        <v>4</v>
      </c>
      <c r="J993" s="109" t="s">
        <v>2367</v>
      </c>
      <c r="K993" s="105" t="s">
        <v>1505</v>
      </c>
      <c r="L993" s="107" t="str">
        <f ca="1">VLOOKUP($K993,OFFSET([1]character_type_i18n!$A$1,0,0,COUNTA([1]character_type_i18n!$A:$A),MATCH(L$1,[1]character_type_i18n!$1:$1,0)-MATCH($K$1,[1]character_type_i18n!$1:$1,0)+1),MATCH(L$1,[1]character_type_i18n!$1:$1,0)-MATCH($K$1,[1]character_type_i18n!$1:$1,0)+1,FALSE)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93" s="105" t="s">
        <v>1011</v>
      </c>
      <c r="N993" s="107" t="str">
        <f>VLOOKUP(M993,[1]character_tribe_i18n!A:C,3,FALSE)</f>
        <v>ヒューマン</v>
      </c>
      <c r="O993" s="105" t="s">
        <v>3031</v>
      </c>
      <c r="P993" s="107" t="str">
        <f>VLOOKUP(O993,[1]character_tribe_i18n!A:C,3,FALSE)</f>
        <v>マシン</v>
      </c>
      <c r="Q993" s="110" t="s">
        <v>1529</v>
      </c>
      <c r="R993" s="111">
        <v>3</v>
      </c>
      <c r="S993" s="108" t="s">
        <v>1530</v>
      </c>
      <c r="T993" s="108" t="s">
        <v>2641</v>
      </c>
      <c r="U993" s="108" t="s">
        <v>2642</v>
      </c>
      <c r="V993" s="108" t="s">
        <v>894</v>
      </c>
      <c r="W993" s="108" t="s">
        <v>894</v>
      </c>
    </row>
    <row r="994" spans="1:23" ht="21" customHeight="1" x14ac:dyDescent="0.15">
      <c r="A994" s="104">
        <f t="shared" si="15"/>
        <v>993</v>
      </c>
      <c r="B994" s="105" t="s">
        <v>1261</v>
      </c>
      <c r="C994" s="170" t="s">
        <v>3032</v>
      </c>
      <c r="D994" s="157" t="s">
        <v>3030</v>
      </c>
      <c r="E994" s="108" t="s">
        <v>3026</v>
      </c>
      <c r="F994" s="108" t="s">
        <v>3027</v>
      </c>
      <c r="G994" s="108" t="s">
        <v>3033</v>
      </c>
      <c r="H994" s="131" t="s">
        <v>285</v>
      </c>
      <c r="I994" s="140">
        <v>5</v>
      </c>
      <c r="J994" s="109" t="s">
        <v>3034</v>
      </c>
      <c r="K994" s="105" t="s">
        <v>2953</v>
      </c>
      <c r="L994" s="107" t="str">
        <f ca="1">VLOOKUP($K994,OFFSET([1]character_type_i18n!$A$1,0,0,COUNTA([1]character_type_i18n!$A:$A),MATCH(L$1,[1]character_type_i18n!$1:$1,0)-MATCH($K$1,[1]character_type_i18n!$1:$1,0)+1),MATCH(L$1,[1]character_type_i18n!$1:$1,0)-MATCH($K$1,[1]character_type_i18n!$1:$1,0)+1,FALSE)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94" s="105" t="s">
        <v>3035</v>
      </c>
      <c r="N994" s="107" t="str">
        <f>VLOOKUP(M994,[1]character_tribe_i18n!A:C,3,FALSE)</f>
        <v>ヒューマン</v>
      </c>
      <c r="O994" s="105" t="s">
        <v>1017</v>
      </c>
      <c r="P994" s="107" t="str">
        <f>VLOOKUP(O994,[1]character_tribe_i18n!A:C,3,FALSE)</f>
        <v>マシン</v>
      </c>
      <c r="Q994" s="110" t="s">
        <v>1529</v>
      </c>
      <c r="R994" s="111">
        <v>3</v>
      </c>
      <c r="S994" s="108" t="s">
        <v>1530</v>
      </c>
      <c r="T994" s="108" t="s">
        <v>1531</v>
      </c>
      <c r="U994" s="108" t="s">
        <v>1530</v>
      </c>
      <c r="V994" s="108" t="s">
        <v>1530</v>
      </c>
      <c r="W994" s="108" t="s">
        <v>1530</v>
      </c>
    </row>
    <row r="995" spans="1:23" ht="21" customHeight="1" x14ac:dyDescent="0.15">
      <c r="A995" s="104">
        <f t="shared" si="15"/>
        <v>994</v>
      </c>
      <c r="B995" s="105" t="s">
        <v>1532</v>
      </c>
      <c r="C995" s="170" t="s">
        <v>3036</v>
      </c>
      <c r="D995" s="157" t="s">
        <v>3037</v>
      </c>
      <c r="E995" s="108" t="s">
        <v>3026</v>
      </c>
      <c r="F995" s="108" t="s">
        <v>3027</v>
      </c>
      <c r="G995" s="108" t="s">
        <v>3033</v>
      </c>
      <c r="H995" s="131" t="s">
        <v>285</v>
      </c>
      <c r="I995" s="140">
        <v>4</v>
      </c>
      <c r="J995" s="109" t="s">
        <v>2367</v>
      </c>
      <c r="K995" s="105" t="s">
        <v>1292</v>
      </c>
      <c r="L995" s="107" t="str">
        <f ca="1">VLOOKUP($K995,OFFSET([1]character_type_i18n!$A$1,0,0,COUNTA([1]character_type_i18n!$A:$A),MATCH(L$1,[1]character_type_i18n!$1:$1,0)-MATCH($K$1,[1]character_type_i18n!$1:$1,0)+1),MATCH(L$1,[1]character_type_i18n!$1:$1,0)-MATCH($K$1,[1]character_type_i18n!$1:$1,0)+1,FALSE)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95" s="105" t="s">
        <v>1011</v>
      </c>
      <c r="N995" s="107" t="str">
        <f>VLOOKUP(M995,[1]character_tribe_i18n!A:C,3,FALSE)</f>
        <v>ヒューマン</v>
      </c>
      <c r="O995" s="105" t="s">
        <v>1017</v>
      </c>
      <c r="P995" s="107" t="str">
        <f>VLOOKUP(O995,[1]character_tribe_i18n!A:C,3,FALSE)</f>
        <v>マシン</v>
      </c>
      <c r="Q995" s="110" t="s">
        <v>1224</v>
      </c>
      <c r="R995" s="111">
        <v>3</v>
      </c>
      <c r="S995" s="108" t="s">
        <v>1205</v>
      </c>
      <c r="T995" s="108" t="s">
        <v>1206</v>
      </c>
      <c r="U995" s="108" t="s">
        <v>1205</v>
      </c>
      <c r="V995" s="108" t="s">
        <v>1205</v>
      </c>
      <c r="W995" s="108" t="s">
        <v>1205</v>
      </c>
    </row>
    <row r="996" spans="1:23" ht="21" customHeight="1" x14ac:dyDescent="0.15">
      <c r="A996" s="104">
        <f t="shared" si="15"/>
        <v>995</v>
      </c>
      <c r="B996" s="105" t="s">
        <v>1198</v>
      </c>
      <c r="C996" s="170" t="s">
        <v>3038</v>
      </c>
      <c r="D996" s="157" t="s">
        <v>3037</v>
      </c>
      <c r="E996" s="108" t="s">
        <v>1210</v>
      </c>
      <c r="F996" s="108" t="s">
        <v>1211</v>
      </c>
      <c r="G996" s="108" t="s">
        <v>3039</v>
      </c>
      <c r="H996" s="131" t="s">
        <v>285</v>
      </c>
      <c r="I996" s="140">
        <v>5</v>
      </c>
      <c r="J996" s="109" t="s">
        <v>3040</v>
      </c>
      <c r="K996" s="105" t="s">
        <v>3041</v>
      </c>
      <c r="L996" s="107" t="str">
        <f ca="1">VLOOKUP($K996,OFFSET([1]character_type_i18n!$A$1,0,0,COUNTA([1]character_type_i18n!$A:$A),MATCH(L$1,[1]character_type_i18n!$1:$1,0)-MATCH($K$1,[1]character_type_i18n!$1:$1,0)+1),MATCH(L$1,[1]character_type_i18n!$1:$1,0)-MATCH($K$1,[1]character_type_i18n!$1:$1,0)+1,FALSE)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96" s="105" t="s">
        <v>2030</v>
      </c>
      <c r="N996" s="107" t="str">
        <f>VLOOKUP(M996,[1]character_tribe_i18n!A:C,3,FALSE)</f>
        <v>ヒューマン</v>
      </c>
      <c r="O996" s="105" t="s">
        <v>1691</v>
      </c>
      <c r="P996" s="107" t="str">
        <f>VLOOKUP(O996,[1]character_tribe_i18n!A:C,3,FALSE)</f>
        <v>マシン</v>
      </c>
      <c r="Q996" s="110" t="s">
        <v>279</v>
      </c>
      <c r="R996" s="111">
        <v>3</v>
      </c>
      <c r="S996" s="108" t="s">
        <v>280</v>
      </c>
      <c r="T996" s="108" t="s">
        <v>281</v>
      </c>
      <c r="U996" s="108" t="s">
        <v>280</v>
      </c>
      <c r="V996" s="108" t="s">
        <v>280</v>
      </c>
      <c r="W996" s="108" t="s">
        <v>280</v>
      </c>
    </row>
    <row r="997" spans="1:23" ht="21" customHeight="1" x14ac:dyDescent="0.15">
      <c r="A997" s="104">
        <f t="shared" si="15"/>
        <v>996</v>
      </c>
      <c r="B997" s="105" t="s">
        <v>268</v>
      </c>
      <c r="C997" s="170" t="s">
        <v>3042</v>
      </c>
      <c r="D997" s="157" t="s">
        <v>3042</v>
      </c>
      <c r="E997" s="108" t="s">
        <v>709</v>
      </c>
      <c r="F997" s="108" t="s">
        <v>532</v>
      </c>
      <c r="G997" s="108" t="s">
        <v>710</v>
      </c>
      <c r="H997" s="131" t="s">
        <v>295</v>
      </c>
      <c r="I997" s="140">
        <v>5</v>
      </c>
      <c r="J997" s="109" t="s">
        <v>1001</v>
      </c>
      <c r="K997" s="105" t="s">
        <v>1005</v>
      </c>
      <c r="L997" s="107" t="str">
        <f ca="1">VLOOKUP($K997,OFFSET([1]character_type_i18n!$A$1,0,0,COUNTA([1]character_type_i18n!$A:$A),MATCH(L$1,[1]character_type_i18n!$1:$1,0)-MATCH($K$1,[1]character_type_i18n!$1:$1,0)+1),MATCH(L$1,[1]character_type_i18n!$1:$1,0)-MATCH($K$1,[1]character_type_i18n!$1:$1,0)+1,FALSE)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97" s="105" t="s">
        <v>1011</v>
      </c>
      <c r="N997" s="107" t="str">
        <f>VLOOKUP(M997,[1]character_tribe_i18n!A:C,3,FALSE)</f>
        <v>ヒューマン</v>
      </c>
      <c r="O997" s="105" t="s">
        <v>1786</v>
      </c>
      <c r="P997" s="107" t="str">
        <f>VLOOKUP(O997,[1]character_tribe_i18n!A:C,3,FALSE)</f>
        <v>マシン</v>
      </c>
      <c r="Q997" s="110" t="s">
        <v>279</v>
      </c>
      <c r="R997" s="111">
        <v>3</v>
      </c>
      <c r="S997" s="108" t="s">
        <v>280</v>
      </c>
      <c r="T997" s="108" t="s">
        <v>893</v>
      </c>
      <c r="U997" s="108" t="s">
        <v>898</v>
      </c>
      <c r="V997" s="108" t="s">
        <v>894</v>
      </c>
      <c r="W997" s="108" t="s">
        <v>894</v>
      </c>
    </row>
    <row r="998" spans="1:23" ht="21" customHeight="1" x14ac:dyDescent="0.15">
      <c r="A998" s="104">
        <f t="shared" si="15"/>
        <v>997</v>
      </c>
      <c r="B998" s="105" t="s">
        <v>1261</v>
      </c>
      <c r="C998" s="170" t="s">
        <v>3043</v>
      </c>
      <c r="D998" s="157" t="s">
        <v>3042</v>
      </c>
      <c r="E998" s="108" t="s">
        <v>3026</v>
      </c>
      <c r="F998" s="108" t="s">
        <v>3027</v>
      </c>
      <c r="G998" s="108" t="s">
        <v>3033</v>
      </c>
      <c r="H998" s="131" t="s">
        <v>295</v>
      </c>
      <c r="I998" s="140">
        <v>6</v>
      </c>
      <c r="J998" s="109" t="s">
        <v>1903</v>
      </c>
      <c r="K998" s="105" t="s">
        <v>1273</v>
      </c>
      <c r="L998" s="107" t="str">
        <f ca="1">VLOOKUP($K998,OFFSET([1]character_type_i18n!$A$1,0,0,COUNTA([1]character_type_i18n!$A:$A),MATCH(L$1,[1]character_type_i18n!$1:$1,0)-MATCH($K$1,[1]character_type_i18n!$1:$1,0)+1),MATCH(L$1,[1]character_type_i18n!$1:$1,0)-MATCH($K$1,[1]character_type_i18n!$1:$1,0)+1,FALSE)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98" s="105" t="s">
        <v>1011</v>
      </c>
      <c r="N998" s="107" t="str">
        <f>VLOOKUP(M998,[1]character_tribe_i18n!A:C,3,FALSE)</f>
        <v>ヒューマン</v>
      </c>
      <c r="O998" s="105" t="s">
        <v>3044</v>
      </c>
      <c r="P998" s="107" t="str">
        <f>VLOOKUP(O998,[1]character_tribe_i18n!A:C,3,FALSE)</f>
        <v>マシン</v>
      </c>
      <c r="Q998" s="110" t="s">
        <v>279</v>
      </c>
      <c r="R998" s="111">
        <v>3</v>
      </c>
      <c r="S998" s="108" t="s">
        <v>280</v>
      </c>
      <c r="T998" s="108" t="s">
        <v>281</v>
      </c>
      <c r="U998" s="108" t="s">
        <v>280</v>
      </c>
      <c r="V998" s="108" t="s">
        <v>280</v>
      </c>
      <c r="W998" s="108" t="s">
        <v>280</v>
      </c>
    </row>
    <row r="999" spans="1:23" ht="21" customHeight="1" x14ac:dyDescent="0.15">
      <c r="A999" s="104">
        <f t="shared" si="15"/>
        <v>998</v>
      </c>
      <c r="B999" s="105" t="s">
        <v>268</v>
      </c>
      <c r="C999" s="170" t="s">
        <v>3045</v>
      </c>
      <c r="D999" s="157" t="s">
        <v>3046</v>
      </c>
      <c r="E999" s="108" t="s">
        <v>709</v>
      </c>
      <c r="F999" s="108" t="s">
        <v>1422</v>
      </c>
      <c r="G999" s="108" t="s">
        <v>1587</v>
      </c>
      <c r="H999" s="131" t="s">
        <v>295</v>
      </c>
      <c r="I999" s="140">
        <v>4</v>
      </c>
      <c r="J999" s="109" t="s">
        <v>2846</v>
      </c>
      <c r="K999" s="105" t="s">
        <v>1588</v>
      </c>
      <c r="L999" s="107" t="str">
        <f ca="1">VLOOKUP($K999,OFFSET([1]character_type_i18n!$A$1,0,0,COUNTA([1]character_type_i18n!$A:$A),MATCH(L$1,[1]character_type_i18n!$1:$1,0)-MATCH($K$1,[1]character_type_i18n!$1:$1,0)+1),MATCH(L$1,[1]character_type_i18n!$1:$1,0)-MATCH($K$1,[1]character_type_i18n!$1:$1,0)+1,FALSE)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99" s="105" t="s">
        <v>1394</v>
      </c>
      <c r="N999" s="107" t="str">
        <f>VLOOKUP(M999,[1]character_tribe_i18n!A:C,3,FALSE)</f>
        <v>ヒューマン</v>
      </c>
      <c r="O999" s="105" t="s">
        <v>1017</v>
      </c>
      <c r="P999" s="107" t="str">
        <f>VLOOKUP(O999,[1]character_tribe_i18n!A:C,3,FALSE)</f>
        <v>マシン</v>
      </c>
      <c r="Q999" s="110" t="s">
        <v>362</v>
      </c>
      <c r="R999" s="111">
        <v>3</v>
      </c>
      <c r="S999" s="108" t="s">
        <v>289</v>
      </c>
      <c r="T999" s="108" t="s">
        <v>288</v>
      </c>
      <c r="U999" s="108" t="s">
        <v>289</v>
      </c>
      <c r="V999" s="108" t="s">
        <v>289</v>
      </c>
      <c r="W999" s="108" t="s">
        <v>289</v>
      </c>
    </row>
    <row r="1000" spans="1:23" ht="21" customHeight="1" x14ac:dyDescent="0.15">
      <c r="A1000" s="104">
        <f t="shared" si="15"/>
        <v>999</v>
      </c>
      <c r="B1000" s="105" t="s">
        <v>292</v>
      </c>
      <c r="C1000" s="170" t="s">
        <v>3047</v>
      </c>
      <c r="D1000" s="157" t="s">
        <v>3046</v>
      </c>
      <c r="E1000" s="108" t="s">
        <v>848</v>
      </c>
      <c r="F1000" s="108" t="s">
        <v>1422</v>
      </c>
      <c r="G1000" s="108" t="s">
        <v>1587</v>
      </c>
      <c r="H1000" s="131" t="s">
        <v>295</v>
      </c>
      <c r="I1000" s="140">
        <v>5</v>
      </c>
      <c r="J1000" s="109" t="s">
        <v>2846</v>
      </c>
      <c r="K1000" s="105" t="s">
        <v>1588</v>
      </c>
      <c r="L1000" s="107" t="str">
        <f ca="1">VLOOKUP($K1000,OFFSET([1]character_type_i18n!$A$1,0,0,COUNTA([1]character_type_i18n!$A:$A),MATCH(L$1,[1]character_type_i18n!$1:$1,0)-MATCH($K$1,[1]character_type_i18n!$1:$1,0)+1),MATCH(L$1,[1]character_type_i18n!$1:$1,0)-MATCH($K$1,[1]character_type_i18n!$1:$1,0)+1,FALSE)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00" s="105" t="s">
        <v>1011</v>
      </c>
      <c r="N1000" s="107" t="str">
        <f>VLOOKUP(M1000,[1]character_tribe_i18n!A:C,3,FALSE)</f>
        <v>ヒューマン</v>
      </c>
      <c r="O1000" s="105" t="s">
        <v>1599</v>
      </c>
      <c r="P1000" s="107" t="str">
        <f>VLOOKUP(O1000,[1]character_tribe_i18n!A:C,3,FALSE)</f>
        <v>マシン</v>
      </c>
      <c r="Q1000" s="110" t="s">
        <v>279</v>
      </c>
      <c r="R1000" s="111">
        <v>3</v>
      </c>
      <c r="S1000" s="108" t="s">
        <v>280</v>
      </c>
      <c r="T1000" s="108" t="s">
        <v>281</v>
      </c>
      <c r="U1000" s="108" t="s">
        <v>280</v>
      </c>
      <c r="V1000" s="108" t="s">
        <v>280</v>
      </c>
      <c r="W1000" s="108" t="s">
        <v>280</v>
      </c>
    </row>
    <row r="1001" spans="1:23" ht="21" customHeight="1" x14ac:dyDescent="0.15">
      <c r="A1001" s="104">
        <f t="shared" si="15"/>
        <v>1000</v>
      </c>
      <c r="B1001" s="105" t="s">
        <v>268</v>
      </c>
      <c r="C1001" s="170" t="s">
        <v>3048</v>
      </c>
      <c r="D1001" s="157" t="s">
        <v>3049</v>
      </c>
      <c r="E1001" s="108" t="s">
        <v>709</v>
      </c>
      <c r="F1001" s="108" t="s">
        <v>532</v>
      </c>
      <c r="G1001" s="108" t="s">
        <v>710</v>
      </c>
      <c r="H1001" s="131" t="s">
        <v>300</v>
      </c>
      <c r="I1001" s="140">
        <v>4</v>
      </c>
      <c r="J1001" s="109" t="s">
        <v>2367</v>
      </c>
      <c r="K1001" s="105" t="s">
        <v>989</v>
      </c>
      <c r="L1001" s="107" t="str">
        <f ca="1">VLOOKUP($K1001,OFFSET([1]character_type_i18n!$A$1,0,0,COUNTA([1]character_type_i18n!$A:$A),MATCH(L$1,[1]character_type_i18n!$1:$1,0)-MATCH($K$1,[1]character_type_i18n!$1:$1,0)+1),MATCH(L$1,[1]character_type_i18n!$1:$1,0)-MATCH($K$1,[1]character_type_i18n!$1:$1,0)+1,FALSE)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01" s="105" t="s">
        <v>1011</v>
      </c>
      <c r="N1001" s="107" t="str">
        <f>VLOOKUP(M1001,[1]character_tribe_i18n!A:C,3,FALSE)</f>
        <v>ヒューマン</v>
      </c>
      <c r="O1001" s="105" t="s">
        <v>1599</v>
      </c>
      <c r="P1001" s="107" t="str">
        <f>VLOOKUP(O1001,[1]character_tribe_i18n!A:C,3,FALSE)</f>
        <v>マシン</v>
      </c>
      <c r="Q1001" s="110" t="s">
        <v>279</v>
      </c>
      <c r="R1001" s="111">
        <v>3</v>
      </c>
      <c r="S1001" s="108" t="s">
        <v>280</v>
      </c>
      <c r="T1001" s="108" t="s">
        <v>281</v>
      </c>
      <c r="U1001" s="108" t="s">
        <v>280</v>
      </c>
      <c r="V1001" s="108" t="s">
        <v>280</v>
      </c>
      <c r="W1001" s="108" t="s">
        <v>280</v>
      </c>
    </row>
    <row r="1002" spans="1:23" ht="21" customHeight="1" x14ac:dyDescent="0.15">
      <c r="A1002" s="104">
        <f t="shared" si="15"/>
        <v>1001</v>
      </c>
      <c r="B1002" s="105" t="s">
        <v>268</v>
      </c>
      <c r="C1002" s="170" t="s">
        <v>3050</v>
      </c>
      <c r="D1002" s="157" t="s">
        <v>3049</v>
      </c>
      <c r="E1002" s="108" t="s">
        <v>709</v>
      </c>
      <c r="F1002" s="108" t="s">
        <v>532</v>
      </c>
      <c r="G1002" s="108" t="s">
        <v>710</v>
      </c>
      <c r="H1002" s="131" t="s">
        <v>300</v>
      </c>
      <c r="I1002" s="140">
        <v>5</v>
      </c>
      <c r="J1002" s="109" t="s">
        <v>2367</v>
      </c>
      <c r="K1002" s="105" t="s">
        <v>989</v>
      </c>
      <c r="L1002" s="107" t="str">
        <f ca="1">VLOOKUP($K1002,OFFSET([1]character_type_i18n!$A$1,0,0,COUNTA([1]character_type_i18n!$A:$A),MATCH(L$1,[1]character_type_i18n!$1:$1,0)-MATCH($K$1,[1]character_type_i18n!$1:$1,0)+1),MATCH(L$1,[1]character_type_i18n!$1:$1,0)-MATCH($K$1,[1]character_type_i18n!$1:$1,0)+1,FALSE)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02" s="105" t="s">
        <v>1394</v>
      </c>
      <c r="N1002" s="107" t="str">
        <f>VLOOKUP(M1002,[1]character_tribe_i18n!A:C,3,FALSE)</f>
        <v>ヒューマン</v>
      </c>
      <c r="O1002" s="105" t="s">
        <v>1017</v>
      </c>
      <c r="P1002" s="107" t="str">
        <f>VLOOKUP(O1002,[1]character_tribe_i18n!A:C,3,FALSE)</f>
        <v>マシン</v>
      </c>
      <c r="Q1002" s="110" t="s">
        <v>362</v>
      </c>
      <c r="R1002" s="111">
        <v>3</v>
      </c>
      <c r="S1002" s="108" t="s">
        <v>289</v>
      </c>
      <c r="T1002" s="108" t="s">
        <v>288</v>
      </c>
      <c r="U1002" s="108" t="s">
        <v>289</v>
      </c>
      <c r="V1002" s="108" t="s">
        <v>289</v>
      </c>
      <c r="W1002" s="108" t="s">
        <v>289</v>
      </c>
    </row>
    <row r="1003" spans="1:23" ht="21" customHeight="1" x14ac:dyDescent="0.15">
      <c r="A1003" s="104">
        <f t="shared" si="15"/>
        <v>1002</v>
      </c>
      <c r="B1003" s="105" t="s">
        <v>292</v>
      </c>
      <c r="C1003" s="170" t="s">
        <v>3051</v>
      </c>
      <c r="D1003" s="157" t="s">
        <v>3052</v>
      </c>
      <c r="E1003" s="108" t="s">
        <v>848</v>
      </c>
      <c r="F1003" s="108" t="s">
        <v>1422</v>
      </c>
      <c r="G1003" s="108" t="s">
        <v>1587</v>
      </c>
      <c r="H1003" s="131" t="s">
        <v>300</v>
      </c>
      <c r="I1003" s="140">
        <v>4</v>
      </c>
      <c r="J1003" s="109" t="s">
        <v>2846</v>
      </c>
      <c r="K1003" s="105" t="s">
        <v>2084</v>
      </c>
      <c r="L1003" s="107" t="str">
        <f ca="1">VLOOKUP($K1003,OFFSET([1]character_type_i18n!$A$1,0,0,COUNTA([1]character_type_i18n!$A:$A),MATCH(L$1,[1]character_type_i18n!$1:$1,0)-MATCH($K$1,[1]character_type_i18n!$1:$1,0)+1),MATCH(L$1,[1]character_type_i18n!$1:$1,0)-MATCH($K$1,[1]character_type_i18n!$1:$1,0)+1,FALSE)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03" s="105" t="s">
        <v>1011</v>
      </c>
      <c r="N1003" s="107" t="str">
        <f>VLOOKUP(M1003,[1]character_tribe_i18n!A:C,3,FALSE)</f>
        <v>ヒューマン</v>
      </c>
      <c r="O1003" s="105" t="s">
        <v>1599</v>
      </c>
      <c r="P1003" s="107" t="str">
        <f>VLOOKUP(O1003,[1]character_tribe_i18n!A:C,3,FALSE)</f>
        <v>マシン</v>
      </c>
      <c r="Q1003" s="110" t="s">
        <v>279</v>
      </c>
      <c r="R1003" s="111">
        <v>3</v>
      </c>
      <c r="S1003" s="108" t="s">
        <v>280</v>
      </c>
      <c r="T1003" s="108" t="s">
        <v>281</v>
      </c>
      <c r="U1003" s="108" t="s">
        <v>280</v>
      </c>
      <c r="V1003" s="108" t="s">
        <v>280</v>
      </c>
      <c r="W1003" s="108" t="s">
        <v>280</v>
      </c>
    </row>
    <row r="1004" spans="1:23" ht="21" customHeight="1" x14ac:dyDescent="0.15">
      <c r="A1004" s="104">
        <f t="shared" si="15"/>
        <v>1003</v>
      </c>
      <c r="B1004" s="105" t="s">
        <v>268</v>
      </c>
      <c r="C1004" s="170" t="s">
        <v>3053</v>
      </c>
      <c r="D1004" s="157" t="s">
        <v>3052</v>
      </c>
      <c r="E1004" s="108" t="s">
        <v>709</v>
      </c>
      <c r="F1004" s="108" t="s">
        <v>532</v>
      </c>
      <c r="G1004" s="108" t="s">
        <v>710</v>
      </c>
      <c r="H1004" s="131" t="s">
        <v>300</v>
      </c>
      <c r="I1004" s="140">
        <v>5</v>
      </c>
      <c r="J1004" s="109" t="s">
        <v>2367</v>
      </c>
      <c r="K1004" s="105" t="s">
        <v>1008</v>
      </c>
      <c r="L1004" s="107" t="str">
        <f ca="1">VLOOKUP($K1004,OFFSET([1]character_type_i18n!$A$1,0,0,COUNTA([1]character_type_i18n!$A:$A),MATCH(L$1,[1]character_type_i18n!$1:$1,0)-MATCH($K$1,[1]character_type_i18n!$1:$1,0)+1),MATCH(L$1,[1]character_type_i18n!$1:$1,0)-MATCH($K$1,[1]character_type_i18n!$1:$1,0)+1,FALSE)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04" s="105" t="s">
        <v>1394</v>
      </c>
      <c r="N1004" s="107" t="str">
        <f>VLOOKUP(M1004,[1]character_tribe_i18n!A:C,3,FALSE)</f>
        <v>ヒューマン</v>
      </c>
      <c r="O1004" s="105" t="s">
        <v>1017</v>
      </c>
      <c r="P1004" s="107" t="str">
        <f>VLOOKUP(O1004,[1]character_tribe_i18n!A:C,3,FALSE)</f>
        <v>マシン</v>
      </c>
      <c r="Q1004" s="110" t="s">
        <v>362</v>
      </c>
      <c r="R1004" s="111">
        <v>3</v>
      </c>
      <c r="S1004" s="108" t="s">
        <v>289</v>
      </c>
      <c r="T1004" s="108" t="s">
        <v>288</v>
      </c>
      <c r="U1004" s="108" t="s">
        <v>289</v>
      </c>
      <c r="V1004" s="108" t="s">
        <v>289</v>
      </c>
      <c r="W1004" s="108" t="s">
        <v>289</v>
      </c>
    </row>
    <row r="1005" spans="1:23" ht="21" customHeight="1" x14ac:dyDescent="0.15">
      <c r="A1005" s="104">
        <f t="shared" si="15"/>
        <v>1004</v>
      </c>
      <c r="B1005" s="105" t="s">
        <v>292</v>
      </c>
      <c r="C1005" s="154" t="s">
        <v>3054</v>
      </c>
      <c r="D1005" s="157" t="s">
        <v>3054</v>
      </c>
      <c r="E1005" s="108" t="s">
        <v>848</v>
      </c>
      <c r="F1005" s="108" t="s">
        <v>1422</v>
      </c>
      <c r="G1005" s="108" t="s">
        <v>1587</v>
      </c>
      <c r="H1005" s="131" t="s">
        <v>295</v>
      </c>
      <c r="I1005" s="140">
        <v>4</v>
      </c>
      <c r="J1005" s="109" t="s">
        <v>516</v>
      </c>
      <c r="K1005" s="105" t="s">
        <v>2716</v>
      </c>
      <c r="L1005" s="107" t="str">
        <f ca="1">VLOOKUP($K1005,OFFSET([1]character_type_i18n!$A$1,0,0,COUNTA([1]character_type_i18n!$A:$A),MATCH(L$1,[1]character_type_i18n!$1:$1,0)-MATCH($K$1,[1]character_type_i18n!$1:$1,0)+1),MATCH(L$1,[1]character_type_i18n!$1:$1,0)-MATCH($K$1,[1]character_type_i18n!$1:$1,0)+1,FALSE)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05" s="105" t="s">
        <v>313</v>
      </c>
      <c r="N1005" s="107" t="str">
        <f>VLOOKUP(M1005,[1]character_tribe_i18n!A:C,3,FALSE)</f>
        <v>アニマル</v>
      </c>
      <c r="O1005" s="105" t="s">
        <v>1596</v>
      </c>
      <c r="P1005" s="107" t="str">
        <f>VLOOKUP(O1005,[1]character_tribe_i18n!A:C,3,FALSE)</f>
        <v>種族なし</v>
      </c>
      <c r="Q1005" s="110" t="s">
        <v>279</v>
      </c>
      <c r="R1005" s="111">
        <v>3</v>
      </c>
      <c r="S1005" s="108" t="s">
        <v>280</v>
      </c>
      <c r="T1005" s="108" t="s">
        <v>281</v>
      </c>
      <c r="U1005" s="108" t="s">
        <v>280</v>
      </c>
      <c r="V1005" s="108" t="s">
        <v>280</v>
      </c>
      <c r="W1005" s="108" t="s">
        <v>280</v>
      </c>
    </row>
    <row r="1006" spans="1:23" ht="21" customHeight="1" x14ac:dyDescent="0.15">
      <c r="A1006" s="104">
        <f t="shared" si="15"/>
        <v>1005</v>
      </c>
      <c r="B1006" s="105" t="s">
        <v>268</v>
      </c>
      <c r="C1006" s="154" t="s">
        <v>3055</v>
      </c>
      <c r="D1006" s="157" t="s">
        <v>3054</v>
      </c>
      <c r="E1006" s="108" t="s">
        <v>709</v>
      </c>
      <c r="F1006" s="108" t="s">
        <v>532</v>
      </c>
      <c r="G1006" s="108" t="s">
        <v>710</v>
      </c>
      <c r="H1006" s="131" t="s">
        <v>295</v>
      </c>
      <c r="I1006" s="140">
        <v>5</v>
      </c>
      <c r="J1006" s="109" t="s">
        <v>516</v>
      </c>
      <c r="K1006" s="105" t="s">
        <v>1005</v>
      </c>
      <c r="L1006" s="107" t="str">
        <f ca="1">VLOOKUP($K1006,OFFSET([1]character_type_i18n!$A$1,0,0,COUNTA([1]character_type_i18n!$A:$A),MATCH(L$1,[1]character_type_i18n!$1:$1,0)-MATCH($K$1,[1]character_type_i18n!$1:$1,0)+1),MATCH(L$1,[1]character_type_i18n!$1:$1,0)-MATCH($K$1,[1]character_type_i18n!$1:$1,0)+1,FALSE)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06" s="105" t="s">
        <v>1172</v>
      </c>
      <c r="N1006" s="107" t="str">
        <f>VLOOKUP(M1006,[1]character_tribe_i18n!A:C,3,FALSE)</f>
        <v>アニマル</v>
      </c>
      <c r="O1006" s="105" t="s">
        <v>1423</v>
      </c>
      <c r="P1006" s="107" t="str">
        <f>VLOOKUP(O1006,[1]character_tribe_i18n!A:C,3,FALSE)</f>
        <v>種族なし</v>
      </c>
      <c r="Q1006" s="110" t="s">
        <v>362</v>
      </c>
      <c r="R1006" s="111">
        <v>3</v>
      </c>
      <c r="S1006" s="108" t="s">
        <v>289</v>
      </c>
      <c r="T1006" s="108" t="s">
        <v>288</v>
      </c>
      <c r="U1006" s="108" t="s">
        <v>289</v>
      </c>
      <c r="V1006" s="108" t="s">
        <v>289</v>
      </c>
      <c r="W1006" s="108" t="s">
        <v>289</v>
      </c>
    </row>
    <row r="1007" spans="1:23" ht="21" customHeight="1" x14ac:dyDescent="0.15">
      <c r="A1007" s="104">
        <f t="shared" si="15"/>
        <v>1006</v>
      </c>
      <c r="B1007" s="105" t="s">
        <v>292</v>
      </c>
      <c r="C1007" s="154" t="s">
        <v>3056</v>
      </c>
      <c r="D1007" s="157" t="s">
        <v>3056</v>
      </c>
      <c r="E1007" s="108" t="s">
        <v>848</v>
      </c>
      <c r="F1007" s="108" t="s">
        <v>1422</v>
      </c>
      <c r="G1007" s="108" t="s">
        <v>1587</v>
      </c>
      <c r="H1007" s="131" t="s">
        <v>274</v>
      </c>
      <c r="I1007" s="140">
        <v>4</v>
      </c>
      <c r="J1007" s="109" t="s">
        <v>516</v>
      </c>
      <c r="K1007" s="105" t="s">
        <v>1887</v>
      </c>
      <c r="L1007" s="107" t="str">
        <f ca="1">VLOOKUP($K1007,OFFSET([1]character_type_i18n!$A$1,0,0,COUNTA([1]character_type_i18n!$A:$A),MATCH(L$1,[1]character_type_i18n!$1:$1,0)-MATCH($K$1,[1]character_type_i18n!$1:$1,0)+1),MATCH(L$1,[1]character_type_i18n!$1:$1,0)-MATCH($K$1,[1]character_type_i18n!$1:$1,0)+1,FALSE)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07" s="105" t="s">
        <v>1018</v>
      </c>
      <c r="N1007" s="107" t="str">
        <f>VLOOKUP(M1007,[1]character_tribe_i18n!A:C,3,FALSE)</f>
        <v>ゴッド</v>
      </c>
      <c r="O1007" s="105" t="s">
        <v>1172</v>
      </c>
      <c r="P1007" s="107" t="str">
        <f>VLOOKUP(O1007,[1]character_tribe_i18n!A:C,3,FALSE)</f>
        <v>アニマル</v>
      </c>
      <c r="Q1007" s="110" t="s">
        <v>279</v>
      </c>
      <c r="R1007" s="111">
        <v>3</v>
      </c>
      <c r="S1007" s="108" t="s">
        <v>280</v>
      </c>
      <c r="T1007" s="108" t="s">
        <v>281</v>
      </c>
      <c r="U1007" s="108" t="s">
        <v>280</v>
      </c>
      <c r="V1007" s="108" t="s">
        <v>280</v>
      </c>
      <c r="W1007" s="108" t="s">
        <v>280</v>
      </c>
    </row>
    <row r="1008" spans="1:23" ht="21" customHeight="1" x14ac:dyDescent="0.15">
      <c r="A1008" s="104">
        <f t="shared" si="15"/>
        <v>1007</v>
      </c>
      <c r="B1008" s="105" t="s">
        <v>268</v>
      </c>
      <c r="C1008" s="154" t="s">
        <v>3057</v>
      </c>
      <c r="D1008" s="157" t="s">
        <v>3058</v>
      </c>
      <c r="E1008" s="108" t="s">
        <v>709</v>
      </c>
      <c r="F1008" s="108" t="s">
        <v>532</v>
      </c>
      <c r="G1008" s="108" t="s">
        <v>710</v>
      </c>
      <c r="H1008" s="131" t="s">
        <v>274</v>
      </c>
      <c r="I1008" s="140">
        <v>5</v>
      </c>
      <c r="J1008" s="109" t="s">
        <v>516</v>
      </c>
      <c r="K1008" s="105" t="s">
        <v>989</v>
      </c>
      <c r="L1008" s="107" t="str">
        <f ca="1">VLOOKUP($K1008,OFFSET([1]character_type_i18n!$A$1,0,0,COUNTA([1]character_type_i18n!$A:$A),MATCH(L$1,[1]character_type_i18n!$1:$1,0)-MATCH($K$1,[1]character_type_i18n!$1:$1,0)+1),MATCH(L$1,[1]character_type_i18n!$1:$1,0)-MATCH($K$1,[1]character_type_i18n!$1:$1,0)+1,FALSE)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08" s="105" t="s">
        <v>1872</v>
      </c>
      <c r="N1008" s="107" t="str">
        <f>VLOOKUP(M1008,[1]character_tribe_i18n!A:C,3,FALSE)</f>
        <v>ゴッド</v>
      </c>
      <c r="O1008" s="105" t="s">
        <v>313</v>
      </c>
      <c r="P1008" s="107" t="str">
        <f>VLOOKUP(O1008,[1]character_tribe_i18n!A:C,3,FALSE)</f>
        <v>アニマル</v>
      </c>
      <c r="Q1008" s="110" t="s">
        <v>362</v>
      </c>
      <c r="R1008" s="111">
        <v>3</v>
      </c>
      <c r="S1008" s="108" t="s">
        <v>289</v>
      </c>
      <c r="T1008" s="108" t="s">
        <v>288</v>
      </c>
      <c r="U1008" s="108" t="s">
        <v>289</v>
      </c>
      <c r="V1008" s="108" t="s">
        <v>289</v>
      </c>
      <c r="W1008" s="108" t="s">
        <v>289</v>
      </c>
    </row>
    <row r="1009" spans="1:23" ht="21" customHeight="1" x14ac:dyDescent="0.15">
      <c r="A1009" s="104">
        <f t="shared" si="15"/>
        <v>1008</v>
      </c>
      <c r="B1009" s="105" t="s">
        <v>292</v>
      </c>
      <c r="C1009" s="154" t="s">
        <v>3059</v>
      </c>
      <c r="D1009" s="157" t="s">
        <v>3059</v>
      </c>
      <c r="E1009" s="108" t="s">
        <v>848</v>
      </c>
      <c r="F1009" s="108" t="s">
        <v>1422</v>
      </c>
      <c r="G1009" s="108" t="s">
        <v>1587</v>
      </c>
      <c r="H1009" s="131" t="s">
        <v>285</v>
      </c>
      <c r="I1009" s="140">
        <v>5</v>
      </c>
      <c r="J1009" s="109" t="s">
        <v>1859</v>
      </c>
      <c r="K1009" s="105" t="s">
        <v>2716</v>
      </c>
      <c r="L1009" s="107" t="str">
        <f ca="1">VLOOKUP($K1009,OFFSET([1]character_type_i18n!$A$1,0,0,COUNTA([1]character_type_i18n!$A:$A),MATCH(L$1,[1]character_type_i18n!$1:$1,0)-MATCH($K$1,[1]character_type_i18n!$1:$1,0)+1),MATCH(L$1,[1]character_type_i18n!$1:$1,0)-MATCH($K$1,[1]character_type_i18n!$1:$1,0)+1,FALSE)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09" s="105" t="s">
        <v>1018</v>
      </c>
      <c r="N1009" s="107" t="str">
        <f>VLOOKUP(M1009,[1]character_tribe_i18n!A:C,3,FALSE)</f>
        <v>ゴッド</v>
      </c>
      <c r="O1009" s="105" t="s">
        <v>1413</v>
      </c>
      <c r="P1009" s="107" t="str">
        <f>VLOOKUP(O1009,[1]character_tribe_i18n!A:C,3,FALSE)</f>
        <v>Unknown</v>
      </c>
      <c r="Q1009" s="110" t="s">
        <v>279</v>
      </c>
      <c r="R1009" s="111">
        <v>3</v>
      </c>
      <c r="S1009" s="108" t="s">
        <v>280</v>
      </c>
      <c r="T1009" s="108" t="s">
        <v>281</v>
      </c>
      <c r="U1009" s="108" t="s">
        <v>280</v>
      </c>
      <c r="V1009" s="108" t="s">
        <v>280</v>
      </c>
      <c r="W1009" s="108" t="s">
        <v>280</v>
      </c>
    </row>
    <row r="1010" spans="1:23" ht="21" customHeight="1" x14ac:dyDescent="0.15">
      <c r="A1010" s="104">
        <f t="shared" si="15"/>
        <v>1009</v>
      </c>
      <c r="B1010" s="105" t="s">
        <v>268</v>
      </c>
      <c r="C1010" s="154" t="s">
        <v>3060</v>
      </c>
      <c r="D1010" s="157" t="s">
        <v>3061</v>
      </c>
      <c r="E1010" s="108" t="s">
        <v>709</v>
      </c>
      <c r="F1010" s="108" t="s">
        <v>532</v>
      </c>
      <c r="G1010" s="108" t="s">
        <v>710</v>
      </c>
      <c r="H1010" s="131" t="s">
        <v>285</v>
      </c>
      <c r="I1010" s="140">
        <v>6</v>
      </c>
      <c r="J1010" s="109" t="s">
        <v>1504</v>
      </c>
      <c r="K1010" s="105" t="s">
        <v>1005</v>
      </c>
      <c r="L1010" s="107" t="str">
        <f ca="1">VLOOKUP($K1010,OFFSET([1]character_type_i18n!$A$1,0,0,COUNTA([1]character_type_i18n!$A:$A),MATCH(L$1,[1]character_type_i18n!$1:$1,0)-MATCH($K$1,[1]character_type_i18n!$1:$1,0)+1),MATCH(L$1,[1]character_type_i18n!$1:$1,0)-MATCH($K$1,[1]character_type_i18n!$1:$1,0)+1,FALSE)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10" s="105" t="s">
        <v>1872</v>
      </c>
      <c r="N1010" s="107" t="str">
        <f>VLOOKUP(M1010,[1]character_tribe_i18n!A:C,3,FALSE)</f>
        <v>ゴッド</v>
      </c>
      <c r="O1010" s="105" t="s">
        <v>1164</v>
      </c>
      <c r="P1010" s="107" t="str">
        <f>VLOOKUP(O1010,[1]character_tribe_i18n!A:C,3,FALSE)</f>
        <v>Unknown</v>
      </c>
      <c r="Q1010" s="110" t="s">
        <v>279</v>
      </c>
      <c r="R1010" s="111">
        <v>3</v>
      </c>
      <c r="S1010" s="108" t="s">
        <v>280</v>
      </c>
      <c r="T1010" s="108" t="s">
        <v>281</v>
      </c>
      <c r="U1010" s="108" t="s">
        <v>280</v>
      </c>
      <c r="V1010" s="108" t="s">
        <v>280</v>
      </c>
      <c r="W1010" s="108" t="s">
        <v>280</v>
      </c>
    </row>
    <row r="1011" spans="1:23" ht="21" customHeight="1" x14ac:dyDescent="0.15">
      <c r="A1011" s="104">
        <f t="shared" si="15"/>
        <v>1010</v>
      </c>
      <c r="B1011" s="105" t="s">
        <v>268</v>
      </c>
      <c r="C1011" s="154" t="s">
        <v>3062</v>
      </c>
      <c r="D1011" s="157" t="s">
        <v>3062</v>
      </c>
      <c r="E1011" s="108" t="s">
        <v>709</v>
      </c>
      <c r="F1011" s="108" t="s">
        <v>532</v>
      </c>
      <c r="G1011" s="108" t="s">
        <v>710</v>
      </c>
      <c r="H1011" s="131" t="s">
        <v>295</v>
      </c>
      <c r="I1011" s="140">
        <v>5</v>
      </c>
      <c r="J1011" s="109" t="s">
        <v>3063</v>
      </c>
      <c r="K1011" s="105" t="s">
        <v>2953</v>
      </c>
      <c r="L1011" s="107" t="str">
        <f ca="1">VLOOKUP($K1011,OFFSET([1]character_type_i18n!$A$1,0,0,COUNTA([1]character_type_i18n!$A:$A),MATCH(L$1,[1]character_type_i18n!$1:$1,0)-MATCH($K$1,[1]character_type_i18n!$1:$1,0)+1),MATCH(L$1,[1]character_type_i18n!$1:$1,0)-MATCH($K$1,[1]character_type_i18n!$1:$1,0)+1,FALSE)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11" s="105" t="s">
        <v>3064</v>
      </c>
      <c r="N1011" s="107" t="str">
        <f>VLOOKUP(M1011,[1]character_tribe_i18n!A:C,3,FALSE)</f>
        <v>ゴッド</v>
      </c>
      <c r="O1011" s="105" t="s">
        <v>1771</v>
      </c>
      <c r="P1011" s="107" t="str">
        <f>VLOOKUP(O1011,[1]character_tribe_i18n!A:C,3,FALSE)</f>
        <v>Unknown</v>
      </c>
      <c r="Q1011" s="110" t="s">
        <v>1682</v>
      </c>
      <c r="R1011" s="111">
        <v>3</v>
      </c>
      <c r="S1011" s="108" t="s">
        <v>611</v>
      </c>
      <c r="T1011" s="108" t="s">
        <v>610</v>
      </c>
      <c r="U1011" s="108" t="s">
        <v>611</v>
      </c>
      <c r="V1011" s="108" t="s">
        <v>611</v>
      </c>
      <c r="W1011" s="108" t="s">
        <v>611</v>
      </c>
    </row>
    <row r="1012" spans="1:23" ht="21" customHeight="1" x14ac:dyDescent="0.15">
      <c r="A1012" s="104">
        <f t="shared" si="15"/>
        <v>1011</v>
      </c>
      <c r="B1012" s="105" t="s">
        <v>1726</v>
      </c>
      <c r="C1012" s="154" t="s">
        <v>3065</v>
      </c>
      <c r="D1012" s="157" t="s">
        <v>3066</v>
      </c>
      <c r="E1012" s="108" t="s">
        <v>1788</v>
      </c>
      <c r="F1012" s="108" t="s">
        <v>1985</v>
      </c>
      <c r="G1012" s="108" t="s">
        <v>2504</v>
      </c>
      <c r="H1012" s="131" t="s">
        <v>295</v>
      </c>
      <c r="I1012" s="140">
        <v>6</v>
      </c>
      <c r="J1012" s="109" t="s">
        <v>3063</v>
      </c>
      <c r="K1012" s="105" t="s">
        <v>1607</v>
      </c>
      <c r="L1012" s="107" t="str">
        <f ca="1">VLOOKUP($K1012,OFFSET([1]character_type_i18n!$A$1,0,0,COUNTA([1]character_type_i18n!$A:$A),MATCH(L$1,[1]character_type_i18n!$1:$1,0)-MATCH($K$1,[1]character_type_i18n!$1:$1,0)+1),MATCH(L$1,[1]character_type_i18n!$1:$1,0)-MATCH($K$1,[1]character_type_i18n!$1:$1,0)+1,FALSE)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12" s="105" t="s">
        <v>1018</v>
      </c>
      <c r="N1012" s="107" t="str">
        <f>VLOOKUP(M1012,[1]character_tribe_i18n!A:C,3,FALSE)</f>
        <v>ゴッド</v>
      </c>
      <c r="O1012" s="105" t="s">
        <v>2001</v>
      </c>
      <c r="P1012" s="107" t="str">
        <f>VLOOKUP(O1012,[1]character_tribe_i18n!A:C,3,FALSE)</f>
        <v>Unknown</v>
      </c>
      <c r="Q1012" s="110" t="s">
        <v>279</v>
      </c>
      <c r="R1012" s="111">
        <v>3</v>
      </c>
      <c r="S1012" s="108" t="s">
        <v>280</v>
      </c>
      <c r="T1012" s="108" t="s">
        <v>281</v>
      </c>
      <c r="U1012" s="108" t="s">
        <v>280</v>
      </c>
      <c r="V1012" s="108" t="s">
        <v>280</v>
      </c>
      <c r="W1012" s="108" t="s">
        <v>280</v>
      </c>
    </row>
    <row r="1013" spans="1:23" ht="21" customHeight="1" x14ac:dyDescent="0.15">
      <c r="A1013" s="104">
        <f t="shared" si="15"/>
        <v>1012</v>
      </c>
      <c r="B1013" s="105" t="s">
        <v>268</v>
      </c>
      <c r="C1013" s="154" t="s">
        <v>3067</v>
      </c>
      <c r="D1013" s="157" t="s">
        <v>3068</v>
      </c>
      <c r="E1013" s="108" t="s">
        <v>2488</v>
      </c>
      <c r="F1013" s="108" t="s">
        <v>2489</v>
      </c>
      <c r="G1013" s="108" t="s">
        <v>2490</v>
      </c>
      <c r="H1013" s="131" t="s">
        <v>274</v>
      </c>
      <c r="I1013" s="140">
        <v>5</v>
      </c>
      <c r="J1013" s="109" t="s">
        <v>3069</v>
      </c>
      <c r="K1013" s="105" t="s">
        <v>2523</v>
      </c>
      <c r="L1013" s="107" t="str">
        <f ca="1">VLOOKUP($K1013,OFFSET([1]character_type_i18n!$A$1,0,0,COUNTA([1]character_type_i18n!$A:$A),MATCH(L$1,[1]character_type_i18n!$1:$1,0)-MATCH($K$1,[1]character_type_i18n!$1:$1,0)+1),MATCH(L$1,[1]character_type_i18n!$1:$1,0)-MATCH($K$1,[1]character_type_i18n!$1:$1,0)+1,FALSE)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13" s="105" t="s">
        <v>3070</v>
      </c>
      <c r="N1013" s="107" t="str">
        <f>VLOOKUP(M1013,[1]character_tribe_i18n!A:C,3,FALSE)</f>
        <v>ゴッド</v>
      </c>
      <c r="O1013" s="105" t="s">
        <v>313</v>
      </c>
      <c r="P1013" s="107" t="str">
        <f>VLOOKUP(O1013,[1]character_tribe_i18n!A:C,3,FALSE)</f>
        <v>アニマル</v>
      </c>
      <c r="Q1013" s="110" t="s">
        <v>279</v>
      </c>
      <c r="R1013" s="111">
        <v>3</v>
      </c>
      <c r="S1013" s="108" t="s">
        <v>280</v>
      </c>
      <c r="T1013" s="108" t="s">
        <v>281</v>
      </c>
      <c r="U1013" s="108" t="s">
        <v>280</v>
      </c>
      <c r="V1013" s="108" t="s">
        <v>280</v>
      </c>
      <c r="W1013" s="108" t="s">
        <v>280</v>
      </c>
    </row>
    <row r="1014" spans="1:23" ht="21" customHeight="1" x14ac:dyDescent="0.15">
      <c r="A1014" s="104">
        <f t="shared" si="15"/>
        <v>1013</v>
      </c>
      <c r="B1014" s="105" t="s">
        <v>268</v>
      </c>
      <c r="C1014" s="154" t="s">
        <v>3071</v>
      </c>
      <c r="D1014" s="157" t="s">
        <v>3067</v>
      </c>
      <c r="E1014" s="108" t="s">
        <v>709</v>
      </c>
      <c r="F1014" s="108" t="s">
        <v>532</v>
      </c>
      <c r="G1014" s="108" t="s">
        <v>710</v>
      </c>
      <c r="H1014" s="131" t="s">
        <v>274</v>
      </c>
      <c r="I1014" s="140">
        <v>6</v>
      </c>
      <c r="J1014" s="109" t="s">
        <v>1001</v>
      </c>
      <c r="K1014" s="105" t="s">
        <v>1008</v>
      </c>
      <c r="L1014" s="107" t="str">
        <f ca="1">VLOOKUP($K1014,OFFSET([1]character_type_i18n!$A$1,0,0,COUNTA([1]character_type_i18n!$A:$A),MATCH(L$1,[1]character_type_i18n!$1:$1,0)-MATCH($K$1,[1]character_type_i18n!$1:$1,0)+1),MATCH(L$1,[1]character_type_i18n!$1:$1,0)-MATCH($K$1,[1]character_type_i18n!$1:$1,0)+1,FALSE)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14" s="105" t="s">
        <v>3072</v>
      </c>
      <c r="N1014" s="107" t="str">
        <f>VLOOKUP(M1014,[1]character_tribe_i18n!A:C,3,FALSE)</f>
        <v>ゴッド</v>
      </c>
      <c r="O1014" s="105" t="s">
        <v>313</v>
      </c>
      <c r="P1014" s="107" t="str">
        <f>VLOOKUP(O1014,[1]character_tribe_i18n!A:C,3,FALSE)</f>
        <v>アニマル</v>
      </c>
      <c r="Q1014" s="110" t="s">
        <v>2428</v>
      </c>
      <c r="R1014" s="111">
        <v>3</v>
      </c>
      <c r="S1014" s="108" t="s">
        <v>2063</v>
      </c>
      <c r="T1014" s="108" t="s">
        <v>2641</v>
      </c>
      <c r="U1014" s="108" t="s">
        <v>887</v>
      </c>
      <c r="V1014" s="108" t="s">
        <v>887</v>
      </c>
      <c r="W1014" s="108" t="s">
        <v>887</v>
      </c>
    </row>
    <row r="1015" spans="1:23" ht="21" customHeight="1" x14ac:dyDescent="0.15">
      <c r="A1015" s="104">
        <f t="shared" si="15"/>
        <v>1014</v>
      </c>
      <c r="B1015" s="105" t="s">
        <v>1288</v>
      </c>
      <c r="C1015" s="154" t="s">
        <v>3073</v>
      </c>
      <c r="D1015" s="157" t="s">
        <v>3074</v>
      </c>
      <c r="E1015" s="108" t="s">
        <v>1684</v>
      </c>
      <c r="F1015" s="108" t="s">
        <v>1920</v>
      </c>
      <c r="G1015" s="108" t="s">
        <v>3075</v>
      </c>
      <c r="H1015" s="131" t="s">
        <v>285</v>
      </c>
      <c r="I1015" s="140">
        <v>5</v>
      </c>
      <c r="J1015" s="109" t="s">
        <v>3076</v>
      </c>
      <c r="K1015" s="105" t="s">
        <v>967</v>
      </c>
      <c r="L1015" s="107" t="str">
        <f ca="1">VLOOKUP($K1015,OFFSET([1]character_type_i18n!$A$1,0,0,COUNTA([1]character_type_i18n!$A:$A),MATCH(L$1,[1]character_type_i18n!$1:$1,0)-MATCH($K$1,[1]character_type_i18n!$1:$1,0)+1),MATCH(L$1,[1]character_type_i18n!$1:$1,0)-MATCH($K$1,[1]character_type_i18n!$1:$1,0)+1,FALSE)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15" s="105" t="s">
        <v>1018</v>
      </c>
      <c r="N1015" s="107" t="str">
        <f>VLOOKUP(M1015,[1]character_tribe_i18n!A:C,3,FALSE)</f>
        <v>ゴッド</v>
      </c>
      <c r="O1015" s="105" t="s">
        <v>313</v>
      </c>
      <c r="P1015" s="107" t="str">
        <f>VLOOKUP(O1015,[1]character_tribe_i18n!A:C,3,FALSE)</f>
        <v>アニマル</v>
      </c>
      <c r="Q1015" s="110" t="s">
        <v>279</v>
      </c>
      <c r="R1015" s="111">
        <v>3</v>
      </c>
      <c r="S1015" s="108" t="s">
        <v>280</v>
      </c>
      <c r="T1015" s="108" t="s">
        <v>281</v>
      </c>
      <c r="U1015" s="108" t="s">
        <v>280</v>
      </c>
      <c r="V1015" s="108" t="s">
        <v>280</v>
      </c>
      <c r="W1015" s="108" t="s">
        <v>280</v>
      </c>
    </row>
    <row r="1016" spans="1:23" ht="21" customHeight="1" x14ac:dyDescent="0.15">
      <c r="A1016" s="104">
        <f t="shared" si="15"/>
        <v>1015</v>
      </c>
      <c r="B1016" s="105" t="s">
        <v>268</v>
      </c>
      <c r="C1016" s="154" t="s">
        <v>3077</v>
      </c>
      <c r="D1016" s="157" t="s">
        <v>3078</v>
      </c>
      <c r="E1016" s="108" t="s">
        <v>709</v>
      </c>
      <c r="F1016" s="108" t="s">
        <v>532</v>
      </c>
      <c r="G1016" s="108" t="s">
        <v>710</v>
      </c>
      <c r="H1016" s="131" t="s">
        <v>285</v>
      </c>
      <c r="I1016" s="140">
        <v>6</v>
      </c>
      <c r="J1016" s="109" t="s">
        <v>1001</v>
      </c>
      <c r="K1016" s="105" t="s">
        <v>967</v>
      </c>
      <c r="L1016" s="107" t="str">
        <f ca="1">VLOOKUP($K1016,OFFSET([1]character_type_i18n!$A$1,0,0,COUNTA([1]character_type_i18n!$A:$A),MATCH(L$1,[1]character_type_i18n!$1:$1,0)-MATCH($K$1,[1]character_type_i18n!$1:$1,0)+1),MATCH(L$1,[1]character_type_i18n!$1:$1,0)-MATCH($K$1,[1]character_type_i18n!$1:$1,0)+1,FALSE)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16" s="105" t="s">
        <v>1018</v>
      </c>
      <c r="N1016" s="107" t="str">
        <f>VLOOKUP(M1016,[1]character_tribe_i18n!A:C,3,FALSE)</f>
        <v>ゴッド</v>
      </c>
      <c r="O1016" s="105" t="s">
        <v>2944</v>
      </c>
      <c r="P1016" s="107" t="str">
        <f>VLOOKUP(O1016,[1]character_tribe_i18n!A:C,3,FALSE)</f>
        <v>アニマル</v>
      </c>
      <c r="Q1016" s="110" t="s">
        <v>279</v>
      </c>
      <c r="R1016" s="111">
        <v>3</v>
      </c>
      <c r="S1016" s="108" t="s">
        <v>280</v>
      </c>
      <c r="T1016" s="108" t="s">
        <v>281</v>
      </c>
      <c r="U1016" s="108" t="s">
        <v>280</v>
      </c>
      <c r="V1016" s="108" t="s">
        <v>280</v>
      </c>
      <c r="W1016" s="108" t="s">
        <v>280</v>
      </c>
    </row>
    <row r="1017" spans="1:23" ht="21" customHeight="1" x14ac:dyDescent="0.15">
      <c r="A1017" s="104">
        <f t="shared" si="15"/>
        <v>1016</v>
      </c>
      <c r="B1017" s="105" t="s">
        <v>268</v>
      </c>
      <c r="C1017" s="154" t="s">
        <v>3079</v>
      </c>
      <c r="D1017" s="157" t="s">
        <v>3079</v>
      </c>
      <c r="E1017" s="108" t="s">
        <v>709</v>
      </c>
      <c r="F1017" s="108" t="s">
        <v>532</v>
      </c>
      <c r="G1017" s="108" t="s">
        <v>710</v>
      </c>
      <c r="H1017" s="131" t="s">
        <v>295</v>
      </c>
      <c r="I1017" s="140">
        <v>4</v>
      </c>
      <c r="J1017" s="109" t="s">
        <v>2367</v>
      </c>
      <c r="K1017" s="105" t="s">
        <v>989</v>
      </c>
      <c r="L1017" s="107" t="str">
        <f ca="1">VLOOKUP($K1017,OFFSET([1]character_type_i18n!$A$1,0,0,COUNTA([1]character_type_i18n!$A:$A),MATCH(L$1,[1]character_type_i18n!$1:$1,0)-MATCH($K$1,[1]character_type_i18n!$1:$1,0)+1),MATCH(L$1,[1]character_type_i18n!$1:$1,0)-MATCH($K$1,[1]character_type_i18n!$1:$1,0)+1,FALSE)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17" s="105" t="s">
        <v>2299</v>
      </c>
      <c r="N1017" s="107" t="str">
        <f>VLOOKUP(M1017,[1]character_tribe_i18n!A:C,3,FALSE)</f>
        <v>ゴッド</v>
      </c>
      <c r="O1017" s="105" t="s">
        <v>3080</v>
      </c>
      <c r="P1017" s="107" t="str">
        <f>VLOOKUP(O1017,[1]character_tribe_i18n!A:C,3,FALSE)</f>
        <v>アニマル</v>
      </c>
      <c r="Q1017" s="110" t="s">
        <v>1656</v>
      </c>
      <c r="R1017" s="111">
        <v>3</v>
      </c>
      <c r="S1017" s="108" t="s">
        <v>898</v>
      </c>
      <c r="T1017" s="108" t="s">
        <v>893</v>
      </c>
      <c r="U1017" s="108" t="s">
        <v>898</v>
      </c>
      <c r="V1017" s="108" t="s">
        <v>898</v>
      </c>
      <c r="W1017" s="108" t="s">
        <v>898</v>
      </c>
    </row>
    <row r="1018" spans="1:23" ht="21" customHeight="1" x14ac:dyDescent="0.15">
      <c r="A1018" s="104">
        <f t="shared" si="15"/>
        <v>1017</v>
      </c>
      <c r="B1018" s="105" t="s">
        <v>1689</v>
      </c>
      <c r="C1018" s="154" t="s">
        <v>3081</v>
      </c>
      <c r="D1018" s="157" t="s">
        <v>3082</v>
      </c>
      <c r="E1018" s="108" t="s">
        <v>1576</v>
      </c>
      <c r="F1018" s="108" t="s">
        <v>1577</v>
      </c>
      <c r="G1018" s="108" t="s">
        <v>1578</v>
      </c>
      <c r="H1018" s="131" t="s">
        <v>295</v>
      </c>
      <c r="I1018" s="140">
        <v>5</v>
      </c>
      <c r="J1018" s="109" t="s">
        <v>2827</v>
      </c>
      <c r="K1018" s="105" t="s">
        <v>1770</v>
      </c>
      <c r="L1018" s="107" t="str">
        <f ca="1">VLOOKUP($K1018,OFFSET([1]character_type_i18n!$A$1,0,0,COUNTA([1]character_type_i18n!$A:$A),MATCH(L$1,[1]character_type_i18n!$1:$1,0)-MATCH($K$1,[1]character_type_i18n!$1:$1,0)+1),MATCH(L$1,[1]character_type_i18n!$1:$1,0)-MATCH($K$1,[1]character_type_i18n!$1:$1,0)+1,FALSE)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18" s="105" t="s">
        <v>1018</v>
      </c>
      <c r="N1018" s="107" t="str">
        <f>VLOOKUP(M1018,[1]character_tribe_i18n!A:C,3,FALSE)</f>
        <v>ゴッド</v>
      </c>
      <c r="O1018" s="105" t="s">
        <v>3083</v>
      </c>
      <c r="P1018" s="107" t="str">
        <f>VLOOKUP(O1018,[1]character_tribe_i18n!A:C,3,FALSE)</f>
        <v>アニマル</v>
      </c>
      <c r="Q1018" s="110" t="s">
        <v>2156</v>
      </c>
      <c r="R1018" s="111">
        <v>3</v>
      </c>
      <c r="S1018" s="108" t="s">
        <v>880</v>
      </c>
      <c r="T1018" s="108" t="s">
        <v>281</v>
      </c>
      <c r="U1018" s="108" t="s">
        <v>280</v>
      </c>
      <c r="V1018" s="108" t="s">
        <v>280</v>
      </c>
      <c r="W1018" s="108" t="s">
        <v>280</v>
      </c>
    </row>
    <row r="1019" spans="1:23" ht="21" customHeight="1" x14ac:dyDescent="0.15">
      <c r="A1019" s="104">
        <f t="shared" si="15"/>
        <v>1018</v>
      </c>
      <c r="B1019" s="105" t="s">
        <v>268</v>
      </c>
      <c r="C1019" s="154" t="s">
        <v>3084</v>
      </c>
      <c r="D1019" s="157" t="s">
        <v>3084</v>
      </c>
      <c r="E1019" s="108" t="s">
        <v>709</v>
      </c>
      <c r="F1019" s="108" t="s">
        <v>532</v>
      </c>
      <c r="G1019" s="108" t="s">
        <v>710</v>
      </c>
      <c r="H1019" s="131" t="s">
        <v>300</v>
      </c>
      <c r="I1019" s="140">
        <v>5</v>
      </c>
      <c r="J1019" s="109" t="s">
        <v>1001</v>
      </c>
      <c r="K1019" s="105" t="s">
        <v>1005</v>
      </c>
      <c r="L1019" s="107" t="str">
        <f ca="1">VLOOKUP($K1019,OFFSET([1]character_type_i18n!$A$1,0,0,COUNTA([1]character_type_i18n!$A:$A),MATCH(L$1,[1]character_type_i18n!$1:$1,0)-MATCH($K$1,[1]character_type_i18n!$1:$1,0)+1),MATCH(L$1,[1]character_type_i18n!$1:$1,0)-MATCH($K$1,[1]character_type_i18n!$1:$1,0)+1,FALSE)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19" s="105" t="s">
        <v>3085</v>
      </c>
      <c r="N1019" s="107" t="str">
        <f>VLOOKUP(M1019,[1]character_tribe_i18n!A:C,3,FALSE)</f>
        <v>ゴッド</v>
      </c>
      <c r="O1019" s="105" t="s">
        <v>3086</v>
      </c>
      <c r="P1019" s="107" t="str">
        <f>VLOOKUP(O1019,[1]character_tribe_i18n!A:C,3,FALSE)</f>
        <v>アニマル</v>
      </c>
      <c r="Q1019" s="110" t="s">
        <v>3087</v>
      </c>
      <c r="R1019" s="111">
        <v>3</v>
      </c>
      <c r="S1019" s="108" t="s">
        <v>3088</v>
      </c>
      <c r="T1019" s="108" t="s">
        <v>3089</v>
      </c>
      <c r="U1019" s="108" t="s">
        <v>3088</v>
      </c>
      <c r="V1019" s="108" t="s">
        <v>3088</v>
      </c>
      <c r="W1019" s="108" t="s">
        <v>3088</v>
      </c>
    </row>
    <row r="1020" spans="1:23" ht="21" customHeight="1" x14ac:dyDescent="0.15">
      <c r="A1020" s="104">
        <f t="shared" si="15"/>
        <v>1019</v>
      </c>
      <c r="B1020" s="105" t="s">
        <v>3090</v>
      </c>
      <c r="C1020" s="154" t="s">
        <v>3091</v>
      </c>
      <c r="D1020" s="157" t="s">
        <v>3092</v>
      </c>
      <c r="E1020" s="108" t="s">
        <v>3093</v>
      </c>
      <c r="F1020" s="108" t="s">
        <v>1291</v>
      </c>
      <c r="G1020" s="108" t="s">
        <v>3094</v>
      </c>
      <c r="H1020" s="131" t="s">
        <v>300</v>
      </c>
      <c r="I1020" s="140">
        <v>6</v>
      </c>
      <c r="J1020" s="109" t="s">
        <v>2351</v>
      </c>
      <c r="K1020" s="105" t="s">
        <v>1716</v>
      </c>
      <c r="L1020" s="107" t="str">
        <f ca="1">VLOOKUP($K1020,OFFSET([1]character_type_i18n!$A$1,0,0,COUNTA([1]character_type_i18n!$A:$A),MATCH(L$1,[1]character_type_i18n!$1:$1,0)-MATCH($K$1,[1]character_type_i18n!$1:$1,0)+1),MATCH(L$1,[1]character_type_i18n!$1:$1,0)-MATCH($K$1,[1]character_type_i18n!$1:$1,0)+1,FALSE)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20" s="105" t="s">
        <v>3095</v>
      </c>
      <c r="N1020" s="107" t="str">
        <f>VLOOKUP(M1020,[1]character_tribe_i18n!A:C,3,FALSE)</f>
        <v>ゴッド</v>
      </c>
      <c r="O1020" s="105" t="s">
        <v>3096</v>
      </c>
      <c r="P1020" s="107" t="str">
        <f>VLOOKUP(O1020,[1]character_tribe_i18n!A:C,3,FALSE)</f>
        <v>アニマル</v>
      </c>
      <c r="Q1020" s="110" t="s">
        <v>3097</v>
      </c>
      <c r="R1020" s="111">
        <v>3</v>
      </c>
      <c r="S1020" s="108" t="s">
        <v>3098</v>
      </c>
      <c r="T1020" s="108" t="s">
        <v>3099</v>
      </c>
      <c r="U1020" s="108" t="s">
        <v>3098</v>
      </c>
      <c r="V1020" s="108" t="s">
        <v>3098</v>
      </c>
      <c r="W1020" s="108" t="s">
        <v>3098</v>
      </c>
    </row>
    <row r="1021" spans="1:23" ht="21" customHeight="1" x14ac:dyDescent="0.15">
      <c r="A1021" s="104">
        <f t="shared" si="15"/>
        <v>1020</v>
      </c>
      <c r="B1021" s="105" t="s">
        <v>3100</v>
      </c>
      <c r="C1021" s="154" t="s">
        <v>3101</v>
      </c>
      <c r="D1021" s="157" t="s">
        <v>3101</v>
      </c>
      <c r="E1021" s="108" t="s">
        <v>3102</v>
      </c>
      <c r="F1021" s="108" t="s">
        <v>3103</v>
      </c>
      <c r="G1021" s="108" t="s">
        <v>3104</v>
      </c>
      <c r="H1021" s="131" t="s">
        <v>274</v>
      </c>
      <c r="I1021" s="140">
        <v>4</v>
      </c>
      <c r="J1021" s="109" t="s">
        <v>516</v>
      </c>
      <c r="K1021" s="105" t="s">
        <v>1505</v>
      </c>
      <c r="L1021" s="107" t="str">
        <f ca="1">VLOOKUP($K1021,OFFSET([1]character_type_i18n!$A$1,0,0,COUNTA([1]character_type_i18n!$A:$A),MATCH(L$1,[1]character_type_i18n!$1:$1,0)-MATCH($K$1,[1]character_type_i18n!$1:$1,0)+1),MATCH(L$1,[1]character_type_i18n!$1:$1,0)-MATCH($K$1,[1]character_type_i18n!$1:$1,0)+1,FALSE)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21" s="105" t="s">
        <v>3105</v>
      </c>
      <c r="N1021" s="107" t="str">
        <f>VLOOKUP(M1021,[1]character_tribe_i18n!A:C,3,FALSE)</f>
        <v>ヒューマン</v>
      </c>
      <c r="O1021" s="105" t="s">
        <v>1423</v>
      </c>
      <c r="P1021" s="107" t="str">
        <f>VLOOKUP(O1021,[1]character_tribe_i18n!A:C,3,FALSE)</f>
        <v>種族なし</v>
      </c>
      <c r="Q1021" s="110" t="s">
        <v>3106</v>
      </c>
      <c r="R1021" s="111">
        <v>3</v>
      </c>
      <c r="S1021" s="108" t="s">
        <v>3107</v>
      </c>
      <c r="T1021" s="108" t="s">
        <v>3108</v>
      </c>
      <c r="U1021" s="108" t="s">
        <v>3107</v>
      </c>
      <c r="V1021" s="108" t="s">
        <v>3107</v>
      </c>
      <c r="W1021" s="108" t="s">
        <v>3107</v>
      </c>
    </row>
    <row r="1022" spans="1:23" ht="21" customHeight="1" x14ac:dyDescent="0.15">
      <c r="A1022" s="104">
        <f t="shared" si="15"/>
        <v>1021</v>
      </c>
      <c r="B1022" s="105" t="s">
        <v>3109</v>
      </c>
      <c r="C1022" s="154" t="s">
        <v>3110</v>
      </c>
      <c r="D1022" s="157" t="s">
        <v>3101</v>
      </c>
      <c r="E1022" s="108" t="s">
        <v>1874</v>
      </c>
      <c r="F1022" s="108" t="s">
        <v>1875</v>
      </c>
      <c r="G1022" s="108" t="s">
        <v>1876</v>
      </c>
      <c r="H1022" s="131" t="s">
        <v>274</v>
      </c>
      <c r="I1022" s="140">
        <v>5</v>
      </c>
      <c r="J1022" s="109" t="s">
        <v>516</v>
      </c>
      <c r="K1022" s="105" t="s">
        <v>3111</v>
      </c>
      <c r="L1022" s="107" t="str">
        <f ca="1">VLOOKUP($K1022,OFFSET([1]character_type_i18n!$A$1,0,0,COUNTA([1]character_type_i18n!$A:$A),MATCH(L$1,[1]character_type_i18n!$1:$1,0)-MATCH($K$1,[1]character_type_i18n!$1:$1,0)+1),MATCH(L$1,[1]character_type_i18n!$1:$1,0)-MATCH($K$1,[1]character_type_i18n!$1:$1,0)+1,FALSE)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22" s="105" t="s">
        <v>1608</v>
      </c>
      <c r="N1022" s="107" t="str">
        <f>VLOOKUP(M1022,[1]character_tribe_i18n!A:C,3,FALSE)</f>
        <v>ヒューマン</v>
      </c>
      <c r="O1022" s="105" t="s">
        <v>1423</v>
      </c>
      <c r="P1022" s="107" t="str">
        <f>VLOOKUP(O1022,[1]character_tribe_i18n!A:C,3,FALSE)</f>
        <v>種族なし</v>
      </c>
      <c r="Q1022" s="110" t="s">
        <v>3112</v>
      </c>
      <c r="R1022" s="111">
        <v>3</v>
      </c>
      <c r="S1022" s="108" t="s">
        <v>3113</v>
      </c>
      <c r="T1022" s="108" t="s">
        <v>281</v>
      </c>
      <c r="U1022" s="108" t="s">
        <v>280</v>
      </c>
      <c r="V1022" s="108" t="s">
        <v>894</v>
      </c>
      <c r="W1022" s="108" t="s">
        <v>894</v>
      </c>
    </row>
    <row r="1023" spans="1:23" ht="21" customHeight="1" x14ac:dyDescent="0.15">
      <c r="A1023" s="104">
        <f t="shared" si="15"/>
        <v>1022</v>
      </c>
      <c r="B1023" s="105" t="s">
        <v>1261</v>
      </c>
      <c r="C1023" s="154" t="s">
        <v>3114</v>
      </c>
      <c r="D1023" s="157" t="s">
        <v>3114</v>
      </c>
      <c r="E1023" s="108" t="s">
        <v>709</v>
      </c>
      <c r="F1023" s="108" t="s">
        <v>532</v>
      </c>
      <c r="G1023" s="108" t="s">
        <v>710</v>
      </c>
      <c r="H1023" s="131" t="s">
        <v>285</v>
      </c>
      <c r="I1023" s="140">
        <v>4</v>
      </c>
      <c r="J1023" s="109" t="s">
        <v>516</v>
      </c>
      <c r="K1023" s="105" t="s">
        <v>1505</v>
      </c>
      <c r="L1023" s="107" t="str">
        <f ca="1">VLOOKUP($K1023,OFFSET([1]character_type_i18n!$A$1,0,0,COUNTA([1]character_type_i18n!$A:$A),MATCH(L$1,[1]character_type_i18n!$1:$1,0)-MATCH($K$1,[1]character_type_i18n!$1:$1,0)+1),MATCH(L$1,[1]character_type_i18n!$1:$1,0)-MATCH($K$1,[1]character_type_i18n!$1:$1,0)+1,FALSE)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23" s="105" t="s">
        <v>1011</v>
      </c>
      <c r="N1023" s="107" t="str">
        <f>VLOOKUP(M1023,[1]character_tribe_i18n!A:C,3,FALSE)</f>
        <v>ヒューマン</v>
      </c>
      <c r="O1023" s="105" t="s">
        <v>3115</v>
      </c>
      <c r="P1023" s="107" t="str">
        <f>VLOOKUP(O1023,[1]character_tribe_i18n!A:C,3,FALSE)</f>
        <v>サムライ</v>
      </c>
      <c r="Q1023" s="110" t="s">
        <v>1539</v>
      </c>
      <c r="R1023" s="111">
        <v>3</v>
      </c>
      <c r="S1023" s="108" t="s">
        <v>1540</v>
      </c>
      <c r="T1023" s="108" t="s">
        <v>2484</v>
      </c>
      <c r="U1023" s="108" t="s">
        <v>2485</v>
      </c>
      <c r="V1023" s="108" t="s">
        <v>894</v>
      </c>
      <c r="W1023" s="108" t="s">
        <v>894</v>
      </c>
    </row>
    <row r="1024" spans="1:23" ht="21" customHeight="1" x14ac:dyDescent="0.15">
      <c r="A1024" s="104">
        <f t="shared" si="15"/>
        <v>1023</v>
      </c>
      <c r="B1024" s="105" t="s">
        <v>1261</v>
      </c>
      <c r="C1024" s="154" t="s">
        <v>3116</v>
      </c>
      <c r="D1024" s="157" t="s">
        <v>3114</v>
      </c>
      <c r="E1024" s="108" t="s">
        <v>709</v>
      </c>
      <c r="F1024" s="108" t="s">
        <v>532</v>
      </c>
      <c r="G1024" s="108" t="s">
        <v>710</v>
      </c>
      <c r="H1024" s="131" t="s">
        <v>285</v>
      </c>
      <c r="I1024" s="140">
        <v>5</v>
      </c>
      <c r="J1024" s="109" t="s">
        <v>516</v>
      </c>
      <c r="K1024" s="105" t="s">
        <v>1505</v>
      </c>
      <c r="L1024" s="107" t="str">
        <f ca="1">VLOOKUP($K1024,OFFSET([1]character_type_i18n!$A$1,0,0,COUNTA([1]character_type_i18n!$A:$A),MATCH(L$1,[1]character_type_i18n!$1:$1,0)-MATCH($K$1,[1]character_type_i18n!$1:$1,0)+1),MATCH(L$1,[1]character_type_i18n!$1:$1,0)-MATCH($K$1,[1]character_type_i18n!$1:$1,0)+1,FALSE)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24" s="105" t="s">
        <v>1011</v>
      </c>
      <c r="N1024" s="107" t="str">
        <f>VLOOKUP(M1024,[1]character_tribe_i18n!A:C,3,FALSE)</f>
        <v>ヒューマン</v>
      </c>
      <c r="O1024" s="105" t="s">
        <v>2245</v>
      </c>
      <c r="P1024" s="107" t="str">
        <f>VLOOKUP(O1024,[1]character_tribe_i18n!A:C,3,FALSE)</f>
        <v>サムライ</v>
      </c>
      <c r="Q1024" s="110" t="s">
        <v>279</v>
      </c>
      <c r="R1024" s="111">
        <v>3</v>
      </c>
      <c r="S1024" s="108" t="s">
        <v>280</v>
      </c>
      <c r="T1024" s="108" t="s">
        <v>281</v>
      </c>
      <c r="U1024" s="108" t="s">
        <v>280</v>
      </c>
      <c r="V1024" s="108" t="s">
        <v>280</v>
      </c>
      <c r="W1024" s="108" t="s">
        <v>280</v>
      </c>
    </row>
    <row r="1025" spans="1:23" ht="21" customHeight="1" x14ac:dyDescent="0.15">
      <c r="A1025" s="104">
        <f t="shared" si="15"/>
        <v>1024</v>
      </c>
      <c r="B1025" s="105" t="s">
        <v>268</v>
      </c>
      <c r="C1025" s="154" t="s">
        <v>3117</v>
      </c>
      <c r="D1025" s="157" t="s">
        <v>3117</v>
      </c>
      <c r="E1025" s="108" t="s">
        <v>709</v>
      </c>
      <c r="F1025" s="108" t="s">
        <v>532</v>
      </c>
      <c r="G1025" s="108" t="s">
        <v>710</v>
      </c>
      <c r="H1025" s="131" t="s">
        <v>300</v>
      </c>
      <c r="I1025" s="140">
        <v>5</v>
      </c>
      <c r="J1025" s="109" t="s">
        <v>1504</v>
      </c>
      <c r="K1025" s="105" t="s">
        <v>1005</v>
      </c>
      <c r="L1025" s="107" t="str">
        <f ca="1">VLOOKUP($K1025,OFFSET([1]character_type_i18n!$A$1,0,0,COUNTA([1]character_type_i18n!$A:$A),MATCH(L$1,[1]character_type_i18n!$1:$1,0)-MATCH($K$1,[1]character_type_i18n!$1:$1,0)+1),MATCH(L$1,[1]character_type_i18n!$1:$1,0)-MATCH($K$1,[1]character_type_i18n!$1:$1,0)+1,FALSE)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25" s="105" t="s">
        <v>3118</v>
      </c>
      <c r="N1025" s="107" t="str">
        <f>VLOOKUP(M1025,[1]character_tribe_i18n!A:C,3,FALSE)</f>
        <v>ヒューマン</v>
      </c>
      <c r="O1025" s="105" t="s">
        <v>3119</v>
      </c>
      <c r="P1025" s="107" t="str">
        <f>VLOOKUP(O1025,[1]character_tribe_i18n!A:C,3,FALSE)</f>
        <v>サムライ</v>
      </c>
      <c r="Q1025" s="110" t="s">
        <v>3120</v>
      </c>
      <c r="R1025" s="111">
        <v>3</v>
      </c>
      <c r="S1025" s="108" t="s">
        <v>875</v>
      </c>
      <c r="T1025" s="108" t="s">
        <v>1047</v>
      </c>
      <c r="U1025" s="108" t="s">
        <v>875</v>
      </c>
      <c r="V1025" s="108" t="s">
        <v>875</v>
      </c>
      <c r="W1025" s="108" t="s">
        <v>875</v>
      </c>
    </row>
    <row r="1026" spans="1:23" ht="21" customHeight="1" x14ac:dyDescent="0.15">
      <c r="A1026" s="104">
        <f t="shared" si="15"/>
        <v>1025</v>
      </c>
      <c r="B1026" s="105" t="s">
        <v>1079</v>
      </c>
      <c r="C1026" s="154" t="s">
        <v>3121</v>
      </c>
      <c r="D1026" s="157" t="s">
        <v>3117</v>
      </c>
      <c r="E1026" s="108" t="s">
        <v>1277</v>
      </c>
      <c r="F1026" s="108" t="s">
        <v>890</v>
      </c>
      <c r="G1026" s="108" t="s">
        <v>2201</v>
      </c>
      <c r="H1026" s="131" t="s">
        <v>300</v>
      </c>
      <c r="I1026" s="140">
        <v>6</v>
      </c>
      <c r="J1026" s="109" t="s">
        <v>3122</v>
      </c>
      <c r="K1026" s="105" t="s">
        <v>2114</v>
      </c>
      <c r="L1026" s="107" t="str">
        <f ca="1">VLOOKUP($K1026,OFFSET([1]character_type_i18n!$A$1,0,0,COUNTA([1]character_type_i18n!$A:$A),MATCH(L$1,[1]character_type_i18n!$1:$1,0)-MATCH($K$1,[1]character_type_i18n!$1:$1,0)+1),MATCH(L$1,[1]character_type_i18n!$1:$1,0)-MATCH($K$1,[1]character_type_i18n!$1:$1,0)+1,FALSE)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26" s="105" t="s">
        <v>3123</v>
      </c>
      <c r="N1026" s="107" t="str">
        <f>VLOOKUP(M1026,[1]character_tribe_i18n!A:C,3,FALSE)</f>
        <v>ヒューマン</v>
      </c>
      <c r="O1026" s="105" t="s">
        <v>3124</v>
      </c>
      <c r="P1026" s="107" t="str">
        <f>VLOOKUP(O1026,[1]character_tribe_i18n!A:C,3,FALSE)</f>
        <v>サムライ</v>
      </c>
      <c r="Q1026" s="110" t="s">
        <v>279</v>
      </c>
      <c r="R1026" s="111">
        <v>3</v>
      </c>
      <c r="S1026" s="108" t="s">
        <v>280</v>
      </c>
      <c r="T1026" s="108" t="s">
        <v>281</v>
      </c>
      <c r="U1026" s="108" t="s">
        <v>280</v>
      </c>
      <c r="V1026" s="108" t="s">
        <v>280</v>
      </c>
      <c r="W1026" s="108" t="s">
        <v>280</v>
      </c>
    </row>
    <row r="1027" spans="1:23" ht="21" customHeight="1" x14ac:dyDescent="0.15">
      <c r="A1027" s="104">
        <f t="shared" si="15"/>
        <v>1026</v>
      </c>
      <c r="B1027" s="105" t="s">
        <v>268</v>
      </c>
      <c r="C1027" s="154" t="s">
        <v>3125</v>
      </c>
      <c r="D1027" s="157" t="s">
        <v>3125</v>
      </c>
      <c r="E1027" s="108" t="s">
        <v>1405</v>
      </c>
      <c r="F1027" s="108" t="s">
        <v>1406</v>
      </c>
      <c r="G1027" s="108" t="s">
        <v>1898</v>
      </c>
      <c r="H1027" s="131" t="s">
        <v>274</v>
      </c>
      <c r="I1027" s="140">
        <v>4</v>
      </c>
      <c r="J1027" s="109" t="s">
        <v>3126</v>
      </c>
      <c r="K1027" s="105" t="s">
        <v>1273</v>
      </c>
      <c r="L1027" s="107" t="str">
        <f ca="1">VLOOKUP($K1027,OFFSET([1]character_type_i18n!$A$1,0,0,COUNTA([1]character_type_i18n!$A:$A),MATCH(L$1,[1]character_type_i18n!$1:$1,0)-MATCH($K$1,[1]character_type_i18n!$1:$1,0)+1),MATCH(L$1,[1]character_type_i18n!$1:$1,0)-MATCH($K$1,[1]character_type_i18n!$1:$1,0)+1,FALSE)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27" s="105" t="s">
        <v>3127</v>
      </c>
      <c r="N1027" s="107" t="str">
        <f>VLOOKUP(M1027,[1]character_tribe_i18n!A:C,3,FALSE)</f>
        <v>ヒューマン</v>
      </c>
      <c r="O1027" s="105" t="s">
        <v>1423</v>
      </c>
      <c r="P1027" s="107" t="str">
        <f>VLOOKUP(O1027,[1]character_tribe_i18n!A:C,3,FALSE)</f>
        <v>種族なし</v>
      </c>
      <c r="Q1027" s="110" t="s">
        <v>799</v>
      </c>
      <c r="R1027" s="111">
        <v>3</v>
      </c>
      <c r="S1027" s="108" t="s">
        <v>771</v>
      </c>
      <c r="T1027" s="108" t="s">
        <v>800</v>
      </c>
      <c r="U1027" s="108" t="s">
        <v>887</v>
      </c>
      <c r="V1027" s="108" t="s">
        <v>887</v>
      </c>
      <c r="W1027" s="108" t="s">
        <v>887</v>
      </c>
    </row>
    <row r="1028" spans="1:23" ht="21" customHeight="1" x14ac:dyDescent="0.15">
      <c r="A1028" s="104">
        <f t="shared" si="15"/>
        <v>1027</v>
      </c>
      <c r="B1028" s="105" t="s">
        <v>1288</v>
      </c>
      <c r="C1028" s="154" t="s">
        <v>3128</v>
      </c>
      <c r="D1028" s="157" t="s">
        <v>3125</v>
      </c>
      <c r="E1028" s="108" t="s">
        <v>1463</v>
      </c>
      <c r="F1028" s="108" t="s">
        <v>1464</v>
      </c>
      <c r="G1028" s="108" t="s">
        <v>2655</v>
      </c>
      <c r="H1028" s="131" t="s">
        <v>274</v>
      </c>
      <c r="I1028" s="140">
        <v>5</v>
      </c>
      <c r="J1028" s="109" t="s">
        <v>2461</v>
      </c>
      <c r="K1028" s="105" t="s">
        <v>1273</v>
      </c>
      <c r="L1028" s="107" t="str">
        <f ca="1">VLOOKUP($K1028,OFFSET([1]character_type_i18n!$A$1,0,0,COUNTA([1]character_type_i18n!$A:$A),MATCH(L$1,[1]character_type_i18n!$1:$1,0)-MATCH($K$1,[1]character_type_i18n!$1:$1,0)+1),MATCH(L$1,[1]character_type_i18n!$1:$1,0)-MATCH($K$1,[1]character_type_i18n!$1:$1,0)+1,FALSE)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28" s="105" t="s">
        <v>1476</v>
      </c>
      <c r="N1028" s="107" t="str">
        <f>VLOOKUP(M1028,[1]character_tribe_i18n!A:C,3,FALSE)</f>
        <v>ヒューマン</v>
      </c>
      <c r="O1028" s="105" t="s">
        <v>3129</v>
      </c>
      <c r="P1028" s="107" t="str">
        <f>VLOOKUP(O1028,[1]character_tribe_i18n!A:C,3,FALSE)</f>
        <v>種族なし</v>
      </c>
      <c r="Q1028" s="110" t="s">
        <v>1915</v>
      </c>
      <c r="R1028" s="111">
        <v>3</v>
      </c>
      <c r="S1028" s="108" t="s">
        <v>2411</v>
      </c>
      <c r="T1028" s="108" t="s">
        <v>3130</v>
      </c>
      <c r="U1028" s="108" t="s">
        <v>2411</v>
      </c>
      <c r="V1028" s="108" t="s">
        <v>280</v>
      </c>
      <c r="W1028" s="108" t="s">
        <v>280</v>
      </c>
    </row>
    <row r="1029" spans="1:23" ht="21" customHeight="1" x14ac:dyDescent="0.15">
      <c r="A1029" s="104">
        <f t="shared" si="15"/>
        <v>1028</v>
      </c>
      <c r="B1029" s="105" t="s">
        <v>2414</v>
      </c>
      <c r="C1029" s="154" t="s">
        <v>3131</v>
      </c>
      <c r="D1029" s="157" t="s">
        <v>3132</v>
      </c>
      <c r="E1029" s="108" t="s">
        <v>1405</v>
      </c>
      <c r="F1029" s="108" t="s">
        <v>1406</v>
      </c>
      <c r="G1029" s="108" t="s">
        <v>1898</v>
      </c>
      <c r="H1029" s="131" t="s">
        <v>285</v>
      </c>
      <c r="I1029" s="140">
        <v>5</v>
      </c>
      <c r="J1029" s="109" t="s">
        <v>3133</v>
      </c>
      <c r="K1029" s="105" t="s">
        <v>3134</v>
      </c>
      <c r="L1029" s="107" t="str">
        <f ca="1">VLOOKUP($K1029,OFFSET([1]character_type_i18n!$A$1,0,0,COUNTA([1]character_type_i18n!$A:$A),MATCH(L$1,[1]character_type_i18n!$1:$1,0)-MATCH($K$1,[1]character_type_i18n!$1:$1,0)+1),MATCH(L$1,[1]character_type_i18n!$1:$1,0)-MATCH($K$1,[1]character_type_i18n!$1:$1,0)+1,FALSE)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29" s="105" t="s">
        <v>2030</v>
      </c>
      <c r="N1029" s="107" t="str">
        <f>VLOOKUP(M1029,[1]character_tribe_i18n!A:C,3,FALSE)</f>
        <v>ヒューマン</v>
      </c>
      <c r="O1029" s="105" t="s">
        <v>3115</v>
      </c>
      <c r="P1029" s="107" t="str">
        <f>VLOOKUP(O1029,[1]character_tribe_i18n!A:C,3,FALSE)</f>
        <v>サムライ</v>
      </c>
      <c r="Q1029" s="110" t="s">
        <v>1682</v>
      </c>
      <c r="R1029" s="111">
        <v>3</v>
      </c>
      <c r="S1029" s="108" t="s">
        <v>1506</v>
      </c>
      <c r="T1029" s="108" t="s">
        <v>3135</v>
      </c>
      <c r="U1029" s="108" t="s">
        <v>611</v>
      </c>
      <c r="V1029" s="108" t="s">
        <v>1506</v>
      </c>
      <c r="W1029" s="108" t="s">
        <v>1506</v>
      </c>
    </row>
    <row r="1030" spans="1:23" ht="21" customHeight="1" x14ac:dyDescent="0.15">
      <c r="A1030" s="104">
        <f t="shared" si="15"/>
        <v>1029</v>
      </c>
      <c r="B1030" s="105" t="s">
        <v>1507</v>
      </c>
      <c r="C1030" s="154" t="s">
        <v>3136</v>
      </c>
      <c r="D1030" s="157" t="s">
        <v>3137</v>
      </c>
      <c r="E1030" s="108" t="s">
        <v>1788</v>
      </c>
      <c r="F1030" s="108" t="s">
        <v>3138</v>
      </c>
      <c r="G1030" s="108" t="s">
        <v>3139</v>
      </c>
      <c r="H1030" s="131" t="s">
        <v>285</v>
      </c>
      <c r="I1030" s="140">
        <v>6</v>
      </c>
      <c r="J1030" s="109" t="s">
        <v>3140</v>
      </c>
      <c r="K1030" s="105" t="s">
        <v>1008</v>
      </c>
      <c r="L1030" s="107" t="str">
        <f ca="1">VLOOKUP($K1030,OFFSET([1]character_type_i18n!$A$1,0,0,COUNTA([1]character_type_i18n!$A:$A),MATCH(L$1,[1]character_type_i18n!$1:$1,0)-MATCH($K$1,[1]character_type_i18n!$1:$1,0)+1),MATCH(L$1,[1]character_type_i18n!$1:$1,0)-MATCH($K$1,[1]character_type_i18n!$1:$1,0)+1,FALSE)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30" s="105" t="s">
        <v>1608</v>
      </c>
      <c r="N1030" s="107" t="str">
        <f>VLOOKUP(M1030,[1]character_tribe_i18n!A:C,3,FALSE)</f>
        <v>ヒューマン</v>
      </c>
      <c r="O1030" s="105" t="s">
        <v>2245</v>
      </c>
      <c r="P1030" s="107" t="str">
        <f>VLOOKUP(O1030,[1]character_tribe_i18n!A:C,3,FALSE)</f>
        <v>サムライ</v>
      </c>
      <c r="Q1030" s="110" t="s">
        <v>1682</v>
      </c>
      <c r="R1030" s="111">
        <v>3</v>
      </c>
      <c r="S1030" s="108" t="s">
        <v>611</v>
      </c>
      <c r="T1030" s="108" t="s">
        <v>610</v>
      </c>
      <c r="U1030" s="108" t="s">
        <v>611</v>
      </c>
      <c r="V1030" s="108" t="s">
        <v>611</v>
      </c>
      <c r="W1030" s="108" t="s">
        <v>611</v>
      </c>
    </row>
    <row r="1031" spans="1:23" ht="21" customHeight="1" x14ac:dyDescent="0.15">
      <c r="A1031" s="104">
        <f t="shared" si="15"/>
        <v>1030</v>
      </c>
      <c r="B1031" s="105" t="s">
        <v>1726</v>
      </c>
      <c r="C1031" s="154" t="s">
        <v>3141</v>
      </c>
      <c r="D1031" s="157" t="s">
        <v>3142</v>
      </c>
      <c r="E1031" s="108" t="s">
        <v>709</v>
      </c>
      <c r="F1031" s="108" t="s">
        <v>532</v>
      </c>
      <c r="G1031" s="108" t="s">
        <v>710</v>
      </c>
      <c r="H1031" s="131" t="s">
        <v>285</v>
      </c>
      <c r="I1031" s="140">
        <v>6</v>
      </c>
      <c r="J1031" s="109" t="s">
        <v>3143</v>
      </c>
      <c r="K1031" s="105" t="s">
        <v>1292</v>
      </c>
      <c r="L1031" s="107" t="str">
        <f ca="1">VLOOKUP($K1031,OFFSET([1]character_type_i18n!$A$1,0,0,COUNTA([1]character_type_i18n!$A:$A),MATCH(L$1,[1]character_type_i18n!$1:$1,0)-MATCH($K$1,[1]character_type_i18n!$1:$1,0)+1),MATCH(L$1,[1]character_type_i18n!$1:$1,0)-MATCH($K$1,[1]character_type_i18n!$1:$1,0)+1,FALSE)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31" s="105" t="s">
        <v>1011</v>
      </c>
      <c r="N1031" s="107" t="str">
        <f>VLOOKUP(M1031,[1]character_tribe_i18n!A:C,3,FALSE)</f>
        <v>ヒューマン</v>
      </c>
      <c r="O1031" s="105" t="s">
        <v>2245</v>
      </c>
      <c r="P1031" s="107" t="str">
        <f>VLOOKUP(O1031,[1]character_tribe_i18n!A:C,3,FALSE)</f>
        <v>サムライ</v>
      </c>
      <c r="Q1031" s="110" t="s">
        <v>279</v>
      </c>
      <c r="R1031" s="111">
        <v>1</v>
      </c>
      <c r="S1031" s="108" t="s">
        <v>280</v>
      </c>
      <c r="T1031" s="108" t="s">
        <v>281</v>
      </c>
      <c r="U1031" s="108" t="s">
        <v>280</v>
      </c>
      <c r="V1031" s="108" t="s">
        <v>280</v>
      </c>
      <c r="W1031" s="108" t="s">
        <v>280</v>
      </c>
    </row>
    <row r="1032" spans="1:23" ht="21" customHeight="1" x14ac:dyDescent="0.15">
      <c r="A1032" s="104">
        <f t="shared" si="15"/>
        <v>1031</v>
      </c>
      <c r="B1032" s="105" t="s">
        <v>268</v>
      </c>
      <c r="C1032" s="154" t="s">
        <v>3144</v>
      </c>
      <c r="D1032" s="157" t="s">
        <v>3144</v>
      </c>
      <c r="E1032" s="108" t="s">
        <v>709</v>
      </c>
      <c r="F1032" s="108" t="s">
        <v>532</v>
      </c>
      <c r="G1032" s="108" t="s">
        <v>710</v>
      </c>
      <c r="H1032" s="131" t="s">
        <v>295</v>
      </c>
      <c r="I1032" s="140">
        <v>5</v>
      </c>
      <c r="J1032" s="109" t="s">
        <v>1001</v>
      </c>
      <c r="K1032" s="105" t="s">
        <v>1505</v>
      </c>
      <c r="L1032" s="107" t="str">
        <f ca="1">VLOOKUP($K1032,OFFSET([1]character_type_i18n!$A$1,0,0,COUNTA([1]character_type_i18n!$A:$A),MATCH(L$1,[1]character_type_i18n!$1:$1,0)-MATCH($K$1,[1]character_type_i18n!$1:$1,0)+1),MATCH(L$1,[1]character_type_i18n!$1:$1,0)-MATCH($K$1,[1]character_type_i18n!$1:$1,0)+1,FALSE)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32" s="105" t="s">
        <v>1011</v>
      </c>
      <c r="N1032" s="107" t="str">
        <f>VLOOKUP(M1032,[1]character_tribe_i18n!A:C,3,FALSE)</f>
        <v>ヒューマン</v>
      </c>
      <c r="O1032" s="105" t="s">
        <v>3145</v>
      </c>
      <c r="P1032" s="107" t="str">
        <f>VLOOKUP(O1032,[1]character_tribe_i18n!A:C,3,FALSE)</f>
        <v>種族なし</v>
      </c>
      <c r="Q1032" s="110" t="s">
        <v>279</v>
      </c>
      <c r="R1032" s="111">
        <v>3</v>
      </c>
      <c r="S1032" s="108" t="s">
        <v>280</v>
      </c>
      <c r="T1032" s="108" t="s">
        <v>281</v>
      </c>
      <c r="U1032" s="108" t="s">
        <v>280</v>
      </c>
      <c r="V1032" s="108" t="s">
        <v>894</v>
      </c>
      <c r="W1032" s="108" t="s">
        <v>894</v>
      </c>
    </row>
    <row r="1033" spans="1:23" ht="21" customHeight="1" x14ac:dyDescent="0.15">
      <c r="A1033" s="104">
        <f t="shared" si="15"/>
        <v>1032</v>
      </c>
      <c r="B1033" s="105" t="s">
        <v>1261</v>
      </c>
      <c r="C1033" s="154" t="s">
        <v>3146</v>
      </c>
      <c r="D1033" s="157" t="s">
        <v>3144</v>
      </c>
      <c r="E1033" s="108" t="s">
        <v>709</v>
      </c>
      <c r="F1033" s="108" t="s">
        <v>532</v>
      </c>
      <c r="G1033" s="108" t="s">
        <v>710</v>
      </c>
      <c r="H1033" s="131" t="s">
        <v>295</v>
      </c>
      <c r="I1033" s="140">
        <v>6</v>
      </c>
      <c r="J1033" s="109" t="s">
        <v>1001</v>
      </c>
      <c r="K1033" s="105" t="s">
        <v>1505</v>
      </c>
      <c r="L1033" s="107" t="str">
        <f ca="1">VLOOKUP($K1033,OFFSET([1]character_type_i18n!$A$1,0,0,COUNTA([1]character_type_i18n!$A:$A),MATCH(L$1,[1]character_type_i18n!$1:$1,0)-MATCH($K$1,[1]character_type_i18n!$1:$1,0)+1),MATCH(L$1,[1]character_type_i18n!$1:$1,0)-MATCH($K$1,[1]character_type_i18n!$1:$1,0)+1,FALSE)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33" s="105" t="s">
        <v>1011</v>
      </c>
      <c r="N1033" s="107" t="str">
        <f>VLOOKUP(M1033,[1]character_tribe_i18n!A:C,3,FALSE)</f>
        <v>ヒューマン</v>
      </c>
      <c r="O1033" s="105" t="s">
        <v>3147</v>
      </c>
      <c r="P1033" s="107" t="str">
        <f>VLOOKUP(O1033,[1]character_tribe_i18n!A:C,3,FALSE)</f>
        <v>種族なし</v>
      </c>
      <c r="Q1033" s="110" t="s">
        <v>3148</v>
      </c>
      <c r="R1033" s="111">
        <v>3</v>
      </c>
      <c r="S1033" s="108" t="s">
        <v>280</v>
      </c>
      <c r="T1033" s="108" t="s">
        <v>1307</v>
      </c>
      <c r="U1033" s="108" t="s">
        <v>1308</v>
      </c>
      <c r="V1033" s="108" t="s">
        <v>894</v>
      </c>
      <c r="W1033" s="108" t="s">
        <v>894</v>
      </c>
    </row>
    <row r="1034" spans="1:23" ht="21" customHeight="1" x14ac:dyDescent="0.15">
      <c r="A1034" s="104">
        <f t="shared" si="15"/>
        <v>1033</v>
      </c>
      <c r="B1034" s="105" t="s">
        <v>1261</v>
      </c>
      <c r="C1034" s="154" t="s">
        <v>3149</v>
      </c>
      <c r="D1034" s="157" t="s">
        <v>3149</v>
      </c>
      <c r="E1034" s="108" t="s">
        <v>1662</v>
      </c>
      <c r="F1034" s="108" t="s">
        <v>903</v>
      </c>
      <c r="G1034" s="108" t="s">
        <v>2147</v>
      </c>
      <c r="H1034" s="131" t="s">
        <v>300</v>
      </c>
      <c r="I1034" s="140">
        <v>5</v>
      </c>
      <c r="J1034" s="109" t="s">
        <v>3150</v>
      </c>
      <c r="K1034" s="105" t="s">
        <v>3151</v>
      </c>
      <c r="L1034" s="107" t="str">
        <f ca="1">VLOOKUP($K1034,OFFSET([1]character_type_i18n!$A$1,0,0,COUNTA([1]character_type_i18n!$A:$A),MATCH(L$1,[1]character_type_i18n!$1:$1,0)-MATCH($K$1,[1]character_type_i18n!$1:$1,0)+1),MATCH(L$1,[1]character_type_i18n!$1:$1,0)-MATCH($K$1,[1]character_type_i18n!$1:$1,0)+1,FALSE)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34" s="105" t="s">
        <v>3123</v>
      </c>
      <c r="N1034" s="107" t="str">
        <f>VLOOKUP(M1034,[1]character_tribe_i18n!A:C,3,FALSE)</f>
        <v>ヒューマン</v>
      </c>
      <c r="O1034" s="105" t="s">
        <v>1423</v>
      </c>
      <c r="P1034" s="107" t="str">
        <f>VLOOKUP(O1034,[1]character_tribe_i18n!A:C,3,FALSE)</f>
        <v>種族なし</v>
      </c>
      <c r="Q1034" s="110" t="s">
        <v>1539</v>
      </c>
      <c r="R1034" s="111">
        <v>3</v>
      </c>
      <c r="S1034" s="108" t="s">
        <v>1540</v>
      </c>
      <c r="T1034" s="108" t="s">
        <v>1743</v>
      </c>
      <c r="U1034" s="108" t="s">
        <v>1744</v>
      </c>
      <c r="V1034" s="108" t="s">
        <v>894</v>
      </c>
      <c r="W1034" s="108" t="s">
        <v>894</v>
      </c>
    </row>
    <row r="1035" spans="1:23" ht="21" customHeight="1" x14ac:dyDescent="0.15">
      <c r="A1035" s="104">
        <f t="shared" si="15"/>
        <v>1034</v>
      </c>
      <c r="B1035" s="105" t="s">
        <v>1261</v>
      </c>
      <c r="C1035" s="154" t="s">
        <v>3152</v>
      </c>
      <c r="D1035" s="157" t="s">
        <v>3149</v>
      </c>
      <c r="E1035" s="108" t="s">
        <v>3153</v>
      </c>
      <c r="F1035" s="108" t="s">
        <v>3154</v>
      </c>
      <c r="G1035" s="108" t="s">
        <v>3155</v>
      </c>
      <c r="H1035" s="131" t="s">
        <v>300</v>
      </c>
      <c r="I1035" s="140">
        <v>6</v>
      </c>
      <c r="J1035" s="109" t="s">
        <v>3156</v>
      </c>
      <c r="K1035" s="105" t="s">
        <v>3157</v>
      </c>
      <c r="L1035" s="107" t="str">
        <f ca="1">VLOOKUP($K1035,OFFSET([1]character_type_i18n!$A$1,0,0,COUNTA([1]character_type_i18n!$A:$A),MATCH(L$1,[1]character_type_i18n!$1:$1,0)-MATCH($K$1,[1]character_type_i18n!$1:$1,0)+1),MATCH(L$1,[1]character_type_i18n!$1:$1,0)-MATCH($K$1,[1]character_type_i18n!$1:$1,0)+1,FALSE)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35" s="105" t="s">
        <v>2253</v>
      </c>
      <c r="N1035" s="107" t="str">
        <f>VLOOKUP(M1035,[1]character_tribe_i18n!A:C,3,FALSE)</f>
        <v>ヒューマン</v>
      </c>
      <c r="O1035" s="105" t="s">
        <v>1423</v>
      </c>
      <c r="P1035" s="107" t="str">
        <f>VLOOKUP(O1035,[1]character_tribe_i18n!A:C,3,FALSE)</f>
        <v>種族なし</v>
      </c>
      <c r="Q1035" s="110" t="s">
        <v>279</v>
      </c>
      <c r="R1035" s="111">
        <v>3</v>
      </c>
      <c r="S1035" s="108" t="s">
        <v>280</v>
      </c>
      <c r="T1035" s="108" t="s">
        <v>915</v>
      </c>
      <c r="U1035" s="108" t="s">
        <v>880</v>
      </c>
      <c r="V1035" s="108" t="s">
        <v>894</v>
      </c>
      <c r="W1035" s="108" t="s">
        <v>894</v>
      </c>
    </row>
    <row r="1036" spans="1:23" ht="21" customHeight="1" x14ac:dyDescent="0.15">
      <c r="A1036" s="104">
        <f t="shared" si="15"/>
        <v>1035</v>
      </c>
      <c r="B1036" s="105" t="s">
        <v>1261</v>
      </c>
      <c r="C1036" s="136" t="s">
        <v>3158</v>
      </c>
      <c r="D1036" s="172" t="s">
        <v>3159</v>
      </c>
      <c r="E1036" s="108" t="s">
        <v>1396</v>
      </c>
      <c r="F1036" s="108" t="s">
        <v>1397</v>
      </c>
      <c r="G1036" s="108" t="s">
        <v>1398</v>
      </c>
      <c r="H1036" s="131" t="s">
        <v>300</v>
      </c>
      <c r="I1036" s="140">
        <v>5</v>
      </c>
      <c r="J1036" s="109" t="s">
        <v>1180</v>
      </c>
      <c r="K1036" s="105" t="s">
        <v>2953</v>
      </c>
      <c r="L1036" s="107" t="str">
        <f ca="1">VLOOKUP($K1036,OFFSET([1]character_type_i18n!$A$1,0,0,COUNTA([1]character_type_i18n!$A:$A),MATCH(L$1,[1]character_type_i18n!$1:$1,0)-MATCH($K$1,[1]character_type_i18n!$1:$1,0)+1),MATCH(L$1,[1]character_type_i18n!$1:$1,0)-MATCH($K$1,[1]character_type_i18n!$1:$1,0)+1,FALSE)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36" s="105" t="s">
        <v>3160</v>
      </c>
      <c r="N1036" s="107" t="str">
        <f>VLOOKUP(M1036,[1]character_tribe_i18n!A:C,3,FALSE)</f>
        <v>Unknown</v>
      </c>
      <c r="O1036" s="105" t="s">
        <v>1704</v>
      </c>
      <c r="P1036" s="107" t="str">
        <f>VLOOKUP(O1036,[1]character_tribe_i18n!A:C,3,FALSE)</f>
        <v>種族なし</v>
      </c>
      <c r="Q1036" s="110" t="s">
        <v>1358</v>
      </c>
      <c r="R1036" s="111">
        <v>1</v>
      </c>
      <c r="S1036" s="108" t="s">
        <v>1359</v>
      </c>
      <c r="T1036" s="108" t="s">
        <v>281</v>
      </c>
      <c r="U1036" s="108" t="s">
        <v>280</v>
      </c>
      <c r="V1036" s="108" t="s">
        <v>894</v>
      </c>
      <c r="W1036" s="108" t="s">
        <v>894</v>
      </c>
    </row>
    <row r="1037" spans="1:23" ht="21" customHeight="1" x14ac:dyDescent="0.15">
      <c r="A1037" s="104">
        <f t="shared" si="15"/>
        <v>1036</v>
      </c>
      <c r="B1037" s="105" t="s">
        <v>1261</v>
      </c>
      <c r="C1037" s="136" t="s">
        <v>2995</v>
      </c>
      <c r="D1037" s="172" t="s">
        <v>3161</v>
      </c>
      <c r="E1037" s="108" t="s">
        <v>3162</v>
      </c>
      <c r="F1037" s="108" t="s">
        <v>3163</v>
      </c>
      <c r="G1037" s="108" t="s">
        <v>3164</v>
      </c>
      <c r="H1037" s="131" t="s">
        <v>300</v>
      </c>
      <c r="I1037" s="140">
        <v>6</v>
      </c>
      <c r="J1037" s="109" t="s">
        <v>1180</v>
      </c>
      <c r="K1037" s="105" t="s">
        <v>2953</v>
      </c>
      <c r="L1037" s="107" t="str">
        <f ca="1">VLOOKUP($K1037,OFFSET([1]character_type_i18n!$A$1,0,0,COUNTA([1]character_type_i18n!$A:$A),MATCH(L$1,[1]character_type_i18n!$1:$1,0)-MATCH($K$1,[1]character_type_i18n!$1:$1,0)+1),MATCH(L$1,[1]character_type_i18n!$1:$1,0)-MATCH($K$1,[1]character_type_i18n!$1:$1,0)+1,FALSE)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37" s="105" t="s">
        <v>3165</v>
      </c>
      <c r="N1037" s="107" t="str">
        <f>VLOOKUP(M1037,[1]character_tribe_i18n!A:C,3,FALSE)</f>
        <v>Unknown</v>
      </c>
      <c r="O1037" s="105" t="s">
        <v>3166</v>
      </c>
      <c r="P1037" s="107" t="str">
        <f>VLOOKUP(O1037,[1]character_tribe_i18n!A:C,3,FALSE)</f>
        <v>種族なし</v>
      </c>
      <c r="Q1037" s="110" t="s">
        <v>279</v>
      </c>
      <c r="R1037" s="111">
        <v>1</v>
      </c>
      <c r="S1037" s="108" t="s">
        <v>280</v>
      </c>
      <c r="T1037" s="108" t="s">
        <v>281</v>
      </c>
      <c r="U1037" s="108" t="s">
        <v>280</v>
      </c>
      <c r="V1037" s="108" t="s">
        <v>280</v>
      </c>
      <c r="W1037" s="108" t="s">
        <v>280</v>
      </c>
    </row>
    <row r="1038" spans="1:23" ht="21" customHeight="1" x14ac:dyDescent="0.15">
      <c r="A1038" s="104">
        <f t="shared" si="15"/>
        <v>1037</v>
      </c>
      <c r="B1038" s="105" t="s">
        <v>268</v>
      </c>
      <c r="C1038" s="136" t="s">
        <v>3167</v>
      </c>
      <c r="D1038" s="157" t="s">
        <v>3167</v>
      </c>
      <c r="E1038" s="108" t="s">
        <v>709</v>
      </c>
      <c r="F1038" s="108" t="s">
        <v>532</v>
      </c>
      <c r="G1038" s="108" t="s">
        <v>710</v>
      </c>
      <c r="H1038" s="131" t="s">
        <v>300</v>
      </c>
      <c r="I1038" s="133">
        <v>5</v>
      </c>
      <c r="J1038" s="109" t="s">
        <v>1372</v>
      </c>
      <c r="K1038" s="105" t="s">
        <v>1292</v>
      </c>
      <c r="L1038" s="107" t="str">
        <f ca="1">VLOOKUP($K1038,OFFSET([1]character_type_i18n!$A$1,0,0,COUNTA([1]character_type_i18n!$A:$A),MATCH(L$1,[1]character_type_i18n!$1:$1,0)-MATCH($K$1,[1]character_type_i18n!$1:$1,0)+1),MATCH(L$1,[1]character_type_i18n!$1:$1,0)-MATCH($K$1,[1]character_type_i18n!$1:$1,0)+1,FALSE)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38" s="105" t="s">
        <v>277</v>
      </c>
      <c r="N1038" s="107" t="str">
        <f>VLOOKUP(M1038,[1]character_tribe_i18n!A:C,3,FALSE)</f>
        <v>Unknown</v>
      </c>
      <c r="O1038" s="105" t="s">
        <v>278</v>
      </c>
      <c r="P1038" s="107" t="str">
        <f>VLOOKUP(O1038,[1]character_tribe_i18n!A:C,3,FALSE)</f>
        <v>種族なし</v>
      </c>
      <c r="Q1038" s="110" t="s">
        <v>1656</v>
      </c>
      <c r="R1038" s="111">
        <v>3</v>
      </c>
      <c r="S1038" s="108" t="s">
        <v>898</v>
      </c>
      <c r="T1038" s="108" t="s">
        <v>899</v>
      </c>
      <c r="U1038" s="108" t="s">
        <v>900</v>
      </c>
      <c r="V1038" s="108" t="s">
        <v>894</v>
      </c>
      <c r="W1038" s="108" t="s">
        <v>894</v>
      </c>
    </row>
    <row r="1039" spans="1:23" ht="21" customHeight="1" x14ac:dyDescent="0.15">
      <c r="A1039" s="104">
        <f t="shared" si="15"/>
        <v>1038</v>
      </c>
      <c r="B1039" s="105" t="s">
        <v>1261</v>
      </c>
      <c r="C1039" s="136" t="s">
        <v>3168</v>
      </c>
      <c r="D1039" s="157" t="s">
        <v>3169</v>
      </c>
      <c r="E1039" s="108" t="s">
        <v>3026</v>
      </c>
      <c r="F1039" s="108" t="s">
        <v>3027</v>
      </c>
      <c r="G1039" s="108" t="s">
        <v>3033</v>
      </c>
      <c r="H1039" s="131" t="s">
        <v>300</v>
      </c>
      <c r="I1039" s="133">
        <v>6</v>
      </c>
      <c r="J1039" s="109" t="s">
        <v>3170</v>
      </c>
      <c r="K1039" s="105" t="s">
        <v>1292</v>
      </c>
      <c r="L1039" s="107" t="str">
        <f ca="1">VLOOKUP($K1039,OFFSET([1]character_type_i18n!$A$1,0,0,COUNTA([1]character_type_i18n!$A:$A),MATCH(L$1,[1]character_type_i18n!$1:$1,0)-MATCH($K$1,[1]character_type_i18n!$1:$1,0)+1),MATCH(L$1,[1]character_type_i18n!$1:$1,0)-MATCH($K$1,[1]character_type_i18n!$1:$1,0)+1,FALSE)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39" s="105" t="s">
        <v>1164</v>
      </c>
      <c r="N1039" s="107" t="str">
        <f>VLOOKUP(M1039,[1]character_tribe_i18n!A:C,3,FALSE)</f>
        <v>Unknown</v>
      </c>
      <c r="O1039" s="105" t="s">
        <v>278</v>
      </c>
      <c r="P1039" s="107" t="str">
        <f>VLOOKUP(O1039,[1]character_tribe_i18n!A:C,3,FALSE)</f>
        <v>種族なし</v>
      </c>
      <c r="Q1039" s="110" t="s">
        <v>1656</v>
      </c>
      <c r="R1039" s="111">
        <v>3</v>
      </c>
      <c r="S1039" s="108" t="s">
        <v>898</v>
      </c>
      <c r="T1039" s="108" t="s">
        <v>281</v>
      </c>
      <c r="U1039" s="108" t="s">
        <v>280</v>
      </c>
      <c r="V1039" s="108" t="s">
        <v>894</v>
      </c>
      <c r="W1039" s="108" t="s">
        <v>894</v>
      </c>
    </row>
    <row r="1040" spans="1:23" ht="21" customHeight="1" x14ac:dyDescent="0.15">
      <c r="A1040" s="104">
        <f t="shared" si="15"/>
        <v>1039</v>
      </c>
      <c r="B1040" s="105" t="s">
        <v>1261</v>
      </c>
      <c r="C1040" s="136" t="s">
        <v>3171</v>
      </c>
      <c r="D1040" s="157" t="s">
        <v>3172</v>
      </c>
      <c r="E1040" s="108" t="s">
        <v>3173</v>
      </c>
      <c r="F1040" s="108" t="s">
        <v>3174</v>
      </c>
      <c r="G1040" s="108" t="s">
        <v>3175</v>
      </c>
      <c r="H1040" s="131" t="s">
        <v>295</v>
      </c>
      <c r="I1040" s="140">
        <v>5</v>
      </c>
      <c r="J1040" s="109" t="s">
        <v>3176</v>
      </c>
      <c r="K1040" s="105" t="s">
        <v>3177</v>
      </c>
      <c r="L1040" s="107" t="str">
        <f ca="1">VLOOKUP($K1040,OFFSET([1]character_type_i18n!$A$1,0,0,COUNTA([1]character_type_i18n!$A:$A),MATCH(L$1,[1]character_type_i18n!$1:$1,0)-MATCH($K$1,[1]character_type_i18n!$1:$1,0)+1),MATCH(L$1,[1]character_type_i18n!$1:$1,0)-MATCH($K$1,[1]character_type_i18n!$1:$1,0)+1,FALSE)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40" s="105" t="s">
        <v>2931</v>
      </c>
      <c r="N1040" s="107" t="str">
        <f>VLOOKUP(M1040,[1]character_tribe_i18n!A:C,3,FALSE)</f>
        <v>アカデミア</v>
      </c>
      <c r="O1040" s="105" t="s">
        <v>277</v>
      </c>
      <c r="P1040" s="107" t="str">
        <f>VLOOKUP(O1040,[1]character_tribe_i18n!A:C,3,FALSE)</f>
        <v>Unknown</v>
      </c>
      <c r="Q1040" s="110" t="s">
        <v>279</v>
      </c>
      <c r="R1040" s="111">
        <v>3</v>
      </c>
      <c r="S1040" s="108" t="s">
        <v>280</v>
      </c>
      <c r="T1040" s="108" t="s">
        <v>610</v>
      </c>
      <c r="U1040" s="108" t="s">
        <v>611</v>
      </c>
      <c r="V1040" s="108" t="s">
        <v>894</v>
      </c>
      <c r="W1040" s="108" t="s">
        <v>894</v>
      </c>
    </row>
    <row r="1041" spans="1:23" ht="21" customHeight="1" x14ac:dyDescent="0.15">
      <c r="A1041" s="104">
        <f t="shared" si="15"/>
        <v>1040</v>
      </c>
      <c r="B1041" s="105" t="s">
        <v>1261</v>
      </c>
      <c r="C1041" s="136" t="s">
        <v>3178</v>
      </c>
      <c r="D1041" s="157" t="s">
        <v>3172</v>
      </c>
      <c r="E1041" s="108" t="s">
        <v>3026</v>
      </c>
      <c r="F1041" s="108" t="s">
        <v>3027</v>
      </c>
      <c r="G1041" s="108" t="s">
        <v>3033</v>
      </c>
      <c r="H1041" s="131" t="s">
        <v>295</v>
      </c>
      <c r="I1041" s="140">
        <v>6</v>
      </c>
      <c r="J1041" s="109" t="s">
        <v>1606</v>
      </c>
      <c r="K1041" s="105" t="s">
        <v>2953</v>
      </c>
      <c r="L1041" s="107" t="str">
        <f ca="1">VLOOKUP($K1041,OFFSET([1]character_type_i18n!$A$1,0,0,COUNTA([1]character_type_i18n!$A:$A),MATCH(L$1,[1]character_type_i18n!$1:$1,0)-MATCH($K$1,[1]character_type_i18n!$1:$1,0)+1),MATCH(L$1,[1]character_type_i18n!$1:$1,0)-MATCH($K$1,[1]character_type_i18n!$1:$1,0)+1,FALSE)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41" s="105" t="s">
        <v>3179</v>
      </c>
      <c r="N1041" s="107" t="str">
        <f>VLOOKUP(M1041,[1]character_tribe_i18n!A:C,3,FALSE)</f>
        <v>アカデミア</v>
      </c>
      <c r="O1041" s="105" t="s">
        <v>277</v>
      </c>
      <c r="P1041" s="107" t="str">
        <f>VLOOKUP(O1041,[1]character_tribe_i18n!A:C,3,FALSE)</f>
        <v>Unknown</v>
      </c>
      <c r="Q1041" s="110" t="s">
        <v>2174</v>
      </c>
      <c r="R1041" s="111">
        <v>3</v>
      </c>
      <c r="S1041" s="108" t="s">
        <v>900</v>
      </c>
      <c r="T1041" s="108" t="s">
        <v>2175</v>
      </c>
      <c r="U1041" s="108" t="s">
        <v>1659</v>
      </c>
      <c r="V1041" s="108" t="s">
        <v>894</v>
      </c>
      <c r="W1041" s="108" t="s">
        <v>894</v>
      </c>
    </row>
    <row r="1042" spans="1:23" ht="21" customHeight="1" x14ac:dyDescent="0.15">
      <c r="A1042" s="104">
        <f t="shared" si="15"/>
        <v>1041</v>
      </c>
      <c r="B1042" s="105" t="s">
        <v>1261</v>
      </c>
      <c r="C1042" s="136" t="s">
        <v>3180</v>
      </c>
      <c r="D1042" s="157" t="s">
        <v>3181</v>
      </c>
      <c r="E1042" s="108" t="s">
        <v>2860</v>
      </c>
      <c r="F1042" s="108" t="s">
        <v>3182</v>
      </c>
      <c r="G1042" s="108" t="s">
        <v>3183</v>
      </c>
      <c r="H1042" s="131" t="s">
        <v>274</v>
      </c>
      <c r="I1042" s="140">
        <v>5</v>
      </c>
      <c r="J1042" s="109" t="s">
        <v>3184</v>
      </c>
      <c r="K1042" s="105" t="s">
        <v>1273</v>
      </c>
      <c r="L1042" s="107" t="str">
        <f ca="1">VLOOKUP($K1042,OFFSET([1]character_type_i18n!$A$1,0,0,COUNTA([1]character_type_i18n!$A:$A),MATCH(L$1,[1]character_type_i18n!$1:$1,0)-MATCH($K$1,[1]character_type_i18n!$1:$1,0)+1),MATCH(L$1,[1]character_type_i18n!$1:$1,0)-MATCH($K$1,[1]character_type_i18n!$1:$1,0)+1,FALSE)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42" s="105" t="s">
        <v>1018</v>
      </c>
      <c r="N1042" s="107" t="str">
        <f>VLOOKUP(M1042,[1]character_tribe_i18n!A:C,3,FALSE)</f>
        <v>ゴッド</v>
      </c>
      <c r="O1042" s="105" t="s">
        <v>2508</v>
      </c>
      <c r="P1042" s="107" t="str">
        <f>VLOOKUP(O1042,[1]character_tribe_i18n!A:C,3,FALSE)</f>
        <v>種族なし</v>
      </c>
      <c r="Q1042" s="110" t="s">
        <v>3106</v>
      </c>
      <c r="R1042" s="111">
        <v>3</v>
      </c>
      <c r="S1042" s="108" t="s">
        <v>3107</v>
      </c>
      <c r="T1042" s="108" t="s">
        <v>3099</v>
      </c>
      <c r="U1042" s="108" t="s">
        <v>3098</v>
      </c>
      <c r="V1042" s="108" t="s">
        <v>894</v>
      </c>
      <c r="W1042" s="108" t="s">
        <v>894</v>
      </c>
    </row>
    <row r="1043" spans="1:23" ht="21" customHeight="1" x14ac:dyDescent="0.15">
      <c r="A1043" s="104">
        <f t="shared" si="15"/>
        <v>1042</v>
      </c>
      <c r="B1043" s="105" t="s">
        <v>1261</v>
      </c>
      <c r="C1043" s="136" t="s">
        <v>3185</v>
      </c>
      <c r="D1043" s="157" t="s">
        <v>3181</v>
      </c>
      <c r="E1043" s="108" t="s">
        <v>709</v>
      </c>
      <c r="F1043" s="108" t="s">
        <v>532</v>
      </c>
      <c r="G1043" s="108" t="s">
        <v>710</v>
      </c>
      <c r="H1043" s="131" t="s">
        <v>274</v>
      </c>
      <c r="I1043" s="140">
        <v>6</v>
      </c>
      <c r="J1043" s="109" t="s">
        <v>1001</v>
      </c>
      <c r="K1043" s="105" t="s">
        <v>1005</v>
      </c>
      <c r="L1043" s="107" t="str">
        <f ca="1">VLOOKUP($K1043,OFFSET([1]character_type_i18n!$A$1,0,0,COUNTA([1]character_type_i18n!$A:$A),MATCH(L$1,[1]character_type_i18n!$1:$1,0)-MATCH($K$1,[1]character_type_i18n!$1:$1,0)+1),MATCH(L$1,[1]character_type_i18n!$1:$1,0)-MATCH($K$1,[1]character_type_i18n!$1:$1,0)+1,FALSE)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43" s="105" t="s">
        <v>1018</v>
      </c>
      <c r="N1043" s="107" t="str">
        <f>VLOOKUP(M1043,[1]character_tribe_i18n!A:C,3,FALSE)</f>
        <v>ゴッド</v>
      </c>
      <c r="O1043" s="105" t="s">
        <v>1423</v>
      </c>
      <c r="P1043" s="107" t="str">
        <f>VLOOKUP(O1043,[1]character_tribe_i18n!A:C,3,FALSE)</f>
        <v>種族なし</v>
      </c>
      <c r="Q1043" s="110" t="s">
        <v>279</v>
      </c>
      <c r="R1043" s="111">
        <v>3</v>
      </c>
      <c r="S1043" s="108" t="s">
        <v>280</v>
      </c>
      <c r="T1043" s="108" t="s">
        <v>281</v>
      </c>
      <c r="U1043" s="108" t="s">
        <v>887</v>
      </c>
      <c r="V1043" s="108" t="s">
        <v>887</v>
      </c>
      <c r="W1043" s="108" t="s">
        <v>887</v>
      </c>
    </row>
    <row r="1044" spans="1:23" ht="21" customHeight="1" x14ac:dyDescent="0.15">
      <c r="A1044" s="104">
        <f t="shared" si="15"/>
        <v>1043</v>
      </c>
      <c r="B1044" s="105" t="s">
        <v>1288</v>
      </c>
      <c r="C1044" s="136" t="s">
        <v>3186</v>
      </c>
      <c r="D1044" s="157" t="s">
        <v>3187</v>
      </c>
      <c r="E1044" s="108" t="s">
        <v>709</v>
      </c>
      <c r="F1044" s="108" t="s">
        <v>3188</v>
      </c>
      <c r="G1044" s="108" t="s">
        <v>3189</v>
      </c>
      <c r="H1044" s="131" t="s">
        <v>285</v>
      </c>
      <c r="I1044" s="140">
        <v>5</v>
      </c>
      <c r="J1044" s="109" t="s">
        <v>3190</v>
      </c>
      <c r="K1044" s="105" t="s">
        <v>2953</v>
      </c>
      <c r="L1044" s="107" t="str">
        <f ca="1">VLOOKUP($K1044,OFFSET([1]character_type_i18n!$A$1,0,0,COUNTA([1]character_type_i18n!$A:$A),MATCH(L$1,[1]character_type_i18n!$1:$1,0)-MATCH($K$1,[1]character_type_i18n!$1:$1,0)+1),MATCH(L$1,[1]character_type_i18n!$1:$1,0)-MATCH($K$1,[1]character_type_i18n!$1:$1,0)+1,FALSE)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44" s="105" t="s">
        <v>1018</v>
      </c>
      <c r="N1044" s="107" t="str">
        <f>VLOOKUP(M1044,[1]character_tribe_i18n!A:C,3,FALSE)</f>
        <v>ゴッド</v>
      </c>
      <c r="O1044" s="105" t="s">
        <v>1704</v>
      </c>
      <c r="P1044" s="107" t="str">
        <f>VLOOKUP(O1044,[1]character_tribe_i18n!A:C,3,FALSE)</f>
        <v>種族なし</v>
      </c>
      <c r="Q1044" s="110" t="s">
        <v>1358</v>
      </c>
      <c r="R1044" s="111">
        <v>3</v>
      </c>
      <c r="S1044" s="108" t="s">
        <v>1359</v>
      </c>
      <c r="T1044" s="108" t="s">
        <v>281</v>
      </c>
      <c r="U1044" s="108" t="s">
        <v>280</v>
      </c>
      <c r="V1044" s="108" t="s">
        <v>894</v>
      </c>
      <c r="W1044" s="108" t="s">
        <v>894</v>
      </c>
    </row>
    <row r="1045" spans="1:23" ht="21" customHeight="1" x14ac:dyDescent="0.15">
      <c r="A1045" s="104">
        <f t="shared" si="15"/>
        <v>1044</v>
      </c>
      <c r="B1045" s="105" t="s">
        <v>1261</v>
      </c>
      <c r="C1045" s="136" t="s">
        <v>3191</v>
      </c>
      <c r="D1045" s="157" t="s">
        <v>3187</v>
      </c>
      <c r="E1045" s="108" t="s">
        <v>709</v>
      </c>
      <c r="F1045" s="108" t="s">
        <v>532</v>
      </c>
      <c r="G1045" s="108" t="s">
        <v>710</v>
      </c>
      <c r="H1045" s="131" t="s">
        <v>285</v>
      </c>
      <c r="I1045" s="140">
        <v>6</v>
      </c>
      <c r="J1045" s="109" t="s">
        <v>1504</v>
      </c>
      <c r="K1045" s="105" t="s">
        <v>1505</v>
      </c>
      <c r="L1045" s="107" t="str">
        <f ca="1">VLOOKUP($K1045,OFFSET([1]character_type_i18n!$A$1,0,0,COUNTA([1]character_type_i18n!$A:$A),MATCH(L$1,[1]character_type_i18n!$1:$1,0)-MATCH($K$1,[1]character_type_i18n!$1:$1,0)+1),MATCH(L$1,[1]character_type_i18n!$1:$1,0)-MATCH($K$1,[1]character_type_i18n!$1:$1,0)+1,FALSE)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45" s="105" t="s">
        <v>1018</v>
      </c>
      <c r="N1045" s="107" t="str">
        <f>VLOOKUP(M1045,[1]character_tribe_i18n!A:C,3,FALSE)</f>
        <v>ゴッド</v>
      </c>
      <c r="O1045" s="105" t="s">
        <v>1423</v>
      </c>
      <c r="P1045" s="107" t="str">
        <f>VLOOKUP(O1045,[1]character_tribe_i18n!A:C,3,FALSE)</f>
        <v>種族なし</v>
      </c>
      <c r="Q1045" s="110" t="s">
        <v>279</v>
      </c>
      <c r="R1045" s="111">
        <v>3</v>
      </c>
      <c r="S1045" s="108" t="s">
        <v>280</v>
      </c>
      <c r="T1045" s="108" t="s">
        <v>281</v>
      </c>
      <c r="U1045" s="108" t="s">
        <v>280</v>
      </c>
      <c r="V1045" s="108" t="s">
        <v>894</v>
      </c>
      <c r="W1045" s="108" t="s">
        <v>894</v>
      </c>
    </row>
    <row r="1046" spans="1:23" ht="21" customHeight="1" x14ac:dyDescent="0.15">
      <c r="A1046" s="104">
        <f t="shared" si="15"/>
        <v>1045</v>
      </c>
      <c r="B1046" s="105" t="s">
        <v>1261</v>
      </c>
      <c r="C1046" s="121" t="s">
        <v>3192</v>
      </c>
      <c r="D1046" s="123" t="s">
        <v>3193</v>
      </c>
      <c r="E1046" s="108" t="s">
        <v>3026</v>
      </c>
      <c r="F1046" s="108" t="s">
        <v>3027</v>
      </c>
      <c r="G1046" s="108" t="s">
        <v>3033</v>
      </c>
      <c r="H1046" s="131" t="s">
        <v>3194</v>
      </c>
      <c r="I1046" s="140">
        <v>6</v>
      </c>
      <c r="J1046" s="109" t="s">
        <v>1180</v>
      </c>
      <c r="K1046" s="105" t="s">
        <v>3195</v>
      </c>
      <c r="L1046" s="107" t="str">
        <f ca="1">VLOOKUP($K1046,OFFSET([1]character_type_i18n!$A$1,0,0,COUNTA([1]character_type_i18n!$A:$A),MATCH(L$1,[1]character_type_i18n!$1:$1,0)-MATCH($K$1,[1]character_type_i18n!$1:$1,0)+1),MATCH(L$1,[1]character_type_i18n!$1:$1,0)-MATCH($K$1,[1]character_type_i18n!$1:$1,0)+1,FALSE)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46" s="105" t="s">
        <v>1280</v>
      </c>
      <c r="N1046" s="107" t="str">
        <f>VLOOKUP(M1046,[1]character_tribe_i18n!A:C,3,FALSE)</f>
        <v>アニマル</v>
      </c>
      <c r="O1046" s="105" t="s">
        <v>1423</v>
      </c>
      <c r="P1046" s="107" t="str">
        <f>VLOOKUP(O1046,[1]character_tribe_i18n!A:C,3,FALSE)</f>
        <v>種族なし</v>
      </c>
      <c r="Q1046" s="110" t="s">
        <v>279</v>
      </c>
      <c r="R1046" s="111">
        <v>3</v>
      </c>
      <c r="S1046" s="108" t="s">
        <v>280</v>
      </c>
      <c r="T1046" s="108" t="s">
        <v>3196</v>
      </c>
      <c r="U1046" s="108" t="s">
        <v>887</v>
      </c>
      <c r="V1046" s="108" t="s">
        <v>280</v>
      </c>
      <c r="W1046" s="108" t="s">
        <v>280</v>
      </c>
    </row>
    <row r="1047" spans="1:23" ht="21" customHeight="1" x14ac:dyDescent="0.15">
      <c r="A1047" s="104">
        <f t="shared" si="15"/>
        <v>1046</v>
      </c>
      <c r="B1047" s="105" t="s">
        <v>268</v>
      </c>
      <c r="C1047" s="121" t="s">
        <v>3197</v>
      </c>
      <c r="D1047" s="123" t="s">
        <v>3198</v>
      </c>
      <c r="E1047" s="108" t="s">
        <v>709</v>
      </c>
      <c r="F1047" s="108" t="s">
        <v>532</v>
      </c>
      <c r="G1047" s="108" t="s">
        <v>710</v>
      </c>
      <c r="H1047" s="131" t="s">
        <v>768</v>
      </c>
      <c r="I1047" s="140">
        <v>5</v>
      </c>
      <c r="J1047" s="109" t="s">
        <v>3199</v>
      </c>
      <c r="K1047" s="105" t="s">
        <v>2596</v>
      </c>
      <c r="L1047" s="107" t="str">
        <f ca="1">VLOOKUP($K1047,OFFSET([1]character_type_i18n!$A$1,0,0,COUNTA([1]character_type_i18n!$A:$A),MATCH(L$1,[1]character_type_i18n!$1:$1,0)-MATCH($K$1,[1]character_type_i18n!$1:$1,0)+1),MATCH(L$1,[1]character_type_i18n!$1:$1,0)-MATCH($K$1,[1]character_type_i18n!$1:$1,0)+1,FALSE)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47" s="105" t="s">
        <v>313</v>
      </c>
      <c r="N1047" s="107" t="str">
        <f>VLOOKUP(M1047,[1]character_tribe_i18n!A:C,3,FALSE)</f>
        <v>アニマル</v>
      </c>
      <c r="O1047" s="105" t="s">
        <v>2508</v>
      </c>
      <c r="P1047" s="107" t="str">
        <f>VLOOKUP(O1047,[1]character_tribe_i18n!A:C,3,FALSE)</f>
        <v>種族なし</v>
      </c>
      <c r="Q1047" s="110" t="s">
        <v>1285</v>
      </c>
      <c r="R1047" s="111">
        <v>3</v>
      </c>
      <c r="S1047" s="108" t="s">
        <v>1286</v>
      </c>
      <c r="T1047" s="108" t="s">
        <v>1559</v>
      </c>
      <c r="U1047" s="108" t="s">
        <v>1560</v>
      </c>
      <c r="V1047" s="108" t="s">
        <v>894</v>
      </c>
      <c r="W1047" s="108" t="s">
        <v>894</v>
      </c>
    </row>
    <row r="1048" spans="1:23" ht="21" customHeight="1" x14ac:dyDescent="0.15">
      <c r="A1048" s="104">
        <f t="shared" si="15"/>
        <v>1047</v>
      </c>
      <c r="B1048" s="105" t="s">
        <v>1261</v>
      </c>
      <c r="C1048" s="121" t="s">
        <v>3200</v>
      </c>
      <c r="D1048" s="123" t="s">
        <v>3201</v>
      </c>
      <c r="E1048" s="108" t="s">
        <v>3026</v>
      </c>
      <c r="F1048" s="108" t="s">
        <v>3027</v>
      </c>
      <c r="G1048" s="108" t="s">
        <v>3033</v>
      </c>
      <c r="H1048" s="131" t="s">
        <v>3194</v>
      </c>
      <c r="I1048" s="140">
        <v>6</v>
      </c>
      <c r="J1048" s="109" t="s">
        <v>3202</v>
      </c>
      <c r="K1048" s="105" t="s">
        <v>3195</v>
      </c>
      <c r="L1048" s="107" t="str">
        <f ca="1">VLOOKUP($K1048,OFFSET([1]character_type_i18n!$A$1,0,0,COUNTA([1]character_type_i18n!$A:$A),MATCH(L$1,[1]character_type_i18n!$1:$1,0)-MATCH($K$1,[1]character_type_i18n!$1:$1,0)+1),MATCH(L$1,[1]character_type_i18n!$1:$1,0)-MATCH($K$1,[1]character_type_i18n!$1:$1,0)+1,FALSE)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48" s="105" t="s">
        <v>1664</v>
      </c>
      <c r="N1048" s="107" t="str">
        <f>VLOOKUP(M1048,[1]character_tribe_i18n!A:C,3,FALSE)</f>
        <v>ヒューマン</v>
      </c>
      <c r="O1048" s="105" t="s">
        <v>3203</v>
      </c>
      <c r="P1048" s="107" t="str">
        <f>VLOOKUP(O1048,[1]character_tribe_i18n!A:C,3,FALSE)</f>
        <v>種族なし</v>
      </c>
      <c r="Q1048" s="110" t="s">
        <v>2071</v>
      </c>
      <c r="R1048" s="111">
        <v>3</v>
      </c>
      <c r="S1048" s="108" t="s">
        <v>2072</v>
      </c>
      <c r="T1048" s="108" t="s">
        <v>2073</v>
      </c>
      <c r="U1048" s="108" t="s">
        <v>887</v>
      </c>
      <c r="V1048" s="108" t="s">
        <v>887</v>
      </c>
      <c r="W1048" s="108" t="s">
        <v>887</v>
      </c>
    </row>
    <row r="1049" spans="1:23" ht="21" customHeight="1" x14ac:dyDescent="0.15">
      <c r="A1049" s="104">
        <f t="shared" si="15"/>
        <v>1048</v>
      </c>
      <c r="B1049" s="105" t="s">
        <v>1288</v>
      </c>
      <c r="C1049" s="121" t="s">
        <v>3204</v>
      </c>
      <c r="D1049" s="123" t="s">
        <v>3205</v>
      </c>
      <c r="E1049" s="108" t="s">
        <v>2431</v>
      </c>
      <c r="F1049" s="108" t="s">
        <v>2432</v>
      </c>
      <c r="G1049" s="108" t="s">
        <v>2433</v>
      </c>
      <c r="H1049" s="131" t="s">
        <v>3206</v>
      </c>
      <c r="I1049" s="140">
        <v>5</v>
      </c>
      <c r="J1049" s="109" t="s">
        <v>3207</v>
      </c>
      <c r="K1049" s="105" t="s">
        <v>3208</v>
      </c>
      <c r="L1049" s="107" t="str">
        <f ca="1">VLOOKUP($K1049,OFFSET([1]character_type_i18n!$A$1,0,0,COUNTA([1]character_type_i18n!$A:$A),MATCH(L$1,[1]character_type_i18n!$1:$1,0)-MATCH($K$1,[1]character_type_i18n!$1:$1,0)+1),MATCH(L$1,[1]character_type_i18n!$1:$1,0)-MATCH($K$1,[1]character_type_i18n!$1:$1,0)+1,FALSE)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49" s="105" t="s">
        <v>854</v>
      </c>
      <c r="N1049" s="107" t="str">
        <f>VLOOKUP(M1049,[1]character_tribe_i18n!A:C,3,FALSE)</f>
        <v>ドラゴン</v>
      </c>
      <c r="O1049" s="105" t="s">
        <v>3209</v>
      </c>
      <c r="P1049" s="107" t="str">
        <f>VLOOKUP(O1049,[1]character_tribe_i18n!A:C,3,FALSE)</f>
        <v>種族なし</v>
      </c>
      <c r="Q1049" s="110" t="s">
        <v>3210</v>
      </c>
      <c r="R1049" s="111">
        <v>3</v>
      </c>
      <c r="S1049" s="108" t="s">
        <v>3211</v>
      </c>
      <c r="T1049" s="108" t="s">
        <v>915</v>
      </c>
      <c r="U1049" s="108" t="s">
        <v>880</v>
      </c>
      <c r="V1049" s="108" t="s">
        <v>894</v>
      </c>
      <c r="W1049" s="108" t="s">
        <v>894</v>
      </c>
    </row>
    <row r="1050" spans="1:23" ht="21" customHeight="1" x14ac:dyDescent="0.15">
      <c r="A1050" s="104">
        <f t="shared" si="15"/>
        <v>1049</v>
      </c>
      <c r="B1050" s="105" t="s">
        <v>1261</v>
      </c>
      <c r="C1050" s="121" t="s">
        <v>3212</v>
      </c>
      <c r="D1050" s="123" t="s">
        <v>3213</v>
      </c>
      <c r="E1050" s="108" t="s">
        <v>3026</v>
      </c>
      <c r="F1050" s="108" t="s">
        <v>3027</v>
      </c>
      <c r="G1050" s="108" t="s">
        <v>3033</v>
      </c>
      <c r="H1050" s="131" t="s">
        <v>3194</v>
      </c>
      <c r="I1050" s="140">
        <v>6</v>
      </c>
      <c r="J1050" s="109" t="s">
        <v>3214</v>
      </c>
      <c r="K1050" s="105" t="s">
        <v>3195</v>
      </c>
      <c r="L1050" s="107" t="str">
        <f ca="1">VLOOKUP($K1050,OFFSET([1]character_type_i18n!$A$1,0,0,COUNTA([1]character_type_i18n!$A:$A),MATCH(L$1,[1]character_type_i18n!$1:$1,0)-MATCH($K$1,[1]character_type_i18n!$1:$1,0)+1),MATCH(L$1,[1]character_type_i18n!$1:$1,0)-MATCH($K$1,[1]character_type_i18n!$1:$1,0)+1,FALSE)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50" s="105" t="s">
        <v>1011</v>
      </c>
      <c r="N1050" s="107" t="str">
        <f>VLOOKUP(M1050,[1]character_tribe_i18n!A:C,3,FALSE)</f>
        <v>ヒューマン</v>
      </c>
      <c r="O1050" s="105" t="s">
        <v>1017</v>
      </c>
      <c r="P1050" s="107" t="str">
        <f>VLOOKUP(O1050,[1]character_tribe_i18n!A:C,3,FALSE)</f>
        <v>マシン</v>
      </c>
      <c r="Q1050" s="110" t="s">
        <v>279</v>
      </c>
      <c r="R1050" s="111">
        <v>3</v>
      </c>
      <c r="S1050" s="108" t="s">
        <v>280</v>
      </c>
      <c r="T1050" s="108" t="s">
        <v>281</v>
      </c>
      <c r="U1050" s="108" t="s">
        <v>280</v>
      </c>
      <c r="V1050" s="108" t="s">
        <v>280</v>
      </c>
      <c r="W1050" s="108" t="s">
        <v>280</v>
      </c>
    </row>
    <row r="1051" spans="1:23" ht="21" customHeight="1" x14ac:dyDescent="0.15">
      <c r="A1051" s="104">
        <f t="shared" si="15"/>
        <v>1050</v>
      </c>
      <c r="B1051" s="105" t="s">
        <v>268</v>
      </c>
      <c r="C1051" s="121" t="s">
        <v>3215</v>
      </c>
      <c r="D1051" s="123" t="s">
        <v>3216</v>
      </c>
      <c r="E1051" s="108" t="s">
        <v>709</v>
      </c>
      <c r="F1051" s="108" t="s">
        <v>532</v>
      </c>
      <c r="G1051" s="108" t="s">
        <v>710</v>
      </c>
      <c r="H1051" s="131" t="s">
        <v>768</v>
      </c>
      <c r="I1051" s="140">
        <v>5</v>
      </c>
      <c r="J1051" s="109" t="s">
        <v>2367</v>
      </c>
      <c r="K1051" s="105" t="s">
        <v>1008</v>
      </c>
      <c r="L1051" s="107" t="str">
        <f ca="1">VLOOKUP($K1051,OFFSET([1]character_type_i18n!$A$1,0,0,COUNTA([1]character_type_i18n!$A:$A),MATCH(L$1,[1]character_type_i18n!$1:$1,0)-MATCH($K$1,[1]character_type_i18n!$1:$1,0)+1),MATCH(L$1,[1]character_type_i18n!$1:$1,0)-MATCH($K$1,[1]character_type_i18n!$1:$1,0)+1,FALSE)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51" s="105" t="s">
        <v>3064</v>
      </c>
      <c r="N1051" s="107" t="str">
        <f>VLOOKUP(M1051,[1]character_tribe_i18n!A:C,3,FALSE)</f>
        <v>ゴッド</v>
      </c>
      <c r="O1051" s="105" t="s">
        <v>1423</v>
      </c>
      <c r="P1051" s="107" t="str">
        <f>VLOOKUP(O1051,[1]character_tribe_i18n!A:C,3,FALSE)</f>
        <v>種族なし</v>
      </c>
      <c r="Q1051" s="110" t="s">
        <v>2156</v>
      </c>
      <c r="R1051" s="111">
        <v>3</v>
      </c>
      <c r="S1051" s="108" t="s">
        <v>880</v>
      </c>
      <c r="T1051" s="108" t="s">
        <v>1360</v>
      </c>
      <c r="U1051" s="108" t="s">
        <v>1359</v>
      </c>
      <c r="V1051" s="108" t="s">
        <v>894</v>
      </c>
      <c r="W1051" s="108" t="s">
        <v>894</v>
      </c>
    </row>
    <row r="1052" spans="1:23" ht="21" customHeight="1" x14ac:dyDescent="0.15">
      <c r="A1052" s="104">
        <f t="shared" si="15"/>
        <v>1051</v>
      </c>
      <c r="B1052" s="105" t="s">
        <v>1261</v>
      </c>
      <c r="C1052" s="121" t="s">
        <v>3217</v>
      </c>
      <c r="D1052" s="123" t="s">
        <v>3218</v>
      </c>
      <c r="E1052" s="108" t="s">
        <v>1788</v>
      </c>
      <c r="F1052" s="108" t="s">
        <v>1985</v>
      </c>
      <c r="G1052" s="108" t="s">
        <v>2504</v>
      </c>
      <c r="H1052" s="131" t="s">
        <v>3219</v>
      </c>
      <c r="I1052" s="140">
        <v>6</v>
      </c>
      <c r="J1052" s="109" t="s">
        <v>2729</v>
      </c>
      <c r="K1052" s="105" t="s">
        <v>1008</v>
      </c>
      <c r="L1052" s="107" t="str">
        <f ca="1">VLOOKUP($K1052,OFFSET([1]character_type_i18n!$A$1,0,0,COUNTA([1]character_type_i18n!$A:$A),MATCH(L$1,[1]character_type_i18n!$1:$1,0)-MATCH($K$1,[1]character_type_i18n!$1:$1,0)+1),MATCH(L$1,[1]character_type_i18n!$1:$1,0)-MATCH($K$1,[1]character_type_i18n!$1:$1,0)+1,FALSE)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52" s="105" t="s">
        <v>1011</v>
      </c>
      <c r="N1052" s="107" t="str">
        <f>VLOOKUP(M1052,[1]character_tribe_i18n!A:C,3,FALSE)</f>
        <v>ヒューマン</v>
      </c>
      <c r="O1052" s="105" t="s">
        <v>1423</v>
      </c>
      <c r="P1052" s="107" t="str">
        <f>VLOOKUP(O1052,[1]character_tribe_i18n!A:C,3,FALSE)</f>
        <v>種族なし</v>
      </c>
      <c r="Q1052" s="110" t="s">
        <v>1733</v>
      </c>
      <c r="R1052" s="111">
        <v>3</v>
      </c>
      <c r="S1052" s="108" t="s">
        <v>1734</v>
      </c>
      <c r="T1052" s="108" t="s">
        <v>281</v>
      </c>
      <c r="U1052" s="108" t="s">
        <v>280</v>
      </c>
      <c r="V1052" s="108" t="s">
        <v>280</v>
      </c>
      <c r="W1052" s="108" t="s">
        <v>280</v>
      </c>
    </row>
    <row r="1053" spans="1:23" ht="21" customHeight="1" x14ac:dyDescent="0.15">
      <c r="A1053" s="104">
        <f t="shared" ref="A1053:A1079" si="16">ROW()-1</f>
        <v>1052</v>
      </c>
      <c r="B1053" s="105" t="s">
        <v>268</v>
      </c>
      <c r="C1053" s="121" t="s">
        <v>3220</v>
      </c>
      <c r="D1053" s="123" t="s">
        <v>3221</v>
      </c>
      <c r="E1053" s="108" t="s">
        <v>709</v>
      </c>
      <c r="F1053" s="108" t="s">
        <v>532</v>
      </c>
      <c r="G1053" s="108" t="s">
        <v>710</v>
      </c>
      <c r="H1053" s="131" t="s">
        <v>768</v>
      </c>
      <c r="I1053" s="140">
        <v>5</v>
      </c>
      <c r="J1053" s="109" t="s">
        <v>3034</v>
      </c>
      <c r="K1053" s="105" t="s">
        <v>3222</v>
      </c>
      <c r="L1053" s="107" t="str">
        <f ca="1">VLOOKUP($K1053,OFFSET([1]character_type_i18n!$A$1,0,0,COUNTA([1]character_type_i18n!$A:$A),MATCH(L$1,[1]character_type_i18n!$1:$1,0)-MATCH($K$1,[1]character_type_i18n!$1:$1,0)+1),MATCH(L$1,[1]character_type_i18n!$1:$1,0)-MATCH($K$1,[1]character_type_i18n!$1:$1,0)+1,FALSE)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53" s="105" t="s">
        <v>1018</v>
      </c>
      <c r="N1053" s="107" t="str">
        <f>VLOOKUP(M1053,[1]character_tribe_i18n!A:C,3,FALSE)</f>
        <v>ゴッド</v>
      </c>
      <c r="O1053" s="105" t="s">
        <v>1423</v>
      </c>
      <c r="P1053" s="107" t="str">
        <f>VLOOKUP(O1053,[1]character_tribe_i18n!A:C,3,FALSE)</f>
        <v>種族なし</v>
      </c>
      <c r="Q1053" s="110" t="s">
        <v>279</v>
      </c>
      <c r="R1053" s="111">
        <v>3</v>
      </c>
      <c r="S1053" s="108" t="s">
        <v>280</v>
      </c>
      <c r="T1053" s="108" t="s">
        <v>281</v>
      </c>
      <c r="U1053" s="108" t="s">
        <v>280</v>
      </c>
      <c r="V1053" s="108" t="s">
        <v>280</v>
      </c>
      <c r="W1053" s="108" t="s">
        <v>280</v>
      </c>
    </row>
    <row r="1054" spans="1:23" ht="21" customHeight="1" x14ac:dyDescent="0.15">
      <c r="A1054" s="104">
        <f t="shared" si="16"/>
        <v>1053</v>
      </c>
      <c r="B1054" s="105" t="s">
        <v>268</v>
      </c>
      <c r="C1054" s="154" t="s">
        <v>3223</v>
      </c>
      <c r="D1054" s="157" t="s">
        <v>3224</v>
      </c>
      <c r="E1054" s="108" t="s">
        <v>709</v>
      </c>
      <c r="F1054" s="108" t="s">
        <v>532</v>
      </c>
      <c r="G1054" s="108" t="s">
        <v>710</v>
      </c>
      <c r="H1054" s="131" t="s">
        <v>1141</v>
      </c>
      <c r="I1054" s="140">
        <v>5</v>
      </c>
      <c r="J1054" s="109" t="s">
        <v>1504</v>
      </c>
      <c r="K1054" s="105" t="s">
        <v>1008</v>
      </c>
      <c r="L1054" s="107" t="str">
        <f ca="1">VLOOKUP($K1054,OFFSET([1]character_type_i18n!$A$1,0,0,COUNTA([1]character_type_i18n!$A:$A),MATCH(L$1,[1]character_type_i18n!$1:$1,0)-MATCH($K$1,[1]character_type_i18n!$1:$1,0)+1),MATCH(L$1,[1]character_type_i18n!$1:$1,0)-MATCH($K$1,[1]character_type_i18n!$1:$1,0)+1,FALSE)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54" s="105" t="s">
        <v>1018</v>
      </c>
      <c r="N1054" s="107" t="str">
        <f>VLOOKUP(M1054,[1]character_tribe_i18n!A:C,3,FALSE)</f>
        <v>ゴッド</v>
      </c>
      <c r="O1054" s="105" t="s">
        <v>1423</v>
      </c>
      <c r="P1054" s="107" t="str">
        <f>VLOOKUP(O1054,[1]character_tribe_i18n!A:C,3,FALSE)</f>
        <v>種族なし</v>
      </c>
      <c r="Q1054" s="110" t="s">
        <v>279</v>
      </c>
      <c r="R1054" s="111">
        <v>3</v>
      </c>
      <c r="S1054" s="108" t="s">
        <v>280</v>
      </c>
      <c r="T1054" s="108" t="s">
        <v>281</v>
      </c>
      <c r="U1054" s="108" t="s">
        <v>280</v>
      </c>
      <c r="V1054" s="108" t="s">
        <v>280</v>
      </c>
      <c r="W1054" s="108" t="s">
        <v>280</v>
      </c>
    </row>
    <row r="1055" spans="1:23" ht="21" customHeight="1" x14ac:dyDescent="0.15">
      <c r="A1055" s="104">
        <f t="shared" si="16"/>
        <v>1054</v>
      </c>
      <c r="B1055" s="105" t="s">
        <v>268</v>
      </c>
      <c r="C1055" s="154" t="s">
        <v>3225</v>
      </c>
      <c r="D1055" s="157" t="s">
        <v>3224</v>
      </c>
      <c r="E1055" s="108" t="s">
        <v>709</v>
      </c>
      <c r="F1055" s="108" t="s">
        <v>532</v>
      </c>
      <c r="G1055" s="108" t="s">
        <v>710</v>
      </c>
      <c r="H1055" s="131" t="s">
        <v>1141</v>
      </c>
      <c r="I1055" s="140">
        <v>6</v>
      </c>
      <c r="J1055" s="109" t="s">
        <v>1504</v>
      </c>
      <c r="K1055" s="105" t="s">
        <v>1008</v>
      </c>
      <c r="L1055" s="107" t="str">
        <f ca="1">VLOOKUP($K1055,OFFSET([1]character_type_i18n!$A$1,0,0,COUNTA([1]character_type_i18n!$A:$A),MATCH(L$1,[1]character_type_i18n!$1:$1,0)-MATCH($K$1,[1]character_type_i18n!$1:$1,0)+1),MATCH(L$1,[1]character_type_i18n!$1:$1,0)-MATCH($K$1,[1]character_type_i18n!$1:$1,0)+1,FALSE)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55" s="105" t="s">
        <v>1018</v>
      </c>
      <c r="N1055" s="107" t="str">
        <f>VLOOKUP(M1055,[1]character_tribe_i18n!A:C,3,FALSE)</f>
        <v>ゴッド</v>
      </c>
      <c r="O1055" s="105" t="s">
        <v>1423</v>
      </c>
      <c r="P1055" s="107" t="str">
        <f>VLOOKUP(O1055,[1]character_tribe_i18n!A:C,3,FALSE)</f>
        <v>種族なし</v>
      </c>
      <c r="Q1055" s="110" t="s">
        <v>279</v>
      </c>
      <c r="R1055" s="111">
        <v>3</v>
      </c>
      <c r="S1055" s="108" t="s">
        <v>280</v>
      </c>
      <c r="T1055" s="108" t="s">
        <v>281</v>
      </c>
      <c r="U1055" s="108" t="s">
        <v>280</v>
      </c>
      <c r="V1055" s="108" t="s">
        <v>280</v>
      </c>
      <c r="W1055" s="108" t="s">
        <v>280</v>
      </c>
    </row>
    <row r="1056" spans="1:23" ht="21" customHeight="1" x14ac:dyDescent="0.15">
      <c r="A1056" s="104">
        <f t="shared" si="16"/>
        <v>1055</v>
      </c>
      <c r="B1056" s="105" t="s">
        <v>268</v>
      </c>
      <c r="C1056" s="121" t="s">
        <v>3226</v>
      </c>
      <c r="D1056" s="123" t="s">
        <v>3227</v>
      </c>
      <c r="E1056" s="108" t="s">
        <v>709</v>
      </c>
      <c r="F1056" s="108" t="s">
        <v>532</v>
      </c>
      <c r="G1056" s="108" t="s">
        <v>710</v>
      </c>
      <c r="H1056" s="131" t="s">
        <v>274</v>
      </c>
      <c r="I1056" s="121">
        <v>6</v>
      </c>
      <c r="J1056" s="109" t="s">
        <v>2367</v>
      </c>
      <c r="K1056" s="105" t="s">
        <v>1005</v>
      </c>
      <c r="L1056" s="107" t="str">
        <f ca="1">VLOOKUP($K1056,OFFSET([1]character_type_i18n!$A$1,0,0,COUNTA([1]character_type_i18n!$A:$A),MATCH(L$1,[1]character_type_i18n!$1:$1,0)-MATCH($K$1,[1]character_type_i18n!$1:$1,0)+1),MATCH(L$1,[1]character_type_i18n!$1:$1,0)-MATCH($K$1,[1]character_type_i18n!$1:$1,0)+1,FALSE)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56" s="105" t="s">
        <v>3228</v>
      </c>
      <c r="N1056" s="107" t="str">
        <f>VLOOKUP(M1056,[1]character_tribe_i18n!A:C,3,FALSE)</f>
        <v>デーモン</v>
      </c>
      <c r="O1056" s="105" t="s">
        <v>1423</v>
      </c>
      <c r="P1056" s="107" t="str">
        <f>VLOOKUP(O1056,[1]character_tribe_i18n!A:C,3,FALSE)</f>
        <v>種族なし</v>
      </c>
      <c r="Q1056" s="110" t="s">
        <v>279</v>
      </c>
      <c r="R1056" s="111">
        <v>3</v>
      </c>
      <c r="S1056" s="108" t="s">
        <v>280</v>
      </c>
      <c r="T1056" s="108" t="s">
        <v>2950</v>
      </c>
      <c r="U1056" s="108" t="s">
        <v>280</v>
      </c>
      <c r="V1056" s="108" t="s">
        <v>280</v>
      </c>
      <c r="W1056" s="108" t="s">
        <v>280</v>
      </c>
    </row>
    <row r="1057" spans="1:23" ht="21" customHeight="1" x14ac:dyDescent="0.15">
      <c r="A1057" s="104">
        <f t="shared" si="16"/>
        <v>1056</v>
      </c>
      <c r="B1057" s="105" t="s">
        <v>268</v>
      </c>
      <c r="C1057" s="149" t="s">
        <v>3229</v>
      </c>
      <c r="D1057" s="173" t="s">
        <v>3230</v>
      </c>
      <c r="E1057" s="108" t="s">
        <v>709</v>
      </c>
      <c r="F1057" s="108" t="s">
        <v>532</v>
      </c>
      <c r="G1057" s="108" t="s">
        <v>710</v>
      </c>
      <c r="H1057" s="131" t="s">
        <v>285</v>
      </c>
      <c r="I1057" s="121">
        <v>6</v>
      </c>
      <c r="J1057" s="109" t="s">
        <v>2367</v>
      </c>
      <c r="K1057" s="105" t="s">
        <v>1005</v>
      </c>
      <c r="L1057" s="107" t="str">
        <f ca="1">VLOOKUP($K1057,OFFSET([1]character_type_i18n!$A$1,0,0,COUNTA([1]character_type_i18n!$A:$A),MATCH(L$1,[1]character_type_i18n!$1:$1,0)-MATCH($K$1,[1]character_type_i18n!$1:$1,0)+1),MATCH(L$1,[1]character_type_i18n!$1:$1,0)-MATCH($K$1,[1]character_type_i18n!$1:$1,0)+1,FALSE)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57" s="105" t="s">
        <v>3228</v>
      </c>
      <c r="N1057" s="107" t="str">
        <f>VLOOKUP(M1057,[1]character_tribe_i18n!A:C,3,FALSE)</f>
        <v>デーモン</v>
      </c>
      <c r="O1057" s="105" t="s">
        <v>1423</v>
      </c>
      <c r="P1057" s="107" t="str">
        <f>VLOOKUP(O1057,[1]character_tribe_i18n!A:C,3,FALSE)</f>
        <v>種族なし</v>
      </c>
      <c r="Q1057" s="110" t="s">
        <v>279</v>
      </c>
      <c r="R1057" s="111">
        <v>3</v>
      </c>
      <c r="S1057" s="108" t="s">
        <v>280</v>
      </c>
      <c r="T1057" s="108" t="s">
        <v>2950</v>
      </c>
      <c r="U1057" s="108" t="s">
        <v>280</v>
      </c>
      <c r="V1057" s="108" t="s">
        <v>280</v>
      </c>
      <c r="W1057" s="108" t="s">
        <v>280</v>
      </c>
    </row>
    <row r="1058" spans="1:23" ht="21" customHeight="1" x14ac:dyDescent="0.15">
      <c r="A1058" s="104">
        <f t="shared" si="16"/>
        <v>1057</v>
      </c>
      <c r="B1058" s="105" t="s">
        <v>268</v>
      </c>
      <c r="C1058" s="121" t="s">
        <v>3231</v>
      </c>
      <c r="D1058" s="123" t="s">
        <v>3232</v>
      </c>
      <c r="E1058" s="108" t="s">
        <v>709</v>
      </c>
      <c r="F1058" s="108" t="s">
        <v>532</v>
      </c>
      <c r="G1058" s="108" t="s">
        <v>710</v>
      </c>
      <c r="H1058" s="131" t="s">
        <v>295</v>
      </c>
      <c r="I1058" s="121">
        <v>6</v>
      </c>
      <c r="J1058" s="109" t="s">
        <v>2367</v>
      </c>
      <c r="K1058" s="105" t="s">
        <v>1005</v>
      </c>
      <c r="L1058" s="107" t="str">
        <f ca="1">VLOOKUP($K1058,OFFSET([1]character_type_i18n!$A$1,0,0,COUNTA([1]character_type_i18n!$A:$A),MATCH(L$1,[1]character_type_i18n!$1:$1,0)-MATCH($K$1,[1]character_type_i18n!$1:$1,0)+1),MATCH(L$1,[1]character_type_i18n!$1:$1,0)-MATCH($K$1,[1]character_type_i18n!$1:$1,0)+1,FALSE)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58" s="105" t="s">
        <v>3228</v>
      </c>
      <c r="N1058" s="107" t="str">
        <f>VLOOKUP(M1058,[1]character_tribe_i18n!A:C,3,FALSE)</f>
        <v>デーモン</v>
      </c>
      <c r="O1058" s="105" t="s">
        <v>1423</v>
      </c>
      <c r="P1058" s="107" t="str">
        <f>VLOOKUP(O1058,[1]character_tribe_i18n!A:C,3,FALSE)</f>
        <v>種族なし</v>
      </c>
      <c r="Q1058" s="110" t="s">
        <v>279</v>
      </c>
      <c r="R1058" s="111">
        <v>3</v>
      </c>
      <c r="S1058" s="108" t="s">
        <v>280</v>
      </c>
      <c r="T1058" s="108" t="s">
        <v>2950</v>
      </c>
      <c r="U1058" s="108" t="s">
        <v>280</v>
      </c>
      <c r="V1058" s="108" t="s">
        <v>280</v>
      </c>
      <c r="W1058" s="108" t="s">
        <v>280</v>
      </c>
    </row>
    <row r="1059" spans="1:23" ht="21" customHeight="1" x14ac:dyDescent="0.15">
      <c r="A1059" s="104">
        <f t="shared" si="16"/>
        <v>1058</v>
      </c>
      <c r="B1059" s="105" t="s">
        <v>268</v>
      </c>
      <c r="C1059" s="121" t="s">
        <v>3233</v>
      </c>
      <c r="D1059" s="123" t="s">
        <v>3234</v>
      </c>
      <c r="E1059" s="108" t="s">
        <v>709</v>
      </c>
      <c r="F1059" s="108" t="s">
        <v>532</v>
      </c>
      <c r="G1059" s="108" t="s">
        <v>710</v>
      </c>
      <c r="H1059" s="131" t="s">
        <v>300</v>
      </c>
      <c r="I1059" s="121">
        <v>6</v>
      </c>
      <c r="J1059" s="109" t="s">
        <v>2367</v>
      </c>
      <c r="K1059" s="105" t="s">
        <v>1005</v>
      </c>
      <c r="L1059" s="107" t="str">
        <f ca="1">VLOOKUP($K1059,OFFSET([1]character_type_i18n!$A$1,0,0,COUNTA([1]character_type_i18n!$A:$A),MATCH(L$1,[1]character_type_i18n!$1:$1,0)-MATCH($K$1,[1]character_type_i18n!$1:$1,0)+1),MATCH(L$1,[1]character_type_i18n!$1:$1,0)-MATCH($K$1,[1]character_type_i18n!$1:$1,0)+1,FALSE)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59" s="105" t="s">
        <v>1018</v>
      </c>
      <c r="N1059" s="107" t="str">
        <f>VLOOKUP(M1059,[1]character_tribe_i18n!A:C,3,FALSE)</f>
        <v>ゴッド</v>
      </c>
      <c r="O1059" s="105" t="s">
        <v>1423</v>
      </c>
      <c r="P1059" s="107" t="str">
        <f>VLOOKUP(O1059,[1]character_tribe_i18n!A:C,3,FALSE)</f>
        <v>種族なし</v>
      </c>
      <c r="Q1059" s="110" t="s">
        <v>279</v>
      </c>
      <c r="R1059" s="111">
        <v>3</v>
      </c>
      <c r="S1059" s="108" t="s">
        <v>280</v>
      </c>
      <c r="T1059" s="108" t="s">
        <v>2950</v>
      </c>
      <c r="U1059" s="108" t="s">
        <v>280</v>
      </c>
      <c r="V1059" s="108" t="s">
        <v>280</v>
      </c>
      <c r="W1059" s="108" t="s">
        <v>280</v>
      </c>
    </row>
    <row r="1060" spans="1:23" ht="21" customHeight="1" x14ac:dyDescent="0.15">
      <c r="A1060" s="104">
        <f t="shared" si="16"/>
        <v>1059</v>
      </c>
      <c r="B1060" s="105" t="s">
        <v>268</v>
      </c>
      <c r="C1060" s="174" t="s">
        <v>3235</v>
      </c>
      <c r="D1060" s="123" t="s">
        <v>3234</v>
      </c>
      <c r="E1060" s="108" t="s">
        <v>709</v>
      </c>
      <c r="F1060" s="108" t="s">
        <v>532</v>
      </c>
      <c r="G1060" s="108" t="s">
        <v>710</v>
      </c>
      <c r="H1060" s="175" t="s">
        <v>285</v>
      </c>
      <c r="I1060" s="133">
        <v>4</v>
      </c>
      <c r="J1060" s="109" t="s">
        <v>1372</v>
      </c>
      <c r="K1060" s="105" t="s">
        <v>1008</v>
      </c>
      <c r="L1060" s="107" t="str">
        <f ca="1">VLOOKUP($K1060,OFFSET([1]character_type_i18n!$A$1,0,0,COUNTA([1]character_type_i18n!$A:$A),MATCH(L$1,[1]character_type_i18n!$1:$1,0)-MATCH($K$1,[1]character_type_i18n!$1:$1,0)+1),MATCH(L$1,[1]character_type_i18n!$1:$1,0)-MATCH($K$1,[1]character_type_i18n!$1:$1,0)+1,FALSE)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60" s="105" t="s">
        <v>1018</v>
      </c>
      <c r="N1060" s="107" t="str">
        <f>VLOOKUP(M1060,[1]character_tribe_i18n!A:C,3,FALSE)</f>
        <v>ゴッド</v>
      </c>
      <c r="O1060" s="105" t="s">
        <v>313</v>
      </c>
      <c r="P1060" s="107" t="str">
        <f>VLOOKUP(O1060,[1]character_tribe_i18n!A:C,3,FALSE)</f>
        <v>アニマル</v>
      </c>
      <c r="Q1060" s="110" t="s">
        <v>279</v>
      </c>
      <c r="R1060" s="111">
        <v>3</v>
      </c>
      <c r="S1060" s="108" t="s">
        <v>280</v>
      </c>
      <c r="T1060" s="108" t="s">
        <v>3236</v>
      </c>
      <c r="U1060" s="108" t="s">
        <v>280</v>
      </c>
      <c r="V1060" s="108" t="s">
        <v>280</v>
      </c>
      <c r="W1060" s="108" t="s">
        <v>280</v>
      </c>
    </row>
    <row r="1061" spans="1:23" ht="21" customHeight="1" x14ac:dyDescent="0.15">
      <c r="A1061" s="104">
        <f t="shared" si="16"/>
        <v>1060</v>
      </c>
      <c r="B1061" s="105" t="s">
        <v>268</v>
      </c>
      <c r="C1061" s="174" t="s">
        <v>3237</v>
      </c>
      <c r="D1061" s="123" t="s">
        <v>3234</v>
      </c>
      <c r="E1061" s="108" t="s">
        <v>709</v>
      </c>
      <c r="F1061" s="108" t="s">
        <v>532</v>
      </c>
      <c r="G1061" s="108" t="s">
        <v>710</v>
      </c>
      <c r="H1061" s="175" t="s">
        <v>285</v>
      </c>
      <c r="I1061" s="133">
        <v>5</v>
      </c>
      <c r="J1061" s="109" t="s">
        <v>1372</v>
      </c>
      <c r="K1061" s="105" t="s">
        <v>1008</v>
      </c>
      <c r="L1061" s="107" t="str">
        <f ca="1">VLOOKUP($K1061,OFFSET([1]character_type_i18n!$A$1,0,0,COUNTA([1]character_type_i18n!$A:$A),MATCH(L$1,[1]character_type_i18n!$1:$1,0)-MATCH($K$1,[1]character_type_i18n!$1:$1,0)+1),MATCH(L$1,[1]character_type_i18n!$1:$1,0)-MATCH($K$1,[1]character_type_i18n!$1:$1,0)+1,FALSE)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61" s="105" t="s">
        <v>1018</v>
      </c>
      <c r="N1061" s="107" t="str">
        <f>VLOOKUP(M1061,[1]character_tribe_i18n!A:C,3,FALSE)</f>
        <v>ゴッド</v>
      </c>
      <c r="O1061" s="105" t="s">
        <v>313</v>
      </c>
      <c r="P1061" s="107" t="str">
        <f>VLOOKUP(O1061,[1]character_tribe_i18n!A:C,3,FALSE)</f>
        <v>アニマル</v>
      </c>
      <c r="Q1061" s="110" t="s">
        <v>279</v>
      </c>
      <c r="R1061" s="111">
        <v>3</v>
      </c>
      <c r="S1061" s="108" t="s">
        <v>280</v>
      </c>
      <c r="T1061" s="108" t="s">
        <v>3236</v>
      </c>
      <c r="U1061" s="108" t="s">
        <v>280</v>
      </c>
      <c r="V1061" s="108" t="s">
        <v>280</v>
      </c>
      <c r="W1061" s="108" t="s">
        <v>280</v>
      </c>
    </row>
    <row r="1062" spans="1:23" ht="21" customHeight="1" x14ac:dyDescent="0.15">
      <c r="A1062" s="104">
        <f t="shared" si="16"/>
        <v>1061</v>
      </c>
      <c r="B1062" s="105" t="s">
        <v>268</v>
      </c>
      <c r="C1062" s="174" t="s">
        <v>3238</v>
      </c>
      <c r="D1062" s="123" t="s">
        <v>3234</v>
      </c>
      <c r="E1062" s="108" t="s">
        <v>709</v>
      </c>
      <c r="F1062" s="108" t="s">
        <v>532</v>
      </c>
      <c r="G1062" s="108" t="s">
        <v>710</v>
      </c>
      <c r="H1062" s="175" t="s">
        <v>300</v>
      </c>
      <c r="I1062" s="133">
        <v>4</v>
      </c>
      <c r="J1062" s="109" t="s">
        <v>1372</v>
      </c>
      <c r="K1062" s="105" t="s">
        <v>967</v>
      </c>
      <c r="L1062" s="107" t="str">
        <f ca="1">VLOOKUP($K1062,OFFSET([1]character_type_i18n!$A$1,0,0,COUNTA([1]character_type_i18n!$A:$A),MATCH(L$1,[1]character_type_i18n!$1:$1,0)-MATCH($K$1,[1]character_type_i18n!$1:$1,0)+1),MATCH(L$1,[1]character_type_i18n!$1:$1,0)-MATCH($K$1,[1]character_type_i18n!$1:$1,0)+1,FALSE)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62" s="105" t="s">
        <v>313</v>
      </c>
      <c r="N1062" s="107" t="str">
        <f>VLOOKUP(M1062,[1]character_tribe_i18n!A:C,3,FALSE)</f>
        <v>アニマル</v>
      </c>
      <c r="O1062" s="105" t="s">
        <v>1017</v>
      </c>
      <c r="P1062" s="107" t="str">
        <f>VLOOKUP(O1062,[1]character_tribe_i18n!A:C,3,FALSE)</f>
        <v>マシン</v>
      </c>
      <c r="Q1062" s="110" t="s">
        <v>279</v>
      </c>
      <c r="R1062" s="111">
        <v>3</v>
      </c>
      <c r="S1062" s="108" t="s">
        <v>280</v>
      </c>
      <c r="T1062" s="108" t="s">
        <v>3236</v>
      </c>
      <c r="U1062" s="108" t="s">
        <v>280</v>
      </c>
      <c r="V1062" s="108" t="s">
        <v>280</v>
      </c>
      <c r="W1062" s="108" t="s">
        <v>280</v>
      </c>
    </row>
    <row r="1063" spans="1:23" ht="21" customHeight="1" x14ac:dyDescent="0.15">
      <c r="A1063" s="104">
        <f t="shared" si="16"/>
        <v>1062</v>
      </c>
      <c r="B1063" s="105" t="s">
        <v>268</v>
      </c>
      <c r="C1063" s="174" t="s">
        <v>3239</v>
      </c>
      <c r="D1063" s="123" t="s">
        <v>3234</v>
      </c>
      <c r="E1063" s="108" t="s">
        <v>709</v>
      </c>
      <c r="F1063" s="108" t="s">
        <v>532</v>
      </c>
      <c r="G1063" s="108" t="s">
        <v>710</v>
      </c>
      <c r="H1063" s="175" t="s">
        <v>300</v>
      </c>
      <c r="I1063" s="133">
        <v>5</v>
      </c>
      <c r="J1063" s="109" t="s">
        <v>1372</v>
      </c>
      <c r="K1063" s="105" t="s">
        <v>967</v>
      </c>
      <c r="L1063" s="107" t="str">
        <f ca="1">VLOOKUP($K1063,OFFSET([1]character_type_i18n!$A$1,0,0,COUNTA([1]character_type_i18n!$A:$A),MATCH(L$1,[1]character_type_i18n!$1:$1,0)-MATCH($K$1,[1]character_type_i18n!$1:$1,0)+1),MATCH(L$1,[1]character_type_i18n!$1:$1,0)-MATCH($K$1,[1]character_type_i18n!$1:$1,0)+1,FALSE)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63" s="105" t="s">
        <v>313</v>
      </c>
      <c r="N1063" s="107" t="str">
        <f>VLOOKUP(M1063,[1]character_tribe_i18n!A:C,3,FALSE)</f>
        <v>アニマル</v>
      </c>
      <c r="O1063" s="105" t="s">
        <v>1017</v>
      </c>
      <c r="P1063" s="107" t="str">
        <f>VLOOKUP(O1063,[1]character_tribe_i18n!A:C,3,FALSE)</f>
        <v>マシン</v>
      </c>
      <c r="Q1063" s="110" t="s">
        <v>279</v>
      </c>
      <c r="R1063" s="111">
        <v>3</v>
      </c>
      <c r="S1063" s="108" t="s">
        <v>280</v>
      </c>
      <c r="T1063" s="108" t="s">
        <v>3236</v>
      </c>
      <c r="U1063" s="108" t="s">
        <v>280</v>
      </c>
      <c r="V1063" s="108" t="s">
        <v>280</v>
      </c>
      <c r="W1063" s="108" t="s">
        <v>280</v>
      </c>
    </row>
    <row r="1064" spans="1:23" ht="21" customHeight="1" x14ac:dyDescent="0.15">
      <c r="A1064" s="104">
        <f t="shared" si="16"/>
        <v>1063</v>
      </c>
      <c r="B1064" s="105" t="s">
        <v>268</v>
      </c>
      <c r="C1064" s="174" t="s">
        <v>3240</v>
      </c>
      <c r="D1064" s="123" t="s">
        <v>3234</v>
      </c>
      <c r="E1064" s="108" t="s">
        <v>709</v>
      </c>
      <c r="F1064" s="108" t="s">
        <v>532</v>
      </c>
      <c r="G1064" s="108" t="s">
        <v>710</v>
      </c>
      <c r="H1064" s="175" t="s">
        <v>295</v>
      </c>
      <c r="I1064" s="133">
        <v>5</v>
      </c>
      <c r="J1064" s="109" t="s">
        <v>1504</v>
      </c>
      <c r="K1064" s="105" t="s">
        <v>1505</v>
      </c>
      <c r="L1064" s="107" t="str">
        <f ca="1">VLOOKUP($K1064,OFFSET([1]character_type_i18n!$A$1,0,0,COUNTA([1]character_type_i18n!$A:$A),MATCH(L$1,[1]character_type_i18n!$1:$1,0)-MATCH($K$1,[1]character_type_i18n!$1:$1,0)+1),MATCH(L$1,[1]character_type_i18n!$1:$1,0)-MATCH($K$1,[1]character_type_i18n!$1:$1,0)+1,FALSE)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64" s="105" t="s">
        <v>1018</v>
      </c>
      <c r="N1064" s="107" t="str">
        <f>VLOOKUP(M1064,[1]character_tribe_i18n!A:C,3,FALSE)</f>
        <v>ゴッド</v>
      </c>
      <c r="O1064" s="105" t="s">
        <v>854</v>
      </c>
      <c r="P1064" s="107" t="str">
        <f>VLOOKUP(O1064,[1]character_tribe_i18n!A:C,3,FALSE)</f>
        <v>ドラゴン</v>
      </c>
      <c r="Q1064" s="110" t="s">
        <v>279</v>
      </c>
      <c r="R1064" s="111">
        <v>3</v>
      </c>
      <c r="S1064" s="108" t="s">
        <v>280</v>
      </c>
      <c r="T1064" s="108" t="s">
        <v>3236</v>
      </c>
      <c r="U1064" s="108" t="s">
        <v>280</v>
      </c>
      <c r="V1064" s="108" t="s">
        <v>280</v>
      </c>
      <c r="W1064" s="108" t="s">
        <v>280</v>
      </c>
    </row>
    <row r="1065" spans="1:23" ht="21" customHeight="1" x14ac:dyDescent="0.15">
      <c r="A1065" s="104">
        <f t="shared" si="16"/>
        <v>1064</v>
      </c>
      <c r="B1065" s="105" t="s">
        <v>268</v>
      </c>
      <c r="C1065" s="174" t="s">
        <v>3241</v>
      </c>
      <c r="D1065" s="123" t="s">
        <v>3234</v>
      </c>
      <c r="E1065" s="108" t="s">
        <v>709</v>
      </c>
      <c r="F1065" s="108" t="s">
        <v>532</v>
      </c>
      <c r="G1065" s="108" t="s">
        <v>710</v>
      </c>
      <c r="H1065" s="175" t="s">
        <v>295</v>
      </c>
      <c r="I1065" s="133">
        <v>6</v>
      </c>
      <c r="J1065" s="109" t="s">
        <v>1504</v>
      </c>
      <c r="K1065" s="105" t="s">
        <v>1505</v>
      </c>
      <c r="L1065" s="107" t="str">
        <f ca="1">VLOOKUP($K1065,OFFSET([1]character_type_i18n!$A$1,0,0,COUNTA([1]character_type_i18n!$A:$A),MATCH(L$1,[1]character_type_i18n!$1:$1,0)-MATCH($K$1,[1]character_type_i18n!$1:$1,0)+1),MATCH(L$1,[1]character_type_i18n!$1:$1,0)-MATCH($K$1,[1]character_type_i18n!$1:$1,0)+1,FALSE)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65" s="105" t="s">
        <v>1018</v>
      </c>
      <c r="N1065" s="107" t="str">
        <f>VLOOKUP(M1065,[1]character_tribe_i18n!A:C,3,FALSE)</f>
        <v>ゴッド</v>
      </c>
      <c r="O1065" s="105" t="s">
        <v>854</v>
      </c>
      <c r="P1065" s="107" t="str">
        <f>VLOOKUP(O1065,[1]character_tribe_i18n!A:C,3,FALSE)</f>
        <v>ドラゴン</v>
      </c>
      <c r="Q1065" s="110" t="s">
        <v>279</v>
      </c>
      <c r="R1065" s="111">
        <v>3</v>
      </c>
      <c r="S1065" s="108" t="s">
        <v>280</v>
      </c>
      <c r="T1065" s="108" t="s">
        <v>3236</v>
      </c>
      <c r="U1065" s="108" t="s">
        <v>280</v>
      </c>
      <c r="V1065" s="108" t="s">
        <v>280</v>
      </c>
      <c r="W1065" s="108" t="s">
        <v>280</v>
      </c>
    </row>
    <row r="1066" spans="1:23" ht="21" customHeight="1" x14ac:dyDescent="0.15">
      <c r="A1066" s="104">
        <f t="shared" si="16"/>
        <v>1065</v>
      </c>
      <c r="B1066" s="105" t="s">
        <v>268</v>
      </c>
      <c r="C1066" s="174" t="s">
        <v>3242</v>
      </c>
      <c r="D1066" s="123" t="s">
        <v>3234</v>
      </c>
      <c r="E1066" s="108" t="s">
        <v>709</v>
      </c>
      <c r="F1066" s="108" t="s">
        <v>532</v>
      </c>
      <c r="G1066" s="108" t="s">
        <v>710</v>
      </c>
      <c r="H1066" s="175" t="s">
        <v>274</v>
      </c>
      <c r="I1066" s="133">
        <v>5</v>
      </c>
      <c r="J1066" s="109" t="s">
        <v>2265</v>
      </c>
      <c r="K1066" s="105" t="s">
        <v>1005</v>
      </c>
      <c r="L1066" s="107" t="str">
        <f ca="1">VLOOKUP($K1066,OFFSET([1]character_type_i18n!$A$1,0,0,COUNTA([1]character_type_i18n!$A:$A),MATCH(L$1,[1]character_type_i18n!$1:$1,0)-MATCH($K$1,[1]character_type_i18n!$1:$1,0)+1),MATCH(L$1,[1]character_type_i18n!$1:$1,0)-MATCH($K$1,[1]character_type_i18n!$1:$1,0)+1,FALSE)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66" s="105" t="s">
        <v>1018</v>
      </c>
      <c r="N1066" s="107" t="str">
        <f>VLOOKUP(M1066,[1]character_tribe_i18n!A:C,3,FALSE)</f>
        <v>ゴッド</v>
      </c>
      <c r="O1066" s="105" t="s">
        <v>1011</v>
      </c>
      <c r="P1066" s="107" t="str">
        <f>VLOOKUP(O1066,[1]character_tribe_i18n!A:C,3,FALSE)</f>
        <v>ヒューマン</v>
      </c>
      <c r="Q1066" s="110" t="s">
        <v>279</v>
      </c>
      <c r="R1066" s="111">
        <v>3</v>
      </c>
      <c r="S1066" s="108" t="s">
        <v>280</v>
      </c>
      <c r="T1066" s="108" t="s">
        <v>3236</v>
      </c>
      <c r="U1066" s="108" t="s">
        <v>280</v>
      </c>
      <c r="V1066" s="108" t="s">
        <v>280</v>
      </c>
      <c r="W1066" s="108" t="s">
        <v>280</v>
      </c>
    </row>
    <row r="1067" spans="1:23" ht="21" customHeight="1" x14ac:dyDescent="0.15">
      <c r="A1067" s="104">
        <f t="shared" si="16"/>
        <v>1066</v>
      </c>
      <c r="B1067" s="105" t="s">
        <v>268</v>
      </c>
      <c r="C1067" s="174" t="s">
        <v>3243</v>
      </c>
      <c r="D1067" s="123" t="s">
        <v>3234</v>
      </c>
      <c r="E1067" s="108" t="s">
        <v>709</v>
      </c>
      <c r="F1067" s="108" t="s">
        <v>532</v>
      </c>
      <c r="G1067" s="108" t="s">
        <v>710</v>
      </c>
      <c r="H1067" s="175" t="s">
        <v>274</v>
      </c>
      <c r="I1067" s="133">
        <v>6</v>
      </c>
      <c r="J1067" s="109" t="s">
        <v>2265</v>
      </c>
      <c r="K1067" s="105" t="s">
        <v>1005</v>
      </c>
      <c r="L1067" s="107" t="str">
        <f ca="1">VLOOKUP($K1067,OFFSET([1]character_type_i18n!$A$1,0,0,COUNTA([1]character_type_i18n!$A:$A),MATCH(L$1,[1]character_type_i18n!$1:$1,0)-MATCH($K$1,[1]character_type_i18n!$1:$1,0)+1),MATCH(L$1,[1]character_type_i18n!$1:$1,0)-MATCH($K$1,[1]character_type_i18n!$1:$1,0)+1,FALSE)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67" s="105" t="s">
        <v>1018</v>
      </c>
      <c r="N1067" s="107" t="str">
        <f>VLOOKUP(M1067,[1]character_tribe_i18n!A:C,3,FALSE)</f>
        <v>ゴッド</v>
      </c>
      <c r="O1067" s="105" t="s">
        <v>1011</v>
      </c>
      <c r="P1067" s="107" t="str">
        <f>VLOOKUP(O1067,[1]character_tribe_i18n!A:C,3,FALSE)</f>
        <v>ヒューマン</v>
      </c>
      <c r="Q1067" s="110" t="s">
        <v>279</v>
      </c>
      <c r="R1067" s="111">
        <v>3</v>
      </c>
      <c r="S1067" s="108" t="s">
        <v>280</v>
      </c>
      <c r="T1067" s="108" t="s">
        <v>3236</v>
      </c>
      <c r="U1067" s="108" t="s">
        <v>280</v>
      </c>
      <c r="V1067" s="108" t="s">
        <v>280</v>
      </c>
      <c r="W1067" s="108" t="s">
        <v>280</v>
      </c>
    </row>
    <row r="1068" spans="1:23" ht="21" customHeight="1" x14ac:dyDescent="0.15">
      <c r="A1068" s="104">
        <f t="shared" si="16"/>
        <v>1067</v>
      </c>
      <c r="B1068" s="105" t="s">
        <v>268</v>
      </c>
      <c r="C1068" s="174" t="s">
        <v>3244</v>
      </c>
      <c r="D1068" s="123" t="s">
        <v>3234</v>
      </c>
      <c r="E1068" s="108" t="s">
        <v>709</v>
      </c>
      <c r="F1068" s="108" t="s">
        <v>532</v>
      </c>
      <c r="G1068" s="108" t="s">
        <v>710</v>
      </c>
      <c r="H1068" s="175" t="s">
        <v>274</v>
      </c>
      <c r="I1068" s="133">
        <v>4</v>
      </c>
      <c r="J1068" s="109" t="s">
        <v>2367</v>
      </c>
      <c r="K1068" s="105" t="s">
        <v>1008</v>
      </c>
      <c r="L1068" s="107" t="str">
        <f ca="1">VLOOKUP($K1068,OFFSET([1]character_type_i18n!$A$1,0,0,COUNTA([1]character_type_i18n!$A:$A),MATCH(L$1,[1]character_type_i18n!$1:$1,0)-MATCH($K$1,[1]character_type_i18n!$1:$1,0)+1),MATCH(L$1,[1]character_type_i18n!$1:$1,0)-MATCH($K$1,[1]character_type_i18n!$1:$1,0)+1,FALSE)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68" s="105" t="s">
        <v>854</v>
      </c>
      <c r="N1068" s="107" t="str">
        <f>VLOOKUP(M1068,[1]character_tribe_i18n!A:C,3,FALSE)</f>
        <v>ドラゴン</v>
      </c>
      <c r="O1068" s="105" t="s">
        <v>313</v>
      </c>
      <c r="P1068" s="107" t="str">
        <f>VLOOKUP(O1068,[1]character_tribe_i18n!A:C,3,FALSE)</f>
        <v>アニマル</v>
      </c>
      <c r="Q1068" s="110" t="s">
        <v>279</v>
      </c>
      <c r="R1068" s="111">
        <v>3</v>
      </c>
      <c r="S1068" s="108" t="s">
        <v>280</v>
      </c>
      <c r="T1068" s="108" t="s">
        <v>3236</v>
      </c>
      <c r="U1068" s="108" t="s">
        <v>280</v>
      </c>
      <c r="V1068" s="108" t="s">
        <v>280</v>
      </c>
      <c r="W1068" s="108" t="s">
        <v>280</v>
      </c>
    </row>
    <row r="1069" spans="1:23" ht="21" customHeight="1" x14ac:dyDescent="0.15">
      <c r="A1069" s="104">
        <f t="shared" si="16"/>
        <v>1068</v>
      </c>
      <c r="B1069" s="105" t="s">
        <v>268</v>
      </c>
      <c r="C1069" s="174" t="s">
        <v>3245</v>
      </c>
      <c r="D1069" s="123" t="s">
        <v>3234</v>
      </c>
      <c r="E1069" s="108" t="s">
        <v>709</v>
      </c>
      <c r="F1069" s="108" t="s">
        <v>532</v>
      </c>
      <c r="G1069" s="108" t="s">
        <v>710</v>
      </c>
      <c r="H1069" s="175" t="s">
        <v>274</v>
      </c>
      <c r="I1069" s="133">
        <v>5</v>
      </c>
      <c r="J1069" s="109" t="s">
        <v>2367</v>
      </c>
      <c r="K1069" s="105" t="s">
        <v>1008</v>
      </c>
      <c r="L1069" s="107" t="str">
        <f ca="1">VLOOKUP($K1069,OFFSET([1]character_type_i18n!$A$1,0,0,COUNTA([1]character_type_i18n!$A:$A),MATCH(L$1,[1]character_type_i18n!$1:$1,0)-MATCH($K$1,[1]character_type_i18n!$1:$1,0)+1),MATCH(L$1,[1]character_type_i18n!$1:$1,0)-MATCH($K$1,[1]character_type_i18n!$1:$1,0)+1,FALSE)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69" s="105" t="s">
        <v>854</v>
      </c>
      <c r="N1069" s="107" t="str">
        <f>VLOOKUP(M1069,[1]character_tribe_i18n!A:C,3,FALSE)</f>
        <v>ドラゴン</v>
      </c>
      <c r="O1069" s="105" t="s">
        <v>313</v>
      </c>
      <c r="P1069" s="107" t="str">
        <f>VLOOKUP(O1069,[1]character_tribe_i18n!A:C,3,FALSE)</f>
        <v>アニマル</v>
      </c>
      <c r="Q1069" s="110" t="s">
        <v>279</v>
      </c>
      <c r="R1069" s="111">
        <v>3</v>
      </c>
      <c r="S1069" s="108" t="s">
        <v>280</v>
      </c>
      <c r="T1069" s="108" t="s">
        <v>3236</v>
      </c>
      <c r="U1069" s="108" t="s">
        <v>280</v>
      </c>
      <c r="V1069" s="108" t="s">
        <v>280</v>
      </c>
      <c r="W1069" s="108" t="s">
        <v>280</v>
      </c>
    </row>
    <row r="1070" spans="1:23" ht="21" customHeight="1" x14ac:dyDescent="0.15">
      <c r="A1070" s="104">
        <f t="shared" si="16"/>
        <v>1069</v>
      </c>
      <c r="B1070" s="105" t="s">
        <v>268</v>
      </c>
      <c r="C1070" s="174" t="s">
        <v>3246</v>
      </c>
      <c r="D1070" s="123" t="s">
        <v>3234</v>
      </c>
      <c r="E1070" s="108" t="s">
        <v>709</v>
      </c>
      <c r="F1070" s="108" t="s">
        <v>532</v>
      </c>
      <c r="G1070" s="108" t="s">
        <v>710</v>
      </c>
      <c r="H1070" s="175" t="s">
        <v>285</v>
      </c>
      <c r="I1070" s="133">
        <v>5</v>
      </c>
      <c r="J1070" s="109" t="s">
        <v>1001</v>
      </c>
      <c r="K1070" s="105" t="s">
        <v>1505</v>
      </c>
      <c r="L1070" s="107" t="str">
        <f ca="1">VLOOKUP($K1070,OFFSET([1]character_type_i18n!$A$1,0,0,COUNTA([1]character_type_i18n!$A:$A),MATCH(L$1,[1]character_type_i18n!$1:$1,0)-MATCH($K$1,[1]character_type_i18n!$1:$1,0)+1),MATCH(L$1,[1]character_type_i18n!$1:$1,0)-MATCH($K$1,[1]character_type_i18n!$1:$1,0)+1,FALSE)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70" s="105" t="s">
        <v>1018</v>
      </c>
      <c r="N1070" s="107" t="str">
        <f>VLOOKUP(M1070,[1]character_tribe_i18n!A:C,3,FALSE)</f>
        <v>ゴッド</v>
      </c>
      <c r="O1070" s="105" t="s">
        <v>1423</v>
      </c>
      <c r="P1070" s="107" t="str">
        <f>VLOOKUP(O1070,[1]character_tribe_i18n!A:C,3,FALSE)</f>
        <v>種族なし</v>
      </c>
      <c r="Q1070" s="110" t="s">
        <v>279</v>
      </c>
      <c r="R1070" s="111">
        <v>3</v>
      </c>
      <c r="S1070" s="108" t="s">
        <v>280</v>
      </c>
      <c r="T1070" s="108" t="s">
        <v>3236</v>
      </c>
      <c r="U1070" s="108" t="s">
        <v>280</v>
      </c>
      <c r="V1070" s="108" t="s">
        <v>280</v>
      </c>
      <c r="W1070" s="108" t="s">
        <v>280</v>
      </c>
    </row>
    <row r="1071" spans="1:23" ht="21" customHeight="1" x14ac:dyDescent="0.15">
      <c r="A1071" s="104">
        <f t="shared" si="16"/>
        <v>1070</v>
      </c>
      <c r="B1071" s="105" t="s">
        <v>268</v>
      </c>
      <c r="C1071" s="174" t="s">
        <v>3247</v>
      </c>
      <c r="D1071" s="123" t="s">
        <v>3234</v>
      </c>
      <c r="E1071" s="108" t="s">
        <v>709</v>
      </c>
      <c r="F1071" s="108" t="s">
        <v>532</v>
      </c>
      <c r="G1071" s="108" t="s">
        <v>710</v>
      </c>
      <c r="H1071" s="175" t="s">
        <v>285</v>
      </c>
      <c r="I1071" s="133">
        <v>6</v>
      </c>
      <c r="J1071" s="109" t="s">
        <v>1001</v>
      </c>
      <c r="K1071" s="105" t="s">
        <v>1505</v>
      </c>
      <c r="L1071" s="107" t="str">
        <f ca="1">VLOOKUP($K1071,OFFSET([1]character_type_i18n!$A$1,0,0,COUNTA([1]character_type_i18n!$A:$A),MATCH(L$1,[1]character_type_i18n!$1:$1,0)-MATCH($K$1,[1]character_type_i18n!$1:$1,0)+1),MATCH(L$1,[1]character_type_i18n!$1:$1,0)-MATCH($K$1,[1]character_type_i18n!$1:$1,0)+1,FALSE)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71" s="105" t="s">
        <v>1018</v>
      </c>
      <c r="N1071" s="107" t="str">
        <f>VLOOKUP(M1071,[1]character_tribe_i18n!A:C,3,FALSE)</f>
        <v>ゴッド</v>
      </c>
      <c r="O1071" s="105" t="s">
        <v>1423</v>
      </c>
      <c r="P1071" s="107" t="str">
        <f>VLOOKUP(O1071,[1]character_tribe_i18n!A:C,3,FALSE)</f>
        <v>種族なし</v>
      </c>
      <c r="Q1071" s="110" t="s">
        <v>279</v>
      </c>
      <c r="R1071" s="111">
        <v>3</v>
      </c>
      <c r="S1071" s="108" t="s">
        <v>280</v>
      </c>
      <c r="T1071" s="108" t="s">
        <v>3236</v>
      </c>
      <c r="U1071" s="108" t="s">
        <v>280</v>
      </c>
      <c r="V1071" s="108" t="s">
        <v>280</v>
      </c>
      <c r="W1071" s="108" t="s">
        <v>280</v>
      </c>
    </row>
    <row r="1072" spans="1:23" ht="21" customHeight="1" x14ac:dyDescent="0.15">
      <c r="A1072" s="104">
        <f t="shared" si="16"/>
        <v>1071</v>
      </c>
      <c r="B1072" s="105" t="s">
        <v>268</v>
      </c>
      <c r="C1072" s="174" t="s">
        <v>3248</v>
      </c>
      <c r="D1072" s="123" t="s">
        <v>3234</v>
      </c>
      <c r="E1072" s="108" t="s">
        <v>709</v>
      </c>
      <c r="F1072" s="108" t="s">
        <v>532</v>
      </c>
      <c r="G1072" s="108" t="s">
        <v>710</v>
      </c>
      <c r="H1072" s="175" t="s">
        <v>285</v>
      </c>
      <c r="I1072" s="133">
        <v>6</v>
      </c>
      <c r="J1072" s="109" t="s">
        <v>1001</v>
      </c>
      <c r="K1072" s="105" t="s">
        <v>1005</v>
      </c>
      <c r="L1072" s="107" t="str">
        <f ca="1">VLOOKUP($K1072,OFFSET([1]character_type_i18n!$A$1,0,0,COUNTA([1]character_type_i18n!$A:$A),MATCH(L$1,[1]character_type_i18n!$1:$1,0)-MATCH($K$1,[1]character_type_i18n!$1:$1,0)+1),MATCH(L$1,[1]character_type_i18n!$1:$1,0)-MATCH($K$1,[1]character_type_i18n!$1:$1,0)+1,FALSE)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72" s="105" t="s">
        <v>1018</v>
      </c>
      <c r="N1072" s="107" t="str">
        <f>VLOOKUP(M1072,[1]character_tribe_i18n!A:C,3,FALSE)</f>
        <v>ゴッド</v>
      </c>
      <c r="O1072" s="105" t="s">
        <v>1423</v>
      </c>
      <c r="P1072" s="107" t="str">
        <f>VLOOKUP(O1072,[1]character_tribe_i18n!A:C,3,FALSE)</f>
        <v>種族なし</v>
      </c>
      <c r="Q1072" s="110" t="s">
        <v>279</v>
      </c>
      <c r="R1072" s="111">
        <v>1</v>
      </c>
      <c r="S1072" s="108" t="s">
        <v>280</v>
      </c>
      <c r="T1072" s="108" t="s">
        <v>3236</v>
      </c>
      <c r="U1072" s="108" t="s">
        <v>280</v>
      </c>
      <c r="V1072" s="108" t="s">
        <v>280</v>
      </c>
      <c r="W1072" s="108" t="s">
        <v>280</v>
      </c>
    </row>
    <row r="1073" spans="1:23" ht="21" customHeight="1" x14ac:dyDescent="0.15">
      <c r="A1073" s="104">
        <f t="shared" si="16"/>
        <v>1072</v>
      </c>
      <c r="B1073" s="105" t="s">
        <v>268</v>
      </c>
      <c r="C1073" s="174" t="s">
        <v>3249</v>
      </c>
      <c r="D1073" s="123" t="s">
        <v>3234</v>
      </c>
      <c r="E1073" s="108" t="s">
        <v>709</v>
      </c>
      <c r="F1073" s="108" t="s">
        <v>532</v>
      </c>
      <c r="G1073" s="108" t="s">
        <v>710</v>
      </c>
      <c r="H1073" s="175" t="s">
        <v>295</v>
      </c>
      <c r="I1073" s="133">
        <v>5</v>
      </c>
      <c r="J1073" s="109" t="s">
        <v>2000</v>
      </c>
      <c r="K1073" s="105" t="s">
        <v>1005</v>
      </c>
      <c r="L1073" s="107" t="str">
        <f ca="1">VLOOKUP($K1073,OFFSET([1]character_type_i18n!$A$1,0,0,COUNTA([1]character_type_i18n!$A:$A),MATCH(L$1,[1]character_type_i18n!$1:$1,0)-MATCH($K$1,[1]character_type_i18n!$1:$1,0)+1),MATCH(L$1,[1]character_type_i18n!$1:$1,0)-MATCH($K$1,[1]character_type_i18n!$1:$1,0)+1,FALSE)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73" s="105" t="s">
        <v>1011</v>
      </c>
      <c r="N1073" s="107" t="str">
        <f>VLOOKUP(M1073,[1]character_tribe_i18n!A:C,3,FALSE)</f>
        <v>ヒューマン</v>
      </c>
      <c r="O1073" s="105" t="s">
        <v>313</v>
      </c>
      <c r="P1073" s="107" t="str">
        <f>VLOOKUP(O1073,[1]character_tribe_i18n!A:C,3,FALSE)</f>
        <v>アニマル</v>
      </c>
      <c r="Q1073" s="110" t="s">
        <v>279</v>
      </c>
      <c r="R1073" s="111">
        <v>3</v>
      </c>
      <c r="S1073" s="108" t="s">
        <v>280</v>
      </c>
      <c r="T1073" s="108" t="s">
        <v>3236</v>
      </c>
      <c r="U1073" s="108" t="s">
        <v>280</v>
      </c>
      <c r="V1073" s="108" t="s">
        <v>280</v>
      </c>
      <c r="W1073" s="108" t="s">
        <v>280</v>
      </c>
    </row>
    <row r="1074" spans="1:23" ht="21" customHeight="1" x14ac:dyDescent="0.15">
      <c r="A1074" s="104">
        <f t="shared" si="16"/>
        <v>1073</v>
      </c>
      <c r="B1074" s="105" t="s">
        <v>268</v>
      </c>
      <c r="C1074" s="174" t="s">
        <v>3250</v>
      </c>
      <c r="D1074" s="123" t="s">
        <v>3234</v>
      </c>
      <c r="E1074" s="108" t="s">
        <v>709</v>
      </c>
      <c r="F1074" s="108" t="s">
        <v>532</v>
      </c>
      <c r="G1074" s="108" t="s">
        <v>710</v>
      </c>
      <c r="H1074" s="175" t="s">
        <v>295</v>
      </c>
      <c r="I1074" s="133">
        <v>6</v>
      </c>
      <c r="J1074" s="109" t="s">
        <v>2000</v>
      </c>
      <c r="K1074" s="105" t="s">
        <v>1005</v>
      </c>
      <c r="L1074" s="107" t="str">
        <f ca="1">VLOOKUP($K1074,OFFSET([1]character_type_i18n!$A$1,0,0,COUNTA([1]character_type_i18n!$A:$A),MATCH(L$1,[1]character_type_i18n!$1:$1,0)-MATCH($K$1,[1]character_type_i18n!$1:$1,0)+1),MATCH(L$1,[1]character_type_i18n!$1:$1,0)-MATCH($K$1,[1]character_type_i18n!$1:$1,0)+1,FALSE)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74" s="105" t="s">
        <v>1011</v>
      </c>
      <c r="N1074" s="107" t="str">
        <f>VLOOKUP(M1074,[1]character_tribe_i18n!A:C,3,FALSE)</f>
        <v>ヒューマン</v>
      </c>
      <c r="O1074" s="105" t="s">
        <v>313</v>
      </c>
      <c r="P1074" s="107" t="str">
        <f>VLOOKUP(O1074,[1]character_tribe_i18n!A:C,3,FALSE)</f>
        <v>アニマル</v>
      </c>
      <c r="Q1074" s="110" t="s">
        <v>279</v>
      </c>
      <c r="R1074" s="111">
        <v>3</v>
      </c>
      <c r="S1074" s="108" t="s">
        <v>280</v>
      </c>
      <c r="T1074" s="108" t="s">
        <v>3236</v>
      </c>
      <c r="U1074" s="108" t="s">
        <v>280</v>
      </c>
      <c r="V1074" s="108" t="s">
        <v>280</v>
      </c>
      <c r="W1074" s="108" t="s">
        <v>280</v>
      </c>
    </row>
    <row r="1075" spans="1:23" ht="21" customHeight="1" x14ac:dyDescent="0.15">
      <c r="A1075" s="104">
        <f t="shared" si="16"/>
        <v>1074</v>
      </c>
      <c r="B1075" s="105" t="s">
        <v>268</v>
      </c>
      <c r="C1075" s="174" t="s">
        <v>3251</v>
      </c>
      <c r="D1075" s="123" t="s">
        <v>3234</v>
      </c>
      <c r="E1075" s="108" t="s">
        <v>709</v>
      </c>
      <c r="F1075" s="108" t="s">
        <v>532</v>
      </c>
      <c r="G1075" s="108" t="s">
        <v>710</v>
      </c>
      <c r="H1075" s="175" t="s">
        <v>300</v>
      </c>
      <c r="I1075" s="133">
        <v>5</v>
      </c>
      <c r="J1075" s="109" t="s">
        <v>1001</v>
      </c>
      <c r="K1075" s="105" t="s">
        <v>1505</v>
      </c>
      <c r="L1075" s="107" t="str">
        <f ca="1">VLOOKUP($K1075,OFFSET([1]character_type_i18n!$A$1,0,0,COUNTA([1]character_type_i18n!$A:$A),MATCH(L$1,[1]character_type_i18n!$1:$1,0)-MATCH($K$1,[1]character_type_i18n!$1:$1,0)+1),MATCH(L$1,[1]character_type_i18n!$1:$1,0)-MATCH($K$1,[1]character_type_i18n!$1:$1,0)+1,FALSE)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75" s="105" t="s">
        <v>1018</v>
      </c>
      <c r="N1075" s="107" t="str">
        <f>VLOOKUP(M1075,[1]character_tribe_i18n!A:C,3,FALSE)</f>
        <v>ゴッド</v>
      </c>
      <c r="O1075" s="105" t="s">
        <v>1423</v>
      </c>
      <c r="P1075" s="107" t="str">
        <f>VLOOKUP(O1075,[1]character_tribe_i18n!A:C,3,FALSE)</f>
        <v>種族なし</v>
      </c>
      <c r="Q1075" s="110" t="s">
        <v>279</v>
      </c>
      <c r="R1075" s="111">
        <v>3</v>
      </c>
      <c r="S1075" s="108" t="s">
        <v>280</v>
      </c>
      <c r="T1075" s="108" t="s">
        <v>3236</v>
      </c>
      <c r="U1075" s="108" t="s">
        <v>280</v>
      </c>
      <c r="V1075" s="108" t="s">
        <v>280</v>
      </c>
      <c r="W1075" s="108" t="s">
        <v>280</v>
      </c>
    </row>
    <row r="1076" spans="1:23" ht="21" customHeight="1" x14ac:dyDescent="0.15">
      <c r="A1076" s="104">
        <f t="shared" si="16"/>
        <v>1075</v>
      </c>
      <c r="B1076" s="105" t="s">
        <v>268</v>
      </c>
      <c r="C1076" s="174" t="s">
        <v>3252</v>
      </c>
      <c r="D1076" s="123" t="s">
        <v>3234</v>
      </c>
      <c r="E1076" s="108" t="s">
        <v>709</v>
      </c>
      <c r="F1076" s="108" t="s">
        <v>532</v>
      </c>
      <c r="G1076" s="108" t="s">
        <v>710</v>
      </c>
      <c r="H1076" s="175" t="s">
        <v>300</v>
      </c>
      <c r="I1076" s="133">
        <v>6</v>
      </c>
      <c r="J1076" s="109" t="s">
        <v>1001</v>
      </c>
      <c r="K1076" s="105" t="s">
        <v>1505</v>
      </c>
      <c r="L1076" s="107" t="str">
        <f ca="1">VLOOKUP($K1076,OFFSET([1]character_type_i18n!$A$1,0,0,COUNTA([1]character_type_i18n!$A:$A),MATCH(L$1,[1]character_type_i18n!$1:$1,0)-MATCH($K$1,[1]character_type_i18n!$1:$1,0)+1),MATCH(L$1,[1]character_type_i18n!$1:$1,0)-MATCH($K$1,[1]character_type_i18n!$1:$1,0)+1,FALSE)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76" s="105" t="s">
        <v>1018</v>
      </c>
      <c r="N1076" s="107" t="str">
        <f>VLOOKUP(M1076,[1]character_tribe_i18n!A:C,3,FALSE)</f>
        <v>ゴッド</v>
      </c>
      <c r="O1076" s="105" t="s">
        <v>1423</v>
      </c>
      <c r="P1076" s="107" t="str">
        <f>VLOOKUP(O1076,[1]character_tribe_i18n!A:C,3,FALSE)</f>
        <v>種族なし</v>
      </c>
      <c r="Q1076" s="110" t="s">
        <v>279</v>
      </c>
      <c r="R1076" s="111">
        <v>3</v>
      </c>
      <c r="S1076" s="108" t="s">
        <v>280</v>
      </c>
      <c r="T1076" s="108" t="s">
        <v>3236</v>
      </c>
      <c r="U1076" s="108" t="s">
        <v>280</v>
      </c>
      <c r="V1076" s="108" t="s">
        <v>280</v>
      </c>
      <c r="W1076" s="108" t="s">
        <v>280</v>
      </c>
    </row>
    <row r="1077" spans="1:23" ht="21" customHeight="1" x14ac:dyDescent="0.15">
      <c r="A1077" s="104">
        <f t="shared" si="16"/>
        <v>1076</v>
      </c>
      <c r="B1077" s="105" t="s">
        <v>268</v>
      </c>
      <c r="C1077" s="176" t="s">
        <v>3253</v>
      </c>
      <c r="D1077" s="123" t="s">
        <v>3234</v>
      </c>
      <c r="E1077" s="108" t="s">
        <v>709</v>
      </c>
      <c r="F1077" s="108" t="s">
        <v>532</v>
      </c>
      <c r="G1077" s="108" t="s">
        <v>710</v>
      </c>
      <c r="H1077" s="175" t="s">
        <v>285</v>
      </c>
      <c r="I1077" s="133">
        <v>5</v>
      </c>
      <c r="J1077" s="109" t="s">
        <v>1180</v>
      </c>
      <c r="K1077" s="105" t="s">
        <v>1008</v>
      </c>
      <c r="L1077" s="107" t="str">
        <f ca="1">VLOOKUP($K1077,OFFSET([1]character_type_i18n!$A$1,0,0,COUNTA([1]character_type_i18n!$A:$A),MATCH(L$1,[1]character_type_i18n!$1:$1,0)-MATCH($K$1,[1]character_type_i18n!$1:$1,0)+1),MATCH(L$1,[1]character_type_i18n!$1:$1,0)-MATCH($K$1,[1]character_type_i18n!$1:$1,0)+1,FALSE)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77" s="105" t="s">
        <v>1987</v>
      </c>
      <c r="N1077" s="107" t="str">
        <f>VLOOKUP(M1077,[1]character_tribe_i18n!A:C,3,FALSE)</f>
        <v>アカデミア</v>
      </c>
      <c r="O1077" s="105" t="s">
        <v>1164</v>
      </c>
      <c r="P1077" s="107" t="str">
        <f>VLOOKUP(O1077,[1]character_tribe_i18n!A:C,3,FALSE)</f>
        <v>Unknown</v>
      </c>
      <c r="Q1077" s="110" t="s">
        <v>279</v>
      </c>
      <c r="R1077" s="111">
        <v>3</v>
      </c>
      <c r="S1077" s="108" t="s">
        <v>280</v>
      </c>
      <c r="T1077" s="108" t="s">
        <v>3236</v>
      </c>
      <c r="U1077" s="108" t="s">
        <v>280</v>
      </c>
      <c r="V1077" s="108" t="s">
        <v>280</v>
      </c>
      <c r="W1077" s="108" t="s">
        <v>280</v>
      </c>
    </row>
    <row r="1078" spans="1:23" ht="21" customHeight="1" x14ac:dyDescent="0.15">
      <c r="A1078" s="104">
        <f t="shared" si="16"/>
        <v>1077</v>
      </c>
      <c r="B1078" s="105" t="s">
        <v>268</v>
      </c>
      <c r="C1078" s="176" t="s">
        <v>3254</v>
      </c>
      <c r="D1078" s="123" t="s">
        <v>3234</v>
      </c>
      <c r="E1078" s="108" t="s">
        <v>709</v>
      </c>
      <c r="F1078" s="108" t="s">
        <v>532</v>
      </c>
      <c r="G1078" s="108" t="s">
        <v>710</v>
      </c>
      <c r="H1078" s="175" t="s">
        <v>285</v>
      </c>
      <c r="I1078" s="133">
        <v>6</v>
      </c>
      <c r="J1078" s="109" t="s">
        <v>1180</v>
      </c>
      <c r="K1078" s="105" t="s">
        <v>1008</v>
      </c>
      <c r="L1078" s="107" t="str">
        <f ca="1">VLOOKUP($K1078,OFFSET([1]character_type_i18n!$A$1,0,0,COUNTA([1]character_type_i18n!$A:$A),MATCH(L$1,[1]character_type_i18n!$1:$1,0)-MATCH($K$1,[1]character_type_i18n!$1:$1,0)+1),MATCH(L$1,[1]character_type_i18n!$1:$1,0)-MATCH($K$1,[1]character_type_i18n!$1:$1,0)+1,FALSE)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78" s="105" t="s">
        <v>1987</v>
      </c>
      <c r="N1078" s="107" t="str">
        <f>VLOOKUP(M1078,[1]character_tribe_i18n!A:C,3,FALSE)</f>
        <v>アカデミア</v>
      </c>
      <c r="O1078" s="105" t="s">
        <v>1164</v>
      </c>
      <c r="P1078" s="107" t="str">
        <f>VLOOKUP(O1078,[1]character_tribe_i18n!A:C,3,FALSE)</f>
        <v>Unknown</v>
      </c>
      <c r="Q1078" s="110" t="s">
        <v>279</v>
      </c>
      <c r="R1078" s="111">
        <v>3</v>
      </c>
      <c r="S1078" s="108" t="s">
        <v>280</v>
      </c>
      <c r="T1078" s="108" t="s">
        <v>3236</v>
      </c>
      <c r="U1078" s="108" t="s">
        <v>280</v>
      </c>
      <c r="V1078" s="108" t="s">
        <v>280</v>
      </c>
      <c r="W1078" s="108" t="s">
        <v>280</v>
      </c>
    </row>
    <row r="1079" spans="1:23" ht="21" customHeight="1" x14ac:dyDescent="0.15">
      <c r="A1079" s="104">
        <f t="shared" si="16"/>
        <v>1078</v>
      </c>
      <c r="B1079" s="105" t="s">
        <v>268</v>
      </c>
      <c r="C1079" s="177" t="s">
        <v>3255</v>
      </c>
      <c r="D1079" s="123" t="s">
        <v>3234</v>
      </c>
      <c r="E1079" s="108" t="s">
        <v>709</v>
      </c>
      <c r="F1079" s="108" t="s">
        <v>532</v>
      </c>
      <c r="G1079" s="108" t="s">
        <v>710</v>
      </c>
      <c r="H1079" s="175" t="s">
        <v>285</v>
      </c>
      <c r="I1079" s="133">
        <v>6</v>
      </c>
      <c r="J1079" s="109" t="s">
        <v>1180</v>
      </c>
      <c r="K1079" s="105" t="s">
        <v>1505</v>
      </c>
      <c r="L1079" s="107" t="str">
        <f ca="1">VLOOKUP($K1079,OFFSET([1]character_type_i18n!$A$1,0,0,COUNTA([1]character_type_i18n!$A:$A),MATCH(L$1,[1]character_type_i18n!$1:$1,0)-MATCH($K$1,[1]character_type_i18n!$1:$1,0)+1),MATCH(L$1,[1]character_type_i18n!$1:$1,0)-MATCH($K$1,[1]character_type_i18n!$1:$1,0)+1,FALSE)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79" s="105" t="s">
        <v>1987</v>
      </c>
      <c r="N1079" s="107" t="str">
        <f>VLOOKUP(M1079,[1]character_tribe_i18n!A:C,3,FALSE)</f>
        <v>アカデミア</v>
      </c>
      <c r="O1079" s="105" t="s">
        <v>1164</v>
      </c>
      <c r="P1079" s="107" t="str">
        <f>VLOOKUP(O1079,[1]character_tribe_i18n!A:C,3,FALSE)</f>
        <v>Unknown</v>
      </c>
      <c r="Q1079" s="110" t="s">
        <v>279</v>
      </c>
      <c r="R1079" s="111">
        <v>1</v>
      </c>
      <c r="S1079" s="108" t="s">
        <v>280</v>
      </c>
      <c r="T1079" s="108" t="s">
        <v>3236</v>
      </c>
      <c r="U1079" s="108" t="s">
        <v>280</v>
      </c>
      <c r="V1079" s="108" t="s">
        <v>280</v>
      </c>
      <c r="W1079" s="108" t="s">
        <v>280</v>
      </c>
    </row>
    <row r="1080" spans="1:23" ht="21" customHeight="1" x14ac:dyDescent="0.15">
      <c r="A1080" s="104">
        <v>1079</v>
      </c>
      <c r="B1080" s="105" t="s">
        <v>268</v>
      </c>
      <c r="C1080" s="121" t="s">
        <v>3256</v>
      </c>
      <c r="D1080" s="123" t="s">
        <v>1467</v>
      </c>
      <c r="E1080" s="108" t="s">
        <v>554</v>
      </c>
      <c r="F1080" s="114" t="s">
        <v>272</v>
      </c>
      <c r="G1080" s="114" t="s">
        <v>273</v>
      </c>
      <c r="H1080" s="105" t="s">
        <v>536</v>
      </c>
      <c r="I1080" s="115">
        <v>6</v>
      </c>
      <c r="J1080" s="115" t="s">
        <v>537</v>
      </c>
      <c r="K1080" s="105" t="s">
        <v>538</v>
      </c>
      <c r="L1080" s="107" t="str">
        <f ca="1">VLOOKUP($K1080,OFFSET([1]character_type_i18n!$A$1,0,0,COUNTA([1]character_type_i18n!$A:$A),MATCH(L$1,[1]character_type_i18n!$1:$1,0)-MATCH($K$1,[1]character_type_i18n!$1:$1,0)+1),MATCH(L$1,[1]character_type_i18n!$1:$1,0)-MATCH($K$1,[1]character_type_i18n!$1:$1,0)+1,FALSE)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80" s="105" t="s">
        <v>277</v>
      </c>
      <c r="N1080" s="107" t="str">
        <f>VLOOKUP(M1080,[1]character_tribe_i18n!A:C,3,FALSE)</f>
        <v>Unknown</v>
      </c>
      <c r="O1080" s="105" t="s">
        <v>278</v>
      </c>
      <c r="P1080" s="107" t="str">
        <f>VLOOKUP(O1080,[1]character_tribe_i18n!A:C,3,FALSE)</f>
        <v>種族なし</v>
      </c>
      <c r="Q1080" s="110" t="s">
        <v>539</v>
      </c>
      <c r="R1080" s="178">
        <v>3</v>
      </c>
      <c r="S1080" s="108" t="s">
        <v>280</v>
      </c>
      <c r="T1080" s="108" t="s">
        <v>3236</v>
      </c>
      <c r="U1080" s="108" t="s">
        <v>280</v>
      </c>
      <c r="V1080" s="108" t="s">
        <v>280</v>
      </c>
      <c r="W1080" s="108" t="s">
        <v>280</v>
      </c>
    </row>
    <row r="1081" spans="1:23" ht="21" customHeight="1" x14ac:dyDescent="0.15">
      <c r="A1081" s="104">
        <v>1080</v>
      </c>
      <c r="B1081" s="105" t="s">
        <v>268</v>
      </c>
      <c r="C1081" s="121" t="s">
        <v>3257</v>
      </c>
      <c r="D1081" s="123" t="s">
        <v>1467</v>
      </c>
      <c r="E1081" s="108" t="s">
        <v>554</v>
      </c>
      <c r="F1081" s="114" t="s">
        <v>272</v>
      </c>
      <c r="G1081" s="114" t="s">
        <v>273</v>
      </c>
      <c r="H1081" s="105" t="s">
        <v>614</v>
      </c>
      <c r="I1081" s="115">
        <v>6</v>
      </c>
      <c r="J1081" s="115" t="s">
        <v>537</v>
      </c>
      <c r="K1081" s="105" t="s">
        <v>538</v>
      </c>
      <c r="L1081" s="107" t="str">
        <f ca="1">VLOOKUP($K1081,OFFSET([1]character_type_i18n!$A$1,0,0,COUNTA([1]character_type_i18n!$A:$A),MATCH(L$1,[1]character_type_i18n!$1:$1,0)-MATCH($K$1,[1]character_type_i18n!$1:$1,0)+1),MATCH(L$1,[1]character_type_i18n!$1:$1,0)-MATCH($K$1,[1]character_type_i18n!$1:$1,0)+1,FALSE)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81" s="105" t="s">
        <v>277</v>
      </c>
      <c r="N1081" s="107" t="str">
        <f>VLOOKUP(M1081,[1]character_tribe_i18n!A:C,3,FALSE)</f>
        <v>Unknown</v>
      </c>
      <c r="O1081" s="105" t="s">
        <v>278</v>
      </c>
      <c r="P1081" s="107" t="str">
        <f>VLOOKUP(O1081,[1]character_tribe_i18n!A:C,3,FALSE)</f>
        <v>種族なし</v>
      </c>
      <c r="Q1081" s="110" t="s">
        <v>539</v>
      </c>
      <c r="R1081" s="178">
        <v>3</v>
      </c>
      <c r="S1081" s="108" t="s">
        <v>280</v>
      </c>
      <c r="T1081" s="108" t="s">
        <v>3236</v>
      </c>
      <c r="U1081" s="108" t="s">
        <v>280</v>
      </c>
      <c r="V1081" s="108" t="s">
        <v>280</v>
      </c>
      <c r="W1081" s="108" t="s">
        <v>280</v>
      </c>
    </row>
    <row r="1082" spans="1:23" ht="21" customHeight="1" x14ac:dyDescent="0.15">
      <c r="A1082" s="104">
        <v>1081</v>
      </c>
      <c r="B1082" s="105" t="s">
        <v>268</v>
      </c>
      <c r="C1082" s="121" t="s">
        <v>3258</v>
      </c>
      <c r="D1082" s="123" t="s">
        <v>1467</v>
      </c>
      <c r="E1082" s="108" t="s">
        <v>554</v>
      </c>
      <c r="F1082" s="114" t="s">
        <v>272</v>
      </c>
      <c r="G1082" s="114" t="s">
        <v>273</v>
      </c>
      <c r="H1082" s="105" t="s">
        <v>618</v>
      </c>
      <c r="I1082" s="115">
        <v>6</v>
      </c>
      <c r="J1082" s="115" t="s">
        <v>537</v>
      </c>
      <c r="K1082" s="105" t="s">
        <v>538</v>
      </c>
      <c r="L1082" s="107" t="str">
        <f ca="1">VLOOKUP($K1082,OFFSET([1]character_type_i18n!$A$1,0,0,COUNTA([1]character_type_i18n!$A:$A),MATCH(L$1,[1]character_type_i18n!$1:$1,0)-MATCH($K$1,[1]character_type_i18n!$1:$1,0)+1),MATCH(L$1,[1]character_type_i18n!$1:$1,0)-MATCH($K$1,[1]character_type_i18n!$1:$1,0)+1,FALSE)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82" s="105" t="s">
        <v>277</v>
      </c>
      <c r="N1082" s="107" t="str">
        <f>VLOOKUP(M1082,[1]character_tribe_i18n!A:C,3,FALSE)</f>
        <v>Unknown</v>
      </c>
      <c r="O1082" s="105" t="s">
        <v>278</v>
      </c>
      <c r="P1082" s="107" t="str">
        <f>VLOOKUP(O1082,[1]character_tribe_i18n!A:C,3,FALSE)</f>
        <v>種族なし</v>
      </c>
      <c r="Q1082" s="110" t="s">
        <v>539</v>
      </c>
      <c r="R1082" s="178">
        <v>3</v>
      </c>
      <c r="S1082" s="108" t="s">
        <v>280</v>
      </c>
      <c r="T1082" s="108" t="s">
        <v>3236</v>
      </c>
      <c r="U1082" s="108" t="s">
        <v>280</v>
      </c>
      <c r="V1082" s="108" t="s">
        <v>280</v>
      </c>
      <c r="W1082" s="108" t="s">
        <v>280</v>
      </c>
    </row>
    <row r="1083" spans="1:23" ht="21" customHeight="1" x14ac:dyDescent="0.15">
      <c r="A1083" s="104">
        <v>1082</v>
      </c>
      <c r="B1083" s="105" t="s">
        <v>268</v>
      </c>
      <c r="C1083" s="121" t="s">
        <v>3259</v>
      </c>
      <c r="D1083" s="123" t="s">
        <v>1467</v>
      </c>
      <c r="E1083" s="108" t="s">
        <v>554</v>
      </c>
      <c r="F1083" s="114" t="s">
        <v>272</v>
      </c>
      <c r="G1083" s="114" t="s">
        <v>273</v>
      </c>
      <c r="H1083" s="105" t="s">
        <v>1106</v>
      </c>
      <c r="I1083" s="115">
        <v>6</v>
      </c>
      <c r="J1083" s="115" t="s">
        <v>537</v>
      </c>
      <c r="K1083" s="105" t="s">
        <v>538</v>
      </c>
      <c r="L1083" s="107" t="str">
        <f ca="1">VLOOKUP($K1083,OFFSET([1]character_type_i18n!$A$1,0,0,COUNTA([1]character_type_i18n!$A:$A),MATCH(L$1,[1]character_type_i18n!$1:$1,0)-MATCH($K$1,[1]character_type_i18n!$1:$1,0)+1),MATCH(L$1,[1]character_type_i18n!$1:$1,0)-MATCH($K$1,[1]character_type_i18n!$1:$1,0)+1,FALSE)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83" s="105" t="s">
        <v>277</v>
      </c>
      <c r="N1083" s="107" t="str">
        <f>VLOOKUP(M1083,[1]character_tribe_i18n!A:C,3,FALSE)</f>
        <v>Unknown</v>
      </c>
      <c r="O1083" s="105" t="s">
        <v>278</v>
      </c>
      <c r="P1083" s="107" t="str">
        <f>VLOOKUP(O1083,[1]character_tribe_i18n!A:C,3,FALSE)</f>
        <v>種族なし</v>
      </c>
      <c r="Q1083" s="110" t="s">
        <v>539</v>
      </c>
      <c r="R1083" s="178">
        <v>3</v>
      </c>
      <c r="S1083" s="108" t="s">
        <v>280</v>
      </c>
      <c r="T1083" s="108" t="s">
        <v>281</v>
      </c>
      <c r="U1083" s="108" t="s">
        <v>280</v>
      </c>
      <c r="V1083" s="108" t="s">
        <v>280</v>
      </c>
      <c r="W1083" s="108" t="s">
        <v>280</v>
      </c>
    </row>
    <row r="1084" spans="1:23" ht="21" customHeight="1" x14ac:dyDescent="0.15">
      <c r="A1084" s="104">
        <v>1083</v>
      </c>
      <c r="B1084" s="105" t="s">
        <v>268</v>
      </c>
      <c r="C1084" s="133" t="s">
        <v>3260</v>
      </c>
      <c r="D1084" s="123" t="s">
        <v>1467</v>
      </c>
      <c r="E1084" s="108" t="s">
        <v>554</v>
      </c>
      <c r="F1084" s="114" t="s">
        <v>272</v>
      </c>
      <c r="G1084" s="114" t="s">
        <v>273</v>
      </c>
      <c r="H1084" s="175" t="s">
        <v>300</v>
      </c>
      <c r="I1084" s="133">
        <v>5</v>
      </c>
      <c r="J1084" s="109" t="s">
        <v>3261</v>
      </c>
      <c r="K1084" s="105" t="s">
        <v>1166</v>
      </c>
      <c r="L1084" s="107" t="str">
        <f ca="1">VLOOKUP($K1084,OFFSET([1]character_type_i18n!$A$1,0,0,COUNTA([1]character_type_i18n!$A:$A),MATCH(L$1,[1]character_type_i18n!$1:$1,0)-MATCH($K$1,[1]character_type_i18n!$1:$1,0)+1),MATCH(L$1,[1]character_type_i18n!$1:$1,0)-MATCH($K$1,[1]character_type_i18n!$1:$1,0)+1,FALSE)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84" s="105" t="s">
        <v>2059</v>
      </c>
      <c r="N1084" s="107" t="str">
        <f>VLOOKUP(M1084,[1]character_tribe_i18n!A:C,3,FALSE)</f>
        <v>ゴッド</v>
      </c>
      <c r="O1084" s="105" t="s">
        <v>277</v>
      </c>
      <c r="P1084" s="107" t="str">
        <f>VLOOKUP(O1084,[1]character_tribe_i18n!A:C,3,FALSE)</f>
        <v>Unknown</v>
      </c>
      <c r="Q1084" s="110" t="s">
        <v>279</v>
      </c>
      <c r="R1084" s="178">
        <v>3</v>
      </c>
      <c r="S1084" s="108" t="s">
        <v>280</v>
      </c>
      <c r="T1084" s="108" t="s">
        <v>281</v>
      </c>
      <c r="U1084" s="108" t="s">
        <v>280</v>
      </c>
      <c r="V1084" s="108" t="s">
        <v>280</v>
      </c>
      <c r="W1084" s="108" t="s">
        <v>280</v>
      </c>
    </row>
    <row r="1085" spans="1:23" ht="21" customHeight="1" x14ac:dyDescent="0.15">
      <c r="A1085" s="104">
        <v>1084</v>
      </c>
      <c r="B1085" s="105" t="s">
        <v>268</v>
      </c>
      <c r="C1085" s="133" t="s">
        <v>3262</v>
      </c>
      <c r="D1085" s="123" t="s">
        <v>1467</v>
      </c>
      <c r="E1085" s="108" t="s">
        <v>554</v>
      </c>
      <c r="F1085" s="114" t="s">
        <v>272</v>
      </c>
      <c r="G1085" s="114" t="s">
        <v>273</v>
      </c>
      <c r="H1085" s="175" t="s">
        <v>300</v>
      </c>
      <c r="I1085" s="133">
        <v>6</v>
      </c>
      <c r="J1085" s="109" t="s">
        <v>3261</v>
      </c>
      <c r="K1085" s="105" t="s">
        <v>1166</v>
      </c>
      <c r="L1085" s="107" t="str">
        <f ca="1">VLOOKUP($K1085,OFFSET([1]character_type_i18n!$A$1,0,0,COUNTA([1]character_type_i18n!$A:$A),MATCH(L$1,[1]character_type_i18n!$1:$1,0)-MATCH($K$1,[1]character_type_i18n!$1:$1,0)+1),MATCH(L$1,[1]character_type_i18n!$1:$1,0)-MATCH($K$1,[1]character_type_i18n!$1:$1,0)+1,FALSE)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85" s="105" t="s">
        <v>2059</v>
      </c>
      <c r="N1085" s="107" t="str">
        <f>VLOOKUP(M1085,[1]character_tribe_i18n!A:C,3,FALSE)</f>
        <v>ゴッド</v>
      </c>
      <c r="O1085" s="105" t="s">
        <v>277</v>
      </c>
      <c r="P1085" s="107" t="str">
        <f>VLOOKUP(O1085,[1]character_tribe_i18n!A:C,3,FALSE)</f>
        <v>Unknown</v>
      </c>
      <c r="Q1085" s="110" t="s">
        <v>279</v>
      </c>
      <c r="R1085" s="178">
        <v>3</v>
      </c>
      <c r="S1085" s="108" t="s">
        <v>280</v>
      </c>
      <c r="T1085" s="108" t="s">
        <v>281</v>
      </c>
      <c r="U1085" s="108" t="s">
        <v>280</v>
      </c>
      <c r="V1085" s="108" t="s">
        <v>280</v>
      </c>
      <c r="W1085" s="108" t="s">
        <v>280</v>
      </c>
    </row>
    <row r="1086" spans="1:23" ht="21" customHeight="1" x14ac:dyDescent="0.15">
      <c r="A1086" s="104">
        <v>1085</v>
      </c>
      <c r="B1086" s="105" t="s">
        <v>268</v>
      </c>
      <c r="C1086" s="179" t="s">
        <v>3263</v>
      </c>
      <c r="D1086" s="123" t="s">
        <v>1467</v>
      </c>
      <c r="E1086" s="108" t="s">
        <v>554</v>
      </c>
      <c r="F1086" s="114" t="s">
        <v>272</v>
      </c>
      <c r="G1086" s="114" t="s">
        <v>273</v>
      </c>
      <c r="H1086" s="175" t="s">
        <v>300</v>
      </c>
      <c r="I1086" s="133">
        <v>6</v>
      </c>
      <c r="J1086" s="109" t="s">
        <v>3261</v>
      </c>
      <c r="K1086" s="105" t="s">
        <v>1441</v>
      </c>
      <c r="L1086" s="107" t="str">
        <f ca="1">VLOOKUP($K1086,OFFSET([1]character_type_i18n!$A$1,0,0,COUNTA([1]character_type_i18n!$A:$A),MATCH(L$1,[1]character_type_i18n!$1:$1,0)-MATCH($K$1,[1]character_type_i18n!$1:$1,0)+1),MATCH(L$1,[1]character_type_i18n!$1:$1,0)-MATCH($K$1,[1]character_type_i18n!$1:$1,0)+1,FALSE)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86" s="105" t="s">
        <v>1987</v>
      </c>
      <c r="N1086" s="107" t="str">
        <f>VLOOKUP(M1086,[1]character_tribe_i18n!A:C,3,FALSE)</f>
        <v>アカデミア</v>
      </c>
      <c r="O1086" s="105" t="s">
        <v>278</v>
      </c>
      <c r="P1086" s="107" t="str">
        <f>VLOOKUP(O1086,[1]character_tribe_i18n!A:C,3,FALSE)</f>
        <v>種族なし</v>
      </c>
      <c r="Q1086" s="110" t="s">
        <v>279</v>
      </c>
      <c r="R1086" s="178">
        <v>1</v>
      </c>
      <c r="S1086" s="108" t="s">
        <v>280</v>
      </c>
      <c r="T1086" s="108" t="s">
        <v>2950</v>
      </c>
      <c r="U1086" s="108" t="s">
        <v>280</v>
      </c>
      <c r="V1086" s="108" t="s">
        <v>280</v>
      </c>
      <c r="W1086" s="108" t="s">
        <v>280</v>
      </c>
    </row>
    <row r="1087" spans="1:23" ht="21" customHeight="1" x14ac:dyDescent="0.15">
      <c r="A1087" s="104">
        <v>1086</v>
      </c>
      <c r="B1087" s="105" t="s">
        <v>268</v>
      </c>
      <c r="C1087" s="179" t="s">
        <v>3264</v>
      </c>
      <c r="D1087" s="123" t="s">
        <v>1467</v>
      </c>
      <c r="E1087" s="108" t="s">
        <v>554</v>
      </c>
      <c r="F1087" s="114" t="s">
        <v>272</v>
      </c>
      <c r="G1087" s="114" t="s">
        <v>273</v>
      </c>
      <c r="H1087" s="180" t="s">
        <v>274</v>
      </c>
      <c r="I1087" s="133">
        <v>5</v>
      </c>
      <c r="J1087" s="115" t="s">
        <v>2422</v>
      </c>
      <c r="K1087" s="105" t="s">
        <v>1780</v>
      </c>
      <c r="L1087" s="107" t="str">
        <f ca="1">VLOOKUP($K1087,OFFSET([1]character_type_i18n!$A$1,0,0,COUNTA([1]character_type_i18n!$A:$A),MATCH(L$1,[1]character_type_i18n!$1:$1,0)-MATCH($K$1,[1]character_type_i18n!$1:$1,0)+1),MATCH(L$1,[1]character_type_i18n!$1:$1,0)-MATCH($K$1,[1]character_type_i18n!$1:$1,0)+1,FALSE)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87" s="105" t="s">
        <v>277</v>
      </c>
      <c r="N1087" s="107" t="str">
        <f>VLOOKUP(M1087,[1]character_tribe_i18n!A:C,3,FALSE)</f>
        <v>Unknown</v>
      </c>
      <c r="O1087" s="105" t="s">
        <v>278</v>
      </c>
      <c r="P1087" s="107" t="str">
        <f>VLOOKUP(O1087,[1]character_tribe_i18n!A:C,3,FALSE)</f>
        <v>種族なし</v>
      </c>
      <c r="Q1087" s="110" t="s">
        <v>279</v>
      </c>
      <c r="R1087" s="178">
        <v>1</v>
      </c>
      <c r="S1087" s="108" t="s">
        <v>280</v>
      </c>
      <c r="T1087" s="108" t="s">
        <v>281</v>
      </c>
      <c r="U1087" s="108" t="s">
        <v>280</v>
      </c>
      <c r="V1087" s="108" t="s">
        <v>280</v>
      </c>
      <c r="W1087" s="108" t="s">
        <v>280</v>
      </c>
    </row>
    <row r="1088" spans="1:23" ht="21" customHeight="1" x14ac:dyDescent="0.15">
      <c r="A1088" s="104">
        <v>1087</v>
      </c>
      <c r="B1088" s="105" t="s">
        <v>268</v>
      </c>
      <c r="C1088" s="179" t="s">
        <v>3264</v>
      </c>
      <c r="D1088" s="123" t="s">
        <v>1467</v>
      </c>
      <c r="E1088" s="108" t="s">
        <v>554</v>
      </c>
      <c r="F1088" s="114" t="s">
        <v>272</v>
      </c>
      <c r="G1088" s="114" t="s">
        <v>273</v>
      </c>
      <c r="H1088" s="180" t="s">
        <v>274</v>
      </c>
      <c r="I1088" s="133">
        <v>6</v>
      </c>
      <c r="J1088" s="115" t="s">
        <v>2422</v>
      </c>
      <c r="K1088" s="105" t="s">
        <v>1780</v>
      </c>
      <c r="L1088" s="107" t="str">
        <f ca="1">VLOOKUP($K1088,OFFSET([1]character_type_i18n!$A$1,0,0,COUNTA([1]character_type_i18n!$A:$A),MATCH(L$1,[1]character_type_i18n!$1:$1,0)-MATCH($K$1,[1]character_type_i18n!$1:$1,0)+1),MATCH(L$1,[1]character_type_i18n!$1:$1,0)-MATCH($K$1,[1]character_type_i18n!$1:$1,0)+1,FALSE)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88" s="105" t="s">
        <v>277</v>
      </c>
      <c r="N1088" s="107" t="str">
        <f>VLOOKUP(M1088,[1]character_tribe_i18n!A:C,3,FALSE)</f>
        <v>Unknown</v>
      </c>
      <c r="O1088" s="105" t="s">
        <v>278</v>
      </c>
      <c r="P1088" s="107" t="str">
        <f>VLOOKUP(O1088,[1]character_tribe_i18n!A:C,3,FALSE)</f>
        <v>種族なし</v>
      </c>
      <c r="Q1088" s="110" t="s">
        <v>279</v>
      </c>
      <c r="R1088" s="178">
        <v>1</v>
      </c>
      <c r="S1088" s="108" t="s">
        <v>280</v>
      </c>
      <c r="T1088" s="108" t="s">
        <v>281</v>
      </c>
      <c r="U1088" s="108" t="s">
        <v>280</v>
      </c>
      <c r="V1088" s="108" t="s">
        <v>280</v>
      </c>
      <c r="W1088" s="108" t="s">
        <v>280</v>
      </c>
    </row>
    <row r="1089" spans="1:23" ht="21" customHeight="1" x14ac:dyDescent="0.15">
      <c r="A1089" s="104">
        <v>1088</v>
      </c>
      <c r="B1089" s="105" t="s">
        <v>268</v>
      </c>
      <c r="C1089" s="133" t="s">
        <v>3265</v>
      </c>
      <c r="D1089" s="123" t="s">
        <v>1467</v>
      </c>
      <c r="E1089" s="108" t="s">
        <v>554</v>
      </c>
      <c r="F1089" s="114" t="s">
        <v>272</v>
      </c>
      <c r="G1089" s="114" t="s">
        <v>273</v>
      </c>
      <c r="H1089" s="180" t="s">
        <v>285</v>
      </c>
      <c r="I1089" s="133">
        <v>5</v>
      </c>
      <c r="J1089" s="115" t="s">
        <v>1856</v>
      </c>
      <c r="K1089" s="105" t="s">
        <v>1166</v>
      </c>
      <c r="L1089" s="107" t="str">
        <f ca="1">VLOOKUP($K1089,OFFSET([1]character_type_i18n!$A$1,0,0,COUNTA([1]character_type_i18n!$A:$A),MATCH(L$1,[1]character_type_i18n!$1:$1,0)-MATCH($K$1,[1]character_type_i18n!$1:$1,0)+1),MATCH(L$1,[1]character_type_i18n!$1:$1,0)-MATCH($K$1,[1]character_type_i18n!$1:$1,0)+1,FALSE)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89" s="105" t="s">
        <v>277</v>
      </c>
      <c r="N1089" s="107" t="str">
        <f>VLOOKUP(M1089,[1]character_tribe_i18n!A:C,3,FALSE)</f>
        <v>Unknown</v>
      </c>
      <c r="O1089" s="105" t="s">
        <v>278</v>
      </c>
      <c r="P1089" s="107" t="str">
        <f>VLOOKUP(O1089,[1]character_tribe_i18n!A:C,3,FALSE)</f>
        <v>種族なし</v>
      </c>
      <c r="Q1089" s="110" t="s">
        <v>279</v>
      </c>
      <c r="R1089" s="178">
        <v>3</v>
      </c>
      <c r="S1089" s="108" t="s">
        <v>280</v>
      </c>
      <c r="T1089" s="108" t="s">
        <v>281</v>
      </c>
      <c r="U1089" s="108" t="s">
        <v>280</v>
      </c>
      <c r="V1089" s="108" t="s">
        <v>280</v>
      </c>
      <c r="W1089" s="108" t="s">
        <v>280</v>
      </c>
    </row>
    <row r="1090" spans="1:23" ht="21" customHeight="1" x14ac:dyDescent="0.15">
      <c r="A1090" s="104">
        <v>1089</v>
      </c>
      <c r="B1090" s="105" t="s">
        <v>3090</v>
      </c>
      <c r="C1090" s="133" t="s">
        <v>3266</v>
      </c>
      <c r="D1090" s="123" t="s">
        <v>1467</v>
      </c>
      <c r="E1090" s="108" t="s">
        <v>554</v>
      </c>
      <c r="F1090" s="114" t="s">
        <v>272</v>
      </c>
      <c r="G1090" s="114" t="s">
        <v>273</v>
      </c>
      <c r="H1090" s="180" t="s">
        <v>285</v>
      </c>
      <c r="I1090" s="133">
        <v>6</v>
      </c>
      <c r="J1090" s="115" t="s">
        <v>1894</v>
      </c>
      <c r="K1090" s="105" t="s">
        <v>3267</v>
      </c>
      <c r="L1090" s="107" t="str">
        <f ca="1">VLOOKUP($K1090,OFFSET([1]character_type_i18n!$A$1,0,0,COUNTA([1]character_type_i18n!$A:$A),MATCH(L$1,[1]character_type_i18n!$1:$1,0)-MATCH($K$1,[1]character_type_i18n!$1:$1,0)+1),MATCH(L$1,[1]character_type_i18n!$1:$1,0)-MATCH($K$1,[1]character_type_i18n!$1:$1,0)+1,FALSE)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0" s="105" t="s">
        <v>277</v>
      </c>
      <c r="N1090" s="107" t="str">
        <f>VLOOKUP(M1090,[1]character_tribe_i18n!A:C,3,FALSE)</f>
        <v>Unknown</v>
      </c>
      <c r="O1090" s="105" t="s">
        <v>278</v>
      </c>
      <c r="P1090" s="107" t="str">
        <f>VLOOKUP(O1090,[1]character_tribe_i18n!A:C,3,FALSE)</f>
        <v>種族なし</v>
      </c>
      <c r="Q1090" s="110" t="s">
        <v>1471</v>
      </c>
      <c r="R1090" s="178">
        <v>3</v>
      </c>
      <c r="S1090" s="108" t="s">
        <v>574</v>
      </c>
      <c r="T1090" s="108" t="s">
        <v>573</v>
      </c>
      <c r="U1090" s="108" t="s">
        <v>574</v>
      </c>
      <c r="V1090" s="108" t="s">
        <v>574</v>
      </c>
      <c r="W1090" s="108" t="s">
        <v>574</v>
      </c>
    </row>
    <row r="1091" spans="1:23" ht="21" customHeight="1" x14ac:dyDescent="0.15">
      <c r="A1091" s="104">
        <v>1090</v>
      </c>
      <c r="B1091" s="105" t="s">
        <v>2401</v>
      </c>
      <c r="C1091" s="179" t="s">
        <v>3268</v>
      </c>
      <c r="D1091" s="123" t="s">
        <v>3268</v>
      </c>
      <c r="E1091" s="108" t="s">
        <v>606</v>
      </c>
      <c r="F1091" s="114" t="s">
        <v>272</v>
      </c>
      <c r="G1091" s="114" t="s">
        <v>273</v>
      </c>
      <c r="H1091" s="180" t="s">
        <v>295</v>
      </c>
      <c r="I1091" s="181">
        <v>5</v>
      </c>
      <c r="J1091" s="115" t="s">
        <v>1894</v>
      </c>
      <c r="K1091" s="105" t="s">
        <v>1679</v>
      </c>
      <c r="L1091" s="107" t="str">
        <f ca="1">VLOOKUP($K1091,OFFSET([1]character_type_i18n!$A$1,0,0,COUNTA([1]character_type_i18n!$A:$A),MATCH(L$1,[1]character_type_i18n!$1:$1,0)-MATCH($K$1,[1]character_type_i18n!$1:$1,0)+1),MATCH(L$1,[1]character_type_i18n!$1:$1,0)-MATCH($K$1,[1]character_type_i18n!$1:$1,0)+1,FALSE)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91" s="105" t="s">
        <v>277</v>
      </c>
      <c r="N1091" s="107" t="str">
        <f>VLOOKUP(M1091,[1]character_tribe_i18n!A:C,3,FALSE)</f>
        <v>Unknown</v>
      </c>
      <c r="O1091" s="105" t="s">
        <v>278</v>
      </c>
      <c r="P1091" s="107" t="str">
        <f>VLOOKUP(O1091,[1]character_tribe_i18n!A:C,3,FALSE)</f>
        <v>種族なし</v>
      </c>
      <c r="Q1091" s="110" t="s">
        <v>301</v>
      </c>
      <c r="R1091" s="178">
        <v>1</v>
      </c>
      <c r="S1091" s="108" t="s">
        <v>302</v>
      </c>
      <c r="T1091" s="108" t="s">
        <v>375</v>
      </c>
      <c r="U1091" s="108" t="s">
        <v>302</v>
      </c>
      <c r="V1091" s="108" t="s">
        <v>302</v>
      </c>
      <c r="W1091" s="108" t="s">
        <v>302</v>
      </c>
    </row>
    <row r="1092" spans="1:23" ht="21" customHeight="1" x14ac:dyDescent="0.15">
      <c r="A1092" s="104">
        <v>1091</v>
      </c>
      <c r="B1092" s="105" t="s">
        <v>303</v>
      </c>
      <c r="C1092" s="179" t="s">
        <v>3269</v>
      </c>
      <c r="D1092" s="123" t="s">
        <v>3269</v>
      </c>
      <c r="E1092" s="108" t="s">
        <v>1078</v>
      </c>
      <c r="F1092" s="114" t="s">
        <v>272</v>
      </c>
      <c r="G1092" s="114" t="s">
        <v>273</v>
      </c>
      <c r="H1092" s="180" t="s">
        <v>295</v>
      </c>
      <c r="I1092" s="133">
        <v>6</v>
      </c>
      <c r="J1092" s="115" t="s">
        <v>1894</v>
      </c>
      <c r="K1092" s="105" t="s">
        <v>1441</v>
      </c>
      <c r="L1092" s="107" t="str">
        <f ca="1">VLOOKUP($K1092,OFFSET([1]character_type_i18n!$A$1,0,0,COUNTA([1]character_type_i18n!$A:$A),MATCH(L$1,[1]character_type_i18n!$1:$1,0)-MATCH($K$1,[1]character_type_i18n!$1:$1,0)+1),MATCH(L$1,[1]character_type_i18n!$1:$1,0)-MATCH($K$1,[1]character_type_i18n!$1:$1,0)+1,FALSE)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92" s="105" t="s">
        <v>277</v>
      </c>
      <c r="N1092" s="107" t="str">
        <f>VLOOKUP(M1092,[1]character_tribe_i18n!A:C,3,FALSE)</f>
        <v>Unknown</v>
      </c>
      <c r="O1092" s="105" t="s">
        <v>278</v>
      </c>
      <c r="P1092" s="107" t="str">
        <f>VLOOKUP(O1092,[1]character_tribe_i18n!A:C,3,FALSE)</f>
        <v>種族なし</v>
      </c>
      <c r="Q1092" s="110" t="s">
        <v>279</v>
      </c>
      <c r="R1092" s="178">
        <v>1</v>
      </c>
      <c r="S1092" s="108" t="s">
        <v>280</v>
      </c>
      <c r="T1092" s="108" t="s">
        <v>1743</v>
      </c>
      <c r="U1092" s="108" t="s">
        <v>1744</v>
      </c>
      <c r="V1092" s="108" t="s">
        <v>894</v>
      </c>
      <c r="W1092" s="108" t="s">
        <v>894</v>
      </c>
    </row>
    <row r="1093" spans="1:23" ht="21" customHeight="1" x14ac:dyDescent="0.15">
      <c r="A1093" s="104">
        <v>1092</v>
      </c>
      <c r="B1093" s="105" t="s">
        <v>1261</v>
      </c>
      <c r="C1093" s="179" t="s">
        <v>3270</v>
      </c>
      <c r="D1093" s="123" t="s">
        <v>3270</v>
      </c>
      <c r="E1093" s="108" t="s">
        <v>3271</v>
      </c>
      <c r="F1093" s="114" t="s">
        <v>272</v>
      </c>
      <c r="G1093" s="114" t="s">
        <v>273</v>
      </c>
      <c r="H1093" s="180" t="s">
        <v>300</v>
      </c>
      <c r="I1093" s="133">
        <v>5</v>
      </c>
      <c r="J1093" s="115" t="s">
        <v>1894</v>
      </c>
      <c r="K1093" s="105" t="s">
        <v>1679</v>
      </c>
      <c r="L1093" s="107" t="str">
        <f ca="1">VLOOKUP($K1093,OFFSET([1]character_type_i18n!$A$1,0,0,COUNTA([1]character_type_i18n!$A:$A),MATCH(L$1,[1]character_type_i18n!$1:$1,0)-MATCH($K$1,[1]character_type_i18n!$1:$1,0)+1),MATCH(L$1,[1]character_type_i18n!$1:$1,0)-MATCH($K$1,[1]character_type_i18n!$1:$1,0)+1,FALSE)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93" s="105" t="s">
        <v>277</v>
      </c>
      <c r="N1093" s="107" t="str">
        <f>VLOOKUP(M1093,[1]character_tribe_i18n!A:C,3,FALSE)</f>
        <v>Unknown</v>
      </c>
      <c r="O1093" s="105" t="s">
        <v>278</v>
      </c>
      <c r="P1093" s="107" t="str">
        <f>VLOOKUP(O1093,[1]character_tribe_i18n!A:C,3,FALSE)</f>
        <v>種族なし</v>
      </c>
      <c r="Q1093" s="110" t="s">
        <v>279</v>
      </c>
      <c r="R1093" s="178">
        <v>1</v>
      </c>
      <c r="S1093" s="108" t="s">
        <v>280</v>
      </c>
      <c r="T1093" s="108" t="s">
        <v>610</v>
      </c>
      <c r="U1093" s="108" t="s">
        <v>611</v>
      </c>
      <c r="V1093" s="108" t="s">
        <v>894</v>
      </c>
      <c r="W1093" s="108" t="s">
        <v>894</v>
      </c>
    </row>
    <row r="1094" spans="1:23" ht="21" customHeight="1" x14ac:dyDescent="0.15">
      <c r="A1094" s="104">
        <v>1093</v>
      </c>
      <c r="B1094" s="105" t="s">
        <v>1261</v>
      </c>
      <c r="C1094" s="179" t="s">
        <v>3270</v>
      </c>
      <c r="D1094" s="123" t="s">
        <v>3270</v>
      </c>
      <c r="E1094" s="108" t="s">
        <v>3271</v>
      </c>
      <c r="F1094" s="114" t="s">
        <v>272</v>
      </c>
      <c r="G1094" s="114" t="s">
        <v>273</v>
      </c>
      <c r="H1094" s="180" t="s">
        <v>300</v>
      </c>
      <c r="I1094" s="133">
        <v>6</v>
      </c>
      <c r="J1094" s="115" t="s">
        <v>1894</v>
      </c>
      <c r="K1094" s="105" t="s">
        <v>1679</v>
      </c>
      <c r="L1094" s="107" t="str">
        <f ca="1">VLOOKUP($K1094,OFFSET([1]character_type_i18n!$A$1,0,0,COUNTA([1]character_type_i18n!$A:$A),MATCH(L$1,[1]character_type_i18n!$1:$1,0)-MATCH($K$1,[1]character_type_i18n!$1:$1,0)+1),MATCH(L$1,[1]character_type_i18n!$1:$1,0)-MATCH($K$1,[1]character_type_i18n!$1:$1,0)+1,FALSE)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94" s="105" t="s">
        <v>277</v>
      </c>
      <c r="N1094" s="107" t="str">
        <f>VLOOKUP(M1094,[1]character_tribe_i18n!A:C,3,FALSE)</f>
        <v>Unknown</v>
      </c>
      <c r="O1094" s="105" t="s">
        <v>278</v>
      </c>
      <c r="P1094" s="107" t="str">
        <f>VLOOKUP(O1094,[1]character_tribe_i18n!A:C,3,FALSE)</f>
        <v>種族なし</v>
      </c>
      <c r="Q1094" s="110" t="s">
        <v>279</v>
      </c>
      <c r="R1094" s="178">
        <v>1</v>
      </c>
      <c r="S1094" s="108" t="s">
        <v>280</v>
      </c>
      <c r="T1094" s="108" t="s">
        <v>3272</v>
      </c>
      <c r="U1094" s="108" t="s">
        <v>3273</v>
      </c>
      <c r="V1094" s="108" t="s">
        <v>894</v>
      </c>
      <c r="W1094" s="108" t="s">
        <v>894</v>
      </c>
    </row>
    <row r="1095" spans="1:23" ht="21" customHeight="1" x14ac:dyDescent="0.15">
      <c r="A1095" s="104">
        <v>1094</v>
      </c>
      <c r="B1095" s="105" t="s">
        <v>1261</v>
      </c>
      <c r="C1095" s="133" t="s">
        <v>3274</v>
      </c>
      <c r="D1095" s="123" t="s">
        <v>3270</v>
      </c>
      <c r="E1095" s="108" t="s">
        <v>3271</v>
      </c>
      <c r="F1095" s="114" t="s">
        <v>272</v>
      </c>
      <c r="G1095" s="114" t="s">
        <v>273</v>
      </c>
      <c r="H1095" s="180" t="s">
        <v>295</v>
      </c>
      <c r="I1095" s="133">
        <v>4</v>
      </c>
      <c r="J1095" s="115" t="s">
        <v>2342</v>
      </c>
      <c r="K1095" s="105" t="s">
        <v>3267</v>
      </c>
      <c r="L1095" s="107" t="str">
        <f ca="1">VLOOKUP($K1095,OFFSET([1]character_type_i18n!$A$1,0,0,COUNTA([1]character_type_i18n!$A:$A),MATCH(L$1,[1]character_type_i18n!$1:$1,0)-MATCH($K$1,[1]character_type_i18n!$1:$1,0)+1),MATCH(L$1,[1]character_type_i18n!$1:$1,0)-MATCH($K$1,[1]character_type_i18n!$1:$1,0)+1,FALSE)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5" s="105" t="s">
        <v>313</v>
      </c>
      <c r="N1095" s="107" t="str">
        <f>VLOOKUP(M1095,[1]character_tribe_i18n!A:C,3,FALSE)</f>
        <v>アニマル</v>
      </c>
      <c r="O1095" s="105" t="s">
        <v>3275</v>
      </c>
      <c r="P1095" s="107" t="str">
        <f>VLOOKUP(O1095,[1]character_tribe_i18n!A:C,3,FALSE)</f>
        <v>Unknown</v>
      </c>
      <c r="Q1095" s="110" t="s">
        <v>1340</v>
      </c>
      <c r="R1095" s="178">
        <v>3</v>
      </c>
      <c r="S1095" s="108" t="s">
        <v>1057</v>
      </c>
      <c r="T1095" s="108" t="s">
        <v>281</v>
      </c>
      <c r="U1095" s="108" t="s">
        <v>280</v>
      </c>
      <c r="V1095" s="108" t="s">
        <v>894</v>
      </c>
      <c r="W1095" s="108" t="s">
        <v>894</v>
      </c>
    </row>
    <row r="1096" spans="1:23" ht="21" customHeight="1" x14ac:dyDescent="0.15">
      <c r="A1096" s="104">
        <v>1095</v>
      </c>
      <c r="B1096" s="105" t="s">
        <v>1261</v>
      </c>
      <c r="C1096" s="133" t="s">
        <v>3276</v>
      </c>
      <c r="D1096" s="123" t="s">
        <v>1467</v>
      </c>
      <c r="E1096" s="108" t="s">
        <v>3277</v>
      </c>
      <c r="F1096" s="114" t="s">
        <v>272</v>
      </c>
      <c r="G1096" s="114" t="s">
        <v>273</v>
      </c>
      <c r="H1096" s="180" t="s">
        <v>295</v>
      </c>
      <c r="I1096" s="133">
        <v>5</v>
      </c>
      <c r="J1096" s="115" t="s">
        <v>2342</v>
      </c>
      <c r="K1096" s="105" t="s">
        <v>3267</v>
      </c>
      <c r="L1096" s="107" t="str">
        <f ca="1">VLOOKUP($K1096,OFFSET([1]character_type_i18n!$A$1,0,0,COUNTA([1]character_type_i18n!$A:$A),MATCH(L$1,[1]character_type_i18n!$1:$1,0)-MATCH($K$1,[1]character_type_i18n!$1:$1,0)+1),MATCH(L$1,[1]character_type_i18n!$1:$1,0)-MATCH($K$1,[1]character_type_i18n!$1:$1,0)+1,FALSE)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6" s="105" t="s">
        <v>3278</v>
      </c>
      <c r="N1096" s="107" t="str">
        <f>VLOOKUP(M1096,[1]character_tribe_i18n!A:C,3,FALSE)</f>
        <v>アニマル</v>
      </c>
      <c r="O1096" s="105" t="s">
        <v>3279</v>
      </c>
      <c r="P1096" s="107" t="str">
        <f>VLOOKUP(O1096,[1]character_tribe_i18n!A:C,3,FALSE)</f>
        <v>Unknown</v>
      </c>
      <c r="Q1096" s="110" t="s">
        <v>279</v>
      </c>
      <c r="R1096" s="178">
        <v>3</v>
      </c>
      <c r="S1096" s="108" t="s">
        <v>280</v>
      </c>
      <c r="T1096" s="108" t="s">
        <v>1052</v>
      </c>
      <c r="U1096" s="108" t="s">
        <v>1057</v>
      </c>
      <c r="V1096" s="108" t="s">
        <v>894</v>
      </c>
      <c r="W1096" s="108" t="s">
        <v>894</v>
      </c>
    </row>
    <row r="1097" spans="1:23" ht="21" customHeight="1" x14ac:dyDescent="0.15">
      <c r="A1097" s="104">
        <v>1096</v>
      </c>
      <c r="B1097" s="105" t="s">
        <v>1261</v>
      </c>
      <c r="C1097" s="133" t="s">
        <v>3280</v>
      </c>
      <c r="D1097" s="123" t="s">
        <v>3281</v>
      </c>
      <c r="E1097" s="108" t="s">
        <v>3282</v>
      </c>
      <c r="F1097" s="114" t="s">
        <v>272</v>
      </c>
      <c r="G1097" s="114" t="s">
        <v>273</v>
      </c>
      <c r="H1097" s="180" t="s">
        <v>274</v>
      </c>
      <c r="I1097" s="133">
        <v>4</v>
      </c>
      <c r="J1097" s="115" t="s">
        <v>2342</v>
      </c>
      <c r="K1097" s="105" t="s">
        <v>3267</v>
      </c>
      <c r="L1097" s="107" t="str">
        <f ca="1">VLOOKUP($K1097,OFFSET([1]character_type_i18n!$A$1,0,0,COUNTA([1]character_type_i18n!$A:$A),MATCH(L$1,[1]character_type_i18n!$1:$1,0)-MATCH($K$1,[1]character_type_i18n!$1:$1,0)+1),MATCH(L$1,[1]character_type_i18n!$1:$1,0)-MATCH($K$1,[1]character_type_i18n!$1:$1,0)+1,FALSE)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7" s="105" t="s">
        <v>277</v>
      </c>
      <c r="N1097" s="107" t="str">
        <f>VLOOKUP(M1097,[1]character_tribe_i18n!A:C,3,FALSE)</f>
        <v>Unknown</v>
      </c>
      <c r="O1097" s="105" t="s">
        <v>278</v>
      </c>
      <c r="P1097" s="107" t="str">
        <f>VLOOKUP(O1097,[1]character_tribe_i18n!A:C,3,FALSE)</f>
        <v>種族なし</v>
      </c>
      <c r="Q1097" s="110" t="s">
        <v>279</v>
      </c>
      <c r="R1097" s="178">
        <v>3</v>
      </c>
      <c r="S1097" s="108" t="s">
        <v>280</v>
      </c>
      <c r="T1097" s="108" t="s">
        <v>893</v>
      </c>
      <c r="U1097" s="108" t="s">
        <v>898</v>
      </c>
      <c r="V1097" s="108" t="s">
        <v>894</v>
      </c>
      <c r="W1097" s="108" t="s">
        <v>894</v>
      </c>
    </row>
    <row r="1098" spans="1:23" ht="21" customHeight="1" x14ac:dyDescent="0.15">
      <c r="A1098" s="104">
        <v>1097</v>
      </c>
      <c r="B1098" s="105" t="s">
        <v>1261</v>
      </c>
      <c r="C1098" s="133" t="s">
        <v>3283</v>
      </c>
      <c r="D1098" s="123" t="s">
        <v>3284</v>
      </c>
      <c r="E1098" s="108" t="s">
        <v>3285</v>
      </c>
      <c r="F1098" s="114" t="s">
        <v>272</v>
      </c>
      <c r="G1098" s="114" t="s">
        <v>273</v>
      </c>
      <c r="H1098" s="180" t="s">
        <v>274</v>
      </c>
      <c r="I1098" s="133">
        <v>5</v>
      </c>
      <c r="J1098" s="115" t="s">
        <v>2342</v>
      </c>
      <c r="K1098" s="105" t="s">
        <v>3267</v>
      </c>
      <c r="L1098" s="107" t="str">
        <f ca="1">VLOOKUP($K1098,OFFSET([1]character_type_i18n!$A$1,0,0,COUNTA([1]character_type_i18n!$A:$A),MATCH(L$1,[1]character_type_i18n!$1:$1,0)-MATCH($K$1,[1]character_type_i18n!$1:$1,0)+1),MATCH(L$1,[1]character_type_i18n!$1:$1,0)-MATCH($K$1,[1]character_type_i18n!$1:$1,0)+1,FALSE)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8" s="105" t="s">
        <v>277</v>
      </c>
      <c r="N1098" s="107" t="str">
        <f>VLOOKUP(M1098,[1]character_tribe_i18n!A:C,3,FALSE)</f>
        <v>Unknown</v>
      </c>
      <c r="O1098" s="105" t="s">
        <v>278</v>
      </c>
      <c r="P1098" s="107" t="str">
        <f>VLOOKUP(O1098,[1]character_tribe_i18n!A:C,3,FALSE)</f>
        <v>種族なし</v>
      </c>
      <c r="Q1098" s="110" t="s">
        <v>1658</v>
      </c>
      <c r="R1098" s="178">
        <v>3</v>
      </c>
      <c r="S1098" s="108" t="s">
        <v>1659</v>
      </c>
      <c r="T1098" s="108" t="s">
        <v>281</v>
      </c>
      <c r="U1098" s="108" t="s">
        <v>280</v>
      </c>
      <c r="V1098" s="108" t="s">
        <v>894</v>
      </c>
      <c r="W1098" s="108" t="s">
        <v>894</v>
      </c>
    </row>
    <row r="1099" spans="1:23" ht="21" customHeight="1" x14ac:dyDescent="0.15">
      <c r="A1099" s="104">
        <v>1098</v>
      </c>
      <c r="B1099" s="105" t="s">
        <v>1261</v>
      </c>
      <c r="C1099" s="133" t="s">
        <v>3286</v>
      </c>
      <c r="D1099" s="123" t="s">
        <v>3270</v>
      </c>
      <c r="E1099" s="108" t="s">
        <v>3271</v>
      </c>
      <c r="F1099" s="114" t="s">
        <v>272</v>
      </c>
      <c r="G1099" s="114" t="s">
        <v>273</v>
      </c>
      <c r="H1099" s="180" t="s">
        <v>300</v>
      </c>
      <c r="I1099" s="133">
        <v>5</v>
      </c>
      <c r="J1099" s="109" t="s">
        <v>1894</v>
      </c>
      <c r="K1099" s="105" t="s">
        <v>3267</v>
      </c>
      <c r="L1099" s="107" t="str">
        <f ca="1">VLOOKUP($K1099,OFFSET([1]character_type_i18n!$A$1,0,0,COUNTA([1]character_type_i18n!$A:$A),MATCH(L$1,[1]character_type_i18n!$1:$1,0)-MATCH($K$1,[1]character_type_i18n!$1:$1,0)+1),MATCH(L$1,[1]character_type_i18n!$1:$1,0)-MATCH($K$1,[1]character_type_i18n!$1:$1,0)+1,FALSE)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9" s="105" t="s">
        <v>1011</v>
      </c>
      <c r="N1099" s="107" t="str">
        <f>VLOOKUP(M1099,[1]character_tribe_i18n!A:C,3,FALSE)</f>
        <v>ヒューマン</v>
      </c>
      <c r="O1099" s="105" t="s">
        <v>1164</v>
      </c>
      <c r="P1099" s="107" t="str">
        <f>VLOOKUP(O1099,[1]character_tribe_i18n!A:C,3,FALSE)</f>
        <v>Unknown</v>
      </c>
      <c r="Q1099" s="110" t="s">
        <v>279</v>
      </c>
      <c r="R1099" s="178">
        <v>3</v>
      </c>
      <c r="S1099" s="108" t="s">
        <v>280</v>
      </c>
      <c r="T1099" s="108" t="s">
        <v>281</v>
      </c>
      <c r="U1099" s="108" t="s">
        <v>280</v>
      </c>
      <c r="V1099" s="108" t="s">
        <v>280</v>
      </c>
      <c r="W1099" s="108" t="s">
        <v>280</v>
      </c>
    </row>
    <row r="1100" spans="1:23" ht="21" customHeight="1" x14ac:dyDescent="0.15">
      <c r="A1100" s="104">
        <v>1099</v>
      </c>
      <c r="B1100" s="105" t="s">
        <v>268</v>
      </c>
      <c r="C1100" s="133" t="s">
        <v>3287</v>
      </c>
      <c r="D1100" s="123" t="s">
        <v>3281</v>
      </c>
      <c r="E1100" s="108" t="s">
        <v>3277</v>
      </c>
      <c r="F1100" s="114" t="s">
        <v>272</v>
      </c>
      <c r="G1100" s="114" t="s">
        <v>273</v>
      </c>
      <c r="H1100" s="180" t="s">
        <v>300</v>
      </c>
      <c r="I1100" s="133">
        <v>6</v>
      </c>
      <c r="J1100" s="109" t="s">
        <v>1894</v>
      </c>
      <c r="K1100" s="105" t="s">
        <v>3267</v>
      </c>
      <c r="L1100" s="107" t="str">
        <f ca="1">VLOOKUP($K1100,OFFSET([1]character_type_i18n!$A$1,0,0,COUNTA([1]character_type_i18n!$A:$A),MATCH(L$1,[1]character_type_i18n!$1:$1,0)-MATCH($K$1,[1]character_type_i18n!$1:$1,0)+1),MATCH(L$1,[1]character_type_i18n!$1:$1,0)-MATCH($K$1,[1]character_type_i18n!$1:$1,0)+1,FALSE)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00" s="105" t="s">
        <v>3288</v>
      </c>
      <c r="N1100" s="107" t="str">
        <f>VLOOKUP(M1100,[1]character_tribe_i18n!A:C,3,FALSE)</f>
        <v>ヒューマン</v>
      </c>
      <c r="O1100" s="105" t="s">
        <v>1771</v>
      </c>
      <c r="P1100" s="107" t="str">
        <f>VLOOKUP(O1100,[1]character_tribe_i18n!A:C,3,FALSE)</f>
        <v>Unknown</v>
      </c>
      <c r="Q1100" s="110" t="s">
        <v>279</v>
      </c>
      <c r="R1100" s="178">
        <v>3</v>
      </c>
      <c r="S1100" s="108" t="s">
        <v>280</v>
      </c>
      <c r="T1100" s="108" t="s">
        <v>281</v>
      </c>
      <c r="U1100" s="108" t="s">
        <v>280</v>
      </c>
      <c r="V1100" s="108" t="s">
        <v>280</v>
      </c>
      <c r="W1100" s="108" t="s">
        <v>280</v>
      </c>
    </row>
    <row r="1101" spans="1:23" ht="21" customHeight="1" x14ac:dyDescent="0.15">
      <c r="A1101" s="104">
        <v>1100</v>
      </c>
      <c r="B1101" s="105" t="s">
        <v>268</v>
      </c>
      <c r="C1101" s="133" t="s">
        <v>3289</v>
      </c>
      <c r="D1101" s="123" t="s">
        <v>3290</v>
      </c>
      <c r="E1101" s="108" t="s">
        <v>3291</v>
      </c>
      <c r="F1101" s="114" t="s">
        <v>272</v>
      </c>
      <c r="G1101" s="114" t="s">
        <v>273</v>
      </c>
      <c r="H1101" s="180" t="s">
        <v>274</v>
      </c>
      <c r="I1101" s="133">
        <v>5</v>
      </c>
      <c r="J1101" s="115" t="s">
        <v>2013</v>
      </c>
      <c r="K1101" s="105" t="s">
        <v>1679</v>
      </c>
      <c r="L1101" s="107" t="str">
        <f ca="1">VLOOKUP($K1101,OFFSET([1]character_type_i18n!$A$1,0,0,COUNTA([1]character_type_i18n!$A:$A),MATCH(L$1,[1]character_type_i18n!$1:$1,0)-MATCH($K$1,[1]character_type_i18n!$1:$1,0)+1),MATCH(L$1,[1]character_type_i18n!$1:$1,0)-MATCH($K$1,[1]character_type_i18n!$1:$1,0)+1,FALSE)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01" s="105" t="s">
        <v>3292</v>
      </c>
      <c r="N1101" s="107" t="str">
        <f>VLOOKUP(M1101,[1]character_tribe_i18n!A:C,3,FALSE)</f>
        <v>ヒューマン</v>
      </c>
      <c r="O1101" s="105" t="s">
        <v>3293</v>
      </c>
      <c r="P1101" s="107" t="str">
        <f>VLOOKUP(O1101,[1]character_tribe_i18n!A:C,3,FALSE)</f>
        <v>サムライ</v>
      </c>
      <c r="Q1101" s="110" t="s">
        <v>279</v>
      </c>
      <c r="R1101" s="178">
        <v>3</v>
      </c>
      <c r="S1101" s="108" t="s">
        <v>280</v>
      </c>
      <c r="T1101" s="108" t="s">
        <v>281</v>
      </c>
      <c r="U1101" s="108" t="s">
        <v>280</v>
      </c>
      <c r="V1101" s="108" t="s">
        <v>280</v>
      </c>
      <c r="W1101" s="108" t="s">
        <v>280</v>
      </c>
    </row>
    <row r="1102" spans="1:23" ht="21" customHeight="1" x14ac:dyDescent="0.15">
      <c r="A1102" s="104">
        <v>1101</v>
      </c>
      <c r="B1102" s="105" t="s">
        <v>268</v>
      </c>
      <c r="C1102" s="133" t="s">
        <v>3294</v>
      </c>
      <c r="D1102" s="123" t="s">
        <v>1467</v>
      </c>
      <c r="E1102" s="108" t="s">
        <v>554</v>
      </c>
      <c r="F1102" s="114" t="s">
        <v>272</v>
      </c>
      <c r="G1102" s="114" t="s">
        <v>273</v>
      </c>
      <c r="H1102" s="180" t="s">
        <v>274</v>
      </c>
      <c r="I1102" s="133">
        <v>6</v>
      </c>
      <c r="J1102" s="115" t="s">
        <v>2013</v>
      </c>
      <c r="K1102" s="105" t="s">
        <v>1441</v>
      </c>
      <c r="L1102" s="107" t="str">
        <f ca="1">VLOOKUP($K1102,OFFSET([1]character_type_i18n!$A$1,0,0,COUNTA([1]character_type_i18n!$A:$A),MATCH(L$1,[1]character_type_i18n!$1:$1,0)-MATCH($K$1,[1]character_type_i18n!$1:$1,0)+1),MATCH(L$1,[1]character_type_i18n!$1:$1,0)-MATCH($K$1,[1]character_type_i18n!$1:$1,0)+1,FALSE)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02" s="105" t="s">
        <v>3295</v>
      </c>
      <c r="N1102" s="107" t="str">
        <f>VLOOKUP(M1102,[1]character_tribe_i18n!A:C,3,FALSE)</f>
        <v>ヒューマン</v>
      </c>
      <c r="O1102" s="105" t="s">
        <v>2245</v>
      </c>
      <c r="P1102" s="107" t="str">
        <f>VLOOKUP(O1102,[1]character_tribe_i18n!A:C,3,FALSE)</f>
        <v>サムライ</v>
      </c>
      <c r="Q1102" s="110" t="s">
        <v>279</v>
      </c>
      <c r="R1102" s="178">
        <v>3</v>
      </c>
      <c r="S1102" s="108" t="s">
        <v>280</v>
      </c>
      <c r="T1102" s="108" t="s">
        <v>281</v>
      </c>
      <c r="U1102" s="108" t="s">
        <v>280</v>
      </c>
      <c r="V1102" s="108" t="s">
        <v>280</v>
      </c>
      <c r="W1102" s="108" t="s">
        <v>280</v>
      </c>
    </row>
    <row r="1103" spans="1:23" ht="21" customHeight="1" x14ac:dyDescent="0.15">
      <c r="A1103" s="104">
        <v>1102</v>
      </c>
      <c r="B1103" s="105" t="s">
        <v>268</v>
      </c>
      <c r="C1103" s="133" t="s">
        <v>3296</v>
      </c>
      <c r="D1103" s="123" t="s">
        <v>1467</v>
      </c>
      <c r="E1103" s="108" t="s">
        <v>554</v>
      </c>
      <c r="F1103" s="114" t="s">
        <v>272</v>
      </c>
      <c r="G1103" s="114" t="s">
        <v>273</v>
      </c>
      <c r="H1103" s="180" t="s">
        <v>285</v>
      </c>
      <c r="I1103" s="133">
        <v>5</v>
      </c>
      <c r="J1103" s="115" t="s">
        <v>3297</v>
      </c>
      <c r="K1103" s="105" t="s">
        <v>1780</v>
      </c>
      <c r="L1103" s="107" t="str">
        <f ca="1">VLOOKUP($K1103,OFFSET([1]character_type_i18n!$A$1,0,0,COUNTA([1]character_type_i18n!$A:$A),MATCH(L$1,[1]character_type_i18n!$1:$1,0)-MATCH($K$1,[1]character_type_i18n!$1:$1,0)+1),MATCH(L$1,[1]character_type_i18n!$1:$1,0)-MATCH($K$1,[1]character_type_i18n!$1:$1,0)+1,FALSE)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03" s="105" t="s">
        <v>313</v>
      </c>
      <c r="N1103" s="107" t="str">
        <f>VLOOKUP(M1103,[1]character_tribe_i18n!A:C,3,FALSE)</f>
        <v>アニマル</v>
      </c>
      <c r="O1103" s="105" t="s">
        <v>278</v>
      </c>
      <c r="P1103" s="107" t="str">
        <f>VLOOKUP(O1103,[1]character_tribe_i18n!A:C,3,FALSE)</f>
        <v>種族なし</v>
      </c>
      <c r="Q1103" s="110" t="s">
        <v>2174</v>
      </c>
      <c r="R1103" s="178">
        <v>3</v>
      </c>
      <c r="S1103" s="108" t="s">
        <v>900</v>
      </c>
      <c r="T1103" s="108" t="s">
        <v>281</v>
      </c>
      <c r="U1103" s="108" t="s">
        <v>280</v>
      </c>
      <c r="V1103" s="108" t="s">
        <v>894</v>
      </c>
      <c r="W1103" s="108" t="s">
        <v>894</v>
      </c>
    </row>
    <row r="1104" spans="1:23" ht="21" customHeight="1" x14ac:dyDescent="0.15">
      <c r="A1104" s="104">
        <v>1103</v>
      </c>
      <c r="B1104" s="105" t="s">
        <v>1261</v>
      </c>
      <c r="C1104" s="133" t="s">
        <v>3298</v>
      </c>
      <c r="D1104" s="123" t="s">
        <v>3270</v>
      </c>
      <c r="E1104" s="108" t="s">
        <v>3271</v>
      </c>
      <c r="F1104" s="114" t="s">
        <v>272</v>
      </c>
      <c r="G1104" s="114" t="s">
        <v>273</v>
      </c>
      <c r="H1104" s="180" t="s">
        <v>285</v>
      </c>
      <c r="I1104" s="133">
        <v>6</v>
      </c>
      <c r="J1104" s="115" t="s">
        <v>3297</v>
      </c>
      <c r="K1104" s="105" t="s">
        <v>1981</v>
      </c>
      <c r="L1104" s="107" t="str">
        <f ca="1">VLOOKUP($K1104,OFFSET([1]character_type_i18n!$A$1,0,0,COUNTA([1]character_type_i18n!$A:$A),MATCH(L$1,[1]character_type_i18n!$1:$1,0)-MATCH($K$1,[1]character_type_i18n!$1:$1,0)+1),MATCH(L$1,[1]character_type_i18n!$1:$1,0)-MATCH($K$1,[1]character_type_i18n!$1:$1,0)+1,FALSE)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04" s="105" t="s">
        <v>313</v>
      </c>
      <c r="N1104" s="107" t="str">
        <f>VLOOKUP(M1104,[1]character_tribe_i18n!A:C,3,FALSE)</f>
        <v>アニマル</v>
      </c>
      <c r="O1104" s="105" t="s">
        <v>278</v>
      </c>
      <c r="P1104" s="107" t="str">
        <f>VLOOKUP(O1104,[1]character_tribe_i18n!A:C,3,FALSE)</f>
        <v>種族なし</v>
      </c>
      <c r="Q1104" s="110" t="s">
        <v>2458</v>
      </c>
      <c r="R1104" s="178">
        <v>3</v>
      </c>
      <c r="S1104" s="108" t="s">
        <v>911</v>
      </c>
      <c r="T1104" s="108" t="s">
        <v>281</v>
      </c>
      <c r="U1104" s="108" t="s">
        <v>280</v>
      </c>
      <c r="V1104" s="108" t="s">
        <v>894</v>
      </c>
      <c r="W1104" s="108" t="s">
        <v>894</v>
      </c>
    </row>
    <row r="1105" spans="1:23" ht="21" customHeight="1" x14ac:dyDescent="0.15">
      <c r="A1105" s="104">
        <v>1104</v>
      </c>
      <c r="B1105" s="105" t="s">
        <v>1261</v>
      </c>
      <c r="C1105" s="133" t="s">
        <v>3299</v>
      </c>
      <c r="D1105" s="123" t="s">
        <v>3284</v>
      </c>
      <c r="E1105" s="108" t="s">
        <v>559</v>
      </c>
      <c r="F1105" s="114" t="s">
        <v>272</v>
      </c>
      <c r="G1105" s="114" t="s">
        <v>273</v>
      </c>
      <c r="H1105" s="180" t="s">
        <v>295</v>
      </c>
      <c r="I1105" s="133">
        <v>4</v>
      </c>
      <c r="J1105" s="115" t="s">
        <v>3300</v>
      </c>
      <c r="K1105" s="105" t="s">
        <v>3267</v>
      </c>
      <c r="L1105" s="107" t="str">
        <f ca="1">VLOOKUP($K1105,OFFSET([1]character_type_i18n!$A$1,0,0,COUNTA([1]character_type_i18n!$A:$A),MATCH(L$1,[1]character_type_i18n!$1:$1,0)-MATCH($K$1,[1]character_type_i18n!$1:$1,0)+1),MATCH(L$1,[1]character_type_i18n!$1:$1,0)-MATCH($K$1,[1]character_type_i18n!$1:$1,0)+1,FALSE)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05" s="105" t="s">
        <v>1011</v>
      </c>
      <c r="N1105" s="107" t="str">
        <f>VLOOKUP(M1105,[1]character_tribe_i18n!A:C,3,FALSE)</f>
        <v>ヒューマン</v>
      </c>
      <c r="O1105" s="105" t="s">
        <v>3301</v>
      </c>
      <c r="P1105" s="107" t="str">
        <f>VLOOKUP(O1105,[1]character_tribe_i18n!A:C,3,FALSE)</f>
        <v>Unknown</v>
      </c>
      <c r="Q1105" s="110" t="s">
        <v>279</v>
      </c>
      <c r="R1105" s="178">
        <v>3</v>
      </c>
      <c r="S1105" s="108" t="s">
        <v>280</v>
      </c>
      <c r="T1105" s="108" t="s">
        <v>281</v>
      </c>
      <c r="U1105" s="108" t="s">
        <v>280</v>
      </c>
      <c r="V1105" s="108" t="s">
        <v>894</v>
      </c>
      <c r="W1105" s="108" t="s">
        <v>894</v>
      </c>
    </row>
    <row r="1106" spans="1:23" ht="21" customHeight="1" x14ac:dyDescent="0.15">
      <c r="A1106" s="104">
        <v>1105</v>
      </c>
      <c r="B1106" s="105" t="s">
        <v>1261</v>
      </c>
      <c r="C1106" s="133" t="s">
        <v>3302</v>
      </c>
      <c r="D1106" s="123" t="s">
        <v>3270</v>
      </c>
      <c r="E1106" s="108" t="s">
        <v>3271</v>
      </c>
      <c r="F1106" s="114" t="s">
        <v>272</v>
      </c>
      <c r="G1106" s="114" t="s">
        <v>273</v>
      </c>
      <c r="H1106" s="180" t="s">
        <v>295</v>
      </c>
      <c r="I1106" s="133">
        <v>5</v>
      </c>
      <c r="J1106" s="115" t="s">
        <v>3300</v>
      </c>
      <c r="K1106" s="105" t="s">
        <v>3267</v>
      </c>
      <c r="L1106" s="107" t="str">
        <f ca="1">VLOOKUP($K1106,OFFSET([1]character_type_i18n!$A$1,0,0,COUNTA([1]character_type_i18n!$A:$A),MATCH(L$1,[1]character_type_i18n!$1:$1,0)-MATCH($K$1,[1]character_type_i18n!$1:$1,0)+1),MATCH(L$1,[1]character_type_i18n!$1:$1,0)-MATCH($K$1,[1]character_type_i18n!$1:$1,0)+1,FALSE)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06" s="105" t="s">
        <v>1330</v>
      </c>
      <c r="N1106" s="107" t="str">
        <f>VLOOKUP(M1106,[1]character_tribe_i18n!A:C,3,FALSE)</f>
        <v>ヒューマン</v>
      </c>
      <c r="O1106" s="105" t="s">
        <v>3303</v>
      </c>
      <c r="P1106" s="107" t="str">
        <f>VLOOKUP(O1106,[1]character_tribe_i18n!A:C,3,FALSE)</f>
        <v>Unknown</v>
      </c>
      <c r="Q1106" s="110" t="s">
        <v>279</v>
      </c>
      <c r="R1106" s="178">
        <v>3</v>
      </c>
      <c r="S1106" s="108" t="s">
        <v>280</v>
      </c>
      <c r="T1106" s="108" t="s">
        <v>281</v>
      </c>
      <c r="U1106" s="108" t="s">
        <v>280</v>
      </c>
      <c r="V1106" s="108" t="s">
        <v>280</v>
      </c>
      <c r="W1106" s="108" t="s">
        <v>280</v>
      </c>
    </row>
    <row r="1107" spans="1:23" ht="21" customHeight="1" x14ac:dyDescent="0.15">
      <c r="A1107" s="104">
        <v>1106</v>
      </c>
      <c r="B1107" s="105" t="s">
        <v>268</v>
      </c>
      <c r="C1107" s="133" t="s">
        <v>3304</v>
      </c>
      <c r="D1107" s="123" t="s">
        <v>1467</v>
      </c>
      <c r="E1107" s="108" t="s">
        <v>554</v>
      </c>
      <c r="F1107" s="114" t="s">
        <v>272</v>
      </c>
      <c r="G1107" s="114" t="s">
        <v>273</v>
      </c>
      <c r="H1107" s="180" t="s">
        <v>2339</v>
      </c>
      <c r="I1107" s="133">
        <v>5</v>
      </c>
      <c r="J1107" s="115" t="s">
        <v>2013</v>
      </c>
      <c r="K1107" s="105" t="s">
        <v>1679</v>
      </c>
      <c r="L1107" s="107" t="str">
        <f ca="1">VLOOKUP($K1107,OFFSET([1]character_type_i18n!$A$1,0,0,COUNTA([1]character_type_i18n!$A:$A),MATCH(L$1,[1]character_type_i18n!$1:$1,0)-MATCH($K$1,[1]character_type_i18n!$1:$1,0)+1),MATCH(L$1,[1]character_type_i18n!$1:$1,0)-MATCH($K$1,[1]character_type_i18n!$1:$1,0)+1,FALSE)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07" s="105" t="s">
        <v>1257</v>
      </c>
      <c r="N1107" s="107" t="str">
        <f>VLOOKUP(M1107,[1]character_tribe_i18n!A:C,3,FALSE)</f>
        <v>ヒューマン</v>
      </c>
      <c r="O1107" s="105" t="s">
        <v>3305</v>
      </c>
      <c r="P1107" s="107" t="str">
        <f>VLOOKUP(O1107,[1]character_tribe_i18n!A:C,3,FALSE)</f>
        <v>ゴッド</v>
      </c>
      <c r="Q1107" s="110" t="s">
        <v>279</v>
      </c>
      <c r="R1107" s="178">
        <v>3</v>
      </c>
      <c r="S1107" s="108" t="s">
        <v>280</v>
      </c>
      <c r="T1107" s="108" t="s">
        <v>2950</v>
      </c>
      <c r="U1107" s="108" t="s">
        <v>280</v>
      </c>
      <c r="V1107" s="108" t="s">
        <v>280</v>
      </c>
      <c r="W1107" s="108" t="s">
        <v>280</v>
      </c>
    </row>
    <row r="1108" spans="1:23" ht="21" customHeight="1" x14ac:dyDescent="0.15">
      <c r="A1108" s="104">
        <v>1107</v>
      </c>
      <c r="B1108" s="105" t="s">
        <v>268</v>
      </c>
      <c r="C1108" s="133" t="s">
        <v>3306</v>
      </c>
      <c r="D1108" s="123" t="s">
        <v>1467</v>
      </c>
      <c r="E1108" s="108" t="s">
        <v>554</v>
      </c>
      <c r="F1108" s="114" t="s">
        <v>272</v>
      </c>
      <c r="G1108" s="114" t="s">
        <v>273</v>
      </c>
      <c r="H1108" s="180" t="s">
        <v>300</v>
      </c>
      <c r="I1108" s="133">
        <v>6</v>
      </c>
      <c r="J1108" s="115" t="s">
        <v>2013</v>
      </c>
      <c r="K1108" s="105" t="s">
        <v>1679</v>
      </c>
      <c r="L1108" s="107" t="str">
        <f ca="1">VLOOKUP($K1108,OFFSET([1]character_type_i18n!$A$1,0,0,COUNTA([1]character_type_i18n!$A:$A),MATCH(L$1,[1]character_type_i18n!$1:$1,0)-MATCH($K$1,[1]character_type_i18n!$1:$1,0)+1),MATCH(L$1,[1]character_type_i18n!$1:$1,0)-MATCH($K$1,[1]character_type_i18n!$1:$1,0)+1,FALSE)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08" s="105" t="s">
        <v>1257</v>
      </c>
      <c r="N1108" s="107" t="str">
        <f>VLOOKUP(M1108,[1]character_tribe_i18n!A:C,3,FALSE)</f>
        <v>ヒューマン</v>
      </c>
      <c r="O1108" s="105" t="s">
        <v>3307</v>
      </c>
      <c r="P1108" s="107" t="str">
        <f>VLOOKUP(O1108,[1]character_tribe_i18n!A:C,3,FALSE)</f>
        <v>ゴッド</v>
      </c>
      <c r="Q1108" s="110" t="s">
        <v>2458</v>
      </c>
      <c r="R1108" s="178">
        <v>3</v>
      </c>
      <c r="S1108" s="108" t="s">
        <v>911</v>
      </c>
      <c r="T1108" s="108" t="s">
        <v>281</v>
      </c>
      <c r="U1108" s="108" t="s">
        <v>280</v>
      </c>
      <c r="V1108" s="108" t="s">
        <v>894</v>
      </c>
      <c r="W1108" s="108" t="s">
        <v>894</v>
      </c>
    </row>
    <row r="1109" spans="1:23" ht="21" customHeight="1" x14ac:dyDescent="0.15">
      <c r="A1109" s="104">
        <v>1108</v>
      </c>
      <c r="B1109" s="105" t="s">
        <v>1261</v>
      </c>
      <c r="C1109" s="179" t="s">
        <v>3270</v>
      </c>
      <c r="D1109" s="123" t="s">
        <v>3270</v>
      </c>
      <c r="E1109" s="108" t="s">
        <v>3271</v>
      </c>
      <c r="F1109" s="114" t="s">
        <v>272</v>
      </c>
      <c r="G1109" s="114" t="s">
        <v>273</v>
      </c>
      <c r="H1109" s="180" t="s">
        <v>300</v>
      </c>
      <c r="I1109" s="133">
        <v>5</v>
      </c>
      <c r="J1109" s="115" t="s">
        <v>3300</v>
      </c>
      <c r="K1109" s="105" t="s">
        <v>1166</v>
      </c>
      <c r="L1109" s="107" t="str">
        <f ca="1">VLOOKUP($K1109,OFFSET([1]character_type_i18n!$A$1,0,0,COUNTA([1]character_type_i18n!$A:$A),MATCH(L$1,[1]character_type_i18n!$1:$1,0)-MATCH($K$1,[1]character_type_i18n!$1:$1,0)+1),MATCH(L$1,[1]character_type_i18n!$1:$1,0)-MATCH($K$1,[1]character_type_i18n!$1:$1,0)+1,FALSE)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09" s="105" t="s">
        <v>277</v>
      </c>
      <c r="N1109" s="107" t="str">
        <f>VLOOKUP(M1109,[1]character_tribe_i18n!A:C,3,FALSE)</f>
        <v>Unknown</v>
      </c>
      <c r="O1109" s="105" t="s">
        <v>278</v>
      </c>
      <c r="P1109" s="107" t="str">
        <f>VLOOKUP(O1109,[1]character_tribe_i18n!A:C,3,FALSE)</f>
        <v>種族なし</v>
      </c>
      <c r="Q1109" s="110" t="s">
        <v>2174</v>
      </c>
      <c r="R1109" s="178">
        <v>1</v>
      </c>
      <c r="S1109" s="108" t="s">
        <v>900</v>
      </c>
      <c r="T1109" s="108" t="s">
        <v>2175</v>
      </c>
      <c r="U1109" s="108" t="s">
        <v>1659</v>
      </c>
      <c r="V1109" s="108" t="s">
        <v>894</v>
      </c>
      <c r="W1109" s="108" t="s">
        <v>894</v>
      </c>
    </row>
    <row r="1110" spans="1:23" ht="21" customHeight="1" x14ac:dyDescent="0.15">
      <c r="A1110" s="104">
        <v>1109</v>
      </c>
      <c r="B1110" s="105" t="s">
        <v>1261</v>
      </c>
      <c r="C1110" s="181" t="s">
        <v>3308</v>
      </c>
      <c r="D1110" s="123" t="s">
        <v>3270</v>
      </c>
      <c r="E1110" s="108" t="s">
        <v>3271</v>
      </c>
      <c r="F1110" s="114" t="s">
        <v>272</v>
      </c>
      <c r="G1110" s="114" t="s">
        <v>273</v>
      </c>
      <c r="H1110" s="180" t="s">
        <v>274</v>
      </c>
      <c r="I1110" s="133">
        <v>5</v>
      </c>
      <c r="J1110" s="115" t="s">
        <v>1980</v>
      </c>
      <c r="K1110" s="105" t="s">
        <v>3267</v>
      </c>
      <c r="L1110" s="107" t="str">
        <f ca="1">VLOOKUP($K1110,OFFSET([1]character_type_i18n!$A$1,0,0,COUNTA([1]character_type_i18n!$A:$A),MATCH(L$1,[1]character_type_i18n!$1:$1,0)-MATCH($K$1,[1]character_type_i18n!$1:$1,0)+1),MATCH(L$1,[1]character_type_i18n!$1:$1,0)-MATCH($K$1,[1]character_type_i18n!$1:$1,0)+1,FALSE)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10" s="105" t="s">
        <v>1987</v>
      </c>
      <c r="N1110" s="107" t="str">
        <f>VLOOKUP(M1110,[1]character_tribe_i18n!A:C,3,FALSE)</f>
        <v>アカデミア</v>
      </c>
      <c r="O1110" s="105" t="s">
        <v>3309</v>
      </c>
      <c r="P1110" s="107" t="str">
        <f>VLOOKUP(O1110,[1]character_tribe_i18n!A:C,3,FALSE)</f>
        <v>サムライ</v>
      </c>
      <c r="Q1110" s="110" t="s">
        <v>1682</v>
      </c>
      <c r="R1110" s="178">
        <v>3</v>
      </c>
      <c r="S1110" s="108" t="s">
        <v>611</v>
      </c>
      <c r="T1110" s="108" t="s">
        <v>893</v>
      </c>
      <c r="U1110" s="108" t="s">
        <v>898</v>
      </c>
      <c r="V1110" s="108" t="s">
        <v>894</v>
      </c>
      <c r="W1110" s="108" t="s">
        <v>894</v>
      </c>
    </row>
    <row r="1111" spans="1:23" ht="21" customHeight="1" x14ac:dyDescent="0.15">
      <c r="A1111" s="104">
        <v>1110</v>
      </c>
      <c r="B1111" s="105" t="s">
        <v>1261</v>
      </c>
      <c r="C1111" s="181" t="s">
        <v>3310</v>
      </c>
      <c r="D1111" s="123" t="s">
        <v>3270</v>
      </c>
      <c r="E1111" s="108" t="s">
        <v>3271</v>
      </c>
      <c r="F1111" s="114" t="s">
        <v>272</v>
      </c>
      <c r="G1111" s="114" t="s">
        <v>273</v>
      </c>
      <c r="H1111" s="180" t="s">
        <v>274</v>
      </c>
      <c r="I1111" s="133">
        <v>6</v>
      </c>
      <c r="J1111" s="115" t="s">
        <v>1980</v>
      </c>
      <c r="K1111" s="105" t="s">
        <v>3267</v>
      </c>
      <c r="L1111" s="107" t="str">
        <f ca="1">VLOOKUP($K1111,OFFSET([1]character_type_i18n!$A$1,0,0,COUNTA([1]character_type_i18n!$A:$A),MATCH(L$1,[1]character_type_i18n!$1:$1,0)-MATCH($K$1,[1]character_type_i18n!$1:$1,0)+1),MATCH(L$1,[1]character_type_i18n!$1:$1,0)-MATCH($K$1,[1]character_type_i18n!$1:$1,0)+1,FALSE)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11" s="105" t="s">
        <v>3311</v>
      </c>
      <c r="N1111" s="107" t="str">
        <f>VLOOKUP(M1111,[1]character_tribe_i18n!A:C,3,FALSE)</f>
        <v>アカデミア</v>
      </c>
      <c r="O1111" s="105" t="s">
        <v>3312</v>
      </c>
      <c r="P1111" s="107" t="str">
        <f>VLOOKUP(O1111,[1]character_tribe_i18n!A:C,3,FALSE)</f>
        <v>サムライ</v>
      </c>
      <c r="Q1111" s="110" t="s">
        <v>3313</v>
      </c>
      <c r="R1111" s="178">
        <v>3</v>
      </c>
      <c r="S1111" s="108" t="s">
        <v>3314</v>
      </c>
      <c r="T1111" s="108" t="s">
        <v>910</v>
      </c>
      <c r="U1111" s="108" t="s">
        <v>911</v>
      </c>
      <c r="V1111" s="108" t="s">
        <v>894</v>
      </c>
      <c r="W1111" s="108" t="s">
        <v>894</v>
      </c>
    </row>
    <row r="1112" spans="1:23" ht="21" customHeight="1" x14ac:dyDescent="0.15">
      <c r="A1112" s="104">
        <v>1111</v>
      </c>
      <c r="B1112" s="105" t="s">
        <v>1261</v>
      </c>
      <c r="C1112" s="133" t="s">
        <v>3315</v>
      </c>
      <c r="D1112" s="123" t="s">
        <v>3270</v>
      </c>
      <c r="E1112" s="108" t="s">
        <v>3271</v>
      </c>
      <c r="F1112" s="114" t="s">
        <v>272</v>
      </c>
      <c r="G1112" s="114" t="s">
        <v>273</v>
      </c>
      <c r="H1112" s="180" t="s">
        <v>295</v>
      </c>
      <c r="I1112" s="133">
        <v>5</v>
      </c>
      <c r="J1112" s="115" t="s">
        <v>1980</v>
      </c>
      <c r="K1112" s="105" t="s">
        <v>1679</v>
      </c>
      <c r="L1112" s="107" t="str">
        <f ca="1">VLOOKUP($K1112,OFFSET([1]character_type_i18n!$A$1,0,0,COUNTA([1]character_type_i18n!$A:$A),MATCH(L$1,[1]character_type_i18n!$1:$1,0)-MATCH($K$1,[1]character_type_i18n!$1:$1,0)+1),MATCH(L$1,[1]character_type_i18n!$1:$1,0)-MATCH($K$1,[1]character_type_i18n!$1:$1,0)+1,FALSE)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12" s="105" t="s">
        <v>3316</v>
      </c>
      <c r="N1112" s="107" t="str">
        <f>VLOOKUP(M1112,[1]character_tribe_i18n!A:C,3,FALSE)</f>
        <v>アカデミア</v>
      </c>
      <c r="O1112" s="105" t="s">
        <v>3317</v>
      </c>
      <c r="P1112" s="107" t="str">
        <f>VLOOKUP(O1112,[1]character_tribe_i18n!A:C,3,FALSE)</f>
        <v>アニマル</v>
      </c>
      <c r="Q1112" s="110" t="s">
        <v>3210</v>
      </c>
      <c r="R1112" s="178">
        <v>3</v>
      </c>
      <c r="S1112" s="108" t="s">
        <v>3211</v>
      </c>
      <c r="T1112" s="108" t="s">
        <v>2175</v>
      </c>
      <c r="U1112" s="108" t="s">
        <v>1659</v>
      </c>
      <c r="V1112" s="108" t="s">
        <v>894</v>
      </c>
      <c r="W1112" s="108" t="s">
        <v>894</v>
      </c>
    </row>
    <row r="1113" spans="1:23" ht="21" customHeight="1" x14ac:dyDescent="0.15">
      <c r="A1113" s="104">
        <v>1112</v>
      </c>
      <c r="B1113" s="105" t="s">
        <v>1261</v>
      </c>
      <c r="C1113" s="133" t="s">
        <v>3318</v>
      </c>
      <c r="D1113" s="123" t="s">
        <v>3319</v>
      </c>
      <c r="E1113" s="108" t="s">
        <v>3320</v>
      </c>
      <c r="F1113" s="114" t="s">
        <v>272</v>
      </c>
      <c r="G1113" s="114" t="s">
        <v>273</v>
      </c>
      <c r="H1113" s="180" t="s">
        <v>295</v>
      </c>
      <c r="I1113" s="133">
        <v>6</v>
      </c>
      <c r="J1113" s="115" t="s">
        <v>1980</v>
      </c>
      <c r="K1113" s="105" t="s">
        <v>1679</v>
      </c>
      <c r="L1113" s="107" t="str">
        <f ca="1">VLOOKUP($K1113,OFFSET([1]character_type_i18n!$A$1,0,0,COUNTA([1]character_type_i18n!$A:$A),MATCH(L$1,[1]character_type_i18n!$1:$1,0)-MATCH($K$1,[1]character_type_i18n!$1:$1,0)+1),MATCH(L$1,[1]character_type_i18n!$1:$1,0)-MATCH($K$1,[1]character_type_i18n!$1:$1,0)+1,FALSE)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13" s="105" t="s">
        <v>1987</v>
      </c>
      <c r="N1113" s="107" t="str">
        <f>VLOOKUP(M1113,[1]character_tribe_i18n!A:C,3,FALSE)</f>
        <v>アカデミア</v>
      </c>
      <c r="O1113" s="105" t="s">
        <v>313</v>
      </c>
      <c r="P1113" s="107" t="str">
        <f>VLOOKUP(O1113,[1]character_tribe_i18n!A:C,3,FALSE)</f>
        <v>アニマル</v>
      </c>
      <c r="Q1113" s="110" t="s">
        <v>2174</v>
      </c>
      <c r="R1113" s="178">
        <v>3</v>
      </c>
      <c r="S1113" s="108" t="s">
        <v>900</v>
      </c>
      <c r="T1113" s="108" t="s">
        <v>2175</v>
      </c>
      <c r="U1113" s="108" t="s">
        <v>1659</v>
      </c>
      <c r="V1113" s="108" t="s">
        <v>894</v>
      </c>
      <c r="W1113" s="108" t="s">
        <v>894</v>
      </c>
    </row>
    <row r="1114" spans="1:23" ht="21" customHeight="1" x14ac:dyDescent="0.15">
      <c r="A1114" s="104">
        <v>1113</v>
      </c>
      <c r="B1114" s="105" t="s">
        <v>3090</v>
      </c>
      <c r="C1114" s="133" t="s">
        <v>3321</v>
      </c>
      <c r="D1114" s="123" t="s">
        <v>1467</v>
      </c>
      <c r="E1114" s="108" t="s">
        <v>554</v>
      </c>
      <c r="F1114" s="114" t="s">
        <v>272</v>
      </c>
      <c r="G1114" s="114" t="s">
        <v>273</v>
      </c>
      <c r="H1114" s="180" t="s">
        <v>295</v>
      </c>
      <c r="I1114" s="133">
        <v>6</v>
      </c>
      <c r="J1114" s="115" t="s">
        <v>3322</v>
      </c>
      <c r="K1114" s="105" t="s">
        <v>3323</v>
      </c>
      <c r="L1114" s="107" t="str">
        <f ca="1">VLOOKUP($K1114,OFFSET([1]character_type_i18n!$A$1,0,0,COUNTA([1]character_type_i18n!$A:$A),MATCH(L$1,[1]character_type_i18n!$1:$1,0)-MATCH($K$1,[1]character_type_i18n!$1:$1,0)+1),MATCH(L$1,[1]character_type_i18n!$1:$1,0)-MATCH($K$1,[1]character_type_i18n!$1:$1,0)+1,FALSE)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14" s="105" t="s">
        <v>3324</v>
      </c>
      <c r="N1114" s="107" t="str">
        <f>VLOOKUP(M1114,[1]character_tribe_i18n!A:C,3,FALSE)</f>
        <v>アカデミア</v>
      </c>
      <c r="O1114" s="105" t="s">
        <v>1167</v>
      </c>
      <c r="P1114" s="107" t="str">
        <f>VLOOKUP(O1114,[1]character_tribe_i18n!A:C,3,FALSE)</f>
        <v>アニマル</v>
      </c>
      <c r="Q1114" s="110" t="s">
        <v>279</v>
      </c>
      <c r="R1114" s="178">
        <v>3</v>
      </c>
      <c r="S1114" s="108" t="s">
        <v>280</v>
      </c>
      <c r="T1114" s="108" t="s">
        <v>2950</v>
      </c>
      <c r="U1114" s="108" t="s">
        <v>280</v>
      </c>
      <c r="V1114" s="108" t="s">
        <v>280</v>
      </c>
      <c r="W1114" s="108" t="s">
        <v>280</v>
      </c>
    </row>
    <row r="1115" spans="1:23" ht="22" customHeight="1" x14ac:dyDescent="0.15">
      <c r="A1115" s="104">
        <v>1114</v>
      </c>
      <c r="B1115" s="105" t="s">
        <v>268</v>
      </c>
      <c r="C1115" s="133" t="s">
        <v>3325</v>
      </c>
      <c r="D1115" s="123" t="s">
        <v>1467</v>
      </c>
      <c r="E1115" s="108" t="s">
        <v>554</v>
      </c>
      <c r="F1115" s="114" t="s">
        <v>272</v>
      </c>
      <c r="G1115" s="114" t="s">
        <v>273</v>
      </c>
      <c r="H1115" s="180" t="s">
        <v>285</v>
      </c>
      <c r="I1115" s="133">
        <v>5</v>
      </c>
      <c r="J1115" s="115" t="s">
        <v>3326</v>
      </c>
      <c r="K1115" s="105" t="s">
        <v>2436</v>
      </c>
      <c r="L1115" s="107" t="str">
        <f ca="1">VLOOKUP($K1115,OFFSET([1]character_type_i18n!$A$1,0,0,COUNTA([1]character_type_i18n!$A:$A),MATCH(L$1,[1]character_type_i18n!$1:$1,0)-MATCH($K$1,[1]character_type_i18n!$1:$1,0)+1),MATCH(L$1,[1]character_type_i18n!$1:$1,0)-MATCH($K$1,[1]character_type_i18n!$1:$1,0)+1,FALSE)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15" s="105" t="s">
        <v>3327</v>
      </c>
      <c r="N1115" s="107" t="str">
        <f>VLOOKUP(M1115,[1]character_tribe_i18n!A:C,3,FALSE)</f>
        <v>QUEEN</v>
      </c>
      <c r="O1115" s="105" t="s">
        <v>3328</v>
      </c>
      <c r="P1115" s="107" t="str">
        <f>VLOOKUP(O1115,[1]character_tribe_i18n!A:C,3,FALSE)</f>
        <v>Unknown</v>
      </c>
      <c r="Q1115" s="110" t="s">
        <v>301</v>
      </c>
      <c r="R1115" s="178">
        <v>3</v>
      </c>
      <c r="S1115" s="108" t="s">
        <v>302</v>
      </c>
      <c r="T1115" s="108" t="s">
        <v>375</v>
      </c>
      <c r="U1115" s="108" t="s">
        <v>302</v>
      </c>
      <c r="V1115" s="108" t="s">
        <v>302</v>
      </c>
      <c r="W1115" s="108" t="s">
        <v>302</v>
      </c>
    </row>
    <row r="1116" spans="1:23" ht="21" customHeight="1" x14ac:dyDescent="0.15">
      <c r="A1116" s="104">
        <v>1115</v>
      </c>
      <c r="B1116" s="105" t="s">
        <v>303</v>
      </c>
      <c r="C1116" s="133" t="s">
        <v>3329</v>
      </c>
      <c r="D1116" s="123" t="s">
        <v>3269</v>
      </c>
      <c r="E1116" s="108" t="s">
        <v>1078</v>
      </c>
      <c r="F1116" s="114" t="s">
        <v>272</v>
      </c>
      <c r="G1116" s="114" t="s">
        <v>273</v>
      </c>
      <c r="H1116" s="180" t="s">
        <v>285</v>
      </c>
      <c r="I1116" s="133">
        <v>6</v>
      </c>
      <c r="J1116" s="115" t="s">
        <v>3330</v>
      </c>
      <c r="K1116" s="105" t="s">
        <v>1166</v>
      </c>
      <c r="L1116" s="107" t="str">
        <f ca="1">VLOOKUP($K1116,OFFSET([1]character_type_i18n!$A$1,0,0,COUNTA([1]character_type_i18n!$A:$A),MATCH(L$1,[1]character_type_i18n!$1:$1,0)-MATCH($K$1,[1]character_type_i18n!$1:$1,0)+1),MATCH(L$1,[1]character_type_i18n!$1:$1,0)-MATCH($K$1,[1]character_type_i18n!$1:$1,0)+1,FALSE)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16" s="105" t="s">
        <v>3331</v>
      </c>
      <c r="N1116" s="107" t="str">
        <f>VLOOKUP(M1116,[1]character_tribe_i18n!A:C,3,FALSE)</f>
        <v>QUEEN</v>
      </c>
      <c r="O1116" s="105" t="s">
        <v>1164</v>
      </c>
      <c r="P1116" s="107" t="str">
        <f>VLOOKUP(O1116,[1]character_tribe_i18n!A:C,3,FALSE)</f>
        <v>Unknown</v>
      </c>
      <c r="Q1116" s="110" t="s">
        <v>279</v>
      </c>
      <c r="R1116" s="178">
        <v>3</v>
      </c>
      <c r="S1116" s="108" t="s">
        <v>280</v>
      </c>
      <c r="T1116" s="108" t="s">
        <v>281</v>
      </c>
      <c r="U1116" s="108" t="s">
        <v>280</v>
      </c>
      <c r="V1116" s="108" t="s">
        <v>280</v>
      </c>
      <c r="W1116" s="108" t="s">
        <v>280</v>
      </c>
    </row>
    <row r="1117" spans="1:23" ht="22" customHeight="1" x14ac:dyDescent="0.15">
      <c r="A1117" s="104">
        <v>1116</v>
      </c>
      <c r="B1117" s="105" t="s">
        <v>268</v>
      </c>
      <c r="C1117" s="133" t="s">
        <v>3332</v>
      </c>
      <c r="D1117" s="123" t="s">
        <v>1467</v>
      </c>
      <c r="E1117" s="108" t="s">
        <v>554</v>
      </c>
      <c r="F1117" s="114" t="s">
        <v>272</v>
      </c>
      <c r="G1117" s="114" t="s">
        <v>273</v>
      </c>
      <c r="H1117" s="180" t="s">
        <v>274</v>
      </c>
      <c r="I1117" s="133">
        <v>6</v>
      </c>
      <c r="J1117" s="115" t="s">
        <v>1856</v>
      </c>
      <c r="K1117" s="105" t="s">
        <v>1441</v>
      </c>
      <c r="L1117" s="107" t="str">
        <f ca="1">VLOOKUP($K1117,OFFSET([1]character_type_i18n!$A$1,0,0,COUNTA([1]character_type_i18n!$A:$A),MATCH(L$1,[1]character_type_i18n!$1:$1,0)-MATCH($K$1,[1]character_type_i18n!$1:$1,0)+1),MATCH(L$1,[1]character_type_i18n!$1:$1,0)-MATCH($K$1,[1]character_type_i18n!$1:$1,0)+1,FALSE)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17" s="105" t="s">
        <v>1018</v>
      </c>
      <c r="N1117" s="107" t="str">
        <f>VLOOKUP(M1117,[1]character_tribe_i18n!A:C,3,FALSE)</f>
        <v>ゴッド</v>
      </c>
      <c r="O1117" s="105" t="s">
        <v>278</v>
      </c>
      <c r="P1117" s="107" t="str">
        <f>VLOOKUP(O1117,[1]character_tribe_i18n!A:C,3,FALSE)</f>
        <v>種族なし</v>
      </c>
      <c r="Q1117" s="110" t="s">
        <v>539</v>
      </c>
      <c r="R1117" s="178">
        <v>3</v>
      </c>
      <c r="S1117" s="108" t="s">
        <v>280</v>
      </c>
      <c r="T1117" s="108" t="s">
        <v>2950</v>
      </c>
      <c r="U1117" s="108" t="s">
        <v>280</v>
      </c>
      <c r="V1117" s="108" t="s">
        <v>280</v>
      </c>
      <c r="W1117" s="108" t="s">
        <v>280</v>
      </c>
    </row>
    <row r="1118" spans="1:23" ht="21" customHeight="1" x14ac:dyDescent="0.15">
      <c r="A1118" s="104">
        <v>1117</v>
      </c>
      <c r="B1118" s="105" t="s">
        <v>268</v>
      </c>
      <c r="C1118" s="133" t="s">
        <v>3333</v>
      </c>
      <c r="D1118" s="123" t="s">
        <v>1467</v>
      </c>
      <c r="E1118" s="108" t="s">
        <v>554</v>
      </c>
      <c r="F1118" s="114" t="s">
        <v>272</v>
      </c>
      <c r="G1118" s="114" t="s">
        <v>273</v>
      </c>
      <c r="H1118" s="180" t="s">
        <v>285</v>
      </c>
      <c r="I1118" s="133">
        <v>6</v>
      </c>
      <c r="J1118" s="115" t="s">
        <v>1856</v>
      </c>
      <c r="K1118" s="105" t="s">
        <v>1166</v>
      </c>
      <c r="L1118" s="107" t="str">
        <f ca="1">VLOOKUP($K1118,OFFSET([1]character_type_i18n!$A$1,0,0,COUNTA([1]character_type_i18n!$A:$A),MATCH(L$1,[1]character_type_i18n!$1:$1,0)-MATCH($K$1,[1]character_type_i18n!$1:$1,0)+1),MATCH(L$1,[1]character_type_i18n!$1:$1,0)-MATCH($K$1,[1]character_type_i18n!$1:$1,0)+1,FALSE)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18" s="105" t="s">
        <v>3334</v>
      </c>
      <c r="N1118" s="107" t="str">
        <f>VLOOKUP(M1118,[1]character_tribe_i18n!A:C,3,FALSE)</f>
        <v>デーモン</v>
      </c>
      <c r="O1118" s="105" t="s">
        <v>278</v>
      </c>
      <c r="P1118" s="107" t="str">
        <f>VLOOKUP(O1118,[1]character_tribe_i18n!A:C,3,FALSE)</f>
        <v>種族なし</v>
      </c>
      <c r="Q1118" s="110" t="s">
        <v>539</v>
      </c>
      <c r="R1118" s="178">
        <v>3</v>
      </c>
      <c r="S1118" s="108" t="s">
        <v>280</v>
      </c>
      <c r="T1118" s="108" t="s">
        <v>2950</v>
      </c>
      <c r="U1118" s="108" t="s">
        <v>280</v>
      </c>
      <c r="V1118" s="108" t="s">
        <v>280</v>
      </c>
      <c r="W1118" s="108" t="s">
        <v>280</v>
      </c>
    </row>
    <row r="1119" spans="1:23" ht="22" customHeight="1" x14ac:dyDescent="0.15">
      <c r="A1119" s="104">
        <v>1118</v>
      </c>
      <c r="B1119" s="105" t="s">
        <v>268</v>
      </c>
      <c r="C1119" s="133" t="s">
        <v>3335</v>
      </c>
      <c r="D1119" s="123" t="s">
        <v>1467</v>
      </c>
      <c r="E1119" s="108" t="s">
        <v>554</v>
      </c>
      <c r="F1119" s="114" t="s">
        <v>272</v>
      </c>
      <c r="G1119" s="114" t="s">
        <v>273</v>
      </c>
      <c r="H1119" s="180" t="s">
        <v>295</v>
      </c>
      <c r="I1119" s="133">
        <v>6</v>
      </c>
      <c r="J1119" s="115" t="s">
        <v>1856</v>
      </c>
      <c r="K1119" s="105" t="s">
        <v>1348</v>
      </c>
      <c r="L1119" s="107" t="str">
        <f ca="1">VLOOKUP($K1119,OFFSET([1]character_type_i18n!$A$1,0,0,COUNTA([1]character_type_i18n!$A:$A),MATCH(L$1,[1]character_type_i18n!$1:$1,0)-MATCH($K$1,[1]character_type_i18n!$1:$1,0)+1),MATCH(L$1,[1]character_type_i18n!$1:$1,0)-MATCH($K$1,[1]character_type_i18n!$1:$1,0)+1,FALSE)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19" s="105" t="s">
        <v>1011</v>
      </c>
      <c r="N1119" s="107" t="str">
        <f>VLOOKUP(M1119,[1]character_tribe_i18n!A:C,3,FALSE)</f>
        <v>ヒューマン</v>
      </c>
      <c r="O1119" s="105" t="s">
        <v>2578</v>
      </c>
      <c r="P1119" s="107" t="str">
        <f>VLOOKUP(O1119,[1]character_tribe_i18n!A:C,3,FALSE)</f>
        <v>ヒーロー</v>
      </c>
      <c r="Q1119" s="110" t="s">
        <v>539</v>
      </c>
      <c r="R1119" s="178">
        <v>3</v>
      </c>
      <c r="S1119" s="108" t="s">
        <v>280</v>
      </c>
      <c r="T1119" s="108" t="s">
        <v>2950</v>
      </c>
      <c r="U1119" s="108" t="s">
        <v>280</v>
      </c>
      <c r="V1119" s="108" t="s">
        <v>280</v>
      </c>
      <c r="W1119" s="108" t="s">
        <v>280</v>
      </c>
    </row>
    <row r="1120" spans="1:23" ht="21" customHeight="1" x14ac:dyDescent="0.15">
      <c r="A1120" s="104">
        <v>1119</v>
      </c>
      <c r="B1120" s="105" t="s">
        <v>268</v>
      </c>
      <c r="C1120" s="133" t="s">
        <v>3336</v>
      </c>
      <c r="D1120" s="123" t="s">
        <v>1467</v>
      </c>
      <c r="E1120" s="108" t="s">
        <v>554</v>
      </c>
      <c r="F1120" s="114" t="s">
        <v>272</v>
      </c>
      <c r="G1120" s="114" t="s">
        <v>273</v>
      </c>
      <c r="H1120" s="180" t="s">
        <v>300</v>
      </c>
      <c r="I1120" s="133">
        <v>6</v>
      </c>
      <c r="J1120" s="115" t="s">
        <v>1856</v>
      </c>
      <c r="K1120" s="105" t="s">
        <v>1441</v>
      </c>
      <c r="L1120" s="107" t="str">
        <f ca="1">VLOOKUP($K1120,OFFSET([1]character_type_i18n!$A$1,0,0,COUNTA([1]character_type_i18n!$A:$A),MATCH(L$1,[1]character_type_i18n!$1:$1,0)-MATCH($K$1,[1]character_type_i18n!$1:$1,0)+1),MATCH(L$1,[1]character_type_i18n!$1:$1,0)-MATCH($K$1,[1]character_type_i18n!$1:$1,0)+1,FALSE)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20" s="105" t="s">
        <v>1011</v>
      </c>
      <c r="N1120" s="107" t="str">
        <f>VLOOKUP(M1120,[1]character_tribe_i18n!A:C,3,FALSE)</f>
        <v>ヒューマン</v>
      </c>
      <c r="O1120" s="105" t="s">
        <v>2245</v>
      </c>
      <c r="P1120" s="107" t="str">
        <f>VLOOKUP(O1120,[1]character_tribe_i18n!A:C,3,FALSE)</f>
        <v>サムライ</v>
      </c>
      <c r="Q1120" s="110" t="s">
        <v>539</v>
      </c>
      <c r="R1120" s="178">
        <v>3</v>
      </c>
      <c r="S1120" s="108" t="s">
        <v>280</v>
      </c>
      <c r="T1120" s="108" t="s">
        <v>2950</v>
      </c>
      <c r="U1120" s="108" t="s">
        <v>280</v>
      </c>
      <c r="V1120" s="108" t="s">
        <v>280</v>
      </c>
      <c r="W1120" s="108" t="s">
        <v>280</v>
      </c>
    </row>
    <row r="1121" spans="1:23" ht="22" customHeight="1" x14ac:dyDescent="0.15">
      <c r="A1121" s="104">
        <v>1120</v>
      </c>
      <c r="B1121" s="105" t="s">
        <v>268</v>
      </c>
      <c r="C1121" s="133" t="s">
        <v>3337</v>
      </c>
      <c r="D1121" s="123" t="s">
        <v>1467</v>
      </c>
      <c r="E1121" s="108" t="s">
        <v>554</v>
      </c>
      <c r="F1121" s="114" t="s">
        <v>272</v>
      </c>
      <c r="G1121" s="114" t="s">
        <v>273</v>
      </c>
      <c r="H1121" s="180" t="s">
        <v>300</v>
      </c>
      <c r="I1121" s="133">
        <v>6</v>
      </c>
      <c r="J1121" s="115" t="s">
        <v>2422</v>
      </c>
      <c r="K1121" s="105" t="s">
        <v>1441</v>
      </c>
      <c r="L1121" s="107" t="str">
        <f ca="1">VLOOKUP($K1121,OFFSET([1]character_type_i18n!$A$1,0,0,COUNTA([1]character_type_i18n!$A:$A),MATCH(L$1,[1]character_type_i18n!$1:$1,0)-MATCH($K$1,[1]character_type_i18n!$1:$1,0)+1),MATCH(L$1,[1]character_type_i18n!$1:$1,0)-MATCH($K$1,[1]character_type_i18n!$1:$1,0)+1,FALSE)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21" s="105" t="s">
        <v>2059</v>
      </c>
      <c r="N1121" s="107" t="str">
        <f>VLOOKUP(M1121,[1]character_tribe_i18n!A:C,3,FALSE)</f>
        <v>ゴッド</v>
      </c>
      <c r="O1121" s="105" t="s">
        <v>278</v>
      </c>
      <c r="P1121" s="107" t="str">
        <f>VLOOKUP(O1121,[1]character_tribe_i18n!A:C,3,FALSE)</f>
        <v>種族なし</v>
      </c>
      <c r="Q1121" s="110" t="s">
        <v>539</v>
      </c>
      <c r="R1121" s="178">
        <v>3</v>
      </c>
      <c r="S1121" s="108" t="s">
        <v>280</v>
      </c>
      <c r="T1121" s="108" t="s">
        <v>2950</v>
      </c>
      <c r="U1121" s="108" t="s">
        <v>280</v>
      </c>
      <c r="V1121" s="108" t="s">
        <v>280</v>
      </c>
      <c r="W1121" s="108" t="s">
        <v>280</v>
      </c>
    </row>
    <row r="1122" spans="1:23" ht="21" customHeight="1" x14ac:dyDescent="0.15">
      <c r="A1122" s="104">
        <v>1121</v>
      </c>
      <c r="B1122" s="105" t="s">
        <v>268</v>
      </c>
      <c r="C1122" s="133" t="s">
        <v>3338</v>
      </c>
      <c r="D1122" s="123" t="s">
        <v>1467</v>
      </c>
      <c r="E1122" s="108" t="s">
        <v>554</v>
      </c>
      <c r="F1122" s="114" t="s">
        <v>272</v>
      </c>
      <c r="G1122" s="114" t="s">
        <v>273</v>
      </c>
      <c r="H1122" s="180" t="s">
        <v>285</v>
      </c>
      <c r="I1122" s="133">
        <v>6</v>
      </c>
      <c r="J1122" s="115" t="s">
        <v>3261</v>
      </c>
      <c r="K1122" s="105" t="s">
        <v>1780</v>
      </c>
      <c r="L1122" s="107" t="str">
        <f ca="1">VLOOKUP($K1122,OFFSET([1]character_type_i18n!$A$1,0,0,COUNTA([1]character_type_i18n!$A:$A),MATCH(L$1,[1]character_type_i18n!$1:$1,0)-MATCH($K$1,[1]character_type_i18n!$1:$1,0)+1),MATCH(L$1,[1]character_type_i18n!$1:$1,0)-MATCH($K$1,[1]character_type_i18n!$1:$1,0)+1,FALSE)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22" s="105" t="s">
        <v>1987</v>
      </c>
      <c r="N1122" s="107" t="str">
        <f>VLOOKUP(M1122,[1]character_tribe_i18n!A:C,3,FALSE)</f>
        <v>アカデミア</v>
      </c>
      <c r="O1122" s="105" t="s">
        <v>278</v>
      </c>
      <c r="P1122" s="107" t="str">
        <f>VLOOKUP(O1122,[1]character_tribe_i18n!A:C,3,FALSE)</f>
        <v>種族なし</v>
      </c>
      <c r="Q1122" s="110" t="s">
        <v>539</v>
      </c>
      <c r="R1122" s="178">
        <v>3</v>
      </c>
      <c r="S1122" s="108" t="s">
        <v>280</v>
      </c>
      <c r="T1122" s="108" t="s">
        <v>2950</v>
      </c>
      <c r="U1122" s="108" t="s">
        <v>280</v>
      </c>
      <c r="V1122" s="108" t="s">
        <v>280</v>
      </c>
      <c r="W1122" s="108" t="s">
        <v>280</v>
      </c>
    </row>
    <row r="1123" spans="1:23" ht="22" customHeight="1" x14ac:dyDescent="0.15">
      <c r="A1123" s="104">
        <v>1122</v>
      </c>
      <c r="B1123" s="105" t="s">
        <v>268</v>
      </c>
      <c r="C1123" s="133" t="s">
        <v>3339</v>
      </c>
      <c r="D1123" s="123" t="s">
        <v>1467</v>
      </c>
      <c r="E1123" s="108" t="s">
        <v>554</v>
      </c>
      <c r="F1123" s="114" t="s">
        <v>272</v>
      </c>
      <c r="G1123" s="114" t="s">
        <v>273</v>
      </c>
      <c r="H1123" s="180" t="s">
        <v>295</v>
      </c>
      <c r="I1123" s="133">
        <v>6</v>
      </c>
      <c r="J1123" s="115" t="s">
        <v>3261</v>
      </c>
      <c r="K1123" s="105" t="s">
        <v>1780</v>
      </c>
      <c r="L1123" s="107" t="str">
        <f ca="1">VLOOKUP($K1123,OFFSET([1]character_type_i18n!$A$1,0,0,COUNTA([1]character_type_i18n!$A:$A),MATCH(L$1,[1]character_type_i18n!$1:$1,0)-MATCH($K$1,[1]character_type_i18n!$1:$1,0)+1),MATCH(L$1,[1]character_type_i18n!$1:$1,0)-MATCH($K$1,[1]character_type_i18n!$1:$1,0)+1,FALSE)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23" s="105" t="s">
        <v>1987</v>
      </c>
      <c r="N1123" s="107" t="str">
        <f>VLOOKUP(M1123,[1]character_tribe_i18n!A:C,3,FALSE)</f>
        <v>アカデミア</v>
      </c>
      <c r="O1123" s="105" t="s">
        <v>1017</v>
      </c>
      <c r="P1123" s="107" t="str">
        <f>VLOOKUP(O1123,[1]character_tribe_i18n!A:C,3,FALSE)</f>
        <v>マシン</v>
      </c>
      <c r="Q1123" s="110" t="s">
        <v>539</v>
      </c>
      <c r="R1123" s="178">
        <v>3</v>
      </c>
      <c r="S1123" s="108" t="s">
        <v>280</v>
      </c>
      <c r="T1123" s="108" t="s">
        <v>2950</v>
      </c>
      <c r="U1123" s="108" t="s">
        <v>280</v>
      </c>
      <c r="V1123" s="108" t="s">
        <v>280</v>
      </c>
      <c r="W1123" s="108" t="s">
        <v>280</v>
      </c>
    </row>
    <row r="1124" spans="1:23" ht="21" customHeight="1" x14ac:dyDescent="0.15">
      <c r="A1124" s="104">
        <v>1123</v>
      </c>
      <c r="B1124" s="105" t="s">
        <v>268</v>
      </c>
      <c r="C1124" s="133" t="s">
        <v>3340</v>
      </c>
      <c r="D1124" s="123" t="s">
        <v>1467</v>
      </c>
      <c r="E1124" s="108" t="s">
        <v>554</v>
      </c>
      <c r="F1124" s="114" t="s">
        <v>272</v>
      </c>
      <c r="G1124" s="114" t="s">
        <v>273</v>
      </c>
      <c r="H1124" s="180" t="s">
        <v>295</v>
      </c>
      <c r="I1124" s="133">
        <v>6</v>
      </c>
      <c r="J1124" s="115" t="s">
        <v>3261</v>
      </c>
      <c r="K1124" s="105" t="s">
        <v>1780</v>
      </c>
      <c r="L1124" s="107" t="str">
        <f ca="1">VLOOKUP($K1124,OFFSET([1]character_type_i18n!$A$1,0,0,COUNTA([1]character_type_i18n!$A:$A),MATCH(L$1,[1]character_type_i18n!$1:$1,0)-MATCH($K$1,[1]character_type_i18n!$1:$1,0)+1),MATCH(L$1,[1]character_type_i18n!$1:$1,0)-MATCH($K$1,[1]character_type_i18n!$1:$1,0)+1,FALSE)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24" s="105" t="s">
        <v>1987</v>
      </c>
      <c r="N1124" s="107" t="str">
        <f>VLOOKUP(M1124,[1]character_tribe_i18n!A:C,3,FALSE)</f>
        <v>アカデミア</v>
      </c>
      <c r="O1124" s="105" t="s">
        <v>278</v>
      </c>
      <c r="P1124" s="107" t="str">
        <f>VLOOKUP(O1124,[1]character_tribe_i18n!A:C,3,FALSE)</f>
        <v>種族なし</v>
      </c>
      <c r="Q1124" s="110" t="s">
        <v>539</v>
      </c>
      <c r="R1124" s="178">
        <v>3</v>
      </c>
      <c r="S1124" s="108" t="s">
        <v>280</v>
      </c>
      <c r="T1124" s="108" t="s">
        <v>2950</v>
      </c>
      <c r="U1124" s="108" t="s">
        <v>280</v>
      </c>
      <c r="V1124" s="108" t="s">
        <v>280</v>
      </c>
      <c r="W1124" s="108" t="s">
        <v>280</v>
      </c>
    </row>
    <row r="1125" spans="1:23" ht="22" customHeight="1" x14ac:dyDescent="0.15">
      <c r="A1125" s="104">
        <v>1124</v>
      </c>
      <c r="B1125" s="105" t="s">
        <v>268</v>
      </c>
      <c r="C1125" s="133" t="s">
        <v>3341</v>
      </c>
      <c r="D1125" s="123" t="s">
        <v>1467</v>
      </c>
      <c r="E1125" s="108" t="s">
        <v>554</v>
      </c>
      <c r="F1125" s="114" t="s">
        <v>272</v>
      </c>
      <c r="G1125" s="114" t="s">
        <v>273</v>
      </c>
      <c r="H1125" s="180" t="s">
        <v>274</v>
      </c>
      <c r="I1125" s="133">
        <v>6</v>
      </c>
      <c r="J1125" s="115" t="s">
        <v>3261</v>
      </c>
      <c r="K1125" s="105" t="s">
        <v>1166</v>
      </c>
      <c r="L1125" s="107" t="str">
        <f ca="1">VLOOKUP($K1125,OFFSET([1]character_type_i18n!$A$1,0,0,COUNTA([1]character_type_i18n!$A:$A),MATCH(L$1,[1]character_type_i18n!$1:$1,0)-MATCH($K$1,[1]character_type_i18n!$1:$1,0)+1),MATCH(L$1,[1]character_type_i18n!$1:$1,0)-MATCH($K$1,[1]character_type_i18n!$1:$1,0)+1,FALSE)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25" s="105" t="s">
        <v>3324</v>
      </c>
      <c r="N1125" s="107" t="str">
        <f>VLOOKUP(M1125,[1]character_tribe_i18n!A:C,3,FALSE)</f>
        <v>アカデミア</v>
      </c>
      <c r="O1125" s="105" t="s">
        <v>278</v>
      </c>
      <c r="P1125" s="107" t="str">
        <f>VLOOKUP(O1125,[1]character_tribe_i18n!A:C,3,FALSE)</f>
        <v>種族なし</v>
      </c>
      <c r="Q1125" s="110" t="s">
        <v>539</v>
      </c>
      <c r="R1125" s="178">
        <v>3</v>
      </c>
      <c r="S1125" s="108" t="s">
        <v>280</v>
      </c>
      <c r="T1125" s="108" t="s">
        <v>2950</v>
      </c>
      <c r="U1125" s="108" t="s">
        <v>280</v>
      </c>
      <c r="V1125" s="108" t="s">
        <v>280</v>
      </c>
      <c r="W1125" s="108" t="s">
        <v>280</v>
      </c>
    </row>
    <row r="1126" spans="1:23" ht="21" customHeight="1" x14ac:dyDescent="0.15">
      <c r="A1126" s="104">
        <v>1125</v>
      </c>
      <c r="B1126" s="105" t="s">
        <v>268</v>
      </c>
      <c r="C1126" s="133" t="s">
        <v>3342</v>
      </c>
      <c r="D1126" s="123" t="s">
        <v>3343</v>
      </c>
      <c r="E1126" s="108" t="s">
        <v>554</v>
      </c>
      <c r="F1126" s="114" t="s">
        <v>272</v>
      </c>
      <c r="G1126" s="114" t="s">
        <v>273</v>
      </c>
      <c r="H1126" s="180" t="s">
        <v>274</v>
      </c>
      <c r="I1126" s="133">
        <v>6</v>
      </c>
      <c r="J1126" s="115" t="s">
        <v>1180</v>
      </c>
      <c r="K1126" s="105" t="s">
        <v>1505</v>
      </c>
      <c r="L1126" s="107" t="str">
        <f ca="1">VLOOKUP($K1126,OFFSET([1]character_type_i18n!$A$1,0,0,COUNTA([1]character_type_i18n!$A:$A),MATCH(L$1,[1]character_type_i18n!$1:$1,0)-MATCH($K$1,[1]character_type_i18n!$1:$1,0)+1),MATCH(L$1,[1]character_type_i18n!$1:$1,0)-MATCH($K$1,[1]character_type_i18n!$1:$1,0)+1,FALSE)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26" s="105" t="s">
        <v>1987</v>
      </c>
      <c r="N1126" s="107" t="str">
        <f>VLOOKUP(M1126,[1]character_tribe_i18n!A:C,3,FALSE)</f>
        <v>アカデミア</v>
      </c>
      <c r="O1126" s="105" t="s">
        <v>1167</v>
      </c>
      <c r="P1126" s="107" t="str">
        <f>VLOOKUP(O1126,[1]character_tribe_i18n!A:C,3,FALSE)</f>
        <v>アニマル</v>
      </c>
      <c r="Q1126" s="110" t="s">
        <v>539</v>
      </c>
      <c r="R1126" s="178">
        <v>3</v>
      </c>
      <c r="S1126" s="108" t="s">
        <v>280</v>
      </c>
      <c r="T1126" s="108" t="s">
        <v>2950</v>
      </c>
      <c r="U1126" s="108" t="s">
        <v>280</v>
      </c>
      <c r="V1126" s="108" t="s">
        <v>280</v>
      </c>
      <c r="W1126" s="108" t="s">
        <v>280</v>
      </c>
    </row>
    <row r="1127" spans="1:23" ht="22" customHeight="1" x14ac:dyDescent="0.15">
      <c r="A1127" s="104">
        <v>1126</v>
      </c>
      <c r="B1127" s="105" t="s">
        <v>268</v>
      </c>
      <c r="C1127" s="133" t="s">
        <v>3344</v>
      </c>
      <c r="D1127" s="123" t="s">
        <v>1467</v>
      </c>
      <c r="E1127" s="108" t="s">
        <v>554</v>
      </c>
      <c r="F1127" s="114" t="s">
        <v>272</v>
      </c>
      <c r="G1127" s="114" t="s">
        <v>273</v>
      </c>
      <c r="H1127" s="180" t="s">
        <v>285</v>
      </c>
      <c r="I1127" s="133">
        <v>6</v>
      </c>
      <c r="J1127" s="115" t="s">
        <v>1980</v>
      </c>
      <c r="K1127" s="105" t="s">
        <v>1699</v>
      </c>
      <c r="L1127" s="107" t="str">
        <f ca="1">VLOOKUP($K1127,OFFSET([1]character_type_i18n!$A$1,0,0,COUNTA([1]character_type_i18n!$A:$A),MATCH(L$1,[1]character_type_i18n!$1:$1,0)-MATCH($K$1,[1]character_type_i18n!$1:$1,0)+1),MATCH(L$1,[1]character_type_i18n!$1:$1,0)-MATCH($K$1,[1]character_type_i18n!$1:$1,0)+1,FALSE)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27" s="105" t="s">
        <v>3345</v>
      </c>
      <c r="N1127" s="107" t="str">
        <f>VLOOKUP(M1127,[1]character_tribe_i18n!A:C,3,FALSE)</f>
        <v>アカデミア</v>
      </c>
      <c r="O1127" s="105" t="s">
        <v>1017</v>
      </c>
      <c r="P1127" s="107" t="str">
        <f>VLOOKUP(O1127,[1]character_tribe_i18n!A:C,3,FALSE)</f>
        <v>マシン</v>
      </c>
      <c r="Q1127" s="110" t="s">
        <v>279</v>
      </c>
      <c r="R1127" s="178">
        <v>3</v>
      </c>
      <c r="S1127" s="108" t="s">
        <v>280</v>
      </c>
      <c r="T1127" s="108" t="s">
        <v>2950</v>
      </c>
      <c r="U1127" s="108" t="s">
        <v>280</v>
      </c>
      <c r="V1127" s="108" t="s">
        <v>280</v>
      </c>
      <c r="W1127" s="108" t="s">
        <v>280</v>
      </c>
    </row>
    <row r="1128" spans="1:23" ht="21" customHeight="1" x14ac:dyDescent="0.15">
      <c r="A1128" s="104">
        <v>1127</v>
      </c>
      <c r="B1128" s="105" t="s">
        <v>268</v>
      </c>
      <c r="C1128" s="133" t="s">
        <v>3346</v>
      </c>
      <c r="D1128" s="123" t="s">
        <v>1467</v>
      </c>
      <c r="E1128" s="108" t="s">
        <v>554</v>
      </c>
      <c r="F1128" s="114" t="s">
        <v>272</v>
      </c>
      <c r="G1128" s="114" t="s">
        <v>273</v>
      </c>
      <c r="H1128" s="180" t="s">
        <v>295</v>
      </c>
      <c r="I1128" s="133">
        <v>6</v>
      </c>
      <c r="J1128" s="115" t="s">
        <v>1980</v>
      </c>
      <c r="K1128" s="105" t="s">
        <v>1441</v>
      </c>
      <c r="L1128" s="107" t="str">
        <f ca="1">VLOOKUP($K1128,OFFSET([1]character_type_i18n!$A$1,0,0,COUNTA([1]character_type_i18n!$A:$A),MATCH(L$1,[1]character_type_i18n!$1:$1,0)-MATCH($K$1,[1]character_type_i18n!$1:$1,0)+1),MATCH(L$1,[1]character_type_i18n!$1:$1,0)-MATCH($K$1,[1]character_type_i18n!$1:$1,0)+1,FALSE)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28" s="105" t="s">
        <v>1987</v>
      </c>
      <c r="N1128" s="107" t="str">
        <f>VLOOKUP(M1128,[1]character_tribe_i18n!A:C,3,FALSE)</f>
        <v>アカデミア</v>
      </c>
      <c r="O1128" s="105" t="s">
        <v>313</v>
      </c>
      <c r="P1128" s="107" t="str">
        <f>VLOOKUP(O1128,[1]character_tribe_i18n!A:C,3,FALSE)</f>
        <v>アニマル</v>
      </c>
      <c r="Q1128" s="110" t="s">
        <v>3347</v>
      </c>
      <c r="R1128" s="178">
        <v>3</v>
      </c>
      <c r="S1128" s="108" t="s">
        <v>280</v>
      </c>
      <c r="T1128" s="108" t="s">
        <v>2950</v>
      </c>
      <c r="U1128" s="108" t="s">
        <v>280</v>
      </c>
      <c r="V1128" s="108" t="s">
        <v>280</v>
      </c>
      <c r="W1128" s="108" t="s">
        <v>280</v>
      </c>
    </row>
    <row r="1129" spans="1:23" ht="22" customHeight="1" x14ac:dyDescent="0.15">
      <c r="A1129" s="104">
        <v>1128</v>
      </c>
      <c r="B1129" s="105" t="s">
        <v>268</v>
      </c>
      <c r="C1129" s="133" t="s">
        <v>3348</v>
      </c>
      <c r="D1129" s="123" t="s">
        <v>3349</v>
      </c>
      <c r="E1129" s="108" t="s">
        <v>3350</v>
      </c>
      <c r="F1129" s="114" t="s">
        <v>272</v>
      </c>
      <c r="G1129" s="114" t="s">
        <v>273</v>
      </c>
      <c r="H1129" s="180" t="s">
        <v>300</v>
      </c>
      <c r="I1129" s="133">
        <v>6</v>
      </c>
      <c r="J1129" s="115" t="s">
        <v>3261</v>
      </c>
      <c r="K1129" s="105" t="s">
        <v>1166</v>
      </c>
      <c r="L1129" s="107" t="str">
        <f ca="1">VLOOKUP($K1129,OFFSET([1]character_type_i18n!$A$1,0,0,COUNTA([1]character_type_i18n!$A:$A),MATCH(L$1,[1]character_type_i18n!$1:$1,0)-MATCH($K$1,[1]character_type_i18n!$1:$1,0)+1),MATCH(L$1,[1]character_type_i18n!$1:$1,0)-MATCH($K$1,[1]character_type_i18n!$1:$1,0)+1,FALSE)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29" s="105" t="s">
        <v>3324</v>
      </c>
      <c r="N1129" s="107" t="str">
        <f>VLOOKUP(M1129,[1]character_tribe_i18n!A:C,3,FALSE)</f>
        <v>アカデミア</v>
      </c>
      <c r="O1129" s="105" t="s">
        <v>278</v>
      </c>
      <c r="P1129" s="107" t="str">
        <f>VLOOKUP(O1129,[1]character_tribe_i18n!A:C,3,FALSE)</f>
        <v>種族なし</v>
      </c>
      <c r="Q1129" s="110" t="s">
        <v>362</v>
      </c>
      <c r="R1129" s="178">
        <v>2</v>
      </c>
      <c r="S1129" s="108" t="s">
        <v>289</v>
      </c>
      <c r="T1129" s="108" t="s">
        <v>3351</v>
      </c>
      <c r="U1129" s="108" t="s">
        <v>289</v>
      </c>
      <c r="V1129" s="108" t="s">
        <v>289</v>
      </c>
      <c r="W1129" s="108" t="s">
        <v>289</v>
      </c>
    </row>
    <row r="1130" spans="1:23" ht="21" customHeight="1" x14ac:dyDescent="0.15">
      <c r="A1130" s="104">
        <v>1129</v>
      </c>
      <c r="B1130" s="105" t="s">
        <v>292</v>
      </c>
      <c r="C1130" s="133" t="s">
        <v>3352</v>
      </c>
      <c r="D1130" s="123" t="s">
        <v>3353</v>
      </c>
      <c r="E1130" s="108" t="s">
        <v>1953</v>
      </c>
      <c r="F1130" s="114" t="s">
        <v>272</v>
      </c>
      <c r="G1130" s="114" t="s">
        <v>273</v>
      </c>
      <c r="H1130" s="180" t="s">
        <v>274</v>
      </c>
      <c r="I1130" s="133">
        <v>4</v>
      </c>
      <c r="J1130" s="115" t="s">
        <v>2050</v>
      </c>
      <c r="K1130" s="105" t="s">
        <v>1441</v>
      </c>
      <c r="L1130" s="107" t="str">
        <f ca="1">VLOOKUP($K1130,OFFSET([1]character_type_i18n!$A$1,0,0,COUNTA([1]character_type_i18n!$A:$A),MATCH(L$1,[1]character_type_i18n!$1:$1,0)-MATCH($K$1,[1]character_type_i18n!$1:$1,0)+1),MATCH(L$1,[1]character_type_i18n!$1:$1,0)-MATCH($K$1,[1]character_type_i18n!$1:$1,0)+1,FALSE)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30" s="105" t="s">
        <v>1172</v>
      </c>
      <c r="N1130" s="107" t="str">
        <f>VLOOKUP(M1130,[1]character_tribe_i18n!A:C,3,FALSE)</f>
        <v>アニマル</v>
      </c>
      <c r="O1130" s="105" t="s">
        <v>278</v>
      </c>
      <c r="P1130" s="107" t="str">
        <f>VLOOKUP(O1130,[1]character_tribe_i18n!A:C,3,FALSE)</f>
        <v>種族なし</v>
      </c>
      <c r="Q1130" s="110" t="s">
        <v>362</v>
      </c>
      <c r="R1130" s="178">
        <v>3</v>
      </c>
      <c r="S1130" s="108" t="s">
        <v>289</v>
      </c>
      <c r="T1130" s="108" t="s">
        <v>288</v>
      </c>
      <c r="U1130" s="108" t="s">
        <v>289</v>
      </c>
      <c r="V1130" s="108" t="s">
        <v>289</v>
      </c>
      <c r="W1130" s="108" t="s">
        <v>289</v>
      </c>
    </row>
    <row r="1131" spans="1:23" ht="22" customHeight="1" x14ac:dyDescent="0.15">
      <c r="A1131" s="104">
        <v>1130</v>
      </c>
      <c r="B1131" s="105" t="s">
        <v>292</v>
      </c>
      <c r="C1131" s="133" t="s">
        <v>3354</v>
      </c>
      <c r="D1131" s="123" t="s">
        <v>3353</v>
      </c>
      <c r="E1131" s="108" t="s">
        <v>1953</v>
      </c>
      <c r="F1131" s="114" t="s">
        <v>272</v>
      </c>
      <c r="G1131" s="114" t="s">
        <v>273</v>
      </c>
      <c r="H1131" s="180" t="s">
        <v>274</v>
      </c>
      <c r="I1131" s="133">
        <v>5</v>
      </c>
      <c r="J1131" s="115" t="s">
        <v>2050</v>
      </c>
      <c r="K1131" s="105" t="s">
        <v>1441</v>
      </c>
      <c r="L1131" s="107" t="str">
        <f ca="1">VLOOKUP($K1131,OFFSET([1]character_type_i18n!$A$1,0,0,COUNTA([1]character_type_i18n!$A:$A),MATCH(L$1,[1]character_type_i18n!$1:$1,0)-MATCH($K$1,[1]character_type_i18n!$1:$1,0)+1),MATCH(L$1,[1]character_type_i18n!$1:$1,0)-MATCH($K$1,[1]character_type_i18n!$1:$1,0)+1,FALSE)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31" s="105" t="s">
        <v>1172</v>
      </c>
      <c r="N1131" s="107" t="str">
        <f>VLOOKUP(M1131,[1]character_tribe_i18n!A:C,3,FALSE)</f>
        <v>アニマル</v>
      </c>
      <c r="O1131" s="105" t="s">
        <v>278</v>
      </c>
      <c r="P1131" s="107" t="str">
        <f>VLOOKUP(O1131,[1]character_tribe_i18n!A:C,3,FALSE)</f>
        <v>種族なし</v>
      </c>
      <c r="Q1131" s="110" t="s">
        <v>366</v>
      </c>
      <c r="R1131" s="178">
        <v>3</v>
      </c>
      <c r="S1131" s="108" t="s">
        <v>367</v>
      </c>
      <c r="T1131" s="108" t="s">
        <v>368</v>
      </c>
      <c r="U1131" s="108" t="s">
        <v>367</v>
      </c>
      <c r="V1131" s="108" t="s">
        <v>367</v>
      </c>
      <c r="W1131" s="108" t="s">
        <v>367</v>
      </c>
    </row>
    <row r="1132" spans="1:23" ht="21" customHeight="1" x14ac:dyDescent="0.15">
      <c r="A1132" s="104">
        <v>1131</v>
      </c>
      <c r="B1132" s="105" t="s">
        <v>945</v>
      </c>
      <c r="C1132" s="133" t="s">
        <v>3355</v>
      </c>
      <c r="D1132" s="123" t="s">
        <v>3356</v>
      </c>
      <c r="E1132" s="108" t="s">
        <v>3357</v>
      </c>
      <c r="F1132" s="114" t="s">
        <v>272</v>
      </c>
      <c r="G1132" s="114" t="s">
        <v>273</v>
      </c>
      <c r="H1132" s="180" t="s">
        <v>285</v>
      </c>
      <c r="I1132" s="133">
        <v>5</v>
      </c>
      <c r="J1132" s="109" t="s">
        <v>3358</v>
      </c>
      <c r="K1132" s="105" t="s">
        <v>3359</v>
      </c>
      <c r="L1132" s="107" t="str">
        <f ca="1">VLOOKUP($K1132,OFFSET([1]character_type_i18n!$A$1,0,0,COUNTA([1]character_type_i18n!$A:$A),MATCH(L$1,[1]character_type_i18n!$1:$1,0)-MATCH($K$1,[1]character_type_i18n!$1:$1,0)+1),MATCH(L$1,[1]character_type_i18n!$1:$1,0)-MATCH($K$1,[1]character_type_i18n!$1:$1,0)+1,FALSE)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32" s="105" t="s">
        <v>3360</v>
      </c>
      <c r="N1132" s="107" t="str">
        <f>VLOOKUP(M1132,[1]character_tribe_i18n!A:C,3,FALSE)</f>
        <v>サムライ</v>
      </c>
      <c r="O1132" s="105" t="s">
        <v>3361</v>
      </c>
      <c r="P1132" s="107" t="str">
        <f>VLOOKUP(O1132,[1]character_tribe_i18n!A:C,3,FALSE)</f>
        <v>ヒューマン</v>
      </c>
      <c r="Q1132" s="110" t="s">
        <v>3362</v>
      </c>
      <c r="R1132" s="178">
        <v>3</v>
      </c>
      <c r="S1132" s="108" t="s">
        <v>943</v>
      </c>
      <c r="T1132" s="108" t="s">
        <v>3099</v>
      </c>
      <c r="U1132" s="108" t="s">
        <v>3098</v>
      </c>
      <c r="V1132" s="108" t="s">
        <v>943</v>
      </c>
      <c r="W1132" s="108" t="s">
        <v>943</v>
      </c>
    </row>
    <row r="1133" spans="1:23" ht="22" customHeight="1" x14ac:dyDescent="0.15">
      <c r="A1133" s="104">
        <v>1132</v>
      </c>
      <c r="B1133" s="105" t="s">
        <v>945</v>
      </c>
      <c r="C1133" s="133" t="s">
        <v>3363</v>
      </c>
      <c r="D1133" s="123" t="s">
        <v>3364</v>
      </c>
      <c r="E1133" s="108" t="s">
        <v>3365</v>
      </c>
      <c r="F1133" s="114" t="s">
        <v>272</v>
      </c>
      <c r="G1133" s="114" t="s">
        <v>273</v>
      </c>
      <c r="H1133" s="180" t="s">
        <v>285</v>
      </c>
      <c r="I1133" s="133">
        <v>6</v>
      </c>
      <c r="J1133" s="109" t="s">
        <v>3366</v>
      </c>
      <c r="K1133" s="105" t="s">
        <v>3367</v>
      </c>
      <c r="L1133" s="107" t="str">
        <f ca="1">VLOOKUP($K1133,OFFSET([1]character_type_i18n!$A$1,0,0,COUNTA([1]character_type_i18n!$A:$A),MATCH(L$1,[1]character_type_i18n!$1:$1,0)-MATCH($K$1,[1]character_type_i18n!$1:$1,0)+1),MATCH(L$1,[1]character_type_i18n!$1:$1,0)-MATCH($K$1,[1]character_type_i18n!$1:$1,0)+1,FALSE)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33" s="105" t="s">
        <v>3368</v>
      </c>
      <c r="N1133" s="107" t="str">
        <f>VLOOKUP(M1133,[1]character_tribe_i18n!A:C,3,FALSE)</f>
        <v>サムライ</v>
      </c>
      <c r="O1133" s="105" t="s">
        <v>3369</v>
      </c>
      <c r="P1133" s="107" t="str">
        <f>VLOOKUP(O1133,[1]character_tribe_i18n!A:C,3,FALSE)</f>
        <v>ヒューマン</v>
      </c>
      <c r="Q1133" s="110" t="s">
        <v>3370</v>
      </c>
      <c r="R1133" s="178">
        <v>3</v>
      </c>
      <c r="S1133" s="108" t="s">
        <v>3371</v>
      </c>
      <c r="T1133" s="108" t="s">
        <v>3372</v>
      </c>
      <c r="U1133" s="108" t="s">
        <v>887</v>
      </c>
      <c r="V1133" s="108" t="s">
        <v>887</v>
      </c>
      <c r="W1133" s="108" t="s">
        <v>887</v>
      </c>
    </row>
    <row r="1134" spans="1:23" ht="21" customHeight="1" x14ac:dyDescent="0.15">
      <c r="A1134" s="104">
        <v>1133</v>
      </c>
      <c r="B1134" s="105" t="s">
        <v>1288</v>
      </c>
      <c r="C1134" s="133" t="s">
        <v>3373</v>
      </c>
      <c r="D1134" s="123" t="s">
        <v>3374</v>
      </c>
      <c r="E1134" s="108" t="s">
        <v>3375</v>
      </c>
      <c r="F1134" s="114" t="s">
        <v>272</v>
      </c>
      <c r="G1134" s="114" t="s">
        <v>273</v>
      </c>
      <c r="H1134" s="180" t="s">
        <v>300</v>
      </c>
      <c r="I1134" s="133">
        <v>5</v>
      </c>
      <c r="J1134" s="109" t="s">
        <v>2069</v>
      </c>
      <c r="K1134" s="105" t="s">
        <v>2953</v>
      </c>
      <c r="L1134" s="107" t="str">
        <f ca="1">VLOOKUP($K1134,OFFSET([1]character_type_i18n!$A$1,0,0,COUNTA([1]character_type_i18n!$A:$A),MATCH(L$1,[1]character_type_i18n!$1:$1,0)-MATCH($K$1,[1]character_type_i18n!$1:$1,0)+1),MATCH(L$1,[1]character_type_i18n!$1:$1,0)-MATCH($K$1,[1]character_type_i18n!$1:$1,0)+1,FALSE)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34" s="105" t="s">
        <v>3376</v>
      </c>
      <c r="N1134" s="107" t="str">
        <f>VLOOKUP(M1134,[1]character_tribe_i18n!A:C,3,FALSE)</f>
        <v>サムライ</v>
      </c>
      <c r="O1134" s="105" t="s">
        <v>1466</v>
      </c>
      <c r="P1134" s="107" t="str">
        <f>VLOOKUP(O1134,[1]character_tribe_i18n!A:C,3,FALSE)</f>
        <v>ヒューマン</v>
      </c>
      <c r="Q1134" s="110" t="s">
        <v>799</v>
      </c>
      <c r="R1134" s="178">
        <v>3</v>
      </c>
      <c r="S1134" s="108" t="s">
        <v>771</v>
      </c>
      <c r="T1134" s="108" t="s">
        <v>3099</v>
      </c>
      <c r="U1134" s="108" t="s">
        <v>3098</v>
      </c>
      <c r="V1134" s="108" t="s">
        <v>771</v>
      </c>
      <c r="W1134" s="108" t="s">
        <v>771</v>
      </c>
    </row>
    <row r="1135" spans="1:23" ht="22" customHeight="1" x14ac:dyDescent="0.15">
      <c r="A1135" s="104">
        <v>1134</v>
      </c>
      <c r="B1135" s="105" t="s">
        <v>336</v>
      </c>
      <c r="C1135" s="133" t="s">
        <v>3377</v>
      </c>
      <c r="D1135" s="123" t="s">
        <v>3364</v>
      </c>
      <c r="E1135" s="108" t="s">
        <v>3378</v>
      </c>
      <c r="F1135" s="114" t="s">
        <v>272</v>
      </c>
      <c r="G1135" s="114" t="s">
        <v>273</v>
      </c>
      <c r="H1135" s="180" t="s">
        <v>300</v>
      </c>
      <c r="I1135" s="133">
        <v>6</v>
      </c>
      <c r="J1135" s="109" t="s">
        <v>2069</v>
      </c>
      <c r="K1135" s="105" t="s">
        <v>2953</v>
      </c>
      <c r="L1135" s="107" t="str">
        <f ca="1">VLOOKUP($K1135,OFFSET([1]character_type_i18n!$A$1,0,0,COUNTA([1]character_type_i18n!$A:$A),MATCH(L$1,[1]character_type_i18n!$1:$1,0)-MATCH($K$1,[1]character_type_i18n!$1:$1,0)+1),MATCH(L$1,[1]character_type_i18n!$1:$1,0)-MATCH($K$1,[1]character_type_i18n!$1:$1,0)+1,FALSE)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35" s="105" t="s">
        <v>3376</v>
      </c>
      <c r="N1135" s="107" t="str">
        <f>VLOOKUP(M1135,[1]character_tribe_i18n!A:C,3,FALSE)</f>
        <v>サムライ</v>
      </c>
      <c r="O1135" s="105" t="s">
        <v>1249</v>
      </c>
      <c r="P1135" s="107" t="str">
        <f>VLOOKUP(O1135,[1]character_tribe_i18n!A:C,3,FALSE)</f>
        <v>ヒューマン</v>
      </c>
      <c r="Q1135" s="110" t="s">
        <v>1656</v>
      </c>
      <c r="R1135" s="178">
        <v>3</v>
      </c>
      <c r="S1135" s="108" t="s">
        <v>898</v>
      </c>
      <c r="T1135" s="108" t="s">
        <v>281</v>
      </c>
      <c r="U1135" s="108" t="s">
        <v>280</v>
      </c>
      <c r="V1135" s="108" t="s">
        <v>894</v>
      </c>
      <c r="W1135" s="108" t="s">
        <v>894</v>
      </c>
    </row>
    <row r="1136" spans="1:23" ht="21" customHeight="1" x14ac:dyDescent="0.15">
      <c r="A1136" s="104">
        <v>1135</v>
      </c>
      <c r="B1136" s="105" t="s">
        <v>1261</v>
      </c>
      <c r="C1136" s="133" t="s">
        <v>3379</v>
      </c>
      <c r="D1136" s="123" t="s">
        <v>3284</v>
      </c>
      <c r="E1136" s="108" t="s">
        <v>559</v>
      </c>
      <c r="F1136" s="114" t="s">
        <v>272</v>
      </c>
      <c r="G1136" s="114" t="s">
        <v>273</v>
      </c>
      <c r="H1136" s="180" t="s">
        <v>285</v>
      </c>
      <c r="I1136" s="133">
        <v>5</v>
      </c>
      <c r="J1136" s="115" t="s">
        <v>3380</v>
      </c>
      <c r="K1136" s="105" t="s">
        <v>3381</v>
      </c>
      <c r="L1136" s="107" t="str">
        <f ca="1">VLOOKUP($K1136,OFFSET([1]character_type_i18n!$A$1,0,0,COUNTA([1]character_type_i18n!$A:$A),MATCH(L$1,[1]character_type_i18n!$1:$1,0)-MATCH($K$1,[1]character_type_i18n!$1:$1,0)+1),MATCH(L$1,[1]character_type_i18n!$1:$1,0)-MATCH($K$1,[1]character_type_i18n!$1:$1,0)+1,FALSE)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36" s="105" t="s">
        <v>2245</v>
      </c>
      <c r="N1136" s="107" t="str">
        <f>VLOOKUP(M1136,[1]character_tribe_i18n!A:C,3,FALSE)</f>
        <v>サムライ</v>
      </c>
      <c r="O1136" s="105" t="s">
        <v>1011</v>
      </c>
      <c r="P1136" s="107" t="str">
        <f>VLOOKUP(O1136,[1]character_tribe_i18n!A:C,3,FALSE)</f>
        <v>ヒューマン</v>
      </c>
      <c r="Q1136" s="110" t="s">
        <v>2198</v>
      </c>
      <c r="R1136" s="178">
        <v>3</v>
      </c>
      <c r="S1136" s="108" t="s">
        <v>2021</v>
      </c>
      <c r="T1136" s="108" t="s">
        <v>281</v>
      </c>
      <c r="U1136" s="108" t="s">
        <v>280</v>
      </c>
      <c r="V1136" s="108" t="s">
        <v>894</v>
      </c>
      <c r="W1136" s="108" t="s">
        <v>894</v>
      </c>
    </row>
    <row r="1137" spans="1:23" ht="22" customHeight="1" x14ac:dyDescent="0.15">
      <c r="A1137" s="104">
        <v>1136</v>
      </c>
      <c r="B1137" s="105" t="s">
        <v>1261</v>
      </c>
      <c r="C1137" s="133" t="s">
        <v>3382</v>
      </c>
      <c r="D1137" s="123" t="s">
        <v>1467</v>
      </c>
      <c r="E1137" s="108" t="s">
        <v>3383</v>
      </c>
      <c r="F1137" s="114" t="s">
        <v>272</v>
      </c>
      <c r="G1137" s="114" t="s">
        <v>273</v>
      </c>
      <c r="H1137" s="180" t="s">
        <v>285</v>
      </c>
      <c r="I1137" s="133">
        <v>6</v>
      </c>
      <c r="J1137" s="115" t="s">
        <v>3384</v>
      </c>
      <c r="K1137" s="105" t="s">
        <v>1273</v>
      </c>
      <c r="L1137" s="107" t="str">
        <f ca="1">VLOOKUP($K1137,OFFSET([1]character_type_i18n!$A$1,0,0,COUNTA([1]character_type_i18n!$A:$A),MATCH(L$1,[1]character_type_i18n!$1:$1,0)-MATCH($K$1,[1]character_type_i18n!$1:$1,0)+1),MATCH(L$1,[1]character_type_i18n!$1:$1,0)-MATCH($K$1,[1]character_type_i18n!$1:$1,0)+1,FALSE)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37" s="105" t="s">
        <v>3385</v>
      </c>
      <c r="N1137" s="107" t="str">
        <f>VLOOKUP(M1137,[1]character_tribe_i18n!A:C,3,FALSE)</f>
        <v>サムライ</v>
      </c>
      <c r="O1137" s="105" t="s">
        <v>1011</v>
      </c>
      <c r="P1137" s="107" t="str">
        <f>VLOOKUP(O1137,[1]character_tribe_i18n!A:C,3,FALSE)</f>
        <v>ヒューマン</v>
      </c>
      <c r="Q1137" s="110" t="s">
        <v>279</v>
      </c>
      <c r="R1137" s="178">
        <v>3</v>
      </c>
      <c r="S1137" s="108" t="s">
        <v>280</v>
      </c>
      <c r="T1137" s="108" t="s">
        <v>893</v>
      </c>
      <c r="U1137" s="108" t="s">
        <v>898</v>
      </c>
      <c r="V1137" s="108" t="s">
        <v>894</v>
      </c>
      <c r="W1137" s="108" t="s">
        <v>894</v>
      </c>
    </row>
    <row r="1138" spans="1:23" ht="21" customHeight="1" x14ac:dyDescent="0.15">
      <c r="A1138" s="104">
        <v>1137</v>
      </c>
      <c r="B1138" s="105" t="s">
        <v>1261</v>
      </c>
      <c r="C1138" s="133" t="s">
        <v>3386</v>
      </c>
      <c r="D1138" s="123" t="s">
        <v>3270</v>
      </c>
      <c r="E1138" s="108" t="s">
        <v>3271</v>
      </c>
      <c r="F1138" s="114" t="s">
        <v>272</v>
      </c>
      <c r="G1138" s="114" t="s">
        <v>273</v>
      </c>
      <c r="H1138" s="180" t="s">
        <v>274</v>
      </c>
      <c r="I1138" s="133">
        <v>5</v>
      </c>
      <c r="J1138" s="115" t="s">
        <v>3297</v>
      </c>
      <c r="K1138" s="105" t="s">
        <v>1166</v>
      </c>
      <c r="L1138" s="107" t="str">
        <f ca="1">VLOOKUP($K1138,OFFSET([1]character_type_i18n!$A$1,0,0,COUNTA([1]character_type_i18n!$A:$A),MATCH(L$1,[1]character_type_i18n!$1:$1,0)-MATCH($K$1,[1]character_type_i18n!$1:$1,0)+1),MATCH(L$1,[1]character_type_i18n!$1:$1,0)-MATCH($K$1,[1]character_type_i18n!$1:$1,0)+1,FALSE)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38" s="105" t="s">
        <v>3312</v>
      </c>
      <c r="N1138" s="107" t="str">
        <f>VLOOKUP(M1138,[1]character_tribe_i18n!A:C,3,FALSE)</f>
        <v>サムライ</v>
      </c>
      <c r="O1138" s="105" t="s">
        <v>2969</v>
      </c>
      <c r="P1138" s="107" t="str">
        <f>VLOOKUP(O1138,[1]character_tribe_i18n!A:C,3,FALSE)</f>
        <v>ヒューマン</v>
      </c>
      <c r="Q1138" s="110" t="s">
        <v>1682</v>
      </c>
      <c r="R1138" s="178">
        <v>3</v>
      </c>
      <c r="S1138" s="108" t="s">
        <v>611</v>
      </c>
      <c r="T1138" s="108" t="s">
        <v>893</v>
      </c>
      <c r="U1138" s="108" t="s">
        <v>898</v>
      </c>
      <c r="V1138" s="108" t="s">
        <v>894</v>
      </c>
      <c r="W1138" s="108" t="s">
        <v>894</v>
      </c>
    </row>
    <row r="1139" spans="1:23" ht="22" customHeight="1" x14ac:dyDescent="0.15">
      <c r="A1139" s="104">
        <v>1138</v>
      </c>
      <c r="B1139" s="105" t="s">
        <v>1261</v>
      </c>
      <c r="C1139" s="133" t="s">
        <v>3387</v>
      </c>
      <c r="D1139" s="123" t="s">
        <v>1467</v>
      </c>
      <c r="E1139" s="108" t="s">
        <v>554</v>
      </c>
      <c r="F1139" s="114" t="s">
        <v>272</v>
      </c>
      <c r="G1139" s="114" t="s">
        <v>273</v>
      </c>
      <c r="H1139" s="180" t="s">
        <v>274</v>
      </c>
      <c r="I1139" s="133">
        <v>6</v>
      </c>
      <c r="J1139" s="115" t="s">
        <v>3297</v>
      </c>
      <c r="K1139" s="105" t="s">
        <v>3267</v>
      </c>
      <c r="L1139" s="107" t="str">
        <f ca="1">VLOOKUP($K1139,OFFSET([1]character_type_i18n!$A$1,0,0,COUNTA([1]character_type_i18n!$A:$A),MATCH(L$1,[1]character_type_i18n!$1:$1,0)-MATCH($K$1,[1]character_type_i18n!$1:$1,0)+1),MATCH(L$1,[1]character_type_i18n!$1:$1,0)-MATCH($K$1,[1]character_type_i18n!$1:$1,0)+1,FALSE)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39" s="105" t="s">
        <v>3388</v>
      </c>
      <c r="N1139" s="107" t="str">
        <f>VLOOKUP(M1139,[1]character_tribe_i18n!A:C,3,FALSE)</f>
        <v>サムライ</v>
      </c>
      <c r="O1139" s="105" t="s">
        <v>1784</v>
      </c>
      <c r="P1139" s="107" t="str">
        <f>VLOOKUP(O1139,[1]character_tribe_i18n!A:C,3,FALSE)</f>
        <v>ヒューマン</v>
      </c>
      <c r="Q1139" s="110" t="s">
        <v>279</v>
      </c>
      <c r="R1139" s="178">
        <v>3</v>
      </c>
      <c r="S1139" s="108" t="s">
        <v>280</v>
      </c>
      <c r="T1139" s="108" t="s">
        <v>2468</v>
      </c>
      <c r="U1139" s="108" t="s">
        <v>1540</v>
      </c>
      <c r="V1139" s="108" t="s">
        <v>894</v>
      </c>
      <c r="W1139" s="108" t="s">
        <v>894</v>
      </c>
    </row>
    <row r="1140" spans="1:23" ht="21" customHeight="1" x14ac:dyDescent="0.15">
      <c r="A1140" s="104">
        <v>1139</v>
      </c>
      <c r="B1140" s="105" t="s">
        <v>1261</v>
      </c>
      <c r="C1140" s="133" t="s">
        <v>3389</v>
      </c>
      <c r="D1140" s="123" t="s">
        <v>3270</v>
      </c>
      <c r="E1140" s="108" t="s">
        <v>3271</v>
      </c>
      <c r="F1140" s="114" t="s">
        <v>272</v>
      </c>
      <c r="G1140" s="114" t="s">
        <v>273</v>
      </c>
      <c r="H1140" s="131" t="s">
        <v>285</v>
      </c>
      <c r="I1140" s="133">
        <v>5</v>
      </c>
      <c r="J1140" s="115" t="s">
        <v>1452</v>
      </c>
      <c r="K1140" s="105" t="s">
        <v>1780</v>
      </c>
      <c r="L1140" s="107" t="str">
        <f ca="1">VLOOKUP($K1140,OFFSET([1]character_type_i18n!$A$1,0,0,COUNTA([1]character_type_i18n!$A:$A),MATCH(L$1,[1]character_type_i18n!$1:$1,0)-MATCH($K$1,[1]character_type_i18n!$1:$1,0)+1),MATCH(L$1,[1]character_type_i18n!$1:$1,0)-MATCH($K$1,[1]character_type_i18n!$1:$1,0)+1,FALSE)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40" s="105" t="s">
        <v>2245</v>
      </c>
      <c r="N1140" s="107" t="str">
        <f>VLOOKUP(M1140,[1]character_tribe_i18n!A:C,3,FALSE)</f>
        <v>サムライ</v>
      </c>
      <c r="O1140" s="105" t="s">
        <v>1011</v>
      </c>
      <c r="P1140" s="107" t="str">
        <f>VLOOKUP(O1140,[1]character_tribe_i18n!A:C,3,FALSE)</f>
        <v>ヒューマン</v>
      </c>
      <c r="Q1140" s="110" t="s">
        <v>362</v>
      </c>
      <c r="R1140" s="178">
        <v>3</v>
      </c>
      <c r="S1140" s="108" t="s">
        <v>289</v>
      </c>
      <c r="T1140" s="108" t="s">
        <v>288</v>
      </c>
      <c r="U1140" s="108" t="s">
        <v>289</v>
      </c>
      <c r="V1140" s="108" t="s">
        <v>289</v>
      </c>
      <c r="W1140" s="108" t="s">
        <v>289</v>
      </c>
    </row>
    <row r="1141" spans="1:23" ht="22" customHeight="1" x14ac:dyDescent="0.15">
      <c r="A1141" s="104">
        <v>1140</v>
      </c>
      <c r="B1141" s="105" t="s">
        <v>292</v>
      </c>
      <c r="C1141" s="133" t="s">
        <v>3390</v>
      </c>
      <c r="D1141" s="123" t="s">
        <v>3353</v>
      </c>
      <c r="E1141" s="108" t="s">
        <v>1953</v>
      </c>
      <c r="F1141" s="114" t="s">
        <v>272</v>
      </c>
      <c r="G1141" s="114" t="s">
        <v>273</v>
      </c>
      <c r="H1141" s="131" t="s">
        <v>285</v>
      </c>
      <c r="I1141" s="133">
        <v>6</v>
      </c>
      <c r="J1141" s="115" t="s">
        <v>1452</v>
      </c>
      <c r="K1141" s="105" t="s">
        <v>1780</v>
      </c>
      <c r="L1141" s="107" t="str">
        <f ca="1">VLOOKUP($K1141,OFFSET([1]character_type_i18n!$A$1,0,0,COUNTA([1]character_type_i18n!$A:$A),MATCH(L$1,[1]character_type_i18n!$1:$1,0)-MATCH($K$1,[1]character_type_i18n!$1:$1,0)+1),MATCH(L$1,[1]character_type_i18n!$1:$1,0)-MATCH($K$1,[1]character_type_i18n!$1:$1,0)+1,FALSE)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41" s="105" t="s">
        <v>2245</v>
      </c>
      <c r="N1141" s="107" t="str">
        <f>VLOOKUP(M1141,[1]character_tribe_i18n!A:C,3,FALSE)</f>
        <v>サムライ</v>
      </c>
      <c r="O1141" s="105" t="s">
        <v>3391</v>
      </c>
      <c r="P1141" s="107" t="str">
        <f>VLOOKUP(O1141,[1]character_tribe_i18n!A:C,3,FALSE)</f>
        <v>ヒューマン</v>
      </c>
      <c r="Q1141" s="110" t="s">
        <v>279</v>
      </c>
      <c r="R1141" s="178">
        <v>3</v>
      </c>
      <c r="S1141" s="108" t="s">
        <v>280</v>
      </c>
      <c r="T1141" s="108" t="s">
        <v>281</v>
      </c>
      <c r="U1141" s="108" t="s">
        <v>280</v>
      </c>
      <c r="V1141" s="108" t="s">
        <v>280</v>
      </c>
      <c r="W1141" s="108" t="s">
        <v>280</v>
      </c>
    </row>
    <row r="1142" spans="1:23" ht="21" customHeight="1" x14ac:dyDescent="0.15">
      <c r="A1142" s="104">
        <v>1141</v>
      </c>
      <c r="B1142" s="105" t="s">
        <v>268</v>
      </c>
      <c r="C1142" s="133" t="s">
        <v>3392</v>
      </c>
      <c r="D1142" s="123" t="s">
        <v>1467</v>
      </c>
      <c r="E1142" s="108" t="s">
        <v>554</v>
      </c>
      <c r="F1142" s="114" t="s">
        <v>272</v>
      </c>
      <c r="G1142" s="114" t="s">
        <v>273</v>
      </c>
      <c r="H1142" s="180" t="s">
        <v>295</v>
      </c>
      <c r="I1142" s="133">
        <v>5</v>
      </c>
      <c r="J1142" s="115" t="s">
        <v>1452</v>
      </c>
      <c r="K1142" s="105" t="s">
        <v>1780</v>
      </c>
      <c r="L1142" s="107" t="str">
        <f ca="1">VLOOKUP($K1142,OFFSET([1]character_type_i18n!$A$1,0,0,COUNTA([1]character_type_i18n!$A:$A),MATCH(L$1,[1]character_type_i18n!$1:$1,0)-MATCH($K$1,[1]character_type_i18n!$1:$1,0)+1),MATCH(L$1,[1]character_type_i18n!$1:$1,0)-MATCH($K$1,[1]character_type_i18n!$1:$1,0)+1,FALSE)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42" s="105" t="s">
        <v>1394</v>
      </c>
      <c r="N1142" s="107" t="str">
        <f>VLOOKUP(M1142,[1]character_tribe_i18n!A:C,3,FALSE)</f>
        <v>ヒューマン</v>
      </c>
      <c r="O1142" s="105" t="s">
        <v>1017</v>
      </c>
      <c r="P1142" s="107" t="str">
        <f>VLOOKUP(O1142,[1]character_tribe_i18n!A:C,3,FALSE)</f>
        <v>マシン</v>
      </c>
      <c r="Q1142" s="110" t="s">
        <v>362</v>
      </c>
      <c r="R1142" s="178">
        <v>3</v>
      </c>
      <c r="S1142" s="108" t="s">
        <v>289</v>
      </c>
      <c r="T1142" s="108" t="s">
        <v>288</v>
      </c>
      <c r="U1142" s="108" t="s">
        <v>289</v>
      </c>
      <c r="V1142" s="108" t="s">
        <v>289</v>
      </c>
      <c r="W1142" s="108" t="s">
        <v>289</v>
      </c>
    </row>
    <row r="1143" spans="1:23" ht="22" customHeight="1" x14ac:dyDescent="0.15">
      <c r="A1143" s="104">
        <v>1142</v>
      </c>
      <c r="B1143" s="105" t="s">
        <v>292</v>
      </c>
      <c r="C1143" s="133" t="s">
        <v>3393</v>
      </c>
      <c r="D1143" s="123" t="s">
        <v>3353</v>
      </c>
      <c r="E1143" s="108" t="s">
        <v>1953</v>
      </c>
      <c r="F1143" s="114" t="s">
        <v>272</v>
      </c>
      <c r="G1143" s="114" t="s">
        <v>273</v>
      </c>
      <c r="H1143" s="180" t="s">
        <v>295</v>
      </c>
      <c r="I1143" s="133">
        <v>6</v>
      </c>
      <c r="J1143" s="115" t="s">
        <v>1452</v>
      </c>
      <c r="K1143" s="105" t="s">
        <v>1780</v>
      </c>
      <c r="L1143" s="107" t="str">
        <f ca="1">VLOOKUP($K1143,OFFSET([1]character_type_i18n!$A$1,0,0,COUNTA([1]character_type_i18n!$A:$A),MATCH(L$1,[1]character_type_i18n!$1:$1,0)-MATCH($K$1,[1]character_type_i18n!$1:$1,0)+1),MATCH(L$1,[1]character_type_i18n!$1:$1,0)-MATCH($K$1,[1]character_type_i18n!$1:$1,0)+1,FALSE)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43" s="105" t="s">
        <v>1011</v>
      </c>
      <c r="N1143" s="107" t="str">
        <f>VLOOKUP(M1143,[1]character_tribe_i18n!A:C,3,FALSE)</f>
        <v>ヒューマン</v>
      </c>
      <c r="O1143" s="105" t="s">
        <v>1599</v>
      </c>
      <c r="P1143" s="107" t="str">
        <f>VLOOKUP(O1143,[1]character_tribe_i18n!A:C,3,FALSE)</f>
        <v>マシン</v>
      </c>
      <c r="Q1143" s="110" t="s">
        <v>279</v>
      </c>
      <c r="R1143" s="178">
        <v>3</v>
      </c>
      <c r="S1143" s="108" t="s">
        <v>280</v>
      </c>
      <c r="T1143" s="108" t="s">
        <v>281</v>
      </c>
      <c r="U1143" s="108" t="s">
        <v>280</v>
      </c>
      <c r="V1143" s="108" t="s">
        <v>280</v>
      </c>
      <c r="W1143" s="108" t="s">
        <v>280</v>
      </c>
    </row>
    <row r="1144" spans="1:23" ht="21" customHeight="1" x14ac:dyDescent="0.15">
      <c r="A1144" s="104">
        <v>1143</v>
      </c>
      <c r="B1144" s="105" t="s">
        <v>268</v>
      </c>
      <c r="C1144" s="133" t="s">
        <v>3394</v>
      </c>
      <c r="D1144" s="123" t="s">
        <v>1467</v>
      </c>
      <c r="E1144" s="108" t="s">
        <v>554</v>
      </c>
      <c r="F1144" s="114" t="s">
        <v>272</v>
      </c>
      <c r="G1144" s="114" t="s">
        <v>273</v>
      </c>
      <c r="H1144" s="180" t="s">
        <v>300</v>
      </c>
      <c r="I1144" s="133">
        <v>4</v>
      </c>
      <c r="J1144" s="115" t="s">
        <v>2088</v>
      </c>
      <c r="K1144" s="105" t="s">
        <v>1166</v>
      </c>
      <c r="L1144" s="107" t="str">
        <f ca="1">VLOOKUP($K1144,OFFSET([1]character_type_i18n!$A$1,0,0,COUNTA([1]character_type_i18n!$A:$A),MATCH(L$1,[1]character_type_i18n!$1:$1,0)-MATCH($K$1,[1]character_type_i18n!$1:$1,0)+1),MATCH(L$1,[1]character_type_i18n!$1:$1,0)-MATCH($K$1,[1]character_type_i18n!$1:$1,0)+1,FALSE)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44" s="105" t="s">
        <v>3388</v>
      </c>
      <c r="N1144" s="107" t="str">
        <f>VLOOKUP(M1144,[1]character_tribe_i18n!A:C,3,FALSE)</f>
        <v>サムライ</v>
      </c>
      <c r="O1144" s="105" t="s">
        <v>1784</v>
      </c>
      <c r="P1144" s="107" t="str">
        <f>VLOOKUP(O1144,[1]character_tribe_i18n!A:C,3,FALSE)</f>
        <v>ヒューマン</v>
      </c>
      <c r="Q1144" s="110" t="s">
        <v>362</v>
      </c>
      <c r="R1144" s="178">
        <v>3</v>
      </c>
      <c r="S1144" s="108" t="s">
        <v>289</v>
      </c>
      <c r="T1144" s="108" t="s">
        <v>288</v>
      </c>
      <c r="U1144" s="108" t="s">
        <v>289</v>
      </c>
      <c r="V1144" s="108" t="s">
        <v>289</v>
      </c>
      <c r="W1144" s="108" t="s">
        <v>289</v>
      </c>
    </row>
    <row r="1145" spans="1:23" ht="22" customHeight="1" x14ac:dyDescent="0.15">
      <c r="A1145" s="104">
        <v>1144</v>
      </c>
      <c r="B1145" s="105" t="s">
        <v>292</v>
      </c>
      <c r="C1145" s="133" t="s">
        <v>3395</v>
      </c>
      <c r="D1145" s="123" t="s">
        <v>3353</v>
      </c>
      <c r="E1145" s="108" t="s">
        <v>1953</v>
      </c>
      <c r="F1145" s="114" t="s">
        <v>272</v>
      </c>
      <c r="G1145" s="114" t="s">
        <v>273</v>
      </c>
      <c r="H1145" s="180" t="s">
        <v>300</v>
      </c>
      <c r="I1145" s="133">
        <v>5</v>
      </c>
      <c r="J1145" s="115" t="s">
        <v>2088</v>
      </c>
      <c r="K1145" s="105" t="s">
        <v>1166</v>
      </c>
      <c r="L1145" s="107" t="str">
        <f ca="1">VLOOKUP($K1145,OFFSET([1]character_type_i18n!$A$1,0,0,COUNTA([1]character_type_i18n!$A:$A),MATCH(L$1,[1]character_type_i18n!$1:$1,0)-MATCH($K$1,[1]character_type_i18n!$1:$1,0)+1),MATCH(L$1,[1]character_type_i18n!$1:$1,0)-MATCH($K$1,[1]character_type_i18n!$1:$1,0)+1,FALSE)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45" s="105" t="s">
        <v>3388</v>
      </c>
      <c r="N1145" s="107" t="str">
        <f>VLOOKUP(M1145,[1]character_tribe_i18n!A:C,3,FALSE)</f>
        <v>サムライ</v>
      </c>
      <c r="O1145" s="105" t="s">
        <v>1011</v>
      </c>
      <c r="P1145" s="107" t="str">
        <f>VLOOKUP(O1145,[1]character_tribe_i18n!A:C,3,FALSE)</f>
        <v>ヒューマン</v>
      </c>
      <c r="Q1145" s="110" t="s">
        <v>362</v>
      </c>
      <c r="R1145" s="178">
        <v>3</v>
      </c>
      <c r="S1145" s="108" t="s">
        <v>289</v>
      </c>
      <c r="T1145" s="108" t="s">
        <v>288</v>
      </c>
      <c r="U1145" s="108" t="s">
        <v>289</v>
      </c>
      <c r="V1145" s="108" t="s">
        <v>289</v>
      </c>
      <c r="W1145" s="108" t="s">
        <v>289</v>
      </c>
    </row>
    <row r="1146" spans="1:23" ht="22" customHeight="1" x14ac:dyDescent="0.15">
      <c r="A1146" s="104">
        <v>1145</v>
      </c>
      <c r="B1146" s="105" t="s">
        <v>292</v>
      </c>
      <c r="C1146" s="133" t="s">
        <v>3396</v>
      </c>
      <c r="D1146" s="123" t="s">
        <v>3353</v>
      </c>
      <c r="E1146" s="108" t="s">
        <v>1953</v>
      </c>
      <c r="F1146" s="114" t="s">
        <v>272</v>
      </c>
      <c r="G1146" s="114" t="s">
        <v>273</v>
      </c>
      <c r="H1146" s="180" t="s">
        <v>300</v>
      </c>
      <c r="I1146" s="133">
        <v>4</v>
      </c>
      <c r="J1146" s="115" t="s">
        <v>2050</v>
      </c>
      <c r="K1146" s="105" t="s">
        <v>1453</v>
      </c>
      <c r="L1146" s="107" t="str">
        <f ca="1">VLOOKUP($K1146,OFFSET([1]character_type_i18n!$A$1,0,0,COUNTA([1]character_type_i18n!$A:$A),MATCH(L$1,[1]character_type_i18n!$1:$1,0)-MATCH($K$1,[1]character_type_i18n!$1:$1,0)+1),MATCH(L$1,[1]character_type_i18n!$1:$1,0)-MATCH($K$1,[1]character_type_i18n!$1:$1,0)+1,FALSE)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46" s="105" t="s">
        <v>854</v>
      </c>
      <c r="N1146" s="107" t="str">
        <f>VLOOKUP(M1146,[1]character_tribe_i18n!A:C,3,FALSE)</f>
        <v>ドラゴン</v>
      </c>
      <c r="O1146" s="105" t="s">
        <v>278</v>
      </c>
      <c r="P1146" s="107" t="str">
        <f>VLOOKUP(O1146,[1]character_tribe_i18n!A:C,3,FALSE)</f>
        <v>種族なし</v>
      </c>
      <c r="Q1146" s="110" t="s">
        <v>3397</v>
      </c>
      <c r="R1146" s="178">
        <v>3</v>
      </c>
      <c r="S1146" s="108" t="s">
        <v>894</v>
      </c>
      <c r="T1146" s="108" t="s">
        <v>2468</v>
      </c>
      <c r="U1146" s="108" t="s">
        <v>1540</v>
      </c>
      <c r="V1146" s="108" t="s">
        <v>306</v>
      </c>
      <c r="W1146" s="108" t="s">
        <v>306</v>
      </c>
    </row>
    <row r="1147" spans="1:23" ht="22" customHeight="1" x14ac:dyDescent="0.15">
      <c r="A1147" s="104">
        <v>1146</v>
      </c>
      <c r="B1147" s="105" t="s">
        <v>314</v>
      </c>
      <c r="C1147" s="133" t="s">
        <v>3398</v>
      </c>
      <c r="D1147" s="123" t="s">
        <v>3399</v>
      </c>
      <c r="E1147" s="108" t="s">
        <v>1363</v>
      </c>
      <c r="F1147" s="114" t="s">
        <v>272</v>
      </c>
      <c r="G1147" s="114" t="s">
        <v>273</v>
      </c>
      <c r="H1147" s="180" t="s">
        <v>300</v>
      </c>
      <c r="I1147" s="133">
        <v>5</v>
      </c>
      <c r="J1147" s="115" t="s">
        <v>2050</v>
      </c>
      <c r="K1147" s="105" t="s">
        <v>1453</v>
      </c>
      <c r="L1147" s="107" t="str">
        <f ca="1">VLOOKUP($K1147,OFFSET([1]character_type_i18n!$A$1,0,0,COUNTA([1]character_type_i18n!$A:$A),MATCH(L$1,[1]character_type_i18n!$1:$1,0)-MATCH($K$1,[1]character_type_i18n!$1:$1,0)+1),MATCH(L$1,[1]character_type_i18n!$1:$1,0)-MATCH($K$1,[1]character_type_i18n!$1:$1,0)+1,FALSE)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47" s="105" t="s">
        <v>1568</v>
      </c>
      <c r="N1147" s="107" t="str">
        <f>VLOOKUP(M1147,[1]character_tribe_i18n!A:C,3,FALSE)</f>
        <v>ドラゴン</v>
      </c>
      <c r="O1147" s="105" t="s">
        <v>278</v>
      </c>
      <c r="P1147" s="107" t="str">
        <f>VLOOKUP(O1147,[1]character_tribe_i18n!A:C,3,FALSE)</f>
        <v>種族なし</v>
      </c>
      <c r="Q1147" s="110" t="s">
        <v>305</v>
      </c>
      <c r="R1147" s="178">
        <v>3</v>
      </c>
      <c r="S1147" s="108" t="s">
        <v>306</v>
      </c>
      <c r="T1147" s="108" t="s">
        <v>3400</v>
      </c>
      <c r="U1147" s="108" t="s">
        <v>3401</v>
      </c>
      <c r="V1147" s="108" t="s">
        <v>306</v>
      </c>
      <c r="W1147" s="108" t="s">
        <v>306</v>
      </c>
    </row>
    <row r="1148" spans="1:23" ht="21" customHeight="1" x14ac:dyDescent="0.15">
      <c r="A1148" s="104">
        <v>1147</v>
      </c>
      <c r="B1148" s="105" t="s">
        <v>314</v>
      </c>
      <c r="C1148" s="133" t="s">
        <v>3402</v>
      </c>
      <c r="D1148" s="123" t="s">
        <v>3403</v>
      </c>
      <c r="E1148" s="108" t="s">
        <v>3404</v>
      </c>
      <c r="F1148" s="114" t="s">
        <v>272</v>
      </c>
      <c r="G1148" s="114" t="s">
        <v>273</v>
      </c>
      <c r="H1148" s="180" t="s">
        <v>274</v>
      </c>
      <c r="I1148" s="133">
        <v>5</v>
      </c>
      <c r="J1148" s="115" t="s">
        <v>1856</v>
      </c>
      <c r="K1148" s="105" t="s">
        <v>1166</v>
      </c>
      <c r="L1148" s="107" t="str">
        <f ca="1">VLOOKUP($K1148,OFFSET([1]character_type_i18n!$A$1,0,0,COUNTA([1]character_type_i18n!$A:$A),MATCH(L$1,[1]character_type_i18n!$1:$1,0)-MATCH($K$1,[1]character_type_i18n!$1:$1,0)+1),MATCH(L$1,[1]character_type_i18n!$1:$1,0)-MATCH($K$1,[1]character_type_i18n!$1:$1,0)+1,FALSE)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48" s="105" t="s">
        <v>517</v>
      </c>
      <c r="N1148" s="107" t="str">
        <f>VLOOKUP(M1148,[1]character_tribe_i18n!A:C,3,FALSE)</f>
        <v>ゴッド</v>
      </c>
      <c r="O1148" s="105" t="s">
        <v>3405</v>
      </c>
      <c r="P1148" s="107" t="str">
        <f>VLOOKUP(O1148,[1]character_tribe_i18n!A:C,3,FALSE)</f>
        <v>デーモン</v>
      </c>
      <c r="Q1148" s="110" t="s">
        <v>305</v>
      </c>
      <c r="R1148" s="178">
        <v>3</v>
      </c>
      <c r="S1148" s="108" t="s">
        <v>306</v>
      </c>
      <c r="T1148" s="108" t="s">
        <v>307</v>
      </c>
      <c r="U1148" s="108" t="s">
        <v>306</v>
      </c>
      <c r="V1148" s="108" t="s">
        <v>306</v>
      </c>
      <c r="W1148" s="108" t="s">
        <v>306</v>
      </c>
    </row>
    <row r="1149" spans="1:23" ht="22" customHeight="1" x14ac:dyDescent="0.15">
      <c r="A1149" s="104">
        <v>1148</v>
      </c>
      <c r="B1149" s="105" t="s">
        <v>314</v>
      </c>
      <c r="C1149" s="133" t="s">
        <v>3406</v>
      </c>
      <c r="D1149" s="123" t="s">
        <v>3399</v>
      </c>
      <c r="E1149" s="108" t="s">
        <v>1363</v>
      </c>
      <c r="F1149" s="114" t="s">
        <v>272</v>
      </c>
      <c r="G1149" s="114" t="s">
        <v>273</v>
      </c>
      <c r="H1149" s="180" t="s">
        <v>274</v>
      </c>
      <c r="I1149" s="133">
        <v>6</v>
      </c>
      <c r="J1149" s="115" t="s">
        <v>1856</v>
      </c>
      <c r="K1149" s="105" t="s">
        <v>1166</v>
      </c>
      <c r="L1149" s="107" t="str">
        <f ca="1">VLOOKUP($K1149,OFFSET([1]character_type_i18n!$A$1,0,0,COUNTA([1]character_type_i18n!$A:$A),MATCH(L$1,[1]character_type_i18n!$1:$1,0)-MATCH($K$1,[1]character_type_i18n!$1:$1,0)+1),MATCH(L$1,[1]character_type_i18n!$1:$1,0)-MATCH($K$1,[1]character_type_i18n!$1:$1,0)+1,FALSE)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49" s="105" t="s">
        <v>517</v>
      </c>
      <c r="N1149" s="107" t="str">
        <f>VLOOKUP(M1149,[1]character_tribe_i18n!A:C,3,FALSE)</f>
        <v>ゴッド</v>
      </c>
      <c r="O1149" s="105" t="s">
        <v>3405</v>
      </c>
      <c r="P1149" s="107" t="str">
        <f>VLOOKUP(O1149,[1]character_tribe_i18n!A:C,3,FALSE)</f>
        <v>デーモン</v>
      </c>
      <c r="Q1149" s="110" t="s">
        <v>305</v>
      </c>
      <c r="R1149" s="178">
        <v>3</v>
      </c>
      <c r="S1149" s="108" t="s">
        <v>306</v>
      </c>
      <c r="T1149" s="108" t="s">
        <v>307</v>
      </c>
      <c r="U1149" s="108" t="s">
        <v>306</v>
      </c>
      <c r="V1149" s="108" t="s">
        <v>306</v>
      </c>
      <c r="W1149" s="108" t="s">
        <v>306</v>
      </c>
    </row>
    <row r="1150" spans="1:23" ht="21" customHeight="1" x14ac:dyDescent="0.15">
      <c r="A1150" s="104">
        <v>1149</v>
      </c>
      <c r="B1150" s="105" t="s">
        <v>314</v>
      </c>
      <c r="C1150" s="133" t="s">
        <v>3407</v>
      </c>
      <c r="D1150" s="123" t="s">
        <v>3399</v>
      </c>
      <c r="E1150" s="108" t="s">
        <v>1363</v>
      </c>
      <c r="F1150" s="114" t="s">
        <v>272</v>
      </c>
      <c r="G1150" s="114" t="s">
        <v>273</v>
      </c>
      <c r="H1150" s="180" t="s">
        <v>295</v>
      </c>
      <c r="I1150" s="133">
        <v>5</v>
      </c>
      <c r="J1150" s="115" t="s">
        <v>1856</v>
      </c>
      <c r="K1150" s="105" t="s">
        <v>1166</v>
      </c>
      <c r="L1150" s="107" t="str">
        <f ca="1">VLOOKUP($K1150,OFFSET([1]character_type_i18n!$A$1,0,0,COUNTA([1]character_type_i18n!$A:$A),MATCH(L$1,[1]character_type_i18n!$1:$1,0)-MATCH($K$1,[1]character_type_i18n!$1:$1,0)+1),MATCH(L$1,[1]character_type_i18n!$1:$1,0)-MATCH($K$1,[1]character_type_i18n!$1:$1,0)+1,FALSE)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50" s="105" t="s">
        <v>517</v>
      </c>
      <c r="N1150" s="107" t="str">
        <f>VLOOKUP(M1150,[1]character_tribe_i18n!A:C,3,FALSE)</f>
        <v>ゴッド</v>
      </c>
      <c r="O1150" s="105" t="s">
        <v>1420</v>
      </c>
      <c r="P1150" s="107" t="str">
        <f>VLOOKUP(O1150,[1]character_tribe_i18n!A:C,3,FALSE)</f>
        <v>種族なし</v>
      </c>
      <c r="Q1150" s="110" t="s">
        <v>362</v>
      </c>
      <c r="R1150" s="178">
        <v>3</v>
      </c>
      <c r="S1150" s="108" t="s">
        <v>289</v>
      </c>
      <c r="T1150" s="108" t="s">
        <v>288</v>
      </c>
      <c r="U1150" s="108" t="s">
        <v>289</v>
      </c>
      <c r="V1150" s="108" t="s">
        <v>289</v>
      </c>
      <c r="W1150" s="108" t="s">
        <v>289</v>
      </c>
    </row>
    <row r="1151" spans="1:23" ht="22" customHeight="1" x14ac:dyDescent="0.15">
      <c r="A1151" s="104">
        <v>1150</v>
      </c>
      <c r="B1151" s="105" t="s">
        <v>292</v>
      </c>
      <c r="C1151" s="133" t="s">
        <v>3408</v>
      </c>
      <c r="D1151" s="123" t="s">
        <v>3353</v>
      </c>
      <c r="E1151" s="108" t="s">
        <v>1953</v>
      </c>
      <c r="F1151" s="114" t="s">
        <v>272</v>
      </c>
      <c r="G1151" s="114" t="s">
        <v>273</v>
      </c>
      <c r="H1151" s="180" t="s">
        <v>295</v>
      </c>
      <c r="I1151" s="133">
        <v>6</v>
      </c>
      <c r="J1151" s="115" t="s">
        <v>1856</v>
      </c>
      <c r="K1151" s="105" t="s">
        <v>1166</v>
      </c>
      <c r="L1151" s="107" t="str">
        <f ca="1">VLOOKUP($K1151,OFFSET([1]character_type_i18n!$A$1,0,0,COUNTA([1]character_type_i18n!$A:$A),MATCH(L$1,[1]character_type_i18n!$1:$1,0)-MATCH($K$1,[1]character_type_i18n!$1:$1,0)+1),MATCH(L$1,[1]character_type_i18n!$1:$1,0)-MATCH($K$1,[1]character_type_i18n!$1:$1,0)+1,FALSE)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51" s="105" t="s">
        <v>517</v>
      </c>
      <c r="N1151" s="107" t="str">
        <f>VLOOKUP(M1151,[1]character_tribe_i18n!A:C,3,FALSE)</f>
        <v>ゴッド</v>
      </c>
      <c r="O1151" s="105" t="s">
        <v>1596</v>
      </c>
      <c r="P1151" s="107" t="str">
        <f>VLOOKUP(O1151,[1]character_tribe_i18n!A:C,3,FALSE)</f>
        <v>種族なし</v>
      </c>
      <c r="Q1151" s="110" t="s">
        <v>362</v>
      </c>
      <c r="R1151" s="178">
        <v>3</v>
      </c>
      <c r="S1151" s="108" t="s">
        <v>289</v>
      </c>
      <c r="T1151" s="108" t="s">
        <v>288</v>
      </c>
      <c r="U1151" s="108" t="s">
        <v>289</v>
      </c>
      <c r="V1151" s="108" t="s">
        <v>289</v>
      </c>
      <c r="W1151" s="108" t="s">
        <v>289</v>
      </c>
    </row>
    <row r="1152" spans="1:23" ht="21" customHeight="1" x14ac:dyDescent="0.15">
      <c r="A1152" s="104">
        <v>1151</v>
      </c>
      <c r="B1152" s="105" t="s">
        <v>292</v>
      </c>
      <c r="C1152" s="133" t="s">
        <v>3409</v>
      </c>
      <c r="D1152" s="123" t="s">
        <v>3353</v>
      </c>
      <c r="E1152" s="108" t="s">
        <v>1953</v>
      </c>
      <c r="F1152" s="114" t="s">
        <v>272</v>
      </c>
      <c r="G1152" s="114" t="s">
        <v>273</v>
      </c>
      <c r="H1152" s="180" t="s">
        <v>274</v>
      </c>
      <c r="I1152" s="133">
        <v>4</v>
      </c>
      <c r="J1152" s="115" t="s">
        <v>2088</v>
      </c>
      <c r="K1152" s="105" t="s">
        <v>1348</v>
      </c>
      <c r="L1152" s="107" t="str">
        <f ca="1">VLOOKUP($K1152,OFFSET([1]character_type_i18n!$A$1,0,0,COUNTA([1]character_type_i18n!$A:$A),MATCH(L$1,[1]character_type_i18n!$1:$1,0)-MATCH($K$1,[1]character_type_i18n!$1:$1,0)+1),MATCH(L$1,[1]character_type_i18n!$1:$1,0)-MATCH($K$1,[1]character_type_i18n!$1:$1,0)+1,FALSE)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52" s="105" t="s">
        <v>517</v>
      </c>
      <c r="N1152" s="107" t="str">
        <f>VLOOKUP(M1152,[1]character_tribe_i18n!A:C,3,FALSE)</f>
        <v>ゴッド</v>
      </c>
      <c r="O1152" s="105" t="s">
        <v>1172</v>
      </c>
      <c r="P1152" s="107" t="str">
        <f>VLOOKUP(O1152,[1]character_tribe_i18n!A:C,3,FALSE)</f>
        <v>アニマル</v>
      </c>
      <c r="Q1152" s="110" t="s">
        <v>362</v>
      </c>
      <c r="R1152" s="178">
        <v>3</v>
      </c>
      <c r="S1152" s="108" t="s">
        <v>289</v>
      </c>
      <c r="T1152" s="108" t="s">
        <v>288</v>
      </c>
      <c r="U1152" s="108" t="s">
        <v>289</v>
      </c>
      <c r="V1152" s="108" t="s">
        <v>289</v>
      </c>
      <c r="W1152" s="108" t="s">
        <v>289</v>
      </c>
    </row>
    <row r="1153" spans="1:23" ht="22" customHeight="1" x14ac:dyDescent="0.15">
      <c r="A1153" s="104">
        <v>1152</v>
      </c>
      <c r="B1153" s="105" t="s">
        <v>292</v>
      </c>
      <c r="C1153" s="133" t="s">
        <v>3410</v>
      </c>
      <c r="D1153" s="123" t="s">
        <v>3353</v>
      </c>
      <c r="E1153" s="108" t="s">
        <v>1953</v>
      </c>
      <c r="F1153" s="114" t="s">
        <v>272</v>
      </c>
      <c r="G1153" s="114" t="s">
        <v>273</v>
      </c>
      <c r="H1153" s="180" t="s">
        <v>274</v>
      </c>
      <c r="I1153" s="133">
        <v>5</v>
      </c>
      <c r="J1153" s="115" t="s">
        <v>2088</v>
      </c>
      <c r="K1153" s="105" t="s">
        <v>1348</v>
      </c>
      <c r="L1153" s="107" t="str">
        <f ca="1">VLOOKUP($K1153,OFFSET([1]character_type_i18n!$A$1,0,0,COUNTA([1]character_type_i18n!$A:$A),MATCH(L$1,[1]character_type_i18n!$1:$1,0)-MATCH($K$1,[1]character_type_i18n!$1:$1,0)+1),MATCH(L$1,[1]character_type_i18n!$1:$1,0)-MATCH($K$1,[1]character_type_i18n!$1:$1,0)+1,FALSE)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53" s="105" t="s">
        <v>517</v>
      </c>
      <c r="N1153" s="107" t="str">
        <f>VLOOKUP(M1153,[1]character_tribe_i18n!A:C,3,FALSE)</f>
        <v>ゴッド</v>
      </c>
      <c r="O1153" s="105" t="s">
        <v>1942</v>
      </c>
      <c r="P1153" s="107" t="str">
        <f>VLOOKUP(O1153,[1]character_tribe_i18n!A:C,3,FALSE)</f>
        <v>アニマル</v>
      </c>
      <c r="Q1153" s="110" t="s">
        <v>362</v>
      </c>
      <c r="R1153" s="178">
        <v>3</v>
      </c>
      <c r="S1153" s="108" t="s">
        <v>289</v>
      </c>
      <c r="T1153" s="108" t="s">
        <v>288</v>
      </c>
      <c r="U1153" s="108" t="s">
        <v>289</v>
      </c>
      <c r="V1153" s="108" t="s">
        <v>289</v>
      </c>
      <c r="W1153" s="108" t="s">
        <v>289</v>
      </c>
    </row>
    <row r="1154" spans="1:23" ht="21" customHeight="1" x14ac:dyDescent="0.15">
      <c r="A1154" s="104">
        <v>1153</v>
      </c>
      <c r="B1154" s="105" t="s">
        <v>292</v>
      </c>
      <c r="C1154" s="133" t="s">
        <v>3411</v>
      </c>
      <c r="D1154" s="123" t="s">
        <v>3353</v>
      </c>
      <c r="E1154" s="108" t="s">
        <v>1953</v>
      </c>
      <c r="F1154" s="114" t="s">
        <v>272</v>
      </c>
      <c r="G1154" s="114" t="s">
        <v>273</v>
      </c>
      <c r="H1154" s="131" t="s">
        <v>285</v>
      </c>
      <c r="I1154" s="133">
        <v>5</v>
      </c>
      <c r="J1154" s="115" t="s">
        <v>3412</v>
      </c>
      <c r="K1154" s="105" t="s">
        <v>1453</v>
      </c>
      <c r="L1154" s="107" t="str">
        <f ca="1">VLOOKUP($K1154,OFFSET([1]character_type_i18n!$A$1,0,0,COUNTA([1]character_type_i18n!$A:$A),MATCH(L$1,[1]character_type_i18n!$1:$1,0)-MATCH($K$1,[1]character_type_i18n!$1:$1,0)+1),MATCH(L$1,[1]character_type_i18n!$1:$1,0)-MATCH($K$1,[1]character_type_i18n!$1:$1,0)+1,FALSE)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54" s="105" t="s">
        <v>517</v>
      </c>
      <c r="N1154" s="107" t="str">
        <f>VLOOKUP(M1154,[1]character_tribe_i18n!A:C,3,FALSE)</f>
        <v>ゴッド</v>
      </c>
      <c r="O1154" s="105" t="s">
        <v>278</v>
      </c>
      <c r="P1154" s="107" t="str">
        <f>VLOOKUP(O1154,[1]character_tribe_i18n!A:C,3,FALSE)</f>
        <v>種族なし</v>
      </c>
      <c r="Q1154" s="110" t="s">
        <v>279</v>
      </c>
      <c r="R1154" s="178">
        <v>3</v>
      </c>
      <c r="S1154" s="108" t="s">
        <v>280</v>
      </c>
      <c r="T1154" s="108" t="s">
        <v>281</v>
      </c>
      <c r="U1154" s="108" t="s">
        <v>280</v>
      </c>
      <c r="V1154" s="108" t="s">
        <v>280</v>
      </c>
      <c r="W1154" s="108" t="s">
        <v>280</v>
      </c>
    </row>
    <row r="1155" spans="1:23" ht="22" customHeight="1" x14ac:dyDescent="0.15">
      <c r="A1155" s="104">
        <v>1154</v>
      </c>
      <c r="B1155" s="105" t="s">
        <v>268</v>
      </c>
      <c r="C1155" s="133" t="s">
        <v>3413</v>
      </c>
      <c r="D1155" s="123" t="s">
        <v>1467</v>
      </c>
      <c r="E1155" s="108" t="s">
        <v>554</v>
      </c>
      <c r="F1155" s="114" t="s">
        <v>272</v>
      </c>
      <c r="G1155" s="114" t="s">
        <v>273</v>
      </c>
      <c r="H1155" s="131" t="s">
        <v>285</v>
      </c>
      <c r="I1155" s="133">
        <v>6</v>
      </c>
      <c r="J1155" s="115" t="s">
        <v>3412</v>
      </c>
      <c r="K1155" s="105" t="s">
        <v>1453</v>
      </c>
      <c r="L1155" s="107" t="str">
        <f ca="1">VLOOKUP($K1155,OFFSET([1]character_type_i18n!$A$1,0,0,COUNTA([1]character_type_i18n!$A:$A),MATCH(L$1,[1]character_type_i18n!$1:$1,0)-MATCH($K$1,[1]character_type_i18n!$1:$1,0)+1),MATCH(L$1,[1]character_type_i18n!$1:$1,0)-MATCH($K$1,[1]character_type_i18n!$1:$1,0)+1,FALSE)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55" s="105" t="s">
        <v>517</v>
      </c>
      <c r="N1155" s="107" t="str">
        <f>VLOOKUP(M1155,[1]character_tribe_i18n!A:C,3,FALSE)</f>
        <v>ゴッド</v>
      </c>
      <c r="O1155" s="105" t="s">
        <v>278</v>
      </c>
      <c r="P1155" s="107" t="str">
        <f>VLOOKUP(O1155,[1]character_tribe_i18n!A:C,3,FALSE)</f>
        <v>種族なし</v>
      </c>
      <c r="Q1155" s="110" t="s">
        <v>279</v>
      </c>
      <c r="R1155" s="178">
        <v>3</v>
      </c>
      <c r="S1155" s="108" t="s">
        <v>280</v>
      </c>
      <c r="T1155" s="108" t="s">
        <v>281</v>
      </c>
      <c r="U1155" s="108" t="s">
        <v>280</v>
      </c>
      <c r="V1155" s="108" t="s">
        <v>280</v>
      </c>
      <c r="W1155" s="108" t="s">
        <v>280</v>
      </c>
    </row>
    <row r="1156" spans="1:23" ht="21" customHeight="1" x14ac:dyDescent="0.15">
      <c r="A1156" s="104">
        <v>1155</v>
      </c>
      <c r="B1156" s="105" t="s">
        <v>268</v>
      </c>
      <c r="C1156" s="133" t="s">
        <v>3414</v>
      </c>
      <c r="D1156" s="123" t="s">
        <v>1467</v>
      </c>
      <c r="E1156" s="108" t="s">
        <v>554</v>
      </c>
      <c r="F1156" s="114" t="s">
        <v>272</v>
      </c>
      <c r="G1156" s="114" t="s">
        <v>273</v>
      </c>
      <c r="H1156" s="180" t="s">
        <v>295</v>
      </c>
      <c r="I1156" s="133">
        <v>5</v>
      </c>
      <c r="J1156" s="115" t="s">
        <v>1452</v>
      </c>
      <c r="K1156" s="105" t="s">
        <v>1780</v>
      </c>
      <c r="L1156" s="107" t="str">
        <f ca="1">VLOOKUP($K1156,OFFSET([1]character_type_i18n!$A$1,0,0,COUNTA([1]character_type_i18n!$A:$A),MATCH(L$1,[1]character_type_i18n!$1:$1,0)-MATCH($K$1,[1]character_type_i18n!$1:$1,0)+1),MATCH(L$1,[1]character_type_i18n!$1:$1,0)-MATCH($K$1,[1]character_type_i18n!$1:$1,0)+1,FALSE)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56" s="105" t="s">
        <v>517</v>
      </c>
      <c r="N1156" s="107" t="str">
        <f>VLOOKUP(M1156,[1]character_tribe_i18n!A:C,3,FALSE)</f>
        <v>ゴッド</v>
      </c>
      <c r="O1156" s="105" t="s">
        <v>278</v>
      </c>
      <c r="P1156" s="107" t="str">
        <f>VLOOKUP(O1156,[1]character_tribe_i18n!A:C,3,FALSE)</f>
        <v>種族なし</v>
      </c>
      <c r="Q1156" s="110" t="s">
        <v>279</v>
      </c>
      <c r="R1156" s="178">
        <v>3</v>
      </c>
      <c r="S1156" s="108" t="s">
        <v>280</v>
      </c>
      <c r="T1156" s="108" t="s">
        <v>281</v>
      </c>
      <c r="U1156" s="108" t="s">
        <v>280</v>
      </c>
      <c r="V1156" s="108" t="s">
        <v>280</v>
      </c>
      <c r="W1156" s="108" t="s">
        <v>280</v>
      </c>
    </row>
    <row r="1157" spans="1:23" ht="22" customHeight="1" x14ac:dyDescent="0.15">
      <c r="A1157" s="104">
        <v>1156</v>
      </c>
      <c r="B1157" s="105" t="s">
        <v>268</v>
      </c>
      <c r="C1157" s="133" t="s">
        <v>3415</v>
      </c>
      <c r="D1157" s="123" t="s">
        <v>1467</v>
      </c>
      <c r="E1157" s="108" t="s">
        <v>554</v>
      </c>
      <c r="F1157" s="114" t="s">
        <v>272</v>
      </c>
      <c r="G1157" s="114" t="s">
        <v>273</v>
      </c>
      <c r="H1157" s="180" t="s">
        <v>295</v>
      </c>
      <c r="I1157" s="133">
        <v>6</v>
      </c>
      <c r="J1157" s="115" t="s">
        <v>2013</v>
      </c>
      <c r="K1157" s="105" t="s">
        <v>1780</v>
      </c>
      <c r="L1157" s="107" t="str">
        <f ca="1">VLOOKUP($K1157,OFFSET([1]character_type_i18n!$A$1,0,0,COUNTA([1]character_type_i18n!$A:$A),MATCH(L$1,[1]character_type_i18n!$1:$1,0)-MATCH($K$1,[1]character_type_i18n!$1:$1,0)+1),MATCH(L$1,[1]character_type_i18n!$1:$1,0)-MATCH($K$1,[1]character_type_i18n!$1:$1,0)+1,FALSE)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57" s="105" t="s">
        <v>517</v>
      </c>
      <c r="N1157" s="107" t="str">
        <f>VLOOKUP(M1157,[1]character_tribe_i18n!A:C,3,FALSE)</f>
        <v>ゴッド</v>
      </c>
      <c r="O1157" s="105" t="s">
        <v>278</v>
      </c>
      <c r="P1157" s="107" t="str">
        <f>VLOOKUP(O1157,[1]character_tribe_i18n!A:C,3,FALSE)</f>
        <v>種族なし</v>
      </c>
      <c r="Q1157" s="110" t="s">
        <v>279</v>
      </c>
      <c r="R1157" s="178">
        <v>3</v>
      </c>
      <c r="S1157" s="108" t="s">
        <v>280</v>
      </c>
      <c r="T1157" s="108" t="s">
        <v>281</v>
      </c>
      <c r="U1157" s="108" t="s">
        <v>280</v>
      </c>
      <c r="V1157" s="108" t="s">
        <v>280</v>
      </c>
      <c r="W1157" s="108" t="s">
        <v>280</v>
      </c>
    </row>
    <row r="1158" spans="1:23" ht="21" customHeight="1" x14ac:dyDescent="0.15">
      <c r="A1158" s="104">
        <v>1157</v>
      </c>
      <c r="B1158" s="105" t="s">
        <v>268</v>
      </c>
      <c r="C1158" s="133" t="s">
        <v>3416</v>
      </c>
      <c r="D1158" s="123" t="s">
        <v>1467</v>
      </c>
      <c r="E1158" s="108" t="s">
        <v>554</v>
      </c>
      <c r="F1158" s="114" t="s">
        <v>272</v>
      </c>
      <c r="G1158" s="114" t="s">
        <v>273</v>
      </c>
      <c r="H1158" s="180" t="s">
        <v>300</v>
      </c>
      <c r="I1158" s="133">
        <v>5</v>
      </c>
      <c r="J1158" s="115" t="s">
        <v>2013</v>
      </c>
      <c r="K1158" s="105" t="s">
        <v>1441</v>
      </c>
      <c r="L1158" s="107" t="str">
        <f ca="1">VLOOKUP($K1158,OFFSET([1]character_type_i18n!$A$1,0,0,COUNTA([1]character_type_i18n!$A:$A),MATCH(L$1,[1]character_type_i18n!$1:$1,0)-MATCH($K$1,[1]character_type_i18n!$1:$1,0)+1),MATCH(L$1,[1]character_type_i18n!$1:$1,0)-MATCH($K$1,[1]character_type_i18n!$1:$1,0)+1,FALSE)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58" s="105" t="s">
        <v>517</v>
      </c>
      <c r="N1158" s="107" t="str">
        <f>VLOOKUP(M1158,[1]character_tribe_i18n!A:C,3,FALSE)</f>
        <v>ゴッド</v>
      </c>
      <c r="O1158" s="105" t="s">
        <v>1017</v>
      </c>
      <c r="P1158" s="107" t="str">
        <f>VLOOKUP(O1158,[1]character_tribe_i18n!A:C,3,FALSE)</f>
        <v>マシン</v>
      </c>
      <c r="Q1158" s="110" t="s">
        <v>279</v>
      </c>
      <c r="R1158" s="178">
        <v>3</v>
      </c>
      <c r="S1158" s="108" t="s">
        <v>280</v>
      </c>
      <c r="T1158" s="108" t="s">
        <v>281</v>
      </c>
      <c r="U1158" s="108" t="s">
        <v>280</v>
      </c>
      <c r="V1158" s="108" t="s">
        <v>280</v>
      </c>
      <c r="W1158" s="108" t="s">
        <v>280</v>
      </c>
    </row>
    <row r="1159" spans="1:23" ht="22" customHeight="1" x14ac:dyDescent="0.15">
      <c r="A1159" s="104">
        <v>1158</v>
      </c>
      <c r="B1159" s="105" t="s">
        <v>268</v>
      </c>
      <c r="C1159" s="133" t="s">
        <v>3417</v>
      </c>
      <c r="D1159" s="123" t="s">
        <v>1467</v>
      </c>
      <c r="E1159" s="108" t="s">
        <v>554</v>
      </c>
      <c r="F1159" s="114" t="s">
        <v>272</v>
      </c>
      <c r="G1159" s="114" t="s">
        <v>273</v>
      </c>
      <c r="H1159" s="180" t="s">
        <v>300</v>
      </c>
      <c r="I1159" s="133">
        <v>6</v>
      </c>
      <c r="J1159" s="115" t="s">
        <v>1452</v>
      </c>
      <c r="K1159" s="105" t="s">
        <v>1441</v>
      </c>
      <c r="L1159" s="107" t="str">
        <f ca="1">VLOOKUP($K1159,OFFSET([1]character_type_i18n!$A$1,0,0,COUNTA([1]character_type_i18n!$A:$A),MATCH(L$1,[1]character_type_i18n!$1:$1,0)-MATCH($K$1,[1]character_type_i18n!$1:$1,0)+1),MATCH(L$1,[1]character_type_i18n!$1:$1,0)-MATCH($K$1,[1]character_type_i18n!$1:$1,0)+1,FALSE)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59" s="105" t="s">
        <v>517</v>
      </c>
      <c r="N1159" s="107" t="str">
        <f>VLOOKUP(M1159,[1]character_tribe_i18n!A:C,3,FALSE)</f>
        <v>ゴッド</v>
      </c>
      <c r="O1159" s="105" t="s">
        <v>1017</v>
      </c>
      <c r="P1159" s="107" t="str">
        <f>VLOOKUP(O1159,[1]character_tribe_i18n!A:C,3,FALSE)</f>
        <v>マシン</v>
      </c>
      <c r="Q1159" s="110" t="s">
        <v>279</v>
      </c>
      <c r="R1159" s="178">
        <v>3</v>
      </c>
      <c r="S1159" s="108" t="s">
        <v>280</v>
      </c>
      <c r="T1159" s="108" t="s">
        <v>281</v>
      </c>
      <c r="U1159" s="108" t="s">
        <v>280</v>
      </c>
      <c r="V1159" s="108" t="s">
        <v>289</v>
      </c>
      <c r="W1159" s="108" t="s">
        <v>289</v>
      </c>
    </row>
    <row r="1160" spans="1:23" ht="21" customHeight="1" x14ac:dyDescent="0.15">
      <c r="A1160" s="104">
        <v>1159</v>
      </c>
      <c r="B1160" s="105" t="s">
        <v>292</v>
      </c>
      <c r="C1160" s="182" t="s">
        <v>3418</v>
      </c>
      <c r="D1160" s="123" t="s">
        <v>3353</v>
      </c>
      <c r="E1160" s="108" t="s">
        <v>1953</v>
      </c>
      <c r="F1160" s="114" t="s">
        <v>272</v>
      </c>
      <c r="G1160" s="114" t="s">
        <v>273</v>
      </c>
      <c r="H1160" s="183" t="s">
        <v>285</v>
      </c>
      <c r="I1160" s="133">
        <v>5</v>
      </c>
      <c r="J1160" s="115" t="s">
        <v>3261</v>
      </c>
      <c r="K1160" s="105" t="s">
        <v>1441</v>
      </c>
      <c r="L1160" s="107" t="str">
        <f ca="1">VLOOKUP($K1160,OFFSET([1]character_type_i18n!$A$1,0,0,COUNTA([1]character_type_i18n!$A:$A),MATCH(L$1,[1]character_type_i18n!$1:$1,0)-MATCH($K$1,[1]character_type_i18n!$1:$1,0)+1),MATCH(L$1,[1]character_type_i18n!$1:$1,0)-MATCH($K$1,[1]character_type_i18n!$1:$1,0)+1,FALSE)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0" s="105" t="s">
        <v>1987</v>
      </c>
      <c r="N1160" s="107" t="str">
        <f>VLOOKUP(M1160,[1]character_tribe_i18n!A:C,3,FALSE)</f>
        <v>アカデミア</v>
      </c>
      <c r="O1160" s="105" t="s">
        <v>1596</v>
      </c>
      <c r="P1160" s="107" t="str">
        <f>VLOOKUP(O1160,[1]character_tribe_i18n!A:C,3,FALSE)</f>
        <v>種族なし</v>
      </c>
      <c r="Q1160" s="110" t="s">
        <v>279</v>
      </c>
      <c r="R1160" s="178">
        <v>3</v>
      </c>
      <c r="S1160" s="108" t="s">
        <v>280</v>
      </c>
      <c r="T1160" s="108" t="s">
        <v>281</v>
      </c>
      <c r="U1160" s="108" t="s">
        <v>280</v>
      </c>
      <c r="V1160" s="108" t="s">
        <v>280</v>
      </c>
      <c r="W1160" s="108" t="s">
        <v>280</v>
      </c>
    </row>
    <row r="1161" spans="1:23" ht="22" customHeight="1" x14ac:dyDescent="0.15">
      <c r="A1161" s="104">
        <v>1160</v>
      </c>
      <c r="B1161" s="105" t="s">
        <v>268</v>
      </c>
      <c r="C1161" s="182" t="s">
        <v>3419</v>
      </c>
      <c r="D1161" s="123" t="s">
        <v>1467</v>
      </c>
      <c r="E1161" s="108" t="s">
        <v>554</v>
      </c>
      <c r="F1161" s="114" t="s">
        <v>272</v>
      </c>
      <c r="G1161" s="114" t="s">
        <v>273</v>
      </c>
      <c r="H1161" s="183" t="s">
        <v>285</v>
      </c>
      <c r="I1161" s="133">
        <v>6</v>
      </c>
      <c r="J1161" s="115" t="s">
        <v>3261</v>
      </c>
      <c r="K1161" s="105" t="s">
        <v>1441</v>
      </c>
      <c r="L1161" s="107" t="str">
        <f ca="1">VLOOKUP($K1161,OFFSET([1]character_type_i18n!$A$1,0,0,COUNTA([1]character_type_i18n!$A:$A),MATCH(L$1,[1]character_type_i18n!$1:$1,0)-MATCH($K$1,[1]character_type_i18n!$1:$1,0)+1),MATCH(L$1,[1]character_type_i18n!$1:$1,0)-MATCH($K$1,[1]character_type_i18n!$1:$1,0)+1,FALSE)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1" s="105" t="s">
        <v>2316</v>
      </c>
      <c r="N1161" s="107" t="str">
        <f>VLOOKUP(M1161,[1]character_tribe_i18n!A:C,3,FALSE)</f>
        <v>アカデミア</v>
      </c>
      <c r="O1161" s="105" t="s">
        <v>1423</v>
      </c>
      <c r="P1161" s="107" t="str">
        <f>VLOOKUP(O1161,[1]character_tribe_i18n!A:C,3,FALSE)</f>
        <v>種族なし</v>
      </c>
      <c r="Q1161" s="110" t="s">
        <v>362</v>
      </c>
      <c r="R1161" s="178">
        <v>3</v>
      </c>
      <c r="S1161" s="108" t="s">
        <v>289</v>
      </c>
      <c r="T1161" s="108" t="s">
        <v>288</v>
      </c>
      <c r="U1161" s="108" t="s">
        <v>289</v>
      </c>
      <c r="V1161" s="108" t="s">
        <v>289</v>
      </c>
      <c r="W1161" s="108" t="s">
        <v>289</v>
      </c>
    </row>
    <row r="1162" spans="1:23" ht="21" customHeight="1" x14ac:dyDescent="0.15">
      <c r="A1162" s="104">
        <v>1161</v>
      </c>
      <c r="B1162" s="105" t="s">
        <v>292</v>
      </c>
      <c r="C1162" s="182" t="s">
        <v>3420</v>
      </c>
      <c r="D1162" s="123" t="s">
        <v>3353</v>
      </c>
      <c r="E1162" s="108" t="s">
        <v>1953</v>
      </c>
      <c r="F1162" s="114" t="s">
        <v>272</v>
      </c>
      <c r="G1162" s="114" t="s">
        <v>273</v>
      </c>
      <c r="H1162" s="183" t="s">
        <v>300</v>
      </c>
      <c r="I1162" s="133">
        <v>5</v>
      </c>
      <c r="J1162" s="115" t="s">
        <v>1602</v>
      </c>
      <c r="K1162" s="105" t="s">
        <v>2716</v>
      </c>
      <c r="L1162" s="107" t="str">
        <f ca="1">VLOOKUP($K1162,OFFSET([1]character_type_i18n!$A$1,0,0,COUNTA([1]character_type_i18n!$A:$A),MATCH(L$1,[1]character_type_i18n!$1:$1,0)-MATCH($K$1,[1]character_type_i18n!$1:$1,0)+1),MATCH(L$1,[1]character_type_i18n!$1:$1,0)-MATCH($K$1,[1]character_type_i18n!$1:$1,0)+1,FALSE)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2" s="105" t="s">
        <v>1987</v>
      </c>
      <c r="N1162" s="107" t="str">
        <f>VLOOKUP(M1162,[1]character_tribe_i18n!A:C,3,FALSE)</f>
        <v>アカデミア</v>
      </c>
      <c r="O1162" s="105" t="s">
        <v>1413</v>
      </c>
      <c r="P1162" s="107" t="str">
        <f>VLOOKUP(O1162,[1]character_tribe_i18n!A:C,3,FALSE)</f>
        <v>Unknown</v>
      </c>
      <c r="Q1162" s="110" t="s">
        <v>279</v>
      </c>
      <c r="R1162" s="178">
        <v>3</v>
      </c>
      <c r="S1162" s="108" t="s">
        <v>280</v>
      </c>
      <c r="T1162" s="108" t="s">
        <v>281</v>
      </c>
      <c r="U1162" s="108" t="s">
        <v>280</v>
      </c>
      <c r="V1162" s="108" t="s">
        <v>280</v>
      </c>
      <c r="W1162" s="108" t="s">
        <v>280</v>
      </c>
    </row>
    <row r="1163" spans="1:23" ht="22" customHeight="1" x14ac:dyDescent="0.15">
      <c r="A1163" s="104">
        <v>1162</v>
      </c>
      <c r="B1163" s="105" t="s">
        <v>268</v>
      </c>
      <c r="C1163" s="182" t="s">
        <v>3421</v>
      </c>
      <c r="D1163" s="123" t="s">
        <v>1467</v>
      </c>
      <c r="E1163" s="108" t="s">
        <v>554</v>
      </c>
      <c r="F1163" s="114" t="s">
        <v>272</v>
      </c>
      <c r="G1163" s="114" t="s">
        <v>273</v>
      </c>
      <c r="H1163" s="183" t="s">
        <v>300</v>
      </c>
      <c r="I1163" s="133">
        <v>6</v>
      </c>
      <c r="J1163" s="115" t="s">
        <v>3261</v>
      </c>
      <c r="K1163" s="105" t="s">
        <v>1441</v>
      </c>
      <c r="L1163" s="107" t="str">
        <f ca="1">VLOOKUP($K1163,OFFSET([1]character_type_i18n!$A$1,0,0,COUNTA([1]character_type_i18n!$A:$A),MATCH(L$1,[1]character_type_i18n!$1:$1,0)-MATCH($K$1,[1]character_type_i18n!$1:$1,0)+1),MATCH(L$1,[1]character_type_i18n!$1:$1,0)-MATCH($K$1,[1]character_type_i18n!$1:$1,0)+1,FALSE)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3" s="105" t="s">
        <v>2316</v>
      </c>
      <c r="N1163" s="107" t="str">
        <f>VLOOKUP(M1163,[1]character_tribe_i18n!A:C,3,FALSE)</f>
        <v>アカデミア</v>
      </c>
      <c r="O1163" s="105" t="s">
        <v>1164</v>
      </c>
      <c r="P1163" s="107" t="str">
        <f>VLOOKUP(O1163,[1]character_tribe_i18n!A:C,3,FALSE)</f>
        <v>Unknown</v>
      </c>
      <c r="Q1163" s="110" t="s">
        <v>362</v>
      </c>
      <c r="R1163" s="178">
        <v>3</v>
      </c>
      <c r="S1163" s="108" t="s">
        <v>289</v>
      </c>
      <c r="T1163" s="108" t="s">
        <v>288</v>
      </c>
      <c r="U1163" s="108" t="s">
        <v>289</v>
      </c>
      <c r="V1163" s="108" t="s">
        <v>289</v>
      </c>
      <c r="W1163" s="108" t="s">
        <v>289</v>
      </c>
    </row>
    <row r="1164" spans="1:23" ht="21" customHeight="1" x14ac:dyDescent="0.15">
      <c r="A1164" s="104">
        <v>1163</v>
      </c>
      <c r="B1164" s="105" t="s">
        <v>292</v>
      </c>
      <c r="C1164" s="182" t="s">
        <v>3422</v>
      </c>
      <c r="D1164" s="123" t="s">
        <v>3353</v>
      </c>
      <c r="E1164" s="108" t="s">
        <v>1953</v>
      </c>
      <c r="F1164" s="114" t="s">
        <v>272</v>
      </c>
      <c r="G1164" s="114" t="s">
        <v>273</v>
      </c>
      <c r="H1164" s="183" t="s">
        <v>300</v>
      </c>
      <c r="I1164" s="133">
        <v>6</v>
      </c>
      <c r="J1164" s="115" t="s">
        <v>3261</v>
      </c>
      <c r="K1164" s="105" t="s">
        <v>1441</v>
      </c>
      <c r="L1164" s="107" t="str">
        <f ca="1">VLOOKUP($K1164,OFFSET([1]character_type_i18n!$A$1,0,0,COUNTA([1]character_type_i18n!$A:$A),MATCH(L$1,[1]character_type_i18n!$1:$1,0)-MATCH($K$1,[1]character_type_i18n!$1:$1,0)+1),MATCH(L$1,[1]character_type_i18n!$1:$1,0)-MATCH($K$1,[1]character_type_i18n!$1:$1,0)+1,FALSE)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4" s="105" t="s">
        <v>1987</v>
      </c>
      <c r="N1164" s="107" t="str">
        <f>VLOOKUP(M1164,[1]character_tribe_i18n!A:C,3,FALSE)</f>
        <v>アカデミア</v>
      </c>
      <c r="O1164" s="105" t="s">
        <v>1413</v>
      </c>
      <c r="P1164" s="107" t="str">
        <f>VLOOKUP(O1164,[1]character_tribe_i18n!A:C,3,FALSE)</f>
        <v>Unknown</v>
      </c>
      <c r="Q1164" s="110" t="s">
        <v>279</v>
      </c>
      <c r="R1164" s="178">
        <v>3</v>
      </c>
      <c r="S1164" s="108" t="s">
        <v>280</v>
      </c>
      <c r="T1164" s="108" t="s">
        <v>2950</v>
      </c>
      <c r="U1164" s="108" t="s">
        <v>280</v>
      </c>
      <c r="V1164" s="108" t="s">
        <v>280</v>
      </c>
      <c r="W1164" s="108" t="s">
        <v>280</v>
      </c>
    </row>
    <row r="1165" spans="1:23" ht="22" customHeight="1" x14ac:dyDescent="0.15">
      <c r="A1165" s="104">
        <v>1164</v>
      </c>
      <c r="B1165" s="105" t="s">
        <v>268</v>
      </c>
      <c r="C1165" s="182" t="s">
        <v>3423</v>
      </c>
      <c r="D1165" s="123" t="s">
        <v>1467</v>
      </c>
      <c r="E1165" s="108" t="s">
        <v>554</v>
      </c>
      <c r="F1165" s="114" t="s">
        <v>272</v>
      </c>
      <c r="G1165" s="114" t="s">
        <v>273</v>
      </c>
      <c r="H1165" s="183" t="s">
        <v>274</v>
      </c>
      <c r="I1165" s="133">
        <v>5</v>
      </c>
      <c r="J1165" s="115" t="s">
        <v>3424</v>
      </c>
      <c r="K1165" s="105" t="s">
        <v>1348</v>
      </c>
      <c r="L1165" s="107" t="str">
        <f ca="1">VLOOKUP($K1165,OFFSET([1]character_type_i18n!$A$1,0,0,COUNTA([1]character_type_i18n!$A:$A),MATCH(L$1,[1]character_type_i18n!$1:$1,0)-MATCH($K$1,[1]character_type_i18n!$1:$1,0)+1),MATCH(L$1,[1]character_type_i18n!$1:$1,0)-MATCH($K$1,[1]character_type_i18n!$1:$1,0)+1,FALSE)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65" s="105" t="s">
        <v>3425</v>
      </c>
      <c r="N1165" s="107" t="str">
        <f>VLOOKUP(M1165,[1]character_tribe_i18n!A:C,3,FALSE)</f>
        <v>ウェポン</v>
      </c>
      <c r="O1165" s="105" t="s">
        <v>1423</v>
      </c>
      <c r="P1165" s="107" t="str">
        <f>VLOOKUP(O1165,[1]character_tribe_i18n!A:C,3,FALSE)</f>
        <v>種族なし</v>
      </c>
      <c r="Q1165" s="110" t="s">
        <v>362</v>
      </c>
      <c r="R1165" s="178">
        <v>3</v>
      </c>
      <c r="S1165" s="108" t="s">
        <v>289</v>
      </c>
      <c r="T1165" s="108" t="s">
        <v>288</v>
      </c>
      <c r="U1165" s="108" t="s">
        <v>289</v>
      </c>
      <c r="V1165" s="108" t="s">
        <v>289</v>
      </c>
      <c r="W1165" s="108" t="s">
        <v>289</v>
      </c>
    </row>
    <row r="1166" spans="1:23" ht="21" customHeight="1" x14ac:dyDescent="0.15">
      <c r="A1166" s="104">
        <v>1165</v>
      </c>
      <c r="B1166" s="105" t="s">
        <v>292</v>
      </c>
      <c r="C1166" s="182" t="s">
        <v>3426</v>
      </c>
      <c r="D1166" s="123" t="s">
        <v>3353</v>
      </c>
      <c r="E1166" s="108" t="s">
        <v>1953</v>
      </c>
      <c r="F1166" s="114" t="s">
        <v>272</v>
      </c>
      <c r="G1166" s="114" t="s">
        <v>273</v>
      </c>
      <c r="H1166" s="183" t="s">
        <v>274</v>
      </c>
      <c r="I1166" s="133">
        <v>6</v>
      </c>
      <c r="J1166" s="115" t="s">
        <v>3424</v>
      </c>
      <c r="K1166" s="105" t="s">
        <v>1348</v>
      </c>
      <c r="L1166" s="107" t="str">
        <f ca="1">VLOOKUP($K1166,OFFSET([1]character_type_i18n!$A$1,0,0,COUNTA([1]character_type_i18n!$A:$A),MATCH(L$1,[1]character_type_i18n!$1:$1,0)-MATCH($K$1,[1]character_type_i18n!$1:$1,0)+1),MATCH(L$1,[1]character_type_i18n!$1:$1,0)-MATCH($K$1,[1]character_type_i18n!$1:$1,0)+1,FALSE)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66" s="105" t="s">
        <v>3425</v>
      </c>
      <c r="N1166" s="107" t="str">
        <f>VLOOKUP(M1166,[1]character_tribe_i18n!A:C,3,FALSE)</f>
        <v>ウェポン</v>
      </c>
      <c r="O1166" s="105" t="s">
        <v>1596</v>
      </c>
      <c r="P1166" s="107" t="str">
        <f>VLOOKUP(O1166,[1]character_tribe_i18n!A:C,3,FALSE)</f>
        <v>種族なし</v>
      </c>
      <c r="Q1166" s="110" t="s">
        <v>279</v>
      </c>
      <c r="R1166" s="178">
        <v>3</v>
      </c>
      <c r="S1166" s="108" t="s">
        <v>280</v>
      </c>
      <c r="T1166" s="108" t="s">
        <v>281</v>
      </c>
      <c r="U1166" s="108" t="s">
        <v>280</v>
      </c>
      <c r="V1166" s="108" t="s">
        <v>280</v>
      </c>
      <c r="W1166" s="108" t="s">
        <v>280</v>
      </c>
    </row>
    <row r="1167" spans="1:23" ht="22" customHeight="1" x14ac:dyDescent="0.15">
      <c r="A1167" s="104">
        <v>1166</v>
      </c>
      <c r="B1167" s="105" t="s">
        <v>268</v>
      </c>
      <c r="C1167" s="182" t="s">
        <v>3427</v>
      </c>
      <c r="D1167" s="123" t="s">
        <v>1467</v>
      </c>
      <c r="E1167" s="108" t="s">
        <v>554</v>
      </c>
      <c r="F1167" s="114" t="s">
        <v>272</v>
      </c>
      <c r="G1167" s="114" t="s">
        <v>273</v>
      </c>
      <c r="H1167" s="183" t="s">
        <v>295</v>
      </c>
      <c r="I1167" s="133">
        <v>5</v>
      </c>
      <c r="J1167" s="115" t="s">
        <v>3424</v>
      </c>
      <c r="K1167" s="105" t="s">
        <v>1441</v>
      </c>
      <c r="L1167" s="107" t="str">
        <f ca="1">VLOOKUP($K1167,OFFSET([1]character_type_i18n!$A$1,0,0,COUNTA([1]character_type_i18n!$A:$A),MATCH(L$1,[1]character_type_i18n!$1:$1,0)-MATCH($K$1,[1]character_type_i18n!$1:$1,0)+1),MATCH(L$1,[1]character_type_i18n!$1:$1,0)-MATCH($K$1,[1]character_type_i18n!$1:$1,0)+1,FALSE)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7" s="105" t="s">
        <v>3425</v>
      </c>
      <c r="N1167" s="107" t="str">
        <f>VLOOKUP(M1167,[1]character_tribe_i18n!A:C,3,FALSE)</f>
        <v>ウェポン</v>
      </c>
      <c r="O1167" s="105" t="s">
        <v>1164</v>
      </c>
      <c r="P1167" s="107" t="str">
        <f>VLOOKUP(O1167,[1]character_tribe_i18n!A:C,3,FALSE)</f>
        <v>Unknown</v>
      </c>
      <c r="Q1167" s="110" t="s">
        <v>362</v>
      </c>
      <c r="R1167" s="178">
        <v>3</v>
      </c>
      <c r="S1167" s="108" t="s">
        <v>289</v>
      </c>
      <c r="T1167" s="108" t="s">
        <v>288</v>
      </c>
      <c r="U1167" s="108" t="s">
        <v>289</v>
      </c>
      <c r="V1167" s="108" t="s">
        <v>289</v>
      </c>
      <c r="W1167" s="108" t="s">
        <v>289</v>
      </c>
    </row>
    <row r="1168" spans="1:23" ht="21" customHeight="1" x14ac:dyDescent="0.15">
      <c r="A1168" s="104">
        <v>1167</v>
      </c>
      <c r="B1168" s="105" t="s">
        <v>292</v>
      </c>
      <c r="C1168" s="182" t="s">
        <v>3428</v>
      </c>
      <c r="D1168" s="123" t="s">
        <v>3353</v>
      </c>
      <c r="E1168" s="108" t="s">
        <v>1953</v>
      </c>
      <c r="F1168" s="114" t="s">
        <v>272</v>
      </c>
      <c r="G1168" s="114" t="s">
        <v>273</v>
      </c>
      <c r="H1168" s="183" t="s">
        <v>295</v>
      </c>
      <c r="I1168" s="133">
        <v>6</v>
      </c>
      <c r="J1168" s="115" t="s">
        <v>3424</v>
      </c>
      <c r="K1168" s="105" t="s">
        <v>1441</v>
      </c>
      <c r="L1168" s="107" t="str">
        <f ca="1">VLOOKUP($K1168,OFFSET([1]character_type_i18n!$A$1,0,0,COUNTA([1]character_type_i18n!$A:$A),MATCH(L$1,[1]character_type_i18n!$1:$1,0)-MATCH($K$1,[1]character_type_i18n!$1:$1,0)+1),MATCH(L$1,[1]character_type_i18n!$1:$1,0)-MATCH($K$1,[1]character_type_i18n!$1:$1,0)+1,FALSE)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8" s="105" t="s">
        <v>3425</v>
      </c>
      <c r="N1168" s="107" t="str">
        <f>VLOOKUP(M1168,[1]character_tribe_i18n!A:C,3,FALSE)</f>
        <v>ウェポン</v>
      </c>
      <c r="O1168" s="105" t="s">
        <v>1413</v>
      </c>
      <c r="P1168" s="107" t="str">
        <f>VLOOKUP(O1168,[1]character_tribe_i18n!A:C,3,FALSE)</f>
        <v>Unknown</v>
      </c>
      <c r="Q1168" s="110" t="s">
        <v>279</v>
      </c>
      <c r="R1168" s="178">
        <v>3</v>
      </c>
      <c r="S1168" s="108" t="s">
        <v>280</v>
      </c>
      <c r="T1168" s="108" t="s">
        <v>281</v>
      </c>
      <c r="U1168" s="108" t="s">
        <v>280</v>
      </c>
      <c r="V1168" s="108" t="s">
        <v>280</v>
      </c>
      <c r="W1168" s="108" t="s">
        <v>280</v>
      </c>
    </row>
    <row r="1169" spans="1:23" ht="22" customHeight="1" x14ac:dyDescent="0.15">
      <c r="A1169" s="104">
        <v>1168</v>
      </c>
      <c r="B1169" s="105" t="s">
        <v>268</v>
      </c>
      <c r="C1169" s="182" t="s">
        <v>3429</v>
      </c>
      <c r="D1169" s="123" t="s">
        <v>1467</v>
      </c>
      <c r="E1169" s="108" t="s">
        <v>554</v>
      </c>
      <c r="F1169" s="114" t="s">
        <v>272</v>
      </c>
      <c r="G1169" s="114" t="s">
        <v>273</v>
      </c>
      <c r="H1169" s="183" t="s">
        <v>300</v>
      </c>
      <c r="I1169" s="133">
        <v>5</v>
      </c>
      <c r="J1169" s="115" t="s">
        <v>3424</v>
      </c>
      <c r="K1169" s="105" t="s">
        <v>1166</v>
      </c>
      <c r="L1169" s="107" t="str">
        <f ca="1">VLOOKUP($K1169,OFFSET([1]character_type_i18n!$A$1,0,0,COUNTA([1]character_type_i18n!$A:$A),MATCH(L$1,[1]character_type_i18n!$1:$1,0)-MATCH($K$1,[1]character_type_i18n!$1:$1,0)+1),MATCH(L$1,[1]character_type_i18n!$1:$1,0)-MATCH($K$1,[1]character_type_i18n!$1:$1,0)+1,FALSE)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69" s="105" t="s">
        <v>3425</v>
      </c>
      <c r="N1169" s="107" t="str">
        <f>VLOOKUP(M1169,[1]character_tribe_i18n!A:C,3,FALSE)</f>
        <v>ウェポン</v>
      </c>
      <c r="O1169" s="105" t="s">
        <v>1596</v>
      </c>
      <c r="P1169" s="107" t="str">
        <f>VLOOKUP(O1169,[1]character_tribe_i18n!A:C,3,FALSE)</f>
        <v>種族なし</v>
      </c>
      <c r="Q1169" s="110" t="s">
        <v>279</v>
      </c>
      <c r="R1169" s="178">
        <v>3</v>
      </c>
      <c r="S1169" s="108" t="s">
        <v>280</v>
      </c>
      <c r="T1169" s="108" t="s">
        <v>281</v>
      </c>
      <c r="U1169" s="108" t="s">
        <v>280</v>
      </c>
      <c r="V1169" s="108" t="s">
        <v>280</v>
      </c>
      <c r="W1169" s="108" t="s">
        <v>280</v>
      </c>
    </row>
    <row r="1170" spans="1:23" ht="21" customHeight="1" x14ac:dyDescent="0.15">
      <c r="A1170" s="104">
        <v>1169</v>
      </c>
      <c r="B1170" s="105" t="s">
        <v>268</v>
      </c>
      <c r="C1170" s="182" t="s">
        <v>3430</v>
      </c>
      <c r="D1170" s="123" t="s">
        <v>1467</v>
      </c>
      <c r="E1170" s="108" t="s">
        <v>554</v>
      </c>
      <c r="F1170" s="114" t="s">
        <v>272</v>
      </c>
      <c r="G1170" s="114" t="s">
        <v>273</v>
      </c>
      <c r="H1170" s="183" t="s">
        <v>300</v>
      </c>
      <c r="I1170" s="133">
        <v>6</v>
      </c>
      <c r="J1170" s="115" t="s">
        <v>3424</v>
      </c>
      <c r="K1170" s="105" t="s">
        <v>1505</v>
      </c>
      <c r="L1170" s="107" t="str">
        <f ca="1">VLOOKUP($K1170,OFFSET([1]character_type_i18n!$A$1,0,0,COUNTA([1]character_type_i18n!$A:$A),MATCH(L$1,[1]character_type_i18n!$1:$1,0)-MATCH($K$1,[1]character_type_i18n!$1:$1,0)+1),MATCH(L$1,[1]character_type_i18n!$1:$1,0)-MATCH($K$1,[1]character_type_i18n!$1:$1,0)+1,FALSE)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70" s="105" t="s">
        <v>3425</v>
      </c>
      <c r="N1170" s="107" t="str">
        <f>VLOOKUP(M1170,[1]character_tribe_i18n!A:C,3,FALSE)</f>
        <v>ウェポン</v>
      </c>
      <c r="O1170" s="105" t="s">
        <v>1596</v>
      </c>
      <c r="P1170" s="107" t="str">
        <f>VLOOKUP(O1170,[1]character_tribe_i18n!A:C,3,FALSE)</f>
        <v>種族なし</v>
      </c>
      <c r="Q1170" s="110" t="s">
        <v>279</v>
      </c>
      <c r="R1170" s="178">
        <v>3</v>
      </c>
      <c r="S1170" s="108" t="s">
        <v>280</v>
      </c>
      <c r="T1170" s="108" t="s">
        <v>281</v>
      </c>
      <c r="U1170" s="108" t="s">
        <v>280</v>
      </c>
      <c r="V1170" s="108" t="s">
        <v>280</v>
      </c>
      <c r="W1170" s="108" t="s">
        <v>280</v>
      </c>
    </row>
    <row r="1171" spans="1:23" ht="22" customHeight="1" x14ac:dyDescent="0.15">
      <c r="A1171" s="104">
        <v>1170</v>
      </c>
      <c r="B1171" s="105" t="s">
        <v>268</v>
      </c>
      <c r="C1171" s="182" t="s">
        <v>3431</v>
      </c>
      <c r="D1171" s="123" t="s">
        <v>1467</v>
      </c>
      <c r="E1171" s="108" t="s">
        <v>554</v>
      </c>
      <c r="F1171" s="114" t="s">
        <v>272</v>
      </c>
      <c r="G1171" s="114" t="s">
        <v>273</v>
      </c>
      <c r="H1171" s="183" t="s">
        <v>274</v>
      </c>
      <c r="I1171" s="133">
        <v>6</v>
      </c>
      <c r="J1171" s="115" t="s">
        <v>3261</v>
      </c>
      <c r="K1171" s="105" t="s">
        <v>1441</v>
      </c>
      <c r="L1171" s="107" t="str">
        <f ca="1">VLOOKUP($K1171,OFFSET([1]character_type_i18n!$A$1,0,0,COUNTA([1]character_type_i18n!$A:$A),MATCH(L$1,[1]character_type_i18n!$1:$1,0)-MATCH($K$1,[1]character_type_i18n!$1:$1,0)+1),MATCH(L$1,[1]character_type_i18n!$1:$1,0)-MATCH($K$1,[1]character_type_i18n!$1:$1,0)+1,FALSE)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71" s="105" t="s">
        <v>2316</v>
      </c>
      <c r="N1171" s="107" t="str">
        <f>VLOOKUP(M1171,[1]character_tribe_i18n!A:C,3,FALSE)</f>
        <v>アカデミア</v>
      </c>
      <c r="O1171" s="105" t="s">
        <v>1596</v>
      </c>
      <c r="P1171" s="107" t="str">
        <f>VLOOKUP(O1171,[1]character_tribe_i18n!A:C,3,FALSE)</f>
        <v>種族なし</v>
      </c>
      <c r="Q1171" s="110" t="s">
        <v>279</v>
      </c>
      <c r="R1171" s="178">
        <v>1</v>
      </c>
      <c r="S1171" s="108" t="s">
        <v>280</v>
      </c>
      <c r="T1171" s="108" t="s">
        <v>2950</v>
      </c>
      <c r="U1171" s="108" t="s">
        <v>280</v>
      </c>
      <c r="V1171" s="108" t="s">
        <v>280</v>
      </c>
      <c r="W1171" s="108" t="s">
        <v>280</v>
      </c>
    </row>
    <row r="1172" spans="1:23" ht="21" customHeight="1" x14ac:dyDescent="0.15">
      <c r="A1172" s="104">
        <v>1171</v>
      </c>
      <c r="B1172" s="105" t="s">
        <v>268</v>
      </c>
      <c r="C1172" s="182" t="s">
        <v>3432</v>
      </c>
      <c r="D1172" s="123" t="s">
        <v>1467</v>
      </c>
      <c r="E1172" s="108" t="s">
        <v>554</v>
      </c>
      <c r="F1172" s="114" t="s">
        <v>272</v>
      </c>
      <c r="G1172" s="114" t="s">
        <v>273</v>
      </c>
      <c r="H1172" s="183" t="s">
        <v>285</v>
      </c>
      <c r="I1172" s="133">
        <v>6</v>
      </c>
      <c r="J1172" s="115" t="s">
        <v>3433</v>
      </c>
      <c r="K1172" s="105" t="s">
        <v>3434</v>
      </c>
      <c r="L1172" s="107" t="str">
        <f ca="1">VLOOKUP($K1172,OFFSET([1]character_type_i18n!$A$1,0,0,COUNTA([1]character_type_i18n!$A:$A),MATCH(L$1,[1]character_type_i18n!$1:$1,0)-MATCH($K$1,[1]character_type_i18n!$1:$1,0)+1),MATCH(L$1,[1]character_type_i18n!$1:$1,0)-MATCH($K$1,[1]character_type_i18n!$1:$1,0)+1,FALSE)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72" s="105" t="s">
        <v>3435</v>
      </c>
      <c r="N1172" s="107" t="str">
        <f>VLOOKUP(M1172,[1]character_tribe_i18n!A:C,3,FALSE)</f>
        <v>アカデミア</v>
      </c>
      <c r="O1172" s="105" t="s">
        <v>3436</v>
      </c>
      <c r="P1172" s="107" t="str">
        <f>VLOOKUP(O1172,[1]character_tribe_i18n!A:C,3,FALSE)</f>
        <v>種族なし</v>
      </c>
      <c r="Q1172" s="110" t="s">
        <v>3097</v>
      </c>
      <c r="R1172" s="178">
        <v>2</v>
      </c>
      <c r="S1172" s="108" t="s">
        <v>3098</v>
      </c>
      <c r="T1172" s="108" t="s">
        <v>3437</v>
      </c>
      <c r="U1172" s="108" t="s">
        <v>3098</v>
      </c>
      <c r="V1172" s="108" t="s">
        <v>3098</v>
      </c>
      <c r="W1172" s="108" t="s">
        <v>3098</v>
      </c>
    </row>
    <row r="1173" spans="1:23" ht="22" customHeight="1" x14ac:dyDescent="0.15">
      <c r="A1173" s="104">
        <v>1172</v>
      </c>
      <c r="B1173" s="105" t="s">
        <v>3100</v>
      </c>
      <c r="C1173" s="182" t="s">
        <v>3438</v>
      </c>
      <c r="D1173" s="123" t="s">
        <v>3364</v>
      </c>
      <c r="E1173" s="108" t="s">
        <v>3378</v>
      </c>
      <c r="F1173" s="114" t="s">
        <v>272</v>
      </c>
      <c r="G1173" s="114" t="s">
        <v>273</v>
      </c>
      <c r="H1173" s="183" t="s">
        <v>300</v>
      </c>
      <c r="I1173" s="133">
        <v>6</v>
      </c>
      <c r="J1173" s="109" t="s">
        <v>1180</v>
      </c>
      <c r="K1173" s="105" t="s">
        <v>1008</v>
      </c>
      <c r="L1173" s="107" t="str">
        <f ca="1">VLOOKUP($K1173,OFFSET([1]character_type_i18n!$A$1,0,0,COUNTA([1]character_type_i18n!$A:$A),MATCH(L$1,[1]character_type_i18n!$1:$1,0)-MATCH($K$1,[1]character_type_i18n!$1:$1,0)+1),MATCH(L$1,[1]character_type_i18n!$1:$1,0)-MATCH($K$1,[1]character_type_i18n!$1:$1,0)+1,FALSE)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73" s="105" t="s">
        <v>2931</v>
      </c>
      <c r="N1173" s="107" t="str">
        <f>VLOOKUP(M1173,[1]character_tribe_i18n!A:C,3,FALSE)</f>
        <v>アカデミア</v>
      </c>
      <c r="O1173" s="105" t="s">
        <v>2969</v>
      </c>
      <c r="P1173" s="107" t="str">
        <f>VLOOKUP(O1173,[1]character_tribe_i18n!A:C,3,FALSE)</f>
        <v>ヒューマン</v>
      </c>
      <c r="Q1173" s="110" t="s">
        <v>1682</v>
      </c>
      <c r="R1173" s="178">
        <v>2</v>
      </c>
      <c r="S1173" s="108" t="s">
        <v>611</v>
      </c>
      <c r="T1173" s="108" t="s">
        <v>3439</v>
      </c>
      <c r="U1173" s="108" t="s">
        <v>898</v>
      </c>
      <c r="V1173" s="108" t="s">
        <v>898</v>
      </c>
      <c r="W1173" s="108" t="s">
        <v>898</v>
      </c>
    </row>
    <row r="1174" spans="1:23" ht="21" customHeight="1" x14ac:dyDescent="0.15">
      <c r="A1174" s="104">
        <v>1173</v>
      </c>
      <c r="B1174" s="105" t="s">
        <v>1689</v>
      </c>
      <c r="C1174" s="184" t="s">
        <v>3440</v>
      </c>
      <c r="D1174" s="123" t="s">
        <v>3441</v>
      </c>
      <c r="E1174" s="108" t="s">
        <v>3442</v>
      </c>
      <c r="F1174" s="114" t="s">
        <v>272</v>
      </c>
      <c r="G1174" s="114" t="s">
        <v>273</v>
      </c>
      <c r="H1174" s="183" t="s">
        <v>285</v>
      </c>
      <c r="I1174" s="133">
        <v>6</v>
      </c>
      <c r="J1174" s="115" t="s">
        <v>1263</v>
      </c>
      <c r="K1174" s="105" t="s">
        <v>1273</v>
      </c>
      <c r="L1174" s="107" t="str">
        <f ca="1">VLOOKUP($K1174,OFFSET([1]character_type_i18n!$A$1,0,0,COUNTA([1]character_type_i18n!$A:$A),MATCH(L$1,[1]character_type_i18n!$1:$1,0)-MATCH($K$1,[1]character_type_i18n!$1:$1,0)+1),MATCH(L$1,[1]character_type_i18n!$1:$1,0)-MATCH($K$1,[1]character_type_i18n!$1:$1,0)+1,FALSE)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74" s="105" t="s">
        <v>517</v>
      </c>
      <c r="N1174" s="107" t="str">
        <f>VLOOKUP(M1174,[1]character_tribe_i18n!A:C,3,FALSE)</f>
        <v>ゴッド</v>
      </c>
      <c r="O1174" s="105" t="s">
        <v>3443</v>
      </c>
      <c r="P1174" s="107" t="str">
        <f>VLOOKUP(O1174,[1]character_tribe_i18n!A:C,3,FALSE)</f>
        <v>種族なし</v>
      </c>
      <c r="Q1174" s="110" t="s">
        <v>279</v>
      </c>
      <c r="R1174" s="178">
        <v>1</v>
      </c>
      <c r="S1174" s="108" t="s">
        <v>280</v>
      </c>
      <c r="T1174" s="108" t="s">
        <v>2950</v>
      </c>
      <c r="U1174" s="108" t="s">
        <v>280</v>
      </c>
      <c r="V1174" s="108" t="s">
        <v>280</v>
      </c>
      <c r="W1174" s="108" t="s">
        <v>280</v>
      </c>
    </row>
    <row r="1175" spans="1:23" ht="22" customHeight="1" x14ac:dyDescent="0.15">
      <c r="A1175" s="104">
        <v>1174</v>
      </c>
      <c r="B1175" s="105" t="s">
        <v>268</v>
      </c>
      <c r="C1175" s="182" t="s">
        <v>3444</v>
      </c>
      <c r="D1175" s="123" t="s">
        <v>3445</v>
      </c>
      <c r="E1175" s="108" t="s">
        <v>3277</v>
      </c>
      <c r="F1175" s="114" t="s">
        <v>272</v>
      </c>
      <c r="G1175" s="114" t="s">
        <v>273</v>
      </c>
      <c r="H1175" s="183" t="s">
        <v>300</v>
      </c>
      <c r="I1175" s="133">
        <v>6</v>
      </c>
      <c r="J1175" s="115" t="s">
        <v>2461</v>
      </c>
      <c r="K1175" s="105" t="s">
        <v>1742</v>
      </c>
      <c r="L1175" s="107" t="str">
        <f ca="1">VLOOKUP($K1175,OFFSET([1]character_type_i18n!$A$1,0,0,COUNTA([1]character_type_i18n!$A:$A),MATCH(L$1,[1]character_type_i18n!$1:$1,0)-MATCH($K$1,[1]character_type_i18n!$1:$1,0)+1),MATCH(L$1,[1]character_type_i18n!$1:$1,0)-MATCH($K$1,[1]character_type_i18n!$1:$1,0)+1,FALSE)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75" s="105" t="s">
        <v>517</v>
      </c>
      <c r="N1175" s="107" t="str">
        <f>VLOOKUP(M1175,[1]character_tribe_i18n!A:C,3,FALSE)</f>
        <v>ゴッド</v>
      </c>
      <c r="O1175" s="105" t="s">
        <v>3446</v>
      </c>
      <c r="P1175" s="107" t="str">
        <f>VLOOKUP(O1175,[1]character_tribe_i18n!A:C,3,FALSE)</f>
        <v>種族なし</v>
      </c>
      <c r="Q1175" s="110" t="s">
        <v>3313</v>
      </c>
      <c r="R1175" s="178">
        <v>3</v>
      </c>
      <c r="S1175" s="108" t="s">
        <v>3314</v>
      </c>
      <c r="T1175" s="108" t="s">
        <v>910</v>
      </c>
      <c r="U1175" s="108" t="s">
        <v>911</v>
      </c>
      <c r="V1175" s="108" t="s">
        <v>894</v>
      </c>
      <c r="W1175" s="108" t="s">
        <v>894</v>
      </c>
    </row>
    <row r="1176" spans="1:23" ht="21" customHeight="1" x14ac:dyDescent="0.15">
      <c r="A1176" s="104">
        <v>1175</v>
      </c>
      <c r="B1176" s="105" t="s">
        <v>1261</v>
      </c>
      <c r="C1176" s="182" t="s">
        <v>3447</v>
      </c>
      <c r="D1176" s="123" t="s">
        <v>3448</v>
      </c>
      <c r="E1176" s="108" t="s">
        <v>3277</v>
      </c>
      <c r="F1176" s="114" t="s">
        <v>272</v>
      </c>
      <c r="G1176" s="114" t="s">
        <v>273</v>
      </c>
      <c r="H1176" s="183" t="s">
        <v>274</v>
      </c>
      <c r="I1176" s="133">
        <v>6</v>
      </c>
      <c r="J1176" s="109" t="s">
        <v>1856</v>
      </c>
      <c r="K1176" s="105" t="s">
        <v>1292</v>
      </c>
      <c r="L1176" s="107" t="str">
        <f ca="1">VLOOKUP($K1176,OFFSET([1]character_type_i18n!$A$1,0,0,COUNTA([1]character_type_i18n!$A:$A),MATCH(L$1,[1]character_type_i18n!$1:$1,0)-MATCH($K$1,[1]character_type_i18n!$1:$1,0)+1),MATCH(L$1,[1]character_type_i18n!$1:$1,0)-MATCH($K$1,[1]character_type_i18n!$1:$1,0)+1,FALSE)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76" s="105" t="s">
        <v>1011</v>
      </c>
      <c r="N1176" s="107" t="str">
        <f>VLOOKUP(M1176,[1]character_tribe_i18n!A:C,3,FALSE)</f>
        <v>ヒューマン</v>
      </c>
      <c r="O1176" s="105" t="s">
        <v>1704</v>
      </c>
      <c r="P1176" s="107" t="str">
        <f>VLOOKUP(O1176,[1]character_tribe_i18n!A:C,3,FALSE)</f>
        <v>種族なし</v>
      </c>
      <c r="Q1176" s="110" t="s">
        <v>2174</v>
      </c>
      <c r="R1176" s="178">
        <v>3</v>
      </c>
      <c r="S1176" s="108" t="s">
        <v>900</v>
      </c>
      <c r="T1176" s="108" t="s">
        <v>3449</v>
      </c>
      <c r="U1176" s="108" t="s">
        <v>900</v>
      </c>
      <c r="V1176" s="108" t="s">
        <v>900</v>
      </c>
      <c r="W1176" s="108" t="s">
        <v>900</v>
      </c>
    </row>
    <row r="1177" spans="1:23" ht="22" customHeight="1" x14ac:dyDescent="0.15">
      <c r="A1177" s="104">
        <v>1176</v>
      </c>
      <c r="B1177" s="105" t="s">
        <v>3450</v>
      </c>
      <c r="C1177" s="182" t="s">
        <v>3451</v>
      </c>
      <c r="D1177" s="123" t="s">
        <v>3452</v>
      </c>
      <c r="E1177" s="108" t="s">
        <v>3453</v>
      </c>
      <c r="F1177" s="114" t="s">
        <v>272</v>
      </c>
      <c r="G1177" s="114" t="s">
        <v>273</v>
      </c>
      <c r="H1177" s="183" t="s">
        <v>274</v>
      </c>
      <c r="I1177" s="133">
        <v>6</v>
      </c>
      <c r="J1177" s="109" t="s">
        <v>1980</v>
      </c>
      <c r="K1177" s="105" t="s">
        <v>1780</v>
      </c>
      <c r="L1177" s="107" t="str">
        <f ca="1">VLOOKUP($K1177,OFFSET([1]character_type_i18n!$A$1,0,0,COUNTA([1]character_type_i18n!$A:$A),MATCH(L$1,[1]character_type_i18n!$1:$1,0)-MATCH($K$1,[1]character_type_i18n!$1:$1,0)+1),MATCH(L$1,[1]character_type_i18n!$1:$1,0)-MATCH($K$1,[1]character_type_i18n!$1:$1,0)+1,FALSE)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77" s="105" t="s">
        <v>3454</v>
      </c>
      <c r="N1177" s="107" t="str">
        <f>VLOOKUP(M1177,[1]character_tribe_i18n!A:C,3,FALSE)</f>
        <v>アカデミア</v>
      </c>
      <c r="O1177" s="105" t="s">
        <v>3455</v>
      </c>
      <c r="P1177" s="107" t="str">
        <f>VLOOKUP(O1177,[1]character_tribe_i18n!A:C,3,FALSE)</f>
        <v>マシン</v>
      </c>
      <c r="Q1177" s="110" t="s">
        <v>279</v>
      </c>
      <c r="R1177" s="178">
        <v>2</v>
      </c>
      <c r="S1177" s="108" t="s">
        <v>280</v>
      </c>
      <c r="T1177" s="108" t="s">
        <v>2950</v>
      </c>
      <c r="U1177" s="108" t="s">
        <v>280</v>
      </c>
      <c r="V1177" s="108" t="s">
        <v>280</v>
      </c>
      <c r="W1177" s="108" t="s">
        <v>280</v>
      </c>
    </row>
    <row r="1178" spans="1:23" ht="21" customHeight="1" x14ac:dyDescent="0.15">
      <c r="A1178" s="104">
        <v>1177</v>
      </c>
      <c r="B1178" s="105" t="s">
        <v>268</v>
      </c>
      <c r="C1178" s="182" t="s">
        <v>3456</v>
      </c>
      <c r="D1178" s="123" t="s">
        <v>3448</v>
      </c>
      <c r="E1178" s="108" t="s">
        <v>3457</v>
      </c>
      <c r="F1178" s="114" t="s">
        <v>272</v>
      </c>
      <c r="G1178" s="114" t="s">
        <v>273</v>
      </c>
      <c r="H1178" s="183" t="s">
        <v>285</v>
      </c>
      <c r="I1178" s="133">
        <v>6</v>
      </c>
      <c r="J1178" s="109" t="s">
        <v>1894</v>
      </c>
      <c r="K1178" s="105" t="s">
        <v>1981</v>
      </c>
      <c r="L1178" s="107" t="str">
        <f ca="1">VLOOKUP($K1178,OFFSET([1]character_type_i18n!$A$1,0,0,COUNTA([1]character_type_i18n!$A:$A),MATCH(L$1,[1]character_type_i18n!$1:$1,0)-MATCH($K$1,[1]character_type_i18n!$1:$1,0)+1),MATCH(L$1,[1]character_type_i18n!$1:$1,0)-MATCH($K$1,[1]character_type_i18n!$1:$1,0)+1,FALSE)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78" s="105" t="s">
        <v>2969</v>
      </c>
      <c r="N1178" s="107" t="str">
        <f>VLOOKUP(M1178,[1]character_tribe_i18n!A:C,3,FALSE)</f>
        <v>ヒューマン</v>
      </c>
      <c r="O1178" s="105" t="s">
        <v>1423</v>
      </c>
      <c r="P1178" s="107" t="str">
        <f>VLOOKUP(O1178,[1]character_tribe_i18n!A:C,3,FALSE)</f>
        <v>種族なし</v>
      </c>
      <c r="Q1178" s="110" t="s">
        <v>279</v>
      </c>
      <c r="R1178" s="178">
        <v>3</v>
      </c>
      <c r="S1178" s="108" t="s">
        <v>280</v>
      </c>
      <c r="T1178" s="108" t="s">
        <v>2950</v>
      </c>
      <c r="U1178" s="108" t="s">
        <v>280</v>
      </c>
      <c r="V1178" s="108" t="s">
        <v>280</v>
      </c>
      <c r="W1178" s="108" t="s">
        <v>280</v>
      </c>
    </row>
    <row r="1179" spans="1:23" ht="22" customHeight="1" x14ac:dyDescent="0.15">
      <c r="A1179" s="104">
        <v>1178</v>
      </c>
      <c r="B1179" s="105" t="s">
        <v>268</v>
      </c>
      <c r="C1179" s="182" t="s">
        <v>3458</v>
      </c>
      <c r="D1179" s="123" t="s">
        <v>1467</v>
      </c>
      <c r="E1179" s="108" t="s">
        <v>554</v>
      </c>
      <c r="F1179" s="114" t="s">
        <v>272</v>
      </c>
      <c r="G1179" s="114" t="s">
        <v>273</v>
      </c>
      <c r="H1179" s="183" t="s">
        <v>285</v>
      </c>
      <c r="I1179" s="133">
        <v>6</v>
      </c>
      <c r="J1179" s="109" t="s">
        <v>1894</v>
      </c>
      <c r="K1179" s="105" t="s">
        <v>1699</v>
      </c>
      <c r="L1179" s="107" t="str">
        <f ca="1">VLOOKUP($K1179,OFFSET([1]character_type_i18n!$A$1,0,0,COUNTA([1]character_type_i18n!$A:$A),MATCH(L$1,[1]character_type_i18n!$1:$1,0)-MATCH($K$1,[1]character_type_i18n!$1:$1,0)+1),MATCH(L$1,[1]character_type_i18n!$1:$1,0)-MATCH($K$1,[1]character_type_i18n!$1:$1,0)+1,FALSE)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79" s="105" t="s">
        <v>1264</v>
      </c>
      <c r="N1179" s="107" t="str">
        <f>VLOOKUP(M1179,[1]character_tribe_i18n!A:C,3,FALSE)</f>
        <v>ヒューマン</v>
      </c>
      <c r="O1179" s="105" t="s">
        <v>3459</v>
      </c>
      <c r="P1179" s="107" t="str">
        <f>VLOOKUP(O1179,[1]character_tribe_i18n!A:C,3,FALSE)</f>
        <v>Unknown</v>
      </c>
      <c r="Q1179" s="110" t="s">
        <v>279</v>
      </c>
      <c r="R1179" s="178">
        <v>1</v>
      </c>
      <c r="S1179" s="108" t="s">
        <v>280</v>
      </c>
      <c r="T1179" s="108" t="s">
        <v>2950</v>
      </c>
      <c r="U1179" s="108" t="s">
        <v>280</v>
      </c>
      <c r="V1179" s="108" t="s">
        <v>280</v>
      </c>
      <c r="W1179" s="108" t="s">
        <v>280</v>
      </c>
    </row>
    <row r="1180" spans="1:23" ht="21" customHeight="1" x14ac:dyDescent="0.15">
      <c r="A1180" s="104">
        <v>1179</v>
      </c>
      <c r="B1180" s="105" t="s">
        <v>268</v>
      </c>
      <c r="C1180" s="154" t="s">
        <v>3460</v>
      </c>
      <c r="D1180" s="107" t="s">
        <v>2917</v>
      </c>
      <c r="E1180" s="108" t="s">
        <v>709</v>
      </c>
      <c r="F1180" s="108" t="s">
        <v>532</v>
      </c>
      <c r="G1180" s="108" t="s">
        <v>710</v>
      </c>
      <c r="H1180" s="183" t="s">
        <v>285</v>
      </c>
      <c r="I1180" s="140">
        <v>6</v>
      </c>
      <c r="J1180" s="109" t="s">
        <v>1180</v>
      </c>
      <c r="K1180" s="105" t="s">
        <v>1005</v>
      </c>
      <c r="L1180" s="107" t="str">
        <f ca="1">VLOOKUP($K1180,OFFSET([1]character_type_i18n!$A$1,0,0,COUNTA([1]character_type_i18n!$A:$A),MATCH(L$1,[1]character_type_i18n!$1:$1,0)-MATCH($K$1,[1]character_type_i18n!$1:$1,0)+1),MATCH(L$1,[1]character_type_i18n!$1:$1,0)-MATCH($K$1,[1]character_type_i18n!$1:$1,0)+1,FALSE)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80" s="105" t="s">
        <v>2931</v>
      </c>
      <c r="N1180" s="107" t="str">
        <f>VLOOKUP(M1180,[1]character_tribe_i18n!A:C,3,FALSE)</f>
        <v>アカデミア</v>
      </c>
      <c r="O1180" s="105" t="s">
        <v>1017</v>
      </c>
      <c r="P1180" s="107" t="str">
        <f>VLOOKUP(O1180,[1]character_tribe_i18n!A:C,3,FALSE)</f>
        <v>マシン</v>
      </c>
      <c r="Q1180" s="110" t="s">
        <v>1656</v>
      </c>
      <c r="R1180" s="178">
        <v>3</v>
      </c>
      <c r="S1180" s="108" t="s">
        <v>898</v>
      </c>
      <c r="T1180" s="108" t="s">
        <v>3461</v>
      </c>
      <c r="U1180" s="108" t="s">
        <v>898</v>
      </c>
      <c r="V1180" s="108" t="s">
        <v>898</v>
      </c>
      <c r="W1180" s="108" t="s">
        <v>898</v>
      </c>
    </row>
    <row r="1181" spans="1:23" ht="21" customHeight="1" x14ac:dyDescent="0.15">
      <c r="A1181" s="104">
        <v>1180</v>
      </c>
      <c r="B1181" s="105" t="s">
        <v>1689</v>
      </c>
      <c r="C1181" s="185" t="s">
        <v>3462</v>
      </c>
      <c r="D1181" s="107" t="s">
        <v>2917</v>
      </c>
      <c r="E1181" s="108" t="s">
        <v>2488</v>
      </c>
      <c r="F1181" s="108" t="s">
        <v>2489</v>
      </c>
      <c r="G1181" s="108" t="s">
        <v>2490</v>
      </c>
      <c r="H1181" s="183" t="s">
        <v>295</v>
      </c>
      <c r="I1181" s="140">
        <v>6</v>
      </c>
      <c r="J1181" s="109" t="s">
        <v>2941</v>
      </c>
      <c r="K1181" s="105" t="s">
        <v>1273</v>
      </c>
      <c r="L1181" s="107" t="str">
        <f ca="1">VLOOKUP($K1181,OFFSET([1]character_type_i18n!$A$1,0,0,COUNTA([1]character_type_i18n!$A:$A),MATCH(L$1,[1]character_type_i18n!$1:$1,0)-MATCH($K$1,[1]character_type_i18n!$1:$1,0)+1),MATCH(L$1,[1]character_type_i18n!$1:$1,0)-MATCH($K$1,[1]character_type_i18n!$1:$1,0)+1,FALSE)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81" s="105" t="s">
        <v>1987</v>
      </c>
      <c r="N1181" s="107" t="str">
        <f>VLOOKUP(M1181,[1]character_tribe_i18n!A:C,3,FALSE)</f>
        <v>アカデミア</v>
      </c>
      <c r="O1181" s="105" t="s">
        <v>1423</v>
      </c>
      <c r="P1181" s="107" t="str">
        <f>VLOOKUP(O1181,[1]character_tribe_i18n!A:C,3,FALSE)</f>
        <v>種族なし</v>
      </c>
      <c r="Q1181" s="110" t="s">
        <v>3463</v>
      </c>
      <c r="R1181" s="178">
        <v>1</v>
      </c>
      <c r="S1181" s="108" t="s">
        <v>3464</v>
      </c>
      <c r="T1181" s="108" t="s">
        <v>3465</v>
      </c>
      <c r="U1181" s="108" t="s">
        <v>3464</v>
      </c>
      <c r="V1181" s="108" t="s">
        <v>3464</v>
      </c>
      <c r="W1181" s="108" t="s">
        <v>3464</v>
      </c>
    </row>
    <row r="1182" spans="1:23" ht="21" customHeight="1" x14ac:dyDescent="0.15">
      <c r="A1182" s="104">
        <v>1181</v>
      </c>
      <c r="B1182" s="105" t="s">
        <v>3466</v>
      </c>
      <c r="C1182" s="121" t="s">
        <v>3467</v>
      </c>
      <c r="D1182" s="123" t="s">
        <v>3468</v>
      </c>
      <c r="E1182" s="108" t="s">
        <v>3469</v>
      </c>
      <c r="F1182" s="114" t="s">
        <v>272</v>
      </c>
      <c r="G1182" s="114" t="s">
        <v>273</v>
      </c>
      <c r="H1182" s="183" t="s">
        <v>295</v>
      </c>
      <c r="I1182" s="121">
        <v>6</v>
      </c>
      <c r="J1182" s="109" t="s">
        <v>1980</v>
      </c>
      <c r="K1182" s="105" t="s">
        <v>1780</v>
      </c>
      <c r="L1182" s="107" t="str">
        <f ca="1">VLOOKUP($K1182,OFFSET([1]character_type_i18n!$A$1,0,0,COUNTA([1]character_type_i18n!$A:$A),MATCH(L$1,[1]character_type_i18n!$1:$1,0)-MATCH($K$1,[1]character_type_i18n!$1:$1,0)+1),MATCH(L$1,[1]character_type_i18n!$1:$1,0)-MATCH($K$1,[1]character_type_i18n!$1:$1,0)+1,FALSE)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82" s="105" t="s">
        <v>3470</v>
      </c>
      <c r="N1182" s="107" t="str">
        <f>VLOOKUP(M1182,[1]character_tribe_i18n!A:C,3,FALSE)</f>
        <v>アカデミア</v>
      </c>
      <c r="O1182" s="105" t="s">
        <v>1017</v>
      </c>
      <c r="P1182" s="107" t="str">
        <f>VLOOKUP(O1182,[1]character_tribe_i18n!A:C,3,FALSE)</f>
        <v>マシン</v>
      </c>
      <c r="Q1182" s="110" t="s">
        <v>1656</v>
      </c>
      <c r="R1182" s="178">
        <v>3</v>
      </c>
      <c r="S1182" s="108" t="s">
        <v>898</v>
      </c>
      <c r="T1182" s="108" t="s">
        <v>3461</v>
      </c>
      <c r="U1182" s="108" t="s">
        <v>898</v>
      </c>
      <c r="V1182" s="108" t="s">
        <v>898</v>
      </c>
      <c r="W1182" s="108" t="s">
        <v>898</v>
      </c>
    </row>
    <row r="1183" spans="1:23" ht="21" customHeight="1" x14ac:dyDescent="0.15">
      <c r="A1183" s="104">
        <v>1182</v>
      </c>
      <c r="B1183" s="105" t="s">
        <v>1689</v>
      </c>
      <c r="C1183" s="185" t="s">
        <v>3471</v>
      </c>
      <c r="D1183" s="123" t="s">
        <v>3468</v>
      </c>
      <c r="E1183" s="108" t="s">
        <v>3472</v>
      </c>
      <c r="F1183" s="114" t="s">
        <v>272</v>
      </c>
      <c r="G1183" s="114" t="s">
        <v>273</v>
      </c>
      <c r="H1183" s="183" t="s">
        <v>295</v>
      </c>
      <c r="I1183" s="121">
        <v>6</v>
      </c>
      <c r="J1183" s="109" t="s">
        <v>1980</v>
      </c>
      <c r="K1183" s="105" t="s">
        <v>1981</v>
      </c>
      <c r="L1183" s="107" t="str">
        <f ca="1">VLOOKUP($K1183,OFFSET([1]character_type_i18n!$A$1,0,0,COUNTA([1]character_type_i18n!$A:$A),MATCH(L$1,[1]character_type_i18n!$1:$1,0)-MATCH($K$1,[1]character_type_i18n!$1:$1,0)+1),MATCH(L$1,[1]character_type_i18n!$1:$1,0)-MATCH($K$1,[1]character_type_i18n!$1:$1,0)+1,FALSE)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83" s="105" t="s">
        <v>3311</v>
      </c>
      <c r="N1183" s="107" t="str">
        <f>VLOOKUP(M1183,[1]character_tribe_i18n!A:C,3,FALSE)</f>
        <v>アカデミア</v>
      </c>
      <c r="O1183" s="105" t="s">
        <v>1423</v>
      </c>
      <c r="P1183" s="107" t="str">
        <f>VLOOKUP(O1183,[1]character_tribe_i18n!A:C,3,FALSE)</f>
        <v>種族なし</v>
      </c>
      <c r="Q1183" s="110" t="s">
        <v>3463</v>
      </c>
      <c r="R1183" s="178">
        <v>3</v>
      </c>
      <c r="S1183" s="108" t="s">
        <v>3464</v>
      </c>
      <c r="T1183" s="108" t="s">
        <v>3465</v>
      </c>
      <c r="U1183" s="108" t="s">
        <v>3464</v>
      </c>
      <c r="V1183" s="108" t="s">
        <v>3464</v>
      </c>
      <c r="W1183" s="108" t="s">
        <v>3464</v>
      </c>
    </row>
    <row r="1184" spans="1:23" ht="21" customHeight="1" x14ac:dyDescent="0.15">
      <c r="A1184" s="104">
        <v>1183</v>
      </c>
      <c r="B1184" s="105" t="s">
        <v>3466</v>
      </c>
      <c r="C1184" s="186" t="s">
        <v>3473</v>
      </c>
      <c r="D1184" s="123" t="s">
        <v>3474</v>
      </c>
      <c r="E1184" s="108" t="s">
        <v>554</v>
      </c>
      <c r="F1184" s="114" t="s">
        <v>272</v>
      </c>
      <c r="G1184" s="114" t="s">
        <v>273</v>
      </c>
      <c r="H1184" s="183" t="s">
        <v>300</v>
      </c>
      <c r="I1184" s="121">
        <v>6</v>
      </c>
      <c r="J1184" s="109" t="s">
        <v>1894</v>
      </c>
      <c r="K1184" s="105" t="s">
        <v>1166</v>
      </c>
      <c r="L1184" s="107" t="str">
        <f ca="1">VLOOKUP($K1184,OFFSET([1]character_type_i18n!$A$1,0,0,COUNTA([1]character_type_i18n!$A:$A),MATCH(L$1,[1]character_type_i18n!$1:$1,0)-MATCH($K$1,[1]character_type_i18n!$1:$1,0)+1),MATCH(L$1,[1]character_type_i18n!$1:$1,0)-MATCH($K$1,[1]character_type_i18n!$1:$1,0)+1,FALSE)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84" s="105" t="s">
        <v>1771</v>
      </c>
      <c r="N1184" s="107" t="str">
        <f>VLOOKUP(M1184,[1]character_tribe_i18n!A:C,3,FALSE)</f>
        <v>Unknown</v>
      </c>
      <c r="O1184" s="105" t="s">
        <v>3475</v>
      </c>
      <c r="P1184" s="107" t="str">
        <f>VLOOKUP(O1184,[1]character_tribe_i18n!A:C,3,FALSE)</f>
        <v>種族なし</v>
      </c>
      <c r="Q1184" s="110" t="s">
        <v>2458</v>
      </c>
      <c r="R1184" s="178">
        <v>1</v>
      </c>
      <c r="S1184" s="108" t="s">
        <v>911</v>
      </c>
      <c r="T1184" s="108" t="s">
        <v>3476</v>
      </c>
      <c r="U1184" s="108" t="s">
        <v>911</v>
      </c>
      <c r="V1184" s="108" t="s">
        <v>911</v>
      </c>
      <c r="W1184" s="108" t="s">
        <v>911</v>
      </c>
    </row>
    <row r="1185" spans="1:23" ht="21" customHeight="1" x14ac:dyDescent="0.15">
      <c r="A1185" s="104">
        <v>1184</v>
      </c>
      <c r="B1185" s="105" t="s">
        <v>3477</v>
      </c>
      <c r="C1185" s="121" t="s">
        <v>3478</v>
      </c>
      <c r="D1185" s="123" t="s">
        <v>3468</v>
      </c>
      <c r="E1185" s="108" t="s">
        <v>3479</v>
      </c>
      <c r="F1185" s="114" t="s">
        <v>272</v>
      </c>
      <c r="G1185" s="114" t="s">
        <v>273</v>
      </c>
      <c r="H1185" s="183" t="s">
        <v>300</v>
      </c>
      <c r="I1185" s="121">
        <v>6</v>
      </c>
      <c r="J1185" s="109" t="s">
        <v>1976</v>
      </c>
      <c r="K1185" s="105" t="s">
        <v>1273</v>
      </c>
      <c r="L1185" s="107" t="str">
        <f ca="1">VLOOKUP($K1185,OFFSET([1]character_type_i18n!$A$1,0,0,COUNTA([1]character_type_i18n!$A:$A),MATCH(L$1,[1]character_type_i18n!$1:$1,0)-MATCH($K$1,[1]character_type_i18n!$1:$1,0)+1),MATCH(L$1,[1]character_type_i18n!$1:$1,0)-MATCH($K$1,[1]character_type_i18n!$1:$1,0)+1,FALSE)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85" s="105" t="s">
        <v>3345</v>
      </c>
      <c r="N1185" s="107" t="str">
        <f>VLOOKUP(M1185,[1]character_tribe_i18n!A:C,3,FALSE)</f>
        <v>アカデミア</v>
      </c>
      <c r="O1185" s="105" t="s">
        <v>278</v>
      </c>
      <c r="P1185" s="107" t="str">
        <f>VLOOKUP(O1185,[1]character_tribe_i18n!A:C,3,FALSE)</f>
        <v>種族なし</v>
      </c>
      <c r="Q1185" s="110" t="s">
        <v>279</v>
      </c>
      <c r="R1185" s="178">
        <v>3</v>
      </c>
      <c r="S1185" s="108" t="s">
        <v>280</v>
      </c>
      <c r="T1185" s="108" t="s">
        <v>2950</v>
      </c>
      <c r="U1185" s="108" t="s">
        <v>280</v>
      </c>
      <c r="V1185" s="108" t="s">
        <v>280</v>
      </c>
      <c r="W1185" s="108" t="s">
        <v>280</v>
      </c>
    </row>
    <row r="1186" spans="1:23" ht="21" customHeight="1" x14ac:dyDescent="0.15">
      <c r="A1186" s="104">
        <v>1185</v>
      </c>
      <c r="B1186" s="105" t="s">
        <v>268</v>
      </c>
      <c r="C1186" s="121" t="s">
        <v>3480</v>
      </c>
      <c r="D1186" s="123" t="s">
        <v>3474</v>
      </c>
      <c r="E1186" s="108" t="s">
        <v>554</v>
      </c>
      <c r="F1186" s="114" t="s">
        <v>272</v>
      </c>
      <c r="G1186" s="114" t="s">
        <v>273</v>
      </c>
      <c r="H1186" s="183" t="s">
        <v>300</v>
      </c>
      <c r="I1186" s="121">
        <v>6</v>
      </c>
      <c r="J1186" s="109" t="s">
        <v>1980</v>
      </c>
      <c r="K1186" s="105" t="s">
        <v>3481</v>
      </c>
      <c r="L1186" s="107" t="str">
        <f ca="1">VLOOKUP($K1186,OFFSET([1]character_type_i18n!$A$1,0,0,COUNTA([1]character_type_i18n!$A:$A),MATCH(L$1,[1]character_type_i18n!$1:$1,0)-MATCH($K$1,[1]character_type_i18n!$1:$1,0)+1),MATCH(L$1,[1]character_type_i18n!$1:$1,0)-MATCH($K$1,[1]character_type_i18n!$1:$1,0)+1,FALSE)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86" s="105" t="s">
        <v>2931</v>
      </c>
      <c r="N1186" s="107" t="str">
        <f>VLOOKUP(M1186,[1]character_tribe_i18n!A:C,3,FALSE)</f>
        <v>アカデミア</v>
      </c>
      <c r="O1186" s="105" t="s">
        <v>3278</v>
      </c>
      <c r="P1186" s="107" t="str">
        <f>VLOOKUP(O1186,[1]character_tribe_i18n!A:C,3,FALSE)</f>
        <v>アニマル</v>
      </c>
      <c r="Q1186" s="110" t="s">
        <v>1656</v>
      </c>
      <c r="R1186" s="178">
        <v>3</v>
      </c>
      <c r="S1186" s="108" t="s">
        <v>898</v>
      </c>
      <c r="T1186" s="108" t="s">
        <v>3461</v>
      </c>
      <c r="U1186" s="108" t="s">
        <v>898</v>
      </c>
      <c r="V1186" s="108" t="s">
        <v>898</v>
      </c>
      <c r="W1186" s="108" t="s">
        <v>898</v>
      </c>
    </row>
    <row r="1187" spans="1:23" ht="21" customHeight="1" x14ac:dyDescent="0.15">
      <c r="A1187" s="104">
        <v>1186</v>
      </c>
      <c r="B1187" s="105" t="s">
        <v>1689</v>
      </c>
      <c r="C1187" s="182" t="s">
        <v>3482</v>
      </c>
      <c r="D1187" s="123"/>
      <c r="E1187" s="108"/>
      <c r="F1187" s="114"/>
      <c r="G1187" s="114"/>
      <c r="H1187" s="183" t="s">
        <v>300</v>
      </c>
      <c r="I1187" s="182">
        <v>6</v>
      </c>
      <c r="J1187" s="109" t="s">
        <v>1976</v>
      </c>
      <c r="K1187" s="105" t="s">
        <v>1292</v>
      </c>
      <c r="L1187" s="107" t="str">
        <f ca="1">VLOOKUP($K1187,OFFSET([1]character_type_i18n!$A$1,0,0,COUNTA([1]character_type_i18n!$A:$A),MATCH(L$1,[1]character_type_i18n!$1:$1,0)-MATCH($K$1,[1]character_type_i18n!$1:$1,0)+1),MATCH(L$1,[1]character_type_i18n!$1:$1,0)-MATCH($K$1,[1]character_type_i18n!$1:$1,0)+1,FALSE)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87" s="105" t="s">
        <v>1987</v>
      </c>
      <c r="N1187" s="107" t="str">
        <f>VLOOKUP(M1187,[1]character_tribe_i18n!A:C,3,FALSE)</f>
        <v>アカデミア</v>
      </c>
      <c r="O1187" s="105" t="s">
        <v>3483</v>
      </c>
      <c r="P1187" s="107" t="str">
        <f>VLOOKUP(O1187,[1]character_tribe_i18n!A:C,3,FALSE)</f>
        <v>マシン</v>
      </c>
      <c r="Q1187" s="110"/>
      <c r="R1187" s="178">
        <v>3</v>
      </c>
      <c r="S1187" s="108" t="s">
        <v>3314</v>
      </c>
      <c r="T1187" s="108" t="s">
        <v>3484</v>
      </c>
      <c r="U1187" s="108" t="s">
        <v>3314</v>
      </c>
      <c r="V1187" s="108" t="s">
        <v>3314</v>
      </c>
      <c r="W1187" s="108" t="s">
        <v>3314</v>
      </c>
    </row>
    <row r="1188" spans="1:23" ht="21" customHeight="1" x14ac:dyDescent="0.15">
      <c r="A1188" s="104">
        <v>1187</v>
      </c>
      <c r="B1188" s="105" t="s">
        <v>3485</v>
      </c>
      <c r="C1188" s="182" t="s">
        <v>3486</v>
      </c>
      <c r="D1188" s="123"/>
      <c r="E1188" s="108"/>
      <c r="F1188" s="114"/>
      <c r="G1188" s="114"/>
      <c r="H1188" s="183" t="s">
        <v>274</v>
      </c>
      <c r="I1188" s="182">
        <v>1</v>
      </c>
      <c r="J1188" s="109" t="s">
        <v>275</v>
      </c>
      <c r="K1188" s="105" t="s">
        <v>3487</v>
      </c>
      <c r="L1188" s="107" t="str">
        <f ca="1">VLOOKUP($K1188,OFFSET([1]character_type_i18n!$A$1,0,0,COUNTA([1]character_type_i18n!$A:$A),MATCH(L$1,[1]character_type_i18n!$1:$1,0)-MATCH($K$1,[1]character_type_i18n!$1:$1,0)+1),MATCH(L$1,[1]character_type_i18n!$1:$1,0)-MATCH($K$1,[1]character_type_i18n!$1:$1,0)+1,FALSE)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88" s="105" t="s">
        <v>3328</v>
      </c>
      <c r="N1188" s="107" t="str">
        <f>VLOOKUP(M1188,[1]character_tribe_i18n!A:C,3,FALSE)</f>
        <v>Unknown</v>
      </c>
      <c r="O1188" s="105" t="s">
        <v>3488</v>
      </c>
      <c r="P1188" s="107" t="str">
        <f>VLOOKUP(O1188,[1]character_tribe_i18n!A:C,3,FALSE)</f>
        <v>デーモン</v>
      </c>
      <c r="Q1188" s="110"/>
      <c r="R1188" s="178">
        <v>3</v>
      </c>
      <c r="S1188" s="108" t="s">
        <v>898</v>
      </c>
      <c r="T1188" s="108" t="s">
        <v>3489</v>
      </c>
      <c r="U1188" s="108" t="s">
        <v>900</v>
      </c>
      <c r="V1188" s="108" t="s">
        <v>900</v>
      </c>
      <c r="W1188" s="108" t="s">
        <v>900</v>
      </c>
    </row>
    <row r="1189" spans="1:23" ht="21" customHeight="1" x14ac:dyDescent="0.15">
      <c r="A1189" s="104">
        <v>1188</v>
      </c>
      <c r="B1189" s="105" t="s">
        <v>3450</v>
      </c>
      <c r="C1189" s="182" t="s">
        <v>3490</v>
      </c>
      <c r="D1189" s="123"/>
      <c r="E1189" s="108"/>
      <c r="F1189" s="114"/>
      <c r="G1189" s="114"/>
      <c r="H1189" s="183" t="s">
        <v>285</v>
      </c>
      <c r="I1189" s="182">
        <v>1</v>
      </c>
      <c r="J1189" s="109" t="s">
        <v>275</v>
      </c>
      <c r="K1189" s="105" t="s">
        <v>3491</v>
      </c>
      <c r="L1189" s="107" t="str">
        <f ca="1">VLOOKUP($K1189,OFFSET([1]character_type_i18n!$A$1,0,0,COUNTA([1]character_type_i18n!$A:$A),MATCH(L$1,[1]character_type_i18n!$1:$1,0)-MATCH($K$1,[1]character_type_i18n!$1:$1,0)+1),MATCH(L$1,[1]character_type_i18n!$1:$1,0)-MATCH($K$1,[1]character_type_i18n!$1:$1,0)+1,FALSE)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89" s="105" t="s">
        <v>1771</v>
      </c>
      <c r="N1189" s="107" t="str">
        <f>VLOOKUP(M1189,[1]character_tribe_i18n!A:C,3,FALSE)</f>
        <v>Unknown</v>
      </c>
      <c r="O1189" s="105" t="s">
        <v>3492</v>
      </c>
      <c r="P1189" s="107" t="str">
        <f>VLOOKUP(O1189,[1]character_tribe_i18n!A:C,3,FALSE)</f>
        <v>デーモン</v>
      </c>
      <c r="Q1189" s="110"/>
      <c r="R1189" s="178">
        <v>3</v>
      </c>
      <c r="S1189" s="108" t="s">
        <v>1540</v>
      </c>
      <c r="T1189" s="108" t="s">
        <v>3493</v>
      </c>
      <c r="U1189" s="108" t="s">
        <v>1540</v>
      </c>
      <c r="V1189" s="108" t="s">
        <v>1540</v>
      </c>
      <c r="W1189" s="108" t="s">
        <v>1540</v>
      </c>
    </row>
    <row r="1190" spans="1:23" ht="21" customHeight="1" x14ac:dyDescent="0.15">
      <c r="A1190" s="104">
        <v>1189</v>
      </c>
      <c r="B1190" s="105" t="s">
        <v>888</v>
      </c>
      <c r="C1190" s="182" t="s">
        <v>3494</v>
      </c>
      <c r="D1190" s="123"/>
      <c r="E1190" s="108"/>
      <c r="F1190" s="114"/>
      <c r="G1190" s="114"/>
      <c r="H1190" s="183" t="s">
        <v>295</v>
      </c>
      <c r="I1190" s="182">
        <v>1</v>
      </c>
      <c r="J1190" s="109" t="s">
        <v>275</v>
      </c>
      <c r="K1190" s="105" t="s">
        <v>1005</v>
      </c>
      <c r="L1190" s="107" t="str">
        <f ca="1">VLOOKUP($K1190,OFFSET([1]character_type_i18n!$A$1,0,0,COUNTA([1]character_type_i18n!$A:$A),MATCH(L$1,[1]character_type_i18n!$1:$1,0)-MATCH($K$1,[1]character_type_i18n!$1:$1,0)+1),MATCH(L$1,[1]character_type_i18n!$1:$1,0)-MATCH($K$1,[1]character_type_i18n!$1:$1,0)+1,FALSE)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90" s="105" t="s">
        <v>3495</v>
      </c>
      <c r="N1190" s="107" t="str">
        <f>VLOOKUP(M1190,[1]character_tribe_i18n!A:C,3,FALSE)</f>
        <v>Unknown</v>
      </c>
      <c r="O1190" s="105" t="s">
        <v>3496</v>
      </c>
      <c r="P1190" s="107" t="str">
        <f>VLOOKUP(O1190,[1]character_tribe_i18n!A:C,3,FALSE)</f>
        <v>デーモン</v>
      </c>
      <c r="Q1190" s="110"/>
      <c r="R1190" s="178">
        <v>3</v>
      </c>
      <c r="S1190" s="108" t="s">
        <v>3314</v>
      </c>
      <c r="T1190" s="108" t="s">
        <v>3497</v>
      </c>
      <c r="U1190" s="108" t="s">
        <v>3314</v>
      </c>
      <c r="V1190" s="108" t="s">
        <v>3314</v>
      </c>
      <c r="W1190" s="108" t="s">
        <v>3314</v>
      </c>
    </row>
    <row r="1191" spans="1:23" ht="21" customHeight="1" x14ac:dyDescent="0.15">
      <c r="A1191" s="104">
        <v>1190</v>
      </c>
      <c r="B1191" s="105" t="s">
        <v>3485</v>
      </c>
      <c r="C1191" s="182" t="s">
        <v>3498</v>
      </c>
      <c r="D1191" s="123"/>
      <c r="E1191" s="108"/>
      <c r="F1191" s="114"/>
      <c r="G1191" s="114"/>
      <c r="H1191" s="183" t="s">
        <v>300</v>
      </c>
      <c r="I1191" s="182">
        <v>1</v>
      </c>
      <c r="J1191" s="109" t="s">
        <v>275</v>
      </c>
      <c r="K1191" s="105" t="s">
        <v>1273</v>
      </c>
      <c r="L1191" s="107" t="str">
        <f ca="1">VLOOKUP($K1191,OFFSET([1]character_type_i18n!$A$1,0,0,COUNTA([1]character_type_i18n!$A:$A),MATCH(L$1,[1]character_type_i18n!$1:$1,0)-MATCH($K$1,[1]character_type_i18n!$1:$1,0)+1),MATCH(L$1,[1]character_type_i18n!$1:$1,0)-MATCH($K$1,[1]character_type_i18n!$1:$1,0)+1,FALSE)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91" s="105" t="s">
        <v>1164</v>
      </c>
      <c r="N1191" s="107" t="str">
        <f>VLOOKUP(M1191,[1]character_tribe_i18n!A:C,3,FALSE)</f>
        <v>Unknown</v>
      </c>
      <c r="O1191" s="105" t="s">
        <v>3499</v>
      </c>
      <c r="P1191" s="107" t="str">
        <f>VLOOKUP(O1191,[1]character_tribe_i18n!A:C,3,FALSE)</f>
        <v>デーモン</v>
      </c>
      <c r="Q1191" s="110"/>
      <c r="R1191" s="178">
        <v>3</v>
      </c>
      <c r="S1191" s="108" t="s">
        <v>3098</v>
      </c>
      <c r="T1191" s="108" t="s">
        <v>3500</v>
      </c>
      <c r="U1191" s="108" t="s">
        <v>3098</v>
      </c>
      <c r="V1191" s="108" t="s">
        <v>3098</v>
      </c>
      <c r="W1191" s="108" t="s">
        <v>3098</v>
      </c>
    </row>
    <row r="1192" spans="1:23" ht="22" customHeight="1" x14ac:dyDescent="0.15">
      <c r="A1192" s="104">
        <v>1191</v>
      </c>
      <c r="B1192" s="105" t="s">
        <v>3100</v>
      </c>
      <c r="C1192" s="133" t="s">
        <v>3501</v>
      </c>
      <c r="D1192" s="123" t="s">
        <v>1467</v>
      </c>
      <c r="E1192" s="108" t="s">
        <v>554</v>
      </c>
      <c r="F1192" s="114" t="s">
        <v>272</v>
      </c>
      <c r="G1192" s="114" t="s">
        <v>273</v>
      </c>
      <c r="H1192" s="131" t="s">
        <v>1106</v>
      </c>
      <c r="I1192" s="182">
        <v>5</v>
      </c>
      <c r="J1192" s="115" t="s">
        <v>1856</v>
      </c>
      <c r="K1192" s="105" t="s">
        <v>1166</v>
      </c>
      <c r="L1192" s="107" t="str">
        <f ca="1">VLOOKUP($K1192,OFFSET([1]character_type_i18n!$A$1,0,0,COUNTA([1]character_type_i18n!$A:$A),MATCH(L$1,[1]character_type_i18n!$1:$1,0)-MATCH($K$1,[1]character_type_i18n!$1:$1,0)+1),MATCH(L$1,[1]character_type_i18n!$1:$1,0)-MATCH($K$1,[1]character_type_i18n!$1:$1,0)+1,FALSE)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92" s="105" t="s">
        <v>1152</v>
      </c>
      <c r="N1192" s="107" t="str">
        <f>VLOOKUP(M1192,[1]character_tribe_i18n!A:C,3,FALSE)</f>
        <v>Unknown</v>
      </c>
      <c r="O1192" s="105" t="s">
        <v>3334</v>
      </c>
      <c r="P1192" s="107" t="str">
        <f>VLOOKUP(O1192,[1]character_tribe_i18n!A:C,3,FALSE)</f>
        <v>デーモン</v>
      </c>
      <c r="Q1192" s="110" t="s">
        <v>279</v>
      </c>
      <c r="R1192" s="178">
        <v>3</v>
      </c>
      <c r="S1192" s="108" t="s">
        <v>280</v>
      </c>
      <c r="T1192" s="108" t="s">
        <v>893</v>
      </c>
      <c r="U1192" s="108" t="s">
        <v>898</v>
      </c>
      <c r="V1192" s="108" t="s">
        <v>894</v>
      </c>
      <c r="W1192" s="108" t="s">
        <v>894</v>
      </c>
    </row>
    <row r="1193" spans="1:23" ht="21" customHeight="1" x14ac:dyDescent="0.15">
      <c r="A1193" s="104">
        <v>1192</v>
      </c>
      <c r="B1193" s="105" t="s">
        <v>1261</v>
      </c>
      <c r="C1193" s="133" t="s">
        <v>3502</v>
      </c>
      <c r="D1193" s="123" t="s">
        <v>3503</v>
      </c>
      <c r="E1193" s="108" t="s">
        <v>3504</v>
      </c>
      <c r="F1193" s="114" t="s">
        <v>272</v>
      </c>
      <c r="G1193" s="114" t="s">
        <v>273</v>
      </c>
      <c r="H1193" s="180" t="s">
        <v>2173</v>
      </c>
      <c r="I1193" s="182">
        <v>6</v>
      </c>
      <c r="J1193" s="115" t="s">
        <v>2069</v>
      </c>
      <c r="K1193" s="105" t="s">
        <v>1292</v>
      </c>
      <c r="L1193" s="107" t="str">
        <f ca="1">VLOOKUP($K1193,OFFSET([1]character_type_i18n!$A$1,0,0,COUNTA([1]character_type_i18n!$A:$A),MATCH(L$1,[1]character_type_i18n!$1:$1,0)-MATCH($K$1,[1]character_type_i18n!$1:$1,0)+1),MATCH(L$1,[1]character_type_i18n!$1:$1,0)-MATCH($K$1,[1]character_type_i18n!$1:$1,0)+1,FALSE)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93" s="105" t="s">
        <v>1771</v>
      </c>
      <c r="N1193" s="107" t="str">
        <f>VLOOKUP(M1193,[1]character_tribe_i18n!A:C,3,FALSE)</f>
        <v>Unknown</v>
      </c>
      <c r="O1193" s="105" t="s">
        <v>3505</v>
      </c>
      <c r="P1193" s="107" t="str">
        <f>VLOOKUP(O1193,[1]character_tribe_i18n!A:C,3,FALSE)</f>
        <v>デーモン</v>
      </c>
      <c r="Q1193" s="110" t="s">
        <v>3313</v>
      </c>
      <c r="R1193" s="178">
        <v>3</v>
      </c>
      <c r="S1193" s="108" t="s">
        <v>3314</v>
      </c>
      <c r="T1193" s="108" t="s">
        <v>910</v>
      </c>
      <c r="U1193" s="108" t="s">
        <v>911</v>
      </c>
      <c r="V1193" s="108" t="s">
        <v>894</v>
      </c>
      <c r="W1193" s="108" t="s">
        <v>894</v>
      </c>
    </row>
    <row r="1194" spans="1:23" ht="22" customHeight="1" x14ac:dyDescent="0.15">
      <c r="A1194" s="104">
        <v>1193</v>
      </c>
      <c r="B1194" s="105" t="s">
        <v>1261</v>
      </c>
      <c r="C1194" s="133" t="s">
        <v>3506</v>
      </c>
      <c r="D1194" s="123" t="s">
        <v>1467</v>
      </c>
      <c r="E1194" s="108" t="s">
        <v>554</v>
      </c>
      <c r="F1194" s="114" t="s">
        <v>272</v>
      </c>
      <c r="G1194" s="114" t="s">
        <v>273</v>
      </c>
      <c r="H1194" s="180" t="s">
        <v>274</v>
      </c>
      <c r="I1194" s="182">
        <v>6</v>
      </c>
      <c r="J1194" s="115" t="s">
        <v>2013</v>
      </c>
      <c r="K1194" s="105" t="s">
        <v>1005</v>
      </c>
      <c r="L1194" s="107" t="str">
        <f ca="1">VLOOKUP($K1194,OFFSET([1]character_type_i18n!$A$1,0,0,COUNTA([1]character_type_i18n!$A:$A),MATCH(L$1,[1]character_type_i18n!$1:$1,0)-MATCH($K$1,[1]character_type_i18n!$1:$1,0)+1),MATCH(L$1,[1]character_type_i18n!$1:$1,0)-MATCH($K$1,[1]character_type_i18n!$1:$1,0)+1,FALSE)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94" s="105" t="s">
        <v>1257</v>
      </c>
      <c r="N1194" s="107" t="str">
        <f>VLOOKUP(M1194,[1]character_tribe_i18n!A:C,3,FALSE)</f>
        <v>ヒューマン</v>
      </c>
      <c r="O1194" s="105" t="s">
        <v>3488</v>
      </c>
      <c r="P1194" s="107" t="str">
        <f>VLOOKUP(O1194,[1]character_tribe_i18n!A:C,3,FALSE)</f>
        <v>デーモン</v>
      </c>
      <c r="Q1194" s="110" t="s">
        <v>279</v>
      </c>
      <c r="R1194" s="178">
        <v>3</v>
      </c>
      <c r="S1194" s="108" t="s">
        <v>280</v>
      </c>
      <c r="T1194" s="108" t="s">
        <v>281</v>
      </c>
      <c r="U1194" s="108" t="s">
        <v>280</v>
      </c>
      <c r="V1194" s="108" t="s">
        <v>280</v>
      </c>
      <c r="W1194" s="108" t="s">
        <v>280</v>
      </c>
    </row>
    <row r="1195" spans="1:23" ht="21" customHeight="1" x14ac:dyDescent="0.15">
      <c r="A1195" s="104">
        <v>1194</v>
      </c>
      <c r="B1195" s="105" t="s">
        <v>268</v>
      </c>
      <c r="C1195" s="133" t="s">
        <v>3507</v>
      </c>
      <c r="D1195" s="123" t="s">
        <v>1467</v>
      </c>
      <c r="E1195" s="108" t="s">
        <v>554</v>
      </c>
      <c r="F1195" s="114" t="s">
        <v>272</v>
      </c>
      <c r="G1195" s="114" t="s">
        <v>273</v>
      </c>
      <c r="H1195" s="131" t="s">
        <v>285</v>
      </c>
      <c r="I1195" s="182">
        <v>5</v>
      </c>
      <c r="J1195" s="115" t="s">
        <v>1001</v>
      </c>
      <c r="K1195" s="105" t="s">
        <v>1008</v>
      </c>
      <c r="L1195" s="107" t="str">
        <f ca="1">VLOOKUP($K1195,OFFSET([1]character_type_i18n!$A$1,0,0,COUNTA([1]character_type_i18n!$A:$A),MATCH(L$1,[1]character_type_i18n!$1:$1,0)-MATCH($K$1,[1]character_type_i18n!$1:$1,0)+1),MATCH(L$1,[1]character_type_i18n!$1:$1,0)-MATCH($K$1,[1]character_type_i18n!$1:$1,0)+1,FALSE)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95" s="105" t="s">
        <v>1413</v>
      </c>
      <c r="N1195" s="107" t="str">
        <f>VLOOKUP(M1195,[1]character_tribe_i18n!A:C,3,FALSE)</f>
        <v>Unknown</v>
      </c>
      <c r="O1195" s="105" t="s">
        <v>3488</v>
      </c>
      <c r="P1195" s="107" t="str">
        <f>VLOOKUP(O1195,[1]character_tribe_i18n!A:C,3,FALSE)</f>
        <v>デーモン</v>
      </c>
      <c r="Q1195" s="110" t="s">
        <v>362</v>
      </c>
      <c r="R1195" s="178">
        <v>3</v>
      </c>
      <c r="S1195" s="108" t="s">
        <v>289</v>
      </c>
      <c r="T1195" s="108" t="s">
        <v>288</v>
      </c>
      <c r="U1195" s="108" t="s">
        <v>289</v>
      </c>
      <c r="V1195" s="108" t="s">
        <v>289</v>
      </c>
      <c r="W1195" s="108" t="s">
        <v>289</v>
      </c>
    </row>
    <row r="1196" spans="1:23" ht="22" customHeight="1" x14ac:dyDescent="0.15">
      <c r="A1196" s="104">
        <v>1195</v>
      </c>
      <c r="B1196" s="105" t="s">
        <v>292</v>
      </c>
      <c r="C1196" s="133" t="s">
        <v>3508</v>
      </c>
      <c r="D1196" s="123" t="s">
        <v>3353</v>
      </c>
      <c r="E1196" s="108" t="s">
        <v>1953</v>
      </c>
      <c r="F1196" s="114" t="s">
        <v>272</v>
      </c>
      <c r="G1196" s="114" t="s">
        <v>273</v>
      </c>
      <c r="H1196" s="131" t="s">
        <v>285</v>
      </c>
      <c r="I1196" s="182">
        <v>6</v>
      </c>
      <c r="J1196" s="115" t="s">
        <v>2013</v>
      </c>
      <c r="K1196" s="105" t="s">
        <v>1981</v>
      </c>
      <c r="L1196" s="107" t="str">
        <f ca="1">VLOOKUP($K1196,OFFSET([1]character_type_i18n!$A$1,0,0,COUNTA([1]character_type_i18n!$A:$A),MATCH(L$1,[1]character_type_i18n!$1:$1,0)-MATCH($K$1,[1]character_type_i18n!$1:$1,0)+1),MATCH(L$1,[1]character_type_i18n!$1:$1,0)-MATCH($K$1,[1]character_type_i18n!$1:$1,0)+1,FALSE)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96" s="105" t="s">
        <v>1152</v>
      </c>
      <c r="N1196" s="107" t="str">
        <f>VLOOKUP(M1196,[1]character_tribe_i18n!A:C,3,FALSE)</f>
        <v>Unknown</v>
      </c>
      <c r="O1196" s="105" t="s">
        <v>3492</v>
      </c>
      <c r="P1196" s="107" t="str">
        <f>VLOOKUP(O1196,[1]character_tribe_i18n!A:C,3,FALSE)</f>
        <v>デーモン</v>
      </c>
      <c r="Q1196" s="110" t="s">
        <v>2458</v>
      </c>
      <c r="R1196" s="178">
        <v>3</v>
      </c>
      <c r="S1196" s="108" t="s">
        <v>911</v>
      </c>
      <c r="T1196" s="108" t="s">
        <v>281</v>
      </c>
      <c r="U1196" s="108" t="s">
        <v>280</v>
      </c>
      <c r="V1196" s="108" t="s">
        <v>894</v>
      </c>
      <c r="W1196" s="108" t="s">
        <v>894</v>
      </c>
    </row>
    <row r="1197" spans="1:23" ht="21" customHeight="1" x14ac:dyDescent="0.15">
      <c r="A1197" s="104">
        <v>1196</v>
      </c>
      <c r="B1197" s="105" t="s">
        <v>1261</v>
      </c>
      <c r="C1197" s="154" t="s">
        <v>3509</v>
      </c>
      <c r="D1197" s="107" t="s">
        <v>2917</v>
      </c>
      <c r="E1197" s="108" t="s">
        <v>709</v>
      </c>
      <c r="F1197" s="108" t="s">
        <v>532</v>
      </c>
      <c r="G1197" s="108" t="s">
        <v>710</v>
      </c>
      <c r="H1197" s="131" t="s">
        <v>285</v>
      </c>
      <c r="I1197" s="182">
        <v>6</v>
      </c>
      <c r="J1197" s="109" t="s">
        <v>1001</v>
      </c>
      <c r="K1197" s="105" t="s">
        <v>1008</v>
      </c>
      <c r="L1197" s="107" t="str">
        <f ca="1">VLOOKUP($K1197,OFFSET([1]character_type_i18n!$A$1,0,0,COUNTA([1]character_type_i18n!$A:$A),MATCH(L$1,[1]character_type_i18n!$1:$1,0)-MATCH($K$1,[1]character_type_i18n!$1:$1,0)+1),MATCH(L$1,[1]character_type_i18n!$1:$1,0)-MATCH($K$1,[1]character_type_i18n!$1:$1,0)+1,FALSE)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97" s="105" t="s">
        <v>3510</v>
      </c>
      <c r="N1197" s="107" t="str">
        <f>VLOOKUP(M1197,[1]character_tribe_i18n!A:C,3,FALSE)</f>
        <v>ヒューマン</v>
      </c>
      <c r="O1197" s="105" t="s">
        <v>3511</v>
      </c>
      <c r="P1197" s="107" t="str">
        <f>VLOOKUP(O1197,[1]character_tribe_i18n!A:C,3,FALSE)</f>
        <v>デーモン</v>
      </c>
      <c r="Q1197" s="110" t="s">
        <v>1358</v>
      </c>
      <c r="R1197" s="178">
        <v>3</v>
      </c>
      <c r="S1197" s="108" t="s">
        <v>1359</v>
      </c>
      <c r="T1197" s="108" t="s">
        <v>281</v>
      </c>
      <c r="U1197" s="108" t="s">
        <v>280</v>
      </c>
      <c r="V1197" s="108" t="s">
        <v>894</v>
      </c>
      <c r="W1197" s="108" t="s">
        <v>894</v>
      </c>
    </row>
    <row r="1198" spans="1:23" ht="21" customHeight="1" x14ac:dyDescent="0.15">
      <c r="A1198" s="104">
        <v>1197</v>
      </c>
      <c r="B1198" s="105" t="s">
        <v>1261</v>
      </c>
      <c r="C1198" s="121" t="s">
        <v>3512</v>
      </c>
      <c r="D1198" s="123" t="s">
        <v>3474</v>
      </c>
      <c r="E1198" s="108" t="s">
        <v>554</v>
      </c>
      <c r="F1198" s="114" t="s">
        <v>272</v>
      </c>
      <c r="G1198" s="114" t="s">
        <v>273</v>
      </c>
      <c r="H1198" s="131" t="s">
        <v>285</v>
      </c>
      <c r="I1198" s="182">
        <v>5</v>
      </c>
      <c r="J1198" s="109" t="s">
        <v>3300</v>
      </c>
      <c r="K1198" s="105" t="s">
        <v>1441</v>
      </c>
      <c r="L1198" s="107" t="str">
        <f ca="1">VLOOKUP($K1198,OFFSET([1]character_type_i18n!$A$1,0,0,COUNTA([1]character_type_i18n!$A:$A),MATCH(L$1,[1]character_type_i18n!$1:$1,0)-MATCH($K$1,[1]character_type_i18n!$1:$1,0)+1),MATCH(L$1,[1]character_type_i18n!$1:$1,0)-MATCH($K$1,[1]character_type_i18n!$1:$1,0)+1,FALSE)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98" s="105" t="s">
        <v>3513</v>
      </c>
      <c r="N1198" s="107" t="str">
        <f>VLOOKUP(M1198,[1]character_tribe_i18n!A:C,3,FALSE)</f>
        <v>デーモン</v>
      </c>
      <c r="O1198" s="105" t="s">
        <v>1423</v>
      </c>
      <c r="P1198" s="107" t="str">
        <f>VLOOKUP(O1198,[1]character_tribe_i18n!A:C,3,FALSE)</f>
        <v>種族なし</v>
      </c>
      <c r="Q1198" s="110" t="s">
        <v>3514</v>
      </c>
      <c r="R1198" s="178">
        <v>3</v>
      </c>
      <c r="S1198" s="108" t="s">
        <v>3515</v>
      </c>
      <c r="T1198" s="108" t="s">
        <v>3516</v>
      </c>
      <c r="U1198" s="108" t="s">
        <v>887</v>
      </c>
      <c r="V1198" s="108" t="s">
        <v>887</v>
      </c>
      <c r="W1198" s="108" t="s">
        <v>887</v>
      </c>
    </row>
    <row r="1199" spans="1:23" ht="21" customHeight="1" x14ac:dyDescent="0.15">
      <c r="A1199" s="104">
        <v>1198</v>
      </c>
      <c r="B1199" s="105" t="s">
        <v>1288</v>
      </c>
      <c r="C1199" s="121" t="s">
        <v>3517</v>
      </c>
      <c r="D1199" s="123" t="s">
        <v>3518</v>
      </c>
      <c r="E1199" s="108" t="s">
        <v>3375</v>
      </c>
      <c r="F1199" s="114" t="s">
        <v>272</v>
      </c>
      <c r="G1199" s="114" t="s">
        <v>273</v>
      </c>
      <c r="H1199" s="131" t="s">
        <v>2137</v>
      </c>
      <c r="I1199" s="182">
        <v>5</v>
      </c>
      <c r="J1199" s="109" t="s">
        <v>2461</v>
      </c>
      <c r="K1199" s="105" t="s">
        <v>2953</v>
      </c>
      <c r="L1199" s="107" t="str">
        <f ca="1">VLOOKUP($K1199,OFFSET([1]character_type_i18n!$A$1,0,0,COUNTA([1]character_type_i18n!$A:$A),MATCH(L$1,[1]character_type_i18n!$1:$1,0)-MATCH($K$1,[1]character_type_i18n!$1:$1,0)+1),MATCH(L$1,[1]character_type_i18n!$1:$1,0)-MATCH($K$1,[1]character_type_i18n!$1:$1,0)+1,FALSE)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99" s="105" t="s">
        <v>2283</v>
      </c>
      <c r="N1199" s="107" t="str">
        <f>VLOOKUP(M1199,[1]character_tribe_i18n!A:C,3,FALSE)</f>
        <v>マシン</v>
      </c>
      <c r="O1199" s="105" t="s">
        <v>3519</v>
      </c>
      <c r="P1199" s="107" t="str">
        <f>VLOOKUP(O1199,[1]character_tribe_i18n!A:C,3,FALSE)</f>
        <v>デーモン</v>
      </c>
      <c r="Q1199" s="110" t="s">
        <v>1471</v>
      </c>
      <c r="R1199" s="178">
        <v>3</v>
      </c>
      <c r="S1199" s="108" t="s">
        <v>574</v>
      </c>
      <c r="T1199" s="108" t="s">
        <v>573</v>
      </c>
      <c r="U1199" s="108" t="s">
        <v>574</v>
      </c>
      <c r="V1199" s="108" t="s">
        <v>574</v>
      </c>
      <c r="W1199" s="108" t="s">
        <v>574</v>
      </c>
    </row>
    <row r="1200" spans="1:23" ht="21" customHeight="1" x14ac:dyDescent="0.15">
      <c r="A1200" s="104">
        <v>1199</v>
      </c>
      <c r="B1200" s="105" t="s">
        <v>2401</v>
      </c>
      <c r="C1200" s="121" t="s">
        <v>3520</v>
      </c>
      <c r="D1200" s="123" t="s">
        <v>3521</v>
      </c>
      <c r="E1200" s="108" t="s">
        <v>606</v>
      </c>
      <c r="F1200" s="114" t="s">
        <v>272</v>
      </c>
      <c r="G1200" s="114" t="s">
        <v>273</v>
      </c>
      <c r="H1200" s="131" t="s">
        <v>2339</v>
      </c>
      <c r="I1200" s="182">
        <v>5</v>
      </c>
      <c r="J1200" s="109" t="s">
        <v>3300</v>
      </c>
      <c r="K1200" s="105" t="s">
        <v>3481</v>
      </c>
      <c r="L1200" s="107" t="str">
        <f ca="1">VLOOKUP($K1200,OFFSET([1]character_type_i18n!$A$1,0,0,COUNTA([1]character_type_i18n!$A:$A),MATCH(L$1,[1]character_type_i18n!$1:$1,0)-MATCH($K$1,[1]character_type_i18n!$1:$1,0)+1),MATCH(L$1,[1]character_type_i18n!$1:$1,0)-MATCH($K$1,[1]character_type_i18n!$1:$1,0)+1,FALSE)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00" s="105" t="s">
        <v>3080</v>
      </c>
      <c r="N1200" s="107" t="str">
        <f>VLOOKUP(M1200,[1]character_tribe_i18n!A:C,3,FALSE)</f>
        <v>アニマル</v>
      </c>
      <c r="O1200" s="105" t="s">
        <v>3488</v>
      </c>
      <c r="P1200" s="107" t="str">
        <f>VLOOKUP(O1200,[1]character_tribe_i18n!A:C,3,FALSE)</f>
        <v>デーモン</v>
      </c>
      <c r="Q1200" s="110" t="s">
        <v>1539</v>
      </c>
      <c r="R1200" s="178">
        <v>3</v>
      </c>
      <c r="S1200" s="108" t="s">
        <v>1540</v>
      </c>
      <c r="T1200" s="108" t="s">
        <v>1743</v>
      </c>
      <c r="U1200" s="108" t="s">
        <v>1744</v>
      </c>
      <c r="V1200" s="108" t="s">
        <v>894</v>
      </c>
      <c r="W1200" s="108" t="s">
        <v>894</v>
      </c>
    </row>
    <row r="1201" spans="1:23" ht="21" customHeight="1" x14ac:dyDescent="0.15">
      <c r="A1201" s="187">
        <v>1200</v>
      </c>
      <c r="B1201" s="105" t="s">
        <v>1261</v>
      </c>
      <c r="C1201" s="182" t="s">
        <v>3522</v>
      </c>
      <c r="D1201" s="123"/>
      <c r="E1201" s="108"/>
      <c r="F1201" s="114"/>
      <c r="G1201" s="114"/>
      <c r="H1201" s="183" t="s">
        <v>295</v>
      </c>
      <c r="I1201" s="182">
        <v>4</v>
      </c>
      <c r="J1201" s="109" t="s">
        <v>3523</v>
      </c>
      <c r="K1201" s="105" t="s">
        <v>2953</v>
      </c>
      <c r="L1201" s="107" t="str">
        <f ca="1">VLOOKUP($K1201,OFFSET([1]character_type_i18n!$A$1,0,0,COUNTA([1]character_type_i18n!$A:$A),MATCH(L$1,[1]character_type_i18n!$1:$1,0)-MATCH($K$1,[1]character_type_i18n!$1:$1,0)+1),MATCH(L$1,[1]character_type_i18n!$1:$1,0)-MATCH($K$1,[1]character_type_i18n!$1:$1,0)+1,FALSE)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1" s="105" t="s">
        <v>3524</v>
      </c>
      <c r="N1201" s="107" t="str">
        <f>VLOOKUP(M1201,[1]character_tribe_i18n!A:C,3,FALSE)</f>
        <v>Unknown</v>
      </c>
      <c r="O1201" s="105" t="s">
        <v>3475</v>
      </c>
      <c r="P1201" s="107" t="str">
        <f>VLOOKUP(O1201,[1]character_tribe_i18n!A:C,3,FALSE)</f>
        <v>種族なし</v>
      </c>
      <c r="Q1201" s="110"/>
      <c r="R1201" s="178">
        <v>3</v>
      </c>
      <c r="S1201" s="108" t="s">
        <v>911</v>
      </c>
      <c r="T1201" s="108" t="s">
        <v>281</v>
      </c>
      <c r="U1201" s="108" t="s">
        <v>280</v>
      </c>
      <c r="V1201" s="108" t="s">
        <v>894</v>
      </c>
      <c r="W1201" s="108" t="s">
        <v>894</v>
      </c>
    </row>
    <row r="1202" spans="1:23" ht="21" customHeight="1" x14ac:dyDescent="0.15">
      <c r="A1202" s="187">
        <v>1201</v>
      </c>
      <c r="B1202" s="105" t="s">
        <v>1261</v>
      </c>
      <c r="C1202" s="182" t="s">
        <v>3525</v>
      </c>
      <c r="D1202" s="123"/>
      <c r="E1202" s="108"/>
      <c r="F1202" s="114"/>
      <c r="G1202" s="114"/>
      <c r="H1202" s="183" t="s">
        <v>295</v>
      </c>
      <c r="I1202" s="182">
        <v>5</v>
      </c>
      <c r="J1202" s="109" t="s">
        <v>3526</v>
      </c>
      <c r="K1202" s="105" t="s">
        <v>2953</v>
      </c>
      <c r="L1202" s="107" t="str">
        <f ca="1">VLOOKUP($K1202,OFFSET([1]character_type_i18n!$A$1,0,0,COUNTA([1]character_type_i18n!$A:$A),MATCH(L$1,[1]character_type_i18n!$1:$1,0)-MATCH($K$1,[1]character_type_i18n!$1:$1,0)+1),MATCH(L$1,[1]character_type_i18n!$1:$1,0)-MATCH($K$1,[1]character_type_i18n!$1:$1,0)+1,FALSE)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2" s="105" t="s">
        <v>1164</v>
      </c>
      <c r="N1202" s="107" t="str">
        <f>VLOOKUP(M1202,[1]character_tribe_i18n!A:C,3,FALSE)</f>
        <v>Unknown</v>
      </c>
      <c r="O1202" s="105" t="s">
        <v>1704</v>
      </c>
      <c r="P1202" s="107" t="str">
        <f>VLOOKUP(O1202,[1]character_tribe_i18n!A:C,3,FALSE)</f>
        <v>種族なし</v>
      </c>
      <c r="Q1202" s="110"/>
      <c r="R1202" s="178">
        <v>3</v>
      </c>
      <c r="S1202" s="108" t="s">
        <v>1659</v>
      </c>
      <c r="T1202" s="108" t="s">
        <v>281</v>
      </c>
      <c r="U1202" s="108" t="s">
        <v>280</v>
      </c>
      <c r="V1202" s="108" t="s">
        <v>894</v>
      </c>
      <c r="W1202" s="108" t="s">
        <v>894</v>
      </c>
    </row>
    <row r="1203" spans="1:23" ht="21" customHeight="1" x14ac:dyDescent="0.15">
      <c r="A1203" s="187">
        <v>1202</v>
      </c>
      <c r="B1203" s="105" t="s">
        <v>1261</v>
      </c>
      <c r="C1203" s="182" t="s">
        <v>3527</v>
      </c>
      <c r="D1203" s="123"/>
      <c r="E1203" s="108"/>
      <c r="F1203" s="114"/>
      <c r="G1203" s="114"/>
      <c r="H1203" s="183" t="s">
        <v>274</v>
      </c>
      <c r="I1203" s="182">
        <v>5</v>
      </c>
      <c r="J1203" s="109" t="s">
        <v>1504</v>
      </c>
      <c r="K1203" s="105" t="s">
        <v>2953</v>
      </c>
      <c r="L1203" s="107" t="str">
        <f ca="1">VLOOKUP($K1203,OFFSET([1]character_type_i18n!$A$1,0,0,COUNTA([1]character_type_i18n!$A:$A),MATCH(L$1,[1]character_type_i18n!$1:$1,0)-MATCH($K$1,[1]character_type_i18n!$1:$1,0)+1),MATCH(L$1,[1]character_type_i18n!$1:$1,0)-MATCH($K$1,[1]character_type_i18n!$1:$1,0)+1,FALSE)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3" s="105" t="s">
        <v>3072</v>
      </c>
      <c r="N1203" s="107" t="str">
        <f>VLOOKUP(M1203,[1]character_tribe_i18n!A:C,3,FALSE)</f>
        <v>ゴッド</v>
      </c>
      <c r="O1203" s="105" t="s">
        <v>3328</v>
      </c>
      <c r="P1203" s="107" t="str">
        <f>VLOOKUP(O1203,[1]character_tribe_i18n!A:C,3,FALSE)</f>
        <v>Unknown</v>
      </c>
      <c r="Q1203" s="110"/>
      <c r="R1203" s="178">
        <v>3</v>
      </c>
      <c r="S1203" s="108" t="s">
        <v>3314</v>
      </c>
      <c r="T1203" s="108" t="s">
        <v>3528</v>
      </c>
      <c r="U1203" s="108" t="s">
        <v>3314</v>
      </c>
      <c r="V1203" s="108" t="s">
        <v>3314</v>
      </c>
      <c r="W1203" s="108" t="s">
        <v>3314</v>
      </c>
    </row>
    <row r="1204" spans="1:23" ht="21" customHeight="1" x14ac:dyDescent="0.15">
      <c r="A1204" s="187">
        <v>1203</v>
      </c>
      <c r="B1204" s="105" t="s">
        <v>3485</v>
      </c>
      <c r="C1204" s="182" t="s">
        <v>3529</v>
      </c>
      <c r="D1204" s="123"/>
      <c r="E1204" s="108"/>
      <c r="F1204" s="114"/>
      <c r="G1204" s="114"/>
      <c r="H1204" s="183" t="s">
        <v>274</v>
      </c>
      <c r="I1204" s="182">
        <v>6</v>
      </c>
      <c r="J1204" s="109" t="s">
        <v>3530</v>
      </c>
      <c r="K1204" s="105" t="s">
        <v>3531</v>
      </c>
      <c r="L1204" s="107" t="str">
        <f ca="1">VLOOKUP($K1204,OFFSET([1]character_type_i18n!$A$1,0,0,COUNTA([1]character_type_i18n!$A:$A),MATCH(L$1,[1]character_type_i18n!$1:$1,0)-MATCH($K$1,[1]character_type_i18n!$1:$1,0)+1),MATCH(L$1,[1]character_type_i18n!$1:$1,0)-MATCH($K$1,[1]character_type_i18n!$1:$1,0)+1,FALSE)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4" s="105" t="s">
        <v>1018</v>
      </c>
      <c r="N1204" s="107" t="str">
        <f>VLOOKUP(M1204,[1]character_tribe_i18n!A:C,3,FALSE)</f>
        <v>ゴッド</v>
      </c>
      <c r="O1204" s="105" t="s">
        <v>2184</v>
      </c>
      <c r="P1204" s="107" t="str">
        <f>VLOOKUP(O1204,[1]character_tribe_i18n!A:C,3,FALSE)</f>
        <v>Unknown</v>
      </c>
      <c r="Q1204" s="110"/>
      <c r="R1204" s="178">
        <v>3</v>
      </c>
      <c r="S1204" s="108" t="s">
        <v>280</v>
      </c>
      <c r="T1204" s="108" t="s">
        <v>281</v>
      </c>
      <c r="U1204" s="108" t="s">
        <v>280</v>
      </c>
      <c r="V1204" s="108" t="s">
        <v>280</v>
      </c>
      <c r="W1204" s="108" t="s">
        <v>280</v>
      </c>
    </row>
    <row r="1205" spans="1:23" ht="21" customHeight="1" x14ac:dyDescent="0.15">
      <c r="A1205" s="187">
        <v>1204</v>
      </c>
      <c r="B1205" s="105" t="s">
        <v>268</v>
      </c>
      <c r="C1205" s="182" t="s">
        <v>3532</v>
      </c>
      <c r="D1205" s="123"/>
      <c r="E1205" s="108"/>
      <c r="F1205" s="114"/>
      <c r="G1205" s="114"/>
      <c r="H1205" s="183" t="s">
        <v>285</v>
      </c>
      <c r="I1205" s="182">
        <v>5</v>
      </c>
      <c r="J1205" s="109" t="s">
        <v>1504</v>
      </c>
      <c r="K1205" s="105" t="s">
        <v>1005</v>
      </c>
      <c r="L1205" s="107" t="str">
        <f ca="1">VLOOKUP($K1205,OFFSET([1]character_type_i18n!$A$1,0,0,COUNTA([1]character_type_i18n!$A:$A),MATCH(L$1,[1]character_type_i18n!$1:$1,0)-MATCH($K$1,[1]character_type_i18n!$1:$1,0)+1),MATCH(L$1,[1]character_type_i18n!$1:$1,0)-MATCH($K$1,[1]character_type_i18n!$1:$1,0)+1,FALSE)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05" s="105" t="s">
        <v>2299</v>
      </c>
      <c r="N1205" s="107" t="str">
        <f>VLOOKUP(M1205,[1]character_tribe_i18n!A:C,3,FALSE)</f>
        <v>ゴッド</v>
      </c>
      <c r="O1205" s="105" t="s">
        <v>3533</v>
      </c>
      <c r="P1205" s="107" t="str">
        <f>VLOOKUP(O1205,[1]character_tribe_i18n!A:C,3,FALSE)</f>
        <v>ドラゴン</v>
      </c>
      <c r="Q1205" s="110"/>
      <c r="R1205" s="178">
        <v>3</v>
      </c>
      <c r="S1205" s="108" t="s">
        <v>898</v>
      </c>
      <c r="T1205" s="108" t="s">
        <v>893</v>
      </c>
      <c r="U1205" s="108" t="s">
        <v>898</v>
      </c>
      <c r="V1205" s="108" t="s">
        <v>898</v>
      </c>
      <c r="W1205" s="108" t="s">
        <v>898</v>
      </c>
    </row>
    <row r="1206" spans="1:23" ht="21" customHeight="1" x14ac:dyDescent="0.15">
      <c r="A1206" s="187">
        <v>1205</v>
      </c>
      <c r="B1206" s="105" t="s">
        <v>1689</v>
      </c>
      <c r="C1206" s="182" t="s">
        <v>3534</v>
      </c>
      <c r="D1206" s="123"/>
      <c r="E1206" s="108"/>
      <c r="F1206" s="114"/>
      <c r="G1206" s="114"/>
      <c r="H1206" s="183" t="s">
        <v>285</v>
      </c>
      <c r="I1206" s="182">
        <v>6</v>
      </c>
      <c r="J1206" s="109" t="s">
        <v>1776</v>
      </c>
      <c r="K1206" s="105" t="s">
        <v>1687</v>
      </c>
      <c r="L1206" s="107" t="str">
        <f ca="1">VLOOKUP($K1206,OFFSET([1]character_type_i18n!$A$1,0,0,COUNTA([1]character_type_i18n!$A:$A),MATCH(L$1,[1]character_type_i18n!$1:$1,0)-MATCH($K$1,[1]character_type_i18n!$1:$1,0)+1),MATCH(L$1,[1]character_type_i18n!$1:$1,0)-MATCH($K$1,[1]character_type_i18n!$1:$1,0)+1,FALSE)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06" s="105" t="s">
        <v>3535</v>
      </c>
      <c r="N1206" s="107" t="str">
        <f>VLOOKUP(M1206,[1]character_tribe_i18n!A:C,3,FALSE)</f>
        <v>ゴッド</v>
      </c>
      <c r="O1206" s="105" t="s">
        <v>854</v>
      </c>
      <c r="P1206" s="107" t="str">
        <f>VLOOKUP(O1206,[1]character_tribe_i18n!A:C,3,FALSE)</f>
        <v>ドラゴン</v>
      </c>
      <c r="Q1206" s="110"/>
      <c r="R1206" s="178">
        <v>3</v>
      </c>
      <c r="S1206" s="108" t="s">
        <v>3314</v>
      </c>
      <c r="T1206" s="108" t="s">
        <v>3528</v>
      </c>
      <c r="U1206" s="108" t="s">
        <v>3314</v>
      </c>
      <c r="V1206" s="108" t="s">
        <v>3314</v>
      </c>
      <c r="W1206" s="108" t="s">
        <v>3314</v>
      </c>
    </row>
    <row r="1207" spans="1:23" ht="21" customHeight="1" x14ac:dyDescent="0.15">
      <c r="A1207" s="187">
        <v>1206</v>
      </c>
      <c r="B1207" s="105" t="s">
        <v>3485</v>
      </c>
      <c r="C1207" s="182" t="s">
        <v>3536</v>
      </c>
      <c r="D1207" s="123"/>
      <c r="E1207" s="108"/>
      <c r="F1207" s="114"/>
      <c r="G1207" s="114"/>
      <c r="H1207" s="183" t="s">
        <v>300</v>
      </c>
      <c r="I1207" s="182">
        <v>5</v>
      </c>
      <c r="J1207" s="109" t="s">
        <v>3537</v>
      </c>
      <c r="K1207" s="105" t="s">
        <v>3531</v>
      </c>
      <c r="L1207" s="107" t="str">
        <f ca="1">VLOOKUP($K1207,OFFSET([1]character_type_i18n!$A$1,0,0,COUNTA([1]character_type_i18n!$A:$A),MATCH(L$1,[1]character_type_i18n!$1:$1,0)-MATCH($K$1,[1]character_type_i18n!$1:$1,0)+1),MATCH(L$1,[1]character_type_i18n!$1:$1,0)-MATCH($K$1,[1]character_type_i18n!$1:$1,0)+1,FALSE)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7" s="105" t="s">
        <v>1018</v>
      </c>
      <c r="N1207" s="107" t="str">
        <f>VLOOKUP(M1207,[1]character_tribe_i18n!A:C,3,FALSE)</f>
        <v>ゴッド</v>
      </c>
      <c r="O1207" s="105" t="s">
        <v>1423</v>
      </c>
      <c r="P1207" s="107" t="str">
        <f>VLOOKUP(O1207,[1]character_tribe_i18n!A:C,3,FALSE)</f>
        <v>種族なし</v>
      </c>
      <c r="Q1207" s="110"/>
      <c r="R1207" s="178">
        <v>3</v>
      </c>
      <c r="S1207" s="108" t="s">
        <v>280</v>
      </c>
      <c r="T1207" s="108" t="s">
        <v>2468</v>
      </c>
      <c r="U1207" s="108" t="s">
        <v>1540</v>
      </c>
      <c r="V1207" s="108" t="s">
        <v>894</v>
      </c>
      <c r="W1207" s="108" t="s">
        <v>894</v>
      </c>
    </row>
    <row r="1208" spans="1:23" ht="21" customHeight="1" x14ac:dyDescent="0.15">
      <c r="A1208" s="187">
        <v>1207</v>
      </c>
      <c r="B1208" s="105" t="s">
        <v>1261</v>
      </c>
      <c r="C1208" s="182" t="s">
        <v>3538</v>
      </c>
      <c r="D1208" s="123"/>
      <c r="E1208" s="108"/>
      <c r="F1208" s="114"/>
      <c r="G1208" s="114"/>
      <c r="H1208" s="183" t="s">
        <v>300</v>
      </c>
      <c r="I1208" s="182">
        <v>6</v>
      </c>
      <c r="J1208" s="109" t="s">
        <v>3384</v>
      </c>
      <c r="K1208" s="105" t="s">
        <v>2953</v>
      </c>
      <c r="L1208" s="107" t="str">
        <f ca="1">VLOOKUP($K1208,OFFSET([1]character_type_i18n!$A$1,0,0,COUNTA([1]character_type_i18n!$A:$A),MATCH(L$1,[1]character_type_i18n!$1:$1,0)-MATCH($K$1,[1]character_type_i18n!$1:$1,0)+1),MATCH(L$1,[1]character_type_i18n!$1:$1,0)-MATCH($K$1,[1]character_type_i18n!$1:$1,0)+1,FALSE)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8" s="105" t="s">
        <v>1018</v>
      </c>
      <c r="N1208" s="107" t="str">
        <f>VLOOKUP(M1208,[1]character_tribe_i18n!A:C,3,FALSE)</f>
        <v>ゴッド</v>
      </c>
      <c r="O1208" s="105" t="s">
        <v>1423</v>
      </c>
      <c r="P1208" s="107" t="str">
        <f>VLOOKUP(O1208,[1]character_tribe_i18n!A:C,3,FALSE)</f>
        <v>種族なし</v>
      </c>
      <c r="Q1208" s="110"/>
      <c r="R1208" s="178">
        <v>3</v>
      </c>
      <c r="S1208" s="108" t="s">
        <v>1659</v>
      </c>
      <c r="T1208" s="108" t="s">
        <v>281</v>
      </c>
      <c r="U1208" s="108" t="s">
        <v>280</v>
      </c>
      <c r="V1208" s="108" t="s">
        <v>894</v>
      </c>
      <c r="W1208" s="108" t="s">
        <v>894</v>
      </c>
    </row>
    <row r="1209" spans="1:23" ht="21" customHeight="1" x14ac:dyDescent="0.15">
      <c r="A1209" s="187">
        <v>1208</v>
      </c>
      <c r="B1209" s="105" t="s">
        <v>1261</v>
      </c>
      <c r="C1209" s="182" t="s">
        <v>3539</v>
      </c>
      <c r="D1209" s="123"/>
      <c r="E1209" s="108"/>
      <c r="F1209" s="114"/>
      <c r="G1209" s="114"/>
      <c r="H1209" s="183" t="s">
        <v>274</v>
      </c>
      <c r="I1209" s="182">
        <v>5</v>
      </c>
      <c r="J1209" s="109" t="s">
        <v>1001</v>
      </c>
      <c r="K1209" s="105" t="s">
        <v>967</v>
      </c>
      <c r="L1209" s="107" t="str">
        <f ca="1">VLOOKUP($K1209,OFFSET([1]character_type_i18n!$A$1,0,0,COUNTA([1]character_type_i18n!$A:$A),MATCH(L$1,[1]character_type_i18n!$1:$1,0)-MATCH($K$1,[1]character_type_i18n!$1:$1,0)+1),MATCH(L$1,[1]character_type_i18n!$1:$1,0)-MATCH($K$1,[1]character_type_i18n!$1:$1,0)+1,FALSE)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09" s="105" t="s">
        <v>2299</v>
      </c>
      <c r="N1209" s="107" t="str">
        <f>VLOOKUP(M1209,[1]character_tribe_i18n!A:C,3,FALSE)</f>
        <v>ゴッド</v>
      </c>
      <c r="O1209" s="105" t="s">
        <v>3083</v>
      </c>
      <c r="P1209" s="107" t="str">
        <f>VLOOKUP(O1209,[1]character_tribe_i18n!A:C,3,FALSE)</f>
        <v>アニマル</v>
      </c>
      <c r="Q1209" s="110"/>
      <c r="R1209" s="178">
        <v>3</v>
      </c>
      <c r="S1209" s="108" t="s">
        <v>898</v>
      </c>
      <c r="T1209" s="108" t="s">
        <v>893</v>
      </c>
      <c r="U1209" s="108" t="s">
        <v>898</v>
      </c>
      <c r="V1209" s="108" t="s">
        <v>898</v>
      </c>
      <c r="W1209" s="108" t="s">
        <v>898</v>
      </c>
    </row>
    <row r="1210" spans="1:23" ht="21" customHeight="1" x14ac:dyDescent="0.15">
      <c r="A1210" s="187">
        <v>1209</v>
      </c>
      <c r="B1210" s="105" t="s">
        <v>1689</v>
      </c>
      <c r="C1210" s="182" t="s">
        <v>3540</v>
      </c>
      <c r="D1210" s="123"/>
      <c r="E1210" s="108"/>
      <c r="F1210" s="114"/>
      <c r="G1210" s="114"/>
      <c r="H1210" s="183" t="s">
        <v>274</v>
      </c>
      <c r="I1210" s="182">
        <v>6</v>
      </c>
      <c r="J1210" s="109" t="s">
        <v>1903</v>
      </c>
      <c r="K1210" s="105" t="s">
        <v>1904</v>
      </c>
      <c r="L1210" s="107" t="str">
        <f ca="1">VLOOKUP($K1210,OFFSET([1]character_type_i18n!$A$1,0,0,COUNTA([1]character_type_i18n!$A:$A),MATCH(L$1,[1]character_type_i18n!$1:$1,0)-MATCH($K$1,[1]character_type_i18n!$1:$1,0)+1),MATCH(L$1,[1]character_type_i18n!$1:$1,0)-MATCH($K$1,[1]character_type_i18n!$1:$1,0)+1,FALSE)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10" s="105" t="s">
        <v>3541</v>
      </c>
      <c r="N1210" s="107" t="str">
        <f>VLOOKUP(M1210,[1]character_tribe_i18n!A:C,3,FALSE)</f>
        <v>ゴッド</v>
      </c>
      <c r="O1210" s="105" t="s">
        <v>2949</v>
      </c>
      <c r="P1210" s="107" t="str">
        <f>VLOOKUP(O1210,[1]character_tribe_i18n!A:C,3,FALSE)</f>
        <v>アニマル</v>
      </c>
      <c r="Q1210" s="110"/>
      <c r="R1210" s="178">
        <v>3</v>
      </c>
      <c r="S1210" s="108" t="s">
        <v>3542</v>
      </c>
      <c r="T1210" s="108" t="s">
        <v>3543</v>
      </c>
      <c r="U1210" s="108" t="s">
        <v>3542</v>
      </c>
      <c r="V1210" s="108" t="s">
        <v>3542</v>
      </c>
      <c r="W1210" s="108" t="s">
        <v>3542</v>
      </c>
    </row>
    <row r="1211" spans="1:23" ht="21" customHeight="1" x14ac:dyDescent="0.15">
      <c r="A1211" s="187">
        <v>1210</v>
      </c>
      <c r="B1211" s="105" t="s">
        <v>3544</v>
      </c>
      <c r="C1211" s="182" t="s">
        <v>3545</v>
      </c>
      <c r="D1211" s="123"/>
      <c r="E1211" s="108"/>
      <c r="F1211" s="114"/>
      <c r="G1211" s="114"/>
      <c r="H1211" s="183" t="s">
        <v>285</v>
      </c>
      <c r="I1211" s="182">
        <v>4</v>
      </c>
      <c r="J1211" s="109" t="s">
        <v>3546</v>
      </c>
      <c r="K1211" s="105" t="s">
        <v>2078</v>
      </c>
      <c r="L1211" s="107" t="str">
        <f ca="1">VLOOKUP($K1211,OFFSET([1]character_type_i18n!$A$1,0,0,COUNTA([1]character_type_i18n!$A:$A),MATCH(L$1,[1]character_type_i18n!$1:$1,0)-MATCH($K$1,[1]character_type_i18n!$1:$1,0)+1),MATCH(L$1,[1]character_type_i18n!$1:$1,0)-MATCH($K$1,[1]character_type_i18n!$1:$1,0)+1,FALSE)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11" s="105" t="s">
        <v>1018</v>
      </c>
      <c r="N1211" s="107" t="str">
        <f>VLOOKUP(M1211,[1]character_tribe_i18n!A:C,3,FALSE)</f>
        <v>ゴッド</v>
      </c>
      <c r="O1211" s="105" t="s">
        <v>3547</v>
      </c>
      <c r="P1211" s="107" t="str">
        <f>VLOOKUP(O1211,[1]character_tribe_i18n!A:C,3,FALSE)</f>
        <v>種族なし</v>
      </c>
      <c r="Q1211" s="110"/>
      <c r="R1211" s="178">
        <v>3</v>
      </c>
      <c r="S1211" s="108" t="s">
        <v>3314</v>
      </c>
      <c r="T1211" s="108" t="s">
        <v>281</v>
      </c>
      <c r="U1211" s="108" t="s">
        <v>280</v>
      </c>
      <c r="V1211" s="108" t="s">
        <v>894</v>
      </c>
      <c r="W1211" s="108" t="s">
        <v>894</v>
      </c>
    </row>
    <row r="1212" spans="1:23" ht="21" customHeight="1" x14ac:dyDescent="0.15">
      <c r="A1212" s="187">
        <v>1211</v>
      </c>
      <c r="B1212" s="105" t="s">
        <v>1261</v>
      </c>
      <c r="C1212" s="182" t="s">
        <v>3548</v>
      </c>
      <c r="D1212" s="123"/>
      <c r="E1212" s="108"/>
      <c r="F1212" s="114"/>
      <c r="G1212" s="114"/>
      <c r="H1212" s="183" t="s">
        <v>285</v>
      </c>
      <c r="I1212" s="182">
        <v>5</v>
      </c>
      <c r="J1212" s="109" t="s">
        <v>2461</v>
      </c>
      <c r="K1212" s="105" t="s">
        <v>1273</v>
      </c>
      <c r="L1212" s="107" t="str">
        <f ca="1">VLOOKUP($K1212,OFFSET([1]character_type_i18n!$A$1,0,0,COUNTA([1]character_type_i18n!$A:$A),MATCH(L$1,[1]character_type_i18n!$1:$1,0)-MATCH($K$1,[1]character_type_i18n!$1:$1,0)+1),MATCH(L$1,[1]character_type_i18n!$1:$1,0)-MATCH($K$1,[1]character_type_i18n!$1:$1,0)+1,FALSE)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12" s="105" t="s">
        <v>1018</v>
      </c>
      <c r="N1212" s="107" t="str">
        <f>VLOOKUP(M1212,[1]character_tribe_i18n!A:C,3,FALSE)</f>
        <v>ゴッド</v>
      </c>
      <c r="O1212" s="105" t="s">
        <v>1423</v>
      </c>
      <c r="P1212" s="107" t="str">
        <f>VLOOKUP(O1212,[1]character_tribe_i18n!A:C,3,FALSE)</f>
        <v>種族なし</v>
      </c>
      <c r="Q1212" s="110"/>
      <c r="R1212" s="178">
        <v>3</v>
      </c>
      <c r="S1212" s="108" t="s">
        <v>280</v>
      </c>
      <c r="T1212" s="108" t="s">
        <v>893</v>
      </c>
      <c r="U1212" s="108" t="s">
        <v>898</v>
      </c>
      <c r="V1212" s="108" t="s">
        <v>894</v>
      </c>
      <c r="W1212" s="108" t="s">
        <v>894</v>
      </c>
    </row>
    <row r="1213" spans="1:23" ht="21" customHeight="1" x14ac:dyDescent="0.15">
      <c r="A1213" s="187">
        <v>1212</v>
      </c>
      <c r="B1213" s="105" t="s">
        <v>1261</v>
      </c>
      <c r="C1213" s="182" t="s">
        <v>3549</v>
      </c>
      <c r="D1213" s="123"/>
      <c r="E1213" s="108"/>
      <c r="F1213" s="114"/>
      <c r="G1213" s="114"/>
      <c r="H1213" s="183" t="s">
        <v>295</v>
      </c>
      <c r="I1213" s="182">
        <v>5</v>
      </c>
      <c r="J1213" s="109" t="s">
        <v>1903</v>
      </c>
      <c r="K1213" s="105" t="s">
        <v>2029</v>
      </c>
      <c r="L1213" s="107" t="str">
        <f ca="1">VLOOKUP($K1213,OFFSET([1]character_type_i18n!$A$1,0,0,COUNTA([1]character_type_i18n!$A:$A),MATCH(L$1,[1]character_type_i18n!$1:$1,0)-MATCH($K$1,[1]character_type_i18n!$1:$1,0)+1),MATCH(L$1,[1]character_type_i18n!$1:$1,0)-MATCH($K$1,[1]character_type_i18n!$1:$1,0)+1,FALSE)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13" s="105" t="s">
        <v>1018</v>
      </c>
      <c r="N1213" s="107" t="str">
        <f>VLOOKUP(M1213,[1]character_tribe_i18n!A:C,3,FALSE)</f>
        <v>ゴッド</v>
      </c>
      <c r="O1213" s="105" t="s">
        <v>3550</v>
      </c>
      <c r="P1213" s="107" t="str">
        <f>VLOOKUP(O1213,[1]character_tribe_i18n!A:C,3,FALSE)</f>
        <v>Unknown</v>
      </c>
      <c r="Q1213" s="110"/>
      <c r="R1213" s="178">
        <v>3</v>
      </c>
      <c r="S1213" s="108" t="s">
        <v>280</v>
      </c>
      <c r="T1213" s="108" t="s">
        <v>281</v>
      </c>
      <c r="U1213" s="108" t="s">
        <v>280</v>
      </c>
      <c r="V1213" s="108" t="s">
        <v>280</v>
      </c>
      <c r="W1213" s="108" t="s">
        <v>280</v>
      </c>
    </row>
    <row r="1214" spans="1:23" ht="21" customHeight="1" x14ac:dyDescent="0.15">
      <c r="A1214" s="187">
        <v>1213</v>
      </c>
      <c r="B1214" s="105" t="s">
        <v>268</v>
      </c>
      <c r="C1214" s="182" t="s">
        <v>3551</v>
      </c>
      <c r="D1214" s="123"/>
      <c r="E1214" s="108"/>
      <c r="F1214" s="114"/>
      <c r="G1214" s="114"/>
      <c r="H1214" s="183" t="s">
        <v>295</v>
      </c>
      <c r="I1214" s="182">
        <v>6</v>
      </c>
      <c r="J1214" s="109" t="s">
        <v>3552</v>
      </c>
      <c r="K1214" s="105" t="s">
        <v>1505</v>
      </c>
      <c r="L1214" s="107" t="str">
        <f ca="1">VLOOKUP($K1214,OFFSET([1]character_type_i18n!$A$1,0,0,COUNTA([1]character_type_i18n!$A:$A),MATCH(L$1,[1]character_type_i18n!$1:$1,0)-MATCH($K$1,[1]character_type_i18n!$1:$1,0)+1),MATCH(L$1,[1]character_type_i18n!$1:$1,0)-MATCH($K$1,[1]character_type_i18n!$1:$1,0)+1,FALSE)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14" s="105" t="s">
        <v>1018</v>
      </c>
      <c r="N1214" s="107" t="str">
        <f>VLOOKUP(M1214,[1]character_tribe_i18n!A:C,3,FALSE)</f>
        <v>ゴッド</v>
      </c>
      <c r="O1214" s="105" t="s">
        <v>3524</v>
      </c>
      <c r="P1214" s="107" t="str">
        <f>VLOOKUP(O1214,[1]character_tribe_i18n!A:C,3,FALSE)</f>
        <v>Unknown</v>
      </c>
      <c r="Q1214" s="110"/>
      <c r="R1214" s="178">
        <v>3</v>
      </c>
      <c r="S1214" s="108" t="s">
        <v>280</v>
      </c>
      <c r="T1214" s="108" t="s">
        <v>281</v>
      </c>
      <c r="U1214" s="108" t="s">
        <v>280</v>
      </c>
      <c r="V1214" s="108" t="s">
        <v>280</v>
      </c>
      <c r="W1214" s="108" t="s">
        <v>280</v>
      </c>
    </row>
    <row r="1215" spans="1:23" ht="21" customHeight="1" x14ac:dyDescent="0.15">
      <c r="A1215" s="187">
        <v>1214</v>
      </c>
      <c r="B1215" s="105" t="s">
        <v>268</v>
      </c>
      <c r="C1215" s="182" t="s">
        <v>3553</v>
      </c>
      <c r="D1215" s="123"/>
      <c r="E1215" s="108"/>
      <c r="F1215" s="114"/>
      <c r="G1215" s="114"/>
      <c r="H1215" s="183" t="s">
        <v>300</v>
      </c>
      <c r="I1215" s="182">
        <v>5</v>
      </c>
      <c r="J1215" s="109" t="s">
        <v>2000</v>
      </c>
      <c r="K1215" s="105" t="s">
        <v>1008</v>
      </c>
      <c r="L1215" s="107" t="str">
        <f ca="1">VLOOKUP($K1215,OFFSET([1]character_type_i18n!$A$1,0,0,COUNTA([1]character_type_i18n!$A:$A),MATCH(L$1,[1]character_type_i18n!$1:$1,0)-MATCH($K$1,[1]character_type_i18n!$1:$1,0)+1),MATCH(L$1,[1]character_type_i18n!$1:$1,0)-MATCH($K$1,[1]character_type_i18n!$1:$1,0)+1,FALSE)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15" s="105" t="s">
        <v>3554</v>
      </c>
      <c r="N1215" s="107" t="str">
        <f>VLOOKUP(M1215,[1]character_tribe_i18n!A:C,3,FALSE)</f>
        <v>ゴッド</v>
      </c>
      <c r="O1215" s="105" t="s">
        <v>3555</v>
      </c>
      <c r="P1215" s="107" t="str">
        <f>VLOOKUP(O1215,[1]character_tribe_i18n!A:C,3,FALSE)</f>
        <v>アニマル</v>
      </c>
      <c r="Q1215" s="110"/>
      <c r="R1215" s="178">
        <v>3</v>
      </c>
      <c r="S1215" s="108" t="s">
        <v>3556</v>
      </c>
      <c r="T1215" s="108" t="s">
        <v>3557</v>
      </c>
      <c r="U1215" s="108" t="s">
        <v>3556</v>
      </c>
      <c r="V1215" s="108" t="s">
        <v>3556</v>
      </c>
      <c r="W1215" s="108" t="s">
        <v>3556</v>
      </c>
    </row>
    <row r="1216" spans="1:23" ht="21" customHeight="1" x14ac:dyDescent="0.15">
      <c r="A1216" s="187">
        <v>1215</v>
      </c>
      <c r="B1216" s="105" t="s">
        <v>3558</v>
      </c>
      <c r="C1216" s="182" t="s">
        <v>3559</v>
      </c>
      <c r="D1216" s="123"/>
      <c r="E1216" s="108"/>
      <c r="F1216" s="114"/>
      <c r="G1216" s="114"/>
      <c r="H1216" s="183" t="s">
        <v>300</v>
      </c>
      <c r="I1216" s="182">
        <v>6</v>
      </c>
      <c r="J1216" s="109" t="s">
        <v>3560</v>
      </c>
      <c r="K1216" s="105" t="s">
        <v>3561</v>
      </c>
      <c r="L1216" s="107" t="str">
        <f ca="1">VLOOKUP($K1216,OFFSET([1]character_type_i18n!$A$1,0,0,COUNTA([1]character_type_i18n!$A:$A),MATCH(L$1,[1]character_type_i18n!$1:$1,0)-MATCH($K$1,[1]character_type_i18n!$1:$1,0)+1),MATCH(L$1,[1]character_type_i18n!$1:$1,0)-MATCH($K$1,[1]character_type_i18n!$1:$1,0)+1,FALSE)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16" s="105" t="s">
        <v>1018</v>
      </c>
      <c r="N1216" s="107" t="str">
        <f>VLOOKUP(M1216,[1]character_tribe_i18n!A:C,3,FALSE)</f>
        <v>ゴッド</v>
      </c>
      <c r="O1216" s="105" t="s">
        <v>313</v>
      </c>
      <c r="P1216" s="107" t="str">
        <f>VLOOKUP(O1216,[1]character_tribe_i18n!A:C,3,FALSE)</f>
        <v>アニマル</v>
      </c>
      <c r="Q1216" s="110"/>
      <c r="R1216" s="178">
        <v>3</v>
      </c>
      <c r="S1216" s="108" t="s">
        <v>280</v>
      </c>
      <c r="T1216" s="108" t="s">
        <v>281</v>
      </c>
      <c r="U1216" s="108" t="s">
        <v>280</v>
      </c>
      <c r="V1216" s="108" t="s">
        <v>280</v>
      </c>
      <c r="W1216" s="108" t="s">
        <v>280</v>
      </c>
    </row>
    <row r="1217" spans="1:23" ht="21" customHeight="1" x14ac:dyDescent="0.15">
      <c r="A1217" s="187">
        <v>1216</v>
      </c>
      <c r="B1217" s="105" t="s">
        <v>268</v>
      </c>
      <c r="C1217" s="182" t="s">
        <v>3562</v>
      </c>
      <c r="D1217" s="123"/>
      <c r="E1217" s="108"/>
      <c r="F1217" s="114"/>
      <c r="G1217" s="114"/>
      <c r="H1217" s="183" t="s">
        <v>285</v>
      </c>
      <c r="I1217" s="182">
        <v>4</v>
      </c>
      <c r="J1217" s="109" t="s">
        <v>1372</v>
      </c>
      <c r="K1217" s="105" t="s">
        <v>1005</v>
      </c>
      <c r="L1217" s="107" t="str">
        <f ca="1">VLOOKUP($K1217,OFFSET([1]character_type_i18n!$A$1,0,0,COUNTA([1]character_type_i18n!$A:$A),MATCH(L$1,[1]character_type_i18n!$1:$1,0)-MATCH($K$1,[1]character_type_i18n!$1:$1,0)+1),MATCH(L$1,[1]character_type_i18n!$1:$1,0)-MATCH($K$1,[1]character_type_i18n!$1:$1,0)+1,FALSE)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17" s="105" t="s">
        <v>3563</v>
      </c>
      <c r="N1217" s="107" t="str">
        <f>VLOOKUP(M1217,[1]character_tribe_i18n!A:C,3,FALSE)</f>
        <v>ヒューマン</v>
      </c>
      <c r="O1217" s="105" t="s">
        <v>1423</v>
      </c>
      <c r="P1217" s="107" t="str">
        <f>VLOOKUP(O1217,[1]character_tribe_i18n!A:C,3,FALSE)</f>
        <v>種族なし</v>
      </c>
      <c r="Q1217" s="110"/>
      <c r="R1217" s="178">
        <v>3</v>
      </c>
      <c r="S1217" s="108" t="s">
        <v>280</v>
      </c>
      <c r="T1217" s="108" t="s">
        <v>2468</v>
      </c>
      <c r="U1217" s="108" t="s">
        <v>1540</v>
      </c>
      <c r="V1217" s="108" t="s">
        <v>894</v>
      </c>
      <c r="W1217" s="108" t="s">
        <v>894</v>
      </c>
    </row>
    <row r="1218" spans="1:23" ht="21" customHeight="1" x14ac:dyDescent="0.15">
      <c r="A1218" s="187">
        <v>1217</v>
      </c>
      <c r="B1218" s="105" t="s">
        <v>1261</v>
      </c>
      <c r="C1218" s="182" t="s">
        <v>3564</v>
      </c>
      <c r="D1218" s="123"/>
      <c r="E1218" s="108"/>
      <c r="F1218" s="114"/>
      <c r="G1218" s="114"/>
      <c r="H1218" s="183" t="s">
        <v>285</v>
      </c>
      <c r="I1218" s="182">
        <v>5</v>
      </c>
      <c r="J1218" s="109" t="s">
        <v>3526</v>
      </c>
      <c r="K1218" s="105" t="s">
        <v>1273</v>
      </c>
      <c r="L1218" s="107" t="str">
        <f ca="1">VLOOKUP($K1218,OFFSET([1]character_type_i18n!$A$1,0,0,COUNTA([1]character_type_i18n!$A:$A),MATCH(L$1,[1]character_type_i18n!$1:$1,0)-MATCH($K$1,[1]character_type_i18n!$1:$1,0)+1),MATCH(L$1,[1]character_type_i18n!$1:$1,0)-MATCH($K$1,[1]character_type_i18n!$1:$1,0)+1,FALSE)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18" s="105" t="s">
        <v>1011</v>
      </c>
      <c r="N1218" s="107" t="str">
        <f>VLOOKUP(M1218,[1]character_tribe_i18n!A:C,3,FALSE)</f>
        <v>ヒューマン</v>
      </c>
      <c r="O1218" s="105" t="s">
        <v>1704</v>
      </c>
      <c r="P1218" s="107" t="str">
        <f>VLOOKUP(O1218,[1]character_tribe_i18n!A:C,3,FALSE)</f>
        <v>種族なし</v>
      </c>
      <c r="Q1218" s="110"/>
      <c r="R1218" s="178">
        <v>3</v>
      </c>
      <c r="S1218" s="108" t="s">
        <v>302</v>
      </c>
      <c r="T1218" s="108" t="s">
        <v>3099</v>
      </c>
      <c r="U1218" s="108" t="s">
        <v>3098</v>
      </c>
      <c r="V1218" s="108" t="s">
        <v>302</v>
      </c>
      <c r="W1218" s="108" t="s">
        <v>302</v>
      </c>
    </row>
    <row r="1219" spans="1:23" ht="21" customHeight="1" x14ac:dyDescent="0.15">
      <c r="A1219" s="187">
        <v>1218</v>
      </c>
      <c r="B1219" s="105" t="s">
        <v>303</v>
      </c>
      <c r="C1219" s="182" t="s">
        <v>3565</v>
      </c>
      <c r="D1219" s="123"/>
      <c r="E1219" s="108"/>
      <c r="F1219" s="114"/>
      <c r="G1219" s="114"/>
      <c r="H1219" s="183" t="s">
        <v>295</v>
      </c>
      <c r="I1219" s="182">
        <v>5</v>
      </c>
      <c r="J1219" s="109" t="s">
        <v>2057</v>
      </c>
      <c r="K1219" s="105" t="s">
        <v>3566</v>
      </c>
      <c r="L1219" s="107" t="str">
        <f ca="1">VLOOKUP($K1219,OFFSET([1]character_type_i18n!$A$1,0,0,COUNTA([1]character_type_i18n!$A:$A),MATCH(L$1,[1]character_type_i18n!$1:$1,0)-MATCH($K$1,[1]character_type_i18n!$1:$1,0)+1),MATCH(L$1,[1]character_type_i18n!$1:$1,0)-MATCH($K$1,[1]character_type_i18n!$1:$1,0)+1,FALSE)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19" s="105" t="s">
        <v>3567</v>
      </c>
      <c r="N1219" s="107" t="str">
        <f>VLOOKUP(M1219,[1]character_tribe_i18n!A:C,3,FALSE)</f>
        <v>ヒューマン</v>
      </c>
      <c r="O1219" s="105" t="s">
        <v>1164</v>
      </c>
      <c r="P1219" s="107" t="str">
        <f>VLOOKUP(O1219,[1]character_tribe_i18n!A:C,3,FALSE)</f>
        <v>Unknown</v>
      </c>
      <c r="Q1219" s="110"/>
      <c r="R1219" s="178">
        <v>3</v>
      </c>
      <c r="S1219" s="108" t="s">
        <v>289</v>
      </c>
      <c r="T1219" s="108" t="s">
        <v>288</v>
      </c>
      <c r="U1219" s="108" t="s">
        <v>289</v>
      </c>
      <c r="V1219" s="108" t="s">
        <v>289</v>
      </c>
      <c r="W1219" s="108" t="s">
        <v>289</v>
      </c>
    </row>
    <row r="1220" spans="1:23" ht="21" customHeight="1" x14ac:dyDescent="0.15">
      <c r="A1220" s="187">
        <v>1219</v>
      </c>
      <c r="B1220" s="105" t="s">
        <v>292</v>
      </c>
      <c r="C1220" s="182" t="s">
        <v>3568</v>
      </c>
      <c r="D1220" s="123"/>
      <c r="E1220" s="108"/>
      <c r="F1220" s="114"/>
      <c r="G1220" s="114"/>
      <c r="H1220" s="183" t="s">
        <v>295</v>
      </c>
      <c r="I1220" s="182">
        <v>6</v>
      </c>
      <c r="J1220" s="109" t="s">
        <v>1859</v>
      </c>
      <c r="K1220" s="105" t="s">
        <v>1588</v>
      </c>
      <c r="L1220" s="107" t="str">
        <f ca="1">VLOOKUP($K1220,OFFSET([1]character_type_i18n!$A$1,0,0,COUNTA([1]character_type_i18n!$A:$A),MATCH(L$1,[1]character_type_i18n!$1:$1,0)-MATCH($K$1,[1]character_type_i18n!$1:$1,0)+1),MATCH(L$1,[1]character_type_i18n!$1:$1,0)-MATCH($K$1,[1]character_type_i18n!$1:$1,0)+1,FALSE)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20" s="105" t="s">
        <v>1011</v>
      </c>
      <c r="N1220" s="107" t="str">
        <f>VLOOKUP(M1220,[1]character_tribe_i18n!A:C,3,FALSE)</f>
        <v>ヒューマン</v>
      </c>
      <c r="O1220" s="105" t="s">
        <v>1413</v>
      </c>
      <c r="P1220" s="107" t="str">
        <f>VLOOKUP(O1220,[1]character_tribe_i18n!A:C,3,FALSE)</f>
        <v>Unknown</v>
      </c>
      <c r="Q1220" s="110"/>
      <c r="R1220" s="178">
        <v>3</v>
      </c>
      <c r="S1220" s="108" t="s">
        <v>280</v>
      </c>
      <c r="T1220" s="108" t="s">
        <v>281</v>
      </c>
      <c r="U1220" s="108" t="s">
        <v>280</v>
      </c>
      <c r="V1220" s="108" t="s">
        <v>280</v>
      </c>
      <c r="W1220" s="108" t="s">
        <v>280</v>
      </c>
    </row>
    <row r="1221" spans="1:23" ht="21" customHeight="1" x14ac:dyDescent="0.15">
      <c r="A1221" s="187">
        <v>1220</v>
      </c>
      <c r="B1221" s="105" t="s">
        <v>268</v>
      </c>
      <c r="C1221" s="182" t="s">
        <v>3569</v>
      </c>
      <c r="D1221" s="123"/>
      <c r="E1221" s="108"/>
      <c r="F1221" s="114"/>
      <c r="G1221" s="114"/>
      <c r="H1221" s="183" t="s">
        <v>300</v>
      </c>
      <c r="I1221" s="182">
        <v>5</v>
      </c>
      <c r="J1221" s="109" t="s">
        <v>1504</v>
      </c>
      <c r="K1221" s="105" t="s">
        <v>1008</v>
      </c>
      <c r="L1221" s="107" t="str">
        <f ca="1">VLOOKUP($K1221,OFFSET([1]character_type_i18n!$A$1,0,0,COUNTA([1]character_type_i18n!$A:$A),MATCH(L$1,[1]character_type_i18n!$1:$1,0)-MATCH($K$1,[1]character_type_i18n!$1:$1,0)+1),MATCH(L$1,[1]character_type_i18n!$1:$1,0)-MATCH($K$1,[1]character_type_i18n!$1:$1,0)+1,FALSE)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21" s="105" t="s">
        <v>1394</v>
      </c>
      <c r="N1221" s="107" t="str">
        <f>VLOOKUP(M1221,[1]character_tribe_i18n!A:C,3,FALSE)</f>
        <v>ヒューマン</v>
      </c>
      <c r="O1221" s="105" t="s">
        <v>1423</v>
      </c>
      <c r="P1221" s="107" t="str">
        <f>VLOOKUP(O1221,[1]character_tribe_i18n!A:C,3,FALSE)</f>
        <v>種族なし</v>
      </c>
      <c r="Q1221" s="110"/>
      <c r="R1221" s="178">
        <v>3</v>
      </c>
      <c r="S1221" s="108" t="s">
        <v>289</v>
      </c>
      <c r="T1221" s="108" t="s">
        <v>288</v>
      </c>
      <c r="U1221" s="108" t="s">
        <v>289</v>
      </c>
      <c r="V1221" s="108" t="s">
        <v>289</v>
      </c>
      <c r="W1221" s="108" t="s">
        <v>289</v>
      </c>
    </row>
    <row r="1222" spans="1:23" ht="21" customHeight="1" x14ac:dyDescent="0.15">
      <c r="A1222" s="187">
        <v>1221</v>
      </c>
      <c r="B1222" s="105" t="s">
        <v>292</v>
      </c>
      <c r="C1222" s="182" t="s">
        <v>3570</v>
      </c>
      <c r="D1222" s="123"/>
      <c r="E1222" s="108"/>
      <c r="F1222" s="114"/>
      <c r="G1222" s="114"/>
      <c r="H1222" s="183" t="s">
        <v>300</v>
      </c>
      <c r="I1222" s="182">
        <v>6</v>
      </c>
      <c r="J1222" s="109" t="s">
        <v>1859</v>
      </c>
      <c r="K1222" s="105" t="s">
        <v>2084</v>
      </c>
      <c r="L1222" s="107" t="str">
        <f ca="1">VLOOKUP($K1222,OFFSET([1]character_type_i18n!$A$1,0,0,COUNTA([1]character_type_i18n!$A:$A),MATCH(L$1,[1]character_type_i18n!$1:$1,0)-MATCH($K$1,[1]character_type_i18n!$1:$1,0)+1),MATCH(L$1,[1]character_type_i18n!$1:$1,0)-MATCH($K$1,[1]character_type_i18n!$1:$1,0)+1,FALSE)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22" s="105" t="s">
        <v>1401</v>
      </c>
      <c r="N1222" s="107" t="str">
        <f>VLOOKUP(M1222,[1]character_tribe_i18n!A:C,3,FALSE)</f>
        <v>ヒューマン</v>
      </c>
      <c r="O1222" s="105" t="s">
        <v>1420</v>
      </c>
      <c r="P1222" s="107" t="str">
        <f>VLOOKUP(O1222,[1]character_tribe_i18n!A:C,3,FALSE)</f>
        <v>種族なし</v>
      </c>
      <c r="Q1222" s="110"/>
      <c r="R1222" s="178">
        <v>3</v>
      </c>
      <c r="S1222" s="108" t="s">
        <v>306</v>
      </c>
      <c r="T1222" s="108" t="s">
        <v>307</v>
      </c>
      <c r="U1222" s="108" t="s">
        <v>306</v>
      </c>
      <c r="V1222" s="108" t="s">
        <v>306</v>
      </c>
      <c r="W1222" s="108" t="s">
        <v>306</v>
      </c>
    </row>
    <row r="1223" spans="1:23" ht="21" customHeight="1" x14ac:dyDescent="0.15">
      <c r="A1223" s="187">
        <v>1222</v>
      </c>
      <c r="B1223" s="105" t="s">
        <v>314</v>
      </c>
      <c r="C1223" s="182" t="s">
        <v>3571</v>
      </c>
      <c r="D1223" s="123"/>
      <c r="E1223" s="108"/>
      <c r="F1223" s="114"/>
      <c r="G1223" s="114"/>
      <c r="H1223" s="183" t="s">
        <v>295</v>
      </c>
      <c r="I1223" s="182">
        <v>5</v>
      </c>
      <c r="J1223" s="109" t="s">
        <v>1871</v>
      </c>
      <c r="K1223" s="105" t="s">
        <v>1580</v>
      </c>
      <c r="L1223" s="107" t="str">
        <f ca="1">VLOOKUP($K1223,OFFSET([1]character_type_i18n!$A$1,0,0,COUNTA([1]character_type_i18n!$A:$A),MATCH(L$1,[1]character_type_i18n!$1:$1,0)-MATCH($K$1,[1]character_type_i18n!$1:$1,0)+1),MATCH(L$1,[1]character_type_i18n!$1:$1,0)-MATCH($K$1,[1]character_type_i18n!$1:$1,0)+1,FALSE)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23" s="105" t="s">
        <v>1401</v>
      </c>
      <c r="N1223" s="107" t="str">
        <f>VLOOKUP(M1223,[1]character_tribe_i18n!A:C,3,FALSE)</f>
        <v>ヒューマン</v>
      </c>
      <c r="O1223" s="105" t="s">
        <v>1408</v>
      </c>
      <c r="P1223" s="107" t="str">
        <f>VLOOKUP(O1223,[1]character_tribe_i18n!A:C,3,FALSE)</f>
        <v>Unknown</v>
      </c>
      <c r="Q1223" s="110"/>
      <c r="R1223" s="178">
        <v>3</v>
      </c>
      <c r="S1223" s="108" t="s">
        <v>306</v>
      </c>
      <c r="T1223" s="108" t="s">
        <v>307</v>
      </c>
      <c r="U1223" s="108" t="s">
        <v>306</v>
      </c>
      <c r="V1223" s="108" t="s">
        <v>306</v>
      </c>
      <c r="W1223" s="108" t="s">
        <v>306</v>
      </c>
    </row>
    <row r="1224" spans="1:23" ht="21" customHeight="1" x14ac:dyDescent="0.15">
      <c r="A1224" s="187">
        <v>1223</v>
      </c>
      <c r="B1224" s="105" t="s">
        <v>314</v>
      </c>
      <c r="C1224" s="182" t="s">
        <v>3572</v>
      </c>
      <c r="D1224" s="123"/>
      <c r="E1224" s="108"/>
      <c r="F1224" s="114"/>
      <c r="G1224" s="114"/>
      <c r="H1224" s="183" t="s">
        <v>295</v>
      </c>
      <c r="I1224" s="182">
        <v>6</v>
      </c>
      <c r="J1224" s="109" t="s">
        <v>1871</v>
      </c>
      <c r="K1224" s="105" t="s">
        <v>1580</v>
      </c>
      <c r="L1224" s="107" t="str">
        <f ca="1">VLOOKUP($K1224,OFFSET([1]character_type_i18n!$A$1,0,0,COUNTA([1]character_type_i18n!$A:$A),MATCH(L$1,[1]character_type_i18n!$1:$1,0)-MATCH($K$1,[1]character_type_i18n!$1:$1,0)+1),MATCH(L$1,[1]character_type_i18n!$1:$1,0)-MATCH($K$1,[1]character_type_i18n!$1:$1,0)+1,FALSE)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24" s="105" t="s">
        <v>1401</v>
      </c>
      <c r="N1224" s="107" t="str">
        <f>VLOOKUP(M1224,[1]character_tribe_i18n!A:C,3,FALSE)</f>
        <v>ヒューマン</v>
      </c>
      <c r="O1224" s="105" t="s">
        <v>1408</v>
      </c>
      <c r="P1224" s="107" t="str">
        <f>VLOOKUP(O1224,[1]character_tribe_i18n!A:C,3,FALSE)</f>
        <v>Unknown</v>
      </c>
      <c r="Q1224" s="110"/>
      <c r="R1224" s="178">
        <v>3</v>
      </c>
      <c r="S1224" s="108" t="s">
        <v>306</v>
      </c>
      <c r="T1224" s="108" t="s">
        <v>307</v>
      </c>
      <c r="U1224" s="108" t="s">
        <v>306</v>
      </c>
      <c r="V1224" s="108" t="s">
        <v>306</v>
      </c>
      <c r="W1224" s="108" t="s">
        <v>306</v>
      </c>
    </row>
    <row r="1225" spans="1:23" ht="21" customHeight="1" x14ac:dyDescent="0.15">
      <c r="A1225" s="187">
        <v>1224</v>
      </c>
      <c r="B1225" s="105" t="s">
        <v>314</v>
      </c>
      <c r="C1225" s="182" t="s">
        <v>3573</v>
      </c>
      <c r="D1225" s="123"/>
      <c r="E1225" s="108"/>
      <c r="F1225" s="114"/>
      <c r="G1225" s="114"/>
      <c r="H1225" s="183" t="s">
        <v>274</v>
      </c>
      <c r="I1225" s="182">
        <v>4</v>
      </c>
      <c r="J1225" s="109" t="s">
        <v>3574</v>
      </c>
      <c r="K1225" s="105" t="s">
        <v>1400</v>
      </c>
      <c r="L1225" s="107" t="str">
        <f ca="1">VLOOKUP($K1225,OFFSET([1]character_type_i18n!$A$1,0,0,COUNTA([1]character_type_i18n!$A:$A),MATCH(L$1,[1]character_type_i18n!$1:$1,0)-MATCH($K$1,[1]character_type_i18n!$1:$1,0)+1),MATCH(L$1,[1]character_type_i18n!$1:$1,0)-MATCH($K$1,[1]character_type_i18n!$1:$1,0)+1,FALSE)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25" s="105" t="s">
        <v>1401</v>
      </c>
      <c r="N1225" s="107" t="str">
        <f>VLOOKUP(M1225,[1]character_tribe_i18n!A:C,3,FALSE)</f>
        <v>ヒューマン</v>
      </c>
      <c r="O1225" s="105" t="s">
        <v>1420</v>
      </c>
      <c r="P1225" s="107" t="str">
        <f>VLOOKUP(O1225,[1]character_tribe_i18n!A:C,3,FALSE)</f>
        <v>種族なし</v>
      </c>
      <c r="Q1225" s="110"/>
      <c r="R1225" s="178">
        <v>3</v>
      </c>
      <c r="S1225" s="108" t="s">
        <v>306</v>
      </c>
      <c r="T1225" s="108" t="s">
        <v>307</v>
      </c>
      <c r="U1225" s="108" t="s">
        <v>306</v>
      </c>
      <c r="V1225" s="108" t="s">
        <v>306</v>
      </c>
      <c r="W1225" s="108" t="s">
        <v>306</v>
      </c>
    </row>
    <row r="1226" spans="1:23" ht="21" customHeight="1" x14ac:dyDescent="0.15">
      <c r="A1226" s="187">
        <v>1225</v>
      </c>
      <c r="B1226" s="105" t="s">
        <v>314</v>
      </c>
      <c r="C1226" s="182" t="s">
        <v>3575</v>
      </c>
      <c r="D1226" s="123"/>
      <c r="E1226" s="108"/>
      <c r="F1226" s="114"/>
      <c r="G1226" s="114"/>
      <c r="H1226" s="183" t="s">
        <v>274</v>
      </c>
      <c r="I1226" s="182">
        <v>5</v>
      </c>
      <c r="J1226" s="109" t="s">
        <v>3574</v>
      </c>
      <c r="K1226" s="105" t="s">
        <v>1400</v>
      </c>
      <c r="L1226" s="107" t="str">
        <f ca="1">VLOOKUP($K1226,OFFSET([1]character_type_i18n!$A$1,0,0,COUNTA([1]character_type_i18n!$A:$A),MATCH(L$1,[1]character_type_i18n!$1:$1,0)-MATCH($K$1,[1]character_type_i18n!$1:$1,0)+1),MATCH(L$1,[1]character_type_i18n!$1:$1,0)-MATCH($K$1,[1]character_type_i18n!$1:$1,0)+1,FALSE)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26" s="105" t="s">
        <v>1011</v>
      </c>
      <c r="N1226" s="107" t="str">
        <f>VLOOKUP(M1226,[1]character_tribe_i18n!A:C,3,FALSE)</f>
        <v>ヒューマン</v>
      </c>
      <c r="O1226" s="105" t="s">
        <v>1423</v>
      </c>
      <c r="P1226" s="107" t="str">
        <f>VLOOKUP(O1226,[1]character_tribe_i18n!A:C,3,FALSE)</f>
        <v>種族なし</v>
      </c>
      <c r="Q1226" s="110"/>
      <c r="R1226" s="178">
        <v>3</v>
      </c>
      <c r="S1226" s="108" t="s">
        <v>289</v>
      </c>
      <c r="T1226" s="108" t="s">
        <v>288</v>
      </c>
      <c r="U1226" s="108" t="s">
        <v>289</v>
      </c>
      <c r="V1226" s="108" t="s">
        <v>289</v>
      </c>
      <c r="W1226" s="108" t="s">
        <v>289</v>
      </c>
    </row>
    <row r="1227" spans="1:23" ht="21" customHeight="1" x14ac:dyDescent="0.15">
      <c r="A1227" s="187">
        <v>1226</v>
      </c>
      <c r="B1227" s="105" t="s">
        <v>292</v>
      </c>
      <c r="C1227" s="182" t="s">
        <v>3576</v>
      </c>
      <c r="D1227" s="123"/>
      <c r="E1227" s="108"/>
      <c r="F1227" s="114"/>
      <c r="G1227" s="114"/>
      <c r="H1227" s="183" t="s">
        <v>285</v>
      </c>
      <c r="I1227" s="182">
        <v>5</v>
      </c>
      <c r="J1227" s="109" t="s">
        <v>2083</v>
      </c>
      <c r="K1227" s="105" t="s">
        <v>2716</v>
      </c>
      <c r="L1227" s="107" t="str">
        <f ca="1">VLOOKUP($K1227,OFFSET([1]character_type_i18n!$A$1,0,0,COUNTA([1]character_type_i18n!$A:$A),MATCH(L$1,[1]character_type_i18n!$1:$1,0)-MATCH($K$1,[1]character_type_i18n!$1:$1,0)+1),MATCH(L$1,[1]character_type_i18n!$1:$1,0)-MATCH($K$1,[1]character_type_i18n!$1:$1,0)+1,FALSE)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27" s="105" t="s">
        <v>1011</v>
      </c>
      <c r="N1227" s="107" t="str">
        <f>VLOOKUP(M1227,[1]character_tribe_i18n!A:C,3,FALSE)</f>
        <v>ヒューマン</v>
      </c>
      <c r="O1227" s="105" t="s">
        <v>1599</v>
      </c>
      <c r="P1227" s="107" t="str">
        <f>VLOOKUP(O1227,[1]character_tribe_i18n!A:C,3,FALSE)</f>
        <v>マシン</v>
      </c>
      <c r="Q1227" s="110"/>
      <c r="R1227" s="178">
        <v>3</v>
      </c>
      <c r="S1227" s="108" t="s">
        <v>280</v>
      </c>
      <c r="T1227" s="108" t="s">
        <v>281</v>
      </c>
      <c r="U1227" s="108" t="s">
        <v>280</v>
      </c>
      <c r="V1227" s="108" t="s">
        <v>280</v>
      </c>
      <c r="W1227" s="108" t="s">
        <v>280</v>
      </c>
    </row>
    <row r="1228" spans="1:23" ht="21" customHeight="1" x14ac:dyDescent="0.15">
      <c r="A1228" s="187">
        <v>1227</v>
      </c>
      <c r="B1228" s="105" t="s">
        <v>268</v>
      </c>
      <c r="C1228" s="182" t="s">
        <v>3577</v>
      </c>
      <c r="D1228" s="123"/>
      <c r="E1228" s="108"/>
      <c r="F1228" s="114"/>
      <c r="G1228" s="114"/>
      <c r="H1228" s="183" t="s">
        <v>285</v>
      </c>
      <c r="I1228" s="182">
        <v>6</v>
      </c>
      <c r="J1228" s="109" t="s">
        <v>1001</v>
      </c>
      <c r="K1228" s="105" t="s">
        <v>1005</v>
      </c>
      <c r="L1228" s="107" t="str">
        <f ca="1">VLOOKUP($K1228,OFFSET([1]character_type_i18n!$A$1,0,0,COUNTA([1]character_type_i18n!$A:$A),MATCH(L$1,[1]character_type_i18n!$1:$1,0)-MATCH($K$1,[1]character_type_i18n!$1:$1,0)+1),MATCH(L$1,[1]character_type_i18n!$1:$1,0)-MATCH($K$1,[1]character_type_i18n!$1:$1,0)+1,FALSE)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28" s="105" t="s">
        <v>1394</v>
      </c>
      <c r="N1228" s="107" t="str">
        <f>VLOOKUP(M1228,[1]character_tribe_i18n!A:C,3,FALSE)</f>
        <v>ヒューマン</v>
      </c>
      <c r="O1228" s="105" t="s">
        <v>1017</v>
      </c>
      <c r="P1228" s="107" t="str">
        <f>VLOOKUP(O1228,[1]character_tribe_i18n!A:C,3,FALSE)</f>
        <v>マシン</v>
      </c>
      <c r="Q1228" s="110"/>
      <c r="R1228" s="178">
        <v>3</v>
      </c>
      <c r="S1228" s="108" t="s">
        <v>289</v>
      </c>
      <c r="T1228" s="108" t="s">
        <v>288</v>
      </c>
      <c r="U1228" s="108" t="s">
        <v>289</v>
      </c>
      <c r="V1228" s="108" t="s">
        <v>302</v>
      </c>
      <c r="W1228" s="108" t="s">
        <v>302</v>
      </c>
    </row>
    <row r="1229" spans="1:23" ht="21" customHeight="1" x14ac:dyDescent="0.15">
      <c r="A1229" s="187">
        <v>1228</v>
      </c>
      <c r="B1229" s="105" t="s">
        <v>3485</v>
      </c>
      <c r="C1229" s="182" t="s">
        <v>3578</v>
      </c>
      <c r="D1229" s="123"/>
      <c r="E1229" s="108"/>
      <c r="F1229" s="114"/>
      <c r="G1229" s="114"/>
      <c r="H1229" s="183" t="s">
        <v>295</v>
      </c>
      <c r="I1229" s="182">
        <v>5</v>
      </c>
      <c r="J1229" s="109" t="s">
        <v>3579</v>
      </c>
      <c r="K1229" s="105" t="s">
        <v>3580</v>
      </c>
      <c r="L1229" s="107" t="str">
        <f ca="1">VLOOKUP($K1229,OFFSET([1]character_type_i18n!$A$1,0,0,COUNTA([1]character_type_i18n!$A:$A),MATCH(L$1,[1]character_type_i18n!$1:$1,0)-MATCH($K$1,[1]character_type_i18n!$1:$1,0)+1),MATCH(L$1,[1]character_type_i18n!$1:$1,0)-MATCH($K$1,[1]character_type_i18n!$1:$1,0)+1,FALSE)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29" s="105" t="s">
        <v>3581</v>
      </c>
      <c r="N1229" s="107" t="str">
        <f>VLOOKUP(M1229,[1]character_tribe_i18n!A:C,3,FALSE)</f>
        <v>ヒューマン</v>
      </c>
      <c r="O1229" s="105" t="s">
        <v>1164</v>
      </c>
      <c r="P1229" s="107" t="str">
        <f>VLOOKUP(O1229,[1]character_tribe_i18n!A:C,3,FALSE)</f>
        <v>Unknown</v>
      </c>
      <c r="Q1229" s="110"/>
      <c r="R1229" s="178">
        <v>3</v>
      </c>
      <c r="S1229" s="108" t="s">
        <v>280</v>
      </c>
      <c r="T1229" s="108" t="s">
        <v>281</v>
      </c>
      <c r="U1229" s="108" t="s">
        <v>280</v>
      </c>
      <c r="V1229" s="108" t="s">
        <v>894</v>
      </c>
      <c r="W1229" s="108" t="s">
        <v>894</v>
      </c>
    </row>
    <row r="1230" spans="1:23" ht="21" customHeight="1" x14ac:dyDescent="0.15">
      <c r="A1230" s="187">
        <v>1229</v>
      </c>
      <c r="B1230" s="105" t="s">
        <v>1261</v>
      </c>
      <c r="C1230" s="182" t="s">
        <v>3582</v>
      </c>
      <c r="D1230" s="123"/>
      <c r="E1230" s="108"/>
      <c r="F1230" s="114"/>
      <c r="G1230" s="114"/>
      <c r="H1230" s="183" t="s">
        <v>295</v>
      </c>
      <c r="I1230" s="182">
        <v>6</v>
      </c>
      <c r="J1230" s="109" t="s">
        <v>3583</v>
      </c>
      <c r="K1230" s="105" t="s">
        <v>1273</v>
      </c>
      <c r="L1230" s="107" t="str">
        <f ca="1">VLOOKUP($K1230,OFFSET([1]character_type_i18n!$A$1,0,0,COUNTA([1]character_type_i18n!$A:$A),MATCH(L$1,[1]character_type_i18n!$1:$1,0)-MATCH($K$1,[1]character_type_i18n!$1:$1,0)+1),MATCH(L$1,[1]character_type_i18n!$1:$1,0)-MATCH($K$1,[1]character_type_i18n!$1:$1,0)+1,FALSE)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30" s="105" t="s">
        <v>1011</v>
      </c>
      <c r="N1230" s="107" t="str">
        <f>VLOOKUP(M1230,[1]character_tribe_i18n!A:C,3,FALSE)</f>
        <v>ヒューマン</v>
      </c>
      <c r="O1230" s="105" t="s">
        <v>1164</v>
      </c>
      <c r="P1230" s="107" t="str">
        <f>VLOOKUP(O1230,[1]character_tribe_i18n!A:C,3,FALSE)</f>
        <v>Unknown</v>
      </c>
      <c r="Q1230" s="110"/>
      <c r="R1230" s="178">
        <v>3</v>
      </c>
      <c r="S1230" s="108" t="s">
        <v>280</v>
      </c>
      <c r="T1230" s="108" t="s">
        <v>281</v>
      </c>
      <c r="U1230" s="108" t="s">
        <v>280</v>
      </c>
      <c r="V1230" s="108" t="s">
        <v>280</v>
      </c>
      <c r="W1230" s="108" t="s">
        <v>280</v>
      </c>
    </row>
    <row r="1231" spans="1:23" ht="21" customHeight="1" x14ac:dyDescent="0.15">
      <c r="A1231" s="187">
        <v>1230</v>
      </c>
      <c r="B1231" s="105" t="s">
        <v>268</v>
      </c>
      <c r="C1231" s="182" t="s">
        <v>3584</v>
      </c>
      <c r="D1231" s="123"/>
      <c r="E1231" s="108"/>
      <c r="F1231" s="114"/>
      <c r="G1231" s="114"/>
      <c r="H1231" s="183" t="s">
        <v>300</v>
      </c>
      <c r="I1231" s="182">
        <v>5</v>
      </c>
      <c r="J1231" s="109" t="s">
        <v>2113</v>
      </c>
      <c r="K1231" s="105" t="s">
        <v>3585</v>
      </c>
      <c r="L1231" s="107" t="str">
        <f ca="1">VLOOKUP($K1231,OFFSET([1]character_type_i18n!$A$1,0,0,COUNTA([1]character_type_i18n!$A:$A),MATCH(L$1,[1]character_type_i18n!$1:$1,0)-MATCH($K$1,[1]character_type_i18n!$1:$1,0)+1),MATCH(L$1,[1]character_type_i18n!$1:$1,0)-MATCH($K$1,[1]character_type_i18n!$1:$1,0)+1,FALSE)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31" s="105" t="s">
        <v>313</v>
      </c>
      <c r="N1231" s="107" t="str">
        <f>VLOOKUP(M1231,[1]character_tribe_i18n!A:C,3,FALSE)</f>
        <v>アニマル</v>
      </c>
      <c r="O1231" s="105" t="s">
        <v>1423</v>
      </c>
      <c r="P1231" s="107" t="str">
        <f>VLOOKUP(O1231,[1]character_tribe_i18n!A:C,3,FALSE)</f>
        <v>種族なし</v>
      </c>
      <c r="Q1231" s="110"/>
      <c r="R1231" s="178">
        <v>3</v>
      </c>
      <c r="S1231" s="108" t="s">
        <v>1744</v>
      </c>
      <c r="T1231" s="108" t="s">
        <v>2020</v>
      </c>
      <c r="U1231" s="108" t="s">
        <v>2021</v>
      </c>
      <c r="V1231" s="108" t="s">
        <v>894</v>
      </c>
      <c r="W1231" s="108" t="s">
        <v>894</v>
      </c>
    </row>
    <row r="1232" spans="1:23" ht="21" customHeight="1" x14ac:dyDescent="0.15">
      <c r="A1232" s="187">
        <v>1231</v>
      </c>
      <c r="B1232" s="105" t="s">
        <v>1261</v>
      </c>
      <c r="C1232" s="182" t="s">
        <v>3586</v>
      </c>
      <c r="D1232" s="123"/>
      <c r="E1232" s="108"/>
      <c r="F1232" s="114"/>
      <c r="G1232" s="114"/>
      <c r="H1232" s="183" t="s">
        <v>300</v>
      </c>
      <c r="I1232" s="182">
        <v>6</v>
      </c>
      <c r="J1232" s="109" t="s">
        <v>1263</v>
      </c>
      <c r="K1232" s="105" t="s">
        <v>3587</v>
      </c>
      <c r="L1232" s="107" t="str">
        <f ca="1">VLOOKUP($K1232,OFFSET([1]character_type_i18n!$A$1,0,0,COUNTA([1]character_type_i18n!$A:$A),MATCH(L$1,[1]character_type_i18n!$1:$1,0)-MATCH($K$1,[1]character_type_i18n!$1:$1,0)+1),MATCH(L$1,[1]character_type_i18n!$1:$1,0)-MATCH($K$1,[1]character_type_i18n!$1:$1,0)+1,FALSE)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32" s="105" t="s">
        <v>2944</v>
      </c>
      <c r="N1232" s="107" t="str">
        <f>VLOOKUP(M1232,[1]character_tribe_i18n!A:C,3,FALSE)</f>
        <v>アニマル</v>
      </c>
      <c r="O1232" s="105" t="s">
        <v>1423</v>
      </c>
      <c r="P1232" s="107" t="str">
        <f>VLOOKUP(O1232,[1]character_tribe_i18n!A:C,3,FALSE)</f>
        <v>種族なし</v>
      </c>
      <c r="Q1232" s="110"/>
      <c r="R1232" s="178">
        <v>3</v>
      </c>
      <c r="S1232" s="108" t="s">
        <v>280</v>
      </c>
      <c r="T1232" s="108" t="s">
        <v>610</v>
      </c>
      <c r="U1232" s="108" t="s">
        <v>611</v>
      </c>
      <c r="V1232" s="108" t="s">
        <v>894</v>
      </c>
      <c r="W1232" s="108" t="s">
        <v>894</v>
      </c>
    </row>
    <row r="1233" spans="1:23" ht="21" customHeight="1" x14ac:dyDescent="0.15">
      <c r="A1233" s="187">
        <v>1232</v>
      </c>
      <c r="B1233" s="105" t="s">
        <v>1261</v>
      </c>
      <c r="C1233" s="182" t="s">
        <v>3588</v>
      </c>
      <c r="D1233" s="123"/>
      <c r="E1233" s="108"/>
      <c r="F1233" s="114"/>
      <c r="G1233" s="114"/>
      <c r="H1233" s="183" t="s">
        <v>300</v>
      </c>
      <c r="I1233" s="182">
        <v>5</v>
      </c>
      <c r="J1233" s="109" t="s">
        <v>1606</v>
      </c>
      <c r="K1233" s="105" t="s">
        <v>1273</v>
      </c>
      <c r="L1233" s="107" t="str">
        <f ca="1">VLOOKUP($K1233,OFFSET([1]character_type_i18n!$A$1,0,0,COUNTA([1]character_type_i18n!$A:$A),MATCH(L$1,[1]character_type_i18n!$1:$1,0)-MATCH($K$1,[1]character_type_i18n!$1:$1,0)+1),MATCH(L$1,[1]character_type_i18n!$1:$1,0)-MATCH($K$1,[1]character_type_i18n!$1:$1,0)+1,FALSE)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33" s="105" t="s">
        <v>1987</v>
      </c>
      <c r="N1233" s="107" t="str">
        <f>VLOOKUP(M1233,[1]character_tribe_i18n!A:C,3,FALSE)</f>
        <v>アカデミア</v>
      </c>
      <c r="O1233" s="105" t="s">
        <v>1771</v>
      </c>
      <c r="P1233" s="107" t="str">
        <f>VLOOKUP(O1233,[1]character_tribe_i18n!A:C,3,FALSE)</f>
        <v>Unknown</v>
      </c>
      <c r="Q1233" s="110"/>
      <c r="R1233" s="178">
        <v>3</v>
      </c>
      <c r="S1233" s="108" t="s">
        <v>3589</v>
      </c>
      <c r="T1233" s="108" t="s">
        <v>915</v>
      </c>
      <c r="U1233" s="108" t="s">
        <v>880</v>
      </c>
      <c r="V1233" s="108" t="s">
        <v>894</v>
      </c>
      <c r="W1233" s="108" t="s">
        <v>894</v>
      </c>
    </row>
    <row r="1234" spans="1:23" ht="21" customHeight="1" x14ac:dyDescent="0.15">
      <c r="A1234" s="187">
        <v>1233</v>
      </c>
      <c r="B1234" s="105" t="s">
        <v>1261</v>
      </c>
      <c r="C1234" s="182" t="s">
        <v>3590</v>
      </c>
      <c r="D1234" s="123"/>
      <c r="E1234" s="108"/>
      <c r="F1234" s="114"/>
      <c r="G1234" s="114"/>
      <c r="H1234" s="183" t="s">
        <v>300</v>
      </c>
      <c r="I1234" s="182">
        <v>6</v>
      </c>
      <c r="J1234" s="109" t="s">
        <v>1976</v>
      </c>
      <c r="K1234" s="105" t="s">
        <v>1273</v>
      </c>
      <c r="L1234" s="107" t="str">
        <f ca="1">VLOOKUP($K1234,OFFSET([1]character_type_i18n!$A$1,0,0,COUNTA([1]character_type_i18n!$A:$A),MATCH(L$1,[1]character_type_i18n!$1:$1,0)-MATCH($K$1,[1]character_type_i18n!$1:$1,0)+1),MATCH(L$1,[1]character_type_i18n!$1:$1,0)-MATCH($K$1,[1]character_type_i18n!$1:$1,0)+1,FALSE)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34" s="105" t="s">
        <v>1987</v>
      </c>
      <c r="N1234" s="107" t="str">
        <f>VLOOKUP(M1234,[1]character_tribe_i18n!A:C,3,FALSE)</f>
        <v>アカデミア</v>
      </c>
      <c r="O1234" s="105" t="s">
        <v>3591</v>
      </c>
      <c r="P1234" s="107" t="str">
        <f>VLOOKUP(O1234,[1]character_tribe_i18n!A:C,3,FALSE)</f>
        <v>Unknown</v>
      </c>
      <c r="Q1234" s="110"/>
      <c r="R1234" s="178">
        <v>3</v>
      </c>
      <c r="S1234" s="108" t="s">
        <v>3314</v>
      </c>
      <c r="T1234" s="108" t="s">
        <v>910</v>
      </c>
      <c r="U1234" s="108" t="s">
        <v>911</v>
      </c>
      <c r="V1234" s="108" t="s">
        <v>894</v>
      </c>
      <c r="W1234" s="108" t="s">
        <v>894</v>
      </c>
    </row>
    <row r="1235" spans="1:23" ht="21" customHeight="1" x14ac:dyDescent="0.15">
      <c r="A1235" s="187">
        <v>1234</v>
      </c>
      <c r="B1235" s="105" t="s">
        <v>1261</v>
      </c>
      <c r="C1235" s="182" t="s">
        <v>3592</v>
      </c>
      <c r="D1235" s="123"/>
      <c r="E1235" s="108"/>
      <c r="F1235" s="114"/>
      <c r="G1235" s="114"/>
      <c r="H1235" s="183" t="s">
        <v>274</v>
      </c>
      <c r="I1235" s="182">
        <v>5</v>
      </c>
      <c r="J1235" s="109" t="s">
        <v>2729</v>
      </c>
      <c r="K1235" s="105" t="s">
        <v>1273</v>
      </c>
      <c r="L1235" s="107" t="str">
        <f ca="1">VLOOKUP($K1235,OFFSET([1]character_type_i18n!$A$1,0,0,COUNTA([1]character_type_i18n!$A:$A),MATCH(L$1,[1]character_type_i18n!$1:$1,0)-MATCH($K$1,[1]character_type_i18n!$1:$1,0)+1),MATCH(L$1,[1]character_type_i18n!$1:$1,0)-MATCH($K$1,[1]character_type_i18n!$1:$1,0)+1,FALSE)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35" s="105" t="s">
        <v>1987</v>
      </c>
      <c r="N1235" s="107" t="str">
        <f>VLOOKUP(M1235,[1]character_tribe_i18n!A:C,3,FALSE)</f>
        <v>アカデミア</v>
      </c>
      <c r="O1235" s="105" t="s">
        <v>1011</v>
      </c>
      <c r="P1235" s="107" t="str">
        <f>VLOOKUP(O1235,[1]character_tribe_i18n!A:C,3,FALSE)</f>
        <v>ヒューマン</v>
      </c>
      <c r="Q1235" s="110"/>
      <c r="R1235" s="178">
        <v>3</v>
      </c>
      <c r="S1235" s="108" t="s">
        <v>280</v>
      </c>
      <c r="T1235" s="108" t="s">
        <v>893</v>
      </c>
      <c r="U1235" s="108" t="s">
        <v>898</v>
      </c>
      <c r="V1235" s="108" t="s">
        <v>894</v>
      </c>
      <c r="W1235" s="108" t="s">
        <v>894</v>
      </c>
    </row>
    <row r="1236" spans="1:23" ht="21" customHeight="1" x14ac:dyDescent="0.15">
      <c r="A1236" s="187">
        <v>1235</v>
      </c>
      <c r="B1236" s="105" t="s">
        <v>1261</v>
      </c>
      <c r="C1236" s="182" t="s">
        <v>3593</v>
      </c>
      <c r="D1236" s="123"/>
      <c r="E1236" s="108"/>
      <c r="F1236" s="114"/>
      <c r="G1236" s="114"/>
      <c r="H1236" s="183" t="s">
        <v>274</v>
      </c>
      <c r="I1236" s="182">
        <v>6</v>
      </c>
      <c r="J1236" s="109" t="s">
        <v>1976</v>
      </c>
      <c r="K1236" s="105" t="s">
        <v>1273</v>
      </c>
      <c r="L1236" s="107" t="str">
        <f ca="1">VLOOKUP($K1236,OFFSET([1]character_type_i18n!$A$1,0,0,COUNTA([1]character_type_i18n!$A:$A),MATCH(L$1,[1]character_type_i18n!$1:$1,0)-MATCH($K$1,[1]character_type_i18n!$1:$1,0)+1),MATCH(L$1,[1]character_type_i18n!$1:$1,0)-MATCH($K$1,[1]character_type_i18n!$1:$1,0)+1,FALSE)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36" s="105" t="s">
        <v>1987</v>
      </c>
      <c r="N1236" s="107" t="str">
        <f>VLOOKUP(M1236,[1]character_tribe_i18n!A:C,3,FALSE)</f>
        <v>アカデミア</v>
      </c>
      <c r="O1236" s="105" t="s">
        <v>2253</v>
      </c>
      <c r="P1236" s="107" t="str">
        <f>VLOOKUP(O1236,[1]character_tribe_i18n!A:C,3,FALSE)</f>
        <v>ヒューマン</v>
      </c>
      <c r="Q1236" s="110"/>
      <c r="R1236" s="178">
        <v>3</v>
      </c>
      <c r="S1236" s="108" t="s">
        <v>3314</v>
      </c>
      <c r="T1236" s="108" t="s">
        <v>910</v>
      </c>
      <c r="U1236" s="108" t="s">
        <v>911</v>
      </c>
      <c r="V1236" s="108" t="s">
        <v>894</v>
      </c>
      <c r="W1236" s="108" t="s">
        <v>894</v>
      </c>
    </row>
    <row r="1237" spans="1:23" ht="21" customHeight="1" x14ac:dyDescent="0.2">
      <c r="A1237" s="187">
        <v>1236</v>
      </c>
      <c r="B1237" s="105" t="s">
        <v>1261</v>
      </c>
      <c r="C1237" s="188" t="s">
        <v>3594</v>
      </c>
      <c r="D1237" s="123"/>
      <c r="E1237" s="108"/>
      <c r="F1237" s="114"/>
      <c r="G1237" s="114"/>
      <c r="H1237" s="183" t="s">
        <v>300</v>
      </c>
      <c r="I1237" s="188">
        <v>4</v>
      </c>
      <c r="J1237" s="109" t="s">
        <v>3526</v>
      </c>
      <c r="K1237" s="105" t="s">
        <v>1292</v>
      </c>
      <c r="L1237" s="107" t="str">
        <f ca="1">VLOOKUP($K1237,OFFSET([1]character_type_i18n!$A$1,0,0,COUNTA([1]character_type_i18n!$A:$A),MATCH(L$1,[1]character_type_i18n!$1:$1,0)-MATCH($K$1,[1]character_type_i18n!$1:$1,0)+1),MATCH(L$1,[1]character_type_i18n!$1:$1,0)-MATCH($K$1,[1]character_type_i18n!$1:$1,0)+1,FALSE)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37" s="105" t="s">
        <v>1413</v>
      </c>
      <c r="N1237" s="107" t="str">
        <f>VLOOKUP(M1237,[1]character_tribe_i18n!A:C,3,FALSE)</f>
        <v>Unknown</v>
      </c>
      <c r="O1237" s="105" t="s">
        <v>1423</v>
      </c>
      <c r="P1237" s="107" t="str">
        <f>VLOOKUP(O1237,[1]character_tribe_i18n!A:C,3,FALSE)</f>
        <v>種族なし</v>
      </c>
      <c r="Q1237" s="110"/>
      <c r="R1237" s="178">
        <v>3</v>
      </c>
      <c r="S1237" s="108" t="s">
        <v>289</v>
      </c>
      <c r="T1237" s="108" t="s">
        <v>288</v>
      </c>
      <c r="U1237" s="108" t="s">
        <v>289</v>
      </c>
      <c r="V1237" s="108" t="s">
        <v>289</v>
      </c>
      <c r="W1237" s="108" t="s">
        <v>289</v>
      </c>
    </row>
    <row r="1238" spans="1:23" ht="21" customHeight="1" x14ac:dyDescent="0.2">
      <c r="A1238" s="187">
        <v>1237</v>
      </c>
      <c r="B1238" s="105" t="s">
        <v>292</v>
      </c>
      <c r="C1238" s="188" t="s">
        <v>3595</v>
      </c>
      <c r="D1238" s="123"/>
      <c r="E1238" s="108"/>
      <c r="F1238" s="114"/>
      <c r="G1238" s="114"/>
      <c r="H1238" s="183" t="s">
        <v>300</v>
      </c>
      <c r="I1238" s="188">
        <v>5</v>
      </c>
      <c r="J1238" s="109" t="s">
        <v>2244</v>
      </c>
      <c r="K1238" s="105" t="s">
        <v>2084</v>
      </c>
      <c r="L1238" s="107" t="str">
        <f ca="1">VLOOKUP($K1238,OFFSET([1]character_type_i18n!$A$1,0,0,COUNTA([1]character_type_i18n!$A:$A),MATCH(L$1,[1]character_type_i18n!$1:$1,0)-MATCH($K$1,[1]character_type_i18n!$1:$1,0)+1),MATCH(L$1,[1]character_type_i18n!$1:$1,0)-MATCH($K$1,[1]character_type_i18n!$1:$1,0)+1,FALSE)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38" s="105" t="s">
        <v>1164</v>
      </c>
      <c r="N1238" s="107" t="str">
        <f>VLOOKUP(M1238,[1]character_tribe_i18n!A:C,3,FALSE)</f>
        <v>Unknown</v>
      </c>
      <c r="O1238" s="105" t="s">
        <v>1596</v>
      </c>
      <c r="P1238" s="107" t="str">
        <f>VLOOKUP(O1238,[1]character_tribe_i18n!A:C,3,FALSE)</f>
        <v>種族なし</v>
      </c>
      <c r="Q1238" s="110"/>
      <c r="R1238" s="178">
        <v>3</v>
      </c>
      <c r="S1238" s="108" t="s">
        <v>306</v>
      </c>
      <c r="T1238" s="108" t="s">
        <v>307</v>
      </c>
      <c r="U1238" s="108" t="s">
        <v>306</v>
      </c>
      <c r="V1238" s="108" t="s">
        <v>306</v>
      </c>
      <c r="W1238" s="108" t="s">
        <v>306</v>
      </c>
    </row>
    <row r="1239" spans="1:23" ht="21" customHeight="1" x14ac:dyDescent="0.2">
      <c r="A1239" s="187">
        <v>1238</v>
      </c>
      <c r="B1239" s="105" t="s">
        <v>314</v>
      </c>
      <c r="C1239" s="188" t="s">
        <v>3596</v>
      </c>
      <c r="D1239" s="123"/>
      <c r="E1239" s="108"/>
      <c r="F1239" s="114"/>
      <c r="G1239" s="114"/>
      <c r="H1239" s="183" t="s">
        <v>285</v>
      </c>
      <c r="I1239" s="188">
        <v>5</v>
      </c>
      <c r="J1239" s="109" t="s">
        <v>1399</v>
      </c>
      <c r="K1239" s="105" t="s">
        <v>1584</v>
      </c>
      <c r="L1239" s="107" t="str">
        <f ca="1">VLOOKUP($K1239,OFFSET([1]character_type_i18n!$A$1,0,0,COUNTA([1]character_type_i18n!$A:$A),MATCH(L$1,[1]character_type_i18n!$1:$1,0)-MATCH($K$1,[1]character_type_i18n!$1:$1,0)+1),MATCH(L$1,[1]character_type_i18n!$1:$1,0)-MATCH($K$1,[1]character_type_i18n!$1:$1,0)+1,FALSE)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39" s="105" t="s">
        <v>1394</v>
      </c>
      <c r="N1239" s="107" t="str">
        <f>VLOOKUP(M1239,[1]character_tribe_i18n!A:C,3,FALSE)</f>
        <v>ヒューマン</v>
      </c>
      <c r="O1239" s="105" t="s">
        <v>1423</v>
      </c>
      <c r="P1239" s="107" t="str">
        <f>VLOOKUP(O1239,[1]character_tribe_i18n!A:C,3,FALSE)</f>
        <v>種族なし</v>
      </c>
      <c r="Q1239" s="110"/>
      <c r="R1239" s="178">
        <v>1</v>
      </c>
      <c r="S1239" s="108" t="s">
        <v>306</v>
      </c>
      <c r="T1239" s="108" t="s">
        <v>307</v>
      </c>
      <c r="U1239" s="108" t="s">
        <v>306</v>
      </c>
      <c r="V1239" s="108" t="s">
        <v>306</v>
      </c>
      <c r="W1239" s="108" t="s">
        <v>306</v>
      </c>
    </row>
    <row r="1240" spans="1:23" ht="21" customHeight="1" x14ac:dyDescent="0.2">
      <c r="A1240" s="187">
        <v>1239</v>
      </c>
      <c r="B1240" s="105" t="s">
        <v>314</v>
      </c>
      <c r="C1240" s="188" t="s">
        <v>3597</v>
      </c>
      <c r="D1240" s="123"/>
      <c r="E1240" s="108"/>
      <c r="F1240" s="114"/>
      <c r="G1240" s="114"/>
      <c r="H1240" s="183" t="s">
        <v>285</v>
      </c>
      <c r="I1240" s="188">
        <v>6</v>
      </c>
      <c r="J1240" s="109" t="s">
        <v>1399</v>
      </c>
      <c r="K1240" s="105" t="s">
        <v>1584</v>
      </c>
      <c r="L1240" s="107" t="str">
        <f ca="1">VLOOKUP($K1240,OFFSET([1]character_type_i18n!$A$1,0,0,COUNTA([1]character_type_i18n!$A:$A),MATCH(L$1,[1]character_type_i18n!$1:$1,0)-MATCH($K$1,[1]character_type_i18n!$1:$1,0)+1),MATCH(L$1,[1]character_type_i18n!$1:$1,0)-MATCH($K$1,[1]character_type_i18n!$1:$1,0)+1,FALSE)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40" s="105" t="s">
        <v>1011</v>
      </c>
      <c r="N1240" s="107" t="str">
        <f>VLOOKUP(M1240,[1]character_tribe_i18n!A:C,3,FALSE)</f>
        <v>ヒューマン</v>
      </c>
      <c r="O1240" s="105" t="s">
        <v>1596</v>
      </c>
      <c r="P1240" s="107" t="str">
        <f>VLOOKUP(O1240,[1]character_tribe_i18n!A:C,3,FALSE)</f>
        <v>種族なし</v>
      </c>
      <c r="Q1240" s="110"/>
      <c r="R1240" s="178">
        <v>1</v>
      </c>
      <c r="S1240" s="108" t="s">
        <v>306</v>
      </c>
      <c r="T1240" s="108" t="s">
        <v>307</v>
      </c>
      <c r="U1240" s="108" t="s">
        <v>306</v>
      </c>
      <c r="V1240" s="108" t="s">
        <v>306</v>
      </c>
      <c r="W1240" s="108" t="s">
        <v>306</v>
      </c>
    </row>
    <row r="1241" spans="1:23" ht="21" customHeight="1" x14ac:dyDescent="0.2">
      <c r="A1241" s="187">
        <v>1240</v>
      </c>
      <c r="B1241" s="105" t="s">
        <v>314</v>
      </c>
      <c r="C1241" s="188" t="s">
        <v>3598</v>
      </c>
      <c r="D1241" s="123"/>
      <c r="E1241" s="108"/>
      <c r="F1241" s="114"/>
      <c r="G1241" s="114"/>
      <c r="H1241" s="183" t="s">
        <v>295</v>
      </c>
      <c r="I1241" s="188">
        <v>5</v>
      </c>
      <c r="J1241" s="109" t="s">
        <v>1399</v>
      </c>
      <c r="K1241" s="105" t="s">
        <v>1584</v>
      </c>
      <c r="L1241" s="107" t="str">
        <f ca="1">VLOOKUP($K1241,OFFSET([1]character_type_i18n!$A$1,0,0,COUNTA([1]character_type_i18n!$A:$A),MATCH(L$1,[1]character_type_i18n!$1:$1,0)-MATCH($K$1,[1]character_type_i18n!$1:$1,0)+1),MATCH(L$1,[1]character_type_i18n!$1:$1,0)-MATCH($K$1,[1]character_type_i18n!$1:$1,0)+1,FALSE)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41" s="105" t="s">
        <v>1394</v>
      </c>
      <c r="N1241" s="107" t="str">
        <f>VLOOKUP(M1241,[1]character_tribe_i18n!A:C,3,FALSE)</f>
        <v>ヒューマン</v>
      </c>
      <c r="O1241" s="105" t="s">
        <v>2245</v>
      </c>
      <c r="P1241" s="107" t="str">
        <f>VLOOKUP(O1241,[1]character_tribe_i18n!A:C,3,FALSE)</f>
        <v>サムライ</v>
      </c>
      <c r="Q1241" s="110"/>
      <c r="R1241" s="178">
        <v>3</v>
      </c>
      <c r="S1241" s="108" t="s">
        <v>306</v>
      </c>
      <c r="T1241" s="108" t="s">
        <v>307</v>
      </c>
      <c r="U1241" s="108" t="s">
        <v>306</v>
      </c>
      <c r="V1241" s="108" t="s">
        <v>306</v>
      </c>
      <c r="W1241" s="108" t="s">
        <v>306</v>
      </c>
    </row>
    <row r="1242" spans="1:23" ht="21" customHeight="1" x14ac:dyDescent="0.2">
      <c r="A1242" s="187">
        <v>1241</v>
      </c>
      <c r="B1242" s="105" t="s">
        <v>314</v>
      </c>
      <c r="C1242" s="188" t="s">
        <v>3599</v>
      </c>
      <c r="D1242" s="123"/>
      <c r="E1242" s="108"/>
      <c r="F1242" s="114"/>
      <c r="G1242" s="114"/>
      <c r="H1242" s="183" t="s">
        <v>295</v>
      </c>
      <c r="I1242" s="188">
        <v>6</v>
      </c>
      <c r="J1242" s="109" t="s">
        <v>1856</v>
      </c>
      <c r="K1242" s="105" t="s">
        <v>1453</v>
      </c>
      <c r="L1242" s="107" t="str">
        <f ca="1">VLOOKUP($K1242,OFFSET([1]character_type_i18n!$A$1,0,0,COUNTA([1]character_type_i18n!$A:$A),MATCH(L$1,[1]character_type_i18n!$1:$1,0)-MATCH($K$1,[1]character_type_i18n!$1:$1,0)+1),MATCH(L$1,[1]character_type_i18n!$1:$1,0)-MATCH($K$1,[1]character_type_i18n!$1:$1,0)+1,FALSE)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42" s="105" t="s">
        <v>1011</v>
      </c>
      <c r="N1242" s="107" t="str">
        <f>VLOOKUP(M1242,[1]character_tribe_i18n!A:C,3,FALSE)</f>
        <v>ヒューマン</v>
      </c>
      <c r="O1242" s="105" t="s">
        <v>2245</v>
      </c>
      <c r="P1242" s="107" t="str">
        <f>VLOOKUP(O1242,[1]character_tribe_i18n!A:C,3,FALSE)</f>
        <v>サムライ</v>
      </c>
      <c r="Q1242" s="110"/>
      <c r="R1242" s="178">
        <v>3</v>
      </c>
      <c r="S1242" s="108" t="s">
        <v>306</v>
      </c>
      <c r="T1242" s="108" t="s">
        <v>307</v>
      </c>
      <c r="U1242" s="108" t="s">
        <v>306</v>
      </c>
      <c r="V1242" s="108" t="s">
        <v>306</v>
      </c>
      <c r="W1242" s="108" t="s">
        <v>306</v>
      </c>
    </row>
    <row r="1243" spans="1:23" ht="21" customHeight="1" x14ac:dyDescent="0.2">
      <c r="A1243" s="187">
        <v>1242</v>
      </c>
      <c r="B1243" s="105" t="s">
        <v>314</v>
      </c>
      <c r="C1243" s="188" t="s">
        <v>3600</v>
      </c>
      <c r="D1243" s="123"/>
      <c r="E1243" s="108"/>
      <c r="F1243" s="114"/>
      <c r="G1243" s="114"/>
      <c r="H1243" s="183" t="s">
        <v>274</v>
      </c>
      <c r="I1243" s="188">
        <v>5</v>
      </c>
      <c r="J1243" s="109" t="s">
        <v>1871</v>
      </c>
      <c r="K1243" s="105" t="s">
        <v>2771</v>
      </c>
      <c r="L1243" s="107" t="str">
        <f ca="1">VLOOKUP($K1243,OFFSET([1]character_type_i18n!$A$1,0,0,COUNTA([1]character_type_i18n!$A:$A),MATCH(L$1,[1]character_type_i18n!$1:$1,0)-MATCH($K$1,[1]character_type_i18n!$1:$1,0)+1),MATCH(L$1,[1]character_type_i18n!$1:$1,0)-MATCH($K$1,[1]character_type_i18n!$1:$1,0)+1,FALSE)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43" s="105" t="s">
        <v>1011</v>
      </c>
      <c r="N1243" s="107" t="str">
        <f>VLOOKUP(M1243,[1]character_tribe_i18n!A:C,3,FALSE)</f>
        <v>ヒューマン</v>
      </c>
      <c r="O1243" s="105" t="s">
        <v>2245</v>
      </c>
      <c r="P1243" s="107" t="str">
        <f>VLOOKUP(O1243,[1]character_tribe_i18n!A:C,3,FALSE)</f>
        <v>サムライ</v>
      </c>
      <c r="Q1243" s="110"/>
      <c r="R1243" s="178">
        <v>3</v>
      </c>
      <c r="S1243" s="108" t="s">
        <v>306</v>
      </c>
      <c r="T1243" s="108" t="s">
        <v>307</v>
      </c>
      <c r="U1243" s="108" t="s">
        <v>306</v>
      </c>
      <c r="V1243" s="108" t="s">
        <v>306</v>
      </c>
      <c r="W1243" s="108" t="s">
        <v>306</v>
      </c>
    </row>
    <row r="1244" spans="1:23" ht="21" customHeight="1" x14ac:dyDescent="0.2">
      <c r="A1244" s="187">
        <v>1243</v>
      </c>
      <c r="B1244" s="105" t="s">
        <v>314</v>
      </c>
      <c r="C1244" s="188" t="s">
        <v>3601</v>
      </c>
      <c r="D1244" s="123"/>
      <c r="E1244" s="108"/>
      <c r="F1244" s="114"/>
      <c r="G1244" s="114"/>
      <c r="H1244" s="183" t="s">
        <v>274</v>
      </c>
      <c r="I1244" s="188">
        <v>6</v>
      </c>
      <c r="J1244" s="109" t="s">
        <v>1871</v>
      </c>
      <c r="K1244" s="105" t="s">
        <v>2771</v>
      </c>
      <c r="L1244" s="107" t="str">
        <f ca="1">VLOOKUP($K1244,OFFSET([1]character_type_i18n!$A$1,0,0,COUNTA([1]character_type_i18n!$A:$A),MATCH(L$1,[1]character_type_i18n!$1:$1,0)-MATCH($K$1,[1]character_type_i18n!$1:$1,0)+1),MATCH(L$1,[1]character_type_i18n!$1:$1,0)-MATCH($K$1,[1]character_type_i18n!$1:$1,0)+1,FALSE)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44" s="105" t="s">
        <v>1011</v>
      </c>
      <c r="N1244" s="107" t="str">
        <f>VLOOKUP(M1244,[1]character_tribe_i18n!A:C,3,FALSE)</f>
        <v>ヒューマン</v>
      </c>
      <c r="O1244" s="105" t="s">
        <v>2245</v>
      </c>
      <c r="P1244" s="107" t="str">
        <f>VLOOKUP(O1244,[1]character_tribe_i18n!A:C,3,FALSE)</f>
        <v>サムライ</v>
      </c>
      <c r="Q1244" s="110"/>
      <c r="R1244" s="178">
        <v>3</v>
      </c>
      <c r="S1244" s="108" t="s">
        <v>306</v>
      </c>
      <c r="T1244" s="108" t="s">
        <v>307</v>
      </c>
      <c r="U1244" s="108" t="s">
        <v>306</v>
      </c>
      <c r="V1244" s="108" t="s">
        <v>306</v>
      </c>
      <c r="W1244" s="108" t="s">
        <v>306</v>
      </c>
    </row>
    <row r="1245" spans="1:23" ht="21" customHeight="1" x14ac:dyDescent="0.2">
      <c r="A1245" s="187">
        <v>1244</v>
      </c>
      <c r="B1245" s="105" t="s">
        <v>314</v>
      </c>
      <c r="C1245" s="188" t="s">
        <v>3602</v>
      </c>
      <c r="D1245" s="123"/>
      <c r="E1245" s="108"/>
      <c r="F1245" s="114"/>
      <c r="G1245" s="114"/>
      <c r="H1245" s="183" t="s">
        <v>274</v>
      </c>
      <c r="I1245" s="188">
        <v>5</v>
      </c>
      <c r="J1245" s="109" t="s">
        <v>1582</v>
      </c>
      <c r="K1245" s="105" t="s">
        <v>1400</v>
      </c>
      <c r="L1245" s="107" t="str">
        <f ca="1">VLOOKUP($K1245,OFFSET([1]character_type_i18n!$A$1,0,0,COUNTA([1]character_type_i18n!$A:$A),MATCH(L$1,[1]character_type_i18n!$1:$1,0)-MATCH($K$1,[1]character_type_i18n!$1:$1,0)+1),MATCH(L$1,[1]character_type_i18n!$1:$1,0)-MATCH($K$1,[1]character_type_i18n!$1:$1,0)+1,FALSE)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45" s="105" t="s">
        <v>1011</v>
      </c>
      <c r="N1245" s="107" t="str">
        <f>VLOOKUP(M1245,[1]character_tribe_i18n!A:C,3,FALSE)</f>
        <v>ヒューマン</v>
      </c>
      <c r="O1245" s="105" t="s">
        <v>1423</v>
      </c>
      <c r="P1245" s="107" t="str">
        <f>VLOOKUP(O1245,[1]character_tribe_i18n!A:C,3,FALSE)</f>
        <v>種族なし</v>
      </c>
      <c r="Q1245" s="110"/>
      <c r="R1245" s="178">
        <v>3</v>
      </c>
      <c r="S1245" s="108" t="s">
        <v>306</v>
      </c>
      <c r="T1245" s="108" t="s">
        <v>307</v>
      </c>
      <c r="U1245" s="108" t="s">
        <v>306</v>
      </c>
      <c r="V1245" s="108" t="s">
        <v>306</v>
      </c>
      <c r="W1245" s="108" t="s">
        <v>306</v>
      </c>
    </row>
    <row r="1246" spans="1:23" ht="21" customHeight="1" x14ac:dyDescent="0.2">
      <c r="A1246" s="187">
        <v>1245</v>
      </c>
      <c r="B1246" s="105" t="s">
        <v>314</v>
      </c>
      <c r="C1246" s="188" t="s">
        <v>3603</v>
      </c>
      <c r="D1246" s="123"/>
      <c r="E1246" s="108"/>
      <c r="F1246" s="114"/>
      <c r="G1246" s="114"/>
      <c r="H1246" s="183" t="s">
        <v>274</v>
      </c>
      <c r="I1246" s="188">
        <v>6</v>
      </c>
      <c r="J1246" s="109" t="s">
        <v>1582</v>
      </c>
      <c r="K1246" s="105" t="s">
        <v>1400</v>
      </c>
      <c r="L1246" s="107" t="str">
        <f ca="1">VLOOKUP($K1246,OFFSET([1]character_type_i18n!$A$1,0,0,COUNTA([1]character_type_i18n!$A:$A),MATCH(L$1,[1]character_type_i18n!$1:$1,0)-MATCH($K$1,[1]character_type_i18n!$1:$1,0)+1),MATCH(L$1,[1]character_type_i18n!$1:$1,0)-MATCH($K$1,[1]character_type_i18n!$1:$1,0)+1,FALSE)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46" s="105" t="s">
        <v>1011</v>
      </c>
      <c r="N1246" s="107" t="str">
        <f>VLOOKUP(M1246,[1]character_tribe_i18n!A:C,3,FALSE)</f>
        <v>ヒューマン</v>
      </c>
      <c r="O1246" s="105" t="s">
        <v>1423</v>
      </c>
      <c r="P1246" s="107" t="str">
        <f>VLOOKUP(O1246,[1]character_tribe_i18n!A:C,3,FALSE)</f>
        <v>種族なし</v>
      </c>
      <c r="Q1246" s="110"/>
      <c r="R1246" s="178">
        <v>3</v>
      </c>
      <c r="S1246" s="108" t="s">
        <v>306</v>
      </c>
      <c r="T1246" s="108" t="s">
        <v>307</v>
      </c>
      <c r="U1246" s="108" t="s">
        <v>306</v>
      </c>
      <c r="V1246" s="108" t="s">
        <v>306</v>
      </c>
      <c r="W1246" s="108" t="s">
        <v>306</v>
      </c>
    </row>
    <row r="1247" spans="1:23" ht="21" customHeight="1" x14ac:dyDescent="0.2">
      <c r="A1247" s="187">
        <v>1246</v>
      </c>
      <c r="B1247" s="105" t="s">
        <v>314</v>
      </c>
      <c r="C1247" s="188" t="s">
        <v>3604</v>
      </c>
      <c r="D1247" s="123"/>
      <c r="E1247" s="108"/>
      <c r="F1247" s="114"/>
      <c r="G1247" s="114"/>
      <c r="H1247" s="183" t="s">
        <v>285</v>
      </c>
      <c r="I1247" s="188">
        <v>5</v>
      </c>
      <c r="J1247" s="109" t="s">
        <v>1582</v>
      </c>
      <c r="K1247" s="105" t="s">
        <v>1948</v>
      </c>
      <c r="L1247" s="107" t="str">
        <f ca="1">VLOOKUP($K1247,OFFSET([1]character_type_i18n!$A$1,0,0,COUNTA([1]character_type_i18n!$A:$A),MATCH(L$1,[1]character_type_i18n!$1:$1,0)-MATCH($K$1,[1]character_type_i18n!$1:$1,0)+1),MATCH(L$1,[1]character_type_i18n!$1:$1,0)-MATCH($K$1,[1]character_type_i18n!$1:$1,0)+1,FALSE)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47" s="105" t="s">
        <v>2207</v>
      </c>
      <c r="N1247" s="107" t="str">
        <f>VLOOKUP(M1247,[1]character_tribe_i18n!A:C,3,FALSE)</f>
        <v>ヒューマン</v>
      </c>
      <c r="O1247" s="105" t="s">
        <v>3209</v>
      </c>
      <c r="P1247" s="107" t="str">
        <f>VLOOKUP(O1247,[1]character_tribe_i18n!A:C,3,FALSE)</f>
        <v>種族なし</v>
      </c>
      <c r="Q1247" s="110"/>
      <c r="R1247" s="178">
        <v>3</v>
      </c>
      <c r="S1247" s="108" t="s">
        <v>611</v>
      </c>
      <c r="T1247" s="108" t="s">
        <v>893</v>
      </c>
      <c r="U1247" s="108" t="s">
        <v>898</v>
      </c>
      <c r="V1247" s="108" t="s">
        <v>894</v>
      </c>
      <c r="W1247" s="108" t="s">
        <v>894</v>
      </c>
    </row>
    <row r="1248" spans="1:23" ht="21" customHeight="1" x14ac:dyDescent="0.2">
      <c r="A1248" s="187">
        <v>1247</v>
      </c>
      <c r="B1248" s="105" t="s">
        <v>1261</v>
      </c>
      <c r="C1248" s="188" t="s">
        <v>3605</v>
      </c>
      <c r="D1248" s="123"/>
      <c r="E1248" s="108"/>
      <c r="F1248" s="114"/>
      <c r="G1248" s="114"/>
      <c r="H1248" s="183" t="s">
        <v>285</v>
      </c>
      <c r="I1248" s="188">
        <v>6</v>
      </c>
      <c r="J1248" s="109" t="s">
        <v>1263</v>
      </c>
      <c r="K1248" s="105" t="s">
        <v>3606</v>
      </c>
      <c r="L1248" s="107" t="str">
        <f ca="1">VLOOKUP($K1248,OFFSET([1]character_type_i18n!$A$1,0,0,COUNTA([1]character_type_i18n!$A:$A),MATCH(L$1,[1]character_type_i18n!$1:$1,0)-MATCH($K$1,[1]character_type_i18n!$1:$1,0)+1),MATCH(L$1,[1]character_type_i18n!$1:$1,0)-MATCH($K$1,[1]character_type_i18n!$1:$1,0)+1,FALSE)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48" s="105" t="s">
        <v>3607</v>
      </c>
      <c r="N1248" s="107" t="str">
        <f>VLOOKUP(M1248,[1]character_tribe_i18n!A:C,3,FALSE)</f>
        <v>ヒューマン</v>
      </c>
      <c r="O1248" s="105" t="s">
        <v>1596</v>
      </c>
      <c r="P1248" s="107" t="str">
        <f>VLOOKUP(O1248,[1]character_tribe_i18n!A:C,3,FALSE)</f>
        <v>種族なし</v>
      </c>
      <c r="Q1248" s="110"/>
      <c r="R1248" s="178">
        <v>3</v>
      </c>
      <c r="S1248" s="108" t="s">
        <v>280</v>
      </c>
      <c r="T1248" s="108" t="s">
        <v>281</v>
      </c>
      <c r="U1248" s="108" t="s">
        <v>280</v>
      </c>
      <c r="V1248" s="108" t="s">
        <v>280</v>
      </c>
      <c r="W1248" s="108" t="s">
        <v>280</v>
      </c>
    </row>
    <row r="1249" spans="1:23" ht="21" customHeight="1" x14ac:dyDescent="0.2">
      <c r="A1249" s="187">
        <v>1248</v>
      </c>
      <c r="B1249" s="105" t="s">
        <v>268</v>
      </c>
      <c r="C1249" s="188" t="s">
        <v>3608</v>
      </c>
      <c r="D1249" s="123"/>
      <c r="E1249" s="108"/>
      <c r="F1249" s="114"/>
      <c r="G1249" s="114"/>
      <c r="H1249" s="183" t="s">
        <v>295</v>
      </c>
      <c r="I1249" s="188">
        <v>4</v>
      </c>
      <c r="J1249" s="109" t="s">
        <v>2367</v>
      </c>
      <c r="K1249" s="105" t="s">
        <v>989</v>
      </c>
      <c r="L1249" s="107" t="str">
        <f ca="1">VLOOKUP($K1249,OFFSET([1]character_type_i18n!$A$1,0,0,COUNTA([1]character_type_i18n!$A:$A),MATCH(L$1,[1]character_type_i18n!$1:$1,0)-MATCH($K$1,[1]character_type_i18n!$1:$1,0)+1),MATCH(L$1,[1]character_type_i18n!$1:$1,0)-MATCH($K$1,[1]character_type_i18n!$1:$1,0)+1,FALSE)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49" s="105" t="s">
        <v>1394</v>
      </c>
      <c r="N1249" s="107" t="str">
        <f>VLOOKUP(M1249,[1]character_tribe_i18n!A:C,3,FALSE)</f>
        <v>ヒューマン</v>
      </c>
      <c r="O1249" s="105" t="s">
        <v>1423</v>
      </c>
      <c r="P1249" s="107" t="str">
        <f>VLOOKUP(O1249,[1]character_tribe_i18n!A:C,3,FALSE)</f>
        <v>種族なし</v>
      </c>
      <c r="Q1249" s="110"/>
      <c r="R1249" s="178">
        <v>3</v>
      </c>
      <c r="S1249" s="108" t="s">
        <v>306</v>
      </c>
      <c r="T1249" s="108" t="s">
        <v>307</v>
      </c>
      <c r="U1249" s="108" t="s">
        <v>306</v>
      </c>
      <c r="V1249" s="108" t="s">
        <v>306</v>
      </c>
      <c r="W1249" s="108" t="s">
        <v>306</v>
      </c>
    </row>
    <row r="1250" spans="1:23" ht="21" customHeight="1" x14ac:dyDescent="0.2">
      <c r="A1250" s="187">
        <v>1249</v>
      </c>
      <c r="B1250" s="105" t="s">
        <v>314</v>
      </c>
      <c r="C1250" s="188" t="s">
        <v>3609</v>
      </c>
      <c r="D1250" s="123"/>
      <c r="E1250" s="108"/>
      <c r="F1250" s="114"/>
      <c r="G1250" s="114"/>
      <c r="H1250" s="183" t="s">
        <v>295</v>
      </c>
      <c r="I1250" s="188">
        <v>5</v>
      </c>
      <c r="J1250" s="109" t="s">
        <v>3610</v>
      </c>
      <c r="K1250" s="105" t="s">
        <v>3611</v>
      </c>
      <c r="L1250" s="107" t="str">
        <f ca="1">VLOOKUP($K1250,OFFSET([1]character_type_i18n!$A$1,0,0,COUNTA([1]character_type_i18n!$A:$A),MATCH(L$1,[1]character_type_i18n!$1:$1,0)-MATCH($K$1,[1]character_type_i18n!$1:$1,0)+1),MATCH(L$1,[1]character_type_i18n!$1:$1,0)-MATCH($K$1,[1]character_type_i18n!$1:$1,0)+1,FALSE)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50" s="105" t="s">
        <v>1011</v>
      </c>
      <c r="N1250" s="107" t="str">
        <f>VLOOKUP(M1250,[1]character_tribe_i18n!A:C,3,FALSE)</f>
        <v>ヒューマン</v>
      </c>
      <c r="O1250" s="105" t="s">
        <v>1420</v>
      </c>
      <c r="P1250" s="107" t="str">
        <f>VLOOKUP(O1250,[1]character_tribe_i18n!A:C,3,FALSE)</f>
        <v>種族なし</v>
      </c>
      <c r="Q1250" s="110"/>
      <c r="R1250" s="178">
        <v>3</v>
      </c>
      <c r="S1250" s="108" t="s">
        <v>306</v>
      </c>
      <c r="T1250" s="108" t="s">
        <v>307</v>
      </c>
      <c r="U1250" s="108" t="s">
        <v>306</v>
      </c>
      <c r="V1250" s="108" t="s">
        <v>306</v>
      </c>
      <c r="W1250" s="108" t="s">
        <v>306</v>
      </c>
    </row>
    <row r="1251" spans="1:23" ht="21" customHeight="1" x14ac:dyDescent="0.2">
      <c r="A1251" s="187">
        <v>1250</v>
      </c>
      <c r="B1251" s="105" t="s">
        <v>314</v>
      </c>
      <c r="C1251" s="188" t="s">
        <v>3612</v>
      </c>
      <c r="D1251" s="123"/>
      <c r="E1251" s="108"/>
      <c r="F1251" s="114"/>
      <c r="G1251" s="114"/>
      <c r="H1251" s="183" t="s">
        <v>300</v>
      </c>
      <c r="I1251" s="188">
        <v>5</v>
      </c>
      <c r="J1251" s="109" t="s">
        <v>3613</v>
      </c>
      <c r="K1251" s="105" t="s">
        <v>1400</v>
      </c>
      <c r="L1251" s="107" t="str">
        <f ca="1">VLOOKUP($K1251,OFFSET([1]character_type_i18n!$A$1,0,0,COUNTA([1]character_type_i18n!$A:$A),MATCH(L$1,[1]character_type_i18n!$1:$1,0)-MATCH($K$1,[1]character_type_i18n!$1:$1,0)+1),MATCH(L$1,[1]character_type_i18n!$1:$1,0)-MATCH($K$1,[1]character_type_i18n!$1:$1,0)+1,FALSE)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51" s="105" t="s">
        <v>1401</v>
      </c>
      <c r="N1251" s="107" t="str">
        <f>VLOOKUP(M1251,[1]character_tribe_i18n!A:C,3,FALSE)</f>
        <v>ヒューマン</v>
      </c>
      <c r="O1251" s="105" t="s">
        <v>2247</v>
      </c>
      <c r="P1251" s="107" t="str">
        <f>VLOOKUP(O1251,[1]character_tribe_i18n!A:C,3,FALSE)</f>
        <v>サムライ</v>
      </c>
      <c r="Q1251" s="110"/>
      <c r="R1251" s="178">
        <v>3</v>
      </c>
      <c r="S1251" s="108" t="s">
        <v>280</v>
      </c>
      <c r="T1251" s="108" t="s">
        <v>281</v>
      </c>
      <c r="U1251" s="108" t="s">
        <v>280</v>
      </c>
      <c r="V1251" s="108" t="s">
        <v>280</v>
      </c>
      <c r="W1251" s="108" t="s">
        <v>280</v>
      </c>
    </row>
    <row r="1252" spans="1:23" ht="21" customHeight="1" x14ac:dyDescent="0.2">
      <c r="A1252" s="187">
        <v>1251</v>
      </c>
      <c r="B1252" s="105" t="s">
        <v>268</v>
      </c>
      <c r="C1252" s="188" t="s">
        <v>3614</v>
      </c>
      <c r="D1252" s="123"/>
      <c r="E1252" s="108"/>
      <c r="F1252" s="114"/>
      <c r="G1252" s="114"/>
      <c r="H1252" s="183" t="s">
        <v>300</v>
      </c>
      <c r="I1252" s="188">
        <v>6</v>
      </c>
      <c r="J1252" s="109" t="s">
        <v>2000</v>
      </c>
      <c r="K1252" s="105" t="s">
        <v>1005</v>
      </c>
      <c r="L1252" s="107" t="str">
        <f ca="1">VLOOKUP($K1252,OFFSET([1]character_type_i18n!$A$1,0,0,COUNTA([1]character_type_i18n!$A:$A),MATCH(L$1,[1]character_type_i18n!$1:$1,0)-MATCH($K$1,[1]character_type_i18n!$1:$1,0)+1),MATCH(L$1,[1]character_type_i18n!$1:$1,0)-MATCH($K$1,[1]character_type_i18n!$1:$1,0)+1,FALSE)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52" s="105" t="s">
        <v>1394</v>
      </c>
      <c r="N1252" s="107" t="str">
        <f>VLOOKUP(M1252,[1]character_tribe_i18n!A:C,3,FALSE)</f>
        <v>ヒューマン</v>
      </c>
      <c r="O1252" s="105" t="s">
        <v>2245</v>
      </c>
      <c r="P1252" s="107" t="str">
        <f>VLOOKUP(O1252,[1]character_tribe_i18n!A:C,3,FALSE)</f>
        <v>サムライ</v>
      </c>
      <c r="Q1252" s="110"/>
      <c r="R1252" s="178">
        <v>3</v>
      </c>
      <c r="S1252" s="108" t="s">
        <v>306</v>
      </c>
      <c r="T1252" s="108" t="s">
        <v>307</v>
      </c>
      <c r="U1252" s="108" t="s">
        <v>280</v>
      </c>
      <c r="V1252" s="108" t="s">
        <v>280</v>
      </c>
      <c r="W1252" s="108" t="s">
        <v>280</v>
      </c>
    </row>
    <row r="1253" spans="1:23" ht="21" customHeight="1" x14ac:dyDescent="0.2">
      <c r="A1253" s="187">
        <v>1252</v>
      </c>
      <c r="B1253" s="105" t="s">
        <v>314</v>
      </c>
      <c r="C1253" s="188" t="s">
        <v>3615</v>
      </c>
      <c r="D1253" s="123"/>
      <c r="E1253" s="108"/>
      <c r="F1253" s="114"/>
      <c r="G1253" s="114"/>
      <c r="H1253" s="183" t="s">
        <v>295</v>
      </c>
      <c r="I1253" s="188">
        <v>4</v>
      </c>
      <c r="J1253" s="109" t="s">
        <v>3616</v>
      </c>
      <c r="K1253" s="105" t="s">
        <v>2771</v>
      </c>
      <c r="L1253" s="107" t="str">
        <f ca="1">VLOOKUP($K1253,OFFSET([1]character_type_i18n!$A$1,0,0,COUNTA([1]character_type_i18n!$A:$A),MATCH(L$1,[1]character_type_i18n!$1:$1,0)-MATCH($K$1,[1]character_type_i18n!$1:$1,0)+1),MATCH(L$1,[1]character_type_i18n!$1:$1,0)-MATCH($K$1,[1]character_type_i18n!$1:$1,0)+1,FALSE)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53" s="105" t="s">
        <v>1018</v>
      </c>
      <c r="N1253" s="107" t="str">
        <f>VLOOKUP(M1253,[1]character_tribe_i18n!A:C,3,FALSE)</f>
        <v>ゴッド</v>
      </c>
      <c r="O1253" s="105" t="s">
        <v>1423</v>
      </c>
      <c r="P1253" s="107" t="str">
        <f>VLOOKUP(O1253,[1]character_tribe_i18n!A:C,3,FALSE)</f>
        <v>種族なし</v>
      </c>
      <c r="Q1253" s="110"/>
      <c r="R1253" s="178">
        <v>1</v>
      </c>
      <c r="S1253" s="108" t="s">
        <v>306</v>
      </c>
      <c r="T1253" s="108" t="s">
        <v>307</v>
      </c>
      <c r="U1253" s="108" t="s">
        <v>306</v>
      </c>
      <c r="V1253" s="108" t="s">
        <v>306</v>
      </c>
      <c r="W1253" s="108" t="s">
        <v>306</v>
      </c>
    </row>
    <row r="1254" spans="1:23" ht="21" customHeight="1" x14ac:dyDescent="0.2">
      <c r="A1254" s="187">
        <v>1253</v>
      </c>
      <c r="B1254" s="105" t="s">
        <v>314</v>
      </c>
      <c r="C1254" s="188" t="s">
        <v>3617</v>
      </c>
      <c r="D1254" s="123"/>
      <c r="E1254" s="108"/>
      <c r="F1254" s="114"/>
      <c r="G1254" s="114"/>
      <c r="H1254" s="183" t="s">
        <v>295</v>
      </c>
      <c r="I1254" s="188">
        <v>5</v>
      </c>
      <c r="J1254" s="109" t="s">
        <v>3616</v>
      </c>
      <c r="K1254" s="105" t="s">
        <v>2771</v>
      </c>
      <c r="L1254" s="107" t="str">
        <f ca="1">VLOOKUP($K1254,OFFSET([1]character_type_i18n!$A$1,0,0,COUNTA([1]character_type_i18n!$A:$A),MATCH(L$1,[1]character_type_i18n!$1:$1,0)-MATCH($K$1,[1]character_type_i18n!$1:$1,0)+1),MATCH(L$1,[1]character_type_i18n!$1:$1,0)-MATCH($K$1,[1]character_type_i18n!$1:$1,0)+1,FALSE)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54" s="105" t="s">
        <v>1018</v>
      </c>
      <c r="N1254" s="107" t="str">
        <f>VLOOKUP(M1254,[1]character_tribe_i18n!A:C,3,FALSE)</f>
        <v>ゴッド</v>
      </c>
      <c r="O1254" s="105" t="s">
        <v>1423</v>
      </c>
      <c r="P1254" s="107" t="str">
        <f>VLOOKUP(O1254,[1]character_tribe_i18n!A:C,3,FALSE)</f>
        <v>種族なし</v>
      </c>
      <c r="Q1254" s="110"/>
      <c r="R1254" s="178">
        <v>1</v>
      </c>
      <c r="S1254" s="108" t="s">
        <v>306</v>
      </c>
      <c r="T1254" s="108" t="s">
        <v>307</v>
      </c>
      <c r="U1254" s="108" t="s">
        <v>306</v>
      </c>
      <c r="V1254" s="108" t="s">
        <v>306</v>
      </c>
      <c r="W1254" s="108" t="s">
        <v>306</v>
      </c>
    </row>
    <row r="1255" spans="1:23" ht="21" customHeight="1" x14ac:dyDescent="0.2">
      <c r="A1255" s="187">
        <v>1254</v>
      </c>
      <c r="B1255" s="105" t="s">
        <v>314</v>
      </c>
      <c r="C1255" s="188" t="s">
        <v>3618</v>
      </c>
      <c r="D1255" s="123"/>
      <c r="E1255" s="108"/>
      <c r="F1255" s="114"/>
      <c r="G1255" s="114"/>
      <c r="H1255" s="183" t="s">
        <v>285</v>
      </c>
      <c r="I1255" s="188">
        <v>5</v>
      </c>
      <c r="J1255" s="109" t="s">
        <v>1399</v>
      </c>
      <c r="K1255" s="105" t="s">
        <v>2771</v>
      </c>
      <c r="L1255" s="107" t="str">
        <f ca="1">VLOOKUP($K1255,OFFSET([1]character_type_i18n!$A$1,0,0,COUNTA([1]character_type_i18n!$A:$A),MATCH(L$1,[1]character_type_i18n!$1:$1,0)-MATCH($K$1,[1]character_type_i18n!$1:$1,0)+1),MATCH(L$1,[1]character_type_i18n!$1:$1,0)-MATCH($K$1,[1]character_type_i18n!$1:$1,0)+1,FALSE)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55" s="105" t="s">
        <v>1164</v>
      </c>
      <c r="N1255" s="107" t="str">
        <f>VLOOKUP(M1255,[1]character_tribe_i18n!A:C,3,FALSE)</f>
        <v>Unknown</v>
      </c>
      <c r="O1255" s="105" t="s">
        <v>3488</v>
      </c>
      <c r="P1255" s="107" t="str">
        <f>VLOOKUP(O1255,[1]character_tribe_i18n!A:C,3,FALSE)</f>
        <v>デーモン</v>
      </c>
      <c r="Q1255" s="110"/>
      <c r="R1255" s="178">
        <v>1</v>
      </c>
      <c r="S1255" s="108" t="s">
        <v>306</v>
      </c>
      <c r="T1255" s="108" t="s">
        <v>307</v>
      </c>
      <c r="U1255" s="108" t="s">
        <v>306</v>
      </c>
      <c r="V1255" s="108" t="s">
        <v>306</v>
      </c>
      <c r="W1255" s="108" t="s">
        <v>306</v>
      </c>
    </row>
    <row r="1256" spans="1:23" ht="21" customHeight="1" x14ac:dyDescent="0.2">
      <c r="A1256" s="187">
        <v>1255</v>
      </c>
      <c r="B1256" s="105" t="s">
        <v>314</v>
      </c>
      <c r="C1256" s="188" t="s">
        <v>3619</v>
      </c>
      <c r="D1256" s="123"/>
      <c r="E1256" s="108"/>
      <c r="F1256" s="114"/>
      <c r="G1256" s="114"/>
      <c r="H1256" s="183" t="s">
        <v>285</v>
      </c>
      <c r="I1256" s="188">
        <v>6</v>
      </c>
      <c r="J1256" s="109" t="s">
        <v>1399</v>
      </c>
      <c r="K1256" s="105" t="s">
        <v>2771</v>
      </c>
      <c r="L1256" s="107" t="str">
        <f ca="1">VLOOKUP($K1256,OFFSET([1]character_type_i18n!$A$1,0,0,COUNTA([1]character_type_i18n!$A:$A),MATCH(L$1,[1]character_type_i18n!$1:$1,0)-MATCH($K$1,[1]character_type_i18n!$1:$1,0)+1),MATCH(L$1,[1]character_type_i18n!$1:$1,0)-MATCH($K$1,[1]character_type_i18n!$1:$1,0)+1,FALSE)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56" s="105" t="s">
        <v>1164</v>
      </c>
      <c r="N1256" s="107" t="str">
        <f>VLOOKUP(M1256,[1]character_tribe_i18n!A:C,3,FALSE)</f>
        <v>Unknown</v>
      </c>
      <c r="O1256" s="105" t="s">
        <v>3488</v>
      </c>
      <c r="P1256" s="107" t="str">
        <f>VLOOKUP(O1256,[1]character_tribe_i18n!A:C,3,FALSE)</f>
        <v>デーモン</v>
      </c>
      <c r="Q1256" s="110"/>
      <c r="R1256" s="178">
        <v>1</v>
      </c>
      <c r="S1256" s="108" t="s">
        <v>306</v>
      </c>
      <c r="T1256" s="108" t="s">
        <v>307</v>
      </c>
      <c r="U1256" s="108" t="s">
        <v>306</v>
      </c>
      <c r="V1256" s="108" t="s">
        <v>306</v>
      </c>
      <c r="W1256" s="108" t="s">
        <v>306</v>
      </c>
    </row>
    <row r="1257" spans="1:23" ht="21" customHeight="1" x14ac:dyDescent="0.2">
      <c r="A1257" s="187">
        <v>1256</v>
      </c>
      <c r="B1257" s="105" t="s">
        <v>314</v>
      </c>
      <c r="C1257" s="188" t="s">
        <v>3620</v>
      </c>
      <c r="D1257" s="123"/>
      <c r="E1257" s="108"/>
      <c r="F1257" s="114"/>
      <c r="G1257" s="114"/>
      <c r="H1257" s="183" t="s">
        <v>300</v>
      </c>
      <c r="I1257" s="188">
        <v>5</v>
      </c>
      <c r="J1257" s="109" t="s">
        <v>1399</v>
      </c>
      <c r="K1257" s="105" t="s">
        <v>1948</v>
      </c>
      <c r="L1257" s="107" t="str">
        <f ca="1">VLOOKUP($K1257,OFFSET([1]character_type_i18n!$A$1,0,0,COUNTA([1]character_type_i18n!$A:$A),MATCH(L$1,[1]character_type_i18n!$1:$1,0)-MATCH($K$1,[1]character_type_i18n!$1:$1,0)+1),MATCH(L$1,[1]character_type_i18n!$1:$1,0)-MATCH($K$1,[1]character_type_i18n!$1:$1,0)+1,FALSE)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57" s="105" t="s">
        <v>1018</v>
      </c>
      <c r="N1257" s="107" t="str">
        <f>VLOOKUP(M1257,[1]character_tribe_i18n!A:C,3,FALSE)</f>
        <v>ゴッド</v>
      </c>
      <c r="O1257" s="105" t="s">
        <v>3488</v>
      </c>
      <c r="P1257" s="107" t="str">
        <f>VLOOKUP(O1257,[1]character_tribe_i18n!A:C,3,FALSE)</f>
        <v>デーモン</v>
      </c>
      <c r="Q1257" s="110"/>
      <c r="R1257" s="178">
        <v>1</v>
      </c>
      <c r="S1257" s="108" t="s">
        <v>306</v>
      </c>
      <c r="T1257" s="108" t="s">
        <v>307</v>
      </c>
      <c r="U1257" s="108" t="s">
        <v>306</v>
      </c>
      <c r="V1257" s="108" t="s">
        <v>306</v>
      </c>
      <c r="W1257" s="108" t="s">
        <v>306</v>
      </c>
    </row>
    <row r="1258" spans="1:23" ht="21" customHeight="1" x14ac:dyDescent="0.2">
      <c r="A1258" s="187">
        <v>1257</v>
      </c>
      <c r="B1258" s="105" t="s">
        <v>314</v>
      </c>
      <c r="C1258" s="188" t="s">
        <v>3621</v>
      </c>
      <c r="D1258" s="123"/>
      <c r="E1258" s="108"/>
      <c r="F1258" s="114"/>
      <c r="G1258" s="114"/>
      <c r="H1258" s="183" t="s">
        <v>300</v>
      </c>
      <c r="I1258" s="188">
        <v>6</v>
      </c>
      <c r="J1258" s="109" t="s">
        <v>1399</v>
      </c>
      <c r="K1258" s="105" t="s">
        <v>1948</v>
      </c>
      <c r="L1258" s="107" t="str">
        <f ca="1">VLOOKUP($K1258,OFFSET([1]character_type_i18n!$A$1,0,0,COUNTA([1]character_type_i18n!$A:$A),MATCH(L$1,[1]character_type_i18n!$1:$1,0)-MATCH($K$1,[1]character_type_i18n!$1:$1,0)+1),MATCH(L$1,[1]character_type_i18n!$1:$1,0)-MATCH($K$1,[1]character_type_i18n!$1:$1,0)+1,FALSE)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58" s="105" t="s">
        <v>1018</v>
      </c>
      <c r="N1258" s="107" t="str">
        <f>VLOOKUP(M1258,[1]character_tribe_i18n!A:C,3,FALSE)</f>
        <v>ゴッド</v>
      </c>
      <c r="O1258" s="105" t="s">
        <v>3488</v>
      </c>
      <c r="P1258" s="107" t="str">
        <f>VLOOKUP(O1258,[1]character_tribe_i18n!A:C,3,FALSE)</f>
        <v>デーモン</v>
      </c>
      <c r="Q1258" s="110"/>
      <c r="R1258" s="178">
        <v>1</v>
      </c>
      <c r="S1258" s="108" t="s">
        <v>306</v>
      </c>
      <c r="T1258" s="108" t="s">
        <v>307</v>
      </c>
      <c r="U1258" s="108" t="s">
        <v>306</v>
      </c>
      <c r="V1258" s="108" t="s">
        <v>306</v>
      </c>
      <c r="W1258" s="108" t="s">
        <v>306</v>
      </c>
    </row>
    <row r="1259" spans="1:23" ht="21" customHeight="1" x14ac:dyDescent="0.2">
      <c r="A1259" s="187">
        <v>1258</v>
      </c>
      <c r="B1259" s="105" t="s">
        <v>314</v>
      </c>
      <c r="C1259" s="188" t="s">
        <v>3622</v>
      </c>
      <c r="D1259" s="123"/>
      <c r="E1259" s="108"/>
      <c r="F1259" s="114"/>
      <c r="G1259" s="114"/>
      <c r="H1259" s="183" t="s">
        <v>285</v>
      </c>
      <c r="I1259" s="188">
        <v>5</v>
      </c>
      <c r="J1259" s="109" t="s">
        <v>1871</v>
      </c>
      <c r="K1259" s="105" t="s">
        <v>2771</v>
      </c>
      <c r="L1259" s="107" t="str">
        <f ca="1">VLOOKUP($K1259,OFFSET([1]character_type_i18n!$A$1,0,0,COUNTA([1]character_type_i18n!$A:$A),MATCH(L$1,[1]character_type_i18n!$1:$1,0)-MATCH($K$1,[1]character_type_i18n!$1:$1,0)+1),MATCH(L$1,[1]character_type_i18n!$1:$1,0)-MATCH($K$1,[1]character_type_i18n!$1:$1,0)+1,FALSE)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59" s="105" t="s">
        <v>1018</v>
      </c>
      <c r="N1259" s="107" t="str">
        <f>VLOOKUP(M1259,[1]character_tribe_i18n!A:C,3,FALSE)</f>
        <v>ゴッド</v>
      </c>
      <c r="O1259" s="105" t="s">
        <v>3488</v>
      </c>
      <c r="P1259" s="107" t="str">
        <f>VLOOKUP(O1259,[1]character_tribe_i18n!A:C,3,FALSE)</f>
        <v>デーモン</v>
      </c>
      <c r="Q1259" s="110"/>
      <c r="R1259" s="178">
        <v>1</v>
      </c>
      <c r="S1259" s="108" t="s">
        <v>306</v>
      </c>
      <c r="T1259" s="108" t="s">
        <v>307</v>
      </c>
      <c r="U1259" s="108" t="s">
        <v>306</v>
      </c>
      <c r="V1259" s="108" t="s">
        <v>306</v>
      </c>
      <c r="W1259" s="108" t="s">
        <v>306</v>
      </c>
    </row>
    <row r="1260" spans="1:23" ht="21" customHeight="1" x14ac:dyDescent="0.2">
      <c r="A1260" s="187">
        <v>1259</v>
      </c>
      <c r="B1260" s="105" t="s">
        <v>314</v>
      </c>
      <c r="C1260" s="188" t="s">
        <v>3623</v>
      </c>
      <c r="D1260" s="123"/>
      <c r="E1260" s="108"/>
      <c r="F1260" s="114"/>
      <c r="G1260" s="114"/>
      <c r="H1260" s="183" t="s">
        <v>285</v>
      </c>
      <c r="I1260" s="188">
        <v>6</v>
      </c>
      <c r="J1260" s="109" t="s">
        <v>3624</v>
      </c>
      <c r="K1260" s="105" t="s">
        <v>1777</v>
      </c>
      <c r="L1260" s="107" t="str">
        <f ca="1">VLOOKUP($K1260,OFFSET([1]character_type_i18n!$A$1,0,0,COUNTA([1]character_type_i18n!$A:$A),MATCH(L$1,[1]character_type_i18n!$1:$1,0)-MATCH($K$1,[1]character_type_i18n!$1:$1,0)+1),MATCH(L$1,[1]character_type_i18n!$1:$1,0)-MATCH($K$1,[1]character_type_i18n!$1:$1,0)+1,FALSE)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60" s="105" t="s">
        <v>1018</v>
      </c>
      <c r="N1260" s="107" t="str">
        <f>VLOOKUP(M1260,[1]character_tribe_i18n!A:C,3,FALSE)</f>
        <v>ゴッド</v>
      </c>
      <c r="O1260" s="105" t="s">
        <v>3334</v>
      </c>
      <c r="P1260" s="107" t="str">
        <f>VLOOKUP(O1260,[1]character_tribe_i18n!A:C,3,FALSE)</f>
        <v>デーモン</v>
      </c>
      <c r="Q1260" s="110"/>
      <c r="R1260" s="178">
        <v>1</v>
      </c>
      <c r="S1260" s="108" t="s">
        <v>306</v>
      </c>
      <c r="T1260" s="108" t="s">
        <v>307</v>
      </c>
      <c r="U1260" s="108" t="s">
        <v>887</v>
      </c>
      <c r="V1260" s="108" t="s">
        <v>887</v>
      </c>
      <c r="W1260" s="108" t="s">
        <v>887</v>
      </c>
    </row>
    <row r="1261" spans="1:23" ht="21" customHeight="1" x14ac:dyDescent="0.2">
      <c r="A1261" s="187">
        <v>1260</v>
      </c>
      <c r="B1261" s="105" t="s">
        <v>1288</v>
      </c>
      <c r="C1261" s="188" t="s">
        <v>3625</v>
      </c>
      <c r="D1261" s="123"/>
      <c r="E1261" s="108"/>
      <c r="F1261" s="114"/>
      <c r="G1261" s="114"/>
      <c r="H1261" s="183" t="s">
        <v>274</v>
      </c>
      <c r="I1261" s="188">
        <v>5</v>
      </c>
      <c r="J1261" s="109" t="s">
        <v>3626</v>
      </c>
      <c r="K1261" s="105" t="s">
        <v>3627</v>
      </c>
      <c r="L1261" s="107" t="str">
        <f ca="1">VLOOKUP($K1261,OFFSET([1]character_type_i18n!$A$1,0,0,COUNTA([1]character_type_i18n!$A:$A),MATCH(L$1,[1]character_type_i18n!$1:$1,0)-MATCH($K$1,[1]character_type_i18n!$1:$1,0)+1),MATCH(L$1,[1]character_type_i18n!$1:$1,0)-MATCH($K$1,[1]character_type_i18n!$1:$1,0)+1,FALSE)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61" s="105" t="s">
        <v>1945</v>
      </c>
      <c r="N1261" s="107" t="str">
        <f>VLOOKUP(M1261,[1]character_tribe_i18n!A:C,3,FALSE)</f>
        <v>ゴッド</v>
      </c>
      <c r="O1261" s="105" t="s">
        <v>3628</v>
      </c>
      <c r="P1261" s="107" t="str">
        <f>VLOOKUP(O1261,[1]character_tribe_i18n!A:C,3,FALSE)</f>
        <v>種族なし</v>
      </c>
      <c r="Q1261" s="110"/>
      <c r="R1261" s="178">
        <v>1</v>
      </c>
      <c r="S1261" s="108" t="s">
        <v>3629</v>
      </c>
      <c r="T1261" s="108" t="s">
        <v>3630</v>
      </c>
      <c r="U1261" s="108" t="s">
        <v>3629</v>
      </c>
      <c r="V1261" s="108" t="s">
        <v>3629</v>
      </c>
      <c r="W1261" s="108" t="s">
        <v>3629</v>
      </c>
    </row>
    <row r="1262" spans="1:23" ht="21" customHeight="1" x14ac:dyDescent="0.2">
      <c r="A1262" s="187">
        <v>1261</v>
      </c>
      <c r="B1262" s="105" t="s">
        <v>3631</v>
      </c>
      <c r="C1262" s="188" t="s">
        <v>3632</v>
      </c>
      <c r="D1262" s="123"/>
      <c r="E1262" s="108"/>
      <c r="F1262" s="114"/>
      <c r="G1262" s="114"/>
      <c r="H1262" s="183" t="s">
        <v>274</v>
      </c>
      <c r="I1262" s="188">
        <v>6</v>
      </c>
      <c r="J1262" s="109" t="s">
        <v>3626</v>
      </c>
      <c r="K1262" s="105" t="s">
        <v>3627</v>
      </c>
      <c r="L1262" s="107" t="str">
        <f ca="1">VLOOKUP($K1262,OFFSET([1]character_type_i18n!$A$1,0,0,COUNTA([1]character_type_i18n!$A:$A),MATCH(L$1,[1]character_type_i18n!$1:$1,0)-MATCH($K$1,[1]character_type_i18n!$1:$1,0)+1),MATCH(L$1,[1]character_type_i18n!$1:$1,0)-MATCH($K$1,[1]character_type_i18n!$1:$1,0)+1,FALSE)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62" s="105" t="s">
        <v>2427</v>
      </c>
      <c r="N1262" s="107" t="str">
        <f>VLOOKUP(M1262,[1]character_tribe_i18n!A:C,3,FALSE)</f>
        <v>ゴッド</v>
      </c>
      <c r="O1262" s="105" t="s">
        <v>1423</v>
      </c>
      <c r="P1262" s="107" t="str">
        <f>VLOOKUP(O1262,[1]character_tribe_i18n!A:C,3,FALSE)</f>
        <v>種族なし</v>
      </c>
      <c r="Q1262" s="110"/>
      <c r="R1262" s="178">
        <v>1</v>
      </c>
      <c r="S1262" s="108" t="s">
        <v>280</v>
      </c>
      <c r="T1262" s="108" t="s">
        <v>281</v>
      </c>
      <c r="U1262" s="108" t="s">
        <v>280</v>
      </c>
      <c r="V1262" s="108" t="s">
        <v>280</v>
      </c>
      <c r="W1262" s="108" t="s">
        <v>280</v>
      </c>
    </row>
    <row r="1263" spans="1:23" ht="21" customHeight="1" x14ac:dyDescent="0.2">
      <c r="A1263" s="187">
        <v>1262</v>
      </c>
      <c r="B1263" s="105" t="s">
        <v>268</v>
      </c>
      <c r="C1263" s="188" t="s">
        <v>3633</v>
      </c>
      <c r="D1263" s="123"/>
      <c r="E1263" s="108"/>
      <c r="F1263" s="114"/>
      <c r="G1263" s="114"/>
      <c r="H1263" s="183" t="s">
        <v>285</v>
      </c>
      <c r="I1263" s="188">
        <v>5</v>
      </c>
      <c r="J1263" s="109" t="s">
        <v>2000</v>
      </c>
      <c r="K1263" s="105" t="s">
        <v>989</v>
      </c>
      <c r="L1263" s="107" t="str">
        <f ca="1">VLOOKUP($K1263,OFFSET([1]character_type_i18n!$A$1,0,0,COUNTA([1]character_type_i18n!$A:$A),MATCH(L$1,[1]character_type_i18n!$1:$1,0)-MATCH($K$1,[1]character_type_i18n!$1:$1,0)+1),MATCH(L$1,[1]character_type_i18n!$1:$1,0)-MATCH($K$1,[1]character_type_i18n!$1:$1,0)+1,FALSE)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63" s="105" t="s">
        <v>3405</v>
      </c>
      <c r="N1263" s="107" t="str">
        <f>VLOOKUP(M1263,[1]character_tribe_i18n!A:C,3,FALSE)</f>
        <v>デーモン</v>
      </c>
      <c r="O1263" s="105" t="s">
        <v>1423</v>
      </c>
      <c r="P1263" s="107" t="str">
        <f>VLOOKUP(O1263,[1]character_tribe_i18n!A:C,3,FALSE)</f>
        <v>種族なし</v>
      </c>
      <c r="Q1263" s="110"/>
      <c r="R1263" s="178">
        <v>1</v>
      </c>
      <c r="S1263" s="108" t="s">
        <v>771</v>
      </c>
      <c r="T1263" s="108" t="s">
        <v>800</v>
      </c>
      <c r="U1263" s="108" t="s">
        <v>887</v>
      </c>
      <c r="V1263" s="108" t="s">
        <v>887</v>
      </c>
      <c r="W1263" s="108" t="s">
        <v>887</v>
      </c>
    </row>
    <row r="1264" spans="1:23" ht="21" customHeight="1" x14ac:dyDescent="0.2">
      <c r="A1264" s="187">
        <v>1263</v>
      </c>
      <c r="B1264" s="105" t="s">
        <v>314</v>
      </c>
      <c r="C1264" s="188" t="s">
        <v>3634</v>
      </c>
      <c r="D1264" s="123"/>
      <c r="E1264" s="108"/>
      <c r="F1264" s="114"/>
      <c r="G1264" s="114"/>
      <c r="H1264" s="183" t="s">
        <v>285</v>
      </c>
      <c r="I1264" s="188">
        <v>6</v>
      </c>
      <c r="J1264" s="109" t="s">
        <v>3613</v>
      </c>
      <c r="K1264" s="105" t="s">
        <v>1948</v>
      </c>
      <c r="L1264" s="107" t="str">
        <f ca="1">VLOOKUP($K1264,OFFSET([1]character_type_i18n!$A$1,0,0,COUNTA([1]character_type_i18n!$A:$A),MATCH(L$1,[1]character_type_i18n!$1:$1,0)-MATCH($K$1,[1]character_type_i18n!$1:$1,0)+1),MATCH(L$1,[1]character_type_i18n!$1:$1,0)-MATCH($K$1,[1]character_type_i18n!$1:$1,0)+1,FALSE)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64" s="105" t="s">
        <v>3488</v>
      </c>
      <c r="N1264" s="107" t="str">
        <f>VLOOKUP(M1264,[1]character_tribe_i18n!A:C,3,FALSE)</f>
        <v>デーモン</v>
      </c>
      <c r="O1264" s="105" t="s">
        <v>1423</v>
      </c>
      <c r="P1264" s="107" t="str">
        <f>VLOOKUP(O1264,[1]character_tribe_i18n!A:C,3,FALSE)</f>
        <v>種族なし</v>
      </c>
      <c r="Q1264" s="110"/>
      <c r="R1264" s="178">
        <v>1</v>
      </c>
      <c r="S1264" s="108" t="s">
        <v>306</v>
      </c>
      <c r="T1264" s="108" t="s">
        <v>307</v>
      </c>
      <c r="U1264" s="108" t="s">
        <v>306</v>
      </c>
      <c r="V1264" s="108" t="s">
        <v>306</v>
      </c>
      <c r="W1264" s="108" t="s">
        <v>306</v>
      </c>
    </row>
    <row r="1265" spans="1:23" ht="21" customHeight="1" x14ac:dyDescent="0.2">
      <c r="A1265" s="187">
        <v>1264</v>
      </c>
      <c r="B1265" s="105" t="s">
        <v>314</v>
      </c>
      <c r="C1265" s="188" t="s">
        <v>3635</v>
      </c>
      <c r="D1265" s="123"/>
      <c r="E1265" s="108"/>
      <c r="F1265" s="114"/>
      <c r="G1265" s="114"/>
      <c r="H1265" s="183" t="s">
        <v>295</v>
      </c>
      <c r="I1265" s="188">
        <v>5</v>
      </c>
      <c r="J1265" s="109" t="s">
        <v>1582</v>
      </c>
      <c r="K1265" s="105" t="s">
        <v>1948</v>
      </c>
      <c r="L1265" s="107" t="str">
        <f ca="1">VLOOKUP($K1265,OFFSET([1]character_type_i18n!$A$1,0,0,COUNTA([1]character_type_i18n!$A:$A),MATCH(L$1,[1]character_type_i18n!$1:$1,0)-MATCH($K$1,[1]character_type_i18n!$1:$1,0)+1),MATCH(L$1,[1]character_type_i18n!$1:$1,0)-MATCH($K$1,[1]character_type_i18n!$1:$1,0)+1,FALSE)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65" s="105" t="s">
        <v>1018</v>
      </c>
      <c r="N1265" s="107" t="str">
        <f>VLOOKUP(M1265,[1]character_tribe_i18n!A:C,3,FALSE)</f>
        <v>ゴッド</v>
      </c>
      <c r="O1265" s="105" t="s">
        <v>1423</v>
      </c>
      <c r="P1265" s="107" t="str">
        <f>VLOOKUP(O1265,[1]character_tribe_i18n!A:C,3,FALSE)</f>
        <v>種族なし</v>
      </c>
      <c r="Q1265" s="110"/>
      <c r="R1265" s="178">
        <v>1</v>
      </c>
      <c r="S1265" s="108" t="s">
        <v>306</v>
      </c>
      <c r="T1265" s="108" t="s">
        <v>307</v>
      </c>
      <c r="U1265" s="108" t="s">
        <v>306</v>
      </c>
      <c r="V1265" s="108" t="s">
        <v>306</v>
      </c>
      <c r="W1265" s="108" t="s">
        <v>306</v>
      </c>
    </row>
    <row r="1266" spans="1:23" ht="21" customHeight="1" x14ac:dyDescent="0.2">
      <c r="A1266" s="187">
        <v>1265</v>
      </c>
      <c r="B1266" s="105" t="s">
        <v>314</v>
      </c>
      <c r="C1266" s="188" t="s">
        <v>3636</v>
      </c>
      <c r="D1266" s="123"/>
      <c r="E1266" s="108"/>
      <c r="F1266" s="114"/>
      <c r="G1266" s="114"/>
      <c r="H1266" s="183" t="s">
        <v>295</v>
      </c>
      <c r="I1266" s="188">
        <v>6</v>
      </c>
      <c r="J1266" s="109" t="s">
        <v>1582</v>
      </c>
      <c r="K1266" s="105" t="s">
        <v>1948</v>
      </c>
      <c r="L1266" s="107" t="str">
        <f ca="1">VLOOKUP($K1266,OFFSET([1]character_type_i18n!$A$1,0,0,COUNTA([1]character_type_i18n!$A:$A),MATCH(L$1,[1]character_type_i18n!$1:$1,0)-MATCH($K$1,[1]character_type_i18n!$1:$1,0)+1),MATCH(L$1,[1]character_type_i18n!$1:$1,0)-MATCH($K$1,[1]character_type_i18n!$1:$1,0)+1,FALSE)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66" s="105" t="s">
        <v>1018</v>
      </c>
      <c r="N1266" s="107" t="str">
        <f>VLOOKUP(M1266,[1]character_tribe_i18n!A:C,3,FALSE)</f>
        <v>ゴッド</v>
      </c>
      <c r="O1266" s="105" t="s">
        <v>1423</v>
      </c>
      <c r="P1266" s="107" t="str">
        <f>VLOOKUP(O1266,[1]character_tribe_i18n!A:C,3,FALSE)</f>
        <v>種族なし</v>
      </c>
      <c r="Q1266" s="110"/>
      <c r="R1266" s="178">
        <v>1</v>
      </c>
      <c r="S1266" s="108" t="s">
        <v>306</v>
      </c>
      <c r="T1266" s="108" t="s">
        <v>307</v>
      </c>
      <c r="U1266" s="108" t="s">
        <v>306</v>
      </c>
      <c r="V1266" s="108" t="s">
        <v>306</v>
      </c>
      <c r="W1266" s="108" t="s">
        <v>306</v>
      </c>
    </row>
    <row r="1267" spans="1:23" ht="21" customHeight="1" x14ac:dyDescent="0.2">
      <c r="A1267" s="187">
        <v>1266</v>
      </c>
      <c r="B1267" s="105" t="s">
        <v>314</v>
      </c>
      <c r="C1267" s="188" t="s">
        <v>3637</v>
      </c>
      <c r="D1267" s="123"/>
      <c r="E1267" s="108"/>
      <c r="F1267" s="114"/>
      <c r="G1267" s="114"/>
      <c r="H1267" s="183" t="s">
        <v>300</v>
      </c>
      <c r="I1267" s="188">
        <v>4</v>
      </c>
      <c r="J1267" s="109" t="s">
        <v>3574</v>
      </c>
      <c r="K1267" s="105" t="s">
        <v>1584</v>
      </c>
      <c r="L1267" s="107" t="str">
        <f ca="1">VLOOKUP($K1267,OFFSET([1]character_type_i18n!$A$1,0,0,COUNTA([1]character_type_i18n!$A:$A),MATCH(L$1,[1]character_type_i18n!$1:$1,0)-MATCH($K$1,[1]character_type_i18n!$1:$1,0)+1),MATCH(L$1,[1]character_type_i18n!$1:$1,0)-MATCH($K$1,[1]character_type_i18n!$1:$1,0)+1,FALSE)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67" s="105" t="s">
        <v>1018</v>
      </c>
      <c r="N1267" s="107" t="str">
        <f>VLOOKUP(M1267,[1]character_tribe_i18n!A:C,3,FALSE)</f>
        <v>ゴッド</v>
      </c>
      <c r="O1267" s="105" t="s">
        <v>313</v>
      </c>
      <c r="P1267" s="107" t="str">
        <f>VLOOKUP(O1267,[1]character_tribe_i18n!A:C,3,FALSE)</f>
        <v>アニマル</v>
      </c>
      <c r="Q1267" s="110"/>
      <c r="R1267" s="178">
        <v>1</v>
      </c>
      <c r="S1267" s="108" t="s">
        <v>306</v>
      </c>
      <c r="T1267" s="108" t="s">
        <v>307</v>
      </c>
      <c r="U1267" s="108" t="s">
        <v>306</v>
      </c>
      <c r="V1267" s="108" t="s">
        <v>306</v>
      </c>
      <c r="W1267" s="108" t="s">
        <v>306</v>
      </c>
    </row>
    <row r="1268" spans="1:23" ht="21" customHeight="1" x14ac:dyDescent="0.2">
      <c r="A1268" s="187">
        <v>1267</v>
      </c>
      <c r="B1268" s="105" t="s">
        <v>314</v>
      </c>
      <c r="C1268" s="188" t="s">
        <v>3638</v>
      </c>
      <c r="D1268" s="123"/>
      <c r="E1268" s="108"/>
      <c r="F1268" s="114"/>
      <c r="G1268" s="114"/>
      <c r="H1268" s="183" t="s">
        <v>300</v>
      </c>
      <c r="I1268" s="188">
        <v>5</v>
      </c>
      <c r="J1268" s="109" t="s">
        <v>3574</v>
      </c>
      <c r="K1268" s="105" t="s">
        <v>1584</v>
      </c>
      <c r="L1268" s="107" t="str">
        <f ca="1">VLOOKUP($K1268,OFFSET([1]character_type_i18n!$A$1,0,0,COUNTA([1]character_type_i18n!$A:$A),MATCH(L$1,[1]character_type_i18n!$1:$1,0)-MATCH($K$1,[1]character_type_i18n!$1:$1,0)+1),MATCH(L$1,[1]character_type_i18n!$1:$1,0)-MATCH($K$1,[1]character_type_i18n!$1:$1,0)+1,FALSE)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68" s="105" t="s">
        <v>1018</v>
      </c>
      <c r="N1268" s="107" t="str">
        <f>VLOOKUP(M1268,[1]character_tribe_i18n!A:C,3,FALSE)</f>
        <v>ゴッド</v>
      </c>
      <c r="O1268" s="105" t="s">
        <v>1172</v>
      </c>
      <c r="P1268" s="107" t="str">
        <f>VLOOKUP(O1268,[1]character_tribe_i18n!A:C,3,FALSE)</f>
        <v>アニマル</v>
      </c>
      <c r="Q1268" s="110"/>
      <c r="R1268" s="178">
        <v>1</v>
      </c>
      <c r="S1268" s="108" t="s">
        <v>306</v>
      </c>
      <c r="T1268" s="108" t="s">
        <v>307</v>
      </c>
      <c r="U1268" s="108" t="s">
        <v>306</v>
      </c>
      <c r="V1268" s="108" t="s">
        <v>306</v>
      </c>
      <c r="W1268" s="108" t="s">
        <v>306</v>
      </c>
    </row>
    <row r="1269" spans="1:23" ht="21" customHeight="1" x14ac:dyDescent="0.2">
      <c r="A1269" s="187">
        <v>1268</v>
      </c>
      <c r="B1269" s="105" t="s">
        <v>314</v>
      </c>
      <c r="C1269" s="189" t="s">
        <v>3264</v>
      </c>
      <c r="D1269" s="123"/>
      <c r="E1269" s="108"/>
      <c r="F1269" s="114"/>
      <c r="G1269" s="114"/>
      <c r="H1269" s="183" t="s">
        <v>274</v>
      </c>
      <c r="I1269" s="188">
        <v>6</v>
      </c>
      <c r="J1269" s="109" t="s">
        <v>3639</v>
      </c>
      <c r="K1269" s="105" t="s">
        <v>1400</v>
      </c>
      <c r="L1269" s="107" t="str">
        <f ca="1">VLOOKUP($K1269,OFFSET([1]character_type_i18n!$A$1,0,0,COUNTA([1]character_type_i18n!$A:$A),MATCH(L$1,[1]character_type_i18n!$1:$1,0)-MATCH($K$1,[1]character_type_i18n!$1:$1,0)+1),MATCH(L$1,[1]character_type_i18n!$1:$1,0)-MATCH($K$1,[1]character_type_i18n!$1:$1,0)+1,FALSE)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69" s="105" t="s">
        <v>3640</v>
      </c>
      <c r="N1269" s="107" t="str">
        <f>VLOOKUP(M1269,[1]character_tribe_i18n!A:C,3,FALSE)</f>
        <v>QUEEN</v>
      </c>
      <c r="O1269" s="105" t="s">
        <v>1423</v>
      </c>
      <c r="P1269" s="107" t="str">
        <f>VLOOKUP(O1269,[1]character_tribe_i18n!A:C,3,FALSE)</f>
        <v>種族なし</v>
      </c>
      <c r="Q1269" s="110"/>
      <c r="R1269" s="178">
        <v>1</v>
      </c>
      <c r="S1269" s="108" t="s">
        <v>306</v>
      </c>
      <c r="T1269" s="108" t="s">
        <v>307</v>
      </c>
      <c r="U1269" s="108" t="s">
        <v>306</v>
      </c>
      <c r="V1269" s="108" t="s">
        <v>306</v>
      </c>
      <c r="W1269" s="108" t="s">
        <v>306</v>
      </c>
    </row>
    <row r="1270" spans="1:23" ht="21" customHeight="1" x14ac:dyDescent="0.2">
      <c r="A1270" s="187">
        <v>1269</v>
      </c>
      <c r="B1270" s="105" t="s">
        <v>314</v>
      </c>
      <c r="C1270" s="189" t="s">
        <v>3264</v>
      </c>
      <c r="D1270" s="123"/>
      <c r="E1270" s="108"/>
      <c r="F1270" s="114"/>
      <c r="G1270" s="114"/>
      <c r="H1270" s="183" t="s">
        <v>274</v>
      </c>
      <c r="I1270" s="188">
        <v>6</v>
      </c>
      <c r="J1270" s="109" t="s">
        <v>3639</v>
      </c>
      <c r="K1270" s="105" t="s">
        <v>1400</v>
      </c>
      <c r="L1270" s="107" t="str">
        <f ca="1">VLOOKUP($K1270,OFFSET([1]character_type_i18n!$A$1,0,0,COUNTA([1]character_type_i18n!$A:$A),MATCH(L$1,[1]character_type_i18n!$1:$1,0)-MATCH($K$1,[1]character_type_i18n!$1:$1,0)+1),MATCH(L$1,[1]character_type_i18n!$1:$1,0)-MATCH($K$1,[1]character_type_i18n!$1:$1,0)+1,FALSE)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0" s="105" t="s">
        <v>3641</v>
      </c>
      <c r="N1270" s="107" t="str">
        <f>VLOOKUP(M1270,[1]character_tribe_i18n!A:C,3,FALSE)</f>
        <v>QUEEN</v>
      </c>
      <c r="O1270" s="105" t="s">
        <v>1423</v>
      </c>
      <c r="P1270" s="107" t="str">
        <f>VLOOKUP(O1270,[1]character_tribe_i18n!A:C,3,FALSE)</f>
        <v>種族なし</v>
      </c>
      <c r="Q1270" s="110"/>
      <c r="R1270" s="178">
        <v>1</v>
      </c>
      <c r="S1270" s="108" t="s">
        <v>306</v>
      </c>
      <c r="T1270" s="108" t="s">
        <v>307</v>
      </c>
      <c r="U1270" s="108" t="s">
        <v>306</v>
      </c>
      <c r="V1270" s="108" t="s">
        <v>306</v>
      </c>
      <c r="W1270" s="108" t="s">
        <v>306</v>
      </c>
    </row>
    <row r="1271" spans="1:23" ht="21" customHeight="1" x14ac:dyDescent="0.2">
      <c r="A1271" s="187">
        <v>1270</v>
      </c>
      <c r="B1271" s="105" t="s">
        <v>314</v>
      </c>
      <c r="C1271" s="189" t="s">
        <v>3642</v>
      </c>
      <c r="D1271" s="123"/>
      <c r="E1271" s="108"/>
      <c r="F1271" s="114"/>
      <c r="G1271" s="114"/>
      <c r="H1271" s="183" t="s">
        <v>274</v>
      </c>
      <c r="I1271" s="188">
        <v>6</v>
      </c>
      <c r="J1271" s="109" t="s">
        <v>3639</v>
      </c>
      <c r="K1271" s="105" t="s">
        <v>1400</v>
      </c>
      <c r="L1271" s="107" t="str">
        <f ca="1">VLOOKUP($K1271,OFFSET([1]character_type_i18n!$A$1,0,0,COUNTA([1]character_type_i18n!$A:$A),MATCH(L$1,[1]character_type_i18n!$1:$1,0)-MATCH($K$1,[1]character_type_i18n!$1:$1,0)+1),MATCH(L$1,[1]character_type_i18n!$1:$1,0)-MATCH($K$1,[1]character_type_i18n!$1:$1,0)+1,FALSE)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1" s="105" t="s">
        <v>3641</v>
      </c>
      <c r="N1271" s="107" t="str">
        <f>VLOOKUP(M1271,[1]character_tribe_i18n!A:C,3,FALSE)</f>
        <v>QUEEN</v>
      </c>
      <c r="O1271" s="105" t="s">
        <v>1423</v>
      </c>
      <c r="P1271" s="107" t="str">
        <f>VLOOKUP(O1271,[1]character_tribe_i18n!A:C,3,FALSE)</f>
        <v>種族なし</v>
      </c>
      <c r="Q1271" s="110"/>
      <c r="R1271" s="178">
        <v>1</v>
      </c>
      <c r="S1271" s="108" t="s">
        <v>306</v>
      </c>
      <c r="T1271" s="108" t="s">
        <v>3643</v>
      </c>
      <c r="U1271" s="108" t="s">
        <v>306</v>
      </c>
      <c r="V1271" s="108" t="s">
        <v>306</v>
      </c>
      <c r="W1271" s="108" t="s">
        <v>306</v>
      </c>
    </row>
    <row r="1272" spans="1:23" ht="21" customHeight="1" x14ac:dyDescent="0.2">
      <c r="A1272" s="187">
        <v>1271</v>
      </c>
      <c r="B1272" s="105" t="s">
        <v>314</v>
      </c>
      <c r="C1272" s="188" t="s">
        <v>3644</v>
      </c>
      <c r="D1272" s="123"/>
      <c r="E1272" s="108"/>
      <c r="F1272" s="114"/>
      <c r="G1272" s="114"/>
      <c r="H1272" s="183" t="s">
        <v>295</v>
      </c>
      <c r="I1272" s="188">
        <v>6</v>
      </c>
      <c r="J1272" s="109" t="s">
        <v>1582</v>
      </c>
      <c r="K1272" s="105" t="s">
        <v>1400</v>
      </c>
      <c r="L1272" s="107" t="str">
        <f ca="1">VLOOKUP($K1272,OFFSET([1]character_type_i18n!$A$1,0,0,COUNTA([1]character_type_i18n!$A:$A),MATCH(L$1,[1]character_type_i18n!$1:$1,0)-MATCH($K$1,[1]character_type_i18n!$1:$1,0)+1),MATCH(L$1,[1]character_type_i18n!$1:$1,0)-MATCH($K$1,[1]character_type_i18n!$1:$1,0)+1,FALSE)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2" s="105" t="s">
        <v>1011</v>
      </c>
      <c r="N1272" s="107" t="str">
        <f>VLOOKUP(M1272,[1]character_tribe_i18n!A:C,3,FALSE)</f>
        <v>ヒューマン</v>
      </c>
      <c r="O1272" s="105" t="s">
        <v>2245</v>
      </c>
      <c r="P1272" s="107" t="str">
        <f>VLOOKUP(O1272,[1]character_tribe_i18n!A:C,3,FALSE)</f>
        <v>サムライ</v>
      </c>
      <c r="Q1272" s="110"/>
      <c r="R1272" s="178">
        <v>1</v>
      </c>
      <c r="S1272" s="108" t="s">
        <v>306</v>
      </c>
      <c r="T1272" s="108" t="s">
        <v>307</v>
      </c>
      <c r="U1272" s="108" t="s">
        <v>306</v>
      </c>
      <c r="V1272" s="108" t="s">
        <v>306</v>
      </c>
      <c r="W1272" s="108" t="s">
        <v>306</v>
      </c>
    </row>
    <row r="1273" spans="1:23" ht="21" customHeight="1" x14ac:dyDescent="0.2">
      <c r="A1273" s="187">
        <v>1272</v>
      </c>
      <c r="B1273" s="105" t="s">
        <v>314</v>
      </c>
      <c r="C1273" s="188" t="s">
        <v>3645</v>
      </c>
      <c r="D1273" s="123"/>
      <c r="E1273" s="108"/>
      <c r="F1273" s="114"/>
      <c r="G1273" s="114"/>
      <c r="H1273" s="183" t="s">
        <v>274</v>
      </c>
      <c r="I1273" s="188">
        <v>6</v>
      </c>
      <c r="J1273" s="109" t="s">
        <v>1582</v>
      </c>
      <c r="K1273" s="105" t="s">
        <v>1400</v>
      </c>
      <c r="L1273" s="107" t="str">
        <f ca="1">VLOOKUP($K1273,OFFSET([1]character_type_i18n!$A$1,0,0,COUNTA([1]character_type_i18n!$A:$A),MATCH(L$1,[1]character_type_i18n!$1:$1,0)-MATCH($K$1,[1]character_type_i18n!$1:$1,0)+1),MATCH(L$1,[1]character_type_i18n!$1:$1,0)-MATCH($K$1,[1]character_type_i18n!$1:$1,0)+1,FALSE)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3" s="105" t="s">
        <v>1011</v>
      </c>
      <c r="N1273" s="107" t="str">
        <f>VLOOKUP(M1273,[1]character_tribe_i18n!A:C,3,FALSE)</f>
        <v>ヒューマン</v>
      </c>
      <c r="O1273" s="105" t="s">
        <v>1017</v>
      </c>
      <c r="P1273" s="107" t="str">
        <f>VLOOKUP(O1273,[1]character_tribe_i18n!A:C,3,FALSE)</f>
        <v>マシン</v>
      </c>
      <c r="Q1273" s="110"/>
      <c r="R1273" s="178">
        <v>1</v>
      </c>
      <c r="S1273" s="108" t="s">
        <v>306</v>
      </c>
      <c r="T1273" s="108" t="s">
        <v>307</v>
      </c>
      <c r="U1273" s="108" t="s">
        <v>306</v>
      </c>
      <c r="V1273" s="108" t="s">
        <v>306</v>
      </c>
      <c r="W1273" s="108" t="s">
        <v>306</v>
      </c>
    </row>
    <row r="1274" spans="1:23" ht="21" customHeight="1" x14ac:dyDescent="0.2">
      <c r="A1274" s="187">
        <v>1273</v>
      </c>
      <c r="B1274" s="105" t="s">
        <v>314</v>
      </c>
      <c r="C1274" s="188" t="s">
        <v>3646</v>
      </c>
      <c r="D1274" s="123"/>
      <c r="E1274" s="108"/>
      <c r="F1274" s="114"/>
      <c r="G1274" s="114"/>
      <c r="H1274" s="183" t="s">
        <v>274</v>
      </c>
      <c r="I1274" s="188">
        <v>6</v>
      </c>
      <c r="J1274" s="109" t="s">
        <v>1871</v>
      </c>
      <c r="K1274" s="105" t="s">
        <v>1400</v>
      </c>
      <c r="L1274" s="107" t="str">
        <f ca="1">VLOOKUP($K1274,OFFSET([1]character_type_i18n!$A$1,0,0,COUNTA([1]character_type_i18n!$A:$A),MATCH(L$1,[1]character_type_i18n!$1:$1,0)-MATCH($K$1,[1]character_type_i18n!$1:$1,0)+1),MATCH(L$1,[1]character_type_i18n!$1:$1,0)-MATCH($K$1,[1]character_type_i18n!$1:$1,0)+1,FALSE)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4" s="105" t="s">
        <v>1011</v>
      </c>
      <c r="N1274" s="107" t="str">
        <f>VLOOKUP(M1274,[1]character_tribe_i18n!A:C,3,FALSE)</f>
        <v>ヒューマン</v>
      </c>
      <c r="O1274" s="105" t="s">
        <v>2245</v>
      </c>
      <c r="P1274" s="107" t="str">
        <f>VLOOKUP(O1274,[1]character_tribe_i18n!A:C,3,FALSE)</f>
        <v>サムライ</v>
      </c>
      <c r="Q1274" s="110"/>
      <c r="R1274" s="178">
        <v>1</v>
      </c>
      <c r="S1274" s="108" t="s">
        <v>306</v>
      </c>
      <c r="T1274" s="108" t="s">
        <v>307</v>
      </c>
      <c r="U1274" s="108" t="s">
        <v>306</v>
      </c>
      <c r="V1274" s="108" t="s">
        <v>306</v>
      </c>
      <c r="W1274" s="108" t="s">
        <v>306</v>
      </c>
    </row>
    <row r="1275" spans="1:23" ht="21" customHeight="1" x14ac:dyDescent="0.2">
      <c r="A1275" s="187">
        <v>1274</v>
      </c>
      <c r="B1275" s="105" t="s">
        <v>314</v>
      </c>
      <c r="C1275" s="188" t="s">
        <v>3647</v>
      </c>
      <c r="D1275" s="123"/>
      <c r="E1275" s="108"/>
      <c r="F1275" s="114"/>
      <c r="G1275" s="114"/>
      <c r="H1275" s="183" t="s">
        <v>295</v>
      </c>
      <c r="I1275" s="188">
        <v>6</v>
      </c>
      <c r="J1275" s="109" t="s">
        <v>1582</v>
      </c>
      <c r="K1275" s="105" t="s">
        <v>1948</v>
      </c>
      <c r="L1275" s="107" t="str">
        <f ca="1">VLOOKUP($K1275,OFFSET([1]character_type_i18n!$A$1,0,0,COUNTA([1]character_type_i18n!$A:$A),MATCH(L$1,[1]character_type_i18n!$1:$1,0)-MATCH($K$1,[1]character_type_i18n!$1:$1,0)+1),MATCH(L$1,[1]character_type_i18n!$1:$1,0)-MATCH($K$1,[1]character_type_i18n!$1:$1,0)+1,FALSE)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75" s="105" t="s">
        <v>1011</v>
      </c>
      <c r="N1275" s="107" t="str">
        <f>VLOOKUP(M1275,[1]character_tribe_i18n!A:C,3,FALSE)</f>
        <v>ヒューマン</v>
      </c>
      <c r="O1275" s="105" t="s">
        <v>1423</v>
      </c>
      <c r="P1275" s="107" t="str">
        <f>VLOOKUP(O1275,[1]character_tribe_i18n!A:C,3,FALSE)</f>
        <v>種族なし</v>
      </c>
      <c r="Q1275" s="110"/>
      <c r="R1275" s="178">
        <v>3</v>
      </c>
      <c r="S1275" s="108" t="s">
        <v>306</v>
      </c>
      <c r="T1275" s="108" t="s">
        <v>307</v>
      </c>
      <c r="U1275" s="108" t="s">
        <v>306</v>
      </c>
      <c r="V1275" s="108" t="s">
        <v>306</v>
      </c>
      <c r="W1275" s="108" t="s">
        <v>306</v>
      </c>
    </row>
    <row r="1276" spans="1:23" ht="21" customHeight="1" x14ac:dyDescent="0.2">
      <c r="A1276" s="187">
        <v>1275</v>
      </c>
      <c r="B1276" s="105" t="s">
        <v>314</v>
      </c>
      <c r="C1276" s="188" t="s">
        <v>3648</v>
      </c>
      <c r="D1276" s="123"/>
      <c r="E1276" s="108"/>
      <c r="F1276" s="114"/>
      <c r="G1276" s="114"/>
      <c r="H1276" s="183" t="s">
        <v>274</v>
      </c>
      <c r="I1276" s="188">
        <v>6</v>
      </c>
      <c r="J1276" s="109" t="s">
        <v>3574</v>
      </c>
      <c r="K1276" s="105" t="s">
        <v>1400</v>
      </c>
      <c r="L1276" s="107" t="str">
        <f ca="1">VLOOKUP($K1276,OFFSET([1]character_type_i18n!$A$1,0,0,COUNTA([1]character_type_i18n!$A:$A),MATCH(L$1,[1]character_type_i18n!$1:$1,0)-MATCH($K$1,[1]character_type_i18n!$1:$1,0)+1),MATCH(L$1,[1]character_type_i18n!$1:$1,0)-MATCH($K$1,[1]character_type_i18n!$1:$1,0)+1,FALSE)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6" s="105" t="s">
        <v>1018</v>
      </c>
      <c r="N1276" s="107" t="str">
        <f>VLOOKUP(M1276,[1]character_tribe_i18n!A:C,3,FALSE)</f>
        <v>ゴッド</v>
      </c>
      <c r="O1276" s="105" t="s">
        <v>1423</v>
      </c>
      <c r="P1276" s="107" t="str">
        <f>VLOOKUP(O1276,[1]character_tribe_i18n!A:C,3,FALSE)</f>
        <v>種族なし</v>
      </c>
      <c r="Q1276" s="110"/>
      <c r="R1276" s="178">
        <v>3</v>
      </c>
      <c r="S1276" s="108" t="s">
        <v>306</v>
      </c>
      <c r="T1276" s="108" t="s">
        <v>307</v>
      </c>
      <c r="U1276" s="108" t="s">
        <v>306</v>
      </c>
      <c r="V1276" s="108" t="s">
        <v>306</v>
      </c>
      <c r="W1276" s="108" t="s">
        <v>306</v>
      </c>
    </row>
    <row r="1277" spans="1:23" ht="21" customHeight="1" x14ac:dyDescent="0.2">
      <c r="A1277" s="187">
        <v>1276</v>
      </c>
      <c r="B1277" s="105" t="s">
        <v>314</v>
      </c>
      <c r="C1277" s="188" t="s">
        <v>3649</v>
      </c>
      <c r="D1277" s="123"/>
      <c r="E1277" s="108"/>
      <c r="F1277" s="114"/>
      <c r="G1277" s="114"/>
      <c r="H1277" s="183" t="s">
        <v>285</v>
      </c>
      <c r="I1277" s="188">
        <v>6</v>
      </c>
      <c r="J1277" s="109" t="s">
        <v>3574</v>
      </c>
      <c r="K1277" s="105" t="s">
        <v>1400</v>
      </c>
      <c r="L1277" s="107" t="str">
        <f ca="1">VLOOKUP($K1277,OFFSET([1]character_type_i18n!$A$1,0,0,COUNTA([1]character_type_i18n!$A:$A),MATCH(L$1,[1]character_type_i18n!$1:$1,0)-MATCH($K$1,[1]character_type_i18n!$1:$1,0)+1),MATCH(L$1,[1]character_type_i18n!$1:$1,0)-MATCH($K$1,[1]character_type_i18n!$1:$1,0)+1,FALSE)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7" s="105" t="s">
        <v>1018</v>
      </c>
      <c r="N1277" s="107" t="str">
        <f>VLOOKUP(M1277,[1]character_tribe_i18n!A:C,3,FALSE)</f>
        <v>ゴッド</v>
      </c>
      <c r="O1277" s="105" t="s">
        <v>1423</v>
      </c>
      <c r="P1277" s="107" t="str">
        <f>VLOOKUP(O1277,[1]character_tribe_i18n!A:C,3,FALSE)</f>
        <v>種族なし</v>
      </c>
      <c r="Q1277" s="110"/>
      <c r="R1277" s="178">
        <v>3</v>
      </c>
      <c r="S1277" s="108" t="s">
        <v>306</v>
      </c>
      <c r="T1277" s="108" t="s">
        <v>307</v>
      </c>
      <c r="U1277" s="108" t="s">
        <v>306</v>
      </c>
      <c r="V1277" s="108" t="s">
        <v>306</v>
      </c>
      <c r="W1277" s="108" t="s">
        <v>306</v>
      </c>
    </row>
    <row r="1278" spans="1:23" ht="21" customHeight="1" x14ac:dyDescent="0.2">
      <c r="A1278" s="187">
        <v>1277</v>
      </c>
      <c r="B1278" s="105" t="s">
        <v>314</v>
      </c>
      <c r="C1278" s="188" t="s">
        <v>3650</v>
      </c>
      <c r="D1278" s="123"/>
      <c r="E1278" s="108"/>
      <c r="F1278" s="114"/>
      <c r="G1278" s="114"/>
      <c r="H1278" s="183" t="s">
        <v>300</v>
      </c>
      <c r="I1278" s="188">
        <v>6</v>
      </c>
      <c r="J1278" s="109" t="s">
        <v>3574</v>
      </c>
      <c r="K1278" s="105" t="s">
        <v>1400</v>
      </c>
      <c r="L1278" s="107" t="str">
        <f ca="1">VLOOKUP($K1278,OFFSET([1]character_type_i18n!$A$1,0,0,COUNTA([1]character_type_i18n!$A:$A),MATCH(L$1,[1]character_type_i18n!$1:$1,0)-MATCH($K$1,[1]character_type_i18n!$1:$1,0)+1),MATCH(L$1,[1]character_type_i18n!$1:$1,0)-MATCH($K$1,[1]character_type_i18n!$1:$1,0)+1,FALSE)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8" s="105" t="s">
        <v>1018</v>
      </c>
      <c r="N1278" s="107" t="str">
        <f>VLOOKUP(M1278,[1]character_tribe_i18n!A:C,3,FALSE)</f>
        <v>ゴッド</v>
      </c>
      <c r="O1278" s="105" t="s">
        <v>1017</v>
      </c>
      <c r="P1278" s="107" t="str">
        <f>VLOOKUP(O1278,[1]character_tribe_i18n!A:C,3,FALSE)</f>
        <v>マシン</v>
      </c>
      <c r="Q1278" s="110"/>
      <c r="R1278" s="178">
        <v>3</v>
      </c>
      <c r="S1278" s="108" t="s">
        <v>280</v>
      </c>
      <c r="T1278" s="108" t="s">
        <v>281</v>
      </c>
      <c r="U1278" s="108" t="s">
        <v>280</v>
      </c>
      <c r="V1278" s="108" t="s">
        <v>280</v>
      </c>
      <c r="W1278" s="108" t="s">
        <v>280</v>
      </c>
    </row>
    <row r="1279" spans="1:23" ht="21" customHeight="1" x14ac:dyDescent="0.2">
      <c r="A1279" s="187">
        <v>1278</v>
      </c>
      <c r="B1279" s="105" t="s">
        <v>268</v>
      </c>
      <c r="C1279" s="188" t="s">
        <v>3651</v>
      </c>
      <c r="D1279" s="123"/>
      <c r="E1279" s="108"/>
      <c r="F1279" s="114"/>
      <c r="G1279" s="114"/>
      <c r="H1279" s="183" t="s">
        <v>300</v>
      </c>
      <c r="I1279" s="188">
        <v>5</v>
      </c>
      <c r="J1279" s="109" t="s">
        <v>1001</v>
      </c>
      <c r="K1279" s="105" t="s">
        <v>967</v>
      </c>
      <c r="L1279" s="107" t="str">
        <f ca="1">VLOOKUP($K1279,OFFSET([1]character_type_i18n!$A$1,0,0,COUNTA([1]character_type_i18n!$A:$A),MATCH(L$1,[1]character_type_i18n!$1:$1,0)-MATCH($K$1,[1]character_type_i18n!$1:$1,0)+1),MATCH(L$1,[1]character_type_i18n!$1:$1,0)-MATCH($K$1,[1]character_type_i18n!$1:$1,0)+1,FALSE)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79" s="105" t="s">
        <v>1413</v>
      </c>
      <c r="N1279" s="107" t="str">
        <f>VLOOKUP(M1279,[1]character_tribe_i18n!A:C,3,FALSE)</f>
        <v>Unknown</v>
      </c>
      <c r="O1279" s="105" t="s">
        <v>2578</v>
      </c>
      <c r="P1279" s="107" t="str">
        <f>VLOOKUP(O1279,[1]character_tribe_i18n!A:C,3,FALSE)</f>
        <v>ヒーロー</v>
      </c>
      <c r="Q1279" s="110"/>
      <c r="R1279" s="178">
        <v>3</v>
      </c>
      <c r="S1279" s="108" t="s">
        <v>306</v>
      </c>
      <c r="T1279" s="108" t="s">
        <v>307</v>
      </c>
      <c r="U1279" s="108" t="s">
        <v>306</v>
      </c>
      <c r="V1279" s="108" t="s">
        <v>306</v>
      </c>
      <c r="W1279" s="108" t="s">
        <v>306</v>
      </c>
    </row>
    <row r="1280" spans="1:23" ht="21" customHeight="1" x14ac:dyDescent="0.2">
      <c r="A1280" s="187">
        <v>1279</v>
      </c>
      <c r="B1280" s="105" t="s">
        <v>314</v>
      </c>
      <c r="C1280" s="188" t="s">
        <v>3652</v>
      </c>
      <c r="D1280" s="123"/>
      <c r="E1280" s="108"/>
      <c r="F1280" s="114"/>
      <c r="G1280" s="114"/>
      <c r="H1280" s="183" t="s">
        <v>300</v>
      </c>
      <c r="I1280" s="188">
        <v>6</v>
      </c>
      <c r="J1280" s="109" t="s">
        <v>1582</v>
      </c>
      <c r="K1280" s="105" t="s">
        <v>1584</v>
      </c>
      <c r="L1280" s="107" t="str">
        <f ca="1">VLOOKUP($K1280,OFFSET([1]character_type_i18n!$A$1,0,0,COUNTA([1]character_type_i18n!$A:$A),MATCH(L$1,[1]character_type_i18n!$1:$1,0)-MATCH($K$1,[1]character_type_i18n!$1:$1,0)+1),MATCH(L$1,[1]character_type_i18n!$1:$1,0)-MATCH($K$1,[1]character_type_i18n!$1:$1,0)+1,FALSE)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0" s="105" t="s">
        <v>1164</v>
      </c>
      <c r="N1280" s="107" t="str">
        <f>VLOOKUP(M1280,[1]character_tribe_i18n!A:C,3,FALSE)</f>
        <v>Unknown</v>
      </c>
      <c r="O1280" s="105" t="s">
        <v>3653</v>
      </c>
      <c r="P1280" s="107" t="str">
        <f>VLOOKUP(O1280,[1]character_tribe_i18n!A:C,3,FALSE)</f>
        <v>ヒーロー</v>
      </c>
      <c r="Q1280" s="110"/>
      <c r="R1280" s="178">
        <v>3</v>
      </c>
      <c r="S1280" s="108" t="s">
        <v>306</v>
      </c>
      <c r="T1280" s="108" t="s">
        <v>307</v>
      </c>
      <c r="U1280" s="108" t="s">
        <v>306</v>
      </c>
      <c r="V1280" s="108" t="s">
        <v>306</v>
      </c>
      <c r="W1280" s="108" t="s">
        <v>306</v>
      </c>
    </row>
    <row r="1281" spans="1:23" ht="21" customHeight="1" x14ac:dyDescent="0.2">
      <c r="A1281" s="187">
        <v>1280</v>
      </c>
      <c r="B1281" s="105" t="s">
        <v>314</v>
      </c>
      <c r="C1281" s="188" t="s">
        <v>3654</v>
      </c>
      <c r="D1281" s="123"/>
      <c r="E1281" s="108"/>
      <c r="F1281" s="114"/>
      <c r="G1281" s="114"/>
      <c r="H1281" s="183" t="s">
        <v>295</v>
      </c>
      <c r="I1281" s="188">
        <v>5</v>
      </c>
      <c r="J1281" s="109" t="s">
        <v>3574</v>
      </c>
      <c r="K1281" s="105" t="s">
        <v>2771</v>
      </c>
      <c r="L1281" s="107" t="str">
        <f ca="1">VLOOKUP($K1281,OFFSET([1]character_type_i18n!$A$1,0,0,COUNTA([1]character_type_i18n!$A:$A),MATCH(L$1,[1]character_type_i18n!$1:$1,0)-MATCH($K$1,[1]character_type_i18n!$1:$1,0)+1),MATCH(L$1,[1]character_type_i18n!$1:$1,0)-MATCH($K$1,[1]character_type_i18n!$1:$1,0)+1,FALSE)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81" s="105" t="s">
        <v>1394</v>
      </c>
      <c r="N1281" s="107" t="str">
        <f>VLOOKUP(M1281,[1]character_tribe_i18n!A:C,3,FALSE)</f>
        <v>ヒューマン</v>
      </c>
      <c r="O1281" s="105" t="s">
        <v>1423</v>
      </c>
      <c r="P1281" s="107" t="str">
        <f>VLOOKUP(O1281,[1]character_tribe_i18n!A:C,3,FALSE)</f>
        <v>種族なし</v>
      </c>
      <c r="Q1281" s="110"/>
      <c r="R1281" s="178">
        <v>3</v>
      </c>
      <c r="S1281" s="108" t="s">
        <v>306</v>
      </c>
      <c r="T1281" s="108" t="s">
        <v>307</v>
      </c>
      <c r="U1281" s="108" t="s">
        <v>306</v>
      </c>
      <c r="V1281" s="108" t="s">
        <v>306</v>
      </c>
      <c r="W1281" s="108" t="s">
        <v>306</v>
      </c>
    </row>
    <row r="1282" spans="1:23" ht="21" customHeight="1" x14ac:dyDescent="0.2">
      <c r="A1282" s="187">
        <v>1281</v>
      </c>
      <c r="B1282" s="105" t="s">
        <v>314</v>
      </c>
      <c r="C1282" s="188" t="s">
        <v>3655</v>
      </c>
      <c r="D1282" s="123"/>
      <c r="E1282" s="108"/>
      <c r="F1282" s="114"/>
      <c r="G1282" s="114"/>
      <c r="H1282" s="183" t="s">
        <v>285</v>
      </c>
      <c r="I1282" s="188">
        <v>5</v>
      </c>
      <c r="J1282" s="109" t="s">
        <v>2367</v>
      </c>
      <c r="K1282" s="105" t="s">
        <v>1005</v>
      </c>
      <c r="L1282" s="107" t="str">
        <f ca="1">VLOOKUP($K1282,OFFSET([1]character_type_i18n!$A$1,0,0,COUNTA([1]character_type_i18n!$A:$A),MATCH(L$1,[1]character_type_i18n!$1:$1,0)-MATCH($K$1,[1]character_type_i18n!$1:$1,0)+1),MATCH(L$1,[1]character_type_i18n!$1:$1,0)-MATCH($K$1,[1]character_type_i18n!$1:$1,0)+1,FALSE)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82" s="105" t="s">
        <v>1401</v>
      </c>
      <c r="N1282" s="107" t="str">
        <f>VLOOKUP(M1282,[1]character_tribe_i18n!A:C,3,FALSE)</f>
        <v>ヒューマン</v>
      </c>
      <c r="O1282" s="105" t="s">
        <v>313</v>
      </c>
      <c r="P1282" s="107" t="str">
        <f>VLOOKUP(O1282,[1]character_tribe_i18n!A:C,3,FALSE)</f>
        <v>アニマル</v>
      </c>
      <c r="Q1282" s="110"/>
      <c r="R1282" s="178">
        <v>3</v>
      </c>
      <c r="S1282" s="108" t="s">
        <v>289</v>
      </c>
      <c r="T1282" s="108" t="s">
        <v>288</v>
      </c>
      <c r="U1282" s="108" t="s">
        <v>289</v>
      </c>
      <c r="V1282" s="108" t="s">
        <v>289</v>
      </c>
      <c r="W1282" s="108" t="s">
        <v>289</v>
      </c>
    </row>
    <row r="1283" spans="1:23" ht="21" customHeight="1" x14ac:dyDescent="0.2">
      <c r="A1283" s="187">
        <v>1282</v>
      </c>
      <c r="B1283" s="105" t="s">
        <v>292</v>
      </c>
      <c r="C1283" s="188" t="s">
        <v>3656</v>
      </c>
      <c r="D1283" s="123"/>
      <c r="E1283" s="108"/>
      <c r="F1283" s="114"/>
      <c r="G1283" s="114"/>
      <c r="H1283" s="183" t="s">
        <v>274</v>
      </c>
      <c r="I1283" s="188">
        <v>5</v>
      </c>
      <c r="J1283" s="109" t="s">
        <v>1504</v>
      </c>
      <c r="K1283" s="105" t="s">
        <v>1008</v>
      </c>
      <c r="L1283" s="107" t="str">
        <f ca="1">VLOOKUP($K1283,OFFSET([1]character_type_i18n!$A$1,0,0,COUNTA([1]character_type_i18n!$A:$A),MATCH(L$1,[1]character_type_i18n!$1:$1,0)-MATCH($K$1,[1]character_type_i18n!$1:$1,0)+1),MATCH(L$1,[1]character_type_i18n!$1:$1,0)-MATCH($K$1,[1]character_type_i18n!$1:$1,0)+1,FALSE)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83" s="105" t="s">
        <v>1164</v>
      </c>
      <c r="N1283" s="107" t="str">
        <f>VLOOKUP(M1283,[1]character_tribe_i18n!A:C,3,FALSE)</f>
        <v>Unknown</v>
      </c>
      <c r="O1283" s="105" t="s">
        <v>1420</v>
      </c>
      <c r="P1283" s="107" t="str">
        <f>VLOOKUP(O1283,[1]character_tribe_i18n!A:C,3,FALSE)</f>
        <v>種族なし</v>
      </c>
      <c r="Q1283" s="110"/>
      <c r="R1283" s="178">
        <v>3</v>
      </c>
      <c r="S1283" s="108" t="s">
        <v>2063</v>
      </c>
      <c r="T1283" s="108" t="s">
        <v>2062</v>
      </c>
      <c r="U1283" s="108" t="s">
        <v>2063</v>
      </c>
      <c r="V1283" s="108" t="s">
        <v>2063</v>
      </c>
      <c r="W1283" s="108" t="s">
        <v>2063</v>
      </c>
    </row>
    <row r="1284" spans="1:23" ht="21" customHeight="1" x14ac:dyDescent="0.2">
      <c r="A1284" s="187">
        <v>1283</v>
      </c>
      <c r="B1284" s="105" t="s">
        <v>2619</v>
      </c>
      <c r="C1284" s="188" t="s">
        <v>3657</v>
      </c>
      <c r="D1284" s="123"/>
      <c r="E1284" s="108"/>
      <c r="F1284" s="114"/>
      <c r="G1284" s="114"/>
      <c r="H1284" s="183" t="s">
        <v>274</v>
      </c>
      <c r="I1284" s="188">
        <v>6</v>
      </c>
      <c r="J1284" s="109" t="s">
        <v>1504</v>
      </c>
      <c r="K1284" s="105" t="s">
        <v>1008</v>
      </c>
      <c r="L1284" s="107" t="str">
        <f ca="1">VLOOKUP($K1284,OFFSET([1]character_type_i18n!$A$1,0,0,COUNTA([1]character_type_i18n!$A:$A),MATCH(L$1,[1]character_type_i18n!$1:$1,0)-MATCH($K$1,[1]character_type_i18n!$1:$1,0)+1),MATCH(L$1,[1]character_type_i18n!$1:$1,0)-MATCH($K$1,[1]character_type_i18n!$1:$1,0)+1,FALSE)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84" s="105" t="s">
        <v>3658</v>
      </c>
      <c r="N1284" s="107" t="str">
        <f>VLOOKUP(M1284,[1]character_tribe_i18n!A:C,3,FALSE)</f>
        <v>Unknown</v>
      </c>
      <c r="O1284" s="105" t="s">
        <v>3659</v>
      </c>
      <c r="P1284" s="107" t="str">
        <f>VLOOKUP(O1284,[1]character_tribe_i18n!A:C,3,FALSE)</f>
        <v>種族なし</v>
      </c>
      <c r="Q1284" s="110"/>
      <c r="R1284" s="178">
        <v>3</v>
      </c>
      <c r="S1284" s="108" t="s">
        <v>306</v>
      </c>
      <c r="T1284" s="108" t="s">
        <v>307</v>
      </c>
      <c r="U1284" s="108" t="s">
        <v>887</v>
      </c>
      <c r="V1284" s="108" t="s">
        <v>887</v>
      </c>
      <c r="W1284" s="108" t="s">
        <v>887</v>
      </c>
    </row>
    <row r="1285" spans="1:23" ht="21" customHeight="1" x14ac:dyDescent="0.2">
      <c r="A1285" s="187">
        <v>1284</v>
      </c>
      <c r="B1285" s="105" t="s">
        <v>1288</v>
      </c>
      <c r="C1285" s="188" t="s">
        <v>3660</v>
      </c>
      <c r="D1285" s="123"/>
      <c r="E1285" s="108"/>
      <c r="F1285" s="114"/>
      <c r="G1285" s="114"/>
      <c r="H1285" s="183" t="s">
        <v>295</v>
      </c>
      <c r="I1285" s="188">
        <v>5</v>
      </c>
      <c r="J1285" s="109" t="s">
        <v>3661</v>
      </c>
      <c r="K1285" s="105" t="s">
        <v>3662</v>
      </c>
      <c r="L1285" s="107" t="str">
        <f ca="1">VLOOKUP($K1285,OFFSET([1]character_type_i18n!$A$1,0,0,COUNTA([1]character_type_i18n!$A:$A),MATCH(L$1,[1]character_type_i18n!$1:$1,0)-MATCH($K$1,[1]character_type_i18n!$1:$1,0)+1),MATCH(L$1,[1]character_type_i18n!$1:$1,0)-MATCH($K$1,[1]character_type_i18n!$1:$1,0)+1,FALSE)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5" s="105" t="s">
        <v>3663</v>
      </c>
      <c r="N1285" s="107" t="str">
        <f>VLOOKUP(M1285,[1]character_tribe_i18n!A:C,3,FALSE)</f>
        <v>Unknown</v>
      </c>
      <c r="O1285" s="105" t="s">
        <v>3664</v>
      </c>
      <c r="P1285" s="107" t="str">
        <f>VLOOKUP(O1285,[1]character_tribe_i18n!A:C,3,FALSE)</f>
        <v>ヒューマン</v>
      </c>
      <c r="Q1285" s="110"/>
      <c r="R1285" s="178">
        <v>3</v>
      </c>
      <c r="S1285" s="108" t="s">
        <v>3665</v>
      </c>
      <c r="T1285" s="108" t="s">
        <v>915</v>
      </c>
      <c r="U1285" s="108" t="s">
        <v>880</v>
      </c>
      <c r="V1285" s="108" t="s">
        <v>894</v>
      </c>
      <c r="W1285" s="108" t="s">
        <v>894</v>
      </c>
    </row>
    <row r="1286" spans="1:23" ht="21" customHeight="1" x14ac:dyDescent="0.2">
      <c r="A1286" s="187">
        <v>1285</v>
      </c>
      <c r="B1286" s="105" t="s">
        <v>1261</v>
      </c>
      <c r="C1286" s="188" t="s">
        <v>3666</v>
      </c>
      <c r="D1286" s="123"/>
      <c r="E1286" s="108"/>
      <c r="F1286" s="114"/>
      <c r="G1286" s="114"/>
      <c r="H1286" s="183" t="s">
        <v>295</v>
      </c>
      <c r="I1286" s="188">
        <v>6</v>
      </c>
      <c r="J1286" s="109" t="s">
        <v>2069</v>
      </c>
      <c r="K1286" s="105" t="s">
        <v>3667</v>
      </c>
      <c r="L1286" s="107" t="str">
        <f ca="1">VLOOKUP($K1286,OFFSET([1]character_type_i18n!$A$1,0,0,COUNTA([1]character_type_i18n!$A:$A),MATCH(L$1,[1]character_type_i18n!$1:$1,0)-MATCH($K$1,[1]character_type_i18n!$1:$1,0)+1),MATCH(L$1,[1]character_type_i18n!$1:$1,0)-MATCH($K$1,[1]character_type_i18n!$1:$1,0)+1,FALSE)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6" s="105" t="s">
        <v>1164</v>
      </c>
      <c r="N1286" s="107" t="str">
        <f>VLOOKUP(M1286,[1]character_tribe_i18n!A:C,3,FALSE)</f>
        <v>Unknown</v>
      </c>
      <c r="O1286" s="105" t="s">
        <v>1401</v>
      </c>
      <c r="P1286" s="107" t="str">
        <f>VLOOKUP(O1286,[1]character_tribe_i18n!A:C,3,FALSE)</f>
        <v>ヒューマン</v>
      </c>
      <c r="Q1286" s="110"/>
      <c r="R1286" s="178">
        <v>3</v>
      </c>
      <c r="S1286" s="108" t="s">
        <v>3314</v>
      </c>
      <c r="T1286" s="108" t="s">
        <v>910</v>
      </c>
      <c r="U1286" s="108" t="s">
        <v>911</v>
      </c>
      <c r="V1286" s="108" t="s">
        <v>894</v>
      </c>
      <c r="W1286" s="108" t="s">
        <v>894</v>
      </c>
    </row>
    <row r="1287" spans="1:23" ht="21" customHeight="1" x14ac:dyDescent="0.2">
      <c r="A1287" s="187">
        <v>1286</v>
      </c>
      <c r="B1287" s="105" t="s">
        <v>1261</v>
      </c>
      <c r="C1287" s="188" t="s">
        <v>3668</v>
      </c>
      <c r="D1287" s="123"/>
      <c r="E1287" s="108"/>
      <c r="F1287" s="114"/>
      <c r="G1287" s="114"/>
      <c r="H1287" s="183" t="s">
        <v>300</v>
      </c>
      <c r="I1287" s="188">
        <v>5</v>
      </c>
      <c r="J1287" s="109" t="s">
        <v>3669</v>
      </c>
      <c r="K1287" s="105" t="s">
        <v>3670</v>
      </c>
      <c r="L1287" s="107" t="str">
        <f ca="1">VLOOKUP($K1287,OFFSET([1]character_type_i18n!$A$1,0,0,COUNTA([1]character_type_i18n!$A:$A),MATCH(L$1,[1]character_type_i18n!$1:$1,0)-MATCH($K$1,[1]character_type_i18n!$1:$1,0)+1),MATCH(L$1,[1]character_type_i18n!$1:$1,0)-MATCH($K$1,[1]character_type_i18n!$1:$1,0)+1,FALSE)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7" s="105" t="s">
        <v>1011</v>
      </c>
      <c r="N1287" s="107" t="str">
        <f>VLOOKUP(M1287,[1]character_tribe_i18n!A:C,3,FALSE)</f>
        <v>ヒューマン</v>
      </c>
      <c r="O1287" s="105" t="s">
        <v>3145</v>
      </c>
      <c r="P1287" s="107" t="str">
        <f>VLOOKUP(O1287,[1]character_tribe_i18n!A:C,3,FALSE)</f>
        <v>種族なし</v>
      </c>
      <c r="Q1287" s="110"/>
      <c r="R1287" s="178">
        <v>3</v>
      </c>
      <c r="S1287" s="108" t="s">
        <v>280</v>
      </c>
      <c r="T1287" s="108" t="s">
        <v>281</v>
      </c>
      <c r="U1287" s="108" t="s">
        <v>280</v>
      </c>
      <c r="V1287" s="108" t="s">
        <v>894</v>
      </c>
      <c r="W1287" s="108" t="s">
        <v>894</v>
      </c>
    </row>
    <row r="1288" spans="1:23" ht="21" customHeight="1" x14ac:dyDescent="0.2">
      <c r="A1288" s="187">
        <v>1287</v>
      </c>
      <c r="B1288" s="105" t="s">
        <v>1261</v>
      </c>
      <c r="C1288" s="188" t="s">
        <v>3671</v>
      </c>
      <c r="D1288" s="123"/>
      <c r="E1288" s="108"/>
      <c r="F1288" s="114"/>
      <c r="G1288" s="114"/>
      <c r="H1288" s="183" t="s">
        <v>300</v>
      </c>
      <c r="I1288" s="188">
        <v>6</v>
      </c>
      <c r="J1288" s="109" t="s">
        <v>1180</v>
      </c>
      <c r="K1288" s="105" t="s">
        <v>967</v>
      </c>
      <c r="L1288" s="107" t="str">
        <f ca="1">VLOOKUP($K1288,OFFSET([1]character_type_i18n!$A$1,0,0,COUNTA([1]character_type_i18n!$A:$A),MATCH(L$1,[1]character_type_i18n!$1:$1,0)-MATCH($K$1,[1]character_type_i18n!$1:$1,0)+1),MATCH(L$1,[1]character_type_i18n!$1:$1,0)-MATCH($K$1,[1]character_type_i18n!$1:$1,0)+1,FALSE)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8" s="105" t="s">
        <v>1257</v>
      </c>
      <c r="N1288" s="107" t="str">
        <f>VLOOKUP(M1288,[1]character_tribe_i18n!A:C,3,FALSE)</f>
        <v>ヒューマン</v>
      </c>
      <c r="O1288" s="105" t="s">
        <v>1423</v>
      </c>
      <c r="P1288" s="107" t="str">
        <f>VLOOKUP(O1288,[1]character_tribe_i18n!A:C,3,FALSE)</f>
        <v>種族なし</v>
      </c>
      <c r="Q1288" s="110"/>
      <c r="R1288" s="178">
        <v>3</v>
      </c>
      <c r="S1288" s="108" t="s">
        <v>280</v>
      </c>
      <c r="T1288" s="108" t="s">
        <v>3528</v>
      </c>
      <c r="U1288" s="108" t="s">
        <v>3314</v>
      </c>
      <c r="V1288" s="108" t="s">
        <v>894</v>
      </c>
      <c r="W1288" s="108" t="s">
        <v>894</v>
      </c>
    </row>
    <row r="1289" spans="1:23" ht="21" customHeight="1" x14ac:dyDescent="0.2">
      <c r="A1289" s="187">
        <v>1288</v>
      </c>
      <c r="B1289" s="105" t="s">
        <v>1261</v>
      </c>
      <c r="C1289" s="188" t="s">
        <v>3672</v>
      </c>
      <c r="D1289" s="123"/>
      <c r="E1289" s="108"/>
      <c r="F1289" s="114"/>
      <c r="G1289" s="114"/>
      <c r="H1289" s="183" t="s">
        <v>300</v>
      </c>
      <c r="I1289" s="188">
        <v>6</v>
      </c>
      <c r="J1289" s="109" t="s">
        <v>1976</v>
      </c>
      <c r="K1289" s="105" t="s">
        <v>3667</v>
      </c>
      <c r="L1289" s="107" t="str">
        <f ca="1">VLOOKUP($K1289,OFFSET([1]character_type_i18n!$A$1,0,0,COUNTA([1]character_type_i18n!$A:$A),MATCH(L$1,[1]character_type_i18n!$1:$1,0)-MATCH($K$1,[1]character_type_i18n!$1:$1,0)+1),MATCH(L$1,[1]character_type_i18n!$1:$1,0)-MATCH($K$1,[1]character_type_i18n!$1:$1,0)+1,FALSE)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9" s="105" t="s">
        <v>3673</v>
      </c>
      <c r="N1289" s="107" t="str">
        <f>VLOOKUP(M1289,[1]character_tribe_i18n!A:C,3,FALSE)</f>
        <v>ヒューマン</v>
      </c>
      <c r="O1289" s="105" t="s">
        <v>1423</v>
      </c>
      <c r="P1289" s="107" t="str">
        <f>VLOOKUP(O1289,[1]character_tribe_i18n!A:C,3,FALSE)</f>
        <v>種族なし</v>
      </c>
      <c r="Q1289" s="110"/>
      <c r="R1289" s="178">
        <v>3</v>
      </c>
      <c r="S1289" s="108" t="s">
        <v>280</v>
      </c>
      <c r="T1289" s="108" t="s">
        <v>2950</v>
      </c>
      <c r="U1289" s="108" t="s">
        <v>280</v>
      </c>
      <c r="V1289" s="108" t="s">
        <v>280</v>
      </c>
      <c r="W1289" s="108" t="s">
        <v>280</v>
      </c>
    </row>
    <row r="1290" spans="1:23" ht="21" customHeight="1" x14ac:dyDescent="0.2">
      <c r="A1290" s="187">
        <v>1289</v>
      </c>
      <c r="B1290" s="105" t="s">
        <v>268</v>
      </c>
      <c r="C1290" s="188" t="s">
        <v>3674</v>
      </c>
      <c r="D1290" s="123"/>
      <c r="E1290" s="108"/>
      <c r="F1290" s="114"/>
      <c r="G1290" s="114"/>
      <c r="H1290" s="183" t="s">
        <v>295</v>
      </c>
      <c r="I1290" s="188">
        <v>6</v>
      </c>
      <c r="J1290" s="109" t="s">
        <v>3675</v>
      </c>
      <c r="K1290" s="105" t="s">
        <v>1292</v>
      </c>
      <c r="L1290" s="107" t="str">
        <f ca="1">VLOOKUP($K1290,OFFSET([1]character_type_i18n!$A$1,0,0,COUNTA([1]character_type_i18n!$A:$A),MATCH(L$1,[1]character_type_i18n!$1:$1,0)-MATCH($K$1,[1]character_type_i18n!$1:$1,0)+1),MATCH(L$1,[1]character_type_i18n!$1:$1,0)-MATCH($K$1,[1]character_type_i18n!$1:$1,0)+1,FALSE)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90" s="105" t="s">
        <v>1408</v>
      </c>
      <c r="N1290" s="107" t="str">
        <f>VLOOKUP(M1290,[1]character_tribe_i18n!A:C,3,FALSE)</f>
        <v>Unknown</v>
      </c>
      <c r="O1290" s="105" t="s">
        <v>1704</v>
      </c>
      <c r="P1290" s="107" t="str">
        <f>VLOOKUP(O1290,[1]character_tribe_i18n!A:C,3,FALSE)</f>
        <v>種族なし</v>
      </c>
      <c r="Q1290" s="110"/>
      <c r="R1290" s="178">
        <v>3</v>
      </c>
      <c r="S1290" s="108" t="s">
        <v>280</v>
      </c>
      <c r="T1290" s="108" t="s">
        <v>3528</v>
      </c>
      <c r="U1290" s="108" t="s">
        <v>3314</v>
      </c>
      <c r="V1290" s="108" t="s">
        <v>894</v>
      </c>
      <c r="W1290" s="108" t="s">
        <v>894</v>
      </c>
    </row>
    <row r="1291" spans="1:23" ht="21" customHeight="1" x14ac:dyDescent="0.2">
      <c r="A1291" s="187">
        <v>1290</v>
      </c>
      <c r="B1291" s="105" t="s">
        <v>1261</v>
      </c>
      <c r="C1291" s="188" t="s">
        <v>3676</v>
      </c>
      <c r="D1291" s="123"/>
      <c r="E1291" s="108"/>
      <c r="F1291" s="114"/>
      <c r="G1291" s="114"/>
      <c r="H1291" s="183" t="s">
        <v>295</v>
      </c>
      <c r="I1291" s="188">
        <v>6</v>
      </c>
      <c r="J1291" s="109" t="s">
        <v>3677</v>
      </c>
      <c r="K1291" s="105" t="s">
        <v>1005</v>
      </c>
      <c r="L1291" s="107" t="str">
        <f ca="1">VLOOKUP($K1291,OFFSET([1]character_type_i18n!$A$1,0,0,COUNTA([1]character_type_i18n!$A:$A),MATCH(L$1,[1]character_type_i18n!$1:$1,0)-MATCH($K$1,[1]character_type_i18n!$1:$1,0)+1),MATCH(L$1,[1]character_type_i18n!$1:$1,0)-MATCH($K$1,[1]character_type_i18n!$1:$1,0)+1,FALSE)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91" s="105" t="s">
        <v>1164</v>
      </c>
      <c r="N1291" s="107" t="str">
        <f>VLOOKUP(M1291,[1]character_tribe_i18n!A:C,3,FALSE)</f>
        <v>Unknown</v>
      </c>
      <c r="O1291" s="105" t="s">
        <v>3678</v>
      </c>
      <c r="P1291" s="107" t="str">
        <f>VLOOKUP(O1291,[1]character_tribe_i18n!A:C,3,FALSE)</f>
        <v>種族なし</v>
      </c>
      <c r="Q1291" s="110"/>
      <c r="R1291" s="178">
        <v>3</v>
      </c>
      <c r="S1291" s="108" t="s">
        <v>1659</v>
      </c>
      <c r="T1291" s="108" t="s">
        <v>281</v>
      </c>
      <c r="U1291" s="108" t="s">
        <v>280</v>
      </c>
      <c r="V1291" s="108" t="s">
        <v>894</v>
      </c>
      <c r="W1291" s="108" t="s">
        <v>894</v>
      </c>
    </row>
    <row r="1292" spans="1:23" ht="21" customHeight="1" x14ac:dyDescent="0.2">
      <c r="A1292" s="187">
        <v>1291</v>
      </c>
      <c r="B1292" s="105" t="s">
        <v>1261</v>
      </c>
      <c r="C1292" s="188" t="s">
        <v>3679</v>
      </c>
      <c r="D1292" s="123"/>
      <c r="E1292" s="108"/>
      <c r="F1292" s="114"/>
      <c r="G1292" s="114"/>
      <c r="H1292" s="183" t="s">
        <v>300</v>
      </c>
      <c r="I1292" s="188">
        <v>5</v>
      </c>
      <c r="J1292" s="109" t="s">
        <v>2069</v>
      </c>
      <c r="K1292" s="105" t="s">
        <v>2953</v>
      </c>
      <c r="L1292" s="107" t="str">
        <f ca="1">VLOOKUP($K1292,OFFSET([1]character_type_i18n!$A$1,0,0,COUNTA([1]character_type_i18n!$A:$A),MATCH(L$1,[1]character_type_i18n!$1:$1,0)-MATCH($K$1,[1]character_type_i18n!$1:$1,0)+1),MATCH(L$1,[1]character_type_i18n!$1:$1,0)-MATCH($K$1,[1]character_type_i18n!$1:$1,0)+1,FALSE)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92" s="105" t="s">
        <v>3680</v>
      </c>
      <c r="N1292" s="107" t="str">
        <f>VLOOKUP(M1292,[1]character_tribe_i18n!A:C,3,FALSE)</f>
        <v>アニマル</v>
      </c>
      <c r="O1292" s="105" t="s">
        <v>3681</v>
      </c>
      <c r="P1292" s="107" t="str">
        <f>VLOOKUP(O1292,[1]character_tribe_i18n!A:C,3,FALSE)</f>
        <v>種族なし</v>
      </c>
      <c r="Q1292" s="110"/>
      <c r="R1292" s="178">
        <v>2</v>
      </c>
      <c r="S1292" s="108" t="s">
        <v>280</v>
      </c>
      <c r="T1292" s="108" t="s">
        <v>281</v>
      </c>
      <c r="U1292" s="108" t="s">
        <v>280</v>
      </c>
      <c r="V1292" s="108" t="s">
        <v>894</v>
      </c>
      <c r="W1292" s="108" t="s">
        <v>894</v>
      </c>
    </row>
    <row r="1293" spans="1:23" ht="21" customHeight="1" x14ac:dyDescent="0.2">
      <c r="A1293" s="187">
        <v>1292</v>
      </c>
      <c r="B1293" s="105" t="s">
        <v>1261</v>
      </c>
      <c r="C1293" s="188" t="s">
        <v>3682</v>
      </c>
      <c r="D1293" s="123"/>
      <c r="E1293" s="108"/>
      <c r="F1293" s="114"/>
      <c r="G1293" s="114"/>
      <c r="H1293" s="183" t="s">
        <v>300</v>
      </c>
      <c r="I1293" s="188">
        <v>6</v>
      </c>
      <c r="J1293" s="109" t="s">
        <v>1504</v>
      </c>
      <c r="K1293" s="105" t="s">
        <v>1505</v>
      </c>
      <c r="L1293" s="107" t="str">
        <f ca="1">VLOOKUP($K1293,OFFSET([1]character_type_i18n!$A$1,0,0,COUNTA([1]character_type_i18n!$A:$A),MATCH(L$1,[1]character_type_i18n!$1:$1,0)-MATCH($K$1,[1]character_type_i18n!$1:$1,0)+1),MATCH(L$1,[1]character_type_i18n!$1:$1,0)-MATCH($K$1,[1]character_type_i18n!$1:$1,0)+1,FALSE)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93" s="105" t="s">
        <v>3083</v>
      </c>
      <c r="N1293" s="107" t="str">
        <f>VLOOKUP(M1293,[1]character_tribe_i18n!A:C,3,FALSE)</f>
        <v>アニマル</v>
      </c>
      <c r="O1293" s="105" t="s">
        <v>1423</v>
      </c>
      <c r="P1293" s="107" t="str">
        <f>VLOOKUP(O1293,[1]character_tribe_i18n!A:C,3,FALSE)</f>
        <v>種族なし</v>
      </c>
      <c r="Q1293" s="110"/>
      <c r="R1293" s="178">
        <v>2</v>
      </c>
      <c r="S1293" s="108" t="s">
        <v>280</v>
      </c>
      <c r="T1293" s="108" t="s">
        <v>3528</v>
      </c>
      <c r="U1293" s="108" t="s">
        <v>3314</v>
      </c>
      <c r="V1293" s="108" t="s">
        <v>894</v>
      </c>
      <c r="W1293" s="108" t="s">
        <v>894</v>
      </c>
    </row>
    <row r="1294" spans="1:23" ht="21" customHeight="1" x14ac:dyDescent="0.2">
      <c r="A1294" s="187">
        <v>1293</v>
      </c>
      <c r="B1294" s="105" t="s">
        <v>1261</v>
      </c>
      <c r="C1294" s="188" t="s">
        <v>3683</v>
      </c>
      <c r="D1294" s="123"/>
      <c r="E1294" s="108"/>
      <c r="F1294" s="114"/>
      <c r="G1294" s="114"/>
      <c r="H1294" s="183" t="s">
        <v>274</v>
      </c>
      <c r="I1294" s="188">
        <v>5</v>
      </c>
      <c r="J1294" s="109" t="s">
        <v>3684</v>
      </c>
      <c r="K1294" s="105" t="s">
        <v>3685</v>
      </c>
      <c r="L1294" s="107" t="str">
        <f ca="1">VLOOKUP($K1294,OFFSET([1]character_type_i18n!$A$1,0,0,COUNTA([1]character_type_i18n!$A:$A),MATCH(L$1,[1]character_type_i18n!$1:$1,0)-MATCH($K$1,[1]character_type_i18n!$1:$1,0)+1),MATCH(L$1,[1]character_type_i18n!$1:$1,0)-MATCH($K$1,[1]character_type_i18n!$1:$1,0)+1,FALSE)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94" s="105" t="s">
        <v>1942</v>
      </c>
      <c r="N1294" s="107" t="str">
        <f>VLOOKUP(M1294,[1]character_tribe_i18n!A:C,3,FALSE)</f>
        <v>アニマル</v>
      </c>
      <c r="O1294" s="105" t="s">
        <v>3072</v>
      </c>
      <c r="P1294" s="107" t="str">
        <f>VLOOKUP(O1294,[1]character_tribe_i18n!A:C,3,FALSE)</f>
        <v>ゴッド</v>
      </c>
      <c r="Q1294" s="110"/>
      <c r="R1294" s="178">
        <v>1</v>
      </c>
      <c r="S1294" s="108" t="s">
        <v>611</v>
      </c>
      <c r="T1294" s="108" t="s">
        <v>893</v>
      </c>
      <c r="U1294" s="108" t="s">
        <v>898</v>
      </c>
      <c r="V1294" s="108" t="s">
        <v>894</v>
      </c>
      <c r="W1294" s="108" t="s">
        <v>894</v>
      </c>
    </row>
    <row r="1295" spans="1:23" ht="21" customHeight="1" x14ac:dyDescent="0.2">
      <c r="A1295" s="187">
        <v>1294</v>
      </c>
      <c r="B1295" s="105" t="s">
        <v>1261</v>
      </c>
      <c r="C1295" s="188" t="s">
        <v>3686</v>
      </c>
      <c r="D1295" s="123"/>
      <c r="E1295" s="108"/>
      <c r="F1295" s="114"/>
      <c r="G1295" s="114"/>
      <c r="H1295" s="183" t="s">
        <v>274</v>
      </c>
      <c r="I1295" s="188">
        <v>6</v>
      </c>
      <c r="J1295" s="109" t="s">
        <v>2069</v>
      </c>
      <c r="K1295" s="105" t="s">
        <v>1292</v>
      </c>
      <c r="L1295" s="107" t="str">
        <f ca="1">VLOOKUP($K1295,OFFSET([1]character_type_i18n!$A$1,0,0,COUNTA([1]character_type_i18n!$A:$A),MATCH(L$1,[1]character_type_i18n!$1:$1,0)-MATCH($K$1,[1]character_type_i18n!$1:$1,0)+1),MATCH(L$1,[1]character_type_i18n!$1:$1,0)-MATCH($K$1,[1]character_type_i18n!$1:$1,0)+1,FALSE)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95" s="105" t="s">
        <v>1942</v>
      </c>
      <c r="N1295" s="107" t="str">
        <f>VLOOKUP(M1295,[1]character_tribe_i18n!A:C,3,FALSE)</f>
        <v>アニマル</v>
      </c>
      <c r="O1295" s="105" t="s">
        <v>3687</v>
      </c>
      <c r="P1295" s="107" t="str">
        <f>VLOOKUP(O1295,[1]character_tribe_i18n!A:C,3,FALSE)</f>
        <v>ゴッド</v>
      </c>
      <c r="Q1295" s="110"/>
      <c r="R1295" s="178">
        <v>1</v>
      </c>
      <c r="S1295" s="108" t="s">
        <v>3556</v>
      </c>
      <c r="T1295" s="108" t="s">
        <v>2020</v>
      </c>
      <c r="U1295" s="108" t="s">
        <v>2021</v>
      </c>
      <c r="V1295" s="108" t="s">
        <v>894</v>
      </c>
      <c r="W1295" s="108" t="s">
        <v>894</v>
      </c>
    </row>
    <row r="1296" spans="1:23" ht="21" customHeight="1" x14ac:dyDescent="0.2">
      <c r="A1296" s="187">
        <v>1295</v>
      </c>
      <c r="B1296" s="105" t="s">
        <v>1261</v>
      </c>
      <c r="C1296" s="188" t="s">
        <v>3688</v>
      </c>
      <c r="D1296" s="123"/>
      <c r="E1296" s="108"/>
      <c r="F1296" s="114"/>
      <c r="G1296" s="114"/>
      <c r="H1296" s="183" t="s">
        <v>295</v>
      </c>
      <c r="I1296" s="188">
        <v>5</v>
      </c>
      <c r="J1296" s="109" t="s">
        <v>2069</v>
      </c>
      <c r="K1296" s="105" t="s">
        <v>1008</v>
      </c>
      <c r="L1296" s="107" t="str">
        <f ca="1">VLOOKUP($K1296,OFFSET([1]character_type_i18n!$A$1,0,0,COUNTA([1]character_type_i18n!$A:$A),MATCH(L$1,[1]character_type_i18n!$1:$1,0)-MATCH($K$1,[1]character_type_i18n!$1:$1,0)+1),MATCH(L$1,[1]character_type_i18n!$1:$1,0)-MATCH($K$1,[1]character_type_i18n!$1:$1,0)+1,FALSE)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96" s="105" t="s">
        <v>1408</v>
      </c>
      <c r="N1296" s="107" t="str">
        <f>VLOOKUP(M1296,[1]character_tribe_i18n!A:C,3,FALSE)</f>
        <v>Unknown</v>
      </c>
      <c r="O1296" s="105" t="s">
        <v>1596</v>
      </c>
      <c r="P1296" s="107" t="str">
        <f>VLOOKUP(O1296,[1]character_tribe_i18n!A:C,3,FALSE)</f>
        <v>種族なし</v>
      </c>
      <c r="Q1296" s="110"/>
      <c r="R1296" s="178">
        <v>1</v>
      </c>
      <c r="S1296" s="108" t="s">
        <v>306</v>
      </c>
      <c r="T1296" s="108" t="s">
        <v>307</v>
      </c>
      <c r="U1296" s="108" t="s">
        <v>306</v>
      </c>
      <c r="V1296" s="108" t="s">
        <v>306</v>
      </c>
      <c r="W1296" s="108" t="s">
        <v>306</v>
      </c>
    </row>
    <row r="1297" spans="1:23" ht="21" customHeight="1" x14ac:dyDescent="0.2">
      <c r="A1297" s="187">
        <v>1296</v>
      </c>
      <c r="B1297" s="105" t="s">
        <v>314</v>
      </c>
      <c r="C1297" s="188" t="s">
        <v>3689</v>
      </c>
      <c r="D1297" s="123"/>
      <c r="E1297" s="108"/>
      <c r="F1297" s="114"/>
      <c r="G1297" s="114"/>
      <c r="H1297" s="183" t="s">
        <v>295</v>
      </c>
      <c r="I1297" s="188">
        <v>6</v>
      </c>
      <c r="J1297" s="109" t="s">
        <v>1399</v>
      </c>
      <c r="K1297" s="105" t="s">
        <v>2771</v>
      </c>
      <c r="L1297" s="107" t="str">
        <f ca="1">VLOOKUP($K1297,OFFSET([1]character_type_i18n!$A$1,0,0,COUNTA([1]character_type_i18n!$A:$A),MATCH(L$1,[1]character_type_i18n!$1:$1,0)-MATCH($K$1,[1]character_type_i18n!$1:$1,0)+1),MATCH(L$1,[1]character_type_i18n!$1:$1,0)-MATCH($K$1,[1]character_type_i18n!$1:$1,0)+1,FALSE)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97" s="105" t="s">
        <v>1413</v>
      </c>
      <c r="N1297" s="107" t="str">
        <f>VLOOKUP(M1297,[1]character_tribe_i18n!A:C,3,FALSE)</f>
        <v>Unknown</v>
      </c>
      <c r="O1297" s="105" t="s">
        <v>1423</v>
      </c>
      <c r="P1297" s="107" t="str">
        <f>VLOOKUP(O1297,[1]character_tribe_i18n!A:C,3,FALSE)</f>
        <v>種族なし</v>
      </c>
      <c r="Q1297" s="110"/>
      <c r="R1297" s="178">
        <v>1</v>
      </c>
      <c r="S1297" s="108" t="s">
        <v>306</v>
      </c>
      <c r="T1297" s="108" t="s">
        <v>307</v>
      </c>
      <c r="U1297" s="108" t="s">
        <v>306</v>
      </c>
      <c r="V1297" s="108" t="s">
        <v>306</v>
      </c>
      <c r="W1297" s="108" t="s">
        <v>306</v>
      </c>
    </row>
    <row r="1298" spans="1:23" ht="21" customHeight="1" x14ac:dyDescent="0.2">
      <c r="A1298" s="187">
        <v>1297</v>
      </c>
      <c r="B1298" s="105" t="s">
        <v>314</v>
      </c>
      <c r="C1298" s="188" t="s">
        <v>3690</v>
      </c>
      <c r="D1298" s="123"/>
      <c r="E1298" s="108"/>
      <c r="F1298" s="114"/>
      <c r="G1298" s="114"/>
      <c r="H1298" s="183" t="s">
        <v>285</v>
      </c>
      <c r="I1298" s="188">
        <v>5</v>
      </c>
      <c r="J1298" s="109" t="s">
        <v>1399</v>
      </c>
      <c r="K1298" s="105" t="s">
        <v>1948</v>
      </c>
      <c r="L1298" s="107" t="str">
        <f ca="1">VLOOKUP($K1298,OFFSET([1]character_type_i18n!$A$1,0,0,COUNTA([1]character_type_i18n!$A:$A),MATCH(L$1,[1]character_type_i18n!$1:$1,0)-MATCH($K$1,[1]character_type_i18n!$1:$1,0)+1),MATCH(L$1,[1]character_type_i18n!$1:$1,0)-MATCH($K$1,[1]character_type_i18n!$1:$1,0)+1,FALSE)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98" s="105" t="s">
        <v>1164</v>
      </c>
      <c r="N1298" s="107" t="str">
        <f>VLOOKUP(M1298,[1]character_tribe_i18n!A:C,3,FALSE)</f>
        <v>Unknown</v>
      </c>
      <c r="O1298" s="105" t="s">
        <v>1596</v>
      </c>
      <c r="P1298" s="107" t="str">
        <f>VLOOKUP(O1298,[1]character_tribe_i18n!A:C,3,FALSE)</f>
        <v>種族なし</v>
      </c>
      <c r="Q1298" s="110"/>
      <c r="R1298" s="178">
        <v>1</v>
      </c>
      <c r="S1298" s="108" t="s">
        <v>306</v>
      </c>
      <c r="T1298" s="108" t="s">
        <v>307</v>
      </c>
      <c r="U1298" s="108" t="s">
        <v>306</v>
      </c>
      <c r="V1298" s="108" t="s">
        <v>306</v>
      </c>
      <c r="W1298" s="108" t="s">
        <v>306</v>
      </c>
    </row>
    <row r="1299" spans="1:23" ht="21" customHeight="1" x14ac:dyDescent="0.2">
      <c r="A1299" s="187">
        <v>1298</v>
      </c>
      <c r="B1299" s="105" t="s">
        <v>314</v>
      </c>
      <c r="C1299" s="188" t="s">
        <v>3691</v>
      </c>
      <c r="D1299" s="123"/>
      <c r="E1299" s="108"/>
      <c r="F1299" s="114"/>
      <c r="G1299" s="114"/>
      <c r="H1299" s="183" t="s">
        <v>285</v>
      </c>
      <c r="I1299" s="188">
        <v>6</v>
      </c>
      <c r="J1299" s="109" t="s">
        <v>1399</v>
      </c>
      <c r="K1299" s="105" t="s">
        <v>1948</v>
      </c>
      <c r="L1299" s="107" t="str">
        <f ca="1">VLOOKUP($K1299,OFFSET([1]character_type_i18n!$A$1,0,0,COUNTA([1]character_type_i18n!$A:$A),MATCH(L$1,[1]character_type_i18n!$1:$1,0)-MATCH($K$1,[1]character_type_i18n!$1:$1,0)+1),MATCH(L$1,[1]character_type_i18n!$1:$1,0)-MATCH($K$1,[1]character_type_i18n!$1:$1,0)+1,FALSE)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99" s="105" t="s">
        <v>1413</v>
      </c>
      <c r="N1299" s="107" t="str">
        <f>VLOOKUP(M1299,[1]character_tribe_i18n!A:C,3,FALSE)</f>
        <v>Unknown</v>
      </c>
      <c r="O1299" s="105" t="s">
        <v>1423</v>
      </c>
      <c r="P1299" s="107" t="str">
        <f>VLOOKUP(O1299,[1]character_tribe_i18n!A:C,3,FALSE)</f>
        <v>種族なし</v>
      </c>
      <c r="Q1299" s="110"/>
      <c r="R1299" s="178">
        <v>1</v>
      </c>
      <c r="S1299" s="108" t="s">
        <v>306</v>
      </c>
      <c r="T1299" s="108" t="s">
        <v>307</v>
      </c>
      <c r="U1299" s="108" t="s">
        <v>306</v>
      </c>
      <c r="V1299" s="108" t="s">
        <v>306</v>
      </c>
      <c r="W1299" s="108" t="s">
        <v>306</v>
      </c>
    </row>
    <row r="1300" spans="1:23" ht="21" customHeight="1" x14ac:dyDescent="0.2">
      <c r="A1300" s="187">
        <v>1299</v>
      </c>
      <c r="B1300" s="105" t="s">
        <v>314</v>
      </c>
      <c r="C1300" s="188" t="s">
        <v>3692</v>
      </c>
      <c r="D1300" s="123"/>
      <c r="E1300" s="108"/>
      <c r="F1300" s="114"/>
      <c r="G1300" s="114"/>
      <c r="H1300" s="183" t="s">
        <v>300</v>
      </c>
      <c r="I1300" s="188">
        <v>6</v>
      </c>
      <c r="J1300" s="109" t="s">
        <v>1399</v>
      </c>
      <c r="K1300" s="105" t="s">
        <v>2771</v>
      </c>
      <c r="L1300" s="107" t="str">
        <f ca="1">VLOOKUP($K1300,OFFSET([1]character_type_i18n!$A$1,0,0,COUNTA([1]character_type_i18n!$A:$A),MATCH(L$1,[1]character_type_i18n!$1:$1,0)-MATCH($K$1,[1]character_type_i18n!$1:$1,0)+1),MATCH(L$1,[1]character_type_i18n!$1:$1,0)-MATCH($K$1,[1]character_type_i18n!$1:$1,0)+1,FALSE)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00" s="105" t="s">
        <v>1164</v>
      </c>
      <c r="N1300" s="107" t="str">
        <f>VLOOKUP(M1300,[1]character_tribe_i18n!A:C,3,FALSE)</f>
        <v>Unknown</v>
      </c>
      <c r="O1300" s="105" t="s">
        <v>1596</v>
      </c>
      <c r="P1300" s="107" t="str">
        <f>VLOOKUP(O1300,[1]character_tribe_i18n!A:C,3,FALSE)</f>
        <v>種族なし</v>
      </c>
      <c r="Q1300" s="110"/>
      <c r="R1300" s="178">
        <v>1</v>
      </c>
      <c r="S1300" s="108" t="s">
        <v>306</v>
      </c>
      <c r="T1300" s="108" t="s">
        <v>307</v>
      </c>
      <c r="U1300" s="108" t="s">
        <v>306</v>
      </c>
      <c r="V1300" s="108" t="s">
        <v>306</v>
      </c>
      <c r="W1300" s="108" t="s">
        <v>306</v>
      </c>
    </row>
    <row r="1301" spans="1:23" ht="21" customHeight="1" x14ac:dyDescent="0.2">
      <c r="A1301" s="187">
        <v>1300</v>
      </c>
      <c r="B1301" s="105" t="s">
        <v>314</v>
      </c>
      <c r="C1301" s="188" t="s">
        <v>3693</v>
      </c>
      <c r="D1301" s="123"/>
      <c r="E1301" s="108"/>
      <c r="F1301" s="114"/>
      <c r="G1301" s="114"/>
      <c r="H1301" s="183" t="s">
        <v>285</v>
      </c>
      <c r="I1301" s="188">
        <v>5</v>
      </c>
      <c r="J1301" s="109" t="s">
        <v>1399</v>
      </c>
      <c r="K1301" s="105" t="s">
        <v>1580</v>
      </c>
      <c r="L1301" s="107" t="str">
        <f ca="1">VLOOKUP($K1301,OFFSET([1]character_type_i18n!$A$1,0,0,COUNTA([1]character_type_i18n!$A:$A),MATCH(L$1,[1]character_type_i18n!$1:$1,0)-MATCH($K$1,[1]character_type_i18n!$1:$1,0)+1),MATCH(L$1,[1]character_type_i18n!$1:$1,0)-MATCH($K$1,[1]character_type_i18n!$1:$1,0)+1,FALSE)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01" s="105" t="s">
        <v>1408</v>
      </c>
      <c r="N1301" s="107" t="str">
        <f>VLOOKUP(M1301,[1]character_tribe_i18n!A:C,3,FALSE)</f>
        <v>Unknown</v>
      </c>
      <c r="O1301" s="105" t="s">
        <v>1596</v>
      </c>
      <c r="P1301" s="107" t="str">
        <f>VLOOKUP(O1301,[1]character_tribe_i18n!A:C,3,FALSE)</f>
        <v>種族なし</v>
      </c>
      <c r="Q1301" s="110"/>
      <c r="R1301" s="178">
        <v>1</v>
      </c>
      <c r="S1301" s="108" t="s">
        <v>280</v>
      </c>
      <c r="T1301" s="108" t="s">
        <v>281</v>
      </c>
      <c r="U1301" s="108" t="s">
        <v>280</v>
      </c>
      <c r="V1301" s="108" t="s">
        <v>280</v>
      </c>
      <c r="W1301" s="108" t="s">
        <v>280</v>
      </c>
    </row>
    <row r="1302" spans="1:23" ht="21" customHeight="1" x14ac:dyDescent="0.2">
      <c r="A1302" s="187">
        <v>1301</v>
      </c>
      <c r="B1302" s="105" t="s">
        <v>268</v>
      </c>
      <c r="C1302" s="188" t="s">
        <v>3694</v>
      </c>
      <c r="D1302" s="123"/>
      <c r="E1302" s="108"/>
      <c r="F1302" s="114"/>
      <c r="G1302" s="114"/>
      <c r="H1302" s="183" t="s">
        <v>285</v>
      </c>
      <c r="I1302" s="188">
        <v>6</v>
      </c>
      <c r="J1302" s="109" t="s">
        <v>2069</v>
      </c>
      <c r="K1302" s="105" t="s">
        <v>2953</v>
      </c>
      <c r="L1302" s="107" t="str">
        <f ca="1">VLOOKUP($K1302,OFFSET([1]character_type_i18n!$A$1,0,0,COUNTA([1]character_type_i18n!$A:$A),MATCH(L$1,[1]character_type_i18n!$1:$1,0)-MATCH($K$1,[1]character_type_i18n!$1:$1,0)+1),MATCH(L$1,[1]character_type_i18n!$1:$1,0)-MATCH($K$1,[1]character_type_i18n!$1:$1,0)+1,FALSE)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02" s="105" t="s">
        <v>1164</v>
      </c>
      <c r="N1302" s="107" t="str">
        <f>VLOOKUP(M1302,[1]character_tribe_i18n!A:C,3,FALSE)</f>
        <v>Unknown</v>
      </c>
      <c r="O1302" s="105" t="s">
        <v>1423</v>
      </c>
      <c r="P1302" s="107" t="str">
        <f>VLOOKUP(O1302,[1]character_tribe_i18n!A:C,3,FALSE)</f>
        <v>種族なし</v>
      </c>
      <c r="Q1302" s="110"/>
      <c r="R1302" s="178">
        <v>1</v>
      </c>
      <c r="S1302" s="108" t="s">
        <v>306</v>
      </c>
      <c r="T1302" s="108" t="s">
        <v>307</v>
      </c>
      <c r="U1302" s="108" t="s">
        <v>306</v>
      </c>
      <c r="V1302" s="108" t="s">
        <v>306</v>
      </c>
      <c r="W1302" s="108" t="s">
        <v>306</v>
      </c>
    </row>
    <row r="1303" spans="1:23" ht="21" customHeight="1" x14ac:dyDescent="0.2">
      <c r="A1303" s="187">
        <v>1302</v>
      </c>
      <c r="B1303" s="105" t="s">
        <v>314</v>
      </c>
      <c r="C1303" s="188" t="s">
        <v>3695</v>
      </c>
      <c r="D1303" s="123"/>
      <c r="E1303" s="108"/>
      <c r="F1303" s="114"/>
      <c r="G1303" s="114"/>
      <c r="H1303" s="183" t="s">
        <v>300</v>
      </c>
      <c r="I1303" s="188">
        <v>5</v>
      </c>
      <c r="J1303" s="109" t="s">
        <v>1399</v>
      </c>
      <c r="K1303" s="105" t="s">
        <v>2771</v>
      </c>
      <c r="L1303" s="107" t="str">
        <f ca="1">VLOOKUP($K1303,OFFSET([1]character_type_i18n!$A$1,0,0,COUNTA([1]character_type_i18n!$A:$A),MATCH(L$1,[1]character_type_i18n!$1:$1,0)-MATCH($K$1,[1]character_type_i18n!$1:$1,0)+1),MATCH(L$1,[1]character_type_i18n!$1:$1,0)-MATCH($K$1,[1]character_type_i18n!$1:$1,0)+1,FALSE)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03" s="105" t="s">
        <v>1164</v>
      </c>
      <c r="N1303" s="107" t="str">
        <f>VLOOKUP(M1303,[1]character_tribe_i18n!A:C,3,FALSE)</f>
        <v>Unknown</v>
      </c>
      <c r="O1303" s="105" t="s">
        <v>1423</v>
      </c>
      <c r="P1303" s="107" t="str">
        <f>VLOOKUP(O1303,[1]character_tribe_i18n!A:C,3,FALSE)</f>
        <v>種族なし</v>
      </c>
      <c r="Q1303" s="110"/>
      <c r="R1303" s="178">
        <v>1</v>
      </c>
      <c r="S1303" s="108" t="s">
        <v>306</v>
      </c>
      <c r="T1303" s="108" t="s">
        <v>307</v>
      </c>
      <c r="U1303" s="108" t="s">
        <v>306</v>
      </c>
      <c r="V1303" s="108" t="s">
        <v>306</v>
      </c>
      <c r="W1303" s="108" t="s">
        <v>306</v>
      </c>
    </row>
    <row r="1304" spans="1:23" ht="21" customHeight="1" x14ac:dyDescent="0.2">
      <c r="A1304" s="187">
        <v>1303</v>
      </c>
      <c r="B1304" s="105" t="s">
        <v>314</v>
      </c>
      <c r="C1304" s="188" t="s">
        <v>3696</v>
      </c>
      <c r="D1304" s="123"/>
      <c r="E1304" s="108"/>
      <c r="F1304" s="114"/>
      <c r="G1304" s="114"/>
      <c r="H1304" s="183" t="s">
        <v>300</v>
      </c>
      <c r="I1304" s="188">
        <v>6</v>
      </c>
      <c r="J1304" s="109" t="s">
        <v>1399</v>
      </c>
      <c r="K1304" s="105" t="s">
        <v>2771</v>
      </c>
      <c r="L1304" s="107" t="str">
        <f ca="1">VLOOKUP($K1304,OFFSET([1]character_type_i18n!$A$1,0,0,COUNTA([1]character_type_i18n!$A:$A),MATCH(L$1,[1]character_type_i18n!$1:$1,0)-MATCH($K$1,[1]character_type_i18n!$1:$1,0)+1),MATCH(L$1,[1]character_type_i18n!$1:$1,0)-MATCH($K$1,[1]character_type_i18n!$1:$1,0)+1,FALSE)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04" s="105" t="s">
        <v>1164</v>
      </c>
      <c r="N1304" s="107" t="str">
        <f>VLOOKUP(M1304,[1]character_tribe_i18n!A:C,3,FALSE)</f>
        <v>Unknown</v>
      </c>
      <c r="O1304" s="105" t="s">
        <v>1423</v>
      </c>
      <c r="P1304" s="107" t="str">
        <f>VLOOKUP(O1304,[1]character_tribe_i18n!A:C,3,FALSE)</f>
        <v>種族なし</v>
      </c>
      <c r="Q1304" s="110"/>
      <c r="R1304" s="178">
        <v>1</v>
      </c>
      <c r="S1304" s="108" t="s">
        <v>306</v>
      </c>
      <c r="T1304" s="108" t="s">
        <v>307</v>
      </c>
      <c r="U1304" s="108" t="s">
        <v>306</v>
      </c>
      <c r="V1304" s="108" t="s">
        <v>306</v>
      </c>
      <c r="W1304" s="108" t="s">
        <v>306</v>
      </c>
    </row>
    <row r="1305" spans="1:23" ht="21" customHeight="1" x14ac:dyDescent="0.2">
      <c r="A1305" s="187">
        <v>1304</v>
      </c>
      <c r="B1305" s="105" t="s">
        <v>314</v>
      </c>
      <c r="C1305" s="188" t="s">
        <v>3697</v>
      </c>
      <c r="D1305" s="123"/>
      <c r="E1305" s="108"/>
      <c r="F1305" s="114"/>
      <c r="G1305" s="114"/>
      <c r="H1305" s="183" t="s">
        <v>295</v>
      </c>
      <c r="I1305" s="188">
        <v>5</v>
      </c>
      <c r="J1305" s="109" t="s">
        <v>1399</v>
      </c>
      <c r="K1305" s="105" t="s">
        <v>1580</v>
      </c>
      <c r="L1305" s="107" t="str">
        <f ca="1">VLOOKUP($K1305,OFFSET([1]character_type_i18n!$A$1,0,0,COUNTA([1]character_type_i18n!$A:$A),MATCH(L$1,[1]character_type_i18n!$1:$1,0)-MATCH($K$1,[1]character_type_i18n!$1:$1,0)+1),MATCH(L$1,[1]character_type_i18n!$1:$1,0)-MATCH($K$1,[1]character_type_i18n!$1:$1,0)+1,FALSE)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05" s="105" t="s">
        <v>1408</v>
      </c>
      <c r="N1305" s="107" t="str">
        <f>VLOOKUP(M1305,[1]character_tribe_i18n!A:C,3,FALSE)</f>
        <v>Unknown</v>
      </c>
      <c r="O1305" s="105" t="s">
        <v>1423</v>
      </c>
      <c r="P1305" s="107" t="str">
        <f>VLOOKUP(O1305,[1]character_tribe_i18n!A:C,3,FALSE)</f>
        <v>種族なし</v>
      </c>
      <c r="Q1305" s="110"/>
      <c r="R1305" s="178">
        <v>1</v>
      </c>
      <c r="S1305" s="108" t="s">
        <v>280</v>
      </c>
      <c r="T1305" s="108" t="s">
        <v>281</v>
      </c>
      <c r="U1305" s="108" t="s">
        <v>280</v>
      </c>
      <c r="V1305" s="108" t="s">
        <v>280</v>
      </c>
      <c r="W1305" s="108" t="s">
        <v>280</v>
      </c>
    </row>
    <row r="1306" spans="1:23" ht="21" customHeight="1" x14ac:dyDescent="0.2">
      <c r="A1306" s="187">
        <v>1305</v>
      </c>
      <c r="B1306" s="105" t="s">
        <v>268</v>
      </c>
      <c r="C1306" s="188" t="s">
        <v>3698</v>
      </c>
      <c r="D1306" s="123"/>
      <c r="E1306" s="108"/>
      <c r="F1306" s="114"/>
      <c r="G1306" s="114"/>
      <c r="H1306" s="183" t="s">
        <v>295</v>
      </c>
      <c r="I1306" s="188">
        <v>6</v>
      </c>
      <c r="J1306" s="109" t="s">
        <v>1504</v>
      </c>
      <c r="K1306" s="105" t="s">
        <v>1505</v>
      </c>
      <c r="L1306" s="107" t="str">
        <f ca="1">VLOOKUP($K1306,OFFSET([1]character_type_i18n!$A$1,0,0,COUNTA([1]character_type_i18n!$A:$A),MATCH(L$1,[1]character_type_i18n!$1:$1,0)-MATCH($K$1,[1]character_type_i18n!$1:$1,0)+1),MATCH(L$1,[1]character_type_i18n!$1:$1,0)-MATCH($K$1,[1]character_type_i18n!$1:$1,0)+1,FALSE)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06" s="105" t="s">
        <v>1164</v>
      </c>
      <c r="N1306" s="107" t="str">
        <f>VLOOKUP(M1306,[1]character_tribe_i18n!A:C,3,FALSE)</f>
        <v>Unknown</v>
      </c>
      <c r="O1306" s="105" t="s">
        <v>1423</v>
      </c>
      <c r="P1306" s="107" t="str">
        <f>VLOOKUP(O1306,[1]character_tribe_i18n!A:C,3,FALSE)</f>
        <v>種族なし</v>
      </c>
      <c r="Q1306" s="110"/>
      <c r="R1306" s="178">
        <v>1</v>
      </c>
      <c r="S1306" s="108" t="s">
        <v>3699</v>
      </c>
      <c r="T1306" s="108" t="s">
        <v>281</v>
      </c>
      <c r="U1306" s="108" t="s">
        <v>280</v>
      </c>
      <c r="V1306" s="108" t="s">
        <v>894</v>
      </c>
      <c r="W1306" s="108" t="s">
        <v>894</v>
      </c>
    </row>
    <row r="1307" spans="1:23" ht="21" customHeight="1" x14ac:dyDescent="0.2">
      <c r="A1307" s="187">
        <v>1306</v>
      </c>
      <c r="B1307" s="105" t="s">
        <v>1261</v>
      </c>
      <c r="C1307" s="188" t="s">
        <v>3700</v>
      </c>
      <c r="D1307" s="123"/>
      <c r="E1307" s="108"/>
      <c r="F1307" s="114"/>
      <c r="G1307" s="114"/>
      <c r="H1307" s="183" t="s">
        <v>300</v>
      </c>
      <c r="I1307" s="188">
        <v>5</v>
      </c>
      <c r="J1307" s="109" t="s">
        <v>3384</v>
      </c>
      <c r="K1307" s="105" t="s">
        <v>1273</v>
      </c>
      <c r="L1307" s="107" t="str">
        <f ca="1">VLOOKUP($K1307,OFFSET([1]character_type_i18n!$A$1,0,0,COUNTA([1]character_type_i18n!$A:$A),MATCH(L$1,[1]character_type_i18n!$1:$1,0)-MATCH($K$1,[1]character_type_i18n!$1:$1,0)+1),MATCH(L$1,[1]character_type_i18n!$1:$1,0)-MATCH($K$1,[1]character_type_i18n!$1:$1,0)+1,FALSE)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07" s="105" t="s">
        <v>1408</v>
      </c>
      <c r="N1307" s="107" t="str">
        <f>VLOOKUP(M1307,[1]character_tribe_i18n!A:C,3,FALSE)</f>
        <v>Unknown</v>
      </c>
      <c r="O1307" s="105" t="s">
        <v>3446</v>
      </c>
      <c r="P1307" s="107" t="str">
        <f>VLOOKUP(O1307,[1]character_tribe_i18n!A:C,3,FALSE)</f>
        <v>種族なし</v>
      </c>
      <c r="Q1307" s="110"/>
      <c r="R1307" s="178">
        <v>1</v>
      </c>
      <c r="S1307" s="108" t="s">
        <v>280</v>
      </c>
      <c r="T1307" s="108" t="s">
        <v>3701</v>
      </c>
      <c r="U1307" s="108" t="s">
        <v>3702</v>
      </c>
      <c r="V1307" s="108" t="s">
        <v>894</v>
      </c>
      <c r="W1307" s="108" t="s">
        <v>894</v>
      </c>
    </row>
    <row r="1308" spans="1:23" ht="21" customHeight="1" x14ac:dyDescent="0.2">
      <c r="A1308" s="187">
        <v>1307</v>
      </c>
      <c r="B1308" s="105" t="s">
        <v>1261</v>
      </c>
      <c r="C1308" s="188" t="s">
        <v>3703</v>
      </c>
      <c r="D1308" s="123"/>
      <c r="E1308" s="108"/>
      <c r="F1308" s="114"/>
      <c r="G1308" s="114"/>
      <c r="H1308" s="183" t="s">
        <v>300</v>
      </c>
      <c r="I1308" s="188">
        <v>6</v>
      </c>
      <c r="J1308" s="109" t="s">
        <v>3384</v>
      </c>
      <c r="K1308" s="105" t="s">
        <v>1273</v>
      </c>
      <c r="L1308" s="107" t="str">
        <f ca="1">VLOOKUP($K1308,OFFSET([1]character_type_i18n!$A$1,0,0,COUNTA([1]character_type_i18n!$A:$A),MATCH(L$1,[1]character_type_i18n!$1:$1,0)-MATCH($K$1,[1]character_type_i18n!$1:$1,0)+1),MATCH(L$1,[1]character_type_i18n!$1:$1,0)-MATCH($K$1,[1]character_type_i18n!$1:$1,0)+1,FALSE)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08" s="105" t="s">
        <v>1408</v>
      </c>
      <c r="N1308" s="107" t="str">
        <f>VLOOKUP(M1308,[1]character_tribe_i18n!A:C,3,FALSE)</f>
        <v>Unknown</v>
      </c>
      <c r="O1308" s="105" t="s">
        <v>1704</v>
      </c>
      <c r="P1308" s="107" t="str">
        <f>VLOOKUP(O1308,[1]character_tribe_i18n!A:C,3,FALSE)</f>
        <v>種族なし</v>
      </c>
      <c r="Q1308" s="110"/>
      <c r="R1308" s="178">
        <v>1</v>
      </c>
      <c r="S1308" s="108" t="s">
        <v>1659</v>
      </c>
      <c r="T1308" s="108" t="s">
        <v>281</v>
      </c>
      <c r="U1308" s="108" t="s">
        <v>280</v>
      </c>
      <c r="V1308" s="108" t="s">
        <v>894</v>
      </c>
      <c r="W1308" s="108" t="s">
        <v>894</v>
      </c>
    </row>
    <row r="1309" spans="1:23" ht="21" customHeight="1" x14ac:dyDescent="0.2">
      <c r="A1309" s="187">
        <v>1308</v>
      </c>
      <c r="B1309" s="105" t="s">
        <v>1261</v>
      </c>
      <c r="C1309" s="188" t="s">
        <v>3704</v>
      </c>
      <c r="D1309" s="123"/>
      <c r="E1309" s="108"/>
      <c r="F1309" s="114"/>
      <c r="G1309" s="114"/>
      <c r="H1309" s="183" t="s">
        <v>285</v>
      </c>
      <c r="I1309" s="188">
        <v>6</v>
      </c>
      <c r="J1309" s="109" t="s">
        <v>1976</v>
      </c>
      <c r="K1309" s="105" t="s">
        <v>1292</v>
      </c>
      <c r="L1309" s="107" t="str">
        <f ca="1">VLOOKUP($K1309,OFFSET([1]character_type_i18n!$A$1,0,0,COUNTA([1]character_type_i18n!$A:$A),MATCH(L$1,[1]character_type_i18n!$1:$1,0)-MATCH($K$1,[1]character_type_i18n!$1:$1,0)+1),MATCH(L$1,[1]character_type_i18n!$1:$1,0)-MATCH($K$1,[1]character_type_i18n!$1:$1,0)+1,FALSE)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09" s="105" t="s">
        <v>1408</v>
      </c>
      <c r="N1309" s="107" t="str">
        <f>VLOOKUP(M1309,[1]character_tribe_i18n!A:C,3,FALSE)</f>
        <v>Unknown</v>
      </c>
      <c r="O1309" s="105" t="s">
        <v>3446</v>
      </c>
      <c r="P1309" s="107" t="str">
        <f>VLOOKUP(O1309,[1]character_tribe_i18n!A:C,3,FALSE)</f>
        <v>種族なし</v>
      </c>
      <c r="Q1309" s="110"/>
      <c r="R1309" s="178">
        <v>1</v>
      </c>
      <c r="S1309" s="108" t="s">
        <v>280</v>
      </c>
      <c r="T1309" s="108" t="s">
        <v>281</v>
      </c>
      <c r="U1309" s="108" t="s">
        <v>280</v>
      </c>
      <c r="V1309" s="108" t="s">
        <v>894</v>
      </c>
      <c r="W1309" s="108" t="s">
        <v>894</v>
      </c>
    </row>
    <row r="1310" spans="1:23" ht="21" customHeight="1" x14ac:dyDescent="0.2">
      <c r="A1310" s="187">
        <v>1309</v>
      </c>
      <c r="B1310" s="105" t="s">
        <v>1261</v>
      </c>
      <c r="C1310" s="188" t="s">
        <v>3705</v>
      </c>
      <c r="D1310" s="123"/>
      <c r="E1310" s="108"/>
      <c r="F1310" s="114"/>
      <c r="G1310" s="114"/>
      <c r="H1310" s="183" t="s">
        <v>285</v>
      </c>
      <c r="I1310" s="188">
        <v>6</v>
      </c>
      <c r="J1310" s="109" t="s">
        <v>1180</v>
      </c>
      <c r="K1310" s="105" t="s">
        <v>1505</v>
      </c>
      <c r="L1310" s="107" t="str">
        <f ca="1">VLOOKUP($K1310,OFFSET([1]character_type_i18n!$A$1,0,0,COUNTA([1]character_type_i18n!$A:$A),MATCH(L$1,[1]character_type_i18n!$1:$1,0)-MATCH($K$1,[1]character_type_i18n!$1:$1,0)+1),MATCH(L$1,[1]character_type_i18n!$1:$1,0)-MATCH($K$1,[1]character_type_i18n!$1:$1,0)+1,FALSE)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10" s="105" t="s">
        <v>1164</v>
      </c>
      <c r="N1310" s="107" t="str">
        <f>VLOOKUP(M1310,[1]character_tribe_i18n!A:C,3,FALSE)</f>
        <v>Unknown</v>
      </c>
      <c r="O1310" s="105" t="s">
        <v>1420</v>
      </c>
      <c r="P1310" s="107" t="str">
        <f>VLOOKUP(O1310,[1]character_tribe_i18n!A:C,3,FALSE)</f>
        <v>種族なし</v>
      </c>
      <c r="Q1310" s="110"/>
      <c r="R1310" s="178">
        <v>1</v>
      </c>
      <c r="S1310" s="108" t="s">
        <v>280</v>
      </c>
      <c r="T1310" s="108" t="s">
        <v>281</v>
      </c>
      <c r="U1310" s="108" t="s">
        <v>280</v>
      </c>
      <c r="V1310" s="108" t="s">
        <v>280</v>
      </c>
      <c r="W1310" s="108" t="s">
        <v>280</v>
      </c>
    </row>
    <row r="1311" spans="1:23" ht="21" customHeight="1" x14ac:dyDescent="0.2">
      <c r="A1311" s="187">
        <v>1310</v>
      </c>
      <c r="B1311" s="105" t="s">
        <v>268</v>
      </c>
      <c r="C1311" s="188" t="s">
        <v>3706</v>
      </c>
      <c r="D1311" s="123"/>
      <c r="E1311" s="108"/>
      <c r="F1311" s="114"/>
      <c r="G1311" s="114"/>
      <c r="H1311" s="183" t="s">
        <v>285</v>
      </c>
      <c r="I1311" s="188">
        <v>6</v>
      </c>
      <c r="J1311" s="109" t="s">
        <v>1180</v>
      </c>
      <c r="K1311" s="105" t="s">
        <v>1005</v>
      </c>
      <c r="L1311" s="107" t="str">
        <f ca="1">VLOOKUP($K1311,OFFSET([1]character_type_i18n!$A$1,0,0,COUNTA([1]character_type_i18n!$A:$A),MATCH(L$1,[1]character_type_i18n!$1:$1,0)-MATCH($K$1,[1]character_type_i18n!$1:$1,0)+1),MATCH(L$1,[1]character_type_i18n!$1:$1,0)-MATCH($K$1,[1]character_type_i18n!$1:$1,0)+1,FALSE)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11" s="105" t="s">
        <v>1408</v>
      </c>
      <c r="N1311" s="107" t="str">
        <f>VLOOKUP(M1311,[1]character_tribe_i18n!A:C,3,FALSE)</f>
        <v>Unknown</v>
      </c>
      <c r="O1311" s="105" t="s">
        <v>1423</v>
      </c>
      <c r="P1311" s="107" t="str">
        <f>VLOOKUP(O1311,[1]character_tribe_i18n!A:C,3,FALSE)</f>
        <v>種族なし</v>
      </c>
      <c r="Q1311" s="110"/>
      <c r="R1311" s="178">
        <v>1</v>
      </c>
      <c r="S1311" s="108" t="s">
        <v>306</v>
      </c>
      <c r="T1311" s="108" t="s">
        <v>307</v>
      </c>
      <c r="U1311" s="108" t="s">
        <v>306</v>
      </c>
      <c r="V1311" s="108" t="s">
        <v>306</v>
      </c>
      <c r="W1311" s="108" t="s">
        <v>306</v>
      </c>
    </row>
    <row r="1312" spans="1:23" ht="21" customHeight="1" x14ac:dyDescent="0.2">
      <c r="A1312" s="187">
        <v>1311</v>
      </c>
      <c r="B1312" s="105" t="s">
        <v>314</v>
      </c>
      <c r="C1312" s="188" t="s">
        <v>3707</v>
      </c>
      <c r="D1312" s="123"/>
      <c r="E1312" s="108"/>
      <c r="F1312" s="114"/>
      <c r="G1312" s="114"/>
      <c r="H1312" s="183" t="s">
        <v>300</v>
      </c>
      <c r="I1312" s="188">
        <v>6</v>
      </c>
      <c r="J1312" s="109" t="s">
        <v>1582</v>
      </c>
      <c r="K1312" s="105" t="s">
        <v>2771</v>
      </c>
      <c r="L1312" s="107" t="str">
        <f ca="1">VLOOKUP($K1312,OFFSET([1]character_type_i18n!$A$1,0,0,COUNTA([1]character_type_i18n!$A:$A),MATCH(L$1,[1]character_type_i18n!$1:$1,0)-MATCH($K$1,[1]character_type_i18n!$1:$1,0)+1),MATCH(L$1,[1]character_type_i18n!$1:$1,0)-MATCH($K$1,[1]character_type_i18n!$1:$1,0)+1,FALSE)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12" s="105" t="s">
        <v>1164</v>
      </c>
      <c r="N1312" s="107" t="str">
        <f>VLOOKUP(M1312,[1]character_tribe_i18n!A:C,3,FALSE)</f>
        <v>Unknown</v>
      </c>
      <c r="O1312" s="105" t="s">
        <v>1423</v>
      </c>
      <c r="P1312" s="107" t="str">
        <f>VLOOKUP(O1312,[1]character_tribe_i18n!A:C,3,FALSE)</f>
        <v>種族なし</v>
      </c>
      <c r="Q1312" s="110"/>
      <c r="R1312" s="178">
        <v>1</v>
      </c>
      <c r="S1312" s="108" t="s">
        <v>306</v>
      </c>
      <c r="T1312" s="108" t="s">
        <v>307</v>
      </c>
      <c r="U1312" s="108" t="s">
        <v>306</v>
      </c>
      <c r="V1312" s="108" t="s">
        <v>306</v>
      </c>
      <c r="W1312" s="108" t="s">
        <v>306</v>
      </c>
    </row>
    <row r="1313" spans="1:23" ht="21" customHeight="1" x14ac:dyDescent="0.2">
      <c r="A1313" s="187">
        <v>1312</v>
      </c>
      <c r="B1313" s="105" t="s">
        <v>314</v>
      </c>
      <c r="C1313" s="188" t="s">
        <v>3708</v>
      </c>
      <c r="D1313" s="123"/>
      <c r="E1313" s="108"/>
      <c r="F1313" s="114"/>
      <c r="G1313" s="114"/>
      <c r="H1313" s="183" t="s">
        <v>300</v>
      </c>
      <c r="I1313" s="188">
        <v>6</v>
      </c>
      <c r="J1313" s="109" t="s">
        <v>1582</v>
      </c>
      <c r="K1313" s="105" t="s">
        <v>1948</v>
      </c>
      <c r="L1313" s="107" t="str">
        <f ca="1">VLOOKUP($K1313,OFFSET([1]character_type_i18n!$A$1,0,0,COUNTA([1]character_type_i18n!$A:$A),MATCH(L$1,[1]character_type_i18n!$1:$1,0)-MATCH($K$1,[1]character_type_i18n!$1:$1,0)+1),MATCH(L$1,[1]character_type_i18n!$1:$1,0)-MATCH($K$1,[1]character_type_i18n!$1:$1,0)+1,FALSE)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313" s="105" t="s">
        <v>1164</v>
      </c>
      <c r="N1313" s="107" t="str">
        <f>VLOOKUP(M1313,[1]character_tribe_i18n!A:C,3,FALSE)</f>
        <v>Unknown</v>
      </c>
      <c r="O1313" s="105" t="s">
        <v>1423</v>
      </c>
      <c r="P1313" s="107" t="str">
        <f>VLOOKUP(O1313,[1]character_tribe_i18n!A:C,3,FALSE)</f>
        <v>種族なし</v>
      </c>
      <c r="Q1313" s="110"/>
      <c r="R1313" s="178">
        <v>1</v>
      </c>
      <c r="S1313" s="108" t="s">
        <v>306</v>
      </c>
      <c r="T1313" s="108" t="s">
        <v>307</v>
      </c>
      <c r="U1313" s="108" t="s">
        <v>306</v>
      </c>
      <c r="V1313" s="108" t="s">
        <v>306</v>
      </c>
      <c r="W1313" s="108" t="s">
        <v>306</v>
      </c>
    </row>
    <row r="1314" spans="1:23" ht="21" customHeight="1" x14ac:dyDescent="0.2">
      <c r="A1314" s="187">
        <v>1313</v>
      </c>
      <c r="B1314" s="105" t="s">
        <v>314</v>
      </c>
      <c r="C1314" s="188" t="s">
        <v>3709</v>
      </c>
      <c r="D1314" s="123"/>
      <c r="E1314" s="108"/>
      <c r="F1314" s="114"/>
      <c r="G1314" s="114"/>
      <c r="H1314" s="183" t="s">
        <v>274</v>
      </c>
      <c r="I1314" s="188">
        <v>5</v>
      </c>
      <c r="J1314" s="109" t="s">
        <v>805</v>
      </c>
      <c r="K1314" s="105" t="s">
        <v>1400</v>
      </c>
      <c r="L1314" s="107" t="str">
        <f ca="1">VLOOKUP($K1314,OFFSET([1]character_type_i18n!$A$1,0,0,COUNTA([1]character_type_i18n!$A:$A),MATCH(L$1,[1]character_type_i18n!$1:$1,0)-MATCH($K$1,[1]character_type_i18n!$1:$1,0)+1),MATCH(L$1,[1]character_type_i18n!$1:$1,0)-MATCH($K$1,[1]character_type_i18n!$1:$1,0)+1,FALSE)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14" s="105" t="s">
        <v>1164</v>
      </c>
      <c r="N1314" s="107" t="str">
        <f>VLOOKUP(M1314,[1]character_tribe_i18n!A:C,3,FALSE)</f>
        <v>Unknown</v>
      </c>
      <c r="O1314" s="105" t="s">
        <v>1596</v>
      </c>
      <c r="P1314" s="107" t="str">
        <f>VLOOKUP(O1314,[1]character_tribe_i18n!A:C,3,FALSE)</f>
        <v>種族なし</v>
      </c>
      <c r="Q1314" s="110"/>
      <c r="R1314" s="178">
        <v>1</v>
      </c>
      <c r="S1314" s="108" t="s">
        <v>3710</v>
      </c>
      <c r="T1314" s="108" t="s">
        <v>2468</v>
      </c>
      <c r="U1314" s="108" t="s">
        <v>1540</v>
      </c>
      <c r="V1314" s="108" t="s">
        <v>894</v>
      </c>
      <c r="W1314" s="108" t="s">
        <v>894</v>
      </c>
    </row>
    <row r="1315" spans="1:23" ht="21" customHeight="1" x14ac:dyDescent="0.2">
      <c r="A1315" s="187">
        <v>1314</v>
      </c>
      <c r="B1315" s="105" t="s">
        <v>1261</v>
      </c>
      <c r="C1315" s="188" t="s">
        <v>3711</v>
      </c>
      <c r="D1315" s="123"/>
      <c r="E1315" s="108"/>
      <c r="F1315" s="114"/>
      <c r="G1315" s="114"/>
      <c r="H1315" s="183" t="s">
        <v>274</v>
      </c>
      <c r="I1315" s="188">
        <v>5</v>
      </c>
      <c r="J1315" s="109" t="s">
        <v>805</v>
      </c>
      <c r="K1315" s="105" t="s">
        <v>3712</v>
      </c>
      <c r="L1315" s="107" t="str">
        <f ca="1">VLOOKUP($K1315,OFFSET([1]character_type_i18n!$A$1,0,0,COUNTA([1]character_type_i18n!$A:$A),MATCH(L$1,[1]character_type_i18n!$1:$1,0)-MATCH($K$1,[1]character_type_i18n!$1:$1,0)+1),MATCH(L$1,[1]character_type_i18n!$1:$1,0)-MATCH($K$1,[1]character_type_i18n!$1:$1,0)+1,FALSE)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315" s="105" t="s">
        <v>1164</v>
      </c>
      <c r="N1315" s="107" t="str">
        <f>VLOOKUP(M1315,[1]character_tribe_i18n!A:C,3,FALSE)</f>
        <v>Unknown</v>
      </c>
      <c r="O1315" s="105" t="s">
        <v>1420</v>
      </c>
      <c r="P1315" s="107" t="str">
        <f>VLOOKUP(O1315,[1]character_tribe_i18n!A:C,3,FALSE)</f>
        <v>種族なし</v>
      </c>
      <c r="Q1315" s="110"/>
      <c r="R1315" s="178">
        <v>1</v>
      </c>
      <c r="S1315" s="108" t="s">
        <v>280</v>
      </c>
      <c r="T1315" s="108" t="s">
        <v>2412</v>
      </c>
      <c r="U1315" s="108" t="s">
        <v>2413</v>
      </c>
      <c r="V1315" s="108" t="s">
        <v>894</v>
      </c>
      <c r="W1315" s="108" t="s">
        <v>894</v>
      </c>
    </row>
    <row r="1316" spans="1:23" ht="21" customHeight="1" x14ac:dyDescent="0.2">
      <c r="A1316" s="187">
        <v>1315</v>
      </c>
      <c r="B1316" s="105" t="s">
        <v>1261</v>
      </c>
      <c r="C1316" s="188" t="s">
        <v>3713</v>
      </c>
      <c r="D1316" s="123"/>
      <c r="E1316" s="108"/>
      <c r="F1316" s="114"/>
      <c r="G1316" s="114"/>
      <c r="H1316" s="183" t="s">
        <v>295</v>
      </c>
      <c r="I1316" s="188">
        <v>5</v>
      </c>
      <c r="J1316" s="109" t="s">
        <v>805</v>
      </c>
      <c r="K1316" s="105" t="s">
        <v>1505</v>
      </c>
      <c r="L1316" s="107" t="str">
        <f ca="1">VLOOKUP($K1316,OFFSET([1]character_type_i18n!$A$1,0,0,COUNTA([1]character_type_i18n!$A:$A),MATCH(L$1,[1]character_type_i18n!$1:$1,0)-MATCH($K$1,[1]character_type_i18n!$1:$1,0)+1),MATCH(L$1,[1]character_type_i18n!$1:$1,0)-MATCH($K$1,[1]character_type_i18n!$1:$1,0)+1,FALSE)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16" s="105" t="s">
        <v>1164</v>
      </c>
      <c r="N1316" s="107" t="str">
        <f>VLOOKUP(M1316,[1]character_tribe_i18n!A:C,3,FALSE)</f>
        <v>Unknown</v>
      </c>
      <c r="O1316" s="105" t="s">
        <v>1420</v>
      </c>
      <c r="P1316" s="107" t="str">
        <f>VLOOKUP(O1316,[1]character_tribe_i18n!A:C,3,FALSE)</f>
        <v>種族なし</v>
      </c>
      <c r="Q1316" s="110"/>
      <c r="R1316" s="178">
        <v>1</v>
      </c>
      <c r="S1316" s="108" t="s">
        <v>280</v>
      </c>
      <c r="T1316" s="108" t="s">
        <v>281</v>
      </c>
      <c r="U1316" s="108" t="s">
        <v>280</v>
      </c>
      <c r="V1316" s="108" t="s">
        <v>280</v>
      </c>
      <c r="W1316" s="108" t="s">
        <v>280</v>
      </c>
    </row>
    <row r="1317" spans="1:23" ht="21" customHeight="1" x14ac:dyDescent="0.2">
      <c r="A1317" s="187">
        <v>1316</v>
      </c>
      <c r="B1317" s="105" t="s">
        <v>268</v>
      </c>
      <c r="C1317" s="188" t="s">
        <v>3714</v>
      </c>
      <c r="D1317" s="123"/>
      <c r="E1317" s="108"/>
      <c r="F1317" s="114"/>
      <c r="G1317" s="114"/>
      <c r="H1317" s="183" t="s">
        <v>285</v>
      </c>
      <c r="I1317" s="188">
        <v>5</v>
      </c>
      <c r="J1317" s="109" t="s">
        <v>1180</v>
      </c>
      <c r="K1317" s="105" t="s">
        <v>1008</v>
      </c>
      <c r="L1317" s="107" t="str">
        <f ca="1">VLOOKUP($K1317,OFFSET([1]character_type_i18n!$A$1,0,0,COUNTA([1]character_type_i18n!$A:$A),MATCH(L$1,[1]character_type_i18n!$1:$1,0)-MATCH($K$1,[1]character_type_i18n!$1:$1,0)+1),MATCH(L$1,[1]character_type_i18n!$1:$1,0)-MATCH($K$1,[1]character_type_i18n!$1:$1,0)+1,FALSE)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17" s="105" t="s">
        <v>1408</v>
      </c>
      <c r="N1317" s="107" t="str">
        <f>VLOOKUP(M1317,[1]character_tribe_i18n!A:C,3,FALSE)</f>
        <v>Unknown</v>
      </c>
      <c r="O1317" s="105" t="s">
        <v>1423</v>
      </c>
      <c r="P1317" s="107" t="str">
        <f>VLOOKUP(O1317,[1]character_tribe_i18n!A:C,3,FALSE)</f>
        <v>種族なし</v>
      </c>
      <c r="Q1317" s="110"/>
      <c r="R1317" s="178">
        <v>1</v>
      </c>
      <c r="S1317" s="108" t="s">
        <v>306</v>
      </c>
      <c r="T1317" s="108" t="s">
        <v>307</v>
      </c>
      <c r="U1317" s="108" t="s">
        <v>306</v>
      </c>
      <c r="V1317" s="108" t="s">
        <v>306</v>
      </c>
      <c r="W1317" s="108" t="s">
        <v>306</v>
      </c>
    </row>
    <row r="1318" spans="1:23" ht="21" customHeight="1" x14ac:dyDescent="0.2">
      <c r="A1318" s="187">
        <v>1317</v>
      </c>
      <c r="B1318" s="105" t="s">
        <v>314</v>
      </c>
      <c r="C1318" s="188" t="s">
        <v>3715</v>
      </c>
      <c r="D1318" s="123"/>
      <c r="E1318" s="108"/>
      <c r="F1318" s="114"/>
      <c r="G1318" s="114"/>
      <c r="H1318" s="183" t="s">
        <v>285</v>
      </c>
      <c r="I1318" s="188">
        <v>6</v>
      </c>
      <c r="J1318" s="109" t="s">
        <v>3639</v>
      </c>
      <c r="K1318" s="105" t="s">
        <v>1292</v>
      </c>
      <c r="L1318" s="107" t="str">
        <f ca="1">VLOOKUP($K1318,OFFSET([1]character_type_i18n!$A$1,0,0,COUNTA([1]character_type_i18n!$A:$A),MATCH(L$1,[1]character_type_i18n!$1:$1,0)-MATCH($K$1,[1]character_type_i18n!$1:$1,0)+1),MATCH(L$1,[1]character_type_i18n!$1:$1,0)-MATCH($K$1,[1]character_type_i18n!$1:$1,0)+1,FALSE)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18" s="105" t="s">
        <v>1408</v>
      </c>
      <c r="N1318" s="107" t="str">
        <f>VLOOKUP(M1318,[1]character_tribe_i18n!A:C,3,FALSE)</f>
        <v>Unknown</v>
      </c>
      <c r="O1318" s="105" t="s">
        <v>3547</v>
      </c>
      <c r="P1318" s="107" t="str">
        <f>VLOOKUP(O1318,[1]character_tribe_i18n!A:C,3,FALSE)</f>
        <v>種族なし</v>
      </c>
      <c r="Q1318" s="110"/>
      <c r="R1318" s="178">
        <v>1</v>
      </c>
      <c r="S1318" s="108" t="s">
        <v>280</v>
      </c>
      <c r="T1318" s="108" t="s">
        <v>281</v>
      </c>
      <c r="U1318" s="108" t="s">
        <v>280</v>
      </c>
      <c r="V1318" s="108" t="s">
        <v>280</v>
      </c>
      <c r="W1318" s="108" t="s">
        <v>280</v>
      </c>
    </row>
    <row r="1319" spans="1:23" ht="21" customHeight="1" x14ac:dyDescent="0.2">
      <c r="A1319" s="187">
        <v>1318</v>
      </c>
      <c r="B1319" s="105" t="s">
        <v>268</v>
      </c>
      <c r="C1319" s="188" t="s">
        <v>3716</v>
      </c>
      <c r="D1319" s="123"/>
      <c r="E1319" s="108"/>
      <c r="F1319" s="114"/>
      <c r="G1319" s="114"/>
      <c r="H1319" s="183" t="s">
        <v>300</v>
      </c>
      <c r="I1319" s="188">
        <v>5</v>
      </c>
      <c r="J1319" s="109" t="s">
        <v>1001</v>
      </c>
      <c r="K1319" s="105" t="s">
        <v>989</v>
      </c>
      <c r="L1319" s="107" t="str">
        <f ca="1">VLOOKUP($K1319,OFFSET([1]character_type_i18n!$A$1,0,0,COUNTA([1]character_type_i18n!$A:$A),MATCH(L$1,[1]character_type_i18n!$1:$1,0)-MATCH($K$1,[1]character_type_i18n!$1:$1,0)+1),MATCH(L$1,[1]character_type_i18n!$1:$1,0)-MATCH($K$1,[1]character_type_i18n!$1:$1,0)+1,FALSE)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319" s="105" t="s">
        <v>1164</v>
      </c>
      <c r="N1319" s="107" t="str">
        <f>VLOOKUP(M1319,[1]character_tribe_i18n!A:C,3,FALSE)</f>
        <v>Unknown</v>
      </c>
      <c r="O1319" s="105" t="s">
        <v>1420</v>
      </c>
      <c r="P1319" s="107" t="str">
        <f>VLOOKUP(O1319,[1]character_tribe_i18n!A:C,3,FALSE)</f>
        <v>種族なし</v>
      </c>
      <c r="Q1319" s="110"/>
      <c r="R1319" s="178">
        <v>1</v>
      </c>
      <c r="S1319" s="108" t="s">
        <v>306</v>
      </c>
      <c r="T1319" s="108" t="s">
        <v>307</v>
      </c>
      <c r="U1319" s="108" t="s">
        <v>306</v>
      </c>
      <c r="V1319" s="108" t="s">
        <v>306</v>
      </c>
      <c r="W1319" s="108" t="s">
        <v>306</v>
      </c>
    </row>
    <row r="1320" spans="1:23" ht="21" customHeight="1" x14ac:dyDescent="0.2">
      <c r="A1320" s="187">
        <v>1319</v>
      </c>
      <c r="B1320" s="105" t="s">
        <v>314</v>
      </c>
      <c r="C1320" s="188" t="s">
        <v>3717</v>
      </c>
      <c r="D1320" s="123"/>
      <c r="E1320" s="108"/>
      <c r="F1320" s="114"/>
      <c r="G1320" s="114"/>
      <c r="H1320" s="183" t="s">
        <v>300</v>
      </c>
      <c r="I1320" s="188">
        <v>6</v>
      </c>
      <c r="J1320" s="109" t="s">
        <v>1582</v>
      </c>
      <c r="K1320" s="105" t="s">
        <v>1948</v>
      </c>
      <c r="L1320" s="107" t="str">
        <f ca="1">VLOOKUP($K1320,OFFSET([1]character_type_i18n!$A$1,0,0,COUNTA([1]character_type_i18n!$A:$A),MATCH(L$1,[1]character_type_i18n!$1:$1,0)-MATCH($K$1,[1]character_type_i18n!$1:$1,0)+1),MATCH(L$1,[1]character_type_i18n!$1:$1,0)-MATCH($K$1,[1]character_type_i18n!$1:$1,0)+1,FALSE)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320" s="105" t="s">
        <v>1164</v>
      </c>
      <c r="N1320" s="107" t="str">
        <f>VLOOKUP(M1320,[1]character_tribe_i18n!A:C,3,FALSE)</f>
        <v>Unknown</v>
      </c>
      <c r="O1320" s="105" t="s">
        <v>1423</v>
      </c>
      <c r="P1320" s="107" t="str">
        <f>VLOOKUP(O1320,[1]character_tribe_i18n!A:C,3,FALSE)</f>
        <v>種族なし</v>
      </c>
      <c r="Q1320" s="110"/>
      <c r="R1320" s="178">
        <v>1</v>
      </c>
      <c r="S1320" s="108" t="s">
        <v>306</v>
      </c>
      <c r="T1320" s="108" t="s">
        <v>307</v>
      </c>
      <c r="U1320" s="108" t="s">
        <v>306</v>
      </c>
      <c r="V1320" s="108" t="s">
        <v>306</v>
      </c>
      <c r="W1320" s="108" t="s">
        <v>306</v>
      </c>
    </row>
    <row r="1321" spans="1:23" ht="21" customHeight="1" x14ac:dyDescent="0.2">
      <c r="A1321" s="187">
        <v>1320</v>
      </c>
      <c r="B1321" s="105" t="s">
        <v>314</v>
      </c>
      <c r="C1321" s="188" t="s">
        <v>3718</v>
      </c>
      <c r="D1321" s="123"/>
      <c r="E1321" s="108"/>
      <c r="F1321" s="114"/>
      <c r="G1321" s="114"/>
      <c r="H1321" s="183" t="s">
        <v>300</v>
      </c>
      <c r="I1321" s="188">
        <v>5</v>
      </c>
      <c r="J1321" s="109" t="s">
        <v>1582</v>
      </c>
      <c r="K1321" s="105" t="s">
        <v>2771</v>
      </c>
      <c r="L1321" s="107" t="str">
        <f ca="1">VLOOKUP($K1321,OFFSET([1]character_type_i18n!$A$1,0,0,COUNTA([1]character_type_i18n!$A:$A),MATCH(L$1,[1]character_type_i18n!$1:$1,0)-MATCH($K$1,[1]character_type_i18n!$1:$1,0)+1),MATCH(L$1,[1]character_type_i18n!$1:$1,0)-MATCH($K$1,[1]character_type_i18n!$1:$1,0)+1,FALSE)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21" s="105" t="s">
        <v>1164</v>
      </c>
      <c r="N1321" s="107" t="str">
        <f>VLOOKUP(M1321,[1]character_tribe_i18n!A:C,3,FALSE)</f>
        <v>Unknown</v>
      </c>
      <c r="O1321" s="105" t="s">
        <v>1423</v>
      </c>
      <c r="P1321" s="107" t="str">
        <f>VLOOKUP(O1321,[1]character_tribe_i18n!A:C,3,FALSE)</f>
        <v>種族なし</v>
      </c>
      <c r="Q1321" s="110"/>
      <c r="R1321" s="178">
        <v>1</v>
      </c>
      <c r="S1321" s="108" t="s">
        <v>306</v>
      </c>
      <c r="T1321" s="108" t="s">
        <v>307</v>
      </c>
      <c r="U1321" s="108" t="s">
        <v>306</v>
      </c>
      <c r="V1321" s="108" t="s">
        <v>306</v>
      </c>
      <c r="W1321" s="108" t="s">
        <v>306</v>
      </c>
    </row>
    <row r="1322" spans="1:23" ht="21" customHeight="1" x14ac:dyDescent="0.2">
      <c r="A1322" s="187">
        <v>1321</v>
      </c>
      <c r="B1322" s="105" t="s">
        <v>314</v>
      </c>
      <c r="C1322" s="188" t="s">
        <v>3719</v>
      </c>
      <c r="D1322" s="123"/>
      <c r="E1322" s="108"/>
      <c r="F1322" s="114"/>
      <c r="G1322" s="114"/>
      <c r="H1322" s="183" t="s">
        <v>300</v>
      </c>
      <c r="I1322" s="188">
        <v>6</v>
      </c>
      <c r="J1322" s="109" t="s">
        <v>1582</v>
      </c>
      <c r="K1322" s="105" t="s">
        <v>2771</v>
      </c>
      <c r="L1322" s="107" t="str">
        <f ca="1">VLOOKUP($K1322,OFFSET([1]character_type_i18n!$A$1,0,0,COUNTA([1]character_type_i18n!$A:$A),MATCH(L$1,[1]character_type_i18n!$1:$1,0)-MATCH($K$1,[1]character_type_i18n!$1:$1,0)+1),MATCH(L$1,[1]character_type_i18n!$1:$1,0)-MATCH($K$1,[1]character_type_i18n!$1:$1,0)+1,FALSE)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22" s="105" t="s">
        <v>1164</v>
      </c>
      <c r="N1322" s="107" t="str">
        <f>VLOOKUP(M1322,[1]character_tribe_i18n!A:C,3,FALSE)</f>
        <v>Unknown</v>
      </c>
      <c r="O1322" s="105" t="s">
        <v>1423</v>
      </c>
      <c r="P1322" s="107" t="str">
        <f>VLOOKUP(O1322,[1]character_tribe_i18n!A:C,3,FALSE)</f>
        <v>種族なし</v>
      </c>
      <c r="Q1322" s="110"/>
      <c r="R1322" s="178">
        <v>1</v>
      </c>
      <c r="S1322" s="108" t="s">
        <v>306</v>
      </c>
      <c r="T1322" s="108" t="s">
        <v>307</v>
      </c>
      <c r="U1322" s="108" t="s">
        <v>306</v>
      </c>
      <c r="V1322" s="108" t="s">
        <v>306</v>
      </c>
      <c r="W1322" s="108" t="s">
        <v>306</v>
      </c>
    </row>
    <row r="1323" spans="1:23" ht="21" customHeight="1" x14ac:dyDescent="0.2">
      <c r="A1323" s="187">
        <v>1322</v>
      </c>
      <c r="B1323" s="105" t="s">
        <v>314</v>
      </c>
      <c r="C1323" s="188" t="s">
        <v>3720</v>
      </c>
      <c r="D1323" s="123"/>
      <c r="E1323" s="108"/>
      <c r="F1323" s="114"/>
      <c r="G1323" s="114"/>
      <c r="H1323" s="183" t="s">
        <v>274</v>
      </c>
      <c r="I1323" s="188">
        <v>5</v>
      </c>
      <c r="J1323" s="109" t="s">
        <v>1582</v>
      </c>
      <c r="K1323" s="105" t="s">
        <v>2771</v>
      </c>
      <c r="L1323" s="107" t="str">
        <f ca="1">VLOOKUP($K1323,OFFSET([1]character_type_i18n!$A$1,0,0,COUNTA([1]character_type_i18n!$A:$A),MATCH(L$1,[1]character_type_i18n!$1:$1,0)-MATCH($K$1,[1]character_type_i18n!$1:$1,0)+1),MATCH(L$1,[1]character_type_i18n!$1:$1,0)-MATCH($K$1,[1]character_type_i18n!$1:$1,0)+1,FALSE)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23" s="105" t="s">
        <v>1164</v>
      </c>
      <c r="N1323" s="107" t="str">
        <f>VLOOKUP(M1323,[1]character_tribe_i18n!A:C,3,FALSE)</f>
        <v>Unknown</v>
      </c>
      <c r="O1323" s="105" t="s">
        <v>1423</v>
      </c>
      <c r="P1323" s="107" t="str">
        <f>VLOOKUP(O1323,[1]character_tribe_i18n!A:C,3,FALSE)</f>
        <v>種族なし</v>
      </c>
      <c r="Q1323" s="110"/>
      <c r="R1323" s="178">
        <v>1</v>
      </c>
      <c r="S1323" s="108" t="s">
        <v>306</v>
      </c>
      <c r="T1323" s="108" t="s">
        <v>307</v>
      </c>
      <c r="U1323" s="108" t="s">
        <v>306</v>
      </c>
      <c r="V1323" s="108" t="s">
        <v>306</v>
      </c>
      <c r="W1323" s="108" t="s">
        <v>306</v>
      </c>
    </row>
    <row r="1324" spans="1:23" ht="21" customHeight="1" x14ac:dyDescent="0.2">
      <c r="A1324" s="187">
        <v>1323</v>
      </c>
      <c r="B1324" s="105" t="s">
        <v>314</v>
      </c>
      <c r="C1324" s="188" t="s">
        <v>3721</v>
      </c>
      <c r="D1324" s="123"/>
      <c r="E1324" s="108"/>
      <c r="F1324" s="114"/>
      <c r="G1324" s="114"/>
      <c r="H1324" s="183" t="s">
        <v>274</v>
      </c>
      <c r="I1324" s="188">
        <v>6</v>
      </c>
      <c r="J1324" s="109" t="s">
        <v>1582</v>
      </c>
      <c r="K1324" s="105" t="s">
        <v>2771</v>
      </c>
      <c r="L1324" s="107" t="str">
        <f ca="1">VLOOKUP($K1324,OFFSET([1]character_type_i18n!$A$1,0,0,COUNTA([1]character_type_i18n!$A:$A),MATCH(L$1,[1]character_type_i18n!$1:$1,0)-MATCH($K$1,[1]character_type_i18n!$1:$1,0)+1),MATCH(L$1,[1]character_type_i18n!$1:$1,0)-MATCH($K$1,[1]character_type_i18n!$1:$1,0)+1,FALSE)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24" s="105" t="s">
        <v>1164</v>
      </c>
      <c r="N1324" s="107" t="str">
        <f>VLOOKUP(M1324,[1]character_tribe_i18n!A:C,3,FALSE)</f>
        <v>Unknown</v>
      </c>
      <c r="O1324" s="105" t="s">
        <v>1423</v>
      </c>
      <c r="P1324" s="107" t="str">
        <f>VLOOKUP(O1324,[1]character_tribe_i18n!A:C,3,FALSE)</f>
        <v>種族なし</v>
      </c>
      <c r="Q1324" s="110"/>
      <c r="R1324" s="178">
        <v>1</v>
      </c>
      <c r="S1324" s="108" t="s">
        <v>306</v>
      </c>
      <c r="T1324" s="108" t="s">
        <v>307</v>
      </c>
      <c r="U1324" s="108" t="s">
        <v>306</v>
      </c>
      <c r="V1324" s="108" t="s">
        <v>306</v>
      </c>
      <c r="W1324" s="108" t="s">
        <v>306</v>
      </c>
    </row>
    <row r="1325" spans="1:23" ht="21" customHeight="1" x14ac:dyDescent="0.2">
      <c r="A1325" s="187">
        <v>1324</v>
      </c>
      <c r="B1325" s="105" t="s">
        <v>314</v>
      </c>
      <c r="C1325" s="188" t="s">
        <v>3722</v>
      </c>
      <c r="D1325" s="123"/>
      <c r="E1325" s="108"/>
      <c r="F1325" s="114"/>
      <c r="G1325" s="114"/>
      <c r="H1325" s="183" t="s">
        <v>285</v>
      </c>
      <c r="I1325" s="188">
        <v>4</v>
      </c>
      <c r="J1325" s="109" t="s">
        <v>1399</v>
      </c>
      <c r="K1325" s="105" t="s">
        <v>1400</v>
      </c>
      <c r="L1325" s="107" t="str">
        <f ca="1">VLOOKUP($K1325,OFFSET([1]character_type_i18n!$A$1,0,0,COUNTA([1]character_type_i18n!$A:$A),MATCH(L$1,[1]character_type_i18n!$1:$1,0)-MATCH($K$1,[1]character_type_i18n!$1:$1,0)+1),MATCH(L$1,[1]character_type_i18n!$1:$1,0)-MATCH($K$1,[1]character_type_i18n!$1:$1,0)+1,FALSE)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5" s="105" t="s">
        <v>1011</v>
      </c>
      <c r="N1325" s="107" t="str">
        <f>VLOOKUP(M1325,[1]character_tribe_i18n!A:C,3,FALSE)</f>
        <v>ヒューマン</v>
      </c>
      <c r="O1325" s="105" t="s">
        <v>1423</v>
      </c>
      <c r="P1325" s="107" t="str">
        <f>VLOOKUP(O1325,[1]character_tribe_i18n!A:C,3,FALSE)</f>
        <v>種族なし</v>
      </c>
      <c r="Q1325" s="110"/>
      <c r="R1325" s="178">
        <v>1</v>
      </c>
      <c r="S1325" s="108" t="s">
        <v>306</v>
      </c>
      <c r="T1325" s="108" t="s">
        <v>307</v>
      </c>
      <c r="U1325" s="108" t="s">
        <v>306</v>
      </c>
      <c r="V1325" s="108" t="s">
        <v>306</v>
      </c>
      <c r="W1325" s="108" t="s">
        <v>306</v>
      </c>
    </row>
    <row r="1326" spans="1:23" ht="21" customHeight="1" x14ac:dyDescent="0.2">
      <c r="A1326" s="187">
        <v>1325</v>
      </c>
      <c r="B1326" s="105" t="s">
        <v>314</v>
      </c>
      <c r="C1326" s="188" t="s">
        <v>3723</v>
      </c>
      <c r="D1326" s="123"/>
      <c r="E1326" s="108"/>
      <c r="F1326" s="114"/>
      <c r="G1326" s="114"/>
      <c r="H1326" s="183" t="s">
        <v>285</v>
      </c>
      <c r="I1326" s="188">
        <v>5</v>
      </c>
      <c r="J1326" s="109" t="s">
        <v>1399</v>
      </c>
      <c r="K1326" s="105" t="s">
        <v>1400</v>
      </c>
      <c r="L1326" s="107" t="str">
        <f ca="1">VLOOKUP($K1326,OFFSET([1]character_type_i18n!$A$1,0,0,COUNTA([1]character_type_i18n!$A:$A),MATCH(L$1,[1]character_type_i18n!$1:$1,0)-MATCH($K$1,[1]character_type_i18n!$1:$1,0)+1),MATCH(L$1,[1]character_type_i18n!$1:$1,0)-MATCH($K$1,[1]character_type_i18n!$1:$1,0)+1,FALSE)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6" s="105" t="s">
        <v>1011</v>
      </c>
      <c r="N1326" s="107" t="str">
        <f>VLOOKUP(M1326,[1]character_tribe_i18n!A:C,3,FALSE)</f>
        <v>ヒューマン</v>
      </c>
      <c r="O1326" s="105" t="s">
        <v>1423</v>
      </c>
      <c r="P1326" s="107" t="str">
        <f>VLOOKUP(O1326,[1]character_tribe_i18n!A:C,3,FALSE)</f>
        <v>種族なし</v>
      </c>
      <c r="Q1326" s="110"/>
      <c r="R1326" s="178">
        <v>1</v>
      </c>
      <c r="S1326" s="108" t="s">
        <v>306</v>
      </c>
      <c r="T1326" s="108" t="s">
        <v>307</v>
      </c>
      <c r="U1326" s="108" t="s">
        <v>306</v>
      </c>
      <c r="V1326" s="108" t="s">
        <v>306</v>
      </c>
      <c r="W1326" s="108" t="s">
        <v>306</v>
      </c>
    </row>
    <row r="1327" spans="1:23" ht="21" customHeight="1" x14ac:dyDescent="0.2">
      <c r="A1327" s="187">
        <v>1326</v>
      </c>
      <c r="B1327" s="105" t="s">
        <v>314</v>
      </c>
      <c r="C1327" s="188" t="s">
        <v>3724</v>
      </c>
      <c r="D1327" s="123"/>
      <c r="E1327" s="108"/>
      <c r="F1327" s="114"/>
      <c r="G1327" s="114"/>
      <c r="H1327" s="183" t="s">
        <v>295</v>
      </c>
      <c r="I1327" s="188">
        <v>5</v>
      </c>
      <c r="J1327" s="109" t="s">
        <v>1399</v>
      </c>
      <c r="K1327" s="105" t="s">
        <v>1400</v>
      </c>
      <c r="L1327" s="107" t="str">
        <f ca="1">VLOOKUP($K1327,OFFSET([1]character_type_i18n!$A$1,0,0,COUNTA([1]character_type_i18n!$A:$A),MATCH(L$1,[1]character_type_i18n!$1:$1,0)-MATCH($K$1,[1]character_type_i18n!$1:$1,0)+1),MATCH(L$1,[1]character_type_i18n!$1:$1,0)-MATCH($K$1,[1]character_type_i18n!$1:$1,0)+1,FALSE)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7" s="105" t="s">
        <v>1011</v>
      </c>
      <c r="N1327" s="107" t="str">
        <f>VLOOKUP(M1327,[1]character_tribe_i18n!A:C,3,FALSE)</f>
        <v>ヒューマン</v>
      </c>
      <c r="O1327" s="105" t="s">
        <v>1423</v>
      </c>
      <c r="P1327" s="107" t="str">
        <f>VLOOKUP(O1327,[1]character_tribe_i18n!A:C,3,FALSE)</f>
        <v>種族なし</v>
      </c>
      <c r="Q1327" s="110"/>
      <c r="R1327" s="178">
        <v>1</v>
      </c>
      <c r="S1327" s="108" t="s">
        <v>306</v>
      </c>
      <c r="T1327" s="108" t="s">
        <v>307</v>
      </c>
      <c r="U1327" s="108" t="s">
        <v>306</v>
      </c>
      <c r="V1327" s="108" t="s">
        <v>306</v>
      </c>
      <c r="W1327" s="108" t="s">
        <v>306</v>
      </c>
    </row>
    <row r="1328" spans="1:23" ht="21" customHeight="1" x14ac:dyDescent="0.2">
      <c r="A1328" s="187">
        <v>1327</v>
      </c>
      <c r="B1328" s="105" t="s">
        <v>314</v>
      </c>
      <c r="C1328" s="188" t="s">
        <v>3725</v>
      </c>
      <c r="D1328" s="123"/>
      <c r="E1328" s="108"/>
      <c r="F1328" s="114"/>
      <c r="G1328" s="114"/>
      <c r="H1328" s="183" t="s">
        <v>295</v>
      </c>
      <c r="I1328" s="188">
        <v>6</v>
      </c>
      <c r="J1328" s="109" t="s">
        <v>1399</v>
      </c>
      <c r="K1328" s="105" t="s">
        <v>1400</v>
      </c>
      <c r="L1328" s="107" t="str">
        <f ca="1">VLOOKUP($K1328,OFFSET([1]character_type_i18n!$A$1,0,0,COUNTA([1]character_type_i18n!$A:$A),MATCH(L$1,[1]character_type_i18n!$1:$1,0)-MATCH($K$1,[1]character_type_i18n!$1:$1,0)+1),MATCH(L$1,[1]character_type_i18n!$1:$1,0)-MATCH($K$1,[1]character_type_i18n!$1:$1,0)+1,FALSE)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8" s="105" t="s">
        <v>1011</v>
      </c>
      <c r="N1328" s="107" t="str">
        <f>VLOOKUP(M1328,[1]character_tribe_i18n!A:C,3,FALSE)</f>
        <v>ヒューマン</v>
      </c>
      <c r="O1328" s="105" t="s">
        <v>1423</v>
      </c>
      <c r="P1328" s="107" t="str">
        <f>VLOOKUP(O1328,[1]character_tribe_i18n!A:C,3,FALSE)</f>
        <v>種族なし</v>
      </c>
      <c r="Q1328" s="110"/>
      <c r="R1328" s="178">
        <v>1</v>
      </c>
      <c r="S1328" s="108" t="s">
        <v>306</v>
      </c>
      <c r="T1328" s="108" t="s">
        <v>307</v>
      </c>
      <c r="U1328" s="108" t="s">
        <v>306</v>
      </c>
      <c r="V1328" s="108" t="s">
        <v>306</v>
      </c>
      <c r="W1328" s="108" t="s">
        <v>306</v>
      </c>
    </row>
    <row r="1329" spans="1:23" ht="21" customHeight="1" x14ac:dyDescent="0.2">
      <c r="A1329" s="187">
        <v>1328</v>
      </c>
      <c r="B1329" s="105" t="s">
        <v>314</v>
      </c>
      <c r="C1329" s="188" t="s">
        <v>3726</v>
      </c>
      <c r="D1329" s="123"/>
      <c r="E1329" s="108"/>
      <c r="F1329" s="114"/>
      <c r="G1329" s="114"/>
      <c r="H1329" s="183" t="s">
        <v>274</v>
      </c>
      <c r="I1329" s="188">
        <v>5</v>
      </c>
      <c r="J1329" s="109" t="s">
        <v>1399</v>
      </c>
      <c r="K1329" s="105" t="s">
        <v>1400</v>
      </c>
      <c r="L1329" s="107" t="str">
        <f ca="1">VLOOKUP($K1329,OFFSET([1]character_type_i18n!$A$1,0,0,COUNTA([1]character_type_i18n!$A:$A),MATCH(L$1,[1]character_type_i18n!$1:$1,0)-MATCH($K$1,[1]character_type_i18n!$1:$1,0)+1),MATCH(L$1,[1]character_type_i18n!$1:$1,0)-MATCH($K$1,[1]character_type_i18n!$1:$1,0)+1,FALSE)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9" s="105" t="s">
        <v>1011</v>
      </c>
      <c r="N1329" s="107" t="str">
        <f>VLOOKUP(M1329,[1]character_tribe_i18n!A:C,3,FALSE)</f>
        <v>ヒューマン</v>
      </c>
      <c r="O1329" s="105" t="s">
        <v>1423</v>
      </c>
      <c r="P1329" s="107" t="str">
        <f>VLOOKUP(O1329,[1]character_tribe_i18n!A:C,3,FALSE)</f>
        <v>種族なし</v>
      </c>
      <c r="Q1329" s="110"/>
      <c r="R1329" s="178">
        <v>1</v>
      </c>
      <c r="S1329" s="108" t="s">
        <v>306</v>
      </c>
      <c r="T1329" s="108" t="s">
        <v>307</v>
      </c>
      <c r="U1329" s="108" t="s">
        <v>306</v>
      </c>
      <c r="V1329" s="108" t="s">
        <v>306</v>
      </c>
      <c r="W1329" s="108" t="s">
        <v>306</v>
      </c>
    </row>
    <row r="1330" spans="1:23" ht="21" customHeight="1" x14ac:dyDescent="0.2">
      <c r="A1330" s="187">
        <v>1329</v>
      </c>
      <c r="B1330" s="105" t="s">
        <v>314</v>
      </c>
      <c r="C1330" s="188" t="s">
        <v>3727</v>
      </c>
      <c r="D1330" s="123"/>
      <c r="E1330" s="108"/>
      <c r="F1330" s="114"/>
      <c r="G1330" s="114"/>
      <c r="H1330" s="183" t="s">
        <v>274</v>
      </c>
      <c r="I1330" s="188">
        <v>6</v>
      </c>
      <c r="J1330" s="109" t="s">
        <v>1399</v>
      </c>
      <c r="K1330" s="105" t="s">
        <v>1400</v>
      </c>
      <c r="L1330" s="107" t="str">
        <f ca="1">VLOOKUP($K1330,OFFSET([1]character_type_i18n!$A$1,0,0,COUNTA([1]character_type_i18n!$A:$A),MATCH(L$1,[1]character_type_i18n!$1:$1,0)-MATCH($K$1,[1]character_type_i18n!$1:$1,0)+1),MATCH(L$1,[1]character_type_i18n!$1:$1,0)-MATCH($K$1,[1]character_type_i18n!$1:$1,0)+1,FALSE)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0" s="105" t="s">
        <v>1011</v>
      </c>
      <c r="N1330" s="107" t="str">
        <f>VLOOKUP(M1330,[1]character_tribe_i18n!A:C,3,FALSE)</f>
        <v>ヒューマン</v>
      </c>
      <c r="O1330" s="105" t="s">
        <v>1423</v>
      </c>
      <c r="P1330" s="107" t="str">
        <f>VLOOKUP(O1330,[1]character_tribe_i18n!A:C,3,FALSE)</f>
        <v>種族なし</v>
      </c>
      <c r="Q1330" s="110"/>
      <c r="R1330" s="178">
        <v>1</v>
      </c>
      <c r="S1330" s="108" t="s">
        <v>306</v>
      </c>
      <c r="T1330" s="108" t="s">
        <v>307</v>
      </c>
      <c r="U1330" s="108" t="s">
        <v>306</v>
      </c>
      <c r="V1330" s="108" t="s">
        <v>306</v>
      </c>
      <c r="W1330" s="108" t="s">
        <v>306</v>
      </c>
    </row>
    <row r="1331" spans="1:23" ht="21" customHeight="1" x14ac:dyDescent="0.2">
      <c r="A1331" s="187">
        <v>1330</v>
      </c>
      <c r="B1331" s="105" t="s">
        <v>314</v>
      </c>
      <c r="C1331" s="188" t="s">
        <v>3728</v>
      </c>
      <c r="D1331" s="123"/>
      <c r="E1331" s="108"/>
      <c r="F1331" s="114"/>
      <c r="G1331" s="114"/>
      <c r="H1331" s="183" t="s">
        <v>300</v>
      </c>
      <c r="I1331" s="188">
        <v>5</v>
      </c>
      <c r="J1331" s="109" t="s">
        <v>1399</v>
      </c>
      <c r="K1331" s="105" t="s">
        <v>1400</v>
      </c>
      <c r="L1331" s="107" t="str">
        <f ca="1">VLOOKUP($K1331,OFFSET([1]character_type_i18n!$A$1,0,0,COUNTA([1]character_type_i18n!$A:$A),MATCH(L$1,[1]character_type_i18n!$1:$1,0)-MATCH($K$1,[1]character_type_i18n!$1:$1,0)+1),MATCH(L$1,[1]character_type_i18n!$1:$1,0)-MATCH($K$1,[1]character_type_i18n!$1:$1,0)+1,FALSE)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1" s="105" t="s">
        <v>1011</v>
      </c>
      <c r="N1331" s="107" t="str">
        <f>VLOOKUP(M1331,[1]character_tribe_i18n!A:C,3,FALSE)</f>
        <v>ヒューマン</v>
      </c>
      <c r="O1331" s="105" t="s">
        <v>1423</v>
      </c>
      <c r="P1331" s="107" t="str">
        <f>VLOOKUP(O1331,[1]character_tribe_i18n!A:C,3,FALSE)</f>
        <v>種族なし</v>
      </c>
      <c r="Q1331" s="110"/>
      <c r="R1331" s="178">
        <v>1</v>
      </c>
      <c r="S1331" s="108" t="s">
        <v>306</v>
      </c>
      <c r="T1331" s="108" t="s">
        <v>307</v>
      </c>
      <c r="U1331" s="108" t="s">
        <v>306</v>
      </c>
      <c r="V1331" s="108" t="s">
        <v>306</v>
      </c>
      <c r="W1331" s="108" t="s">
        <v>306</v>
      </c>
    </row>
    <row r="1332" spans="1:23" ht="21" customHeight="1" x14ac:dyDescent="0.2">
      <c r="A1332" s="187">
        <v>1331</v>
      </c>
      <c r="B1332" s="105" t="s">
        <v>314</v>
      </c>
      <c r="C1332" s="188" t="s">
        <v>3729</v>
      </c>
      <c r="D1332" s="123"/>
      <c r="E1332" s="108"/>
      <c r="F1332" s="114"/>
      <c r="G1332" s="114"/>
      <c r="H1332" s="183" t="s">
        <v>300</v>
      </c>
      <c r="I1332" s="188">
        <v>6</v>
      </c>
      <c r="J1332" s="109" t="s">
        <v>1399</v>
      </c>
      <c r="K1332" s="105" t="s">
        <v>1400</v>
      </c>
      <c r="L1332" s="107" t="str">
        <f ca="1">VLOOKUP($K1332,OFFSET([1]character_type_i18n!$A$1,0,0,COUNTA([1]character_type_i18n!$A:$A),MATCH(L$1,[1]character_type_i18n!$1:$1,0)-MATCH($K$1,[1]character_type_i18n!$1:$1,0)+1),MATCH(L$1,[1]character_type_i18n!$1:$1,0)-MATCH($K$1,[1]character_type_i18n!$1:$1,0)+1,FALSE)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2" s="105" t="s">
        <v>3607</v>
      </c>
      <c r="N1332" s="107" t="str">
        <f>VLOOKUP(M1332,[1]character_tribe_i18n!A:C,3,FALSE)</f>
        <v>ヒューマン</v>
      </c>
      <c r="O1332" s="105" t="s">
        <v>3730</v>
      </c>
      <c r="P1332" s="107" t="str">
        <f>VLOOKUP(O1332,[1]character_tribe_i18n!A:C,3,FALSE)</f>
        <v>種族なし</v>
      </c>
      <c r="Q1332" s="110"/>
      <c r="R1332" s="178">
        <v>1</v>
      </c>
      <c r="S1332" s="108" t="s">
        <v>1540</v>
      </c>
      <c r="T1332" s="108" t="s">
        <v>3731</v>
      </c>
      <c r="U1332" s="108" t="s">
        <v>912</v>
      </c>
      <c r="V1332" s="108" t="s">
        <v>1621</v>
      </c>
      <c r="W1332" s="108" t="s">
        <v>1621</v>
      </c>
    </row>
    <row r="1333" spans="1:23" ht="21" customHeight="1" x14ac:dyDescent="0.2">
      <c r="A1333" s="187">
        <v>1332</v>
      </c>
      <c r="B1333" s="105" t="s">
        <v>2142</v>
      </c>
      <c r="C1333" s="188" t="s">
        <v>3732</v>
      </c>
      <c r="D1333" s="123"/>
      <c r="E1333" s="108"/>
      <c r="F1333" s="114"/>
      <c r="G1333" s="114"/>
      <c r="H1333" s="183" t="s">
        <v>274</v>
      </c>
      <c r="I1333" s="188">
        <v>4</v>
      </c>
      <c r="J1333" s="109" t="s">
        <v>2069</v>
      </c>
      <c r="K1333" s="105" t="s">
        <v>1273</v>
      </c>
      <c r="L1333" s="107" t="str">
        <f ca="1">VLOOKUP($K1333,OFFSET([1]character_type_i18n!$A$1,0,0,COUNTA([1]character_type_i18n!$A:$A),MATCH(L$1,[1]character_type_i18n!$1:$1,0)-MATCH($K$1,[1]character_type_i18n!$1:$1,0)+1),MATCH(L$1,[1]character_type_i18n!$1:$1,0)-MATCH($K$1,[1]character_type_i18n!$1:$1,0)+1,FALSE)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3" s="105" t="s">
        <v>1401</v>
      </c>
      <c r="N1333" s="107" t="str">
        <f>VLOOKUP(M1333,[1]character_tribe_i18n!A:C,3,FALSE)</f>
        <v>ヒューマン</v>
      </c>
      <c r="O1333" s="105" t="s">
        <v>3203</v>
      </c>
      <c r="P1333" s="107" t="str">
        <f>VLOOKUP(O1333,[1]character_tribe_i18n!A:C,3,FALSE)</f>
        <v>種族なし</v>
      </c>
      <c r="Q1333" s="110"/>
      <c r="R1333" s="178">
        <v>1</v>
      </c>
      <c r="S1333" s="108" t="s">
        <v>894</v>
      </c>
      <c r="T1333" s="108" t="s">
        <v>3731</v>
      </c>
      <c r="U1333" s="108" t="s">
        <v>3733</v>
      </c>
      <c r="V1333" s="108" t="s">
        <v>894</v>
      </c>
      <c r="W1333" s="108" t="s">
        <v>894</v>
      </c>
    </row>
    <row r="1334" spans="1:23" ht="21" customHeight="1" x14ac:dyDescent="0.2">
      <c r="A1334" s="187">
        <v>1333</v>
      </c>
      <c r="B1334" s="105" t="s">
        <v>1261</v>
      </c>
      <c r="C1334" s="188" t="s">
        <v>3734</v>
      </c>
      <c r="D1334" s="123"/>
      <c r="E1334" s="108"/>
      <c r="F1334" s="114"/>
      <c r="G1334" s="114"/>
      <c r="H1334" s="183" t="s">
        <v>274</v>
      </c>
      <c r="I1334" s="188">
        <v>5</v>
      </c>
      <c r="J1334" s="109" t="s">
        <v>2069</v>
      </c>
      <c r="K1334" s="105" t="s">
        <v>1273</v>
      </c>
      <c r="L1334" s="107" t="str">
        <f ca="1">VLOOKUP($K1334,OFFSET([1]character_type_i18n!$A$1,0,0,COUNTA([1]character_type_i18n!$A:$A),MATCH(L$1,[1]character_type_i18n!$1:$1,0)-MATCH($K$1,[1]character_type_i18n!$1:$1,0)+1),MATCH(L$1,[1]character_type_i18n!$1:$1,0)-MATCH($K$1,[1]character_type_i18n!$1:$1,0)+1,FALSE)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4" s="105" t="s">
        <v>1401</v>
      </c>
      <c r="N1334" s="107" t="str">
        <f>VLOOKUP(M1334,[1]character_tribe_i18n!A:C,3,FALSE)</f>
        <v>ヒューマン</v>
      </c>
      <c r="O1334" s="105" t="s">
        <v>3209</v>
      </c>
      <c r="P1334" s="107" t="str">
        <f>VLOOKUP(O1334,[1]character_tribe_i18n!A:C,3,FALSE)</f>
        <v>種族なし</v>
      </c>
      <c r="Q1334" s="110"/>
      <c r="R1334" s="178">
        <v>1</v>
      </c>
      <c r="S1334" s="108" t="s">
        <v>280</v>
      </c>
      <c r="T1334" s="108" t="s">
        <v>281</v>
      </c>
      <c r="U1334" s="108" t="s">
        <v>280</v>
      </c>
      <c r="V1334" s="108" t="s">
        <v>894</v>
      </c>
      <c r="W1334" s="108" t="s">
        <v>894</v>
      </c>
    </row>
    <row r="1335" spans="1:23" ht="21" customHeight="1" x14ac:dyDescent="0.2">
      <c r="A1335" s="187">
        <v>1334</v>
      </c>
      <c r="B1335" s="105" t="s">
        <v>1261</v>
      </c>
      <c r="C1335" s="188" t="s">
        <v>3735</v>
      </c>
      <c r="D1335" s="123"/>
      <c r="E1335" s="108"/>
      <c r="F1335" s="114"/>
      <c r="G1335" s="114"/>
      <c r="H1335" s="183" t="s">
        <v>285</v>
      </c>
      <c r="I1335" s="188">
        <v>5</v>
      </c>
      <c r="J1335" s="109" t="s">
        <v>2069</v>
      </c>
      <c r="K1335" s="105" t="s">
        <v>1273</v>
      </c>
      <c r="L1335" s="107" t="str">
        <f ca="1">VLOOKUP($K1335,OFFSET([1]character_type_i18n!$A$1,0,0,COUNTA([1]character_type_i18n!$A:$A),MATCH(L$1,[1]character_type_i18n!$1:$1,0)-MATCH($K$1,[1]character_type_i18n!$1:$1,0)+1),MATCH(L$1,[1]character_type_i18n!$1:$1,0)-MATCH($K$1,[1]character_type_i18n!$1:$1,0)+1,FALSE)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5" s="105" t="s">
        <v>1401</v>
      </c>
      <c r="N1335" s="107" t="str">
        <f>VLOOKUP(M1335,[1]character_tribe_i18n!A:C,3,FALSE)</f>
        <v>ヒューマン</v>
      </c>
      <c r="O1335" s="105" t="s">
        <v>3736</v>
      </c>
      <c r="P1335" s="107" t="str">
        <f>VLOOKUP(O1335,[1]character_tribe_i18n!A:C,3,FALSE)</f>
        <v>種族なし</v>
      </c>
      <c r="Q1335" s="110"/>
      <c r="R1335" s="178">
        <v>1</v>
      </c>
      <c r="S1335" s="108" t="s">
        <v>280</v>
      </c>
      <c r="T1335" s="108" t="s">
        <v>610</v>
      </c>
      <c r="U1335" s="108" t="s">
        <v>611</v>
      </c>
      <c r="V1335" s="108" t="s">
        <v>894</v>
      </c>
      <c r="W1335" s="108" t="s">
        <v>894</v>
      </c>
    </row>
    <row r="1336" spans="1:23" ht="21" customHeight="1" x14ac:dyDescent="0.2">
      <c r="A1336" s="187">
        <v>1335</v>
      </c>
      <c r="B1336" s="105" t="s">
        <v>1261</v>
      </c>
      <c r="C1336" s="188" t="s">
        <v>3737</v>
      </c>
      <c r="D1336" s="123"/>
      <c r="E1336" s="108"/>
      <c r="F1336" s="114"/>
      <c r="G1336" s="114"/>
      <c r="H1336" s="183" t="s">
        <v>285</v>
      </c>
      <c r="I1336" s="188">
        <v>6</v>
      </c>
      <c r="J1336" s="109" t="s">
        <v>3738</v>
      </c>
      <c r="K1336" s="105" t="s">
        <v>3739</v>
      </c>
      <c r="L1336" s="107" t="str">
        <f ca="1">VLOOKUP($K1336,OFFSET([1]character_type_i18n!$A$1,0,0,COUNTA([1]character_type_i18n!$A:$A),MATCH(L$1,[1]character_type_i18n!$1:$1,0)-MATCH($K$1,[1]character_type_i18n!$1:$1,0)+1),MATCH(L$1,[1]character_type_i18n!$1:$1,0)-MATCH($K$1,[1]character_type_i18n!$1:$1,0)+1,FALSE)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6" s="105" t="s">
        <v>1011</v>
      </c>
      <c r="N1336" s="107" t="str">
        <f>VLOOKUP(M1336,[1]character_tribe_i18n!A:C,3,FALSE)</f>
        <v>ヒューマン</v>
      </c>
      <c r="O1336" s="105" t="s">
        <v>1423</v>
      </c>
      <c r="P1336" s="107" t="str">
        <f>VLOOKUP(O1336,[1]character_tribe_i18n!A:C,3,FALSE)</f>
        <v>種族なし</v>
      </c>
      <c r="Q1336" s="110"/>
      <c r="R1336" s="178">
        <v>1</v>
      </c>
      <c r="S1336" s="108" t="s">
        <v>280</v>
      </c>
      <c r="T1336" s="108" t="s">
        <v>3740</v>
      </c>
      <c r="U1336" s="108" t="s">
        <v>892</v>
      </c>
      <c r="V1336" s="108" t="s">
        <v>894</v>
      </c>
      <c r="W1336" s="108" t="s">
        <v>894</v>
      </c>
    </row>
    <row r="1337" spans="1:23" ht="21" customHeight="1" x14ac:dyDescent="0.2">
      <c r="A1337" s="187">
        <v>1336</v>
      </c>
      <c r="B1337" s="105" t="s">
        <v>1261</v>
      </c>
      <c r="C1337" s="188" t="s">
        <v>3741</v>
      </c>
      <c r="D1337" s="123"/>
      <c r="E1337" s="108"/>
      <c r="F1337" s="114"/>
      <c r="G1337" s="114"/>
      <c r="H1337" s="183" t="s">
        <v>295</v>
      </c>
      <c r="I1337" s="188">
        <v>5</v>
      </c>
      <c r="J1337" s="109" t="s">
        <v>2069</v>
      </c>
      <c r="K1337" s="105" t="s">
        <v>1273</v>
      </c>
      <c r="L1337" s="107" t="str">
        <f ca="1">VLOOKUP($K1337,OFFSET([1]character_type_i18n!$A$1,0,0,COUNTA([1]character_type_i18n!$A:$A),MATCH(L$1,[1]character_type_i18n!$1:$1,0)-MATCH($K$1,[1]character_type_i18n!$1:$1,0)+1),MATCH(L$1,[1]character_type_i18n!$1:$1,0)-MATCH($K$1,[1]character_type_i18n!$1:$1,0)+1,FALSE)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7" s="105" t="s">
        <v>1401</v>
      </c>
      <c r="N1337" s="107" t="str">
        <f>VLOOKUP(M1337,[1]character_tribe_i18n!A:C,3,FALSE)</f>
        <v>ヒューマン</v>
      </c>
      <c r="O1337" s="105" t="s">
        <v>3681</v>
      </c>
      <c r="P1337" s="107" t="str">
        <f>VLOOKUP(O1337,[1]character_tribe_i18n!A:C,3,FALSE)</f>
        <v>種族なし</v>
      </c>
      <c r="Q1337" s="110"/>
      <c r="R1337" s="178">
        <v>1</v>
      </c>
      <c r="S1337" s="108" t="s">
        <v>3314</v>
      </c>
      <c r="T1337" s="108" t="s">
        <v>910</v>
      </c>
      <c r="U1337" s="108" t="s">
        <v>911</v>
      </c>
      <c r="V1337" s="108" t="s">
        <v>894</v>
      </c>
      <c r="W1337" s="108" t="s">
        <v>894</v>
      </c>
    </row>
    <row r="1338" spans="1:23" ht="21" customHeight="1" x14ac:dyDescent="0.2">
      <c r="A1338" s="187">
        <v>1337</v>
      </c>
      <c r="B1338" s="105" t="s">
        <v>1261</v>
      </c>
      <c r="C1338" s="190" t="s">
        <v>3742</v>
      </c>
      <c r="D1338" s="123"/>
      <c r="E1338" s="108"/>
      <c r="F1338" s="114"/>
      <c r="G1338" s="114"/>
      <c r="H1338" s="183" t="s">
        <v>295</v>
      </c>
      <c r="I1338" s="188">
        <v>6</v>
      </c>
      <c r="J1338" s="109" t="s">
        <v>2069</v>
      </c>
      <c r="K1338" s="105" t="s">
        <v>1273</v>
      </c>
      <c r="L1338" s="107" t="str">
        <f ca="1">VLOOKUP($K1338,OFFSET([1]character_type_i18n!$A$1,0,0,COUNTA([1]character_type_i18n!$A:$A),MATCH(L$1,[1]character_type_i18n!$1:$1,0)-MATCH($K$1,[1]character_type_i18n!$1:$1,0)+1),MATCH(L$1,[1]character_type_i18n!$1:$1,0)-MATCH($K$1,[1]character_type_i18n!$1:$1,0)+1,FALSE)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8" s="105" t="s">
        <v>1401</v>
      </c>
      <c r="N1338" s="107" t="str">
        <f>VLOOKUP(M1338,[1]character_tribe_i18n!A:C,3,FALSE)</f>
        <v>ヒューマン</v>
      </c>
      <c r="O1338" s="105" t="s">
        <v>1423</v>
      </c>
      <c r="P1338" s="107" t="str">
        <f>VLOOKUP(O1338,[1]character_tribe_i18n!A:C,3,FALSE)</f>
        <v>種族なし</v>
      </c>
      <c r="Q1338" s="110"/>
      <c r="R1338" s="178">
        <v>1</v>
      </c>
      <c r="S1338" s="108" t="s">
        <v>280</v>
      </c>
      <c r="T1338" s="108" t="s">
        <v>1743</v>
      </c>
      <c r="U1338" s="108" t="s">
        <v>1744</v>
      </c>
      <c r="V1338" s="108" t="s">
        <v>894</v>
      </c>
      <c r="W1338" s="108" t="s">
        <v>894</v>
      </c>
    </row>
    <row r="1339" spans="1:23" ht="21" customHeight="1" x14ac:dyDescent="0.2">
      <c r="A1339" s="187">
        <v>1338</v>
      </c>
      <c r="B1339" s="105" t="s">
        <v>268</v>
      </c>
      <c r="C1339" s="188" t="s">
        <v>3743</v>
      </c>
      <c r="D1339" s="123"/>
      <c r="E1339" s="108"/>
      <c r="F1339" s="114"/>
      <c r="G1339" s="114"/>
      <c r="H1339" s="183" t="s">
        <v>300</v>
      </c>
      <c r="I1339" s="188">
        <v>5</v>
      </c>
      <c r="J1339" s="109" t="s">
        <v>1399</v>
      </c>
      <c r="K1339" s="105" t="s">
        <v>1400</v>
      </c>
      <c r="L1339" s="107" t="str">
        <f ca="1">VLOOKUP($K1339,OFFSET([1]character_type_i18n!$A$1,0,0,COUNTA([1]character_type_i18n!$A:$A),MATCH(L$1,[1]character_type_i18n!$1:$1,0)-MATCH($K$1,[1]character_type_i18n!$1:$1,0)+1),MATCH(L$1,[1]character_type_i18n!$1:$1,0)-MATCH($K$1,[1]character_type_i18n!$1:$1,0)+1,FALSE)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9" s="105" t="s">
        <v>1011</v>
      </c>
      <c r="N1339" s="107" t="str">
        <f>VLOOKUP(M1339,[1]character_tribe_i18n!A:C,3,FALSE)</f>
        <v>ヒューマン</v>
      </c>
      <c r="O1339" s="105" t="s">
        <v>3446</v>
      </c>
      <c r="P1339" s="107" t="str">
        <f>VLOOKUP(O1339,[1]character_tribe_i18n!A:C,3,FALSE)</f>
        <v>種族なし</v>
      </c>
      <c r="Q1339" s="110"/>
      <c r="R1339" s="178">
        <v>1</v>
      </c>
      <c r="S1339" s="108" t="s">
        <v>280</v>
      </c>
      <c r="T1339" s="108" t="s">
        <v>281</v>
      </c>
      <c r="U1339" s="108" t="s">
        <v>280</v>
      </c>
      <c r="V1339" s="108" t="s">
        <v>894</v>
      </c>
      <c r="W1339" s="108" t="s">
        <v>894</v>
      </c>
    </row>
    <row r="1340" spans="1:23" ht="21" customHeight="1" x14ac:dyDescent="0.2">
      <c r="A1340" s="187">
        <v>1339</v>
      </c>
      <c r="B1340" s="105" t="s">
        <v>268</v>
      </c>
      <c r="C1340" s="188" t="s">
        <v>3744</v>
      </c>
      <c r="D1340" s="123"/>
      <c r="E1340" s="108"/>
      <c r="F1340" s="114"/>
      <c r="G1340" s="114"/>
      <c r="H1340" s="183" t="s">
        <v>300</v>
      </c>
      <c r="I1340" s="188">
        <v>6</v>
      </c>
      <c r="J1340" s="109" t="s">
        <v>1504</v>
      </c>
      <c r="K1340" s="105" t="s">
        <v>1005</v>
      </c>
      <c r="L1340" s="107" t="str">
        <f ca="1">VLOOKUP($K1340,OFFSET([1]character_type_i18n!$A$1,0,0,COUNTA([1]character_type_i18n!$A:$A),MATCH(L$1,[1]character_type_i18n!$1:$1,0)-MATCH($K$1,[1]character_type_i18n!$1:$1,0)+1),MATCH(L$1,[1]character_type_i18n!$1:$1,0)-MATCH($K$1,[1]character_type_i18n!$1:$1,0)+1,FALSE)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0" s="105" t="s">
        <v>1011</v>
      </c>
      <c r="N1340" s="107" t="str">
        <f>VLOOKUP(M1340,[1]character_tribe_i18n!A:C,3,FALSE)</f>
        <v>ヒューマン</v>
      </c>
      <c r="O1340" s="105" t="s">
        <v>1423</v>
      </c>
      <c r="P1340" s="107" t="str">
        <f>VLOOKUP(O1340,[1]character_tribe_i18n!A:C,3,FALSE)</f>
        <v>種族なし</v>
      </c>
      <c r="Q1340" s="110"/>
      <c r="R1340" s="178">
        <v>1</v>
      </c>
      <c r="S1340" s="108" t="s">
        <v>280</v>
      </c>
      <c r="T1340" s="108" t="s">
        <v>281</v>
      </c>
      <c r="U1340" s="108" t="s">
        <v>280</v>
      </c>
      <c r="V1340" s="108" t="s">
        <v>280</v>
      </c>
      <c r="W1340" s="108" t="s">
        <v>280</v>
      </c>
    </row>
    <row r="1341" spans="1:23" ht="21" customHeight="1" x14ac:dyDescent="0.2">
      <c r="A1341" s="187">
        <v>1340</v>
      </c>
      <c r="B1341" s="105" t="s">
        <v>268</v>
      </c>
      <c r="C1341" s="188" t="s">
        <v>3745</v>
      </c>
      <c r="D1341" s="123"/>
      <c r="E1341" s="108"/>
      <c r="F1341" s="114"/>
      <c r="G1341" s="114"/>
      <c r="H1341" s="183" t="s">
        <v>285</v>
      </c>
      <c r="I1341" s="188">
        <v>5</v>
      </c>
      <c r="J1341" s="109" t="s">
        <v>1504</v>
      </c>
      <c r="K1341" s="105" t="s">
        <v>1005</v>
      </c>
      <c r="L1341" s="107" t="str">
        <f ca="1">VLOOKUP($K1341,OFFSET([1]character_type_i18n!$A$1,0,0,COUNTA([1]character_type_i18n!$A:$A),MATCH(L$1,[1]character_type_i18n!$1:$1,0)-MATCH($K$1,[1]character_type_i18n!$1:$1,0)+1),MATCH(L$1,[1]character_type_i18n!$1:$1,0)-MATCH($K$1,[1]character_type_i18n!$1:$1,0)+1,FALSE)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1" s="105" t="s">
        <v>3746</v>
      </c>
      <c r="N1341" s="107" t="str">
        <f>VLOOKUP(M1341,[1]character_tribe_i18n!A:C,3,FALSE)</f>
        <v>ヒューマン</v>
      </c>
      <c r="O1341" s="105" t="s">
        <v>1420</v>
      </c>
      <c r="P1341" s="107" t="str">
        <f>VLOOKUP(O1341,[1]character_tribe_i18n!A:C,3,FALSE)</f>
        <v>種族なし</v>
      </c>
      <c r="Q1341" s="110"/>
      <c r="R1341" s="178">
        <v>1</v>
      </c>
      <c r="S1341" s="108" t="s">
        <v>306</v>
      </c>
      <c r="T1341" s="108" t="s">
        <v>307</v>
      </c>
      <c r="U1341" s="108" t="s">
        <v>306</v>
      </c>
      <c r="V1341" s="108" t="s">
        <v>306</v>
      </c>
      <c r="W1341" s="108" t="s">
        <v>306</v>
      </c>
    </row>
    <row r="1342" spans="1:23" ht="21" customHeight="1" x14ac:dyDescent="0.2">
      <c r="A1342" s="187">
        <v>1341</v>
      </c>
      <c r="B1342" s="105" t="s">
        <v>314</v>
      </c>
      <c r="C1342" s="188" t="s">
        <v>3745</v>
      </c>
      <c r="D1342" s="123"/>
      <c r="E1342" s="108"/>
      <c r="F1342" s="114"/>
      <c r="G1342" s="114"/>
      <c r="H1342" s="183" t="s">
        <v>285</v>
      </c>
      <c r="I1342" s="188">
        <v>6</v>
      </c>
      <c r="J1342" s="109" t="s">
        <v>1504</v>
      </c>
      <c r="K1342" s="105" t="s">
        <v>1005</v>
      </c>
      <c r="L1342" s="107" t="str">
        <f ca="1">VLOOKUP($K1342,OFFSET([1]character_type_i18n!$A$1,0,0,COUNTA([1]character_type_i18n!$A:$A),MATCH(L$1,[1]character_type_i18n!$1:$1,0)-MATCH($K$1,[1]character_type_i18n!$1:$1,0)+1),MATCH(L$1,[1]character_type_i18n!$1:$1,0)-MATCH($K$1,[1]character_type_i18n!$1:$1,0)+1,FALSE)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2" s="105" t="s">
        <v>3747</v>
      </c>
      <c r="N1342" s="107" t="str">
        <f>VLOOKUP(M1342,[1]character_tribe_i18n!A:C,3,FALSE)</f>
        <v>ヒューマン</v>
      </c>
      <c r="O1342" s="105" t="s">
        <v>1423</v>
      </c>
      <c r="P1342" s="107" t="str">
        <f>VLOOKUP(O1342,[1]character_tribe_i18n!A:C,3,FALSE)</f>
        <v>種族なし</v>
      </c>
      <c r="Q1342" s="110"/>
      <c r="R1342" s="178">
        <v>1</v>
      </c>
      <c r="S1342" s="108" t="s">
        <v>306</v>
      </c>
      <c r="T1342" s="108" t="s">
        <v>427</v>
      </c>
      <c r="U1342" s="108" t="s">
        <v>426</v>
      </c>
      <c r="V1342" s="108" t="s">
        <v>306</v>
      </c>
      <c r="W1342" s="108" t="s">
        <v>306</v>
      </c>
    </row>
    <row r="1343" spans="1:23" ht="21" customHeight="1" x14ac:dyDescent="0.2">
      <c r="A1343" s="187">
        <v>1342</v>
      </c>
      <c r="B1343" s="105" t="s">
        <v>314</v>
      </c>
      <c r="C1343" s="188" t="s">
        <v>3748</v>
      </c>
      <c r="D1343" s="123"/>
      <c r="E1343" s="108"/>
      <c r="F1343" s="114"/>
      <c r="G1343" s="114"/>
      <c r="H1343" s="183" t="s">
        <v>274</v>
      </c>
      <c r="I1343" s="188">
        <v>5</v>
      </c>
      <c r="J1343" s="109" t="s">
        <v>3749</v>
      </c>
      <c r="K1343" s="105" t="s">
        <v>2596</v>
      </c>
      <c r="L1343" s="107" t="str">
        <f ca="1">VLOOKUP($K1343,OFFSET([1]character_type_i18n!$A$1,0,0,COUNTA([1]character_type_i18n!$A:$A),MATCH(L$1,[1]character_type_i18n!$1:$1,0)-MATCH($K$1,[1]character_type_i18n!$1:$1,0)+1),MATCH(L$1,[1]character_type_i18n!$1:$1,0)-MATCH($K$1,[1]character_type_i18n!$1:$1,0)+1,FALSE)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3" s="105" t="s">
        <v>1401</v>
      </c>
      <c r="N1343" s="107" t="str">
        <f>VLOOKUP(M1343,[1]character_tribe_i18n!A:C,3,FALSE)</f>
        <v>ヒューマン</v>
      </c>
      <c r="O1343" s="105" t="s">
        <v>3209</v>
      </c>
      <c r="P1343" s="107" t="str">
        <f>VLOOKUP(O1343,[1]character_tribe_i18n!A:C,3,FALSE)</f>
        <v>種族なし</v>
      </c>
      <c r="Q1343" s="110"/>
      <c r="R1343" s="178">
        <v>1</v>
      </c>
      <c r="S1343" s="108" t="s">
        <v>280</v>
      </c>
      <c r="T1343" s="108" t="s">
        <v>3750</v>
      </c>
      <c r="U1343" s="108" t="s">
        <v>3751</v>
      </c>
      <c r="V1343" s="108" t="s">
        <v>894</v>
      </c>
      <c r="W1343" s="108" t="s">
        <v>894</v>
      </c>
    </row>
    <row r="1344" spans="1:23" ht="21" customHeight="1" x14ac:dyDescent="0.2">
      <c r="A1344" s="187">
        <v>1343</v>
      </c>
      <c r="B1344" s="105" t="s">
        <v>1261</v>
      </c>
      <c r="C1344" s="188" t="s">
        <v>3748</v>
      </c>
      <c r="D1344" s="123"/>
      <c r="E1344" s="108"/>
      <c r="F1344" s="114"/>
      <c r="G1344" s="114"/>
      <c r="H1344" s="183" t="s">
        <v>274</v>
      </c>
      <c r="I1344" s="188">
        <v>6</v>
      </c>
      <c r="J1344" s="109" t="s">
        <v>2069</v>
      </c>
      <c r="K1344" s="105" t="s">
        <v>1273</v>
      </c>
      <c r="L1344" s="107" t="str">
        <f ca="1">VLOOKUP($K1344,OFFSET([1]character_type_i18n!$A$1,0,0,COUNTA([1]character_type_i18n!$A:$A),MATCH(L$1,[1]character_type_i18n!$1:$1,0)-MATCH($K$1,[1]character_type_i18n!$1:$1,0)+1),MATCH(L$1,[1]character_type_i18n!$1:$1,0)-MATCH($K$1,[1]character_type_i18n!$1:$1,0)+1,FALSE)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4" s="105" t="s">
        <v>1401</v>
      </c>
      <c r="N1344" s="107" t="str">
        <f>VLOOKUP(M1344,[1]character_tribe_i18n!A:C,3,FALSE)</f>
        <v>ヒューマン</v>
      </c>
      <c r="O1344" s="105" t="s">
        <v>3475</v>
      </c>
      <c r="P1344" s="107" t="str">
        <f>VLOOKUP(O1344,[1]character_tribe_i18n!A:C,3,FALSE)</f>
        <v>種族なし</v>
      </c>
      <c r="Q1344" s="110"/>
      <c r="R1344" s="178">
        <v>1</v>
      </c>
      <c r="S1344" s="108" t="s">
        <v>280</v>
      </c>
      <c r="T1344" s="108" t="s">
        <v>915</v>
      </c>
      <c r="U1344" s="108" t="s">
        <v>880</v>
      </c>
      <c r="V1344" s="108" t="s">
        <v>894</v>
      </c>
      <c r="W1344" s="108" t="s">
        <v>894</v>
      </c>
    </row>
    <row r="1345" spans="1:23" ht="21" customHeight="1" x14ac:dyDescent="0.2">
      <c r="A1345" s="187">
        <v>1344</v>
      </c>
      <c r="B1345" s="105" t="s">
        <v>1261</v>
      </c>
      <c r="C1345" s="188" t="s">
        <v>3752</v>
      </c>
      <c r="D1345" s="123"/>
      <c r="E1345" s="108"/>
      <c r="F1345" s="114"/>
      <c r="G1345" s="114"/>
      <c r="H1345" s="183" t="s">
        <v>285</v>
      </c>
      <c r="I1345" s="188">
        <v>5</v>
      </c>
      <c r="J1345" s="109" t="s">
        <v>2069</v>
      </c>
      <c r="K1345" s="105" t="s">
        <v>1273</v>
      </c>
      <c r="L1345" s="107" t="str">
        <f ca="1">VLOOKUP($K1345,OFFSET([1]character_type_i18n!$A$1,0,0,COUNTA([1]character_type_i18n!$A:$A),MATCH(L$1,[1]character_type_i18n!$1:$1,0)-MATCH($K$1,[1]character_type_i18n!$1:$1,0)+1),MATCH(L$1,[1]character_type_i18n!$1:$1,0)-MATCH($K$1,[1]character_type_i18n!$1:$1,0)+1,FALSE)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5" s="105" t="s">
        <v>1401</v>
      </c>
      <c r="N1345" s="107" t="str">
        <f>VLOOKUP(M1345,[1]character_tribe_i18n!A:C,3,FALSE)</f>
        <v>ヒューマン</v>
      </c>
      <c r="O1345" s="105" t="s">
        <v>1423</v>
      </c>
      <c r="P1345" s="107" t="str">
        <f>VLOOKUP(O1345,[1]character_tribe_i18n!A:C,3,FALSE)</f>
        <v>種族なし</v>
      </c>
      <c r="Q1345" s="110"/>
      <c r="R1345" s="178">
        <v>1</v>
      </c>
      <c r="S1345" s="108" t="s">
        <v>280</v>
      </c>
      <c r="T1345" s="108" t="s">
        <v>2175</v>
      </c>
      <c r="U1345" s="108" t="s">
        <v>1659</v>
      </c>
      <c r="V1345" s="108" t="s">
        <v>894</v>
      </c>
      <c r="W1345" s="108" t="s">
        <v>894</v>
      </c>
    </row>
    <row r="1346" spans="1:23" ht="21" customHeight="1" x14ac:dyDescent="0.2">
      <c r="A1346" s="187">
        <v>1345</v>
      </c>
      <c r="B1346" s="105" t="s">
        <v>1261</v>
      </c>
      <c r="C1346" s="188" t="s">
        <v>3752</v>
      </c>
      <c r="D1346" s="123"/>
      <c r="E1346" s="108"/>
      <c r="F1346" s="114"/>
      <c r="G1346" s="114"/>
      <c r="H1346" s="183" t="s">
        <v>285</v>
      </c>
      <c r="I1346" s="188">
        <v>6</v>
      </c>
      <c r="J1346" s="109" t="s">
        <v>2069</v>
      </c>
      <c r="K1346" s="105" t="s">
        <v>1273</v>
      </c>
      <c r="L1346" s="107" t="str">
        <f ca="1">VLOOKUP($K1346,OFFSET([1]character_type_i18n!$A$1,0,0,COUNTA([1]character_type_i18n!$A:$A),MATCH(L$1,[1]character_type_i18n!$1:$1,0)-MATCH($K$1,[1]character_type_i18n!$1:$1,0)+1),MATCH(L$1,[1]character_type_i18n!$1:$1,0)-MATCH($K$1,[1]character_type_i18n!$1:$1,0)+1,FALSE)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6" s="105" t="s">
        <v>1401</v>
      </c>
      <c r="N1346" s="107" t="str">
        <f>VLOOKUP(M1346,[1]character_tribe_i18n!A:C,3,FALSE)</f>
        <v>ヒューマン</v>
      </c>
      <c r="O1346" s="105" t="s">
        <v>1423</v>
      </c>
      <c r="P1346" s="107" t="str">
        <f>VLOOKUP(O1346,[1]character_tribe_i18n!A:C,3,FALSE)</f>
        <v>種族なし</v>
      </c>
      <c r="Q1346" s="110"/>
      <c r="R1346" s="178">
        <v>1</v>
      </c>
      <c r="S1346" s="108" t="s">
        <v>3753</v>
      </c>
      <c r="T1346" s="108" t="s">
        <v>3754</v>
      </c>
      <c r="U1346" s="108" t="s">
        <v>3755</v>
      </c>
      <c r="V1346" s="108" t="s">
        <v>894</v>
      </c>
      <c r="W1346" s="108" t="s">
        <v>894</v>
      </c>
    </row>
    <row r="1347" spans="1:23" ht="21" customHeight="1" x14ac:dyDescent="0.2">
      <c r="A1347" s="187">
        <v>1346</v>
      </c>
      <c r="B1347" s="105" t="s">
        <v>1261</v>
      </c>
      <c r="C1347" s="188" t="s">
        <v>3756</v>
      </c>
      <c r="D1347" s="123"/>
      <c r="E1347" s="108"/>
      <c r="F1347" s="114"/>
      <c r="G1347" s="114"/>
      <c r="H1347" s="183" t="s">
        <v>295</v>
      </c>
      <c r="I1347" s="188">
        <v>5</v>
      </c>
      <c r="J1347" s="109" t="s">
        <v>2069</v>
      </c>
      <c r="K1347" s="105" t="s">
        <v>1273</v>
      </c>
      <c r="L1347" s="107" t="str">
        <f ca="1">VLOOKUP($K1347,OFFSET([1]character_type_i18n!$A$1,0,0,COUNTA([1]character_type_i18n!$A:$A),MATCH(L$1,[1]character_type_i18n!$1:$1,0)-MATCH($K$1,[1]character_type_i18n!$1:$1,0)+1),MATCH(L$1,[1]character_type_i18n!$1:$1,0)-MATCH($K$1,[1]character_type_i18n!$1:$1,0)+1,FALSE)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7" s="105" t="s">
        <v>1401</v>
      </c>
      <c r="N1347" s="107" t="str">
        <f>VLOOKUP(M1347,[1]character_tribe_i18n!A:C,3,FALSE)</f>
        <v>ヒューマン</v>
      </c>
      <c r="O1347" s="105" t="s">
        <v>3547</v>
      </c>
      <c r="P1347" s="107" t="str">
        <f>VLOOKUP(O1347,[1]character_tribe_i18n!A:C,3,FALSE)</f>
        <v>種族なし</v>
      </c>
      <c r="Q1347" s="110"/>
      <c r="R1347" s="178">
        <v>1</v>
      </c>
      <c r="S1347" s="108" t="s">
        <v>3314</v>
      </c>
      <c r="T1347" s="108" t="s">
        <v>910</v>
      </c>
      <c r="U1347" s="108" t="s">
        <v>911</v>
      </c>
      <c r="V1347" s="108" t="s">
        <v>894</v>
      </c>
      <c r="W1347" s="108" t="s">
        <v>894</v>
      </c>
    </row>
    <row r="1348" spans="1:23" ht="21" customHeight="1" x14ac:dyDescent="0.2">
      <c r="A1348" s="187">
        <v>1347</v>
      </c>
      <c r="B1348" s="105" t="s">
        <v>1261</v>
      </c>
      <c r="C1348" s="188" t="s">
        <v>3756</v>
      </c>
      <c r="D1348" s="123"/>
      <c r="E1348" s="108"/>
      <c r="F1348" s="114"/>
      <c r="G1348" s="114"/>
      <c r="H1348" s="183" t="s">
        <v>295</v>
      </c>
      <c r="I1348" s="188">
        <v>6</v>
      </c>
      <c r="J1348" s="109" t="s">
        <v>2069</v>
      </c>
      <c r="K1348" s="105" t="s">
        <v>1273</v>
      </c>
      <c r="L1348" s="107" t="str">
        <f ca="1">VLOOKUP($K1348,OFFSET([1]character_type_i18n!$A$1,0,0,COUNTA([1]character_type_i18n!$A:$A),MATCH(L$1,[1]character_type_i18n!$1:$1,0)-MATCH($K$1,[1]character_type_i18n!$1:$1,0)+1),MATCH(L$1,[1]character_type_i18n!$1:$1,0)-MATCH($K$1,[1]character_type_i18n!$1:$1,0)+1,FALSE)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8" s="105" t="s">
        <v>1401</v>
      </c>
      <c r="N1348" s="107" t="str">
        <f>VLOOKUP(M1348,[1]character_tribe_i18n!A:C,3,FALSE)</f>
        <v>ヒューマン</v>
      </c>
      <c r="O1348" s="105" t="s">
        <v>3757</v>
      </c>
      <c r="P1348" s="107" t="str">
        <f>VLOOKUP(O1348,[1]character_tribe_i18n!A:C,3,FALSE)</f>
        <v>種族なし</v>
      </c>
      <c r="Q1348" s="110"/>
      <c r="R1348" s="178">
        <v>1</v>
      </c>
      <c r="S1348" s="108" t="s">
        <v>898</v>
      </c>
      <c r="T1348" s="108" t="s">
        <v>899</v>
      </c>
      <c r="U1348" s="108" t="s">
        <v>900</v>
      </c>
      <c r="V1348" s="108" t="s">
        <v>894</v>
      </c>
      <c r="W1348" s="108" t="s">
        <v>894</v>
      </c>
    </row>
    <row r="1349" spans="1:23" ht="21" customHeight="1" x14ac:dyDescent="0.2">
      <c r="A1349" s="187">
        <v>1348</v>
      </c>
      <c r="B1349" s="105" t="s">
        <v>1261</v>
      </c>
      <c r="C1349" s="188" t="s">
        <v>3758</v>
      </c>
      <c r="D1349" s="123"/>
      <c r="E1349" s="108"/>
      <c r="F1349" s="114"/>
      <c r="G1349" s="114"/>
      <c r="H1349" s="183" t="s">
        <v>300</v>
      </c>
      <c r="I1349" s="188">
        <v>5</v>
      </c>
      <c r="J1349" s="109" t="s">
        <v>2069</v>
      </c>
      <c r="K1349" s="105" t="s">
        <v>1273</v>
      </c>
      <c r="L1349" s="107" t="str">
        <f ca="1">VLOOKUP($K1349,OFFSET([1]character_type_i18n!$A$1,0,0,COUNTA([1]character_type_i18n!$A:$A),MATCH(L$1,[1]character_type_i18n!$1:$1,0)-MATCH($K$1,[1]character_type_i18n!$1:$1,0)+1),MATCH(L$1,[1]character_type_i18n!$1:$1,0)-MATCH($K$1,[1]character_type_i18n!$1:$1,0)+1,FALSE)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9" s="105" t="s">
        <v>1401</v>
      </c>
      <c r="N1349" s="107" t="str">
        <f>VLOOKUP(M1349,[1]character_tribe_i18n!A:C,3,FALSE)</f>
        <v>ヒューマン</v>
      </c>
      <c r="O1349" s="105" t="s">
        <v>3759</v>
      </c>
      <c r="P1349" s="107" t="str">
        <f>VLOOKUP(O1349,[1]character_tribe_i18n!A:C,3,FALSE)</f>
        <v>種族なし</v>
      </c>
      <c r="Q1349" s="110"/>
      <c r="R1349" s="178">
        <v>1</v>
      </c>
      <c r="S1349" s="108" t="s">
        <v>3314</v>
      </c>
      <c r="T1349" s="108" t="s">
        <v>910</v>
      </c>
      <c r="U1349" s="108" t="s">
        <v>911</v>
      </c>
      <c r="V1349" s="108" t="s">
        <v>894</v>
      </c>
      <c r="W1349" s="108" t="s">
        <v>894</v>
      </c>
    </row>
    <row r="1350" spans="1:23" ht="21" customHeight="1" x14ac:dyDescent="0.2">
      <c r="A1350" s="187">
        <v>1349</v>
      </c>
      <c r="B1350" s="105" t="s">
        <v>1261</v>
      </c>
      <c r="C1350" s="188" t="s">
        <v>3758</v>
      </c>
      <c r="D1350" s="123"/>
      <c r="E1350" s="108"/>
      <c r="F1350" s="114"/>
      <c r="G1350" s="114"/>
      <c r="H1350" s="183" t="s">
        <v>300</v>
      </c>
      <c r="I1350" s="188">
        <v>6</v>
      </c>
      <c r="J1350" s="109" t="s">
        <v>2069</v>
      </c>
      <c r="K1350" s="105" t="s">
        <v>1273</v>
      </c>
      <c r="L1350" s="107" t="str">
        <f ca="1">VLOOKUP($K1350,OFFSET([1]character_type_i18n!$A$1,0,0,COUNTA([1]character_type_i18n!$A:$A),MATCH(L$1,[1]character_type_i18n!$1:$1,0)-MATCH($K$1,[1]character_type_i18n!$1:$1,0)+1),MATCH(L$1,[1]character_type_i18n!$1:$1,0)-MATCH($K$1,[1]character_type_i18n!$1:$1,0)+1,FALSE)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0" s="105" t="s">
        <v>1401</v>
      </c>
      <c r="N1350" s="107" t="str">
        <f>VLOOKUP(M1350,[1]character_tribe_i18n!A:C,3,FALSE)</f>
        <v>ヒューマン</v>
      </c>
      <c r="O1350" s="105" t="s">
        <v>3757</v>
      </c>
      <c r="P1350" s="107" t="str">
        <f>VLOOKUP(O1350,[1]character_tribe_i18n!A:C,3,FALSE)</f>
        <v>種族なし</v>
      </c>
      <c r="Q1350" s="110"/>
      <c r="R1350" s="178">
        <v>1</v>
      </c>
      <c r="S1350" s="108" t="s">
        <v>898</v>
      </c>
      <c r="T1350" s="108" t="s">
        <v>899</v>
      </c>
      <c r="U1350" s="108" t="s">
        <v>900</v>
      </c>
      <c r="V1350" s="108" t="s">
        <v>894</v>
      </c>
      <c r="W1350" s="108" t="s">
        <v>894</v>
      </c>
    </row>
    <row r="1351" spans="1:23" ht="21" customHeight="1" x14ac:dyDescent="0.2">
      <c r="A1351" s="187">
        <v>1350</v>
      </c>
      <c r="B1351" s="105" t="s">
        <v>1261</v>
      </c>
      <c r="C1351" s="188" t="s">
        <v>3760</v>
      </c>
      <c r="D1351" s="123"/>
      <c r="E1351" s="108"/>
      <c r="F1351" s="114"/>
      <c r="G1351" s="114"/>
      <c r="H1351" s="183" t="s">
        <v>274</v>
      </c>
      <c r="I1351" s="188">
        <v>5</v>
      </c>
      <c r="J1351" s="109" t="s">
        <v>2069</v>
      </c>
      <c r="K1351" s="105" t="s">
        <v>1273</v>
      </c>
      <c r="L1351" s="107" t="str">
        <f ca="1">VLOOKUP($K1351,OFFSET([1]character_type_i18n!$A$1,0,0,COUNTA([1]character_type_i18n!$A:$A),MATCH(L$1,[1]character_type_i18n!$1:$1,0)-MATCH($K$1,[1]character_type_i18n!$1:$1,0)+1),MATCH(L$1,[1]character_type_i18n!$1:$1,0)-MATCH($K$1,[1]character_type_i18n!$1:$1,0)+1,FALSE)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1" s="105" t="s">
        <v>1401</v>
      </c>
      <c r="N1351" s="107" t="str">
        <f>VLOOKUP(M1351,[1]character_tribe_i18n!A:C,3,FALSE)</f>
        <v>ヒューマン</v>
      </c>
      <c r="O1351" s="105" t="s">
        <v>3761</v>
      </c>
      <c r="P1351" s="107" t="str">
        <f>VLOOKUP(O1351,[1]character_tribe_i18n!A:C,3,FALSE)</f>
        <v>種族なし</v>
      </c>
      <c r="Q1351" s="110"/>
      <c r="R1351" s="178">
        <v>1</v>
      </c>
      <c r="S1351" s="108" t="s">
        <v>3314</v>
      </c>
      <c r="T1351" s="108" t="s">
        <v>910</v>
      </c>
      <c r="U1351" s="108" t="s">
        <v>911</v>
      </c>
      <c r="V1351" s="108" t="s">
        <v>894</v>
      </c>
      <c r="W1351" s="108" t="s">
        <v>894</v>
      </c>
    </row>
    <row r="1352" spans="1:23" ht="21" customHeight="1" x14ac:dyDescent="0.2">
      <c r="A1352" s="187">
        <v>1351</v>
      </c>
      <c r="B1352" s="105" t="s">
        <v>1261</v>
      </c>
      <c r="C1352" s="188" t="s">
        <v>3760</v>
      </c>
      <c r="D1352" s="123"/>
      <c r="E1352" s="108"/>
      <c r="F1352" s="114"/>
      <c r="G1352" s="114"/>
      <c r="H1352" s="183" t="s">
        <v>274</v>
      </c>
      <c r="I1352" s="188">
        <v>6</v>
      </c>
      <c r="J1352" s="109" t="s">
        <v>2069</v>
      </c>
      <c r="K1352" s="105" t="s">
        <v>1273</v>
      </c>
      <c r="L1352" s="107" t="str">
        <f ca="1">VLOOKUP($K1352,OFFSET([1]character_type_i18n!$A$1,0,0,COUNTA([1]character_type_i18n!$A:$A),MATCH(L$1,[1]character_type_i18n!$1:$1,0)-MATCH($K$1,[1]character_type_i18n!$1:$1,0)+1),MATCH(L$1,[1]character_type_i18n!$1:$1,0)-MATCH($K$1,[1]character_type_i18n!$1:$1,0)+1,FALSE)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2" s="105" t="s">
        <v>1401</v>
      </c>
      <c r="N1352" s="107" t="str">
        <f>VLOOKUP(M1352,[1]character_tribe_i18n!A:C,3,FALSE)</f>
        <v>ヒューマン</v>
      </c>
      <c r="O1352" s="105" t="s">
        <v>1423</v>
      </c>
      <c r="P1352" s="107" t="str">
        <f>VLOOKUP(O1352,[1]character_tribe_i18n!A:C,3,FALSE)</f>
        <v>種族なし</v>
      </c>
      <c r="Q1352" s="110"/>
      <c r="R1352" s="178">
        <v>1</v>
      </c>
      <c r="S1352" s="108" t="s">
        <v>280</v>
      </c>
      <c r="T1352" s="108" t="s">
        <v>1541</v>
      </c>
      <c r="U1352" s="108" t="s">
        <v>1542</v>
      </c>
      <c r="V1352" s="108" t="s">
        <v>894</v>
      </c>
      <c r="W1352" s="108" t="s">
        <v>894</v>
      </c>
    </row>
    <row r="1353" spans="1:23" ht="21" customHeight="1" x14ac:dyDescent="0.2">
      <c r="A1353" s="187">
        <v>1352</v>
      </c>
      <c r="B1353" s="105" t="s">
        <v>1261</v>
      </c>
      <c r="C1353" s="188" t="s">
        <v>3762</v>
      </c>
      <c r="D1353" s="123"/>
      <c r="E1353" s="108"/>
      <c r="F1353" s="114"/>
      <c r="G1353" s="114"/>
      <c r="H1353" s="183" t="s">
        <v>295</v>
      </c>
      <c r="I1353" s="188">
        <v>5</v>
      </c>
      <c r="J1353" s="109" t="s">
        <v>2069</v>
      </c>
      <c r="K1353" s="105" t="s">
        <v>1273</v>
      </c>
      <c r="L1353" s="107" t="str">
        <f ca="1">VLOOKUP($K1353,OFFSET([1]character_type_i18n!$A$1,0,0,COUNTA([1]character_type_i18n!$A:$A),MATCH(L$1,[1]character_type_i18n!$1:$1,0)-MATCH($K$1,[1]character_type_i18n!$1:$1,0)+1),MATCH(L$1,[1]character_type_i18n!$1:$1,0)-MATCH($K$1,[1]character_type_i18n!$1:$1,0)+1,FALSE)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3" s="105" t="s">
        <v>1401</v>
      </c>
      <c r="N1353" s="107" t="str">
        <f>VLOOKUP(M1353,[1]character_tribe_i18n!A:C,3,FALSE)</f>
        <v>ヒューマン</v>
      </c>
      <c r="O1353" s="105" t="s">
        <v>1704</v>
      </c>
      <c r="P1353" s="107" t="str">
        <f>VLOOKUP(O1353,[1]character_tribe_i18n!A:C,3,FALSE)</f>
        <v>種族なし</v>
      </c>
      <c r="Q1353" s="110"/>
      <c r="R1353" s="178">
        <v>1</v>
      </c>
      <c r="S1353" s="108" t="s">
        <v>280</v>
      </c>
      <c r="T1353" s="108" t="s">
        <v>3528</v>
      </c>
      <c r="U1353" s="108" t="s">
        <v>3314</v>
      </c>
      <c r="V1353" s="108" t="s">
        <v>894</v>
      </c>
      <c r="W1353" s="108" t="s">
        <v>894</v>
      </c>
    </row>
    <row r="1354" spans="1:23" ht="21" customHeight="1" x14ac:dyDescent="0.2">
      <c r="A1354" s="187">
        <v>1353</v>
      </c>
      <c r="B1354" s="105" t="s">
        <v>1261</v>
      </c>
      <c r="C1354" s="188" t="s">
        <v>3762</v>
      </c>
      <c r="D1354" s="123"/>
      <c r="E1354" s="108"/>
      <c r="F1354" s="114"/>
      <c r="G1354" s="114"/>
      <c r="H1354" s="183" t="s">
        <v>295</v>
      </c>
      <c r="I1354" s="188">
        <v>6</v>
      </c>
      <c r="J1354" s="109" t="s">
        <v>2069</v>
      </c>
      <c r="K1354" s="105" t="s">
        <v>1273</v>
      </c>
      <c r="L1354" s="107" t="str">
        <f ca="1">VLOOKUP($K1354,OFFSET([1]character_type_i18n!$A$1,0,0,COUNTA([1]character_type_i18n!$A:$A),MATCH(L$1,[1]character_type_i18n!$1:$1,0)-MATCH($K$1,[1]character_type_i18n!$1:$1,0)+1),MATCH(L$1,[1]character_type_i18n!$1:$1,0)-MATCH($K$1,[1]character_type_i18n!$1:$1,0)+1,FALSE)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4" s="105" t="s">
        <v>1401</v>
      </c>
      <c r="N1354" s="107" t="str">
        <f>VLOOKUP(M1354,[1]character_tribe_i18n!A:C,3,FALSE)</f>
        <v>ヒューマン</v>
      </c>
      <c r="O1354" s="105" t="s">
        <v>3730</v>
      </c>
      <c r="P1354" s="107" t="str">
        <f>VLOOKUP(O1354,[1]character_tribe_i18n!A:C,3,FALSE)</f>
        <v>種族なし</v>
      </c>
      <c r="Q1354" s="110"/>
      <c r="R1354" s="178">
        <v>1</v>
      </c>
      <c r="S1354" s="108" t="s">
        <v>898</v>
      </c>
      <c r="T1354" s="108" t="s">
        <v>281</v>
      </c>
      <c r="U1354" s="108" t="s">
        <v>280</v>
      </c>
      <c r="V1354" s="108" t="s">
        <v>894</v>
      </c>
      <c r="W1354" s="108" t="s">
        <v>894</v>
      </c>
    </row>
    <row r="1355" spans="1:23" ht="21" customHeight="1" x14ac:dyDescent="0.2">
      <c r="A1355" s="187">
        <v>1354</v>
      </c>
      <c r="B1355" s="105" t="s">
        <v>1261</v>
      </c>
      <c r="C1355" s="188" t="s">
        <v>3763</v>
      </c>
      <c r="D1355" s="123"/>
      <c r="E1355" s="108"/>
      <c r="F1355" s="114"/>
      <c r="G1355" s="114"/>
      <c r="H1355" s="183" t="s">
        <v>285</v>
      </c>
      <c r="I1355" s="188">
        <v>6</v>
      </c>
      <c r="J1355" s="109" t="s">
        <v>3764</v>
      </c>
      <c r="K1355" s="105" t="s">
        <v>3765</v>
      </c>
      <c r="L1355" s="107" t="str">
        <f ca="1">VLOOKUP($K1355,OFFSET([1]character_type_i18n!$A$1,0,0,COUNTA([1]character_type_i18n!$A:$A),MATCH(L$1,[1]character_type_i18n!$1:$1,0)-MATCH($K$1,[1]character_type_i18n!$1:$1,0)+1),MATCH(L$1,[1]character_type_i18n!$1:$1,0)-MATCH($K$1,[1]character_type_i18n!$1:$1,0)+1,FALSE)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5" s="105" t="s">
        <v>1401</v>
      </c>
      <c r="N1355" s="107" t="str">
        <f>VLOOKUP(M1355,[1]character_tribe_i18n!A:C,3,FALSE)</f>
        <v>ヒューマン</v>
      </c>
      <c r="O1355" s="105" t="s">
        <v>1420</v>
      </c>
      <c r="P1355" s="107" t="str">
        <f>VLOOKUP(O1355,[1]character_tribe_i18n!A:C,3,FALSE)</f>
        <v>種族なし</v>
      </c>
      <c r="Q1355" s="110"/>
      <c r="R1355" s="178">
        <v>1</v>
      </c>
      <c r="S1355" s="108" t="s">
        <v>3751</v>
      </c>
      <c r="T1355" s="108" t="s">
        <v>3750</v>
      </c>
      <c r="U1355" s="108" t="s">
        <v>3751</v>
      </c>
      <c r="V1355" s="108" t="s">
        <v>3751</v>
      </c>
      <c r="W1355" s="108" t="s">
        <v>3751</v>
      </c>
    </row>
    <row r="1356" spans="1:23" ht="21" customHeight="1" x14ac:dyDescent="0.2">
      <c r="A1356" s="187">
        <v>1355</v>
      </c>
      <c r="B1356" s="105" t="s">
        <v>3766</v>
      </c>
      <c r="C1356" s="188" t="s">
        <v>3767</v>
      </c>
      <c r="D1356" s="123"/>
      <c r="E1356" s="108"/>
      <c r="F1356" s="114"/>
      <c r="G1356" s="114"/>
      <c r="H1356" s="183" t="s">
        <v>300</v>
      </c>
      <c r="I1356" s="188">
        <v>6</v>
      </c>
      <c r="J1356" s="109" t="s">
        <v>1504</v>
      </c>
      <c r="K1356" s="105" t="s">
        <v>1005</v>
      </c>
      <c r="L1356" s="107" t="str">
        <f ca="1">VLOOKUP($K1356,OFFSET([1]character_type_i18n!$A$1,0,0,COUNTA([1]character_type_i18n!$A:$A),MATCH(L$1,[1]character_type_i18n!$1:$1,0)-MATCH($K$1,[1]character_type_i18n!$1:$1,0)+1),MATCH(L$1,[1]character_type_i18n!$1:$1,0)-MATCH($K$1,[1]character_type_i18n!$1:$1,0)+1,FALSE)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6" s="105" t="s">
        <v>3768</v>
      </c>
      <c r="N1356" s="107" t="str">
        <f>VLOOKUP(M1356,[1]character_tribe_i18n!A:C,3,FALSE)</f>
        <v>ヒューマン</v>
      </c>
      <c r="O1356" s="105" t="s">
        <v>1420</v>
      </c>
      <c r="P1356" s="107" t="str">
        <f>VLOOKUP(O1356,[1]character_tribe_i18n!A:C,3,FALSE)</f>
        <v>種族なし</v>
      </c>
      <c r="Q1356" s="110"/>
      <c r="R1356" s="178">
        <v>1</v>
      </c>
      <c r="S1356" s="108" t="s">
        <v>280</v>
      </c>
      <c r="T1356" s="108" t="s">
        <v>281</v>
      </c>
      <c r="U1356" s="108" t="s">
        <v>280</v>
      </c>
      <c r="V1356" s="108" t="s">
        <v>280</v>
      </c>
      <c r="W1356" s="108" t="s">
        <v>280</v>
      </c>
    </row>
    <row r="1357" spans="1:23" ht="21" customHeight="1" x14ac:dyDescent="0.2">
      <c r="A1357" s="187">
        <v>1356</v>
      </c>
      <c r="B1357" s="105" t="s">
        <v>268</v>
      </c>
      <c r="C1357" s="188" t="s">
        <v>3769</v>
      </c>
      <c r="D1357" s="123"/>
      <c r="E1357" s="108"/>
      <c r="F1357" s="114"/>
      <c r="G1357" s="114"/>
      <c r="H1357" s="183" t="s">
        <v>274</v>
      </c>
      <c r="I1357" s="188">
        <v>5</v>
      </c>
      <c r="J1357" s="109" t="s">
        <v>1504</v>
      </c>
      <c r="K1357" s="105" t="s">
        <v>1005</v>
      </c>
      <c r="L1357" s="107" t="str">
        <f ca="1">VLOOKUP($K1357,OFFSET([1]character_type_i18n!$A$1,0,0,COUNTA([1]character_type_i18n!$A:$A),MATCH(L$1,[1]character_type_i18n!$1:$1,0)-MATCH($K$1,[1]character_type_i18n!$1:$1,0)+1),MATCH(L$1,[1]character_type_i18n!$1:$1,0)-MATCH($K$1,[1]character_type_i18n!$1:$1,0)+1,FALSE)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7" s="105" t="s">
        <v>1401</v>
      </c>
      <c r="N1357" s="107" t="str">
        <f>VLOOKUP(M1357,[1]character_tribe_i18n!A:C,3,FALSE)</f>
        <v>ヒューマン</v>
      </c>
      <c r="O1357" s="105" t="s">
        <v>1423</v>
      </c>
      <c r="P1357" s="107" t="str">
        <f>VLOOKUP(O1357,[1]character_tribe_i18n!A:C,3,FALSE)</f>
        <v>種族なし</v>
      </c>
      <c r="Q1357" s="110"/>
      <c r="R1357" s="178">
        <v>1</v>
      </c>
      <c r="S1357" s="108" t="s">
        <v>306</v>
      </c>
      <c r="T1357" s="108" t="s">
        <v>307</v>
      </c>
      <c r="U1357" s="108" t="s">
        <v>306</v>
      </c>
      <c r="V1357" s="108" t="s">
        <v>306</v>
      </c>
      <c r="W1357" s="108" t="s">
        <v>306</v>
      </c>
    </row>
    <row r="1358" spans="1:23" ht="21" customHeight="1" x14ac:dyDescent="0.2">
      <c r="A1358" s="187">
        <v>1357</v>
      </c>
      <c r="B1358" s="105" t="s">
        <v>314</v>
      </c>
      <c r="C1358" s="188" t="s">
        <v>789</v>
      </c>
      <c r="D1358" s="123"/>
      <c r="E1358" s="108"/>
      <c r="F1358" s="114"/>
      <c r="G1358" s="114"/>
      <c r="H1358" s="183" t="s">
        <v>295</v>
      </c>
      <c r="I1358" s="188">
        <v>5</v>
      </c>
      <c r="J1358" s="109" t="s">
        <v>1399</v>
      </c>
      <c r="K1358" s="105" t="s">
        <v>1400</v>
      </c>
      <c r="L1358" s="107" t="str">
        <f ca="1">VLOOKUP($K1358,OFFSET([1]character_type_i18n!$A$1,0,0,COUNTA([1]character_type_i18n!$A:$A),MATCH(L$1,[1]character_type_i18n!$1:$1,0)-MATCH($K$1,[1]character_type_i18n!$1:$1,0)+1),MATCH(L$1,[1]character_type_i18n!$1:$1,0)-MATCH($K$1,[1]character_type_i18n!$1:$1,0)+1,FALSE)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8" s="105" t="s">
        <v>3770</v>
      </c>
      <c r="N1358" s="107" t="str">
        <f>VLOOKUP(M1358,[1]character_tribe_i18n!A:C,3,FALSE)</f>
        <v>ヒューマン</v>
      </c>
      <c r="O1358" s="105" t="s">
        <v>3771</v>
      </c>
      <c r="P1358" s="107" t="str">
        <f>VLOOKUP(O1358,[1]character_tribe_i18n!A:C,3,FALSE)</f>
        <v>種族なし</v>
      </c>
      <c r="Q1358" s="110"/>
      <c r="R1358" s="178">
        <v>1</v>
      </c>
      <c r="S1358" s="108" t="s">
        <v>306</v>
      </c>
      <c r="T1358" s="108" t="s">
        <v>307</v>
      </c>
      <c r="U1358" s="108" t="s">
        <v>306</v>
      </c>
      <c r="V1358" s="108" t="s">
        <v>306</v>
      </c>
      <c r="W1358" s="108" t="s">
        <v>306</v>
      </c>
    </row>
    <row r="1359" spans="1:23" ht="21" customHeight="1" x14ac:dyDescent="0.2">
      <c r="A1359" s="187">
        <v>1358</v>
      </c>
      <c r="B1359" s="105" t="s">
        <v>314</v>
      </c>
      <c r="C1359" s="188" t="s">
        <v>3772</v>
      </c>
      <c r="D1359" s="123"/>
      <c r="E1359" s="108"/>
      <c r="F1359" s="114"/>
      <c r="G1359" s="114"/>
      <c r="H1359" s="183" t="s">
        <v>300</v>
      </c>
      <c r="I1359" s="188">
        <v>5</v>
      </c>
      <c r="J1359" s="109" t="s">
        <v>1399</v>
      </c>
      <c r="K1359" s="105" t="s">
        <v>1400</v>
      </c>
      <c r="L1359" s="107" t="str">
        <f ca="1">VLOOKUP($K1359,OFFSET([1]character_type_i18n!$A$1,0,0,COUNTA([1]character_type_i18n!$A:$A),MATCH(L$1,[1]character_type_i18n!$1:$1,0)-MATCH($K$1,[1]character_type_i18n!$1:$1,0)+1),MATCH(L$1,[1]character_type_i18n!$1:$1,0)-MATCH($K$1,[1]character_type_i18n!$1:$1,0)+1,FALSE)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9" s="105" t="s">
        <v>3768</v>
      </c>
      <c r="N1359" s="107" t="str">
        <f>VLOOKUP(M1359,[1]character_tribe_i18n!A:C,3,FALSE)</f>
        <v>ヒューマン</v>
      </c>
      <c r="O1359" s="105" t="s">
        <v>1423</v>
      </c>
      <c r="P1359" s="107" t="str">
        <f>VLOOKUP(O1359,[1]character_tribe_i18n!A:C,3,FALSE)</f>
        <v>種族なし</v>
      </c>
      <c r="Q1359" s="110"/>
      <c r="R1359" s="178">
        <v>1</v>
      </c>
      <c r="S1359" s="108" t="s">
        <v>280</v>
      </c>
      <c r="T1359" s="108" t="s">
        <v>281</v>
      </c>
      <c r="U1359" s="108" t="s">
        <v>280</v>
      </c>
      <c r="V1359" s="108" t="s">
        <v>280</v>
      </c>
      <c r="W1359" s="108" t="s">
        <v>280</v>
      </c>
    </row>
    <row r="1360" spans="1:23" ht="21" customHeight="1" x14ac:dyDescent="0.2">
      <c r="A1360" s="187">
        <v>1359</v>
      </c>
      <c r="B1360" s="105" t="s">
        <v>268</v>
      </c>
      <c r="C1360" s="188" t="s">
        <v>3773</v>
      </c>
      <c r="D1360" s="123"/>
      <c r="E1360" s="108"/>
      <c r="F1360" s="114"/>
      <c r="G1360" s="114"/>
      <c r="H1360" s="183" t="s">
        <v>274</v>
      </c>
      <c r="I1360" s="188">
        <v>5</v>
      </c>
      <c r="J1360" s="109" t="s">
        <v>1504</v>
      </c>
      <c r="K1360" s="105" t="s">
        <v>1005</v>
      </c>
      <c r="L1360" s="107" t="str">
        <f ca="1">VLOOKUP($K1360,OFFSET([1]character_type_i18n!$A$1,0,0,COUNTA([1]character_type_i18n!$A:$A),MATCH(L$1,[1]character_type_i18n!$1:$1,0)-MATCH($K$1,[1]character_type_i18n!$1:$1,0)+1),MATCH(L$1,[1]character_type_i18n!$1:$1,0)-MATCH($K$1,[1]character_type_i18n!$1:$1,0)+1,FALSE)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0" s="105" t="s">
        <v>1401</v>
      </c>
      <c r="N1360" s="107" t="str">
        <f>VLOOKUP(M1360,[1]character_tribe_i18n!A:C,3,FALSE)</f>
        <v>ヒューマン</v>
      </c>
      <c r="O1360" s="105" t="s">
        <v>3774</v>
      </c>
      <c r="P1360" s="107" t="str">
        <f>VLOOKUP(O1360,[1]character_tribe_i18n!A:C,3,FALSE)</f>
        <v>種族なし</v>
      </c>
      <c r="Q1360" s="110"/>
      <c r="R1360" s="178">
        <v>1</v>
      </c>
      <c r="S1360" s="108" t="s">
        <v>3775</v>
      </c>
      <c r="T1360" s="108" t="s">
        <v>339</v>
      </c>
      <c r="U1360" s="108" t="s">
        <v>3775</v>
      </c>
      <c r="V1360" s="108" t="s">
        <v>3775</v>
      </c>
      <c r="W1360" s="108" t="s">
        <v>3775</v>
      </c>
    </row>
    <row r="1361" spans="1:23" ht="21" customHeight="1" x14ac:dyDescent="0.2">
      <c r="A1361" s="187">
        <v>1360</v>
      </c>
      <c r="B1361" s="105" t="s">
        <v>3776</v>
      </c>
      <c r="C1361" s="188" t="s">
        <v>3773</v>
      </c>
      <c r="D1361" s="123"/>
      <c r="E1361" s="108"/>
      <c r="F1361" s="114"/>
      <c r="G1361" s="114"/>
      <c r="H1361" s="183" t="s">
        <v>274</v>
      </c>
      <c r="I1361" s="188">
        <v>6</v>
      </c>
      <c r="J1361" s="109" t="s">
        <v>3777</v>
      </c>
      <c r="K1361" s="105" t="s">
        <v>3778</v>
      </c>
      <c r="L1361" s="107" t="str">
        <f ca="1">VLOOKUP($K1361,OFFSET([1]character_type_i18n!$A$1,0,0,COUNTA([1]character_type_i18n!$A:$A),MATCH(L$1,[1]character_type_i18n!$1:$1,0)-MATCH($K$1,[1]character_type_i18n!$1:$1,0)+1),MATCH(L$1,[1]character_type_i18n!$1:$1,0)-MATCH($K$1,[1]character_type_i18n!$1:$1,0)+1,FALSE)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1" s="105" t="s">
        <v>1401</v>
      </c>
      <c r="N1361" s="107" t="str">
        <f>VLOOKUP(M1361,[1]character_tribe_i18n!A:C,3,FALSE)</f>
        <v>ヒューマン</v>
      </c>
      <c r="O1361" s="105" t="s">
        <v>1423</v>
      </c>
      <c r="P1361" s="107" t="str">
        <f>VLOOKUP(O1361,[1]character_tribe_i18n!A:C,3,FALSE)</f>
        <v>種族なし</v>
      </c>
      <c r="Q1361" s="110"/>
      <c r="R1361" s="178">
        <v>1</v>
      </c>
      <c r="S1361" s="108" t="s">
        <v>306</v>
      </c>
      <c r="T1361" s="108" t="s">
        <v>307</v>
      </c>
      <c r="U1361" s="108" t="s">
        <v>306</v>
      </c>
      <c r="V1361" s="108" t="s">
        <v>306</v>
      </c>
      <c r="W1361" s="108" t="s">
        <v>306</v>
      </c>
    </row>
    <row r="1362" spans="1:23" ht="21" customHeight="1" x14ac:dyDescent="0.2">
      <c r="A1362" s="187">
        <v>1361</v>
      </c>
      <c r="B1362" s="105" t="s">
        <v>314</v>
      </c>
      <c r="C1362" s="188" t="s">
        <v>3773</v>
      </c>
      <c r="D1362" s="123"/>
      <c r="E1362" s="108"/>
      <c r="F1362" s="114"/>
      <c r="G1362" s="114"/>
      <c r="H1362" s="183" t="s">
        <v>274</v>
      </c>
      <c r="I1362" s="188">
        <v>6</v>
      </c>
      <c r="J1362" s="109" t="s">
        <v>1399</v>
      </c>
      <c r="K1362" s="105" t="s">
        <v>1400</v>
      </c>
      <c r="L1362" s="107" t="str">
        <f ca="1">VLOOKUP($K1362,OFFSET([1]character_type_i18n!$A$1,0,0,COUNTA([1]character_type_i18n!$A:$A),MATCH(L$1,[1]character_type_i18n!$1:$1,0)-MATCH($K$1,[1]character_type_i18n!$1:$1,0)+1),MATCH(L$1,[1]character_type_i18n!$1:$1,0)-MATCH($K$1,[1]character_type_i18n!$1:$1,0)+1,FALSE)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2" s="105" t="s">
        <v>3747</v>
      </c>
      <c r="N1362" s="107" t="str">
        <f>VLOOKUP(M1362,[1]character_tribe_i18n!A:C,3,FALSE)</f>
        <v>ヒューマン</v>
      </c>
      <c r="O1362" s="105" t="s">
        <v>3779</v>
      </c>
      <c r="P1362" s="107" t="str">
        <f>VLOOKUP(O1362,[1]character_tribe_i18n!A:C,3,FALSE)</f>
        <v>種族なし</v>
      </c>
      <c r="Q1362" s="110"/>
      <c r="R1362" s="178">
        <v>1</v>
      </c>
      <c r="S1362" s="108" t="s">
        <v>3751</v>
      </c>
      <c r="T1362" s="108" t="s">
        <v>3750</v>
      </c>
      <c r="U1362" s="108" t="s">
        <v>3751</v>
      </c>
      <c r="V1362" s="108" t="s">
        <v>3751</v>
      </c>
      <c r="W1362" s="108" t="s">
        <v>3751</v>
      </c>
    </row>
    <row r="1363" spans="1:23" ht="21" customHeight="1" x14ac:dyDescent="0.2">
      <c r="A1363" s="187">
        <v>1362</v>
      </c>
      <c r="B1363" s="105" t="s">
        <v>3766</v>
      </c>
      <c r="C1363" s="188" t="s">
        <v>3780</v>
      </c>
      <c r="D1363" s="123"/>
      <c r="E1363" s="108"/>
      <c r="F1363" s="114"/>
      <c r="G1363" s="114"/>
      <c r="H1363" s="183" t="s">
        <v>274</v>
      </c>
      <c r="I1363" s="188">
        <v>6</v>
      </c>
      <c r="J1363" s="109" t="s">
        <v>3781</v>
      </c>
      <c r="K1363" s="105" t="s">
        <v>3782</v>
      </c>
      <c r="L1363" s="107" t="str">
        <f ca="1">VLOOKUP($K1363,OFFSET([1]character_type_i18n!$A$1,0,0,COUNTA([1]character_type_i18n!$A:$A),MATCH(L$1,[1]character_type_i18n!$1:$1,0)-MATCH($K$1,[1]character_type_i18n!$1:$1,0)+1),MATCH(L$1,[1]character_type_i18n!$1:$1,0)-MATCH($K$1,[1]character_type_i18n!$1:$1,0)+1,FALSE)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3" s="105" t="s">
        <v>1401</v>
      </c>
      <c r="N1363" s="107" t="str">
        <f>VLOOKUP(M1363,[1]character_tribe_i18n!A:C,3,FALSE)</f>
        <v>ヒューマン</v>
      </c>
      <c r="O1363" s="105" t="s">
        <v>3783</v>
      </c>
      <c r="P1363" s="107" t="str">
        <f>VLOOKUP(O1363,[1]character_tribe_i18n!A:C,3,FALSE)</f>
        <v>種族なし</v>
      </c>
      <c r="Q1363" s="110"/>
      <c r="R1363" s="178">
        <v>1</v>
      </c>
      <c r="S1363" s="108" t="s">
        <v>306</v>
      </c>
      <c r="T1363" s="108" t="s">
        <v>307</v>
      </c>
      <c r="U1363" s="108" t="s">
        <v>306</v>
      </c>
      <c r="V1363" s="108" t="s">
        <v>306</v>
      </c>
      <c r="W1363" s="108" t="s">
        <v>306</v>
      </c>
    </row>
    <row r="1364" spans="1:23" ht="21" customHeight="1" x14ac:dyDescent="0.2">
      <c r="A1364" s="187">
        <v>1363</v>
      </c>
      <c r="B1364" s="105" t="s">
        <v>314</v>
      </c>
      <c r="C1364" s="188" t="s">
        <v>3780</v>
      </c>
      <c r="D1364" s="123"/>
      <c r="E1364" s="108"/>
      <c r="F1364" s="114"/>
      <c r="G1364" s="114"/>
      <c r="H1364" s="183" t="s">
        <v>300</v>
      </c>
      <c r="I1364" s="188">
        <v>6</v>
      </c>
      <c r="J1364" s="109" t="s">
        <v>1504</v>
      </c>
      <c r="K1364" s="105" t="s">
        <v>1005</v>
      </c>
      <c r="L1364" s="107" t="str">
        <f ca="1">VLOOKUP($K1364,OFFSET([1]character_type_i18n!$A$1,0,0,COUNTA([1]character_type_i18n!$A:$A),MATCH(L$1,[1]character_type_i18n!$1:$1,0)-MATCH($K$1,[1]character_type_i18n!$1:$1,0)+1),MATCH(L$1,[1]character_type_i18n!$1:$1,0)-MATCH($K$1,[1]character_type_i18n!$1:$1,0)+1,FALSE)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4" s="105" t="s">
        <v>3784</v>
      </c>
      <c r="N1364" s="107" t="str">
        <f>VLOOKUP(M1364,[1]character_tribe_i18n!A:C,3,FALSE)</f>
        <v>ヒューマン</v>
      </c>
      <c r="O1364" s="105" t="s">
        <v>1420</v>
      </c>
      <c r="P1364" s="107" t="str">
        <f>VLOOKUP(O1364,[1]character_tribe_i18n!A:C,3,FALSE)</f>
        <v>種族なし</v>
      </c>
      <c r="Q1364" s="110"/>
      <c r="R1364" s="178">
        <v>1</v>
      </c>
      <c r="S1364" s="108" t="s">
        <v>280</v>
      </c>
      <c r="T1364" s="108" t="s">
        <v>281</v>
      </c>
      <c r="U1364" s="108" t="s">
        <v>280</v>
      </c>
      <c r="V1364" s="108" t="s">
        <v>280</v>
      </c>
      <c r="W1364" s="108" t="s">
        <v>280</v>
      </c>
    </row>
    <row r="1365" spans="1:23" ht="21" customHeight="1" x14ac:dyDescent="0.2">
      <c r="A1365" s="187">
        <v>1364</v>
      </c>
      <c r="B1365" s="105" t="s">
        <v>268</v>
      </c>
      <c r="C1365" s="188" t="s">
        <v>3780</v>
      </c>
      <c r="D1365" s="123"/>
      <c r="E1365" s="108"/>
      <c r="F1365" s="114"/>
      <c r="G1365" s="114"/>
      <c r="H1365" s="183" t="s">
        <v>285</v>
      </c>
      <c r="I1365" s="188">
        <v>6</v>
      </c>
      <c r="J1365" s="109" t="s">
        <v>1504</v>
      </c>
      <c r="K1365" s="105" t="s">
        <v>1005</v>
      </c>
      <c r="L1365" s="107" t="str">
        <f ca="1">VLOOKUP($K1365,OFFSET([1]character_type_i18n!$A$1,0,0,COUNTA([1]character_type_i18n!$A:$A),MATCH(L$1,[1]character_type_i18n!$1:$1,0)-MATCH($K$1,[1]character_type_i18n!$1:$1,0)+1),MATCH(L$1,[1]character_type_i18n!$1:$1,0)-MATCH($K$1,[1]character_type_i18n!$1:$1,0)+1,FALSE)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5" s="105" t="s">
        <v>1011</v>
      </c>
      <c r="N1365" s="107" t="str">
        <f>VLOOKUP(M1365,[1]character_tribe_i18n!A:C,3,FALSE)</f>
        <v>ヒューマン</v>
      </c>
      <c r="O1365" s="105" t="s">
        <v>1423</v>
      </c>
      <c r="P1365" s="107" t="str">
        <f>VLOOKUP(O1365,[1]character_tribe_i18n!A:C,3,FALSE)</f>
        <v>種族なし</v>
      </c>
      <c r="Q1365" s="110"/>
      <c r="R1365" s="178">
        <v>1</v>
      </c>
      <c r="S1365" s="108" t="s">
        <v>306</v>
      </c>
      <c r="T1365" s="108" t="s">
        <v>307</v>
      </c>
      <c r="U1365" s="108" t="s">
        <v>306</v>
      </c>
      <c r="V1365" s="108" t="s">
        <v>306</v>
      </c>
      <c r="W1365" s="108" t="s">
        <v>306</v>
      </c>
    </row>
    <row r="1366" spans="1:23" ht="21" customHeight="1" x14ac:dyDescent="0.2">
      <c r="A1366" s="187">
        <v>1365</v>
      </c>
      <c r="B1366" s="105" t="s">
        <v>314</v>
      </c>
      <c r="C1366" s="188" t="s">
        <v>3785</v>
      </c>
      <c r="D1366" s="123"/>
      <c r="E1366" s="108"/>
      <c r="F1366" s="114"/>
      <c r="G1366" s="114"/>
      <c r="H1366" s="183" t="s">
        <v>3786</v>
      </c>
      <c r="I1366" s="188">
        <v>5</v>
      </c>
      <c r="J1366" s="109" t="s">
        <v>3639</v>
      </c>
      <c r="K1366" s="105" t="s">
        <v>1400</v>
      </c>
      <c r="L1366" s="107" t="str">
        <f ca="1">VLOOKUP($K1366,OFFSET([1]character_type_i18n!$A$1,0,0,COUNTA([1]character_type_i18n!$A:$A),MATCH(L$1,[1]character_type_i18n!$1:$1,0)-MATCH($K$1,[1]character_type_i18n!$1:$1,0)+1),MATCH(L$1,[1]character_type_i18n!$1:$1,0)-MATCH($K$1,[1]character_type_i18n!$1:$1,0)+1,FALSE)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6" s="105" t="s">
        <v>1987</v>
      </c>
      <c r="N1366" s="107" t="str">
        <f>VLOOKUP(M1366,[1]character_tribe_i18n!A:C,3,FALSE)</f>
        <v>アカデミア</v>
      </c>
      <c r="O1366" s="105" t="s">
        <v>1423</v>
      </c>
      <c r="P1366" s="107" t="str">
        <f>VLOOKUP(O1366,[1]character_tribe_i18n!A:C,3,FALSE)</f>
        <v>種族なし</v>
      </c>
      <c r="Q1366" s="110"/>
      <c r="R1366" s="178">
        <v>1</v>
      </c>
      <c r="S1366" s="108" t="s">
        <v>280</v>
      </c>
      <c r="T1366" s="108" t="s">
        <v>281</v>
      </c>
      <c r="U1366" s="108" t="s">
        <v>280</v>
      </c>
      <c r="V1366" s="108" t="s">
        <v>280</v>
      </c>
      <c r="W1366" s="108" t="s">
        <v>280</v>
      </c>
    </row>
    <row r="1367" spans="1:23" ht="21" customHeight="1" x14ac:dyDescent="0.2">
      <c r="A1367" s="187">
        <v>1366</v>
      </c>
      <c r="B1367" s="105" t="s">
        <v>268</v>
      </c>
      <c r="C1367" s="188" t="s">
        <v>3787</v>
      </c>
      <c r="D1367" s="123"/>
      <c r="E1367" s="108"/>
      <c r="F1367" s="114"/>
      <c r="G1367" s="114"/>
      <c r="H1367" s="183" t="s">
        <v>614</v>
      </c>
      <c r="I1367" s="188">
        <v>6</v>
      </c>
      <c r="J1367" s="109" t="s">
        <v>1180</v>
      </c>
      <c r="K1367" s="105" t="s">
        <v>1005</v>
      </c>
      <c r="L1367" s="107" t="str">
        <f ca="1">VLOOKUP($K1367,OFFSET([1]character_type_i18n!$A$1,0,0,COUNTA([1]character_type_i18n!$A:$A),MATCH(L$1,[1]character_type_i18n!$1:$1,0)-MATCH($K$1,[1]character_type_i18n!$1:$1,0)+1),MATCH(L$1,[1]character_type_i18n!$1:$1,0)-MATCH($K$1,[1]character_type_i18n!$1:$1,0)+1,FALSE)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7" s="105" t="s">
        <v>3788</v>
      </c>
      <c r="N1367" s="107" t="str">
        <f>VLOOKUP(M1367,[1]character_tribe_i18n!A:C,3,FALSE)</f>
        <v>アカデミア</v>
      </c>
      <c r="O1367" s="105" t="s">
        <v>1423</v>
      </c>
      <c r="P1367" s="107" t="str">
        <f>VLOOKUP(O1367,[1]character_tribe_i18n!A:C,3,FALSE)</f>
        <v>種族なし</v>
      </c>
      <c r="Q1367" s="110"/>
      <c r="R1367" s="178">
        <v>1</v>
      </c>
      <c r="S1367" s="108" t="s">
        <v>306</v>
      </c>
      <c r="T1367" s="108" t="s">
        <v>307</v>
      </c>
      <c r="U1367" s="108" t="s">
        <v>306</v>
      </c>
      <c r="V1367" s="108" t="s">
        <v>306</v>
      </c>
      <c r="W1367" s="108" t="s">
        <v>306</v>
      </c>
    </row>
    <row r="1368" spans="1:23" ht="21" customHeight="1" x14ac:dyDescent="0.2">
      <c r="A1368" s="187">
        <v>1367</v>
      </c>
      <c r="B1368" s="105" t="s">
        <v>314</v>
      </c>
      <c r="C1368" s="188" t="s">
        <v>3789</v>
      </c>
      <c r="D1368" s="123"/>
      <c r="E1368" s="108"/>
      <c r="F1368" s="114"/>
      <c r="G1368" s="114"/>
      <c r="H1368" s="183" t="s">
        <v>295</v>
      </c>
      <c r="I1368" s="188">
        <v>5</v>
      </c>
      <c r="J1368" s="109" t="s">
        <v>3639</v>
      </c>
      <c r="K1368" s="105" t="s">
        <v>1400</v>
      </c>
      <c r="L1368" s="107" t="str">
        <f ca="1">VLOOKUP($K1368,OFFSET([1]character_type_i18n!$A$1,0,0,COUNTA([1]character_type_i18n!$A:$A),MATCH(L$1,[1]character_type_i18n!$1:$1,0)-MATCH($K$1,[1]character_type_i18n!$1:$1,0)+1),MATCH(L$1,[1]character_type_i18n!$1:$1,0)-MATCH($K$1,[1]character_type_i18n!$1:$1,0)+1,FALSE)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8" s="105" t="s">
        <v>1987</v>
      </c>
      <c r="N1368" s="107" t="str">
        <f>VLOOKUP(M1368,[1]character_tribe_i18n!A:C,3,FALSE)</f>
        <v>アカデミア</v>
      </c>
      <c r="O1368" s="105" t="s">
        <v>1011</v>
      </c>
      <c r="P1368" s="107" t="str">
        <f>VLOOKUP(O1368,[1]character_tribe_i18n!A:C,3,FALSE)</f>
        <v>ヒューマン</v>
      </c>
      <c r="Q1368" s="110"/>
      <c r="R1368" s="178">
        <v>3</v>
      </c>
      <c r="S1368" s="108" t="s">
        <v>306</v>
      </c>
      <c r="T1368" s="108" t="s">
        <v>307</v>
      </c>
      <c r="U1368" s="108" t="s">
        <v>306</v>
      </c>
      <c r="V1368" s="108" t="s">
        <v>306</v>
      </c>
      <c r="W1368" s="108" t="s">
        <v>306</v>
      </c>
    </row>
    <row r="1369" spans="1:23" ht="21" customHeight="1" x14ac:dyDescent="0.2">
      <c r="A1369" s="187">
        <v>1368</v>
      </c>
      <c r="B1369" s="105" t="s">
        <v>314</v>
      </c>
      <c r="C1369" s="188" t="s">
        <v>3790</v>
      </c>
      <c r="D1369" s="123"/>
      <c r="E1369" s="108"/>
      <c r="F1369" s="114"/>
      <c r="G1369" s="114"/>
      <c r="H1369" s="183" t="s">
        <v>295</v>
      </c>
      <c r="I1369" s="188">
        <v>6</v>
      </c>
      <c r="J1369" s="109" t="s">
        <v>3639</v>
      </c>
      <c r="K1369" s="105" t="s">
        <v>1400</v>
      </c>
      <c r="L1369" s="107" t="str">
        <f ca="1">VLOOKUP($K1369,OFFSET([1]character_type_i18n!$A$1,0,0,COUNTA([1]character_type_i18n!$A:$A),MATCH(L$1,[1]character_type_i18n!$1:$1,0)-MATCH($K$1,[1]character_type_i18n!$1:$1,0)+1),MATCH(L$1,[1]character_type_i18n!$1:$1,0)-MATCH($K$1,[1]character_type_i18n!$1:$1,0)+1,FALSE)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9" s="105" t="s">
        <v>1987</v>
      </c>
      <c r="N1369" s="107" t="str">
        <f>VLOOKUP(M1369,[1]character_tribe_i18n!A:C,3,FALSE)</f>
        <v>アカデミア</v>
      </c>
      <c r="O1369" s="105" t="s">
        <v>1011</v>
      </c>
      <c r="P1369" s="107" t="str">
        <f>VLOOKUP(O1369,[1]character_tribe_i18n!A:C,3,FALSE)</f>
        <v>ヒューマン</v>
      </c>
      <c r="Q1369" s="110"/>
      <c r="R1369" s="178">
        <v>3</v>
      </c>
      <c r="S1369" s="108" t="s">
        <v>306</v>
      </c>
      <c r="T1369" s="108" t="s">
        <v>307</v>
      </c>
      <c r="U1369" s="108" t="s">
        <v>306</v>
      </c>
      <c r="V1369" s="108" t="s">
        <v>306</v>
      </c>
      <c r="W1369" s="108" t="s">
        <v>306</v>
      </c>
    </row>
    <row r="1370" spans="1:23" ht="21" customHeight="1" x14ac:dyDescent="0.2">
      <c r="A1370" s="187">
        <v>1369</v>
      </c>
      <c r="B1370" s="105" t="s">
        <v>314</v>
      </c>
      <c r="C1370" s="188" t="s">
        <v>3791</v>
      </c>
      <c r="D1370" s="123"/>
      <c r="E1370" s="108"/>
      <c r="F1370" s="114"/>
      <c r="G1370" s="114"/>
      <c r="H1370" s="183" t="s">
        <v>274</v>
      </c>
      <c r="I1370" s="188">
        <v>5</v>
      </c>
      <c r="J1370" s="109" t="s">
        <v>3613</v>
      </c>
      <c r="K1370" s="105" t="s">
        <v>1400</v>
      </c>
      <c r="L1370" s="107" t="str">
        <f ca="1">VLOOKUP($K1370,OFFSET([1]character_type_i18n!$A$1,0,0,COUNTA([1]character_type_i18n!$A:$A),MATCH(L$1,[1]character_type_i18n!$1:$1,0)-MATCH($K$1,[1]character_type_i18n!$1:$1,0)+1),MATCH(L$1,[1]character_type_i18n!$1:$1,0)-MATCH($K$1,[1]character_type_i18n!$1:$1,0)+1,FALSE)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70" s="105" t="s">
        <v>3488</v>
      </c>
      <c r="N1370" s="107" t="str">
        <f>VLOOKUP(M1370,[1]character_tribe_i18n!A:C,3,FALSE)</f>
        <v>デーモン</v>
      </c>
      <c r="O1370" s="105" t="s">
        <v>1164</v>
      </c>
      <c r="P1370" s="107" t="str">
        <f>VLOOKUP(O1370,[1]character_tribe_i18n!A:C,3,FALSE)</f>
        <v>Unknown</v>
      </c>
      <c r="Q1370" s="110"/>
      <c r="R1370" s="178">
        <v>3</v>
      </c>
      <c r="S1370" s="108" t="s">
        <v>306</v>
      </c>
      <c r="T1370" s="108" t="s">
        <v>307</v>
      </c>
      <c r="U1370" s="108" t="s">
        <v>306</v>
      </c>
      <c r="V1370" s="108" t="s">
        <v>306</v>
      </c>
      <c r="W1370" s="108" t="s">
        <v>306</v>
      </c>
    </row>
    <row r="1371" spans="1:23" ht="21" customHeight="1" x14ac:dyDescent="0.2">
      <c r="A1371" s="187">
        <v>1370</v>
      </c>
      <c r="B1371" s="105" t="s">
        <v>314</v>
      </c>
      <c r="C1371" s="188" t="s">
        <v>3792</v>
      </c>
      <c r="D1371" s="123"/>
      <c r="E1371" s="108"/>
      <c r="F1371" s="114"/>
      <c r="G1371" s="114"/>
      <c r="H1371" s="183" t="s">
        <v>274</v>
      </c>
      <c r="I1371" s="188">
        <v>6</v>
      </c>
      <c r="J1371" s="109" t="s">
        <v>3613</v>
      </c>
      <c r="K1371" s="105" t="s">
        <v>1400</v>
      </c>
      <c r="L1371" s="107" t="str">
        <f ca="1">VLOOKUP($K1371,OFFSET([1]character_type_i18n!$A$1,0,0,COUNTA([1]character_type_i18n!$A:$A),MATCH(L$1,[1]character_type_i18n!$1:$1,0)-MATCH($K$1,[1]character_type_i18n!$1:$1,0)+1),MATCH(L$1,[1]character_type_i18n!$1:$1,0)-MATCH($K$1,[1]character_type_i18n!$1:$1,0)+1,FALSE)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71" s="105" t="s">
        <v>3488</v>
      </c>
      <c r="N1371" s="107" t="str">
        <f>VLOOKUP(M1371,[1]character_tribe_i18n!A:C,3,FALSE)</f>
        <v>デーモン</v>
      </c>
      <c r="O1371" s="105" t="s">
        <v>1164</v>
      </c>
      <c r="P1371" s="107" t="str">
        <f>VLOOKUP(O1371,[1]character_tribe_i18n!A:C,3,FALSE)</f>
        <v>Unknown</v>
      </c>
      <c r="Q1371" s="110"/>
      <c r="R1371" s="178">
        <v>3</v>
      </c>
      <c r="S1371" s="108" t="s">
        <v>306</v>
      </c>
      <c r="T1371" s="108" t="s">
        <v>307</v>
      </c>
      <c r="U1371" s="108" t="s">
        <v>306</v>
      </c>
      <c r="V1371" s="108" t="s">
        <v>306</v>
      </c>
      <c r="W1371" s="108" t="s">
        <v>306</v>
      </c>
    </row>
    <row r="1372" spans="1:23" ht="21" customHeight="1" x14ac:dyDescent="0.15">
      <c r="A1372" s="191">
        <v>1414</v>
      </c>
      <c r="B1372" s="105" t="s">
        <v>314</v>
      </c>
      <c r="C1372" s="133" t="s">
        <v>3793</v>
      </c>
      <c r="D1372" s="107" t="s">
        <v>1404</v>
      </c>
      <c r="E1372" s="108" t="s">
        <v>1405</v>
      </c>
      <c r="F1372" s="108" t="s">
        <v>1406</v>
      </c>
      <c r="G1372" s="108" t="s">
        <v>1347</v>
      </c>
      <c r="H1372" s="105" t="s">
        <v>536</v>
      </c>
      <c r="I1372" s="115">
        <v>6</v>
      </c>
      <c r="J1372" s="115" t="s">
        <v>537</v>
      </c>
      <c r="K1372" s="105" t="s">
        <v>538</v>
      </c>
      <c r="L1372" s="107" t="str">
        <f ca="1">VLOOKUP($K1372,OFFSET([1]character_type_i18n!$A$1,0,0,COUNTA([1]character_type_i18n!$A:$A),MATCH(L$1,[1]character_type_i18n!$1:$1,0)-MATCH($K$1,[1]character_type_i18n!$1:$1,0)+1),MATCH(L$1,[1]character_type_i18n!$1:$1,0)-MATCH($K$1,[1]character_type_i18n!$1:$1,0)+1,FALSE)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372" s="105" t="s">
        <v>277</v>
      </c>
      <c r="N1372" s="107" t="str">
        <f>VLOOKUP(M1372,[1]character_tribe_i18n!A:C,3,FALSE)</f>
        <v>Unknown</v>
      </c>
      <c r="O1372" s="105" t="s">
        <v>278</v>
      </c>
      <c r="P1372" s="107" t="str">
        <f>VLOOKUP(O1372,[1]character_tribe_i18n!A:C,3,FALSE)</f>
        <v>種族なし</v>
      </c>
      <c r="Q1372" s="110" t="s">
        <v>539</v>
      </c>
      <c r="R1372" s="111">
        <v>3</v>
      </c>
      <c r="S1372" s="108" t="s">
        <v>280</v>
      </c>
      <c r="T1372" s="108" t="s">
        <v>281</v>
      </c>
      <c r="U1372" s="108" t="s">
        <v>280</v>
      </c>
      <c r="V1372" s="108" t="s">
        <v>280</v>
      </c>
      <c r="W1372" s="108" t="s">
        <v>280</v>
      </c>
    </row>
    <row r="1373" spans="1:23" ht="21" customHeight="1" x14ac:dyDescent="0.15">
      <c r="A1373" s="191">
        <v>1415</v>
      </c>
      <c r="B1373" s="105" t="s">
        <v>268</v>
      </c>
      <c r="C1373" s="133" t="s">
        <v>3794</v>
      </c>
      <c r="D1373" s="107" t="s">
        <v>1410</v>
      </c>
      <c r="E1373" s="108" t="s">
        <v>1405</v>
      </c>
      <c r="F1373" s="108" t="s">
        <v>1406</v>
      </c>
      <c r="G1373" s="108" t="s">
        <v>1347</v>
      </c>
      <c r="H1373" s="105" t="s">
        <v>545</v>
      </c>
      <c r="I1373" s="115">
        <v>6</v>
      </c>
      <c r="J1373" s="115" t="s">
        <v>537</v>
      </c>
      <c r="K1373" s="105" t="s">
        <v>538</v>
      </c>
      <c r="L1373" s="107" t="str">
        <f ca="1">VLOOKUP($K1373,OFFSET([1]character_type_i18n!$A$1,0,0,COUNTA([1]character_type_i18n!$A:$A),MATCH(L$1,[1]character_type_i18n!$1:$1,0)-MATCH($K$1,[1]character_type_i18n!$1:$1,0)+1),MATCH(L$1,[1]character_type_i18n!$1:$1,0)-MATCH($K$1,[1]character_type_i18n!$1:$1,0)+1,FALSE)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373" s="105" t="s">
        <v>277</v>
      </c>
      <c r="N1373" s="107" t="str">
        <f>VLOOKUP(M1373,[1]character_tribe_i18n!A:C,3,FALSE)</f>
        <v>Unknown</v>
      </c>
      <c r="O1373" s="105" t="s">
        <v>278</v>
      </c>
      <c r="P1373" s="107" t="str">
        <f>VLOOKUP(O1373,[1]character_tribe_i18n!A:C,3,FALSE)</f>
        <v>種族なし</v>
      </c>
      <c r="Q1373" s="110" t="s">
        <v>539</v>
      </c>
      <c r="R1373" s="111">
        <v>3</v>
      </c>
      <c r="S1373" s="108" t="s">
        <v>280</v>
      </c>
      <c r="T1373" s="108" t="s">
        <v>281</v>
      </c>
      <c r="U1373" s="108" t="s">
        <v>280</v>
      </c>
      <c r="V1373" s="108" t="s">
        <v>280</v>
      </c>
      <c r="W1373" s="108" t="s">
        <v>280</v>
      </c>
    </row>
    <row r="1374" spans="1:23" ht="21" customHeight="1" x14ac:dyDescent="0.15">
      <c r="A1374" s="191">
        <v>1416</v>
      </c>
      <c r="B1374" s="105" t="s">
        <v>268</v>
      </c>
      <c r="C1374" s="133" t="s">
        <v>3795</v>
      </c>
      <c r="D1374" s="107" t="s">
        <v>1410</v>
      </c>
      <c r="E1374" s="108" t="s">
        <v>1405</v>
      </c>
      <c r="F1374" s="108" t="s">
        <v>1406</v>
      </c>
      <c r="G1374" s="108" t="s">
        <v>1347</v>
      </c>
      <c r="H1374" s="105" t="s">
        <v>618</v>
      </c>
      <c r="I1374" s="115">
        <v>6</v>
      </c>
      <c r="J1374" s="115" t="s">
        <v>537</v>
      </c>
      <c r="K1374" s="105" t="s">
        <v>538</v>
      </c>
      <c r="L1374" s="107" t="str">
        <f ca="1">VLOOKUP($K1374,OFFSET([1]character_type_i18n!$A$1,0,0,COUNTA([1]character_type_i18n!$A:$A),MATCH(L$1,[1]character_type_i18n!$1:$1,0)-MATCH($K$1,[1]character_type_i18n!$1:$1,0)+1),MATCH(L$1,[1]character_type_i18n!$1:$1,0)-MATCH($K$1,[1]character_type_i18n!$1:$1,0)+1,FALSE)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374" s="105" t="s">
        <v>277</v>
      </c>
      <c r="N1374" s="107" t="str">
        <f>VLOOKUP(M1374,[1]character_tribe_i18n!A:C,3,FALSE)</f>
        <v>Unknown</v>
      </c>
      <c r="O1374" s="105" t="s">
        <v>278</v>
      </c>
      <c r="P1374" s="107" t="str">
        <f>VLOOKUP(O1374,[1]character_tribe_i18n!A:C,3,FALSE)</f>
        <v>種族なし</v>
      </c>
      <c r="Q1374" s="110" t="s">
        <v>539</v>
      </c>
      <c r="R1374" s="111">
        <v>3</v>
      </c>
      <c r="S1374" s="108" t="s">
        <v>280</v>
      </c>
      <c r="T1374" s="108" t="s">
        <v>281</v>
      </c>
      <c r="U1374" s="108" t="s">
        <v>280</v>
      </c>
      <c r="V1374" s="108" t="s">
        <v>280</v>
      </c>
      <c r="W1374" s="108" t="s">
        <v>280</v>
      </c>
    </row>
    <row r="1375" spans="1:23" ht="21" customHeight="1" x14ac:dyDescent="0.15">
      <c r="A1375" s="191">
        <v>1417</v>
      </c>
      <c r="B1375" s="105" t="s">
        <v>268</v>
      </c>
      <c r="C1375" s="133" t="s">
        <v>3796</v>
      </c>
      <c r="D1375" s="107" t="s">
        <v>1410</v>
      </c>
      <c r="E1375" s="108" t="s">
        <v>1405</v>
      </c>
      <c r="F1375" s="108" t="s">
        <v>1406</v>
      </c>
      <c r="G1375" s="108" t="s">
        <v>1347</v>
      </c>
      <c r="H1375" s="105" t="s">
        <v>1106</v>
      </c>
      <c r="I1375" s="115">
        <v>6</v>
      </c>
      <c r="J1375" s="115" t="s">
        <v>537</v>
      </c>
      <c r="K1375" s="105" t="s">
        <v>538</v>
      </c>
      <c r="L1375" s="107" t="str">
        <f ca="1">VLOOKUP($K1375,OFFSET([1]character_type_i18n!$A$1,0,0,COUNTA([1]character_type_i18n!$A:$A),MATCH(L$1,[1]character_type_i18n!$1:$1,0)-MATCH($K$1,[1]character_type_i18n!$1:$1,0)+1),MATCH(L$1,[1]character_type_i18n!$1:$1,0)-MATCH($K$1,[1]character_type_i18n!$1:$1,0)+1,FALSE)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375" s="105" t="s">
        <v>277</v>
      </c>
      <c r="N1375" s="107" t="str">
        <f>VLOOKUP(M1375,[1]character_tribe_i18n!A:C,3,FALSE)</f>
        <v>Unknown</v>
      </c>
      <c r="O1375" s="105" t="s">
        <v>278</v>
      </c>
      <c r="P1375" s="107" t="str">
        <f>VLOOKUP(O1375,[1]character_tribe_i18n!A:C,3,FALSE)</f>
        <v>種族なし</v>
      </c>
      <c r="Q1375" s="110" t="s">
        <v>539</v>
      </c>
      <c r="R1375" s="111">
        <v>3</v>
      </c>
      <c r="S1375" s="108" t="s">
        <v>280</v>
      </c>
      <c r="T1375" s="108" t="s">
        <v>281</v>
      </c>
      <c r="U1375" s="108" t="s">
        <v>280</v>
      </c>
      <c r="V1375" s="108" t="s">
        <v>280</v>
      </c>
      <c r="W1375" s="108" t="s">
        <v>280</v>
      </c>
    </row>
    <row r="1376" spans="1:23" ht="21" customHeight="1" x14ac:dyDescent="0.2">
      <c r="A1376" s="187">
        <v>1427</v>
      </c>
      <c r="B1376" s="105" t="s">
        <v>268</v>
      </c>
      <c r="C1376" s="188" t="s">
        <v>3797</v>
      </c>
      <c r="D1376" s="123"/>
      <c r="E1376" s="108"/>
      <c r="F1376" s="114"/>
      <c r="G1376" s="114"/>
      <c r="H1376" s="183" t="s">
        <v>768</v>
      </c>
      <c r="I1376" s="188">
        <v>6</v>
      </c>
      <c r="J1376" s="109" t="s">
        <v>1180</v>
      </c>
      <c r="K1376" s="105" t="s">
        <v>1005</v>
      </c>
      <c r="L1376" s="107" t="str">
        <f ca="1">VLOOKUP($K1376,OFFSET([1]character_type_i18n!$A$1,0,0,COUNTA([1]character_type_i18n!$A:$A),MATCH(L$1,[1]character_type_i18n!$1:$1,0)-MATCH($K$1,[1]character_type_i18n!$1:$1,0)+1),MATCH(L$1,[1]character_type_i18n!$1:$1,0)-MATCH($K$1,[1]character_type_i18n!$1:$1,0)+1,FALSE)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76" s="105" t="s">
        <v>1987</v>
      </c>
      <c r="N1376" s="107" t="str">
        <f>VLOOKUP(M1376,[1]character_tribe_i18n!A:C,3,FALSE)</f>
        <v>アカデミア</v>
      </c>
      <c r="O1376" s="105" t="s">
        <v>1011</v>
      </c>
      <c r="P1376" s="107" t="str">
        <f>VLOOKUP(O1376,[1]character_tribe_i18n!A:C,3,FALSE)</f>
        <v>ヒューマン</v>
      </c>
      <c r="Q1376" s="110"/>
      <c r="R1376" s="178">
        <v>1</v>
      </c>
      <c r="S1376" s="108" t="s">
        <v>306</v>
      </c>
      <c r="T1376" s="108" t="s">
        <v>307</v>
      </c>
      <c r="U1376" s="108" t="s">
        <v>306</v>
      </c>
      <c r="V1376" s="108" t="s">
        <v>306</v>
      </c>
      <c r="W1376" s="108" t="s">
        <v>306</v>
      </c>
    </row>
    <row r="1377" spans="1:23" ht="22" customHeight="1" x14ac:dyDescent="0.15">
      <c r="A1377" s="192">
        <v>5001</v>
      </c>
      <c r="B1377" s="105" t="s">
        <v>314</v>
      </c>
      <c r="C1377" s="106" t="s">
        <v>3798</v>
      </c>
      <c r="D1377" s="107" t="s">
        <v>316</v>
      </c>
      <c r="E1377" s="108" t="s">
        <v>3799</v>
      </c>
      <c r="F1377" s="108" t="s">
        <v>272</v>
      </c>
      <c r="G1377" s="108" t="s">
        <v>273</v>
      </c>
      <c r="H1377" s="105" t="s">
        <v>274</v>
      </c>
      <c r="I1377" s="109">
        <v>5</v>
      </c>
      <c r="J1377" s="130" t="s">
        <v>3412</v>
      </c>
      <c r="K1377" s="105" t="s">
        <v>1441</v>
      </c>
      <c r="L1377" s="107" t="str">
        <f ca="1">VLOOKUP($K1377,OFFSET([1]character_type_i18n!$A$1,0,0,COUNTA([1]character_type_i18n!$A:$A),MATCH(L$1,[1]character_type_i18n!$1:$1,0)-MATCH($K$1,[1]character_type_i18n!$1:$1,0)+1),MATCH(L$1,[1]character_type_i18n!$1:$1,0)-MATCH($K$1,[1]character_type_i18n!$1:$1,0)+1,FALSE)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77" s="105" t="s">
        <v>1018</v>
      </c>
      <c r="N1377" s="107" t="str">
        <f>VLOOKUP(M1377,[1]character_tribe_i18n!A:C,3,FALSE)</f>
        <v>ゴッド</v>
      </c>
      <c r="O1377" s="105" t="s">
        <v>313</v>
      </c>
      <c r="P1377" s="107" t="str">
        <f>VLOOKUP(O1377,[1]character_tribe_i18n!A:C,3,FALSE)</f>
        <v>アニマル</v>
      </c>
      <c r="Q1377" s="110" t="s">
        <v>279</v>
      </c>
      <c r="R1377" s="178">
        <v>1</v>
      </c>
      <c r="S1377" s="108" t="s">
        <v>280</v>
      </c>
      <c r="T1377" s="108" t="s">
        <v>281</v>
      </c>
      <c r="U1377" s="108" t="s">
        <v>280</v>
      </c>
      <c r="V1377" s="108" t="s">
        <v>280</v>
      </c>
      <c r="W1377" s="108" t="s">
        <v>280</v>
      </c>
    </row>
    <row r="1378" spans="1:23" ht="21" customHeight="1" x14ac:dyDescent="0.15">
      <c r="A1378" s="192">
        <v>5002</v>
      </c>
      <c r="B1378" s="193" t="s">
        <v>268</v>
      </c>
      <c r="C1378" s="106" t="s">
        <v>3800</v>
      </c>
      <c r="D1378" s="107" t="s">
        <v>270</v>
      </c>
      <c r="E1378" s="108" t="s">
        <v>327</v>
      </c>
      <c r="F1378" s="108" t="s">
        <v>272</v>
      </c>
      <c r="G1378" s="108" t="s">
        <v>383</v>
      </c>
      <c r="H1378" s="105" t="s">
        <v>274</v>
      </c>
      <c r="I1378" s="109">
        <v>6</v>
      </c>
      <c r="J1378" s="130" t="s">
        <v>2000</v>
      </c>
      <c r="K1378" s="105" t="s">
        <v>1005</v>
      </c>
      <c r="L1378" s="107" t="str">
        <f ca="1">VLOOKUP($K1378,OFFSET([1]character_type_i18n!$A$1,0,0,COUNTA([1]character_type_i18n!$A:$A),MATCH(L$1,[1]character_type_i18n!$1:$1,0)-MATCH($K$1,[1]character_type_i18n!$1:$1,0)+1),MATCH(L$1,[1]character_type_i18n!$1:$1,0)-MATCH($K$1,[1]character_type_i18n!$1:$1,0)+1,FALSE)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78" s="105" t="s">
        <v>1018</v>
      </c>
      <c r="N1378" s="107" t="str">
        <f>VLOOKUP(M1378,[1]character_tribe_i18n!A:C,3,FALSE)</f>
        <v>ゴッド</v>
      </c>
      <c r="O1378" s="105" t="s">
        <v>313</v>
      </c>
      <c r="P1378" s="107" t="str">
        <f>VLOOKUP(O1378,[1]character_tribe_i18n!A:C,3,FALSE)</f>
        <v>アニマル</v>
      </c>
      <c r="Q1378" s="110" t="s">
        <v>279</v>
      </c>
      <c r="R1378" s="178">
        <v>1</v>
      </c>
      <c r="S1378" s="108" t="s">
        <v>280</v>
      </c>
      <c r="T1378" s="108" t="s">
        <v>281</v>
      </c>
      <c r="U1378" s="108" t="s">
        <v>280</v>
      </c>
      <c r="V1378" s="108" t="s">
        <v>280</v>
      </c>
      <c r="W1378" s="108" t="s">
        <v>280</v>
      </c>
    </row>
    <row r="1379" spans="1:23" ht="21" customHeight="1" x14ac:dyDescent="0.15">
      <c r="A1379" s="192">
        <v>5003</v>
      </c>
      <c r="B1379" s="105" t="s">
        <v>268</v>
      </c>
      <c r="C1379" s="106" t="s">
        <v>3801</v>
      </c>
      <c r="D1379" s="107" t="s">
        <v>513</v>
      </c>
      <c r="E1379" s="108" t="s">
        <v>514</v>
      </c>
      <c r="F1379" s="108" t="s">
        <v>532</v>
      </c>
      <c r="G1379" s="108" t="s">
        <v>273</v>
      </c>
      <c r="H1379" s="105" t="s">
        <v>285</v>
      </c>
      <c r="I1379" s="109">
        <v>5</v>
      </c>
      <c r="J1379" s="130" t="s">
        <v>1856</v>
      </c>
      <c r="K1379" s="105" t="s">
        <v>1166</v>
      </c>
      <c r="L1379" s="107" t="str">
        <f ca="1">VLOOKUP($K1379,OFFSET([1]character_type_i18n!$A$1,0,0,COUNTA([1]character_type_i18n!$A:$A),MATCH(L$1,[1]character_type_i18n!$1:$1,0)-MATCH($K$1,[1]character_type_i18n!$1:$1,0)+1),MATCH(L$1,[1]character_type_i18n!$1:$1,0)-MATCH($K$1,[1]character_type_i18n!$1:$1,0)+1,FALSE)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79" s="105" t="s">
        <v>318</v>
      </c>
      <c r="N1379" s="107" t="str">
        <f>VLOOKUP(M1379,[1]character_tribe_i18n!A:C,3,FALSE)</f>
        <v>アニマル</v>
      </c>
      <c r="O1379" s="105" t="s">
        <v>854</v>
      </c>
      <c r="P1379" s="107" t="str">
        <f>VLOOKUP(O1379,[1]character_tribe_i18n!A:C,3,FALSE)</f>
        <v>ドラゴン</v>
      </c>
      <c r="Q1379" s="110" t="s">
        <v>279</v>
      </c>
      <c r="R1379" s="178">
        <v>1</v>
      </c>
      <c r="S1379" s="108" t="s">
        <v>280</v>
      </c>
      <c r="T1379" s="108" t="s">
        <v>281</v>
      </c>
      <c r="U1379" s="108" t="s">
        <v>280</v>
      </c>
      <c r="V1379" s="108" t="s">
        <v>280</v>
      </c>
      <c r="W1379" s="108" t="s">
        <v>280</v>
      </c>
    </row>
    <row r="1380" spans="1:23" ht="21" customHeight="1" x14ac:dyDescent="0.15">
      <c r="A1380" s="192">
        <v>5004</v>
      </c>
      <c r="B1380" s="193" t="s">
        <v>268</v>
      </c>
      <c r="C1380" s="106" t="s">
        <v>3802</v>
      </c>
      <c r="D1380" s="107" t="s">
        <v>270</v>
      </c>
      <c r="E1380" s="108" t="s">
        <v>327</v>
      </c>
      <c r="F1380" s="108" t="s">
        <v>272</v>
      </c>
      <c r="G1380" s="108" t="s">
        <v>273</v>
      </c>
      <c r="H1380" s="105" t="s">
        <v>285</v>
      </c>
      <c r="I1380" s="109">
        <v>6</v>
      </c>
      <c r="J1380" s="130" t="s">
        <v>1504</v>
      </c>
      <c r="K1380" s="105" t="s">
        <v>1505</v>
      </c>
      <c r="L1380" s="107" t="str">
        <f ca="1">VLOOKUP($K1380,OFFSET([1]character_type_i18n!$A$1,0,0,COUNTA([1]character_type_i18n!$A:$A),MATCH(L$1,[1]character_type_i18n!$1:$1,0)-MATCH($K$1,[1]character_type_i18n!$1:$1,0)+1),MATCH(L$1,[1]character_type_i18n!$1:$1,0)-MATCH($K$1,[1]character_type_i18n!$1:$1,0)+1,FALSE)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80" s="105" t="s">
        <v>318</v>
      </c>
      <c r="N1380" s="107" t="str">
        <f>VLOOKUP(M1380,[1]character_tribe_i18n!A:C,3,FALSE)</f>
        <v>アニマル</v>
      </c>
      <c r="O1380" s="105" t="s">
        <v>1913</v>
      </c>
      <c r="P1380" s="107" t="str">
        <f>VLOOKUP(O1380,[1]character_tribe_i18n!A:C,3,FALSE)</f>
        <v>ドラゴン</v>
      </c>
      <c r="Q1380" s="110" t="s">
        <v>279</v>
      </c>
      <c r="R1380" s="178">
        <v>1</v>
      </c>
      <c r="S1380" s="108" t="s">
        <v>280</v>
      </c>
      <c r="T1380" s="108" t="s">
        <v>281</v>
      </c>
      <c r="U1380" s="108" t="s">
        <v>280</v>
      </c>
      <c r="V1380" s="108" t="s">
        <v>280</v>
      </c>
      <c r="W1380" s="108" t="s">
        <v>280</v>
      </c>
    </row>
    <row r="1381" spans="1:23" ht="22" customHeight="1" x14ac:dyDescent="0.15">
      <c r="A1381" s="104">
        <v>6001</v>
      </c>
      <c r="B1381" s="105" t="s">
        <v>268</v>
      </c>
      <c r="C1381" s="194" t="s">
        <v>269</v>
      </c>
      <c r="D1381" s="107" t="s">
        <v>270</v>
      </c>
      <c r="E1381" s="108" t="s">
        <v>271</v>
      </c>
      <c r="F1381" s="108" t="s">
        <v>272</v>
      </c>
      <c r="G1381" s="108" t="s">
        <v>273</v>
      </c>
      <c r="H1381" s="105" t="s">
        <v>274</v>
      </c>
      <c r="I1381" s="109">
        <v>1</v>
      </c>
      <c r="J1381" s="109" t="s">
        <v>275</v>
      </c>
      <c r="K1381" s="105" t="s">
        <v>3803</v>
      </c>
      <c r="L1381" s="107" t="str">
        <f ca="1">VLOOKUP($K1381,OFFSET([1]character_type_i18n!$A$1,0,0,COUNTA([1]character_type_i18n!$A:$A),MATCH(L$1,[1]character_type_i18n!$1:$1,0)-MATCH($K$1,[1]character_type_i18n!$1:$1,0)+1),MATCH(L$1,[1]character_type_i18n!$1:$1,0)-MATCH($K$1,[1]character_type_i18n!$1:$1,0)+1,FALSE)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1" s="105" t="s">
        <v>277</v>
      </c>
      <c r="N1381" s="107" t="str">
        <f>VLOOKUP(M1381,[1]character_tribe_i18n!A:C,3,FALSE)</f>
        <v>Unknown</v>
      </c>
      <c r="O1381" s="105" t="s">
        <v>3804</v>
      </c>
      <c r="P1381" s="107" t="str">
        <f>VLOOKUP(O1381,[1]character_tribe_i18n!A:C,3,FALSE)</f>
        <v>種族なし</v>
      </c>
      <c r="Q1381" s="110" t="s">
        <v>279</v>
      </c>
      <c r="R1381" s="178">
        <v>3</v>
      </c>
      <c r="S1381" s="108" t="s">
        <v>3805</v>
      </c>
      <c r="T1381" s="108" t="s">
        <v>281</v>
      </c>
      <c r="U1381" s="108" t="s">
        <v>280</v>
      </c>
      <c r="V1381" s="108" t="s">
        <v>280</v>
      </c>
      <c r="W1381" s="108" t="s">
        <v>280</v>
      </c>
    </row>
    <row r="1382" spans="1:23" ht="21" customHeight="1" x14ac:dyDescent="0.15">
      <c r="A1382" s="104">
        <v>6002</v>
      </c>
      <c r="B1382" s="193" t="s">
        <v>268</v>
      </c>
      <c r="C1382" s="194" t="s">
        <v>421</v>
      </c>
      <c r="D1382" s="107" t="s">
        <v>270</v>
      </c>
      <c r="E1382" s="108" t="s">
        <v>327</v>
      </c>
      <c r="F1382" s="108" t="s">
        <v>272</v>
      </c>
      <c r="G1382" s="108" t="s">
        <v>383</v>
      </c>
      <c r="H1382" s="105" t="s">
        <v>274</v>
      </c>
      <c r="I1382" s="109">
        <v>2</v>
      </c>
      <c r="J1382" s="109" t="s">
        <v>346</v>
      </c>
      <c r="K1382" s="105" t="s">
        <v>3806</v>
      </c>
      <c r="L1382" s="107" t="str">
        <f ca="1">VLOOKUP($K1382,OFFSET([1]character_type_i18n!$A$1,0,0,COUNTA([1]character_type_i18n!$A:$A),MATCH(L$1,[1]character_type_i18n!$1:$1,0)-MATCH($K$1,[1]character_type_i18n!$1:$1,0)+1),MATCH(L$1,[1]character_type_i18n!$1:$1,0)-MATCH($K$1,[1]character_type_i18n!$1:$1,0)+1,FALSE)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2" s="105" t="s">
        <v>332</v>
      </c>
      <c r="N1382" s="107" t="str">
        <f>VLOOKUP(M1382,[1]character_tribe_i18n!A:C,3,FALSE)</f>
        <v>ヒューマン</v>
      </c>
      <c r="O1382" s="105" t="s">
        <v>278</v>
      </c>
      <c r="P1382" s="107" t="str">
        <f>VLOOKUP(O1382,[1]character_tribe_i18n!A:C,3,FALSE)</f>
        <v>種族なし</v>
      </c>
      <c r="Q1382" s="110" t="s">
        <v>287</v>
      </c>
      <c r="R1382" s="178">
        <v>3</v>
      </c>
      <c r="S1382" s="108" t="s">
        <v>3805</v>
      </c>
      <c r="T1382" s="108" t="s">
        <v>281</v>
      </c>
      <c r="U1382" s="108" t="s">
        <v>280</v>
      </c>
      <c r="V1382" s="108" t="s">
        <v>280</v>
      </c>
      <c r="W1382" s="108" t="s">
        <v>280</v>
      </c>
    </row>
    <row r="1383" spans="1:23" ht="21" customHeight="1" x14ac:dyDescent="0.15">
      <c r="A1383" s="104">
        <v>6003</v>
      </c>
      <c r="B1383" s="105" t="s">
        <v>268</v>
      </c>
      <c r="C1383" s="194" t="s">
        <v>512</v>
      </c>
      <c r="D1383" s="107" t="s">
        <v>513</v>
      </c>
      <c r="E1383" s="108" t="s">
        <v>514</v>
      </c>
      <c r="F1383" s="108" t="s">
        <v>532</v>
      </c>
      <c r="G1383" s="108" t="s">
        <v>273</v>
      </c>
      <c r="H1383" s="105" t="s">
        <v>274</v>
      </c>
      <c r="I1383" s="109">
        <v>3</v>
      </c>
      <c r="J1383" s="109" t="s">
        <v>516</v>
      </c>
      <c r="K1383" s="105" t="s">
        <v>3803</v>
      </c>
      <c r="L1383" s="107" t="str">
        <f ca="1">VLOOKUP($K1383,OFFSET([1]character_type_i18n!$A$1,0,0,COUNTA([1]character_type_i18n!$A:$A),MATCH(L$1,[1]character_type_i18n!$1:$1,0)-MATCH($K$1,[1]character_type_i18n!$1:$1,0)+1),MATCH(L$1,[1]character_type_i18n!$1:$1,0)-MATCH($K$1,[1]character_type_i18n!$1:$1,0)+1,FALSE)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3" s="105" t="s">
        <v>318</v>
      </c>
      <c r="N1383" s="107" t="str">
        <f>VLOOKUP(M1383,[1]character_tribe_i18n!A:C,3,FALSE)</f>
        <v>アニマル</v>
      </c>
      <c r="O1383" s="105" t="s">
        <v>517</v>
      </c>
      <c r="P1383" s="107" t="str">
        <f>VLOOKUP(O1383,[1]character_tribe_i18n!A:C,3,FALSE)</f>
        <v>ゴッド</v>
      </c>
      <c r="Q1383" s="110" t="s">
        <v>279</v>
      </c>
      <c r="R1383" s="178">
        <v>3</v>
      </c>
      <c r="S1383" s="108" t="s">
        <v>3805</v>
      </c>
      <c r="T1383" s="108" t="s">
        <v>281</v>
      </c>
      <c r="U1383" s="108" t="s">
        <v>280</v>
      </c>
      <c r="V1383" s="108" t="s">
        <v>280</v>
      </c>
      <c r="W1383" s="108" t="s">
        <v>280</v>
      </c>
    </row>
    <row r="1384" spans="1:23" ht="21" customHeight="1" x14ac:dyDescent="0.15">
      <c r="A1384" s="104">
        <v>6004</v>
      </c>
      <c r="B1384" s="193" t="s">
        <v>268</v>
      </c>
      <c r="C1384" s="194" t="s">
        <v>3807</v>
      </c>
      <c r="D1384" s="107" t="s">
        <v>270</v>
      </c>
      <c r="E1384" s="108" t="s">
        <v>327</v>
      </c>
      <c r="F1384" s="108" t="s">
        <v>272</v>
      </c>
      <c r="G1384" s="108" t="s">
        <v>273</v>
      </c>
      <c r="H1384" s="105" t="s">
        <v>274</v>
      </c>
      <c r="I1384" s="109">
        <v>1</v>
      </c>
      <c r="J1384" s="109" t="s">
        <v>312</v>
      </c>
      <c r="K1384" s="105" t="s">
        <v>3803</v>
      </c>
      <c r="L1384" s="107" t="str">
        <f ca="1">VLOOKUP($K1384,OFFSET([1]character_type_i18n!$A$1,0,0,COUNTA([1]character_type_i18n!$A:$A),MATCH(L$1,[1]character_type_i18n!$1:$1,0)-MATCH($K$1,[1]character_type_i18n!$1:$1,0)+1),MATCH(L$1,[1]character_type_i18n!$1:$1,0)-MATCH($K$1,[1]character_type_i18n!$1:$1,0)+1,FALSE)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4" s="105" t="s">
        <v>318</v>
      </c>
      <c r="N1384" s="107" t="str">
        <f>VLOOKUP(M1384,[1]character_tribe_i18n!A:C,3,FALSE)</f>
        <v>アニマル</v>
      </c>
      <c r="O1384" s="105" t="s">
        <v>278</v>
      </c>
      <c r="P1384" s="107" t="str">
        <f>VLOOKUP(O1384,[1]character_tribe_i18n!A:C,3,FALSE)</f>
        <v>種族なし</v>
      </c>
      <c r="Q1384" s="110" t="s">
        <v>279</v>
      </c>
      <c r="R1384" s="178">
        <v>3</v>
      </c>
      <c r="S1384" s="108" t="s">
        <v>3805</v>
      </c>
      <c r="T1384" s="108" t="s">
        <v>281</v>
      </c>
      <c r="U1384" s="108" t="s">
        <v>280</v>
      </c>
      <c r="V1384" s="108" t="s">
        <v>280</v>
      </c>
      <c r="W1384" s="108" t="s">
        <v>280</v>
      </c>
    </row>
    <row r="1385" spans="1:23" ht="21" customHeight="1" x14ac:dyDescent="0.15">
      <c r="A1385" s="104">
        <v>6005</v>
      </c>
      <c r="B1385" s="105" t="s">
        <v>268</v>
      </c>
      <c r="C1385" s="194" t="s">
        <v>783</v>
      </c>
      <c r="D1385" s="107" t="s">
        <v>628</v>
      </c>
      <c r="E1385" s="108" t="s">
        <v>3808</v>
      </c>
      <c r="F1385" s="108" t="s">
        <v>3809</v>
      </c>
      <c r="G1385" s="108" t="s">
        <v>3810</v>
      </c>
      <c r="H1385" s="105" t="s">
        <v>295</v>
      </c>
      <c r="I1385" s="109">
        <v>4</v>
      </c>
      <c r="J1385" s="109" t="s">
        <v>711</v>
      </c>
      <c r="K1385" s="105" t="s">
        <v>3811</v>
      </c>
      <c r="L1385" s="107" t="str">
        <f ca="1">VLOOKUP($K1385,OFFSET([1]character_type_i18n!$A$1,0,0,COUNTA([1]character_type_i18n!$A:$A),MATCH(L$1,[1]character_type_i18n!$1:$1,0)-MATCH($K$1,[1]character_type_i18n!$1:$1,0)+1),MATCH(L$1,[1]character_type_i18n!$1:$1,0)-MATCH($K$1,[1]character_type_i18n!$1:$1,0)+1,FALSE)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5" s="105" t="s">
        <v>517</v>
      </c>
      <c r="N1385" s="107" t="str">
        <f>VLOOKUP(M1385,[1]character_tribe_i18n!A:C,3,FALSE)</f>
        <v>ゴッド</v>
      </c>
      <c r="O1385" s="105" t="s">
        <v>278</v>
      </c>
      <c r="P1385" s="107" t="str">
        <f>VLOOKUP(O1385,[1]character_tribe_i18n!A:C,3,FALSE)</f>
        <v>種族なし</v>
      </c>
      <c r="Q1385" s="117" t="s">
        <v>3812</v>
      </c>
      <c r="R1385" s="178">
        <v>3</v>
      </c>
      <c r="S1385" s="108" t="s">
        <v>3805</v>
      </c>
      <c r="T1385" s="108" t="s">
        <v>3813</v>
      </c>
      <c r="U1385" s="108" t="s">
        <v>885</v>
      </c>
      <c r="V1385" s="108" t="s">
        <v>885</v>
      </c>
      <c r="W1385" s="108" t="s">
        <v>885</v>
      </c>
    </row>
    <row r="1386" spans="1:23" ht="21" customHeight="1" x14ac:dyDescent="0.15">
      <c r="A1386" s="104">
        <v>6006</v>
      </c>
      <c r="B1386" s="193" t="s">
        <v>3814</v>
      </c>
      <c r="C1386" s="194" t="s">
        <v>784</v>
      </c>
      <c r="D1386" s="107" t="s">
        <v>628</v>
      </c>
      <c r="E1386" s="108" t="s">
        <v>3815</v>
      </c>
      <c r="F1386" s="108" t="s">
        <v>3816</v>
      </c>
      <c r="G1386" s="108" t="s">
        <v>3817</v>
      </c>
      <c r="H1386" s="105" t="s">
        <v>295</v>
      </c>
      <c r="I1386" s="109">
        <v>5</v>
      </c>
      <c r="J1386" s="109" t="s">
        <v>711</v>
      </c>
      <c r="K1386" s="105" t="s">
        <v>3818</v>
      </c>
      <c r="L1386" s="107" t="str">
        <f ca="1">VLOOKUP($K1386,OFFSET([1]character_type_i18n!$A$1,0,0,COUNTA([1]character_type_i18n!$A:$A),MATCH(L$1,[1]character_type_i18n!$1:$1,0)-MATCH($K$1,[1]character_type_i18n!$1:$1,0)+1),MATCH(L$1,[1]character_type_i18n!$1:$1,0)-MATCH($K$1,[1]character_type_i18n!$1:$1,0)+1,FALSE)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6" s="105" t="s">
        <v>517</v>
      </c>
      <c r="N1386" s="107" t="str">
        <f>VLOOKUP(M1386,[1]character_tribe_i18n!A:C,3,FALSE)</f>
        <v>ゴッド</v>
      </c>
      <c r="O1386" s="105" t="s">
        <v>278</v>
      </c>
      <c r="P1386" s="107" t="str">
        <f>VLOOKUP(O1386,[1]character_tribe_i18n!A:C,3,FALSE)</f>
        <v>種族なし</v>
      </c>
      <c r="Q1386" s="117" t="s">
        <v>3819</v>
      </c>
      <c r="R1386" s="178">
        <v>3</v>
      </c>
      <c r="S1386" s="108" t="s">
        <v>3805</v>
      </c>
      <c r="T1386" s="108" t="s">
        <v>281</v>
      </c>
      <c r="U1386" s="108" t="s">
        <v>280</v>
      </c>
      <c r="V1386" s="108" t="s">
        <v>894</v>
      </c>
      <c r="W1386" s="108" t="s">
        <v>894</v>
      </c>
    </row>
    <row r="1387" spans="1:23" ht="21" customHeight="1" x14ac:dyDescent="0.15">
      <c r="A1387" s="104">
        <v>6007</v>
      </c>
      <c r="B1387" s="105" t="s">
        <v>268</v>
      </c>
      <c r="C1387" s="194" t="s">
        <v>736</v>
      </c>
      <c r="D1387" s="107" t="s">
        <v>628</v>
      </c>
      <c r="E1387" s="108" t="s">
        <v>3820</v>
      </c>
      <c r="F1387" s="108" t="s">
        <v>3821</v>
      </c>
      <c r="G1387" s="108" t="s">
        <v>3822</v>
      </c>
      <c r="H1387" s="105" t="s">
        <v>274</v>
      </c>
      <c r="I1387" s="109">
        <v>4</v>
      </c>
      <c r="J1387" s="109" t="s">
        <v>711</v>
      </c>
      <c r="K1387" s="105" t="s">
        <v>3823</v>
      </c>
      <c r="L1387" s="107" t="str">
        <f ca="1">VLOOKUP($K1387,OFFSET([1]character_type_i18n!$A$1,0,0,COUNTA([1]character_type_i18n!$A:$A),MATCH(L$1,[1]character_type_i18n!$1:$1,0)-MATCH($K$1,[1]character_type_i18n!$1:$1,0)+1),MATCH(L$1,[1]character_type_i18n!$1:$1,0)-MATCH($K$1,[1]character_type_i18n!$1:$1,0)+1,FALSE)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7" s="105" t="s">
        <v>318</v>
      </c>
      <c r="N1387" s="107" t="str">
        <f>VLOOKUP(M1387,[1]character_tribe_i18n!A:C,3,FALSE)</f>
        <v>アニマル</v>
      </c>
      <c r="O1387" s="105" t="s">
        <v>278</v>
      </c>
      <c r="P1387" s="107" t="str">
        <f>VLOOKUP(O1387,[1]character_tribe_i18n!A:C,3,FALSE)</f>
        <v>種族なし</v>
      </c>
      <c r="Q1387" s="117" t="s">
        <v>3824</v>
      </c>
      <c r="R1387" s="178">
        <v>3</v>
      </c>
      <c r="S1387" s="108" t="s">
        <v>3805</v>
      </c>
      <c r="T1387" s="108" t="s">
        <v>915</v>
      </c>
      <c r="U1387" s="108" t="s">
        <v>880</v>
      </c>
      <c r="V1387" s="108" t="s">
        <v>894</v>
      </c>
      <c r="W1387" s="108" t="s">
        <v>894</v>
      </c>
    </row>
    <row r="1388" spans="1:23" ht="21" customHeight="1" x14ac:dyDescent="0.15">
      <c r="A1388" s="104">
        <v>6008</v>
      </c>
      <c r="B1388" s="193" t="s">
        <v>268</v>
      </c>
      <c r="C1388" s="194" t="s">
        <v>774</v>
      </c>
      <c r="D1388" s="107" t="s">
        <v>628</v>
      </c>
      <c r="E1388" s="108" t="s">
        <v>3825</v>
      </c>
      <c r="F1388" s="108" t="s">
        <v>3826</v>
      </c>
      <c r="G1388" s="108" t="s">
        <v>3827</v>
      </c>
      <c r="H1388" s="105" t="s">
        <v>274</v>
      </c>
      <c r="I1388" s="109">
        <v>4</v>
      </c>
      <c r="J1388" s="109" t="s">
        <v>711</v>
      </c>
      <c r="K1388" s="105" t="s">
        <v>3828</v>
      </c>
      <c r="L1388" s="107" t="str">
        <f ca="1">VLOOKUP($K1388,OFFSET([1]character_type_i18n!$A$1,0,0,COUNTA([1]character_type_i18n!$A:$A),MATCH(L$1,[1]character_type_i18n!$1:$1,0)-MATCH($K$1,[1]character_type_i18n!$1:$1,0)+1),MATCH(L$1,[1]character_type_i18n!$1:$1,0)-MATCH($K$1,[1]character_type_i18n!$1:$1,0)+1,FALSE)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8" s="105" t="s">
        <v>517</v>
      </c>
      <c r="N1388" s="107" t="str">
        <f>VLOOKUP(M1388,[1]character_tribe_i18n!A:C,3,FALSE)</f>
        <v>ゴッド</v>
      </c>
      <c r="O1388" s="105" t="s">
        <v>278</v>
      </c>
      <c r="P1388" s="107" t="str">
        <f>VLOOKUP(O1388,[1]character_tribe_i18n!A:C,3,FALSE)</f>
        <v>種族なし</v>
      </c>
      <c r="Q1388" s="117" t="s">
        <v>3829</v>
      </c>
      <c r="R1388" s="178">
        <v>3</v>
      </c>
      <c r="S1388" s="108" t="s">
        <v>3805</v>
      </c>
      <c r="T1388" s="108" t="s">
        <v>2484</v>
      </c>
      <c r="U1388" s="108" t="s">
        <v>2485</v>
      </c>
      <c r="V1388" s="108" t="s">
        <v>894</v>
      </c>
      <c r="W1388" s="108" t="s">
        <v>894</v>
      </c>
    </row>
    <row r="1389" spans="1:23" ht="21" customHeight="1" x14ac:dyDescent="0.15">
      <c r="A1389" s="104">
        <v>6009</v>
      </c>
      <c r="B1389" s="105" t="s">
        <v>268</v>
      </c>
      <c r="C1389" s="146" t="s">
        <v>1593</v>
      </c>
      <c r="D1389" s="107" t="s">
        <v>3830</v>
      </c>
      <c r="E1389" s="108" t="s">
        <v>709</v>
      </c>
      <c r="F1389" s="108" t="s">
        <v>532</v>
      </c>
      <c r="G1389" s="108" t="s">
        <v>853</v>
      </c>
      <c r="H1389" s="131" t="s">
        <v>274</v>
      </c>
      <c r="I1389" s="109">
        <v>5</v>
      </c>
      <c r="J1389" s="109" t="s">
        <v>1180</v>
      </c>
      <c r="K1389" s="105" t="s">
        <v>3806</v>
      </c>
      <c r="L1389" s="107" t="str">
        <f ca="1">VLOOKUP($K1389,OFFSET([1]character_type_i18n!$A$1,0,0,COUNTA([1]character_type_i18n!$A:$A),MATCH(L$1,[1]character_type_i18n!$1:$1,0)-MATCH($K$1,[1]character_type_i18n!$1:$1,0)+1),MATCH(L$1,[1]character_type_i18n!$1:$1,0)-MATCH($K$1,[1]character_type_i18n!$1:$1,0)+1,FALSE)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9" s="105" t="s">
        <v>3831</v>
      </c>
      <c r="N1389" s="107" t="str">
        <f>VLOOKUP(M1389,[1]character_tribe_i18n!A:C,3,FALSE)</f>
        <v>ヒューマン</v>
      </c>
      <c r="O1389" s="105" t="s">
        <v>278</v>
      </c>
      <c r="P1389" s="107" t="str">
        <f>VLOOKUP(O1389,[1]character_tribe_i18n!A:C,3,FALSE)</f>
        <v>種族なし</v>
      </c>
      <c r="Q1389" s="110" t="s">
        <v>279</v>
      </c>
      <c r="R1389" s="178">
        <v>3</v>
      </c>
      <c r="S1389" s="108" t="s">
        <v>3805</v>
      </c>
      <c r="T1389" s="108" t="s">
        <v>610</v>
      </c>
      <c r="U1389" s="108" t="s">
        <v>611</v>
      </c>
      <c r="V1389" s="108" t="s">
        <v>894</v>
      </c>
      <c r="W1389" s="108" t="s">
        <v>894</v>
      </c>
    </row>
    <row r="1390" spans="1:23" ht="21" customHeight="1" x14ac:dyDescent="0.15">
      <c r="A1390" s="104">
        <v>6010</v>
      </c>
      <c r="B1390" s="105" t="s">
        <v>1261</v>
      </c>
      <c r="C1390" s="121" t="s">
        <v>3832</v>
      </c>
      <c r="D1390" s="107" t="s">
        <v>3833</v>
      </c>
      <c r="E1390" s="108" t="s">
        <v>709</v>
      </c>
      <c r="F1390" s="108" t="s">
        <v>532</v>
      </c>
      <c r="G1390" s="108" t="s">
        <v>853</v>
      </c>
      <c r="H1390" s="131" t="s">
        <v>274</v>
      </c>
      <c r="I1390" s="109">
        <v>6</v>
      </c>
      <c r="J1390" s="109" t="s">
        <v>1606</v>
      </c>
      <c r="K1390" s="105" t="s">
        <v>3834</v>
      </c>
      <c r="L1390" s="107" t="str">
        <f ca="1">VLOOKUP($K1390,OFFSET([1]character_type_i18n!$A$1,0,0,COUNTA([1]character_type_i18n!$A:$A),MATCH(L$1,[1]character_type_i18n!$1:$1,0)-MATCH($K$1,[1]character_type_i18n!$1:$1,0)+1),MATCH(L$1,[1]character_type_i18n!$1:$1,0)-MATCH($K$1,[1]character_type_i18n!$1:$1,0)+1,FALSE)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90" s="105" t="s">
        <v>1257</v>
      </c>
      <c r="N1390" s="107" t="str">
        <f>VLOOKUP(M1390,[1]character_tribe_i18n!A:C,3,FALSE)</f>
        <v>ヒューマン</v>
      </c>
      <c r="O1390" s="105" t="s">
        <v>278</v>
      </c>
      <c r="P1390" s="107" t="str">
        <f>VLOOKUP(O1390,[1]character_tribe_i18n!A:C,3,FALSE)</f>
        <v>種族なし</v>
      </c>
      <c r="Q1390" s="110" t="s">
        <v>1656</v>
      </c>
      <c r="R1390" s="178">
        <v>3</v>
      </c>
      <c r="S1390" s="108" t="s">
        <v>3805</v>
      </c>
      <c r="T1390" s="108" t="s">
        <v>3835</v>
      </c>
      <c r="U1390" s="108" t="s">
        <v>3836</v>
      </c>
      <c r="V1390" s="108" t="s">
        <v>894</v>
      </c>
      <c r="W1390" s="108" t="s">
        <v>894</v>
      </c>
    </row>
    <row r="1391" spans="1:23" ht="21" customHeight="1" x14ac:dyDescent="0.15">
      <c r="A1391" s="104">
        <v>6011</v>
      </c>
      <c r="B1391" s="193" t="s">
        <v>1261</v>
      </c>
      <c r="C1391" s="146" t="s">
        <v>3837</v>
      </c>
      <c r="D1391" s="144" t="s">
        <v>3838</v>
      </c>
      <c r="E1391" s="108" t="s">
        <v>3839</v>
      </c>
      <c r="F1391" s="108" t="s">
        <v>3840</v>
      </c>
      <c r="G1391" s="108" t="s">
        <v>3841</v>
      </c>
      <c r="H1391" s="131" t="s">
        <v>3842</v>
      </c>
      <c r="I1391" s="140">
        <v>2</v>
      </c>
      <c r="J1391" s="109" t="s">
        <v>275</v>
      </c>
      <c r="K1391" s="105" t="s">
        <v>3843</v>
      </c>
      <c r="L1391" s="107" t="str">
        <f ca="1">VLOOKUP($K1391,OFFSET([1]character_type_i18n!$A$1,0,0,COUNTA([1]character_type_i18n!$A:$A),MATCH(L$1,[1]character_type_i18n!$1:$1,0)-MATCH($K$1,[1]character_type_i18n!$1:$1,0)+1),MATCH(L$1,[1]character_type_i18n!$1:$1,0)-MATCH($K$1,[1]character_type_i18n!$1:$1,0)+1,FALSE)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1" s="105" t="s">
        <v>1164</v>
      </c>
      <c r="N1391" s="107" t="str">
        <f>VLOOKUP(M1391,[1]character_tribe_i18n!A:C,3,FALSE)</f>
        <v>Unknown</v>
      </c>
      <c r="O1391" s="105" t="s">
        <v>278</v>
      </c>
      <c r="P1391" s="107" t="str">
        <f>VLOOKUP(O1391,[1]character_tribe_i18n!A:C,3,FALSE)</f>
        <v>種族なし</v>
      </c>
      <c r="Q1391" s="110" t="s">
        <v>3313</v>
      </c>
      <c r="R1391" s="178">
        <v>3</v>
      </c>
      <c r="S1391" s="108" t="s">
        <v>3805</v>
      </c>
      <c r="T1391" s="108" t="s">
        <v>3528</v>
      </c>
      <c r="U1391" s="108" t="s">
        <v>3314</v>
      </c>
      <c r="V1391" s="108" t="s">
        <v>3314</v>
      </c>
      <c r="W1391" s="108" t="s">
        <v>3314</v>
      </c>
    </row>
    <row r="1392" spans="1:23" ht="21" customHeight="1" x14ac:dyDescent="0.15">
      <c r="A1392" s="104">
        <v>6012</v>
      </c>
      <c r="B1392" s="193" t="s">
        <v>3485</v>
      </c>
      <c r="C1392" s="146" t="s">
        <v>3844</v>
      </c>
      <c r="D1392" s="144" t="s">
        <v>3845</v>
      </c>
      <c r="E1392" s="108" t="s">
        <v>3846</v>
      </c>
      <c r="F1392" s="108" t="s">
        <v>3847</v>
      </c>
      <c r="G1392" s="108" t="s">
        <v>3848</v>
      </c>
      <c r="H1392" s="131" t="s">
        <v>3849</v>
      </c>
      <c r="I1392" s="140">
        <v>1</v>
      </c>
      <c r="J1392" s="109" t="s">
        <v>3850</v>
      </c>
      <c r="K1392" s="105" t="s">
        <v>3851</v>
      </c>
      <c r="L1392" s="107" t="str">
        <f ca="1">VLOOKUP($K1392,OFFSET([1]character_type_i18n!$A$1,0,0,COUNTA([1]character_type_i18n!$A:$A),MATCH(L$1,[1]character_type_i18n!$1:$1,0)-MATCH($K$1,[1]character_type_i18n!$1:$1,0)+1),MATCH(L$1,[1]character_type_i18n!$1:$1,0)-MATCH($K$1,[1]character_type_i18n!$1:$1,0)+1,FALSE)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2" s="105" t="s">
        <v>3555</v>
      </c>
      <c r="N1392" s="107" t="str">
        <f>VLOOKUP(M1392,[1]character_tribe_i18n!A:C,3,FALSE)</f>
        <v>アニマル</v>
      </c>
      <c r="O1392" s="105" t="s">
        <v>278</v>
      </c>
      <c r="P1392" s="107" t="str">
        <f>VLOOKUP(O1392,[1]character_tribe_i18n!A:C,3,FALSE)</f>
        <v>種族なし</v>
      </c>
      <c r="Q1392" s="110" t="s">
        <v>279</v>
      </c>
      <c r="R1392" s="178">
        <v>3</v>
      </c>
      <c r="S1392" s="108" t="s">
        <v>3805</v>
      </c>
      <c r="T1392" s="108" t="s">
        <v>281</v>
      </c>
      <c r="U1392" s="108" t="s">
        <v>280</v>
      </c>
      <c r="V1392" s="108" t="s">
        <v>894</v>
      </c>
      <c r="W1392" s="108" t="s">
        <v>894</v>
      </c>
    </row>
    <row r="1393" spans="1:23" ht="21" customHeight="1" x14ac:dyDescent="0.15">
      <c r="A1393" s="104">
        <v>6013</v>
      </c>
      <c r="B1393" s="193" t="s">
        <v>1261</v>
      </c>
      <c r="C1393" s="146" t="s">
        <v>3852</v>
      </c>
      <c r="D1393" s="144" t="s">
        <v>3838</v>
      </c>
      <c r="E1393" s="108" t="s">
        <v>3853</v>
      </c>
      <c r="F1393" s="108" t="s">
        <v>3854</v>
      </c>
      <c r="G1393" s="108" t="s">
        <v>710</v>
      </c>
      <c r="H1393" s="131" t="s">
        <v>3855</v>
      </c>
      <c r="I1393" s="140">
        <v>2</v>
      </c>
      <c r="J1393" s="109" t="s">
        <v>346</v>
      </c>
      <c r="K1393" s="105" t="s">
        <v>3856</v>
      </c>
      <c r="L1393" s="107" t="str">
        <f ca="1">VLOOKUP($K1393,OFFSET([1]character_type_i18n!$A$1,0,0,COUNTA([1]character_type_i18n!$A:$A),MATCH(L$1,[1]character_type_i18n!$1:$1,0)-MATCH($K$1,[1]character_type_i18n!$1:$1,0)+1),MATCH(L$1,[1]character_type_i18n!$1:$1,0)-MATCH($K$1,[1]character_type_i18n!$1:$1,0)+1,FALSE)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3" s="105" t="s">
        <v>1017</v>
      </c>
      <c r="N1393" s="107" t="str">
        <f>VLOOKUP(M1393,[1]character_tribe_i18n!A:C,3,FALSE)</f>
        <v>マシン</v>
      </c>
      <c r="O1393" s="105" t="s">
        <v>278</v>
      </c>
      <c r="P1393" s="107" t="str">
        <f>VLOOKUP(O1393,[1]character_tribe_i18n!A:C,3,FALSE)</f>
        <v>種族なし</v>
      </c>
      <c r="Q1393" s="110" t="s">
        <v>3313</v>
      </c>
      <c r="R1393" s="178">
        <v>3</v>
      </c>
      <c r="S1393" s="108" t="s">
        <v>3805</v>
      </c>
      <c r="T1393" s="108" t="s">
        <v>910</v>
      </c>
      <c r="U1393" s="108" t="s">
        <v>280</v>
      </c>
      <c r="V1393" s="108" t="s">
        <v>280</v>
      </c>
      <c r="W1393" s="108" t="s">
        <v>280</v>
      </c>
    </row>
    <row r="1394" spans="1:23" ht="21" customHeight="1" x14ac:dyDescent="0.15">
      <c r="A1394" s="104">
        <v>6014</v>
      </c>
      <c r="B1394" s="193" t="s">
        <v>268</v>
      </c>
      <c r="C1394" s="146" t="s">
        <v>3857</v>
      </c>
      <c r="D1394" s="144" t="s">
        <v>3858</v>
      </c>
      <c r="E1394" s="108" t="s">
        <v>1564</v>
      </c>
      <c r="F1394" s="108" t="s">
        <v>3859</v>
      </c>
      <c r="G1394" s="108" t="s">
        <v>3860</v>
      </c>
      <c r="H1394" s="131" t="s">
        <v>3861</v>
      </c>
      <c r="I1394" s="140">
        <v>4</v>
      </c>
      <c r="J1394" s="109" t="s">
        <v>3862</v>
      </c>
      <c r="K1394" s="105" t="s">
        <v>3863</v>
      </c>
      <c r="L1394" s="107" t="str">
        <f ca="1">VLOOKUP($K1394,OFFSET([1]character_type_i18n!$A$1,0,0,COUNTA([1]character_type_i18n!$A:$A),MATCH(L$1,[1]character_type_i18n!$1:$1,0)-MATCH($K$1,[1]character_type_i18n!$1:$1,0)+1),MATCH(L$1,[1]character_type_i18n!$1:$1,0)-MATCH($K$1,[1]character_type_i18n!$1:$1,0)+1,FALSE)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4" s="105" t="s">
        <v>1167</v>
      </c>
      <c r="N1394" s="107" t="str">
        <f>VLOOKUP(M1394,[1]character_tribe_i18n!A:C,3,FALSE)</f>
        <v>アニマル</v>
      </c>
      <c r="O1394" s="105" t="s">
        <v>278</v>
      </c>
      <c r="P1394" s="107" t="str">
        <f>VLOOKUP(O1394,[1]character_tribe_i18n!A:C,3,FALSE)</f>
        <v>種族なし</v>
      </c>
      <c r="Q1394" s="110" t="s">
        <v>279</v>
      </c>
      <c r="R1394" s="178">
        <v>3</v>
      </c>
      <c r="S1394" s="108" t="s">
        <v>3805</v>
      </c>
      <c r="T1394" s="108" t="s">
        <v>281</v>
      </c>
      <c r="U1394" s="108" t="s">
        <v>280</v>
      </c>
      <c r="V1394" s="108" t="s">
        <v>280</v>
      </c>
      <c r="W1394" s="108" t="s">
        <v>280</v>
      </c>
    </row>
    <row r="1395" spans="1:23" ht="21" customHeight="1" x14ac:dyDescent="0.15">
      <c r="A1395" s="104">
        <v>6015</v>
      </c>
      <c r="B1395" s="193" t="s">
        <v>268</v>
      </c>
      <c r="C1395" s="146" t="s">
        <v>3864</v>
      </c>
      <c r="D1395" s="144" t="s">
        <v>2398</v>
      </c>
      <c r="E1395" s="108" t="s">
        <v>709</v>
      </c>
      <c r="F1395" s="108" t="s">
        <v>532</v>
      </c>
      <c r="G1395" s="108" t="s">
        <v>710</v>
      </c>
      <c r="H1395" s="131" t="s">
        <v>768</v>
      </c>
      <c r="I1395" s="140">
        <v>4</v>
      </c>
      <c r="J1395" s="109" t="s">
        <v>1001</v>
      </c>
      <c r="K1395" s="105" t="s">
        <v>3865</v>
      </c>
      <c r="L1395" s="107" t="str">
        <f ca="1">VLOOKUP($K1395,OFFSET([1]character_type_i18n!$A$1,0,0,COUNTA([1]character_type_i18n!$A:$A),MATCH(L$1,[1]character_type_i18n!$1:$1,0)-MATCH($K$1,[1]character_type_i18n!$1:$1,0)+1),MATCH(L$1,[1]character_type_i18n!$1:$1,0)-MATCH($K$1,[1]character_type_i18n!$1:$1,0)+1,FALSE)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5" s="105" t="s">
        <v>3866</v>
      </c>
      <c r="N1395" s="107" t="str">
        <f>VLOOKUP(M1395,[1]character_tribe_i18n!A:C,3,FALSE)</f>
        <v>アニマル</v>
      </c>
      <c r="O1395" s="105" t="s">
        <v>278</v>
      </c>
      <c r="P1395" s="107" t="str">
        <f>VLOOKUP(O1395,[1]character_tribe_i18n!A:C,3,FALSE)</f>
        <v>種族なし</v>
      </c>
      <c r="Q1395" s="110" t="s">
        <v>279</v>
      </c>
      <c r="R1395" s="178">
        <v>3</v>
      </c>
      <c r="S1395" s="108" t="s">
        <v>3805</v>
      </c>
      <c r="T1395" s="108" t="s">
        <v>281</v>
      </c>
      <c r="U1395" s="108" t="s">
        <v>280</v>
      </c>
      <c r="V1395" s="108" t="s">
        <v>280</v>
      </c>
      <c r="W1395" s="108" t="s">
        <v>280</v>
      </c>
    </row>
    <row r="1396" spans="1:23" ht="21" customHeight="1" x14ac:dyDescent="0.15">
      <c r="A1396" s="104">
        <v>6016</v>
      </c>
      <c r="B1396" s="193" t="s">
        <v>268</v>
      </c>
      <c r="C1396" s="146" t="s">
        <v>3867</v>
      </c>
      <c r="D1396" s="144" t="s">
        <v>2398</v>
      </c>
      <c r="E1396" s="108" t="s">
        <v>709</v>
      </c>
      <c r="F1396" s="108" t="s">
        <v>532</v>
      </c>
      <c r="G1396" s="108" t="s">
        <v>710</v>
      </c>
      <c r="H1396" s="131" t="s">
        <v>768</v>
      </c>
      <c r="I1396" s="140">
        <v>5</v>
      </c>
      <c r="J1396" s="109" t="s">
        <v>1180</v>
      </c>
      <c r="K1396" s="105" t="s">
        <v>3865</v>
      </c>
      <c r="L1396" s="107" t="str">
        <f ca="1">VLOOKUP($K1396,OFFSET([1]character_type_i18n!$A$1,0,0,COUNTA([1]character_type_i18n!$A:$A),MATCH(L$1,[1]character_type_i18n!$1:$1,0)-MATCH($K$1,[1]character_type_i18n!$1:$1,0)+1),MATCH(L$1,[1]character_type_i18n!$1:$1,0)-MATCH($K$1,[1]character_type_i18n!$1:$1,0)+1,FALSE)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6" s="105" t="s">
        <v>1011</v>
      </c>
      <c r="N1396" s="107" t="str">
        <f>VLOOKUP(M1396,[1]character_tribe_i18n!A:C,3,FALSE)</f>
        <v>ヒューマン</v>
      </c>
      <c r="O1396" s="105" t="s">
        <v>278</v>
      </c>
      <c r="P1396" s="107" t="str">
        <f>VLOOKUP(O1396,[1]character_tribe_i18n!A:C,3,FALSE)</f>
        <v>種族なし</v>
      </c>
      <c r="Q1396" s="110" t="s">
        <v>279</v>
      </c>
      <c r="R1396" s="178">
        <v>3</v>
      </c>
      <c r="S1396" s="108" t="s">
        <v>3805</v>
      </c>
      <c r="T1396" s="108" t="s">
        <v>281</v>
      </c>
      <c r="U1396" s="108" t="s">
        <v>280</v>
      </c>
      <c r="V1396" s="108" t="s">
        <v>280</v>
      </c>
      <c r="W1396" s="108" t="s">
        <v>280</v>
      </c>
    </row>
    <row r="1397" spans="1:23" ht="21" customHeight="1" x14ac:dyDescent="0.15">
      <c r="A1397" s="104">
        <v>6017</v>
      </c>
      <c r="B1397" s="193" t="s">
        <v>268</v>
      </c>
      <c r="C1397" s="146" t="s">
        <v>3868</v>
      </c>
      <c r="D1397" s="144" t="s">
        <v>2398</v>
      </c>
      <c r="E1397" s="108" t="s">
        <v>709</v>
      </c>
      <c r="F1397" s="108" t="s">
        <v>532</v>
      </c>
      <c r="G1397" s="108" t="s">
        <v>710</v>
      </c>
      <c r="H1397" s="131" t="s">
        <v>768</v>
      </c>
      <c r="I1397" s="140">
        <v>6</v>
      </c>
      <c r="J1397" s="109" t="s">
        <v>1180</v>
      </c>
      <c r="K1397" s="105" t="s">
        <v>3865</v>
      </c>
      <c r="L1397" s="107" t="str">
        <f ca="1">VLOOKUP($K1397,OFFSET([1]character_type_i18n!$A$1,0,0,COUNTA([1]character_type_i18n!$A:$A),MATCH(L$1,[1]character_type_i18n!$1:$1,0)-MATCH($K$1,[1]character_type_i18n!$1:$1,0)+1),MATCH(L$1,[1]character_type_i18n!$1:$1,0)-MATCH($K$1,[1]character_type_i18n!$1:$1,0)+1,FALSE)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7" s="105" t="s">
        <v>1011</v>
      </c>
      <c r="N1397" s="107" t="str">
        <f>VLOOKUP(M1397,[1]character_tribe_i18n!A:C,3,FALSE)</f>
        <v>ヒューマン</v>
      </c>
      <c r="O1397" s="105" t="s">
        <v>278</v>
      </c>
      <c r="P1397" s="107" t="str">
        <f>VLOOKUP(O1397,[1]character_tribe_i18n!A:C,3,FALSE)</f>
        <v>種族なし</v>
      </c>
      <c r="Q1397" s="110" t="s">
        <v>279</v>
      </c>
      <c r="R1397" s="178">
        <v>3</v>
      </c>
      <c r="S1397" s="108" t="s">
        <v>3805</v>
      </c>
      <c r="T1397" s="108" t="s">
        <v>281</v>
      </c>
      <c r="U1397" s="108" t="s">
        <v>280</v>
      </c>
      <c r="V1397" s="108" t="s">
        <v>280</v>
      </c>
      <c r="W1397" s="108" t="s">
        <v>280</v>
      </c>
    </row>
    <row r="1398" spans="1:23" ht="21" customHeight="1" x14ac:dyDescent="0.15">
      <c r="A1398" s="104">
        <v>6018</v>
      </c>
      <c r="B1398" s="193" t="s">
        <v>268</v>
      </c>
      <c r="C1398" s="146" t="s">
        <v>2346</v>
      </c>
      <c r="D1398" s="144" t="s">
        <v>2398</v>
      </c>
      <c r="E1398" s="108" t="s">
        <v>709</v>
      </c>
      <c r="F1398" s="108" t="s">
        <v>532</v>
      </c>
      <c r="G1398" s="108" t="s">
        <v>710</v>
      </c>
      <c r="H1398" s="131" t="s">
        <v>1141</v>
      </c>
      <c r="I1398" s="140">
        <v>4</v>
      </c>
      <c r="J1398" s="109" t="s">
        <v>1001</v>
      </c>
      <c r="K1398" s="105" t="s">
        <v>3865</v>
      </c>
      <c r="L1398" s="107" t="str">
        <f ca="1">VLOOKUP($K1398,OFFSET([1]character_type_i18n!$A$1,0,0,COUNTA([1]character_type_i18n!$A:$A),MATCH(L$1,[1]character_type_i18n!$1:$1,0)-MATCH($K$1,[1]character_type_i18n!$1:$1,0)+1),MATCH(L$1,[1]character_type_i18n!$1:$1,0)-MATCH($K$1,[1]character_type_i18n!$1:$1,0)+1,FALSE)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8" s="105" t="s">
        <v>313</v>
      </c>
      <c r="N1398" s="107" t="str">
        <f>VLOOKUP(M1398,[1]character_tribe_i18n!A:C,3,FALSE)</f>
        <v>アニマル</v>
      </c>
      <c r="O1398" s="105" t="s">
        <v>278</v>
      </c>
      <c r="P1398" s="107" t="str">
        <f>VLOOKUP(O1398,[1]character_tribe_i18n!A:C,3,FALSE)</f>
        <v>種族なし</v>
      </c>
      <c r="Q1398" s="110" t="s">
        <v>279</v>
      </c>
      <c r="R1398" s="178">
        <v>3</v>
      </c>
      <c r="S1398" s="108" t="s">
        <v>3805</v>
      </c>
      <c r="T1398" s="108" t="s">
        <v>281</v>
      </c>
      <c r="U1398" s="108" t="s">
        <v>280</v>
      </c>
      <c r="V1398" s="108" t="s">
        <v>280</v>
      </c>
      <c r="W1398" s="108" t="s">
        <v>280</v>
      </c>
    </row>
    <row r="1399" spans="1:23" ht="21" customHeight="1" x14ac:dyDescent="0.15">
      <c r="A1399" s="104">
        <v>6019</v>
      </c>
      <c r="B1399" s="193" t="s">
        <v>268</v>
      </c>
      <c r="C1399" s="146" t="s">
        <v>2349</v>
      </c>
      <c r="D1399" s="144" t="s">
        <v>2398</v>
      </c>
      <c r="E1399" s="108" t="s">
        <v>709</v>
      </c>
      <c r="F1399" s="108" t="s">
        <v>532</v>
      </c>
      <c r="G1399" s="108" t="s">
        <v>710</v>
      </c>
      <c r="H1399" s="131" t="s">
        <v>1141</v>
      </c>
      <c r="I1399" s="140">
        <v>5</v>
      </c>
      <c r="J1399" s="109" t="s">
        <v>1001</v>
      </c>
      <c r="K1399" s="105" t="s">
        <v>3865</v>
      </c>
      <c r="L1399" s="107" t="str">
        <f ca="1">VLOOKUP($K1399,OFFSET([1]character_type_i18n!$A$1,0,0,COUNTA([1]character_type_i18n!$A:$A),MATCH(L$1,[1]character_type_i18n!$1:$1,0)-MATCH($K$1,[1]character_type_i18n!$1:$1,0)+1),MATCH(L$1,[1]character_type_i18n!$1:$1,0)-MATCH($K$1,[1]character_type_i18n!$1:$1,0)+1,FALSE)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9" s="105" t="s">
        <v>313</v>
      </c>
      <c r="N1399" s="107" t="str">
        <f>VLOOKUP(M1399,[1]character_tribe_i18n!A:C,3,FALSE)</f>
        <v>アニマル</v>
      </c>
      <c r="O1399" s="105" t="s">
        <v>278</v>
      </c>
      <c r="P1399" s="107" t="str">
        <f>VLOOKUP(O1399,[1]character_tribe_i18n!A:C,3,FALSE)</f>
        <v>種族なし</v>
      </c>
      <c r="Q1399" s="110" t="s">
        <v>279</v>
      </c>
      <c r="R1399" s="178">
        <v>3</v>
      </c>
      <c r="S1399" s="108" t="s">
        <v>3805</v>
      </c>
      <c r="T1399" s="108" t="s">
        <v>281</v>
      </c>
      <c r="U1399" s="108" t="s">
        <v>280</v>
      </c>
      <c r="V1399" s="108" t="s">
        <v>280</v>
      </c>
      <c r="W1399" s="108" t="s">
        <v>280</v>
      </c>
    </row>
    <row r="1400" spans="1:23" ht="21" customHeight="1" x14ac:dyDescent="0.15">
      <c r="A1400" s="104">
        <v>6020</v>
      </c>
      <c r="B1400" s="193" t="s">
        <v>268</v>
      </c>
      <c r="C1400" s="146" t="s">
        <v>3869</v>
      </c>
      <c r="D1400" s="144" t="s">
        <v>2398</v>
      </c>
      <c r="E1400" s="108" t="s">
        <v>709</v>
      </c>
      <c r="F1400" s="108" t="s">
        <v>532</v>
      </c>
      <c r="G1400" s="108" t="s">
        <v>710</v>
      </c>
      <c r="H1400" s="131" t="s">
        <v>768</v>
      </c>
      <c r="I1400" s="140">
        <v>4</v>
      </c>
      <c r="J1400" s="109" t="s">
        <v>2367</v>
      </c>
      <c r="K1400" s="105" t="s">
        <v>3865</v>
      </c>
      <c r="L1400" s="107" t="str">
        <f ca="1">VLOOKUP($K1400,OFFSET([1]character_type_i18n!$A$1,0,0,COUNTA([1]character_type_i18n!$A:$A),MATCH(L$1,[1]character_type_i18n!$1:$1,0)-MATCH($K$1,[1]character_type_i18n!$1:$1,0)+1),MATCH(L$1,[1]character_type_i18n!$1:$1,0)-MATCH($K$1,[1]character_type_i18n!$1:$1,0)+1,FALSE)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400" s="105" t="s">
        <v>854</v>
      </c>
      <c r="N1400" s="107" t="str">
        <f>VLOOKUP(M1400,[1]character_tribe_i18n!A:C,3,FALSE)</f>
        <v>ドラゴン</v>
      </c>
      <c r="O1400" s="105" t="s">
        <v>278</v>
      </c>
      <c r="P1400" s="107" t="str">
        <f>VLOOKUP(O1400,[1]character_tribe_i18n!A:C,3,FALSE)</f>
        <v>種族なし</v>
      </c>
      <c r="Q1400" s="110" t="s">
        <v>279</v>
      </c>
      <c r="R1400" s="178">
        <v>3</v>
      </c>
      <c r="S1400" s="108" t="s">
        <v>3805</v>
      </c>
      <c r="T1400" s="108" t="s">
        <v>281</v>
      </c>
      <c r="U1400" s="108" t="s">
        <v>280</v>
      </c>
      <c r="V1400" s="108" t="s">
        <v>280</v>
      </c>
      <c r="W1400" s="108" t="s">
        <v>280</v>
      </c>
    </row>
    <row r="1401" spans="1:23" ht="21" customHeight="1" thickBot="1" x14ac:dyDescent="0.2">
      <c r="A1401" s="195">
        <v>8001</v>
      </c>
      <c r="B1401" s="196" t="s">
        <v>268</v>
      </c>
      <c r="C1401" s="197" t="s">
        <v>3870</v>
      </c>
      <c r="D1401" s="198" t="s">
        <v>1773</v>
      </c>
      <c r="E1401" s="199" t="s">
        <v>1741</v>
      </c>
      <c r="F1401" s="199" t="s">
        <v>1708</v>
      </c>
      <c r="G1401" s="199" t="s">
        <v>853</v>
      </c>
      <c r="H1401" s="200" t="s">
        <v>300</v>
      </c>
      <c r="I1401" s="201">
        <v>5</v>
      </c>
      <c r="J1401" s="202" t="s">
        <v>1001</v>
      </c>
      <c r="K1401" s="203" t="s">
        <v>1005</v>
      </c>
      <c r="L1401" s="198" t="str">
        <f ca="1">VLOOKUP($K1401,OFFSET([1]character_type_i18n!$A$1,0,0,COUNTA([1]character_type_i18n!$A:$A),MATCH(L$1,[1]character_type_i18n!$1:$1,0)-MATCH($K$1,[1]character_type_i18n!$1:$1,0)+1),MATCH(L$1,[1]character_type_i18n!$1:$1,0)-MATCH($K$1,[1]character_type_i18n!$1:$1,0)+1,FALSE)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01" s="204" t="s">
        <v>1018</v>
      </c>
      <c r="N1401" s="205" t="str">
        <f>VLOOKUP(M1401,[1]character_tribe_i18n!A:C,3,FALSE)</f>
        <v>ゴッド</v>
      </c>
      <c r="O1401" s="203" t="s">
        <v>278</v>
      </c>
      <c r="P1401" s="198" t="str">
        <f>VLOOKUP(O1401,[1]character_tribe_i18n!A:C,3,FALSE)</f>
        <v>種族なし</v>
      </c>
      <c r="Q1401" s="206" t="s">
        <v>279</v>
      </c>
      <c r="R1401" s="203">
        <v>3</v>
      </c>
      <c r="S1401" s="199" t="s">
        <v>280</v>
      </c>
      <c r="T1401" s="108" t="s">
        <v>281</v>
      </c>
      <c r="U1401" s="199" t="s">
        <v>280</v>
      </c>
      <c r="V1401" s="199" t="s">
        <v>280</v>
      </c>
      <c r="W1401" s="199" t="s">
        <v>280</v>
      </c>
    </row>
    <row r="1402" spans="1:23" ht="21" customHeight="1" x14ac:dyDescent="0.15">
      <c r="A1402" s="207">
        <v>8002</v>
      </c>
      <c r="B1402" s="208" t="s">
        <v>268</v>
      </c>
      <c r="C1402" s="154" t="s">
        <v>3871</v>
      </c>
      <c r="D1402" s="107" t="s">
        <v>1773</v>
      </c>
      <c r="E1402" s="108" t="s">
        <v>709</v>
      </c>
      <c r="F1402" s="108" t="s">
        <v>532</v>
      </c>
      <c r="G1402" s="108" t="s">
        <v>853</v>
      </c>
      <c r="H1402" s="131" t="s">
        <v>300</v>
      </c>
      <c r="I1402" s="140">
        <v>6</v>
      </c>
      <c r="J1402" s="109" t="s">
        <v>1220</v>
      </c>
      <c r="K1402" s="209" t="s">
        <v>1005</v>
      </c>
      <c r="L1402" s="107" t="str">
        <f ca="1">VLOOKUP($K1402,OFFSET([1]character_type_i18n!$A$1,0,0,COUNTA([1]character_type_i18n!$A:$A),MATCH(L$1,[1]character_type_i18n!$1:$1,0)-MATCH($K$1,[1]character_type_i18n!$1:$1,0)+1),MATCH(L$1,[1]character_type_i18n!$1:$1,0)-MATCH($K$1,[1]character_type_i18n!$1:$1,0)+1,FALSE)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02" s="210" t="s">
        <v>1018</v>
      </c>
      <c r="N1402" s="165" t="str">
        <f>VLOOKUP(M1402,[1]character_tribe_i18n!A:C,3,FALSE)</f>
        <v>ゴッド</v>
      </c>
      <c r="O1402" s="105" t="s">
        <v>278</v>
      </c>
      <c r="P1402" s="107" t="str">
        <f>VLOOKUP(O1402,[1]character_tribe_i18n!A:C,3,FALSE)</f>
        <v>種族なし</v>
      </c>
      <c r="Q1402" s="110" t="s">
        <v>279</v>
      </c>
      <c r="R1402" s="203">
        <v>3</v>
      </c>
      <c r="S1402" s="108" t="s">
        <v>280</v>
      </c>
      <c r="T1402" s="108" t="s">
        <v>281</v>
      </c>
      <c r="U1402" s="108" t="s">
        <v>280</v>
      </c>
      <c r="V1402" s="108" t="s">
        <v>280</v>
      </c>
      <c r="W1402" s="108" t="s">
        <v>280</v>
      </c>
    </row>
    <row r="1403" spans="1:23" ht="21" customHeight="1" x14ac:dyDescent="0.15">
      <c r="A1403" s="207">
        <v>8003</v>
      </c>
      <c r="B1403" s="208" t="s">
        <v>268</v>
      </c>
      <c r="C1403" s="154" t="s">
        <v>3872</v>
      </c>
      <c r="D1403" s="107" t="s">
        <v>1773</v>
      </c>
      <c r="E1403" s="108" t="s">
        <v>709</v>
      </c>
      <c r="F1403" s="108" t="s">
        <v>532</v>
      </c>
      <c r="G1403" s="108" t="s">
        <v>1347</v>
      </c>
      <c r="H1403" s="131" t="s">
        <v>618</v>
      </c>
      <c r="I1403" s="140">
        <v>5</v>
      </c>
      <c r="J1403" s="109" t="s">
        <v>1856</v>
      </c>
      <c r="K1403" s="105" t="s">
        <v>1453</v>
      </c>
      <c r="L1403" s="107" t="str">
        <f ca="1">VLOOKUP($K1403,OFFSET([1]character_type_i18n!$A$1,0,0,COUNTA([1]character_type_i18n!$A:$A),MATCH(L$1,[1]character_type_i18n!$1:$1,0)-MATCH($K$1,[1]character_type_i18n!$1:$1,0)+1),MATCH(L$1,[1]character_type_i18n!$1:$1,0)-MATCH($K$1,[1]character_type_i18n!$1:$1,0)+1,FALSE)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03" s="210" t="s">
        <v>854</v>
      </c>
      <c r="N1403" s="165" t="str">
        <f>VLOOKUP(M1403,[1]character_tribe_i18n!A:C,3,FALSE)</f>
        <v>ドラゴン</v>
      </c>
      <c r="O1403" s="105" t="s">
        <v>278</v>
      </c>
      <c r="P1403" s="107" t="str">
        <f>VLOOKUP(O1403,[1]character_tribe_i18n!A:C,3,FALSE)</f>
        <v>種族なし</v>
      </c>
      <c r="Q1403" s="110" t="s">
        <v>279</v>
      </c>
      <c r="R1403" s="203">
        <v>3</v>
      </c>
      <c r="S1403" s="108" t="s">
        <v>280</v>
      </c>
      <c r="T1403" s="108" t="s">
        <v>281</v>
      </c>
      <c r="U1403" s="108" t="s">
        <v>280</v>
      </c>
      <c r="V1403" s="108" t="s">
        <v>280</v>
      </c>
      <c r="W1403" s="108" t="s">
        <v>280</v>
      </c>
    </row>
    <row r="1404" spans="1:23" ht="21" customHeight="1" x14ac:dyDescent="0.15">
      <c r="A1404" s="207">
        <v>8004</v>
      </c>
      <c r="B1404" s="208" t="s">
        <v>268</v>
      </c>
      <c r="C1404" s="211" t="s">
        <v>3873</v>
      </c>
      <c r="D1404" s="107" t="s">
        <v>1773</v>
      </c>
      <c r="E1404" s="108" t="s">
        <v>709</v>
      </c>
      <c r="F1404" s="108" t="s">
        <v>532</v>
      </c>
      <c r="G1404" s="108" t="s">
        <v>1114</v>
      </c>
      <c r="H1404" s="131" t="s">
        <v>768</v>
      </c>
      <c r="I1404" s="140">
        <v>6</v>
      </c>
      <c r="J1404" s="109" t="s">
        <v>1504</v>
      </c>
      <c r="K1404" s="105" t="s">
        <v>967</v>
      </c>
      <c r="L1404" s="107" t="str">
        <f ca="1">VLOOKUP($K1404,OFFSET([1]character_type_i18n!$A$1,0,0,COUNTA([1]character_type_i18n!$A:$A),MATCH(L$1,[1]character_type_i18n!$1:$1,0)-MATCH($K$1,[1]character_type_i18n!$1:$1,0)+1),MATCH(L$1,[1]character_type_i18n!$1:$1,0)-MATCH($K$1,[1]character_type_i18n!$1:$1,0)+1,FALSE)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04" s="210" t="s">
        <v>854</v>
      </c>
      <c r="N1404" s="165" t="str">
        <f>VLOOKUP(M1404,[1]character_tribe_i18n!A:C,3,FALSE)</f>
        <v>ドラゴン</v>
      </c>
      <c r="O1404" s="105" t="s">
        <v>278</v>
      </c>
      <c r="P1404" s="107" t="str">
        <f>VLOOKUP(O1404,[1]character_tribe_i18n!A:C,3,FALSE)</f>
        <v>種族なし</v>
      </c>
      <c r="Q1404" s="110" t="s">
        <v>279</v>
      </c>
      <c r="R1404" s="203">
        <v>3</v>
      </c>
      <c r="S1404" s="108" t="s">
        <v>280</v>
      </c>
      <c r="T1404" s="108" t="s">
        <v>281</v>
      </c>
      <c r="U1404" s="108" t="s">
        <v>280</v>
      </c>
      <c r="V1404" s="108" t="s">
        <v>280</v>
      </c>
      <c r="W1404" s="108" t="s">
        <v>280</v>
      </c>
    </row>
    <row r="1405" spans="1:23" ht="21" customHeight="1" x14ac:dyDescent="0.15">
      <c r="A1405" s="207">
        <v>8005</v>
      </c>
      <c r="B1405" s="208" t="s">
        <v>268</v>
      </c>
      <c r="C1405" s="154" t="s">
        <v>3874</v>
      </c>
      <c r="D1405" s="107" t="s">
        <v>1773</v>
      </c>
      <c r="E1405" s="108" t="s">
        <v>709</v>
      </c>
      <c r="F1405" s="108" t="s">
        <v>532</v>
      </c>
      <c r="G1405" s="108" t="s">
        <v>1347</v>
      </c>
      <c r="H1405" s="131" t="s">
        <v>618</v>
      </c>
      <c r="I1405" s="140">
        <v>5</v>
      </c>
      <c r="J1405" s="109" t="s">
        <v>1452</v>
      </c>
      <c r="K1405" s="105" t="s">
        <v>1780</v>
      </c>
      <c r="L1405" s="107" t="str">
        <f ca="1">VLOOKUP($K1405,OFFSET([1]character_type_i18n!$A$1,0,0,COUNTA([1]character_type_i18n!$A:$A),MATCH(L$1,[1]character_type_i18n!$1:$1,0)-MATCH($K$1,[1]character_type_i18n!$1:$1,0)+1),MATCH(L$1,[1]character_type_i18n!$1:$1,0)-MATCH($K$1,[1]character_type_i18n!$1:$1,0)+1,FALSE)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05" s="210" t="s">
        <v>1011</v>
      </c>
      <c r="N1405" s="165" t="str">
        <f>VLOOKUP(M1405,[1]character_tribe_i18n!A:C,3,FALSE)</f>
        <v>ヒューマン</v>
      </c>
      <c r="O1405" s="105" t="s">
        <v>313</v>
      </c>
      <c r="P1405" s="107" t="str">
        <f>VLOOKUP(O1405,[1]character_tribe_i18n!A:C,3,FALSE)</f>
        <v>アニマル</v>
      </c>
      <c r="Q1405" s="110" t="s">
        <v>279</v>
      </c>
      <c r="R1405" s="203">
        <v>3</v>
      </c>
      <c r="S1405" s="108" t="s">
        <v>280</v>
      </c>
      <c r="T1405" s="108" t="s">
        <v>281</v>
      </c>
      <c r="U1405" s="108" t="s">
        <v>280</v>
      </c>
      <c r="V1405" s="108" t="s">
        <v>280</v>
      </c>
      <c r="W1405" s="108" t="s">
        <v>280</v>
      </c>
    </row>
    <row r="1406" spans="1:23" ht="21" customHeight="1" x14ac:dyDescent="0.15">
      <c r="A1406" s="207">
        <v>8006</v>
      </c>
      <c r="B1406" s="208" t="s">
        <v>268</v>
      </c>
      <c r="C1406" s="154" t="s">
        <v>3875</v>
      </c>
      <c r="D1406" s="107" t="s">
        <v>1773</v>
      </c>
      <c r="E1406" s="108" t="s">
        <v>709</v>
      </c>
      <c r="F1406" s="108" t="s">
        <v>532</v>
      </c>
      <c r="G1406" s="108" t="s">
        <v>1114</v>
      </c>
      <c r="H1406" s="131" t="s">
        <v>768</v>
      </c>
      <c r="I1406" s="140">
        <v>6</v>
      </c>
      <c r="J1406" s="109" t="s">
        <v>1001</v>
      </c>
      <c r="K1406" s="105" t="s">
        <v>1008</v>
      </c>
      <c r="L1406" s="107" t="str">
        <f ca="1">VLOOKUP($K1406,OFFSET([1]character_type_i18n!$A$1,0,0,COUNTA([1]character_type_i18n!$A:$A),MATCH(L$1,[1]character_type_i18n!$1:$1,0)-MATCH($K$1,[1]character_type_i18n!$1:$1,0)+1),MATCH(L$1,[1]character_type_i18n!$1:$1,0)-MATCH($K$1,[1]character_type_i18n!$1:$1,0)+1,FALSE)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06" s="210" t="s">
        <v>1011</v>
      </c>
      <c r="N1406" s="165" t="str">
        <f>VLOOKUP(M1406,[1]character_tribe_i18n!A:C,3,FALSE)</f>
        <v>ヒューマン</v>
      </c>
      <c r="O1406" s="105" t="s">
        <v>313</v>
      </c>
      <c r="P1406" s="107" t="str">
        <f>VLOOKUP(O1406,[1]character_tribe_i18n!A:C,3,FALSE)</f>
        <v>アニマル</v>
      </c>
      <c r="Q1406" s="110" t="s">
        <v>279</v>
      </c>
      <c r="R1406" s="203">
        <v>3</v>
      </c>
      <c r="S1406" s="108" t="s">
        <v>280</v>
      </c>
      <c r="T1406" s="108" t="s">
        <v>281</v>
      </c>
      <c r="U1406" s="108" t="s">
        <v>280</v>
      </c>
      <c r="V1406" s="108" t="s">
        <v>280</v>
      </c>
      <c r="W1406" s="108" t="s">
        <v>280</v>
      </c>
    </row>
    <row r="1407" spans="1:23" ht="21" customHeight="1" x14ac:dyDescent="0.15">
      <c r="A1407" s="207">
        <v>8007</v>
      </c>
      <c r="B1407" s="208" t="s">
        <v>268</v>
      </c>
      <c r="C1407" s="154" t="s">
        <v>3876</v>
      </c>
      <c r="D1407" s="107" t="s">
        <v>1773</v>
      </c>
      <c r="E1407" s="108" t="s">
        <v>709</v>
      </c>
      <c r="F1407" s="108" t="s">
        <v>532</v>
      </c>
      <c r="G1407" s="108" t="s">
        <v>1347</v>
      </c>
      <c r="H1407" s="131" t="s">
        <v>536</v>
      </c>
      <c r="I1407" s="140">
        <v>5</v>
      </c>
      <c r="J1407" s="109" t="s">
        <v>1856</v>
      </c>
      <c r="K1407" s="105" t="s">
        <v>1441</v>
      </c>
      <c r="L1407" s="107" t="str">
        <f ca="1">VLOOKUP($K1407,OFFSET([1]character_type_i18n!$A$1,0,0,COUNTA([1]character_type_i18n!$A:$A),MATCH(L$1,[1]character_type_i18n!$1:$1,0)-MATCH($K$1,[1]character_type_i18n!$1:$1,0)+1),MATCH(L$1,[1]character_type_i18n!$1:$1,0)-MATCH($K$1,[1]character_type_i18n!$1:$1,0)+1,FALSE)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07" s="210" t="s">
        <v>313</v>
      </c>
      <c r="N1407" s="165" t="str">
        <f>VLOOKUP(M1407,[1]character_tribe_i18n!A:C,3,FALSE)</f>
        <v>アニマル</v>
      </c>
      <c r="O1407" s="105" t="s">
        <v>278</v>
      </c>
      <c r="P1407" s="107" t="str">
        <f>VLOOKUP(O1407,[1]character_tribe_i18n!A:C,3,FALSE)</f>
        <v>種族なし</v>
      </c>
      <c r="Q1407" s="110" t="s">
        <v>279</v>
      </c>
      <c r="R1407" s="203">
        <v>3</v>
      </c>
      <c r="S1407" s="108" t="s">
        <v>280</v>
      </c>
      <c r="T1407" s="108" t="s">
        <v>281</v>
      </c>
      <c r="U1407" s="108" t="s">
        <v>280</v>
      </c>
      <c r="V1407" s="108" t="s">
        <v>280</v>
      </c>
      <c r="W1407" s="108" t="s">
        <v>280</v>
      </c>
    </row>
    <row r="1408" spans="1:23" ht="21" customHeight="1" x14ac:dyDescent="0.15">
      <c r="A1408" s="207">
        <v>8008</v>
      </c>
      <c r="B1408" s="208" t="s">
        <v>268</v>
      </c>
      <c r="C1408" s="154" t="s">
        <v>3877</v>
      </c>
      <c r="D1408" s="107" t="s">
        <v>1773</v>
      </c>
      <c r="E1408" s="108" t="s">
        <v>709</v>
      </c>
      <c r="F1408" s="108" t="s">
        <v>532</v>
      </c>
      <c r="G1408" s="108" t="s">
        <v>1114</v>
      </c>
      <c r="H1408" s="131" t="s">
        <v>1141</v>
      </c>
      <c r="I1408" s="140">
        <v>6</v>
      </c>
      <c r="J1408" s="109" t="s">
        <v>1504</v>
      </c>
      <c r="K1408" s="105" t="s">
        <v>1005</v>
      </c>
      <c r="L1408" s="107" t="str">
        <f ca="1">VLOOKUP($K1408,OFFSET([1]character_type_i18n!$A$1,0,0,COUNTA([1]character_type_i18n!$A:$A),MATCH(L$1,[1]character_type_i18n!$1:$1,0)-MATCH($K$1,[1]character_type_i18n!$1:$1,0)+1),MATCH(L$1,[1]character_type_i18n!$1:$1,0)-MATCH($K$1,[1]character_type_i18n!$1:$1,0)+1,FALSE)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08" s="210" t="s">
        <v>313</v>
      </c>
      <c r="N1408" s="165" t="str">
        <f>VLOOKUP(M1408,[1]character_tribe_i18n!A:C,3,FALSE)</f>
        <v>アニマル</v>
      </c>
      <c r="O1408" s="105" t="s">
        <v>278</v>
      </c>
      <c r="P1408" s="107" t="str">
        <f>VLOOKUP(O1408,[1]character_tribe_i18n!A:C,3,FALSE)</f>
        <v>種族なし</v>
      </c>
      <c r="Q1408" s="110" t="s">
        <v>279</v>
      </c>
      <c r="R1408" s="203">
        <v>3</v>
      </c>
      <c r="S1408" s="108" t="s">
        <v>280</v>
      </c>
      <c r="T1408" s="108" t="s">
        <v>281</v>
      </c>
      <c r="U1408" s="108" t="s">
        <v>280</v>
      </c>
      <c r="V1408" s="108" t="s">
        <v>280</v>
      </c>
      <c r="W1408" s="108" t="s">
        <v>280</v>
      </c>
    </row>
    <row r="1409" spans="1:23" ht="21" customHeight="1" x14ac:dyDescent="0.15">
      <c r="A1409" s="207">
        <v>8009</v>
      </c>
      <c r="B1409" s="208" t="s">
        <v>268</v>
      </c>
      <c r="C1409" s="154" t="s">
        <v>3878</v>
      </c>
      <c r="D1409" s="107" t="s">
        <v>1773</v>
      </c>
      <c r="E1409" s="108" t="s">
        <v>709</v>
      </c>
      <c r="F1409" s="108" t="s">
        <v>532</v>
      </c>
      <c r="G1409" s="108" t="s">
        <v>1347</v>
      </c>
      <c r="H1409" s="131" t="s">
        <v>545</v>
      </c>
      <c r="I1409" s="140">
        <v>5</v>
      </c>
      <c r="J1409" s="109" t="s">
        <v>1452</v>
      </c>
      <c r="K1409" s="105" t="s">
        <v>1441</v>
      </c>
      <c r="L1409" s="107" t="str">
        <f ca="1">VLOOKUP($K1409,OFFSET([1]character_type_i18n!$A$1,0,0,COUNTA([1]character_type_i18n!$A:$A),MATCH(L$1,[1]character_type_i18n!$1:$1,0)-MATCH($K$1,[1]character_type_i18n!$1:$1,0)+1),MATCH(L$1,[1]character_type_i18n!$1:$1,0)-MATCH($K$1,[1]character_type_i18n!$1:$1,0)+1,FALSE)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09" s="210" t="s">
        <v>1018</v>
      </c>
      <c r="N1409" s="165" t="str">
        <f>VLOOKUP(M1409,[1]character_tribe_i18n!A:C,3,FALSE)</f>
        <v>ゴッド</v>
      </c>
      <c r="O1409" s="105" t="s">
        <v>1017</v>
      </c>
      <c r="P1409" s="107" t="str">
        <f>VLOOKUP(O1409,[1]character_tribe_i18n!A:C,3,FALSE)</f>
        <v>マシン</v>
      </c>
      <c r="Q1409" s="110" t="s">
        <v>279</v>
      </c>
      <c r="R1409" s="111">
        <v>1</v>
      </c>
      <c r="S1409" s="108" t="s">
        <v>280</v>
      </c>
      <c r="T1409" s="108" t="s">
        <v>281</v>
      </c>
      <c r="U1409" s="108" t="s">
        <v>280</v>
      </c>
      <c r="V1409" s="108" t="s">
        <v>280</v>
      </c>
      <c r="W1409" s="108" t="s">
        <v>280</v>
      </c>
    </row>
    <row r="1410" spans="1:23" ht="21" customHeight="1" x14ac:dyDescent="0.15">
      <c r="A1410" s="207">
        <v>8010</v>
      </c>
      <c r="B1410" s="208" t="s">
        <v>268</v>
      </c>
      <c r="C1410" s="154" t="s">
        <v>3879</v>
      </c>
      <c r="D1410" s="107" t="s">
        <v>1773</v>
      </c>
      <c r="E1410" s="108" t="s">
        <v>709</v>
      </c>
      <c r="F1410" s="108" t="s">
        <v>532</v>
      </c>
      <c r="G1410" s="108" t="s">
        <v>1114</v>
      </c>
      <c r="H1410" s="131" t="s">
        <v>614</v>
      </c>
      <c r="I1410" s="140">
        <v>6</v>
      </c>
      <c r="J1410" s="109" t="s">
        <v>1001</v>
      </c>
      <c r="K1410" s="105" t="s">
        <v>1005</v>
      </c>
      <c r="L1410" s="107" t="str">
        <f ca="1">VLOOKUP($K1410,OFFSET([1]character_type_i18n!$A$1,0,0,COUNTA([1]character_type_i18n!$A:$A),MATCH(L$1,[1]character_type_i18n!$1:$1,0)-MATCH($K$1,[1]character_type_i18n!$1:$1,0)+1),MATCH(L$1,[1]character_type_i18n!$1:$1,0)-MATCH($K$1,[1]character_type_i18n!$1:$1,0)+1,FALSE)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10" s="210" t="s">
        <v>1018</v>
      </c>
      <c r="N1410" s="165" t="str">
        <f>VLOOKUP(M1410,[1]character_tribe_i18n!A:C,3,FALSE)</f>
        <v>ゴッド</v>
      </c>
      <c r="O1410" s="105" t="s">
        <v>1017</v>
      </c>
      <c r="P1410" s="107" t="str">
        <f>VLOOKUP(O1410,[1]character_tribe_i18n!A:C,3,FALSE)</f>
        <v>マシン</v>
      </c>
      <c r="Q1410" s="110" t="s">
        <v>279</v>
      </c>
      <c r="R1410" s="111">
        <v>1</v>
      </c>
      <c r="S1410" s="108" t="s">
        <v>280</v>
      </c>
      <c r="T1410" s="108" t="s">
        <v>281</v>
      </c>
      <c r="U1410" s="108" t="s">
        <v>280</v>
      </c>
      <c r="V1410" s="108" t="s">
        <v>280</v>
      </c>
      <c r="W1410" s="108" t="s">
        <v>280</v>
      </c>
    </row>
    <row r="1411" spans="1:23" ht="21" customHeight="1" x14ac:dyDescent="0.15">
      <c r="A1411" s="207">
        <v>8011</v>
      </c>
      <c r="B1411" s="208" t="s">
        <v>268</v>
      </c>
      <c r="C1411" s="154" t="s">
        <v>3880</v>
      </c>
      <c r="D1411" s="107" t="s">
        <v>1773</v>
      </c>
      <c r="E1411" s="108" t="s">
        <v>709</v>
      </c>
      <c r="F1411" s="108" t="s">
        <v>532</v>
      </c>
      <c r="G1411" s="108" t="s">
        <v>853</v>
      </c>
      <c r="H1411" s="131" t="s">
        <v>1795</v>
      </c>
      <c r="I1411" s="140">
        <v>5</v>
      </c>
      <c r="J1411" s="109" t="s">
        <v>1618</v>
      </c>
      <c r="K1411" s="105" t="s">
        <v>1388</v>
      </c>
      <c r="L1411" s="107" t="str">
        <f ca="1">VLOOKUP($K1411,OFFSET([1]character_type_i18n!$A$1,0,0,COUNTA([1]character_type_i18n!$A:$A),MATCH(L$1,[1]character_type_i18n!$1:$1,0)-MATCH($K$1,[1]character_type_i18n!$1:$1,0)+1),MATCH(L$1,[1]character_type_i18n!$1:$1,0)-MATCH($K$1,[1]character_type_i18n!$1:$1,0)+1,FALSE)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1" s="210" t="s">
        <v>1018</v>
      </c>
      <c r="N1411" s="165" t="str">
        <f>VLOOKUP(M1411,[1]character_tribe_i18n!A:C,3,FALSE)</f>
        <v>ゴッド</v>
      </c>
      <c r="O1411" s="105" t="s">
        <v>278</v>
      </c>
      <c r="P1411" s="107" t="str">
        <f>VLOOKUP(O1411,[1]character_tribe_i18n!A:C,3,FALSE)</f>
        <v>種族なし</v>
      </c>
      <c r="Q1411" s="110" t="s">
        <v>279</v>
      </c>
      <c r="R1411" s="111">
        <v>1</v>
      </c>
      <c r="S1411" s="108" t="s">
        <v>280</v>
      </c>
      <c r="T1411" s="108" t="s">
        <v>281</v>
      </c>
      <c r="U1411" s="108" t="s">
        <v>280</v>
      </c>
      <c r="V1411" s="108" t="s">
        <v>280</v>
      </c>
      <c r="W1411" s="108" t="s">
        <v>280</v>
      </c>
    </row>
    <row r="1412" spans="1:23" ht="21" customHeight="1" x14ac:dyDescent="0.15">
      <c r="A1412" s="207">
        <v>8012</v>
      </c>
      <c r="B1412" s="208" t="s">
        <v>268</v>
      </c>
      <c r="C1412" s="154" t="s">
        <v>3881</v>
      </c>
      <c r="D1412" s="107" t="s">
        <v>1773</v>
      </c>
      <c r="E1412" s="108" t="s">
        <v>709</v>
      </c>
      <c r="F1412" s="108" t="s">
        <v>532</v>
      </c>
      <c r="G1412" s="108" t="s">
        <v>1184</v>
      </c>
      <c r="H1412" s="131" t="s">
        <v>1795</v>
      </c>
      <c r="I1412" s="140">
        <v>6</v>
      </c>
      <c r="J1412" s="109" t="s">
        <v>1618</v>
      </c>
      <c r="K1412" s="105" t="s">
        <v>1388</v>
      </c>
      <c r="L1412" s="107" t="str">
        <f ca="1">VLOOKUP($K1412,OFFSET([1]character_type_i18n!$A$1,0,0,COUNTA([1]character_type_i18n!$A:$A),MATCH(L$1,[1]character_type_i18n!$1:$1,0)-MATCH($K$1,[1]character_type_i18n!$1:$1,0)+1),MATCH(L$1,[1]character_type_i18n!$1:$1,0)-MATCH($K$1,[1]character_type_i18n!$1:$1,0)+1,FALSE)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2" s="210" t="s">
        <v>1018</v>
      </c>
      <c r="N1412" s="165" t="str">
        <f>VLOOKUP(M1412,[1]character_tribe_i18n!A:C,3,FALSE)</f>
        <v>ゴッド</v>
      </c>
      <c r="O1412" s="105" t="s">
        <v>278</v>
      </c>
      <c r="P1412" s="107" t="str">
        <f>VLOOKUP(O1412,[1]character_tribe_i18n!A:C,3,FALSE)</f>
        <v>種族なし</v>
      </c>
      <c r="Q1412" s="110" t="s">
        <v>279</v>
      </c>
      <c r="R1412" s="111">
        <v>1</v>
      </c>
      <c r="S1412" s="108" t="s">
        <v>280</v>
      </c>
      <c r="T1412" s="108" t="s">
        <v>281</v>
      </c>
      <c r="U1412" s="108" t="s">
        <v>280</v>
      </c>
      <c r="V1412" s="108" t="s">
        <v>280</v>
      </c>
      <c r="W1412" s="108" t="s">
        <v>280</v>
      </c>
    </row>
    <row r="1413" spans="1:23" ht="21" customHeight="1" x14ac:dyDescent="0.15">
      <c r="A1413" s="207">
        <v>8013</v>
      </c>
      <c r="B1413" s="208" t="s">
        <v>268</v>
      </c>
      <c r="C1413" s="170" t="s">
        <v>3882</v>
      </c>
      <c r="D1413" s="212" t="s">
        <v>3882</v>
      </c>
      <c r="E1413" s="108" t="s">
        <v>709</v>
      </c>
      <c r="F1413" s="108" t="s">
        <v>532</v>
      </c>
      <c r="G1413" s="108" t="s">
        <v>853</v>
      </c>
      <c r="H1413" s="131" t="s">
        <v>1795</v>
      </c>
      <c r="I1413" s="213">
        <v>4</v>
      </c>
      <c r="J1413" s="109" t="s">
        <v>1618</v>
      </c>
      <c r="K1413" s="105" t="s">
        <v>1388</v>
      </c>
      <c r="L1413" s="107" t="str">
        <f ca="1">VLOOKUP($K1413,OFFSET([1]character_type_i18n!$A$1,0,0,COUNTA([1]character_type_i18n!$A:$A),MATCH(L$1,[1]character_type_i18n!$1:$1,0)-MATCH($K$1,[1]character_type_i18n!$1:$1,0)+1),MATCH(L$1,[1]character_type_i18n!$1:$1,0)-MATCH($K$1,[1]character_type_i18n!$1:$1,0)+1,FALSE)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3" s="210" t="s">
        <v>1164</v>
      </c>
      <c r="N1413" s="165" t="str">
        <f>VLOOKUP(M1413,[1]character_tribe_i18n!A:C,3,FALSE)</f>
        <v>Unknown</v>
      </c>
      <c r="O1413" s="105" t="s">
        <v>278</v>
      </c>
      <c r="P1413" s="107" t="str">
        <f>VLOOKUP(O1413,[1]character_tribe_i18n!A:C,3,FALSE)</f>
        <v>種族なし</v>
      </c>
      <c r="Q1413" s="110" t="s">
        <v>279</v>
      </c>
      <c r="R1413" s="111">
        <v>1</v>
      </c>
      <c r="S1413" s="108" t="s">
        <v>280</v>
      </c>
      <c r="T1413" s="108" t="s">
        <v>281</v>
      </c>
      <c r="U1413" s="108" t="s">
        <v>280</v>
      </c>
      <c r="V1413" s="108" t="s">
        <v>280</v>
      </c>
      <c r="W1413" s="108" t="s">
        <v>280</v>
      </c>
    </row>
    <row r="1414" spans="1:23" ht="21" customHeight="1" x14ac:dyDescent="0.15">
      <c r="A1414" s="207">
        <v>8014</v>
      </c>
      <c r="B1414" s="208" t="s">
        <v>268</v>
      </c>
      <c r="C1414" s="214" t="s">
        <v>3882</v>
      </c>
      <c r="D1414" s="215" t="s">
        <v>3882</v>
      </c>
      <c r="E1414" s="108" t="s">
        <v>709</v>
      </c>
      <c r="F1414" s="108" t="s">
        <v>532</v>
      </c>
      <c r="G1414" s="108" t="s">
        <v>853</v>
      </c>
      <c r="H1414" s="131" t="s">
        <v>1795</v>
      </c>
      <c r="I1414" s="216">
        <v>5</v>
      </c>
      <c r="J1414" s="109" t="s">
        <v>1618</v>
      </c>
      <c r="K1414" s="105" t="s">
        <v>1388</v>
      </c>
      <c r="L1414" s="107" t="str">
        <f ca="1">VLOOKUP($K1414,OFFSET([1]character_type_i18n!$A$1,0,0,COUNTA([1]character_type_i18n!$A:$A),MATCH(L$1,[1]character_type_i18n!$1:$1,0)-MATCH($K$1,[1]character_type_i18n!$1:$1,0)+1),MATCH(L$1,[1]character_type_i18n!$1:$1,0)-MATCH($K$1,[1]character_type_i18n!$1:$1,0)+1,FALSE)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4" s="210" t="s">
        <v>1164</v>
      </c>
      <c r="N1414" s="165" t="str">
        <f>VLOOKUP(M1414,[1]character_tribe_i18n!A:C,3,FALSE)</f>
        <v>Unknown</v>
      </c>
      <c r="O1414" s="105" t="s">
        <v>278</v>
      </c>
      <c r="P1414" s="107" t="str">
        <f>VLOOKUP(O1414,[1]character_tribe_i18n!A:C,3,FALSE)</f>
        <v>種族なし</v>
      </c>
      <c r="Q1414" s="110" t="s">
        <v>279</v>
      </c>
      <c r="R1414" s="111">
        <v>1</v>
      </c>
      <c r="S1414" s="108" t="s">
        <v>280</v>
      </c>
      <c r="T1414" s="108" t="s">
        <v>281</v>
      </c>
      <c r="U1414" s="108" t="s">
        <v>280</v>
      </c>
      <c r="V1414" s="108" t="s">
        <v>280</v>
      </c>
      <c r="W1414" s="108" t="s">
        <v>280</v>
      </c>
    </row>
    <row r="1415" spans="1:23" ht="21" customHeight="1" x14ac:dyDescent="0.15">
      <c r="A1415" s="207">
        <v>8015</v>
      </c>
      <c r="B1415" s="208" t="s">
        <v>268</v>
      </c>
      <c r="C1415" s="214" t="s">
        <v>3883</v>
      </c>
      <c r="D1415" s="215" t="s">
        <v>3883</v>
      </c>
      <c r="E1415" s="108" t="s">
        <v>709</v>
      </c>
      <c r="F1415" s="108" t="s">
        <v>532</v>
      </c>
      <c r="G1415" s="108" t="s">
        <v>853</v>
      </c>
      <c r="H1415" s="131" t="s">
        <v>1617</v>
      </c>
      <c r="I1415" s="216">
        <v>4</v>
      </c>
      <c r="J1415" s="109" t="s">
        <v>1592</v>
      </c>
      <c r="K1415" s="105" t="s">
        <v>1311</v>
      </c>
      <c r="L1415" s="107" t="str">
        <f ca="1">VLOOKUP($K1415,OFFSET([1]character_type_i18n!$A$1,0,0,COUNTA([1]character_type_i18n!$A:$A),MATCH(L$1,[1]character_type_i18n!$1:$1,0)-MATCH($K$1,[1]character_type_i18n!$1:$1,0)+1),MATCH(L$1,[1]character_type_i18n!$1:$1,0)-MATCH($K$1,[1]character_type_i18n!$1:$1,0)+1,FALSE)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15" s="210" t="s">
        <v>1612</v>
      </c>
      <c r="N1415" s="165" t="str">
        <f>VLOOKUP(M1415,[1]character_tribe_i18n!A:C,3,FALSE)</f>
        <v>Unknown</v>
      </c>
      <c r="O1415" s="105" t="s">
        <v>278</v>
      </c>
      <c r="P1415" s="107" t="str">
        <f>VLOOKUP(O1415,[1]character_tribe_i18n!A:C,3,FALSE)</f>
        <v>種族なし</v>
      </c>
      <c r="Q1415" s="110" t="s">
        <v>279</v>
      </c>
      <c r="R1415" s="111">
        <v>1</v>
      </c>
      <c r="S1415" s="108" t="s">
        <v>280</v>
      </c>
      <c r="T1415" s="108" t="s">
        <v>281</v>
      </c>
      <c r="U1415" s="108" t="s">
        <v>280</v>
      </c>
      <c r="V1415" s="108" t="s">
        <v>280</v>
      </c>
      <c r="W1415" s="108" t="s">
        <v>280</v>
      </c>
    </row>
    <row r="1416" spans="1:23" ht="21" customHeight="1" x14ac:dyDescent="0.15">
      <c r="A1416" s="207">
        <v>8016</v>
      </c>
      <c r="B1416" s="208" t="s">
        <v>314</v>
      </c>
      <c r="C1416" s="214" t="s">
        <v>3883</v>
      </c>
      <c r="D1416" s="215" t="s">
        <v>3883</v>
      </c>
      <c r="E1416" s="108" t="s">
        <v>1396</v>
      </c>
      <c r="F1416" s="108" t="s">
        <v>1397</v>
      </c>
      <c r="G1416" s="108" t="s">
        <v>853</v>
      </c>
      <c r="H1416" s="131" t="s">
        <v>1617</v>
      </c>
      <c r="I1416" s="216">
        <v>5</v>
      </c>
      <c r="J1416" s="109" t="s">
        <v>1592</v>
      </c>
      <c r="K1416" s="105" t="s">
        <v>1311</v>
      </c>
      <c r="L1416" s="107" t="str">
        <f ca="1">VLOOKUP($K1416,OFFSET([1]character_type_i18n!$A$1,0,0,COUNTA([1]character_type_i18n!$A:$A),MATCH(L$1,[1]character_type_i18n!$1:$1,0)-MATCH($K$1,[1]character_type_i18n!$1:$1,0)+1),MATCH(L$1,[1]character_type_i18n!$1:$1,0)-MATCH($K$1,[1]character_type_i18n!$1:$1,0)+1,FALSE)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16" s="210" t="s">
        <v>1612</v>
      </c>
      <c r="N1416" s="165" t="str">
        <f>VLOOKUP(M1416,[1]character_tribe_i18n!A:C,3,FALSE)</f>
        <v>Unknown</v>
      </c>
      <c r="O1416" s="105" t="s">
        <v>278</v>
      </c>
      <c r="P1416" s="107" t="str">
        <f>VLOOKUP(O1416,[1]character_tribe_i18n!A:C,3,FALSE)</f>
        <v>種族なし</v>
      </c>
      <c r="Q1416" s="110" t="s">
        <v>3884</v>
      </c>
      <c r="R1416" s="111">
        <v>1</v>
      </c>
      <c r="S1416" s="108" t="s">
        <v>3885</v>
      </c>
      <c r="T1416" s="108" t="s">
        <v>1047</v>
      </c>
      <c r="U1416" s="108" t="s">
        <v>875</v>
      </c>
      <c r="V1416" s="108" t="s">
        <v>3885</v>
      </c>
      <c r="W1416" s="108" t="s">
        <v>3885</v>
      </c>
    </row>
    <row r="1417" spans="1:23" ht="21" customHeight="1" x14ac:dyDescent="0.15">
      <c r="A1417" s="207">
        <v>8017</v>
      </c>
      <c r="B1417" s="208" t="s">
        <v>3886</v>
      </c>
      <c r="C1417" s="217" t="s">
        <v>1809</v>
      </c>
      <c r="D1417" s="218" t="s">
        <v>1809</v>
      </c>
      <c r="E1417" s="108" t="s">
        <v>3887</v>
      </c>
      <c r="F1417" s="108" t="s">
        <v>3888</v>
      </c>
      <c r="G1417" s="108" t="s">
        <v>853</v>
      </c>
      <c r="H1417" s="131" t="s">
        <v>1617</v>
      </c>
      <c r="I1417" s="216">
        <v>4</v>
      </c>
      <c r="J1417" s="109" t="s">
        <v>3889</v>
      </c>
      <c r="K1417" s="105" t="s">
        <v>3890</v>
      </c>
      <c r="L1417" s="107" t="str">
        <f ca="1">VLOOKUP($K1417,OFFSET([1]character_type_i18n!$A$1,0,0,COUNTA([1]character_type_i18n!$A:$A),MATCH(L$1,[1]character_type_i18n!$1:$1,0)-MATCH($K$1,[1]character_type_i18n!$1:$1,0)+1),MATCH(L$1,[1]character_type_i18n!$1:$1,0)-MATCH($K$1,[1]character_type_i18n!$1:$1,0)+1,FALSE)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7" s="210" t="s">
        <v>1612</v>
      </c>
      <c r="N1417" s="165" t="str">
        <f>VLOOKUP(M1417,[1]character_tribe_i18n!A:C,3,FALSE)</f>
        <v>Unknown</v>
      </c>
      <c r="O1417" s="105" t="s">
        <v>278</v>
      </c>
      <c r="P1417" s="107" t="str">
        <f>VLOOKUP(O1417,[1]character_tribe_i18n!A:C,3,FALSE)</f>
        <v>種族なし</v>
      </c>
      <c r="Q1417" s="110" t="s">
        <v>3891</v>
      </c>
      <c r="R1417" s="111">
        <v>1</v>
      </c>
      <c r="S1417" s="108" t="s">
        <v>3775</v>
      </c>
      <c r="T1417" s="108" t="s">
        <v>339</v>
      </c>
      <c r="U1417" s="108" t="s">
        <v>3775</v>
      </c>
      <c r="V1417" s="108" t="s">
        <v>3775</v>
      </c>
      <c r="W1417" s="108" t="s">
        <v>3775</v>
      </c>
    </row>
    <row r="1418" spans="1:23" ht="21" customHeight="1" x14ac:dyDescent="0.15">
      <c r="A1418" s="207">
        <v>8018</v>
      </c>
      <c r="B1418" s="208" t="s">
        <v>3776</v>
      </c>
      <c r="C1418" s="217" t="s">
        <v>1809</v>
      </c>
      <c r="D1418" s="218" t="s">
        <v>1809</v>
      </c>
      <c r="E1418" s="108" t="s">
        <v>3892</v>
      </c>
      <c r="F1418" s="108" t="s">
        <v>3893</v>
      </c>
      <c r="G1418" s="108" t="s">
        <v>853</v>
      </c>
      <c r="H1418" s="131" t="s">
        <v>1617</v>
      </c>
      <c r="I1418" s="216">
        <v>5</v>
      </c>
      <c r="J1418" s="109" t="s">
        <v>1592</v>
      </c>
      <c r="K1418" s="105" t="s">
        <v>1388</v>
      </c>
      <c r="L1418" s="107" t="str">
        <f ca="1">VLOOKUP($K1418,OFFSET([1]character_type_i18n!$A$1,0,0,COUNTA([1]character_type_i18n!$A:$A),MATCH(L$1,[1]character_type_i18n!$1:$1,0)-MATCH($K$1,[1]character_type_i18n!$1:$1,0)+1),MATCH(L$1,[1]character_type_i18n!$1:$1,0)-MATCH($K$1,[1]character_type_i18n!$1:$1,0)+1,FALSE)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8" s="210" t="s">
        <v>3894</v>
      </c>
      <c r="N1418" s="165" t="str">
        <f>VLOOKUP(M1418,[1]character_tribe_i18n!A:C,3,FALSE)</f>
        <v>Unknown</v>
      </c>
      <c r="O1418" s="105" t="s">
        <v>278</v>
      </c>
      <c r="P1418" s="107" t="str">
        <f>VLOOKUP(O1418,[1]character_tribe_i18n!A:C,3,FALSE)</f>
        <v>種族なし</v>
      </c>
      <c r="Q1418" s="110" t="s">
        <v>279</v>
      </c>
      <c r="R1418" s="111">
        <v>1</v>
      </c>
      <c r="S1418" s="108" t="s">
        <v>280</v>
      </c>
      <c r="T1418" s="108" t="s">
        <v>281</v>
      </c>
      <c r="U1418" s="108" t="s">
        <v>280</v>
      </c>
      <c r="V1418" s="108" t="s">
        <v>280</v>
      </c>
      <c r="W1418" s="108" t="s">
        <v>280</v>
      </c>
    </row>
    <row r="1419" spans="1:23" ht="21" customHeight="1" x14ac:dyDescent="0.15">
      <c r="A1419" s="207">
        <v>8019</v>
      </c>
      <c r="B1419" s="208" t="s">
        <v>268</v>
      </c>
      <c r="C1419" s="217" t="s">
        <v>1819</v>
      </c>
      <c r="D1419" s="218" t="s">
        <v>1819</v>
      </c>
      <c r="E1419" s="108" t="s">
        <v>709</v>
      </c>
      <c r="F1419" s="108" t="s">
        <v>532</v>
      </c>
      <c r="G1419" s="108" t="s">
        <v>1822</v>
      </c>
      <c r="H1419" s="131" t="s">
        <v>300</v>
      </c>
      <c r="I1419" s="216">
        <v>4</v>
      </c>
      <c r="J1419" s="109" t="s">
        <v>1823</v>
      </c>
      <c r="K1419" s="105" t="s">
        <v>2058</v>
      </c>
      <c r="L1419" s="107" t="str">
        <f ca="1">VLOOKUP($K1419,OFFSET([1]character_type_i18n!$A$1,0,0,COUNTA([1]character_type_i18n!$A:$A),MATCH(L$1,[1]character_type_i18n!$1:$1,0)-MATCH($K$1,[1]character_type_i18n!$1:$1,0)+1),MATCH(L$1,[1]character_type_i18n!$1:$1,0)-MATCH($K$1,[1]character_type_i18n!$1:$1,0)+1,FALSE)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9" s="210" t="s">
        <v>3895</v>
      </c>
      <c r="N1419" s="165" t="str">
        <f>VLOOKUP(M1419,[1]character_tribe_i18n!A:C,3,FALSE)</f>
        <v>Unknown</v>
      </c>
      <c r="O1419" s="105" t="s">
        <v>278</v>
      </c>
      <c r="P1419" s="107" t="str">
        <f>VLOOKUP(O1419,[1]character_tribe_i18n!A:C,3,FALSE)</f>
        <v>種族なし</v>
      </c>
      <c r="Q1419" s="110" t="s">
        <v>3884</v>
      </c>
      <c r="R1419" s="111">
        <v>1</v>
      </c>
      <c r="S1419" s="108" t="s">
        <v>3885</v>
      </c>
      <c r="T1419" s="108" t="s">
        <v>3896</v>
      </c>
      <c r="U1419" s="108" t="s">
        <v>3885</v>
      </c>
      <c r="V1419" s="108" t="s">
        <v>3885</v>
      </c>
      <c r="W1419" s="108" t="s">
        <v>3885</v>
      </c>
    </row>
    <row r="1420" spans="1:23" ht="21" customHeight="1" x14ac:dyDescent="0.15">
      <c r="A1420" s="207">
        <v>8020</v>
      </c>
      <c r="B1420" s="208" t="s">
        <v>3886</v>
      </c>
      <c r="C1420" s="217" t="s">
        <v>1819</v>
      </c>
      <c r="D1420" s="218" t="s">
        <v>1819</v>
      </c>
      <c r="E1420" s="108" t="s">
        <v>3887</v>
      </c>
      <c r="F1420" s="108" t="s">
        <v>3888</v>
      </c>
      <c r="G1420" s="108" t="s">
        <v>1822</v>
      </c>
      <c r="H1420" s="131" t="s">
        <v>300</v>
      </c>
      <c r="I1420" s="216">
        <v>5</v>
      </c>
      <c r="J1420" s="109" t="s">
        <v>1823</v>
      </c>
      <c r="K1420" s="105" t="s">
        <v>2058</v>
      </c>
      <c r="L1420" s="107" t="str">
        <f ca="1">VLOOKUP($K1420,OFFSET([1]character_type_i18n!$A$1,0,0,COUNTA([1]character_type_i18n!$A:$A),MATCH(L$1,[1]character_type_i18n!$1:$1,0)-MATCH($K$1,[1]character_type_i18n!$1:$1,0)+1),MATCH(L$1,[1]character_type_i18n!$1:$1,0)-MATCH($K$1,[1]character_type_i18n!$1:$1,0)+1,FALSE)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20" s="210" t="s">
        <v>1164</v>
      </c>
      <c r="N1420" s="165" t="str">
        <f>VLOOKUP(M1420,[1]character_tribe_i18n!A:C,3,FALSE)</f>
        <v>Unknown</v>
      </c>
      <c r="O1420" s="105" t="s">
        <v>278</v>
      </c>
      <c r="P1420" s="107" t="str">
        <f>VLOOKUP(O1420,[1]character_tribe_i18n!A:C,3,FALSE)</f>
        <v>種族なし</v>
      </c>
      <c r="Q1420" s="110" t="s">
        <v>3884</v>
      </c>
      <c r="R1420" s="111">
        <v>1</v>
      </c>
      <c r="S1420" s="108" t="s">
        <v>3885</v>
      </c>
      <c r="T1420" s="108" t="s">
        <v>3896</v>
      </c>
      <c r="U1420" s="108" t="s">
        <v>3885</v>
      </c>
      <c r="V1420" s="108" t="s">
        <v>3885</v>
      </c>
      <c r="W1420" s="108" t="s">
        <v>3885</v>
      </c>
    </row>
    <row r="1421" spans="1:23" ht="21" customHeight="1" x14ac:dyDescent="0.15">
      <c r="A1421" s="207">
        <v>8021</v>
      </c>
      <c r="B1421" s="208" t="s">
        <v>3886</v>
      </c>
      <c r="C1421" s="217" t="s">
        <v>3897</v>
      </c>
      <c r="D1421" s="218" t="s">
        <v>3897</v>
      </c>
      <c r="E1421" s="108" t="s">
        <v>3887</v>
      </c>
      <c r="F1421" s="108" t="s">
        <v>3888</v>
      </c>
      <c r="G1421" s="108" t="s">
        <v>853</v>
      </c>
      <c r="H1421" s="131" t="s">
        <v>300</v>
      </c>
      <c r="I1421" s="216">
        <v>4</v>
      </c>
      <c r="J1421" s="109" t="s">
        <v>1220</v>
      </c>
      <c r="K1421" s="105" t="s">
        <v>1221</v>
      </c>
      <c r="L1421" s="107" t="str">
        <f ca="1">VLOOKUP($K1421,OFFSET([1]character_type_i18n!$A$1,0,0,COUNTA([1]character_type_i18n!$A:$A),MATCH(L$1,[1]character_type_i18n!$1:$1,0)-MATCH($K$1,[1]character_type_i18n!$1:$1,0)+1),MATCH(L$1,[1]character_type_i18n!$1:$1,0)-MATCH($K$1,[1]character_type_i18n!$1:$1,0)+1,FALSE)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21" s="210" t="s">
        <v>3894</v>
      </c>
      <c r="N1421" s="165" t="str">
        <f>VLOOKUP(M1421,[1]character_tribe_i18n!A:C,3,FALSE)</f>
        <v>Unknown</v>
      </c>
      <c r="O1421" s="105" t="s">
        <v>278</v>
      </c>
      <c r="P1421" s="107" t="str">
        <f>VLOOKUP(O1421,[1]character_tribe_i18n!A:C,3,FALSE)</f>
        <v>種族なし</v>
      </c>
      <c r="Q1421" s="110" t="s">
        <v>279</v>
      </c>
      <c r="R1421" s="111">
        <v>1</v>
      </c>
      <c r="S1421" s="108" t="s">
        <v>280</v>
      </c>
      <c r="T1421" s="108" t="s">
        <v>281</v>
      </c>
      <c r="U1421" s="108" t="s">
        <v>280</v>
      </c>
      <c r="V1421" s="108" t="s">
        <v>280</v>
      </c>
      <c r="W1421" s="108" t="s">
        <v>280</v>
      </c>
    </row>
    <row r="1422" spans="1:23" ht="21" customHeight="1" x14ac:dyDescent="0.15">
      <c r="A1422" s="207">
        <v>8022</v>
      </c>
      <c r="B1422" s="208" t="s">
        <v>268</v>
      </c>
      <c r="C1422" s="217" t="s">
        <v>3897</v>
      </c>
      <c r="D1422" s="218" t="s">
        <v>3897</v>
      </c>
      <c r="E1422" s="108" t="s">
        <v>709</v>
      </c>
      <c r="F1422" s="108" t="s">
        <v>532</v>
      </c>
      <c r="G1422" s="108" t="s">
        <v>853</v>
      </c>
      <c r="H1422" s="131" t="s">
        <v>300</v>
      </c>
      <c r="I1422" s="216">
        <v>5</v>
      </c>
      <c r="J1422" s="109" t="s">
        <v>1220</v>
      </c>
      <c r="K1422" s="105" t="s">
        <v>1221</v>
      </c>
      <c r="L1422" s="107" t="str">
        <f ca="1">VLOOKUP($K1422,OFFSET([1]character_type_i18n!$A$1,0,0,COUNTA([1]character_type_i18n!$A:$A),MATCH(L$1,[1]character_type_i18n!$1:$1,0)-MATCH($K$1,[1]character_type_i18n!$1:$1,0)+1),MATCH(L$1,[1]character_type_i18n!$1:$1,0)-MATCH($K$1,[1]character_type_i18n!$1:$1,0)+1,FALSE)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22" s="210" t="s">
        <v>1164</v>
      </c>
      <c r="N1422" s="165" t="str">
        <f>VLOOKUP(M1422,[1]character_tribe_i18n!A:C,3,FALSE)</f>
        <v>Unknown</v>
      </c>
      <c r="O1422" s="105" t="s">
        <v>278</v>
      </c>
      <c r="P1422" s="107" t="str">
        <f>VLOOKUP(O1422,[1]character_tribe_i18n!A:C,3,FALSE)</f>
        <v>種族なし</v>
      </c>
      <c r="Q1422" s="110" t="s">
        <v>279</v>
      </c>
      <c r="R1422" s="111">
        <v>1</v>
      </c>
      <c r="S1422" s="108" t="s">
        <v>280</v>
      </c>
      <c r="T1422" s="108" t="s">
        <v>281</v>
      </c>
      <c r="U1422" s="108" t="s">
        <v>280</v>
      </c>
      <c r="V1422" s="108" t="s">
        <v>280</v>
      </c>
      <c r="W1422" s="108" t="s">
        <v>280</v>
      </c>
    </row>
    <row r="1423" spans="1:23" ht="21" customHeight="1" x14ac:dyDescent="0.15">
      <c r="A1423" s="207">
        <v>8023</v>
      </c>
      <c r="B1423" s="208" t="s">
        <v>268</v>
      </c>
      <c r="C1423" s="217" t="s">
        <v>1827</v>
      </c>
      <c r="D1423" s="218" t="s">
        <v>1827</v>
      </c>
      <c r="E1423" s="108" t="s">
        <v>709</v>
      </c>
      <c r="F1423" s="108" t="s">
        <v>532</v>
      </c>
      <c r="G1423" s="108" t="s">
        <v>853</v>
      </c>
      <c r="H1423" s="131" t="s">
        <v>1185</v>
      </c>
      <c r="I1423" s="216">
        <v>3</v>
      </c>
      <c r="J1423" s="109" t="s">
        <v>805</v>
      </c>
      <c r="K1423" s="105" t="s">
        <v>1392</v>
      </c>
      <c r="L1423" s="107" t="str">
        <f ca="1">VLOOKUP($K1423,OFFSET([1]character_type_i18n!$A$1,0,0,COUNTA([1]character_type_i18n!$A:$A),MATCH(L$1,[1]character_type_i18n!$1:$1,0)-MATCH($K$1,[1]character_type_i18n!$1:$1,0)+1),MATCH(L$1,[1]character_type_i18n!$1:$1,0)-MATCH($K$1,[1]character_type_i18n!$1:$1,0)+1,FALSE)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23" s="210" t="s">
        <v>1164</v>
      </c>
      <c r="N1423" s="165" t="str">
        <f>VLOOKUP(M1423,[1]character_tribe_i18n!A:C,3,FALSE)</f>
        <v>Unknown</v>
      </c>
      <c r="O1423" s="105" t="s">
        <v>278</v>
      </c>
      <c r="P1423" s="107" t="str">
        <f>VLOOKUP(O1423,[1]character_tribe_i18n!A:C,3,FALSE)</f>
        <v>種族なし</v>
      </c>
      <c r="Q1423" s="110" t="s">
        <v>279</v>
      </c>
      <c r="R1423" s="111">
        <v>1</v>
      </c>
      <c r="S1423" s="108" t="s">
        <v>280</v>
      </c>
      <c r="T1423" s="108" t="s">
        <v>281</v>
      </c>
      <c r="U1423" s="108" t="s">
        <v>280</v>
      </c>
      <c r="V1423" s="108" t="s">
        <v>280</v>
      </c>
      <c r="W1423" s="108" t="s">
        <v>280</v>
      </c>
    </row>
    <row r="1424" spans="1:23" ht="21" customHeight="1" x14ac:dyDescent="0.15">
      <c r="A1424" s="207">
        <v>8024</v>
      </c>
      <c r="B1424" s="208" t="s">
        <v>268</v>
      </c>
      <c r="C1424" s="217" t="s">
        <v>1827</v>
      </c>
      <c r="D1424" s="218" t="s">
        <v>1827</v>
      </c>
      <c r="E1424" s="108" t="s">
        <v>709</v>
      </c>
      <c r="F1424" s="108" t="s">
        <v>532</v>
      </c>
      <c r="G1424" s="108" t="s">
        <v>853</v>
      </c>
      <c r="H1424" s="131" t="s">
        <v>1185</v>
      </c>
      <c r="I1424" s="216">
        <v>4</v>
      </c>
      <c r="J1424" s="109" t="s">
        <v>805</v>
      </c>
      <c r="K1424" s="105" t="s">
        <v>1392</v>
      </c>
      <c r="L1424" s="107" t="str">
        <f ca="1">VLOOKUP($K1424,OFFSET([1]character_type_i18n!$A$1,0,0,COUNTA([1]character_type_i18n!$A:$A),MATCH(L$1,[1]character_type_i18n!$1:$1,0)-MATCH($K$1,[1]character_type_i18n!$1:$1,0)+1),MATCH(L$1,[1]character_type_i18n!$1:$1,0)-MATCH($K$1,[1]character_type_i18n!$1:$1,0)+1,FALSE)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24" s="210" t="s">
        <v>1164</v>
      </c>
      <c r="N1424" s="165" t="str">
        <f>VLOOKUP(M1424,[1]character_tribe_i18n!A:C,3,FALSE)</f>
        <v>Unknown</v>
      </c>
      <c r="O1424" s="105" t="s">
        <v>278</v>
      </c>
      <c r="P1424" s="107" t="str">
        <f>VLOOKUP(O1424,[1]character_tribe_i18n!A:C,3,FALSE)</f>
        <v>種族なし</v>
      </c>
      <c r="Q1424" s="110" t="s">
        <v>279</v>
      </c>
      <c r="R1424" s="111">
        <v>1</v>
      </c>
      <c r="S1424" s="108" t="s">
        <v>280</v>
      </c>
      <c r="T1424" s="108" t="s">
        <v>281</v>
      </c>
      <c r="U1424" s="108" t="s">
        <v>280</v>
      </c>
      <c r="V1424" s="108" t="s">
        <v>280</v>
      </c>
      <c r="W1424" s="108" t="s">
        <v>280</v>
      </c>
    </row>
    <row r="1425" spans="1:23" ht="21" customHeight="1" x14ac:dyDescent="0.15">
      <c r="A1425" s="207">
        <v>8025</v>
      </c>
      <c r="B1425" s="208" t="s">
        <v>268</v>
      </c>
      <c r="C1425" s="217" t="s">
        <v>1829</v>
      </c>
      <c r="D1425" s="218" t="s">
        <v>1829</v>
      </c>
      <c r="E1425" s="108" t="s">
        <v>709</v>
      </c>
      <c r="F1425" s="108" t="s">
        <v>532</v>
      </c>
      <c r="G1425" s="108" t="s">
        <v>1822</v>
      </c>
      <c r="H1425" s="131" t="s">
        <v>3898</v>
      </c>
      <c r="I1425" s="216">
        <v>3</v>
      </c>
      <c r="J1425" s="109" t="s">
        <v>805</v>
      </c>
      <c r="K1425" s="105" t="s">
        <v>3566</v>
      </c>
      <c r="L1425" s="107" t="str">
        <f ca="1">VLOOKUP($K1425,OFFSET([1]character_type_i18n!$A$1,0,0,COUNTA([1]character_type_i18n!$A:$A),MATCH(L$1,[1]character_type_i18n!$1:$1,0)-MATCH($K$1,[1]character_type_i18n!$1:$1,0)+1),MATCH(L$1,[1]character_type_i18n!$1:$1,0)-MATCH($K$1,[1]character_type_i18n!$1:$1,0)+1,FALSE)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25" s="210" t="s">
        <v>1164</v>
      </c>
      <c r="N1425" s="165" t="str">
        <f>VLOOKUP(M1425,[1]character_tribe_i18n!A:C,3,FALSE)</f>
        <v>Unknown</v>
      </c>
      <c r="O1425" s="105" t="s">
        <v>278</v>
      </c>
      <c r="P1425" s="107" t="str">
        <f>VLOOKUP(O1425,[1]character_tribe_i18n!A:C,3,FALSE)</f>
        <v>種族なし</v>
      </c>
      <c r="Q1425" s="110" t="s">
        <v>279</v>
      </c>
      <c r="R1425" s="111">
        <v>1</v>
      </c>
      <c r="S1425" s="108" t="s">
        <v>280</v>
      </c>
      <c r="T1425" s="108" t="s">
        <v>281</v>
      </c>
      <c r="U1425" s="108" t="s">
        <v>280</v>
      </c>
      <c r="V1425" s="108" t="s">
        <v>280</v>
      </c>
      <c r="W1425" s="108" t="s">
        <v>280</v>
      </c>
    </row>
    <row r="1426" spans="1:23" ht="21" customHeight="1" x14ac:dyDescent="0.15">
      <c r="A1426" s="207">
        <f>A1425+1</f>
        <v>8026</v>
      </c>
      <c r="B1426" s="208" t="s">
        <v>268</v>
      </c>
      <c r="C1426" s="217" t="s">
        <v>1829</v>
      </c>
      <c r="D1426" s="218" t="s">
        <v>1829</v>
      </c>
      <c r="E1426" s="108" t="s">
        <v>709</v>
      </c>
      <c r="F1426" s="108" t="s">
        <v>532</v>
      </c>
      <c r="G1426" s="108" t="s">
        <v>1822</v>
      </c>
      <c r="H1426" s="131" t="s">
        <v>3898</v>
      </c>
      <c r="I1426" s="216">
        <v>4</v>
      </c>
      <c r="J1426" s="109" t="s">
        <v>805</v>
      </c>
      <c r="K1426" s="105" t="s">
        <v>3899</v>
      </c>
      <c r="L1426" s="107" t="str">
        <f ca="1">VLOOKUP($K1426,OFFSET([1]character_type_i18n!$A$1,0,0,COUNTA([1]character_type_i18n!$A:$A),MATCH(L$1,[1]character_type_i18n!$1:$1,0)-MATCH($K$1,[1]character_type_i18n!$1:$1,0)+1),MATCH(L$1,[1]character_type_i18n!$1:$1,0)-MATCH($K$1,[1]character_type_i18n!$1:$1,0)+1,FALSE)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26" s="210" t="s">
        <v>3900</v>
      </c>
      <c r="N1426" s="165" t="str">
        <f>VLOOKUP(M1426,[1]character_tribe_i18n!A:C,3,FALSE)</f>
        <v>Unknown</v>
      </c>
      <c r="O1426" s="105" t="s">
        <v>278</v>
      </c>
      <c r="P1426" s="107" t="str">
        <f>VLOOKUP(O1426,[1]character_tribe_i18n!A:C,3,FALSE)</f>
        <v>種族なし</v>
      </c>
      <c r="Q1426" s="110" t="s">
        <v>3901</v>
      </c>
      <c r="R1426" s="111">
        <v>1</v>
      </c>
      <c r="S1426" s="108" t="s">
        <v>3902</v>
      </c>
      <c r="T1426" s="108" t="s">
        <v>3903</v>
      </c>
      <c r="U1426" s="108" t="s">
        <v>3904</v>
      </c>
      <c r="V1426" s="108" t="s">
        <v>3904</v>
      </c>
      <c r="W1426" s="108" t="s">
        <v>3904</v>
      </c>
    </row>
    <row r="1427" spans="1:23" ht="21" customHeight="1" x14ac:dyDescent="0.15">
      <c r="A1427" s="207">
        <f t="shared" ref="A1427:A1472" si="17">A1426+1</f>
        <v>8027</v>
      </c>
      <c r="B1427" s="208" t="s">
        <v>268</v>
      </c>
      <c r="C1427" s="217" t="s">
        <v>1831</v>
      </c>
      <c r="D1427" s="218" t="s">
        <v>1831</v>
      </c>
      <c r="E1427" s="108" t="s">
        <v>709</v>
      </c>
      <c r="F1427" s="108" t="s">
        <v>532</v>
      </c>
      <c r="G1427" s="108" t="s">
        <v>853</v>
      </c>
      <c r="H1427" s="131" t="s">
        <v>1761</v>
      </c>
      <c r="I1427" s="216">
        <v>3</v>
      </c>
      <c r="J1427" s="109" t="s">
        <v>805</v>
      </c>
      <c r="K1427" s="105" t="s">
        <v>1311</v>
      </c>
      <c r="L1427" s="107" t="str">
        <f ca="1">VLOOKUP($K1427,OFFSET([1]character_type_i18n!$A$1,0,0,COUNTA([1]character_type_i18n!$A:$A),MATCH(L$1,[1]character_type_i18n!$1:$1,0)-MATCH($K$1,[1]character_type_i18n!$1:$1,0)+1),MATCH(L$1,[1]character_type_i18n!$1:$1,0)-MATCH($K$1,[1]character_type_i18n!$1:$1,0)+1,FALSE)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27" s="210" t="s">
        <v>1612</v>
      </c>
      <c r="N1427" s="165" t="str">
        <f>VLOOKUP(M1427,[1]character_tribe_i18n!A:C,3,FALSE)</f>
        <v>Unknown</v>
      </c>
      <c r="O1427" s="105" t="s">
        <v>278</v>
      </c>
      <c r="P1427" s="107" t="str">
        <f>VLOOKUP(O1427,[1]character_tribe_i18n!A:C,3,FALSE)</f>
        <v>種族なし</v>
      </c>
      <c r="Q1427" s="110" t="s">
        <v>279</v>
      </c>
      <c r="R1427" s="111">
        <v>1</v>
      </c>
      <c r="S1427" s="108" t="s">
        <v>280</v>
      </c>
      <c r="T1427" s="108" t="s">
        <v>281</v>
      </c>
      <c r="U1427" s="108" t="s">
        <v>280</v>
      </c>
      <c r="V1427" s="108" t="s">
        <v>280</v>
      </c>
      <c r="W1427" s="108" t="s">
        <v>280</v>
      </c>
    </row>
    <row r="1428" spans="1:23" ht="21" customHeight="1" x14ac:dyDescent="0.15">
      <c r="A1428" s="207">
        <f t="shared" si="17"/>
        <v>8028</v>
      </c>
      <c r="B1428" s="208" t="s">
        <v>268</v>
      </c>
      <c r="C1428" s="217" t="s">
        <v>1831</v>
      </c>
      <c r="D1428" s="218" t="s">
        <v>1831</v>
      </c>
      <c r="E1428" s="108" t="s">
        <v>709</v>
      </c>
      <c r="F1428" s="108" t="s">
        <v>532</v>
      </c>
      <c r="G1428" s="108" t="s">
        <v>853</v>
      </c>
      <c r="H1428" s="131" t="s">
        <v>1761</v>
      </c>
      <c r="I1428" s="216">
        <v>4</v>
      </c>
      <c r="J1428" s="109" t="s">
        <v>805</v>
      </c>
      <c r="K1428" s="105" t="s">
        <v>1311</v>
      </c>
      <c r="L1428" s="107" t="str">
        <f ca="1">VLOOKUP($K1428,OFFSET([1]character_type_i18n!$A$1,0,0,COUNTA([1]character_type_i18n!$A:$A),MATCH(L$1,[1]character_type_i18n!$1:$1,0)-MATCH($K$1,[1]character_type_i18n!$1:$1,0)+1),MATCH(L$1,[1]character_type_i18n!$1:$1,0)-MATCH($K$1,[1]character_type_i18n!$1:$1,0)+1,FALSE)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28" s="210" t="s">
        <v>1612</v>
      </c>
      <c r="N1428" s="165" t="str">
        <f>VLOOKUP(M1428,[1]character_tribe_i18n!A:C,3,FALSE)</f>
        <v>Unknown</v>
      </c>
      <c r="O1428" s="105" t="s">
        <v>278</v>
      </c>
      <c r="P1428" s="107" t="str">
        <f>VLOOKUP(O1428,[1]character_tribe_i18n!A:C,3,FALSE)</f>
        <v>種族なし</v>
      </c>
      <c r="Q1428" s="110" t="s">
        <v>279</v>
      </c>
      <c r="R1428" s="111">
        <v>1</v>
      </c>
      <c r="S1428" s="108" t="s">
        <v>280</v>
      </c>
      <c r="T1428" s="108" t="s">
        <v>281</v>
      </c>
      <c r="U1428" s="108" t="s">
        <v>280</v>
      </c>
      <c r="V1428" s="108" t="s">
        <v>280</v>
      </c>
      <c r="W1428" s="108" t="s">
        <v>280</v>
      </c>
    </row>
    <row r="1429" spans="1:23" ht="21" customHeight="1" x14ac:dyDescent="0.15">
      <c r="A1429" s="207">
        <f t="shared" si="17"/>
        <v>8029</v>
      </c>
      <c r="B1429" s="208" t="s">
        <v>268</v>
      </c>
      <c r="C1429" s="154" t="s">
        <v>3905</v>
      </c>
      <c r="D1429" s="157" t="s">
        <v>3905</v>
      </c>
      <c r="E1429" s="108" t="s">
        <v>709</v>
      </c>
      <c r="F1429" s="108" t="s">
        <v>532</v>
      </c>
      <c r="G1429" s="108" t="s">
        <v>853</v>
      </c>
      <c r="H1429" s="131" t="s">
        <v>1761</v>
      </c>
      <c r="I1429" s="140">
        <v>4</v>
      </c>
      <c r="J1429" s="130" t="s">
        <v>516</v>
      </c>
      <c r="K1429" s="105" t="s">
        <v>1221</v>
      </c>
      <c r="L1429" s="107" t="str">
        <f ca="1">VLOOKUP($K1429,OFFSET([1]character_type_i18n!$A$1,0,0,COUNTA([1]character_type_i18n!$A:$A),MATCH(L$1,[1]character_type_i18n!$1:$1,0)-MATCH($K$1,[1]character_type_i18n!$1:$1,0)+1),MATCH(L$1,[1]character_type_i18n!$1:$1,0)-MATCH($K$1,[1]character_type_i18n!$1:$1,0)+1,FALSE)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29" s="210" t="s">
        <v>1164</v>
      </c>
      <c r="N1429" s="165" t="str">
        <f>VLOOKUP(M1429,[1]character_tribe_i18n!A:C,3,FALSE)</f>
        <v>Unknown</v>
      </c>
      <c r="O1429" s="105" t="s">
        <v>278</v>
      </c>
      <c r="P1429" s="107" t="str">
        <f>VLOOKUP(O1429,[1]character_tribe_i18n!A:C,3,FALSE)</f>
        <v>種族なし</v>
      </c>
      <c r="Q1429" s="110" t="s">
        <v>279</v>
      </c>
      <c r="R1429" s="111">
        <v>1</v>
      </c>
      <c r="S1429" s="108" t="s">
        <v>280</v>
      </c>
      <c r="T1429" s="108" t="s">
        <v>281</v>
      </c>
      <c r="U1429" s="108" t="s">
        <v>280</v>
      </c>
      <c r="V1429" s="108" t="s">
        <v>280</v>
      </c>
      <c r="W1429" s="108" t="s">
        <v>280</v>
      </c>
    </row>
    <row r="1430" spans="1:23" ht="21" customHeight="1" x14ac:dyDescent="0.15">
      <c r="A1430" s="207">
        <f t="shared" si="17"/>
        <v>8030</v>
      </c>
      <c r="B1430" s="208" t="s">
        <v>268</v>
      </c>
      <c r="C1430" s="154" t="s">
        <v>3905</v>
      </c>
      <c r="D1430" s="157" t="s">
        <v>3905</v>
      </c>
      <c r="E1430" s="108" t="s">
        <v>709</v>
      </c>
      <c r="F1430" s="108" t="s">
        <v>532</v>
      </c>
      <c r="G1430" s="108" t="s">
        <v>853</v>
      </c>
      <c r="H1430" s="131" t="s">
        <v>1761</v>
      </c>
      <c r="I1430" s="140">
        <v>5</v>
      </c>
      <c r="J1430" s="130" t="s">
        <v>516</v>
      </c>
      <c r="K1430" s="105" t="s">
        <v>1221</v>
      </c>
      <c r="L1430" s="107" t="str">
        <f ca="1">VLOOKUP($K1430,OFFSET([1]character_type_i18n!$A$1,0,0,COUNTA([1]character_type_i18n!$A:$A),MATCH(L$1,[1]character_type_i18n!$1:$1,0)-MATCH($K$1,[1]character_type_i18n!$1:$1,0)+1),MATCH(L$1,[1]character_type_i18n!$1:$1,0)-MATCH($K$1,[1]character_type_i18n!$1:$1,0)+1,FALSE)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30" s="210" t="s">
        <v>1164</v>
      </c>
      <c r="N1430" s="165" t="str">
        <f>VLOOKUP(M1430,[1]character_tribe_i18n!A:C,3,FALSE)</f>
        <v>Unknown</v>
      </c>
      <c r="O1430" s="105" t="s">
        <v>278</v>
      </c>
      <c r="P1430" s="107" t="str">
        <f>VLOOKUP(O1430,[1]character_tribe_i18n!A:C,3,FALSE)</f>
        <v>種族なし</v>
      </c>
      <c r="Q1430" s="110" t="s">
        <v>279</v>
      </c>
      <c r="R1430" s="111">
        <v>1</v>
      </c>
      <c r="S1430" s="108" t="s">
        <v>280</v>
      </c>
      <c r="T1430" s="108" t="s">
        <v>281</v>
      </c>
      <c r="U1430" s="108" t="s">
        <v>280</v>
      </c>
      <c r="V1430" s="108" t="s">
        <v>280</v>
      </c>
      <c r="W1430" s="108" t="s">
        <v>280</v>
      </c>
    </row>
    <row r="1431" spans="1:23" ht="21" customHeight="1" x14ac:dyDescent="0.15">
      <c r="A1431" s="207">
        <f t="shared" si="17"/>
        <v>8031</v>
      </c>
      <c r="B1431" s="208" t="s">
        <v>268</v>
      </c>
      <c r="C1431" s="133" t="s">
        <v>3906</v>
      </c>
      <c r="D1431" s="157" t="s">
        <v>3905</v>
      </c>
      <c r="E1431" s="108" t="s">
        <v>709</v>
      </c>
      <c r="F1431" s="108" t="s">
        <v>532</v>
      </c>
      <c r="G1431" s="108" t="s">
        <v>853</v>
      </c>
      <c r="H1431" s="131" t="s">
        <v>1185</v>
      </c>
      <c r="I1431" s="140">
        <v>5</v>
      </c>
      <c r="J1431" s="130" t="s">
        <v>1220</v>
      </c>
      <c r="K1431" s="105" t="s">
        <v>1388</v>
      </c>
      <c r="L1431" s="107" t="str">
        <f ca="1">VLOOKUP($K1431,OFFSET([1]character_type_i18n!$A$1,0,0,COUNTA([1]character_type_i18n!$A:$A),MATCH(L$1,[1]character_type_i18n!$1:$1,0)-MATCH($K$1,[1]character_type_i18n!$1:$1,0)+1),MATCH(L$1,[1]character_type_i18n!$1:$1,0)-MATCH($K$1,[1]character_type_i18n!$1:$1,0)+1,FALSE)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31" s="210" t="s">
        <v>1018</v>
      </c>
      <c r="N1431" s="165" t="str">
        <f>VLOOKUP(M1431,[1]character_tribe_i18n!A:C,3,FALSE)</f>
        <v>ゴッド</v>
      </c>
      <c r="O1431" s="105" t="s">
        <v>1017</v>
      </c>
      <c r="P1431" s="107" t="str">
        <f>VLOOKUP(O1431,[1]character_tribe_i18n!A:C,3,FALSE)</f>
        <v>マシン</v>
      </c>
      <c r="Q1431" s="110" t="s">
        <v>279</v>
      </c>
      <c r="R1431" s="111">
        <v>1</v>
      </c>
      <c r="S1431" s="108" t="s">
        <v>280</v>
      </c>
      <c r="T1431" s="108" t="s">
        <v>281</v>
      </c>
      <c r="U1431" s="108" t="s">
        <v>280</v>
      </c>
      <c r="V1431" s="108" t="s">
        <v>280</v>
      </c>
      <c r="W1431" s="108" t="s">
        <v>280</v>
      </c>
    </row>
    <row r="1432" spans="1:23" ht="21" customHeight="1" x14ac:dyDescent="0.15">
      <c r="A1432" s="207">
        <f t="shared" si="17"/>
        <v>8032</v>
      </c>
      <c r="B1432" s="208" t="s">
        <v>268</v>
      </c>
      <c r="C1432" s="133" t="s">
        <v>3907</v>
      </c>
      <c r="D1432" s="157" t="s">
        <v>3905</v>
      </c>
      <c r="E1432" s="108" t="s">
        <v>709</v>
      </c>
      <c r="F1432" s="108" t="s">
        <v>532</v>
      </c>
      <c r="G1432" s="108" t="s">
        <v>853</v>
      </c>
      <c r="H1432" s="131" t="s">
        <v>1185</v>
      </c>
      <c r="I1432" s="140">
        <v>6</v>
      </c>
      <c r="J1432" s="130" t="s">
        <v>1220</v>
      </c>
      <c r="K1432" s="105" t="s">
        <v>1388</v>
      </c>
      <c r="L1432" s="107" t="str">
        <f ca="1">VLOOKUP($K1432,OFFSET([1]character_type_i18n!$A$1,0,0,COUNTA([1]character_type_i18n!$A:$A),MATCH(L$1,[1]character_type_i18n!$1:$1,0)-MATCH($K$1,[1]character_type_i18n!$1:$1,0)+1),MATCH(L$1,[1]character_type_i18n!$1:$1,0)-MATCH($K$1,[1]character_type_i18n!$1:$1,0)+1,FALSE)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32" s="210" t="s">
        <v>1018</v>
      </c>
      <c r="N1432" s="165" t="str">
        <f>VLOOKUP(M1432,[1]character_tribe_i18n!A:C,3,FALSE)</f>
        <v>ゴッド</v>
      </c>
      <c r="O1432" s="105" t="s">
        <v>1017</v>
      </c>
      <c r="P1432" s="107" t="str">
        <f>VLOOKUP(O1432,[1]character_tribe_i18n!A:C,3,FALSE)</f>
        <v>マシン</v>
      </c>
      <c r="Q1432" s="110" t="s">
        <v>279</v>
      </c>
      <c r="R1432" s="111">
        <v>1</v>
      </c>
      <c r="S1432" s="108" t="s">
        <v>280</v>
      </c>
      <c r="T1432" s="108" t="s">
        <v>281</v>
      </c>
      <c r="U1432" s="108" t="s">
        <v>280</v>
      </c>
      <c r="V1432" s="108" t="s">
        <v>280</v>
      </c>
      <c r="W1432" s="108" t="s">
        <v>280</v>
      </c>
    </row>
    <row r="1433" spans="1:23" ht="21" customHeight="1" x14ac:dyDescent="0.15">
      <c r="A1433" s="207">
        <f t="shared" si="17"/>
        <v>8033</v>
      </c>
      <c r="B1433" s="208" t="s">
        <v>268</v>
      </c>
      <c r="C1433" s="133" t="s">
        <v>3908</v>
      </c>
      <c r="D1433" s="157" t="s">
        <v>3905</v>
      </c>
      <c r="E1433" s="108" t="s">
        <v>709</v>
      </c>
      <c r="F1433" s="108" t="s">
        <v>532</v>
      </c>
      <c r="G1433" s="108" t="s">
        <v>853</v>
      </c>
      <c r="H1433" s="131" t="s">
        <v>1617</v>
      </c>
      <c r="I1433" s="140">
        <v>5</v>
      </c>
      <c r="J1433" s="130" t="s">
        <v>1618</v>
      </c>
      <c r="K1433" s="105" t="s">
        <v>1392</v>
      </c>
      <c r="L1433" s="107" t="str">
        <f ca="1">VLOOKUP($K1433,OFFSET([1]character_type_i18n!$A$1,0,0,COUNTA([1]character_type_i18n!$A:$A),MATCH(L$1,[1]character_type_i18n!$1:$1,0)-MATCH($K$1,[1]character_type_i18n!$1:$1,0)+1),MATCH(L$1,[1]character_type_i18n!$1:$1,0)-MATCH($K$1,[1]character_type_i18n!$1:$1,0)+1,FALSE)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33" s="210" t="s">
        <v>1018</v>
      </c>
      <c r="N1433" s="165" t="str">
        <f>VLOOKUP(M1433,[1]character_tribe_i18n!A:C,3,FALSE)</f>
        <v>ゴッド</v>
      </c>
      <c r="O1433" s="105" t="s">
        <v>313</v>
      </c>
      <c r="P1433" s="107" t="str">
        <f>VLOOKUP(O1433,[1]character_tribe_i18n!A:C,3,FALSE)</f>
        <v>アニマル</v>
      </c>
      <c r="Q1433" s="110" t="s">
        <v>279</v>
      </c>
      <c r="R1433" s="111">
        <v>1</v>
      </c>
      <c r="S1433" s="108" t="s">
        <v>280</v>
      </c>
      <c r="T1433" s="108" t="s">
        <v>281</v>
      </c>
      <c r="U1433" s="108" t="s">
        <v>280</v>
      </c>
      <c r="V1433" s="108" t="s">
        <v>280</v>
      </c>
      <c r="W1433" s="108" t="s">
        <v>280</v>
      </c>
    </row>
    <row r="1434" spans="1:23" ht="21" customHeight="1" x14ac:dyDescent="0.15">
      <c r="A1434" s="207">
        <f t="shared" si="17"/>
        <v>8034</v>
      </c>
      <c r="B1434" s="208" t="s">
        <v>268</v>
      </c>
      <c r="C1434" s="133" t="s">
        <v>3909</v>
      </c>
      <c r="D1434" s="157" t="s">
        <v>3905</v>
      </c>
      <c r="E1434" s="108" t="s">
        <v>709</v>
      </c>
      <c r="F1434" s="108" t="s">
        <v>532</v>
      </c>
      <c r="G1434" s="108" t="s">
        <v>853</v>
      </c>
      <c r="H1434" s="131" t="s">
        <v>1617</v>
      </c>
      <c r="I1434" s="140">
        <v>6</v>
      </c>
      <c r="J1434" s="130" t="s">
        <v>1504</v>
      </c>
      <c r="K1434" s="105" t="s">
        <v>1392</v>
      </c>
      <c r="L1434" s="107" t="str">
        <f ca="1">VLOOKUP($K1434,OFFSET([1]character_type_i18n!$A$1,0,0,COUNTA([1]character_type_i18n!$A:$A),MATCH(L$1,[1]character_type_i18n!$1:$1,0)-MATCH($K$1,[1]character_type_i18n!$1:$1,0)+1),MATCH(L$1,[1]character_type_i18n!$1:$1,0)-MATCH($K$1,[1]character_type_i18n!$1:$1,0)+1,FALSE)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34" s="210" t="s">
        <v>1018</v>
      </c>
      <c r="N1434" s="165" t="str">
        <f>VLOOKUP(M1434,[1]character_tribe_i18n!A:C,3,FALSE)</f>
        <v>ゴッド</v>
      </c>
      <c r="O1434" s="105" t="s">
        <v>313</v>
      </c>
      <c r="P1434" s="107" t="str">
        <f>VLOOKUP(O1434,[1]character_tribe_i18n!A:C,3,FALSE)</f>
        <v>アニマル</v>
      </c>
      <c r="Q1434" s="110" t="s">
        <v>279</v>
      </c>
      <c r="R1434" s="111">
        <v>1</v>
      </c>
      <c r="S1434" s="108" t="s">
        <v>280</v>
      </c>
      <c r="T1434" s="108" t="s">
        <v>281</v>
      </c>
      <c r="U1434" s="108" t="s">
        <v>280</v>
      </c>
      <c r="V1434" s="108" t="s">
        <v>280</v>
      </c>
      <c r="W1434" s="108" t="s">
        <v>280</v>
      </c>
    </row>
    <row r="1435" spans="1:23" ht="21" customHeight="1" x14ac:dyDescent="0.15">
      <c r="A1435" s="207">
        <f t="shared" si="17"/>
        <v>8035</v>
      </c>
      <c r="B1435" s="208" t="s">
        <v>268</v>
      </c>
      <c r="C1435" s="133" t="s">
        <v>3910</v>
      </c>
      <c r="D1435" s="157" t="s">
        <v>3905</v>
      </c>
      <c r="E1435" s="108" t="s">
        <v>709</v>
      </c>
      <c r="F1435" s="108" t="s">
        <v>532</v>
      </c>
      <c r="G1435" s="108" t="s">
        <v>853</v>
      </c>
      <c r="H1435" s="131" t="s">
        <v>1761</v>
      </c>
      <c r="I1435" s="140">
        <v>5</v>
      </c>
      <c r="J1435" s="130" t="s">
        <v>1220</v>
      </c>
      <c r="K1435" s="105" t="s">
        <v>1221</v>
      </c>
      <c r="L1435" s="107" t="str">
        <f ca="1">VLOOKUP($K1435,OFFSET([1]character_type_i18n!$A$1,0,0,COUNTA([1]character_type_i18n!$A:$A),MATCH(L$1,[1]character_type_i18n!$1:$1,0)-MATCH($K$1,[1]character_type_i18n!$1:$1,0)+1),MATCH(L$1,[1]character_type_i18n!$1:$1,0)-MATCH($K$1,[1]character_type_i18n!$1:$1,0)+1,FALSE)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35" s="210" t="s">
        <v>1011</v>
      </c>
      <c r="N1435" s="165" t="str">
        <f>VLOOKUP(M1435,[1]character_tribe_i18n!A:C,3,FALSE)</f>
        <v>ヒューマン</v>
      </c>
      <c r="O1435" s="105" t="s">
        <v>278</v>
      </c>
      <c r="P1435" s="107" t="str">
        <f>VLOOKUP(O1435,[1]character_tribe_i18n!A:C,3,FALSE)</f>
        <v>種族なし</v>
      </c>
      <c r="Q1435" s="110" t="s">
        <v>279</v>
      </c>
      <c r="R1435" s="111">
        <v>1</v>
      </c>
      <c r="S1435" s="108" t="s">
        <v>280</v>
      </c>
      <c r="T1435" s="108" t="s">
        <v>281</v>
      </c>
      <c r="U1435" s="108" t="s">
        <v>280</v>
      </c>
      <c r="V1435" s="108" t="s">
        <v>280</v>
      </c>
      <c r="W1435" s="108" t="s">
        <v>280</v>
      </c>
    </row>
    <row r="1436" spans="1:23" ht="21" customHeight="1" x14ac:dyDescent="0.15">
      <c r="A1436" s="207">
        <f t="shared" si="17"/>
        <v>8036</v>
      </c>
      <c r="B1436" s="208" t="s">
        <v>268</v>
      </c>
      <c r="C1436" s="133" t="s">
        <v>3911</v>
      </c>
      <c r="D1436" s="157" t="s">
        <v>3905</v>
      </c>
      <c r="E1436" s="108" t="s">
        <v>709</v>
      </c>
      <c r="F1436" s="108" t="s">
        <v>532</v>
      </c>
      <c r="G1436" s="108" t="s">
        <v>853</v>
      </c>
      <c r="H1436" s="131" t="s">
        <v>1761</v>
      </c>
      <c r="I1436" s="140">
        <v>6</v>
      </c>
      <c r="J1436" s="130" t="s">
        <v>1220</v>
      </c>
      <c r="K1436" s="105" t="s">
        <v>1221</v>
      </c>
      <c r="L1436" s="107" t="str">
        <f ca="1">VLOOKUP($K1436,OFFSET([1]character_type_i18n!$A$1,0,0,COUNTA([1]character_type_i18n!$A:$A),MATCH(L$1,[1]character_type_i18n!$1:$1,0)-MATCH($K$1,[1]character_type_i18n!$1:$1,0)+1),MATCH(L$1,[1]character_type_i18n!$1:$1,0)-MATCH($K$1,[1]character_type_i18n!$1:$1,0)+1,FALSE)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36" s="210" t="s">
        <v>1011</v>
      </c>
      <c r="N1436" s="165" t="str">
        <f>VLOOKUP(M1436,[1]character_tribe_i18n!A:C,3,FALSE)</f>
        <v>ヒューマン</v>
      </c>
      <c r="O1436" s="105" t="s">
        <v>278</v>
      </c>
      <c r="P1436" s="107" t="str">
        <f>VLOOKUP(O1436,[1]character_tribe_i18n!A:C,3,FALSE)</f>
        <v>種族なし</v>
      </c>
      <c r="Q1436" s="110" t="s">
        <v>279</v>
      </c>
      <c r="R1436" s="111">
        <v>1</v>
      </c>
      <c r="S1436" s="108" t="s">
        <v>280</v>
      </c>
      <c r="T1436" s="108" t="s">
        <v>281</v>
      </c>
      <c r="U1436" s="108" t="s">
        <v>280</v>
      </c>
      <c r="V1436" s="108" t="s">
        <v>280</v>
      </c>
      <c r="W1436" s="108" t="s">
        <v>280</v>
      </c>
    </row>
    <row r="1437" spans="1:23" ht="21" customHeight="1" x14ac:dyDescent="0.15">
      <c r="A1437" s="207">
        <f t="shared" si="17"/>
        <v>8037</v>
      </c>
      <c r="B1437" s="208" t="s">
        <v>268</v>
      </c>
      <c r="C1437" s="133" t="s">
        <v>3912</v>
      </c>
      <c r="D1437" s="157" t="s">
        <v>3905</v>
      </c>
      <c r="E1437" s="108" t="s">
        <v>709</v>
      </c>
      <c r="F1437" s="108" t="s">
        <v>532</v>
      </c>
      <c r="G1437" s="108" t="s">
        <v>853</v>
      </c>
      <c r="H1437" s="131" t="s">
        <v>274</v>
      </c>
      <c r="I1437" s="140">
        <v>5</v>
      </c>
      <c r="J1437" s="130" t="s">
        <v>1618</v>
      </c>
      <c r="K1437" s="105" t="s">
        <v>1392</v>
      </c>
      <c r="L1437" s="107" t="str">
        <f ca="1">VLOOKUP($K1437,OFFSET([1]character_type_i18n!$A$1,0,0,COUNTA([1]character_type_i18n!$A:$A),MATCH(L$1,[1]character_type_i18n!$1:$1,0)-MATCH($K$1,[1]character_type_i18n!$1:$1,0)+1),MATCH(L$1,[1]character_type_i18n!$1:$1,0)-MATCH($K$1,[1]character_type_i18n!$1:$1,0)+1,FALSE)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37" s="210" t="s">
        <v>1011</v>
      </c>
      <c r="N1437" s="165" t="str">
        <f>VLOOKUP(M1437,[1]character_tribe_i18n!A:C,3,FALSE)</f>
        <v>ヒューマン</v>
      </c>
      <c r="O1437" s="105" t="s">
        <v>1017</v>
      </c>
      <c r="P1437" s="107" t="str">
        <f>VLOOKUP(O1437,[1]character_tribe_i18n!A:C,3,FALSE)</f>
        <v>マシン</v>
      </c>
      <c r="Q1437" s="110" t="s">
        <v>279</v>
      </c>
      <c r="R1437" s="111">
        <v>1</v>
      </c>
      <c r="S1437" s="108" t="s">
        <v>280</v>
      </c>
      <c r="T1437" s="108" t="s">
        <v>281</v>
      </c>
      <c r="U1437" s="108" t="s">
        <v>280</v>
      </c>
      <c r="V1437" s="108" t="s">
        <v>280</v>
      </c>
      <c r="W1437" s="108" t="s">
        <v>280</v>
      </c>
    </row>
    <row r="1438" spans="1:23" ht="21" customHeight="1" x14ac:dyDescent="0.15">
      <c r="A1438" s="207">
        <f t="shared" si="17"/>
        <v>8038</v>
      </c>
      <c r="B1438" s="208" t="s">
        <v>268</v>
      </c>
      <c r="C1438" s="133" t="s">
        <v>3913</v>
      </c>
      <c r="D1438" s="157" t="s">
        <v>3905</v>
      </c>
      <c r="E1438" s="108" t="s">
        <v>709</v>
      </c>
      <c r="F1438" s="108" t="s">
        <v>532</v>
      </c>
      <c r="G1438" s="108" t="s">
        <v>853</v>
      </c>
      <c r="H1438" s="131" t="s">
        <v>274</v>
      </c>
      <c r="I1438" s="140">
        <v>6</v>
      </c>
      <c r="J1438" s="130" t="s">
        <v>1618</v>
      </c>
      <c r="K1438" s="105" t="s">
        <v>1392</v>
      </c>
      <c r="L1438" s="107" t="str">
        <f ca="1">VLOOKUP($K1438,OFFSET([1]character_type_i18n!$A$1,0,0,COUNTA([1]character_type_i18n!$A:$A),MATCH(L$1,[1]character_type_i18n!$1:$1,0)-MATCH($K$1,[1]character_type_i18n!$1:$1,0)+1),MATCH(L$1,[1]character_type_i18n!$1:$1,0)-MATCH($K$1,[1]character_type_i18n!$1:$1,0)+1,FALSE)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38" s="210" t="s">
        <v>1011</v>
      </c>
      <c r="N1438" s="165" t="str">
        <f>VLOOKUP(M1438,[1]character_tribe_i18n!A:C,3,FALSE)</f>
        <v>ヒューマン</v>
      </c>
      <c r="O1438" s="105" t="s">
        <v>1017</v>
      </c>
      <c r="P1438" s="107" t="str">
        <f>VLOOKUP(O1438,[1]character_tribe_i18n!A:C,3,FALSE)</f>
        <v>マシン</v>
      </c>
      <c r="Q1438" s="110" t="s">
        <v>279</v>
      </c>
      <c r="R1438" s="111">
        <v>1</v>
      </c>
      <c r="S1438" s="108" t="s">
        <v>280</v>
      </c>
      <c r="T1438" s="108" t="s">
        <v>281</v>
      </c>
      <c r="U1438" s="108" t="s">
        <v>280</v>
      </c>
      <c r="V1438" s="108" t="s">
        <v>280</v>
      </c>
      <c r="W1438" s="108" t="s">
        <v>280</v>
      </c>
    </row>
    <row r="1439" spans="1:23" ht="21" customHeight="1" x14ac:dyDescent="0.15">
      <c r="A1439" s="207">
        <f t="shared" si="17"/>
        <v>8039</v>
      </c>
      <c r="B1439" s="208" t="s">
        <v>268</v>
      </c>
      <c r="C1439" s="133" t="s">
        <v>3914</v>
      </c>
      <c r="D1439" s="157" t="s">
        <v>3905</v>
      </c>
      <c r="E1439" s="108" t="s">
        <v>709</v>
      </c>
      <c r="F1439" s="108" t="s">
        <v>532</v>
      </c>
      <c r="G1439" s="108" t="s">
        <v>853</v>
      </c>
      <c r="H1439" s="131" t="s">
        <v>300</v>
      </c>
      <c r="I1439" s="140">
        <v>5</v>
      </c>
      <c r="J1439" s="130" t="s">
        <v>3915</v>
      </c>
      <c r="K1439" s="105" t="s">
        <v>1252</v>
      </c>
      <c r="L1439" s="107" t="str">
        <f ca="1">VLOOKUP($K1439,OFFSET([1]character_type_i18n!$A$1,0,0,COUNTA([1]character_type_i18n!$A:$A),MATCH(L$1,[1]character_type_i18n!$1:$1,0)-MATCH($K$1,[1]character_type_i18n!$1:$1,0)+1),MATCH(L$1,[1]character_type_i18n!$1:$1,0)-MATCH($K$1,[1]character_type_i18n!$1:$1,0)+1,FALSE)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39" s="210" t="s">
        <v>1018</v>
      </c>
      <c r="N1439" s="165" t="str">
        <f>VLOOKUP(M1439,[1]character_tribe_i18n!A:C,3,FALSE)</f>
        <v>ゴッド</v>
      </c>
      <c r="O1439" s="105" t="s">
        <v>278</v>
      </c>
      <c r="P1439" s="107" t="str">
        <f>VLOOKUP(O1439,[1]character_tribe_i18n!A:C,3,FALSE)</f>
        <v>種族なし</v>
      </c>
      <c r="Q1439" s="110" t="s">
        <v>279</v>
      </c>
      <c r="R1439" s="111">
        <v>1</v>
      </c>
      <c r="S1439" s="108" t="s">
        <v>280</v>
      </c>
      <c r="T1439" s="108" t="s">
        <v>281</v>
      </c>
      <c r="U1439" s="108" t="s">
        <v>280</v>
      </c>
      <c r="V1439" s="108" t="s">
        <v>280</v>
      </c>
      <c r="W1439" s="108" t="s">
        <v>280</v>
      </c>
    </row>
    <row r="1440" spans="1:23" ht="21" customHeight="1" x14ac:dyDescent="0.15">
      <c r="A1440" s="207">
        <f t="shared" si="17"/>
        <v>8040</v>
      </c>
      <c r="B1440" s="208" t="s">
        <v>268</v>
      </c>
      <c r="C1440" s="133" t="s">
        <v>3916</v>
      </c>
      <c r="D1440" s="157" t="s">
        <v>3905</v>
      </c>
      <c r="E1440" s="108" t="s">
        <v>709</v>
      </c>
      <c r="F1440" s="108" t="s">
        <v>532</v>
      </c>
      <c r="G1440" s="108" t="s">
        <v>853</v>
      </c>
      <c r="H1440" s="131" t="s">
        <v>300</v>
      </c>
      <c r="I1440" s="140">
        <v>6</v>
      </c>
      <c r="J1440" s="130" t="s">
        <v>3915</v>
      </c>
      <c r="K1440" s="105" t="s">
        <v>1252</v>
      </c>
      <c r="L1440" s="107" t="str">
        <f ca="1">VLOOKUP($K1440,OFFSET([1]character_type_i18n!$A$1,0,0,COUNTA([1]character_type_i18n!$A:$A),MATCH(L$1,[1]character_type_i18n!$1:$1,0)-MATCH($K$1,[1]character_type_i18n!$1:$1,0)+1),MATCH(L$1,[1]character_type_i18n!$1:$1,0)-MATCH($K$1,[1]character_type_i18n!$1:$1,0)+1,FALSE)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40" s="210" t="s">
        <v>1018</v>
      </c>
      <c r="N1440" s="165" t="str">
        <f>VLOOKUP(M1440,[1]character_tribe_i18n!A:C,3,FALSE)</f>
        <v>ゴッド</v>
      </c>
      <c r="O1440" s="105" t="s">
        <v>278</v>
      </c>
      <c r="P1440" s="107" t="str">
        <f>VLOOKUP(O1440,[1]character_tribe_i18n!A:C,3,FALSE)</f>
        <v>種族なし</v>
      </c>
      <c r="Q1440" s="110" t="s">
        <v>279</v>
      </c>
      <c r="R1440" s="111">
        <v>1</v>
      </c>
      <c r="S1440" s="108" t="s">
        <v>280</v>
      </c>
      <c r="T1440" s="108" t="s">
        <v>281</v>
      </c>
      <c r="U1440" s="108" t="s">
        <v>280</v>
      </c>
      <c r="V1440" s="108" t="s">
        <v>280</v>
      </c>
      <c r="W1440" s="108" t="s">
        <v>280</v>
      </c>
    </row>
    <row r="1441" spans="1:23" ht="21" customHeight="1" x14ac:dyDescent="0.15">
      <c r="A1441" s="207">
        <f t="shared" si="17"/>
        <v>8041</v>
      </c>
      <c r="B1441" s="208" t="s">
        <v>268</v>
      </c>
      <c r="C1441" s="133" t="s">
        <v>3917</v>
      </c>
      <c r="D1441" s="157" t="s">
        <v>3905</v>
      </c>
      <c r="E1441" s="108" t="s">
        <v>709</v>
      </c>
      <c r="F1441" s="108" t="s">
        <v>532</v>
      </c>
      <c r="G1441" s="108" t="s">
        <v>853</v>
      </c>
      <c r="H1441" s="131" t="s">
        <v>1761</v>
      </c>
      <c r="I1441" s="140">
        <v>5</v>
      </c>
      <c r="J1441" s="130" t="s">
        <v>1618</v>
      </c>
      <c r="K1441" s="105" t="s">
        <v>1388</v>
      </c>
      <c r="L1441" s="107" t="str">
        <f ca="1">VLOOKUP($K1441,OFFSET([1]character_type_i18n!$A$1,0,0,COUNTA([1]character_type_i18n!$A:$A),MATCH(L$1,[1]character_type_i18n!$1:$1,0)-MATCH($K$1,[1]character_type_i18n!$1:$1,0)+1),MATCH(L$1,[1]character_type_i18n!$1:$1,0)-MATCH($K$1,[1]character_type_i18n!$1:$1,0)+1,FALSE)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41" s="210" t="s">
        <v>1018</v>
      </c>
      <c r="N1441" s="165" t="str">
        <f>VLOOKUP(M1441,[1]character_tribe_i18n!A:C,3,FALSE)</f>
        <v>ゴッド</v>
      </c>
      <c r="O1441" s="105" t="s">
        <v>278</v>
      </c>
      <c r="P1441" s="107" t="str">
        <f>VLOOKUP(O1441,[1]character_tribe_i18n!A:C,3,FALSE)</f>
        <v>種族なし</v>
      </c>
      <c r="Q1441" s="110" t="s">
        <v>279</v>
      </c>
      <c r="R1441" s="111">
        <v>1</v>
      </c>
      <c r="S1441" s="108" t="s">
        <v>280</v>
      </c>
      <c r="T1441" s="108" t="s">
        <v>281</v>
      </c>
      <c r="U1441" s="108" t="s">
        <v>280</v>
      </c>
      <c r="V1441" s="108" t="s">
        <v>280</v>
      </c>
      <c r="W1441" s="108" t="s">
        <v>280</v>
      </c>
    </row>
    <row r="1442" spans="1:23" ht="21" customHeight="1" x14ac:dyDescent="0.15">
      <c r="A1442" s="207">
        <f t="shared" si="17"/>
        <v>8042</v>
      </c>
      <c r="B1442" s="208" t="s">
        <v>268</v>
      </c>
      <c r="C1442" s="133" t="s">
        <v>3918</v>
      </c>
      <c r="D1442" s="157" t="s">
        <v>3905</v>
      </c>
      <c r="E1442" s="108" t="s">
        <v>709</v>
      </c>
      <c r="F1442" s="108" t="s">
        <v>532</v>
      </c>
      <c r="G1442" s="108" t="s">
        <v>853</v>
      </c>
      <c r="H1442" s="131" t="s">
        <v>1761</v>
      </c>
      <c r="I1442" s="140">
        <v>6</v>
      </c>
      <c r="J1442" s="130" t="s">
        <v>1618</v>
      </c>
      <c r="K1442" s="105" t="s">
        <v>1388</v>
      </c>
      <c r="L1442" s="107" t="str">
        <f ca="1">VLOOKUP($K1442,OFFSET([1]character_type_i18n!$A$1,0,0,COUNTA([1]character_type_i18n!$A:$A),MATCH(L$1,[1]character_type_i18n!$1:$1,0)-MATCH($K$1,[1]character_type_i18n!$1:$1,0)+1),MATCH(L$1,[1]character_type_i18n!$1:$1,0)-MATCH($K$1,[1]character_type_i18n!$1:$1,0)+1,FALSE)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42" s="210" t="s">
        <v>1018</v>
      </c>
      <c r="N1442" s="165" t="str">
        <f>VLOOKUP(M1442,[1]character_tribe_i18n!A:C,3,FALSE)</f>
        <v>ゴッド</v>
      </c>
      <c r="O1442" s="105" t="s">
        <v>278</v>
      </c>
      <c r="P1442" s="107" t="str">
        <f>VLOOKUP(O1442,[1]character_tribe_i18n!A:C,3,FALSE)</f>
        <v>種族なし</v>
      </c>
      <c r="Q1442" s="110" t="s">
        <v>279</v>
      </c>
      <c r="R1442" s="111">
        <v>1</v>
      </c>
      <c r="S1442" s="108" t="s">
        <v>280</v>
      </c>
      <c r="T1442" s="108" t="s">
        <v>281</v>
      </c>
      <c r="U1442" s="108" t="s">
        <v>280</v>
      </c>
      <c r="V1442" s="108" t="s">
        <v>280</v>
      </c>
      <c r="W1442" s="108" t="s">
        <v>280</v>
      </c>
    </row>
    <row r="1443" spans="1:23" ht="21" customHeight="1" x14ac:dyDescent="0.15">
      <c r="A1443" s="207">
        <f t="shared" si="17"/>
        <v>8043</v>
      </c>
      <c r="B1443" s="208" t="s">
        <v>268</v>
      </c>
      <c r="C1443" s="133" t="s">
        <v>3919</v>
      </c>
      <c r="D1443" s="219" t="s">
        <v>3919</v>
      </c>
      <c r="E1443" s="108" t="s">
        <v>709</v>
      </c>
      <c r="F1443" s="108" t="s">
        <v>532</v>
      </c>
      <c r="G1443" s="108" t="s">
        <v>853</v>
      </c>
      <c r="H1443" s="131" t="s">
        <v>1617</v>
      </c>
      <c r="I1443" s="117">
        <v>5</v>
      </c>
      <c r="J1443" s="109" t="s">
        <v>1618</v>
      </c>
      <c r="K1443" s="105" t="s">
        <v>1311</v>
      </c>
      <c r="L1443" s="107" t="str">
        <f ca="1">VLOOKUP($K1443,OFFSET([1]character_type_i18n!$A$1,0,0,COUNTA([1]character_type_i18n!$A:$A),MATCH(L$1,[1]character_type_i18n!$1:$1,0)-MATCH($K$1,[1]character_type_i18n!$1:$1,0)+1),MATCH(L$1,[1]character_type_i18n!$1:$1,0)-MATCH($K$1,[1]character_type_i18n!$1:$1,0)+1,FALSE)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43" s="105" t="s">
        <v>3920</v>
      </c>
      <c r="N1443" s="107" t="str">
        <f>VLOOKUP(M1443,[1]character_tribe_i18n!A:C,3,FALSE)</f>
        <v>サンリオキャラクターズ</v>
      </c>
      <c r="O1443" s="105" t="s">
        <v>278</v>
      </c>
      <c r="P1443" s="107" t="str">
        <f>VLOOKUP(O1443,[1]character_tribe_i18n!A:C,3,FALSE)</f>
        <v>種族なし</v>
      </c>
      <c r="Q1443" s="110" t="s">
        <v>279</v>
      </c>
      <c r="R1443" s="111">
        <v>1</v>
      </c>
      <c r="S1443" s="108" t="s">
        <v>280</v>
      </c>
      <c r="T1443" s="108" t="s">
        <v>281</v>
      </c>
      <c r="U1443" s="108" t="s">
        <v>280</v>
      </c>
      <c r="V1443" s="108" t="s">
        <v>280</v>
      </c>
      <c r="W1443" s="108" t="s">
        <v>280</v>
      </c>
    </row>
    <row r="1444" spans="1:23" ht="21" customHeight="1" x14ac:dyDescent="0.15">
      <c r="A1444" s="207">
        <f t="shared" si="17"/>
        <v>8044</v>
      </c>
      <c r="B1444" s="208" t="s">
        <v>268</v>
      </c>
      <c r="C1444" s="133" t="s">
        <v>3919</v>
      </c>
      <c r="D1444" s="219" t="s">
        <v>3919</v>
      </c>
      <c r="E1444" s="108" t="s">
        <v>709</v>
      </c>
      <c r="F1444" s="108" t="s">
        <v>532</v>
      </c>
      <c r="G1444" s="108" t="s">
        <v>853</v>
      </c>
      <c r="H1444" s="131" t="s">
        <v>1617</v>
      </c>
      <c r="I1444" s="140">
        <v>6</v>
      </c>
      <c r="J1444" s="109" t="s">
        <v>1618</v>
      </c>
      <c r="K1444" s="105" t="s">
        <v>1311</v>
      </c>
      <c r="L1444" s="107" t="str">
        <f ca="1">VLOOKUP($K1444,OFFSET([1]character_type_i18n!$A$1,0,0,COUNTA([1]character_type_i18n!$A:$A),MATCH(L$1,[1]character_type_i18n!$1:$1,0)-MATCH($K$1,[1]character_type_i18n!$1:$1,0)+1),MATCH(L$1,[1]character_type_i18n!$1:$1,0)-MATCH($K$1,[1]character_type_i18n!$1:$1,0)+1,FALSE)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44" s="105" t="s">
        <v>3920</v>
      </c>
      <c r="N1444" s="107" t="str">
        <f>VLOOKUP(M1444,[1]character_tribe_i18n!A:C,3,FALSE)</f>
        <v>サンリオキャラクターズ</v>
      </c>
      <c r="O1444" s="105" t="s">
        <v>278</v>
      </c>
      <c r="P1444" s="107" t="str">
        <f>VLOOKUP(O1444,[1]character_tribe_i18n!A:C,3,FALSE)</f>
        <v>種族なし</v>
      </c>
      <c r="Q1444" s="110" t="s">
        <v>279</v>
      </c>
      <c r="R1444" s="111">
        <v>1</v>
      </c>
      <c r="S1444" s="108" t="s">
        <v>280</v>
      </c>
      <c r="T1444" s="108" t="s">
        <v>281</v>
      </c>
      <c r="U1444" s="108" t="s">
        <v>280</v>
      </c>
      <c r="V1444" s="108" t="s">
        <v>280</v>
      </c>
      <c r="W1444" s="108" t="s">
        <v>280</v>
      </c>
    </row>
    <row r="1445" spans="1:23" ht="21" customHeight="1" x14ac:dyDescent="0.15">
      <c r="A1445" s="207">
        <f t="shared" si="17"/>
        <v>8045</v>
      </c>
      <c r="B1445" s="208" t="s">
        <v>268</v>
      </c>
      <c r="C1445" s="133" t="s">
        <v>3921</v>
      </c>
      <c r="D1445" s="219" t="s">
        <v>3921</v>
      </c>
      <c r="E1445" s="108" t="s">
        <v>709</v>
      </c>
      <c r="F1445" s="108" t="s">
        <v>532</v>
      </c>
      <c r="G1445" s="108" t="s">
        <v>853</v>
      </c>
      <c r="H1445" s="131" t="s">
        <v>300</v>
      </c>
      <c r="I1445" s="140">
        <v>4</v>
      </c>
      <c r="J1445" s="109" t="s" ph="1">
        <v>516</v>
      </c>
      <c r="K1445" s="105" t="s">
        <v>1311</v>
      </c>
      <c r="L1445" s="107" t="str">
        <f ca="1">VLOOKUP($K1445,OFFSET([1]character_type_i18n!$A$1,0,0,COUNTA([1]character_type_i18n!$A:$A),MATCH(L$1,[1]character_type_i18n!$1:$1,0)-MATCH($K$1,[1]character_type_i18n!$1:$1,0)+1),MATCH(L$1,[1]character_type_i18n!$1:$1,0)-MATCH($K$1,[1]character_type_i18n!$1:$1,0)+1,FALSE)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45" s="105" t="s">
        <v>3920</v>
      </c>
      <c r="N1445" s="107" t="str">
        <f>VLOOKUP(M1445,[1]character_tribe_i18n!A:C,3,FALSE)</f>
        <v>サンリオキャラクターズ</v>
      </c>
      <c r="O1445" s="105" t="s">
        <v>278</v>
      </c>
      <c r="P1445" s="107" t="str">
        <f>VLOOKUP(O1445,[1]character_tribe_i18n!A:C,3,FALSE)</f>
        <v>種族なし</v>
      </c>
      <c r="Q1445" s="110" t="s">
        <v>279</v>
      </c>
      <c r="R1445" s="111">
        <v>1</v>
      </c>
      <c r="S1445" s="108" t="s">
        <v>280</v>
      </c>
      <c r="T1445" s="108" t="s">
        <v>281</v>
      </c>
      <c r="U1445" s="108" t="s">
        <v>280</v>
      </c>
      <c r="V1445" s="108" t="s">
        <v>280</v>
      </c>
      <c r="W1445" s="108" t="s">
        <v>280</v>
      </c>
    </row>
    <row r="1446" spans="1:23" ht="21" customHeight="1" x14ac:dyDescent="0.15">
      <c r="A1446" s="207">
        <f t="shared" si="17"/>
        <v>8046</v>
      </c>
      <c r="B1446" s="208" t="s">
        <v>268</v>
      </c>
      <c r="C1446" s="133" t="s">
        <v>3921</v>
      </c>
      <c r="D1446" s="219" t="s">
        <v>3921</v>
      </c>
      <c r="E1446" s="108" t="s">
        <v>709</v>
      </c>
      <c r="F1446" s="108" t="s">
        <v>532</v>
      </c>
      <c r="G1446" s="108" t="s">
        <v>853</v>
      </c>
      <c r="H1446" s="131" t="s">
        <v>300</v>
      </c>
      <c r="I1446" s="140">
        <v>5</v>
      </c>
      <c r="J1446" s="109" t="s">
        <v>516</v>
      </c>
      <c r="K1446" s="105" t="s">
        <v>1311</v>
      </c>
      <c r="L1446" s="107" t="str">
        <f ca="1">VLOOKUP($K1446,OFFSET([1]character_type_i18n!$A$1,0,0,COUNTA([1]character_type_i18n!$A:$A),MATCH(L$1,[1]character_type_i18n!$1:$1,0)-MATCH($K$1,[1]character_type_i18n!$1:$1,0)+1),MATCH(L$1,[1]character_type_i18n!$1:$1,0)-MATCH($K$1,[1]character_type_i18n!$1:$1,0)+1,FALSE)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46" s="105" t="s">
        <v>3920</v>
      </c>
      <c r="N1446" s="107" t="str">
        <f>VLOOKUP(M1446,[1]character_tribe_i18n!A:C,3,FALSE)</f>
        <v>サンリオキャラクターズ</v>
      </c>
      <c r="O1446" s="105" t="s">
        <v>278</v>
      </c>
      <c r="P1446" s="107" t="str">
        <f>VLOOKUP(O1446,[1]character_tribe_i18n!A:C,3,FALSE)</f>
        <v>種族なし</v>
      </c>
      <c r="Q1446" s="110" t="s">
        <v>279</v>
      </c>
      <c r="R1446" s="111">
        <v>1</v>
      </c>
      <c r="S1446" s="108" t="s">
        <v>280</v>
      </c>
      <c r="T1446" s="108" t="s">
        <v>281</v>
      </c>
      <c r="U1446" s="108" t="s">
        <v>280</v>
      </c>
      <c r="V1446" s="108" t="s">
        <v>280</v>
      </c>
      <c r="W1446" s="108" t="s">
        <v>280</v>
      </c>
    </row>
    <row r="1447" spans="1:23" ht="21" customHeight="1" x14ac:dyDescent="0.15">
      <c r="A1447" s="207">
        <f t="shared" si="17"/>
        <v>8047</v>
      </c>
      <c r="B1447" s="208" t="s">
        <v>268</v>
      </c>
      <c r="C1447" s="133" t="s">
        <v>2791</v>
      </c>
      <c r="D1447" s="219" t="s">
        <v>2791</v>
      </c>
      <c r="E1447" s="108" t="s">
        <v>709</v>
      </c>
      <c r="F1447" s="108" t="s">
        <v>532</v>
      </c>
      <c r="G1447" s="108" t="s">
        <v>853</v>
      </c>
      <c r="H1447" s="131" t="s">
        <v>274</v>
      </c>
      <c r="I1447" s="140">
        <v>4</v>
      </c>
      <c r="J1447" s="109" t="s">
        <v>516</v>
      </c>
      <c r="K1447" s="105" t="s">
        <v>1388</v>
      </c>
      <c r="L1447" s="107" t="str">
        <f ca="1">VLOOKUP($K1447,OFFSET([1]character_type_i18n!$A$1,0,0,COUNTA([1]character_type_i18n!$A:$A),MATCH(L$1,[1]character_type_i18n!$1:$1,0)-MATCH($K$1,[1]character_type_i18n!$1:$1,0)+1),MATCH(L$1,[1]character_type_i18n!$1:$1,0)-MATCH($K$1,[1]character_type_i18n!$1:$1,0)+1,FALSE)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47" s="105" t="s">
        <v>2783</v>
      </c>
      <c r="N1447" s="107" t="str">
        <f>VLOOKUP(M1447,[1]character_tribe_i18n!A:C,3,FALSE)</f>
        <v>サンリオキャラクターズ</v>
      </c>
      <c r="O1447" s="105" t="s">
        <v>278</v>
      </c>
      <c r="P1447" s="107" t="str">
        <f>VLOOKUP(O1447,[1]character_tribe_i18n!A:C,3,FALSE)</f>
        <v>種族なし</v>
      </c>
      <c r="Q1447" s="110" t="s">
        <v>279</v>
      </c>
      <c r="R1447" s="111">
        <v>1</v>
      </c>
      <c r="S1447" s="108" t="s">
        <v>280</v>
      </c>
      <c r="T1447" s="108" t="s">
        <v>281</v>
      </c>
      <c r="U1447" s="108" t="s">
        <v>280</v>
      </c>
      <c r="V1447" s="108" t="s">
        <v>280</v>
      </c>
      <c r="W1447" s="108" t="s">
        <v>280</v>
      </c>
    </row>
    <row r="1448" spans="1:23" ht="21" customHeight="1" x14ac:dyDescent="0.15">
      <c r="A1448" s="207">
        <f t="shared" si="17"/>
        <v>8048</v>
      </c>
      <c r="B1448" s="208" t="s">
        <v>268</v>
      </c>
      <c r="C1448" s="133" t="s">
        <v>2791</v>
      </c>
      <c r="D1448" s="219" t="s">
        <v>2791</v>
      </c>
      <c r="E1448" s="108" t="s">
        <v>709</v>
      </c>
      <c r="F1448" s="108" t="s">
        <v>532</v>
      </c>
      <c r="G1448" s="108" t="s">
        <v>853</v>
      </c>
      <c r="H1448" s="131" t="s">
        <v>274</v>
      </c>
      <c r="I1448" s="140">
        <v>5</v>
      </c>
      <c r="J1448" s="109" t="s">
        <v>516</v>
      </c>
      <c r="K1448" s="105" t="s">
        <v>1008</v>
      </c>
      <c r="L1448" s="107" t="str">
        <f ca="1">VLOOKUP($K1448,OFFSET([1]character_type_i18n!$A$1,0,0,COUNTA([1]character_type_i18n!$A:$A),MATCH(L$1,[1]character_type_i18n!$1:$1,0)-MATCH($K$1,[1]character_type_i18n!$1:$1,0)+1),MATCH(L$1,[1]character_type_i18n!$1:$1,0)-MATCH($K$1,[1]character_type_i18n!$1:$1,0)+1,FALSE)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48" s="105" t="s">
        <v>2783</v>
      </c>
      <c r="N1448" s="107" t="str">
        <f>VLOOKUP(M1448,[1]character_tribe_i18n!A:C,3,FALSE)</f>
        <v>サンリオキャラクターズ</v>
      </c>
      <c r="O1448" s="105" t="s">
        <v>278</v>
      </c>
      <c r="P1448" s="107" t="str">
        <f>VLOOKUP(O1448,[1]character_tribe_i18n!A:C,3,FALSE)</f>
        <v>種族なし</v>
      </c>
      <c r="Q1448" s="110" t="s">
        <v>279</v>
      </c>
      <c r="R1448" s="111">
        <v>1</v>
      </c>
      <c r="S1448" s="108" t="s">
        <v>280</v>
      </c>
      <c r="T1448" s="108" t="s">
        <v>281</v>
      </c>
      <c r="U1448" s="108" t="s">
        <v>280</v>
      </c>
      <c r="V1448" s="108" t="s">
        <v>280</v>
      </c>
      <c r="W1448" s="108" t="s">
        <v>280</v>
      </c>
    </row>
    <row r="1449" spans="1:23" ht="21" customHeight="1" x14ac:dyDescent="0.15">
      <c r="A1449" s="207">
        <f t="shared" si="17"/>
        <v>8049</v>
      </c>
      <c r="B1449" s="208" t="s">
        <v>268</v>
      </c>
      <c r="C1449" s="133" t="s">
        <v>3922</v>
      </c>
      <c r="D1449" s="219" t="s">
        <v>3922</v>
      </c>
      <c r="E1449" s="108" t="s">
        <v>709</v>
      </c>
      <c r="F1449" s="108" t="s">
        <v>532</v>
      </c>
      <c r="G1449" s="108" t="s">
        <v>853</v>
      </c>
      <c r="H1449" s="131" t="s">
        <v>274</v>
      </c>
      <c r="I1449" s="140">
        <v>4</v>
      </c>
      <c r="J1449" s="109" t="s">
        <v>516</v>
      </c>
      <c r="K1449" s="105" t="s">
        <v>1252</v>
      </c>
      <c r="L1449" s="107" t="str">
        <f ca="1">VLOOKUP($K1449,OFFSET([1]character_type_i18n!$A$1,0,0,COUNTA([1]character_type_i18n!$A:$A),MATCH(L$1,[1]character_type_i18n!$1:$1,0)-MATCH($K$1,[1]character_type_i18n!$1:$1,0)+1),MATCH(L$1,[1]character_type_i18n!$1:$1,0)-MATCH($K$1,[1]character_type_i18n!$1:$1,0)+1,FALSE)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49" s="105" t="s">
        <v>2783</v>
      </c>
      <c r="N1449" s="107" t="str">
        <f>VLOOKUP(M1449,[1]character_tribe_i18n!A:C,3,FALSE)</f>
        <v>サンリオキャラクターズ</v>
      </c>
      <c r="O1449" s="105" t="s">
        <v>278</v>
      </c>
      <c r="P1449" s="107" t="str">
        <f>VLOOKUP(O1449,[1]character_tribe_i18n!A:C,3,FALSE)</f>
        <v>種族なし</v>
      </c>
      <c r="Q1449" s="110" t="s">
        <v>279</v>
      </c>
      <c r="R1449" s="111">
        <v>1</v>
      </c>
      <c r="S1449" s="108" t="s">
        <v>280</v>
      </c>
      <c r="T1449" s="108" t="s">
        <v>281</v>
      </c>
      <c r="U1449" s="108" t="s">
        <v>280</v>
      </c>
      <c r="V1449" s="108" t="s">
        <v>280</v>
      </c>
      <c r="W1449" s="108" t="s">
        <v>280</v>
      </c>
    </row>
    <row r="1450" spans="1:23" ht="21" customHeight="1" x14ac:dyDescent="0.15">
      <c r="A1450" s="207">
        <f t="shared" si="17"/>
        <v>8050</v>
      </c>
      <c r="B1450" s="208" t="s">
        <v>268</v>
      </c>
      <c r="C1450" s="133" t="s">
        <v>3922</v>
      </c>
      <c r="D1450" s="219" t="s">
        <v>3922</v>
      </c>
      <c r="E1450" s="108" t="s">
        <v>709</v>
      </c>
      <c r="F1450" s="108" t="s">
        <v>532</v>
      </c>
      <c r="G1450" s="108" t="s">
        <v>853</v>
      </c>
      <c r="H1450" s="131" t="s">
        <v>274</v>
      </c>
      <c r="I1450" s="140">
        <v>5</v>
      </c>
      <c r="J1450" s="109" t="s">
        <v>516</v>
      </c>
      <c r="K1450" s="105" t="s">
        <v>1252</v>
      </c>
      <c r="L1450" s="107" t="str">
        <f ca="1">VLOOKUP($K1450,OFFSET([1]character_type_i18n!$A$1,0,0,COUNTA([1]character_type_i18n!$A:$A),MATCH(L$1,[1]character_type_i18n!$1:$1,0)-MATCH($K$1,[1]character_type_i18n!$1:$1,0)+1),MATCH(L$1,[1]character_type_i18n!$1:$1,0)-MATCH($K$1,[1]character_type_i18n!$1:$1,0)+1,FALSE)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50" s="105" t="s">
        <v>2783</v>
      </c>
      <c r="N1450" s="107" t="str">
        <f>VLOOKUP(M1450,[1]character_tribe_i18n!A:C,3,FALSE)</f>
        <v>サンリオキャラクターズ</v>
      </c>
      <c r="O1450" s="105" t="s">
        <v>278</v>
      </c>
      <c r="P1450" s="107" t="str">
        <f>VLOOKUP(O1450,[1]character_tribe_i18n!A:C,3,FALSE)</f>
        <v>種族なし</v>
      </c>
      <c r="Q1450" s="110" t="s">
        <v>279</v>
      </c>
      <c r="R1450" s="111">
        <v>1</v>
      </c>
      <c r="S1450" s="108" t="s">
        <v>280</v>
      </c>
      <c r="T1450" s="108" t="s">
        <v>281</v>
      </c>
      <c r="U1450" s="108" t="s">
        <v>280</v>
      </c>
      <c r="V1450" s="108" t="s">
        <v>280</v>
      </c>
      <c r="W1450" s="108" t="s">
        <v>280</v>
      </c>
    </row>
    <row r="1451" spans="1:23" ht="21" customHeight="1" x14ac:dyDescent="0.15">
      <c r="A1451" s="207">
        <f t="shared" si="17"/>
        <v>8051</v>
      </c>
      <c r="B1451" s="208" t="s">
        <v>268</v>
      </c>
      <c r="C1451" s="133" t="s">
        <v>2799</v>
      </c>
      <c r="D1451" s="219" t="s">
        <v>2799</v>
      </c>
      <c r="E1451" s="108" t="s">
        <v>709</v>
      </c>
      <c r="F1451" s="108" t="s">
        <v>532</v>
      </c>
      <c r="G1451" s="108" t="s">
        <v>853</v>
      </c>
      <c r="H1451" s="131" t="s">
        <v>274</v>
      </c>
      <c r="I1451" s="140">
        <v>5</v>
      </c>
      <c r="J1451" s="109" t="s">
        <v>516</v>
      </c>
      <c r="K1451" s="160" t="s">
        <v>3923</v>
      </c>
      <c r="L1451" s="107" t="str">
        <f ca="1">VLOOKUP($K1451,OFFSET([1]character_type_i18n!$A$1,0,0,COUNTA([1]character_type_i18n!$A:$A),MATCH(L$1,[1]character_type_i18n!$1:$1,0)-MATCH($K$1,[1]character_type_i18n!$1:$1,0)+1),MATCH(L$1,[1]character_type_i18n!$1:$1,0)-MATCH($K$1,[1]character_type_i18n!$1:$1,0)+1,FALSE)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451" s="105" t="s">
        <v>2783</v>
      </c>
      <c r="N1451" s="107" t="str">
        <f>VLOOKUP(M1451,[1]character_tribe_i18n!A:C,3,FALSE)</f>
        <v>サンリオキャラクターズ</v>
      </c>
      <c r="O1451" s="105" t="s">
        <v>278</v>
      </c>
      <c r="P1451" s="107" t="str">
        <f>VLOOKUP(O1451,[1]character_tribe_i18n!A:C,3,FALSE)</f>
        <v>種族なし</v>
      </c>
      <c r="Q1451" s="110" t="s">
        <v>279</v>
      </c>
      <c r="R1451" s="111">
        <v>1</v>
      </c>
      <c r="S1451" s="108" t="s">
        <v>280</v>
      </c>
      <c r="T1451" s="108" t="s">
        <v>281</v>
      </c>
      <c r="U1451" s="108" t="s">
        <v>280</v>
      </c>
      <c r="V1451" s="108" t="s">
        <v>280</v>
      </c>
      <c r="W1451" s="108" t="s">
        <v>280</v>
      </c>
    </row>
    <row r="1452" spans="1:23" ht="21" customHeight="1" x14ac:dyDescent="0.15">
      <c r="A1452" s="207">
        <f t="shared" si="17"/>
        <v>8052</v>
      </c>
      <c r="B1452" s="208" t="s">
        <v>268</v>
      </c>
      <c r="C1452" s="133" t="s">
        <v>3924</v>
      </c>
      <c r="D1452" s="219" t="s">
        <v>3924</v>
      </c>
      <c r="E1452" s="108" t="s">
        <v>709</v>
      </c>
      <c r="F1452" s="108" t="s">
        <v>532</v>
      </c>
      <c r="G1452" s="108" t="s">
        <v>853</v>
      </c>
      <c r="H1452" s="131" t="s">
        <v>274</v>
      </c>
      <c r="I1452" s="140">
        <v>4</v>
      </c>
      <c r="J1452" s="109" t="s">
        <v>516</v>
      </c>
      <c r="K1452" s="160" t="s">
        <v>3923</v>
      </c>
      <c r="L1452" s="107" t="str">
        <f ca="1">VLOOKUP($K1452,OFFSET([1]character_type_i18n!$A$1,0,0,COUNTA([1]character_type_i18n!$A:$A),MATCH(L$1,[1]character_type_i18n!$1:$1,0)-MATCH($K$1,[1]character_type_i18n!$1:$1,0)+1),MATCH(L$1,[1]character_type_i18n!$1:$1,0)-MATCH($K$1,[1]character_type_i18n!$1:$1,0)+1,FALSE)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452" s="105" t="s">
        <v>2783</v>
      </c>
      <c r="N1452" s="107" t="str">
        <f>VLOOKUP(M1452,[1]character_tribe_i18n!A:C,3,FALSE)</f>
        <v>サンリオキャラクターズ</v>
      </c>
      <c r="O1452" s="105" t="s">
        <v>278</v>
      </c>
      <c r="P1452" s="107" t="str">
        <f>VLOOKUP(O1452,[1]character_tribe_i18n!A:C,3,FALSE)</f>
        <v>種族なし</v>
      </c>
      <c r="Q1452" s="110" t="s">
        <v>279</v>
      </c>
      <c r="R1452" s="111">
        <v>1</v>
      </c>
      <c r="S1452" s="108" t="s">
        <v>280</v>
      </c>
      <c r="T1452" s="108" t="s">
        <v>281</v>
      </c>
      <c r="U1452" s="108" t="s">
        <v>280</v>
      </c>
      <c r="V1452" s="108" t="s">
        <v>280</v>
      </c>
      <c r="W1452" s="108" t="s">
        <v>280</v>
      </c>
    </row>
    <row r="1453" spans="1:23" ht="21" customHeight="1" x14ac:dyDescent="0.15">
      <c r="A1453" s="207">
        <f t="shared" si="17"/>
        <v>8053</v>
      </c>
      <c r="B1453" s="208" t="s">
        <v>1352</v>
      </c>
      <c r="C1453" s="133" t="s">
        <v>3925</v>
      </c>
      <c r="D1453" s="219" t="s">
        <v>3925</v>
      </c>
      <c r="E1453" s="108" t="s">
        <v>1614</v>
      </c>
      <c r="F1453" s="108" t="s">
        <v>1615</v>
      </c>
      <c r="G1453" s="108" t="s">
        <v>853</v>
      </c>
      <c r="H1453" s="131" t="s">
        <v>274</v>
      </c>
      <c r="I1453" s="140">
        <v>5</v>
      </c>
      <c r="J1453" s="109" t="s">
        <v>1220</v>
      </c>
      <c r="K1453" s="105" t="s">
        <v>1388</v>
      </c>
      <c r="L1453" s="107" t="str">
        <f ca="1">VLOOKUP($K1453,OFFSET([1]character_type_i18n!$A$1,0,0,COUNTA([1]character_type_i18n!$A:$A),MATCH(L$1,[1]character_type_i18n!$1:$1,0)-MATCH($K$1,[1]character_type_i18n!$1:$1,0)+1),MATCH(L$1,[1]character_type_i18n!$1:$1,0)-MATCH($K$1,[1]character_type_i18n!$1:$1,0)+1,FALSE)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53" s="105" t="s">
        <v>2783</v>
      </c>
      <c r="N1453" s="107" t="str">
        <f>VLOOKUP(M1453,[1]character_tribe_i18n!A:C,3,FALSE)</f>
        <v>サンリオキャラクターズ</v>
      </c>
      <c r="O1453" s="105" t="s">
        <v>278</v>
      </c>
      <c r="P1453" s="107" t="str">
        <f>VLOOKUP(O1453,[1]character_tribe_i18n!A:C,3,FALSE)</f>
        <v>種族なし</v>
      </c>
      <c r="Q1453" s="110" t="s">
        <v>279</v>
      </c>
      <c r="R1453" s="111">
        <v>1</v>
      </c>
      <c r="S1453" s="108" t="s">
        <v>280</v>
      </c>
      <c r="T1453" s="108" t="s">
        <v>281</v>
      </c>
      <c r="U1453" s="108" t="s">
        <v>280</v>
      </c>
      <c r="V1453" s="108" t="s">
        <v>280</v>
      </c>
      <c r="W1453" s="108" t="s">
        <v>280</v>
      </c>
    </row>
    <row r="1454" spans="1:23" ht="21" customHeight="1" x14ac:dyDescent="0.15">
      <c r="A1454" s="207">
        <f t="shared" si="17"/>
        <v>8054</v>
      </c>
      <c r="B1454" s="208" t="s">
        <v>268</v>
      </c>
      <c r="C1454" s="133" t="s">
        <v>3925</v>
      </c>
      <c r="D1454" s="219" t="s">
        <v>3925</v>
      </c>
      <c r="E1454" s="108" t="s">
        <v>709</v>
      </c>
      <c r="F1454" s="108" t="s">
        <v>532</v>
      </c>
      <c r="G1454" s="108" t="s">
        <v>853</v>
      </c>
      <c r="H1454" s="131" t="s">
        <v>274</v>
      </c>
      <c r="I1454" s="140">
        <v>6</v>
      </c>
      <c r="J1454" s="109" t="s">
        <v>1001</v>
      </c>
      <c r="K1454" s="105" t="s">
        <v>1388</v>
      </c>
      <c r="L1454" s="107" t="str">
        <f ca="1">VLOOKUP($K1454,OFFSET([1]character_type_i18n!$A$1,0,0,COUNTA([1]character_type_i18n!$A:$A),MATCH(L$1,[1]character_type_i18n!$1:$1,0)-MATCH($K$1,[1]character_type_i18n!$1:$1,0)+1),MATCH(L$1,[1]character_type_i18n!$1:$1,0)-MATCH($K$1,[1]character_type_i18n!$1:$1,0)+1,FALSE)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54" s="105" t="s">
        <v>2783</v>
      </c>
      <c r="N1454" s="107" t="str">
        <f>VLOOKUP(M1454,[1]character_tribe_i18n!A:C,3,FALSE)</f>
        <v>サンリオキャラクターズ</v>
      </c>
      <c r="O1454" s="105" t="s">
        <v>278</v>
      </c>
      <c r="P1454" s="107" t="str">
        <f>VLOOKUP(O1454,[1]character_tribe_i18n!A:C,3,FALSE)</f>
        <v>種族なし</v>
      </c>
      <c r="Q1454" s="110" t="s">
        <v>279</v>
      </c>
      <c r="R1454" s="111">
        <v>1</v>
      </c>
      <c r="S1454" s="108" t="s">
        <v>280</v>
      </c>
      <c r="T1454" s="108" t="s">
        <v>281</v>
      </c>
      <c r="U1454" s="108" t="s">
        <v>280</v>
      </c>
      <c r="V1454" s="108" t="s">
        <v>280</v>
      </c>
      <c r="W1454" s="108" t="s">
        <v>280</v>
      </c>
    </row>
    <row r="1455" spans="1:23" ht="21" customHeight="1" x14ac:dyDescent="0.15">
      <c r="A1455" s="207">
        <f t="shared" si="17"/>
        <v>8055</v>
      </c>
      <c r="B1455" s="208" t="s">
        <v>268</v>
      </c>
      <c r="C1455" s="133" t="s">
        <v>3926</v>
      </c>
      <c r="D1455" s="219" t="s">
        <v>3926</v>
      </c>
      <c r="E1455" s="108" t="s">
        <v>709</v>
      </c>
      <c r="F1455" s="108" t="s">
        <v>532</v>
      </c>
      <c r="G1455" s="108" t="s">
        <v>853</v>
      </c>
      <c r="H1455" s="131" t="s">
        <v>274</v>
      </c>
      <c r="I1455" s="140">
        <v>4</v>
      </c>
      <c r="J1455" s="109" t="s">
        <v>2367</v>
      </c>
      <c r="K1455" s="105" t="s">
        <v>1392</v>
      </c>
      <c r="L1455" s="107" t="str">
        <f ca="1">VLOOKUP($K1455,OFFSET([1]character_type_i18n!$A$1,0,0,COUNTA([1]character_type_i18n!$A:$A),MATCH(L$1,[1]character_type_i18n!$1:$1,0)-MATCH($K$1,[1]character_type_i18n!$1:$1,0)+1),MATCH(L$1,[1]character_type_i18n!$1:$1,0)-MATCH($K$1,[1]character_type_i18n!$1:$1,0)+1,FALSE)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55" s="105" t="s">
        <v>2783</v>
      </c>
      <c r="N1455" s="107" t="str">
        <f>VLOOKUP(M1455,[1]character_tribe_i18n!A:C,3,FALSE)</f>
        <v>サンリオキャラクターズ</v>
      </c>
      <c r="O1455" s="105" t="s">
        <v>278</v>
      </c>
      <c r="P1455" s="107" t="str">
        <f>VLOOKUP(O1455,[1]character_tribe_i18n!A:C,3,FALSE)</f>
        <v>種族なし</v>
      </c>
      <c r="Q1455" s="110" t="s">
        <v>279</v>
      </c>
      <c r="R1455" s="111">
        <v>1</v>
      </c>
      <c r="S1455" s="108" t="s">
        <v>280</v>
      </c>
      <c r="T1455" s="108" t="s">
        <v>281</v>
      </c>
      <c r="U1455" s="108" t="s">
        <v>280</v>
      </c>
      <c r="V1455" s="108" t="s">
        <v>280</v>
      </c>
      <c r="W1455" s="108" t="s">
        <v>280</v>
      </c>
    </row>
    <row r="1456" spans="1:23" ht="21" customHeight="1" x14ac:dyDescent="0.15">
      <c r="A1456" s="207">
        <f t="shared" si="17"/>
        <v>8056</v>
      </c>
      <c r="B1456" s="208" t="s">
        <v>268</v>
      </c>
      <c r="C1456" s="133" t="s">
        <v>3926</v>
      </c>
      <c r="D1456" s="219" t="s">
        <v>3926</v>
      </c>
      <c r="E1456" s="108" t="s">
        <v>709</v>
      </c>
      <c r="F1456" s="108" t="s">
        <v>532</v>
      </c>
      <c r="G1456" s="108" t="s">
        <v>853</v>
      </c>
      <c r="H1456" s="131" t="s">
        <v>274</v>
      </c>
      <c r="I1456" s="140">
        <v>5</v>
      </c>
      <c r="J1456" s="109" t="s">
        <v>2367</v>
      </c>
      <c r="K1456" s="105" t="s">
        <v>1392</v>
      </c>
      <c r="L1456" s="107" t="str">
        <f ca="1">VLOOKUP($K1456,OFFSET([1]character_type_i18n!$A$1,0,0,COUNTA([1]character_type_i18n!$A:$A),MATCH(L$1,[1]character_type_i18n!$1:$1,0)-MATCH($K$1,[1]character_type_i18n!$1:$1,0)+1),MATCH(L$1,[1]character_type_i18n!$1:$1,0)-MATCH($K$1,[1]character_type_i18n!$1:$1,0)+1,FALSE)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56" s="105" t="s">
        <v>2783</v>
      </c>
      <c r="N1456" s="107" t="str">
        <f>VLOOKUP(M1456,[1]character_tribe_i18n!A:C,3,FALSE)</f>
        <v>サンリオキャラクターズ</v>
      </c>
      <c r="O1456" s="105" t="s">
        <v>278</v>
      </c>
      <c r="P1456" s="107" t="str">
        <f>VLOOKUP(O1456,[1]character_tribe_i18n!A:C,3,FALSE)</f>
        <v>種族なし</v>
      </c>
      <c r="Q1456" s="110" t="s">
        <v>1656</v>
      </c>
      <c r="R1456" s="111">
        <v>1</v>
      </c>
      <c r="S1456" s="108" t="s">
        <v>898</v>
      </c>
      <c r="T1456" s="108" t="s">
        <v>893</v>
      </c>
      <c r="U1456" s="108" t="s">
        <v>898</v>
      </c>
      <c r="V1456" s="108" t="s">
        <v>898</v>
      </c>
      <c r="W1456" s="108" t="s">
        <v>898</v>
      </c>
    </row>
    <row r="1457" spans="1:23" ht="21" customHeight="1" x14ac:dyDescent="0.15">
      <c r="A1457" s="207">
        <f t="shared" si="17"/>
        <v>8057</v>
      </c>
      <c r="B1457" s="208" t="s">
        <v>1689</v>
      </c>
      <c r="C1457" s="133" t="s">
        <v>3927</v>
      </c>
      <c r="D1457" s="219" t="s">
        <v>3927</v>
      </c>
      <c r="E1457" s="108" t="s">
        <v>1576</v>
      </c>
      <c r="F1457" s="108" t="s">
        <v>1577</v>
      </c>
      <c r="G1457" s="108" t="s">
        <v>853</v>
      </c>
      <c r="H1457" s="131" t="s">
        <v>614</v>
      </c>
      <c r="I1457" s="140">
        <v>4</v>
      </c>
      <c r="J1457" s="109" t="s">
        <v>2367</v>
      </c>
      <c r="K1457" s="161" t="s">
        <v>2813</v>
      </c>
      <c r="L1457" s="107" t="str">
        <f ca="1">VLOOKUP($K1457,OFFSET([1]character_type_i18n!$A$1,0,0,COUNTA([1]character_type_i18n!$A:$A),MATCH(L$1,[1]character_type_i18n!$1:$1,0)-MATCH($K$1,[1]character_type_i18n!$1:$1,0)+1),MATCH(L$1,[1]character_type_i18n!$1:$1,0)-MATCH($K$1,[1]character_type_i18n!$1:$1,0)+1,FALSE)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57" s="105" t="s">
        <v>2783</v>
      </c>
      <c r="N1457" s="107" t="str">
        <f>VLOOKUP(M1457,[1]character_tribe_i18n!A:C,3,FALSE)</f>
        <v>サンリオキャラクターズ</v>
      </c>
      <c r="O1457" s="105" t="s">
        <v>278</v>
      </c>
      <c r="P1457" s="107" t="str">
        <f>VLOOKUP(O1457,[1]character_tribe_i18n!A:C,3,FALSE)</f>
        <v>種族なし</v>
      </c>
      <c r="Q1457" s="110" t="s">
        <v>279</v>
      </c>
      <c r="R1457" s="111">
        <v>1</v>
      </c>
      <c r="S1457" s="108" t="s">
        <v>280</v>
      </c>
      <c r="T1457" s="108" t="s">
        <v>281</v>
      </c>
      <c r="U1457" s="108" t="s">
        <v>280</v>
      </c>
      <c r="V1457" s="108" t="s">
        <v>280</v>
      </c>
      <c r="W1457" s="108" t="s">
        <v>280</v>
      </c>
    </row>
    <row r="1458" spans="1:23" ht="21" customHeight="1" x14ac:dyDescent="0.15">
      <c r="A1458" s="207">
        <f t="shared" si="17"/>
        <v>8058</v>
      </c>
      <c r="B1458" s="208" t="s">
        <v>268</v>
      </c>
      <c r="C1458" s="133" t="s">
        <v>3927</v>
      </c>
      <c r="D1458" s="219" t="s">
        <v>3927</v>
      </c>
      <c r="E1458" s="108" t="s">
        <v>709</v>
      </c>
      <c r="F1458" s="108" t="s">
        <v>532</v>
      </c>
      <c r="G1458" s="108" t="s">
        <v>853</v>
      </c>
      <c r="H1458" s="131" t="s">
        <v>1617</v>
      </c>
      <c r="I1458" s="140">
        <v>5</v>
      </c>
      <c r="J1458" s="109" t="s">
        <v>1573</v>
      </c>
      <c r="K1458" s="161" t="s">
        <v>3928</v>
      </c>
      <c r="L1458" s="107" t="str">
        <f ca="1">VLOOKUP($K1458,OFFSET([1]character_type_i18n!$A$1,0,0,COUNTA([1]character_type_i18n!$A:$A),MATCH(L$1,[1]character_type_i18n!$1:$1,0)-MATCH($K$1,[1]character_type_i18n!$1:$1,0)+1),MATCH(L$1,[1]character_type_i18n!$1:$1,0)-MATCH($K$1,[1]character_type_i18n!$1:$1,0)+1,FALSE)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58" s="105" t="s">
        <v>2783</v>
      </c>
      <c r="N1458" s="107" t="str">
        <f>VLOOKUP(M1458,[1]character_tribe_i18n!A:C,3,FALSE)</f>
        <v>サンリオキャラクターズ</v>
      </c>
      <c r="O1458" s="105" t="s">
        <v>278</v>
      </c>
      <c r="P1458" s="107" t="str">
        <f>VLOOKUP(O1458,[1]character_tribe_i18n!A:C,3,FALSE)</f>
        <v>種族なし</v>
      </c>
      <c r="Q1458" s="110" t="s">
        <v>279</v>
      </c>
      <c r="R1458" s="111">
        <v>1</v>
      </c>
      <c r="S1458" s="108" t="s">
        <v>280</v>
      </c>
      <c r="T1458" s="108" t="s">
        <v>281</v>
      </c>
      <c r="U1458" s="108" t="s">
        <v>280</v>
      </c>
      <c r="V1458" s="108" t="s">
        <v>280</v>
      </c>
      <c r="W1458" s="108" t="s">
        <v>280</v>
      </c>
    </row>
    <row r="1459" spans="1:23" ht="21" customHeight="1" x14ac:dyDescent="0.15">
      <c r="A1459" s="207">
        <f t="shared" si="17"/>
        <v>8059</v>
      </c>
      <c r="B1459" s="208" t="s">
        <v>268</v>
      </c>
      <c r="C1459" s="133" t="s">
        <v>3929</v>
      </c>
      <c r="D1459" s="219" t="s">
        <v>3929</v>
      </c>
      <c r="E1459" s="108" t="s">
        <v>709</v>
      </c>
      <c r="F1459" s="108" t="s">
        <v>532</v>
      </c>
      <c r="G1459" s="108" t="s">
        <v>853</v>
      </c>
      <c r="H1459" s="131" t="s">
        <v>1617</v>
      </c>
      <c r="I1459" s="140">
        <v>4</v>
      </c>
      <c r="J1459" s="109" t="s">
        <v>2367</v>
      </c>
      <c r="K1459" s="161" t="s">
        <v>3930</v>
      </c>
      <c r="L1459" s="107" t="str">
        <f ca="1">VLOOKUP($K1459,OFFSET([1]character_type_i18n!$A$1,0,0,COUNTA([1]character_type_i18n!$A:$A),MATCH(L$1,[1]character_type_i18n!$1:$1,0)-MATCH($K$1,[1]character_type_i18n!$1:$1,0)+1),MATCH(L$1,[1]character_type_i18n!$1:$1,0)-MATCH($K$1,[1]character_type_i18n!$1:$1,0)+1,FALSE)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59" s="105" t="s">
        <v>3920</v>
      </c>
      <c r="N1459" s="107" t="str">
        <f>VLOOKUP(M1459,[1]character_tribe_i18n!A:C,3,FALSE)</f>
        <v>サンリオキャラクターズ</v>
      </c>
      <c r="O1459" s="105" t="s">
        <v>278</v>
      </c>
      <c r="P1459" s="107" t="str">
        <f>VLOOKUP(O1459,[1]character_tribe_i18n!A:C,3,FALSE)</f>
        <v>種族なし</v>
      </c>
      <c r="Q1459" s="110" t="s">
        <v>279</v>
      </c>
      <c r="R1459" s="111">
        <v>1</v>
      </c>
      <c r="S1459" s="108" t="s">
        <v>280</v>
      </c>
      <c r="T1459" s="108" t="s">
        <v>281</v>
      </c>
      <c r="U1459" s="108" t="s">
        <v>280</v>
      </c>
      <c r="V1459" s="108" t="s">
        <v>280</v>
      </c>
      <c r="W1459" s="108" t="s">
        <v>280</v>
      </c>
    </row>
    <row r="1460" spans="1:23" ht="21" customHeight="1" x14ac:dyDescent="0.15">
      <c r="A1460" s="207">
        <f t="shared" si="17"/>
        <v>8060</v>
      </c>
      <c r="B1460" s="208" t="s">
        <v>268</v>
      </c>
      <c r="C1460" s="133" t="s">
        <v>3929</v>
      </c>
      <c r="D1460" s="219" t="s">
        <v>3929</v>
      </c>
      <c r="E1460" s="108" t="s">
        <v>709</v>
      </c>
      <c r="F1460" s="108" t="s">
        <v>532</v>
      </c>
      <c r="G1460" s="108" t="s">
        <v>853</v>
      </c>
      <c r="H1460" s="131" t="s">
        <v>1678</v>
      </c>
      <c r="I1460" s="140">
        <v>5</v>
      </c>
      <c r="J1460" s="109" t="s">
        <v>2461</v>
      </c>
      <c r="K1460" s="161" t="s">
        <v>2825</v>
      </c>
      <c r="L1460" s="107" t="str">
        <f ca="1">VLOOKUP($K1460,OFFSET([1]character_type_i18n!$A$1,0,0,COUNTA([1]character_type_i18n!$A:$A),MATCH(L$1,[1]character_type_i18n!$1:$1,0)-MATCH($K$1,[1]character_type_i18n!$1:$1,0)+1),MATCH(L$1,[1]character_type_i18n!$1:$1,0)-MATCH($K$1,[1]character_type_i18n!$1:$1,0)+1,FALSE)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60" s="105" t="s">
        <v>3931</v>
      </c>
      <c r="N1460" s="107" t="str">
        <f>VLOOKUP(M1460,[1]character_tribe_i18n!A:C,3,FALSE)</f>
        <v>サンリオキャラクターズ</v>
      </c>
      <c r="O1460" s="105" t="s">
        <v>278</v>
      </c>
      <c r="P1460" s="107" t="str">
        <f>VLOOKUP(O1460,[1]character_tribe_i18n!A:C,3,FALSE)</f>
        <v>種族なし</v>
      </c>
      <c r="Q1460" s="110" t="s">
        <v>3901</v>
      </c>
      <c r="R1460" s="111">
        <v>1</v>
      </c>
      <c r="S1460" s="108" t="s">
        <v>3902</v>
      </c>
      <c r="T1460" s="108" t="s">
        <v>3932</v>
      </c>
      <c r="U1460" s="108" t="s">
        <v>3902</v>
      </c>
      <c r="V1460" s="108" t="s">
        <v>3902</v>
      </c>
      <c r="W1460" s="108" t="s">
        <v>3902</v>
      </c>
    </row>
    <row r="1461" spans="1:23" ht="21" customHeight="1" x14ac:dyDescent="0.15">
      <c r="A1461" s="207">
        <f t="shared" si="17"/>
        <v>8061</v>
      </c>
      <c r="B1461" s="208" t="s">
        <v>3933</v>
      </c>
      <c r="C1461" s="133" t="s">
        <v>3934</v>
      </c>
      <c r="D1461" s="219" t="s">
        <v>3934</v>
      </c>
      <c r="E1461" s="108" t="s">
        <v>3935</v>
      </c>
      <c r="F1461" s="108" t="s">
        <v>3936</v>
      </c>
      <c r="G1461" s="108" t="s">
        <v>853</v>
      </c>
      <c r="H1461" s="131" t="s">
        <v>614</v>
      </c>
      <c r="I1461" s="140">
        <v>3</v>
      </c>
      <c r="J1461" s="109" t="s">
        <v>2367</v>
      </c>
      <c r="K1461" s="161" t="s">
        <v>2813</v>
      </c>
      <c r="L1461" s="107" t="str">
        <f ca="1">VLOOKUP($K1461,OFFSET([1]character_type_i18n!$A$1,0,0,COUNTA([1]character_type_i18n!$A:$A),MATCH(L$1,[1]character_type_i18n!$1:$1,0)-MATCH($K$1,[1]character_type_i18n!$1:$1,0)+1),MATCH(L$1,[1]character_type_i18n!$1:$1,0)-MATCH($K$1,[1]character_type_i18n!$1:$1,0)+1,FALSE)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61" s="105" t="s">
        <v>3937</v>
      </c>
      <c r="N1461" s="107" t="str">
        <f>VLOOKUP(M1461,[1]character_tribe_i18n!A:C,3,FALSE)</f>
        <v>サンリオキャラクターズ</v>
      </c>
      <c r="O1461" s="105" t="s">
        <v>278</v>
      </c>
      <c r="P1461" s="107" t="str">
        <f>VLOOKUP(O1461,[1]character_tribe_i18n!A:C,3,FALSE)</f>
        <v>種族なし</v>
      </c>
      <c r="Q1461" s="110" t="s">
        <v>1733</v>
      </c>
      <c r="R1461" s="111">
        <v>1</v>
      </c>
      <c r="S1461" s="108" t="s">
        <v>1734</v>
      </c>
      <c r="T1461" s="108" t="s">
        <v>281</v>
      </c>
      <c r="U1461" s="108" t="s">
        <v>280</v>
      </c>
      <c r="V1461" s="108" t="s">
        <v>894</v>
      </c>
      <c r="W1461" s="108" t="s">
        <v>894</v>
      </c>
    </row>
    <row r="1462" spans="1:23" ht="21" customHeight="1" x14ac:dyDescent="0.15">
      <c r="A1462" s="207">
        <f t="shared" si="17"/>
        <v>8062</v>
      </c>
      <c r="B1462" s="208" t="s">
        <v>1261</v>
      </c>
      <c r="C1462" s="133" t="s">
        <v>3934</v>
      </c>
      <c r="D1462" s="219" t="s">
        <v>3934</v>
      </c>
      <c r="E1462" s="108" t="s">
        <v>3026</v>
      </c>
      <c r="F1462" s="108" t="s">
        <v>3027</v>
      </c>
      <c r="G1462" s="108" t="s">
        <v>853</v>
      </c>
      <c r="H1462" s="131" t="s">
        <v>1678</v>
      </c>
      <c r="I1462" s="140">
        <v>4</v>
      </c>
      <c r="J1462" s="109" t="s">
        <v>2461</v>
      </c>
      <c r="K1462" s="161" t="s">
        <v>3938</v>
      </c>
      <c r="L1462" s="107" t="str">
        <f ca="1">VLOOKUP($K1462,OFFSET([1]character_type_i18n!$A$1,0,0,COUNTA([1]character_type_i18n!$A:$A),MATCH(L$1,[1]character_type_i18n!$1:$1,0)-MATCH($K$1,[1]character_type_i18n!$1:$1,0)+1),MATCH(L$1,[1]character_type_i18n!$1:$1,0)-MATCH($K$1,[1]character_type_i18n!$1:$1,0)+1,FALSE)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62" s="105" t="s">
        <v>2783</v>
      </c>
      <c r="N1462" s="107" t="str">
        <f>VLOOKUP(M1462,[1]character_tribe_i18n!A:C,3,FALSE)</f>
        <v>サンリオキャラクターズ</v>
      </c>
      <c r="O1462" s="105" t="s">
        <v>278</v>
      </c>
      <c r="P1462" s="107" t="str">
        <f>VLOOKUP(O1462,[1]character_tribe_i18n!A:C,3,FALSE)</f>
        <v>種族なし</v>
      </c>
      <c r="Q1462" s="110" t="s">
        <v>2458</v>
      </c>
      <c r="R1462" s="111">
        <v>1</v>
      </c>
      <c r="S1462" s="108" t="s">
        <v>911</v>
      </c>
      <c r="T1462" s="108" t="s">
        <v>281</v>
      </c>
      <c r="U1462" s="108" t="s">
        <v>280</v>
      </c>
      <c r="V1462" s="108" t="s">
        <v>894</v>
      </c>
      <c r="W1462" s="108" t="s">
        <v>894</v>
      </c>
    </row>
    <row r="1463" spans="1:23" ht="21" customHeight="1" x14ac:dyDescent="0.15">
      <c r="A1463" s="207">
        <f t="shared" si="17"/>
        <v>8063</v>
      </c>
      <c r="B1463" s="208" t="s">
        <v>1261</v>
      </c>
      <c r="C1463" s="133" t="s">
        <v>3939</v>
      </c>
      <c r="D1463" s="219" t="s">
        <v>3939</v>
      </c>
      <c r="E1463" s="108" t="s">
        <v>2388</v>
      </c>
      <c r="F1463" s="108" t="s">
        <v>2389</v>
      </c>
      <c r="G1463" s="108" t="s">
        <v>853</v>
      </c>
      <c r="H1463" s="131" t="s">
        <v>295</v>
      </c>
      <c r="I1463" s="140">
        <v>5</v>
      </c>
      <c r="J1463" s="109" t="s">
        <v>1263</v>
      </c>
      <c r="K1463" s="161" t="s">
        <v>3940</v>
      </c>
      <c r="L1463" s="107" t="str">
        <f ca="1">VLOOKUP($K1463,OFFSET([1]character_type_i18n!$A$1,0,0,COUNTA([1]character_type_i18n!$A:$A),MATCH(L$1,[1]character_type_i18n!$1:$1,0)-MATCH($K$1,[1]character_type_i18n!$1:$1,0)+1),MATCH(L$1,[1]character_type_i18n!$1:$1,0)-MATCH($K$1,[1]character_type_i18n!$1:$1,0)+1,FALSE)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63" s="105" t="s">
        <v>2783</v>
      </c>
      <c r="N1463" s="107" t="str">
        <f>VLOOKUP(M1463,[1]character_tribe_i18n!A:C,3,FALSE)</f>
        <v>サンリオキャラクターズ</v>
      </c>
      <c r="O1463" s="105" t="s">
        <v>278</v>
      </c>
      <c r="P1463" s="107" t="str">
        <f>VLOOKUP(O1463,[1]character_tribe_i18n!A:C,3,FALSE)</f>
        <v>種族なし</v>
      </c>
      <c r="Q1463" s="110" t="s">
        <v>279</v>
      </c>
      <c r="R1463" s="111">
        <v>1</v>
      </c>
      <c r="S1463" s="108" t="s">
        <v>280</v>
      </c>
      <c r="T1463" s="108" t="s">
        <v>3528</v>
      </c>
      <c r="U1463" s="108" t="s">
        <v>3314</v>
      </c>
      <c r="V1463" s="108" t="s">
        <v>894</v>
      </c>
      <c r="W1463" s="108" t="s">
        <v>894</v>
      </c>
    </row>
    <row r="1464" spans="1:23" ht="21" customHeight="1" x14ac:dyDescent="0.15">
      <c r="A1464" s="207">
        <f t="shared" si="17"/>
        <v>8064</v>
      </c>
      <c r="B1464" s="208" t="s">
        <v>1261</v>
      </c>
      <c r="C1464" s="133" t="s">
        <v>3939</v>
      </c>
      <c r="D1464" s="219" t="s">
        <v>3939</v>
      </c>
      <c r="E1464" s="108" t="s">
        <v>3026</v>
      </c>
      <c r="F1464" s="108" t="s">
        <v>3027</v>
      </c>
      <c r="G1464" s="108" t="s">
        <v>853</v>
      </c>
      <c r="H1464" s="131" t="s">
        <v>295</v>
      </c>
      <c r="I1464" s="140">
        <v>6</v>
      </c>
      <c r="J1464" s="109" t="s">
        <v>1001</v>
      </c>
      <c r="K1464" s="161" t="s">
        <v>3941</v>
      </c>
      <c r="L1464" s="107" t="str">
        <f ca="1">VLOOKUP($K1464,OFFSET([1]character_type_i18n!$A$1,0,0,COUNTA([1]character_type_i18n!$A:$A),MATCH(L$1,[1]character_type_i18n!$1:$1,0)-MATCH($K$1,[1]character_type_i18n!$1:$1,0)+1),MATCH(L$1,[1]character_type_i18n!$1:$1,0)-MATCH($K$1,[1]character_type_i18n!$1:$1,0)+1,FALSE)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64" s="105" t="s">
        <v>3942</v>
      </c>
      <c r="N1464" s="107" t="str">
        <f>VLOOKUP(M1464,[1]character_tribe_i18n!A:C,3,FALSE)</f>
        <v>サンリオキャラクターズ</v>
      </c>
      <c r="O1464" s="105" t="s">
        <v>278</v>
      </c>
      <c r="P1464" s="107" t="str">
        <f>VLOOKUP(O1464,[1]character_tribe_i18n!A:C,3,FALSE)</f>
        <v>種族なし</v>
      </c>
      <c r="Q1464" s="110" t="s">
        <v>3943</v>
      </c>
      <c r="R1464" s="111">
        <v>1</v>
      </c>
      <c r="S1464" s="108" t="s">
        <v>3944</v>
      </c>
      <c r="T1464" s="108" t="s">
        <v>3945</v>
      </c>
      <c r="U1464" s="108" t="s">
        <v>3944</v>
      </c>
      <c r="V1464" s="108" t="s">
        <v>3944</v>
      </c>
      <c r="W1464" s="108" t="s">
        <v>3944</v>
      </c>
    </row>
    <row r="1465" spans="1:23" ht="21" customHeight="1" x14ac:dyDescent="0.15">
      <c r="A1465" s="207">
        <f t="shared" si="17"/>
        <v>8065</v>
      </c>
      <c r="B1465" s="208" t="s">
        <v>3946</v>
      </c>
      <c r="C1465" s="133" t="s">
        <v>2840</v>
      </c>
      <c r="D1465" s="219" t="s">
        <v>2840</v>
      </c>
      <c r="E1465" s="108" t="s">
        <v>3947</v>
      </c>
      <c r="F1465" s="108" t="s">
        <v>3948</v>
      </c>
      <c r="G1465" s="108" t="s">
        <v>853</v>
      </c>
      <c r="H1465" s="131" t="s">
        <v>295</v>
      </c>
      <c r="I1465" s="140">
        <v>3</v>
      </c>
      <c r="J1465" s="109" t="s">
        <v>2367</v>
      </c>
      <c r="K1465" s="161" t="s">
        <v>2825</v>
      </c>
      <c r="L1465" s="107" t="str">
        <f ca="1">VLOOKUP($K1465,OFFSET([1]character_type_i18n!$A$1,0,0,COUNTA([1]character_type_i18n!$A:$A),MATCH(L$1,[1]character_type_i18n!$1:$1,0)-MATCH($K$1,[1]character_type_i18n!$1:$1,0)+1),MATCH(L$1,[1]character_type_i18n!$1:$1,0)-MATCH($K$1,[1]character_type_i18n!$1:$1,0)+1,FALSE)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65" s="105" t="s">
        <v>3920</v>
      </c>
      <c r="N1465" s="107" t="str">
        <f>VLOOKUP(M1465,[1]character_tribe_i18n!A:C,3,FALSE)</f>
        <v>サンリオキャラクターズ</v>
      </c>
      <c r="O1465" s="105" t="s">
        <v>278</v>
      </c>
      <c r="P1465" s="107" t="str">
        <f>VLOOKUP(O1465,[1]character_tribe_i18n!A:C,3,FALSE)</f>
        <v>種族なし</v>
      </c>
      <c r="Q1465" s="110" t="s">
        <v>1349</v>
      </c>
      <c r="R1465" s="111">
        <v>1</v>
      </c>
      <c r="S1465" s="108" t="s">
        <v>1350</v>
      </c>
      <c r="T1465" s="108" t="s">
        <v>1351</v>
      </c>
      <c r="U1465" s="108" t="s">
        <v>887</v>
      </c>
      <c r="V1465" s="108" t="s">
        <v>887</v>
      </c>
      <c r="W1465" s="108" t="s">
        <v>887</v>
      </c>
    </row>
    <row r="1466" spans="1:23" ht="21" customHeight="1" x14ac:dyDescent="0.15">
      <c r="A1466" s="207">
        <f t="shared" si="17"/>
        <v>8066</v>
      </c>
      <c r="B1466" s="208" t="s">
        <v>1288</v>
      </c>
      <c r="C1466" s="133" t="s">
        <v>2840</v>
      </c>
      <c r="D1466" s="219" t="s">
        <v>2840</v>
      </c>
      <c r="E1466" s="108" t="s">
        <v>2431</v>
      </c>
      <c r="F1466" s="108" t="s">
        <v>2432</v>
      </c>
      <c r="G1466" s="108" t="s">
        <v>853</v>
      </c>
      <c r="H1466" s="131" t="s">
        <v>295</v>
      </c>
      <c r="I1466" s="140">
        <v>4</v>
      </c>
      <c r="J1466" s="109" t="s">
        <v>2461</v>
      </c>
      <c r="K1466" s="161" t="s">
        <v>3949</v>
      </c>
      <c r="L1466" s="107" t="str">
        <f ca="1">VLOOKUP($K1466,OFFSET([1]character_type_i18n!$A$1,0,0,COUNTA([1]character_type_i18n!$A:$A),MATCH(L$1,[1]character_type_i18n!$1:$1,0)-MATCH($K$1,[1]character_type_i18n!$1:$1,0)+1),MATCH(L$1,[1]character_type_i18n!$1:$1,0)-MATCH($K$1,[1]character_type_i18n!$1:$1,0)+1,FALSE)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66" s="105" t="s">
        <v>3937</v>
      </c>
      <c r="N1466" s="107" t="str">
        <f>VLOOKUP(M1466,[1]character_tribe_i18n!A:C,3,FALSE)</f>
        <v>サンリオキャラクターズ</v>
      </c>
      <c r="O1466" s="105" t="s">
        <v>278</v>
      </c>
      <c r="P1466" s="107" t="str">
        <f>VLOOKUP(O1466,[1]character_tribe_i18n!A:C,3,FALSE)</f>
        <v>種族なし</v>
      </c>
      <c r="Q1466" s="110" t="s">
        <v>279</v>
      </c>
      <c r="R1466" s="111">
        <v>1</v>
      </c>
      <c r="S1466" s="108" t="s">
        <v>280</v>
      </c>
      <c r="T1466" s="108" t="s">
        <v>281</v>
      </c>
      <c r="U1466" s="108" t="s">
        <v>280</v>
      </c>
      <c r="V1466" s="108" t="s">
        <v>280</v>
      </c>
      <c r="W1466" s="108" t="s">
        <v>280</v>
      </c>
    </row>
    <row r="1467" spans="1:23" ht="21" customHeight="1" x14ac:dyDescent="0.15">
      <c r="A1467" s="207">
        <f t="shared" si="17"/>
        <v>8067</v>
      </c>
      <c r="B1467" s="208" t="s">
        <v>268</v>
      </c>
      <c r="C1467" s="133" t="s">
        <v>2849</v>
      </c>
      <c r="D1467" s="219" t="s">
        <v>2849</v>
      </c>
      <c r="E1467" s="108" t="s">
        <v>709</v>
      </c>
      <c r="F1467" s="108" t="s">
        <v>532</v>
      </c>
      <c r="G1467" s="108" t="s">
        <v>853</v>
      </c>
      <c r="H1467" s="131" t="s">
        <v>295</v>
      </c>
      <c r="I1467" s="140">
        <v>3</v>
      </c>
      <c r="J1467" s="109" t="s">
        <v>2367</v>
      </c>
      <c r="K1467" s="161" t="s">
        <v>3950</v>
      </c>
      <c r="L1467" s="107" t="str">
        <f ca="1">VLOOKUP($K1467,OFFSET([1]character_type_i18n!$A$1,0,0,COUNTA([1]character_type_i18n!$A:$A),MATCH(L$1,[1]character_type_i18n!$1:$1,0)-MATCH($K$1,[1]character_type_i18n!$1:$1,0)+1),MATCH(L$1,[1]character_type_i18n!$1:$1,0)-MATCH($K$1,[1]character_type_i18n!$1:$1,0)+1,FALSE)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67" s="105" t="s">
        <v>2783</v>
      </c>
      <c r="N1467" s="107" t="str">
        <f>VLOOKUP(M1467,[1]character_tribe_i18n!A:C,3,FALSE)</f>
        <v>サンリオキャラクターズ</v>
      </c>
      <c r="O1467" s="105" t="s">
        <v>278</v>
      </c>
      <c r="P1467" s="107" t="str">
        <f>VLOOKUP(O1467,[1]character_tribe_i18n!A:C,3,FALSE)</f>
        <v>種族なし</v>
      </c>
      <c r="Q1467" s="110" t="s">
        <v>1656</v>
      </c>
      <c r="R1467" s="111">
        <v>1</v>
      </c>
      <c r="S1467" s="108" t="s">
        <v>898</v>
      </c>
      <c r="T1467" s="108" t="s">
        <v>2175</v>
      </c>
      <c r="U1467" s="108" t="s">
        <v>1659</v>
      </c>
      <c r="V1467" s="108" t="s">
        <v>894</v>
      </c>
      <c r="W1467" s="108" t="s">
        <v>894</v>
      </c>
    </row>
    <row r="1468" spans="1:23" ht="21" customHeight="1" x14ac:dyDescent="0.15">
      <c r="A1468" s="207">
        <f t="shared" si="17"/>
        <v>8068</v>
      </c>
      <c r="B1468" s="208" t="s">
        <v>1261</v>
      </c>
      <c r="C1468" s="133" t="s">
        <v>2849</v>
      </c>
      <c r="D1468" s="219" t="s">
        <v>2849</v>
      </c>
      <c r="E1468" s="108" t="s">
        <v>3026</v>
      </c>
      <c r="F1468" s="108" t="s">
        <v>3027</v>
      </c>
      <c r="G1468" s="108" t="s">
        <v>853</v>
      </c>
      <c r="H1468" s="131" t="s">
        <v>295</v>
      </c>
      <c r="I1468" s="140">
        <v>4</v>
      </c>
      <c r="J1468" s="109" t="s">
        <v>2367</v>
      </c>
      <c r="K1468" s="161" t="s">
        <v>2854</v>
      </c>
      <c r="L1468" s="107" t="str">
        <f ca="1">VLOOKUP($K1468,OFFSET([1]character_type_i18n!$A$1,0,0,COUNTA([1]character_type_i18n!$A:$A),MATCH(L$1,[1]character_type_i18n!$1:$1,0)-MATCH($K$1,[1]character_type_i18n!$1:$1,0)+1),MATCH(L$1,[1]character_type_i18n!$1:$1,0)-MATCH($K$1,[1]character_type_i18n!$1:$1,0)+1,FALSE)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68" s="105" t="s">
        <v>3951</v>
      </c>
      <c r="N1468" s="107" t="str">
        <f>VLOOKUP(M1468,[1]character_tribe_i18n!A:C,3,FALSE)</f>
        <v>サンリオキャラクターズ</v>
      </c>
      <c r="O1468" s="105" t="s">
        <v>278</v>
      </c>
      <c r="P1468" s="107" t="str">
        <f>VLOOKUP(O1468,[1]character_tribe_i18n!A:C,3,FALSE)</f>
        <v>種族なし</v>
      </c>
      <c r="Q1468" s="110" t="s">
        <v>1682</v>
      </c>
      <c r="R1468" s="111">
        <v>1</v>
      </c>
      <c r="S1468" s="108" t="s">
        <v>280</v>
      </c>
      <c r="T1468" s="108" t="s">
        <v>281</v>
      </c>
      <c r="U1468" s="108" t="s">
        <v>280</v>
      </c>
      <c r="V1468" s="108" t="s">
        <v>280</v>
      </c>
      <c r="W1468" s="108" t="s">
        <v>280</v>
      </c>
    </row>
    <row r="1469" spans="1:23" ht="21" customHeight="1" x14ac:dyDescent="0.15">
      <c r="A1469" s="207">
        <f t="shared" si="17"/>
        <v>8069</v>
      </c>
      <c r="B1469" s="208" t="s">
        <v>268</v>
      </c>
      <c r="C1469" s="133" t="s">
        <v>3952</v>
      </c>
      <c r="D1469" s="219" t="s">
        <v>3952</v>
      </c>
      <c r="E1469" s="108" t="s">
        <v>709</v>
      </c>
      <c r="F1469" s="108" t="s">
        <v>532</v>
      </c>
      <c r="G1469" s="108" t="s">
        <v>853</v>
      </c>
      <c r="H1469" s="131" t="s">
        <v>300</v>
      </c>
      <c r="I1469" s="140">
        <v>4</v>
      </c>
      <c r="J1469" s="109" t="s">
        <v>3953</v>
      </c>
      <c r="K1469" s="161" t="s">
        <v>3954</v>
      </c>
      <c r="L1469" s="107" t="str">
        <f ca="1">VLOOKUP($K1469,OFFSET([1]character_type_i18n!$A$1,0,0,COUNTA([1]character_type_i18n!$A:$A),MATCH(L$1,[1]character_type_i18n!$1:$1,0)-MATCH($K$1,[1]character_type_i18n!$1:$1,0)+1),MATCH(L$1,[1]character_type_i18n!$1:$1,0)-MATCH($K$1,[1]character_type_i18n!$1:$1,0)+1,FALSE)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69" s="105" t="s">
        <v>2783</v>
      </c>
      <c r="N1469" s="107" t="str">
        <f>VLOOKUP(M1469,[1]character_tribe_i18n!A:C,3,FALSE)</f>
        <v>サンリオキャラクターズ</v>
      </c>
      <c r="O1469" s="105" t="s">
        <v>278</v>
      </c>
      <c r="P1469" s="107" t="str">
        <f>VLOOKUP(O1469,[1]character_tribe_i18n!A:C,3,FALSE)</f>
        <v>種族なし</v>
      </c>
      <c r="Q1469" s="110" t="s">
        <v>279</v>
      </c>
      <c r="R1469" s="111">
        <v>1</v>
      </c>
      <c r="S1469" s="108" t="s">
        <v>280</v>
      </c>
      <c r="T1469" s="108" t="s">
        <v>281</v>
      </c>
      <c r="U1469" s="108" t="s">
        <v>280</v>
      </c>
      <c r="V1469" s="108" t="s">
        <v>280</v>
      </c>
      <c r="W1469" s="108" t="s">
        <v>280</v>
      </c>
    </row>
    <row r="1470" spans="1:23" ht="21" customHeight="1" x14ac:dyDescent="0.15">
      <c r="A1470" s="207">
        <f t="shared" si="17"/>
        <v>8070</v>
      </c>
      <c r="B1470" s="208" t="s">
        <v>268</v>
      </c>
      <c r="C1470" s="133" t="s">
        <v>3952</v>
      </c>
      <c r="D1470" s="219" t="s">
        <v>3952</v>
      </c>
      <c r="E1470" s="108" t="s">
        <v>709</v>
      </c>
      <c r="F1470" s="108" t="s">
        <v>532</v>
      </c>
      <c r="G1470" s="108" t="s">
        <v>853</v>
      </c>
      <c r="H1470" s="131" t="s">
        <v>300</v>
      </c>
      <c r="I1470" s="140">
        <v>5</v>
      </c>
      <c r="J1470" s="109" t="s">
        <v>2367</v>
      </c>
      <c r="K1470" s="161" t="s">
        <v>3954</v>
      </c>
      <c r="L1470" s="107" t="str">
        <f ca="1">VLOOKUP($K1470,OFFSET([1]character_type_i18n!$A$1,0,0,COUNTA([1]character_type_i18n!$A:$A),MATCH(L$1,[1]character_type_i18n!$1:$1,0)-MATCH($K$1,[1]character_type_i18n!$1:$1,0)+1),MATCH(L$1,[1]character_type_i18n!$1:$1,0)-MATCH($K$1,[1]character_type_i18n!$1:$1,0)+1,FALSE)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70" s="105" t="s">
        <v>2783</v>
      </c>
      <c r="N1470" s="107" t="str">
        <f>VLOOKUP(M1470,[1]character_tribe_i18n!A:C,3,FALSE)</f>
        <v>サンリオキャラクターズ</v>
      </c>
      <c r="O1470" s="105" t="s">
        <v>278</v>
      </c>
      <c r="P1470" s="107" t="str">
        <f>VLOOKUP(O1470,[1]character_tribe_i18n!A:C,3,FALSE)</f>
        <v>種族なし</v>
      </c>
      <c r="Q1470" s="110" t="s">
        <v>279</v>
      </c>
      <c r="R1470" s="111">
        <v>1</v>
      </c>
      <c r="S1470" s="108" t="s">
        <v>280</v>
      </c>
      <c r="T1470" s="108" t="s">
        <v>281</v>
      </c>
      <c r="U1470" s="108" t="s">
        <v>280</v>
      </c>
      <c r="V1470" s="108" t="s">
        <v>280</v>
      </c>
      <c r="W1470" s="108" t="s">
        <v>280</v>
      </c>
    </row>
    <row r="1471" spans="1:23" ht="21" customHeight="1" x14ac:dyDescent="0.15">
      <c r="A1471" s="207">
        <f t="shared" si="17"/>
        <v>8071</v>
      </c>
      <c r="B1471" s="208" t="s">
        <v>268</v>
      </c>
      <c r="C1471" s="133" t="s">
        <v>2861</v>
      </c>
      <c r="D1471" s="219" t="s">
        <v>2861</v>
      </c>
      <c r="E1471" s="108" t="s">
        <v>709</v>
      </c>
      <c r="F1471" s="108" t="s">
        <v>532</v>
      </c>
      <c r="G1471" s="108" t="s">
        <v>853</v>
      </c>
      <c r="H1471" s="131" t="s">
        <v>300</v>
      </c>
      <c r="I1471" s="140">
        <v>3</v>
      </c>
      <c r="J1471" s="109" t="s">
        <v>1573</v>
      </c>
      <c r="K1471" s="161" t="s">
        <v>3955</v>
      </c>
      <c r="L1471" s="107" t="str">
        <f ca="1">VLOOKUP($K1471,OFFSET([1]character_type_i18n!$A$1,0,0,COUNTA([1]character_type_i18n!$A:$A),MATCH(L$1,[1]character_type_i18n!$1:$1,0)-MATCH($K$1,[1]character_type_i18n!$1:$1,0)+1),MATCH(L$1,[1]character_type_i18n!$1:$1,0)-MATCH($K$1,[1]character_type_i18n!$1:$1,0)+1,FALSE)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71" s="105" t="s">
        <v>2783</v>
      </c>
      <c r="N1471" s="107" t="str">
        <f>VLOOKUP(M1471,[1]character_tribe_i18n!A:C,3,FALSE)</f>
        <v>サンリオキャラクターズ</v>
      </c>
      <c r="O1471" s="105" t="s">
        <v>278</v>
      </c>
      <c r="P1471" s="107" t="str">
        <f>VLOOKUP(O1471,[1]character_tribe_i18n!A:C,3,FALSE)</f>
        <v>種族なし</v>
      </c>
      <c r="Q1471" s="110" t="s">
        <v>279</v>
      </c>
      <c r="R1471" s="111">
        <v>1</v>
      </c>
      <c r="S1471" s="108" t="s">
        <v>280</v>
      </c>
      <c r="T1471" s="108" t="s">
        <v>281</v>
      </c>
      <c r="U1471" s="108" t="s">
        <v>280</v>
      </c>
      <c r="V1471" s="108" t="s">
        <v>280</v>
      </c>
      <c r="W1471" s="108" t="s">
        <v>280</v>
      </c>
    </row>
    <row r="1472" spans="1:23" ht="21" customHeight="1" x14ac:dyDescent="0.15">
      <c r="A1472" s="207">
        <f t="shared" si="17"/>
        <v>8072</v>
      </c>
      <c r="B1472" s="208" t="s">
        <v>268</v>
      </c>
      <c r="C1472" s="133" t="s">
        <v>2861</v>
      </c>
      <c r="D1472" s="219" t="s">
        <v>2861</v>
      </c>
      <c r="E1472" s="108" t="s">
        <v>709</v>
      </c>
      <c r="F1472" s="108" t="s">
        <v>532</v>
      </c>
      <c r="G1472" s="108" t="s">
        <v>853</v>
      </c>
      <c r="H1472" s="131" t="s">
        <v>300</v>
      </c>
      <c r="I1472" s="140">
        <v>4</v>
      </c>
      <c r="J1472" s="109" t="s">
        <v>1573</v>
      </c>
      <c r="K1472" s="161" t="s">
        <v>3955</v>
      </c>
      <c r="L1472" s="107" t="str">
        <f ca="1">VLOOKUP($K1472,OFFSET([1]character_type_i18n!$A$1,0,0,COUNTA([1]character_type_i18n!$A:$A),MATCH(L$1,[1]character_type_i18n!$1:$1,0)-MATCH($K$1,[1]character_type_i18n!$1:$1,0)+1),MATCH(L$1,[1]character_type_i18n!$1:$1,0)-MATCH($K$1,[1]character_type_i18n!$1:$1,0)+1,FALSE)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72" s="105" t="s">
        <v>2783</v>
      </c>
      <c r="N1472" s="107" t="str">
        <f>VLOOKUP(M1472,[1]character_tribe_i18n!A:C,3,FALSE)</f>
        <v>サンリオキャラクターズ</v>
      </c>
      <c r="O1472" s="105" t="s">
        <v>278</v>
      </c>
      <c r="P1472" s="107" t="str">
        <f>VLOOKUP(O1472,[1]character_tribe_i18n!A:C,3,FALSE)</f>
        <v>種族なし</v>
      </c>
      <c r="Q1472" s="110" t="s">
        <v>279</v>
      </c>
      <c r="R1472" s="111">
        <v>1</v>
      </c>
      <c r="S1472" s="108" t="s">
        <v>280</v>
      </c>
      <c r="T1472" s="108" t="s">
        <v>281</v>
      </c>
      <c r="U1472" s="108" t="s">
        <v>280</v>
      </c>
      <c r="V1472" s="108" t="s">
        <v>280</v>
      </c>
      <c r="W1472" s="108" t="s">
        <v>280</v>
      </c>
    </row>
    <row r="1473" spans="1:23" ht="21" customHeight="1" x14ac:dyDescent="0.15">
      <c r="A1473" s="207">
        <v>8077</v>
      </c>
      <c r="B1473" s="208" t="s">
        <v>268</v>
      </c>
      <c r="C1473" s="217" t="s">
        <v>3956</v>
      </c>
      <c r="D1473" s="219" t="s">
        <v>2861</v>
      </c>
      <c r="E1473" s="108" t="s">
        <v>709</v>
      </c>
      <c r="F1473" s="108" t="s">
        <v>532</v>
      </c>
      <c r="G1473" s="108" t="s">
        <v>853</v>
      </c>
      <c r="H1473" s="131" t="s">
        <v>295</v>
      </c>
      <c r="I1473" s="140">
        <v>5</v>
      </c>
      <c r="J1473" s="109" t="s">
        <v>1220</v>
      </c>
      <c r="K1473" s="161" t="s">
        <v>3950</v>
      </c>
      <c r="L1473" s="107" t="str">
        <f ca="1">VLOOKUP($K1473,OFFSET([1]character_type_i18n!$A$1,0,0,COUNTA([1]character_type_i18n!$A:$A),MATCH(L$1,[1]character_type_i18n!$1:$1,0)-MATCH($K$1,[1]character_type_i18n!$1:$1,0)+1),MATCH(L$1,[1]character_type_i18n!$1:$1,0)-MATCH($K$1,[1]character_type_i18n!$1:$1,0)+1,FALSE)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73" s="210" t="s">
        <v>1011</v>
      </c>
      <c r="N1473" s="107" t="str">
        <f>VLOOKUP(M1473,[1]character_tribe_i18n!A:C,3,FALSE)</f>
        <v>ヒューマン</v>
      </c>
      <c r="O1473" s="105" t="s">
        <v>278</v>
      </c>
      <c r="P1473" s="107" t="str">
        <f>VLOOKUP(O1473,[1]character_tribe_i18n!A:C,3,FALSE)</f>
        <v>種族なし</v>
      </c>
      <c r="Q1473" s="110" t="s">
        <v>279</v>
      </c>
      <c r="R1473" s="111">
        <v>1</v>
      </c>
      <c r="S1473" s="108" t="s">
        <v>280</v>
      </c>
      <c r="T1473" s="108" t="s">
        <v>281</v>
      </c>
      <c r="U1473" s="108" t="s">
        <v>280</v>
      </c>
      <c r="V1473" s="108" t="s">
        <v>280</v>
      </c>
      <c r="W1473" s="108" t="s">
        <v>280</v>
      </c>
    </row>
    <row r="1474" spans="1:23" ht="21" customHeight="1" x14ac:dyDescent="0.15">
      <c r="A1474" s="207">
        <v>8078</v>
      </c>
      <c r="B1474" s="208" t="s">
        <v>268</v>
      </c>
      <c r="C1474" s="217" t="s">
        <v>3957</v>
      </c>
      <c r="D1474" s="219" t="s">
        <v>2861</v>
      </c>
      <c r="E1474" s="108" t="s">
        <v>709</v>
      </c>
      <c r="F1474" s="108" t="s">
        <v>532</v>
      </c>
      <c r="G1474" s="108" t="s">
        <v>853</v>
      </c>
      <c r="H1474" s="131" t="s">
        <v>295</v>
      </c>
      <c r="I1474" s="140">
        <v>6</v>
      </c>
      <c r="J1474" s="109" t="s">
        <v>1220</v>
      </c>
      <c r="K1474" s="161" t="s">
        <v>3950</v>
      </c>
      <c r="L1474" s="107" t="str">
        <f ca="1">VLOOKUP($K1474,OFFSET([1]character_type_i18n!$A$1,0,0,COUNTA([1]character_type_i18n!$A:$A),MATCH(L$1,[1]character_type_i18n!$1:$1,0)-MATCH($K$1,[1]character_type_i18n!$1:$1,0)+1),MATCH(L$1,[1]character_type_i18n!$1:$1,0)-MATCH($K$1,[1]character_type_i18n!$1:$1,0)+1,FALSE)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74" s="210" t="s">
        <v>1011</v>
      </c>
      <c r="N1474" s="107" t="str">
        <f>VLOOKUP(M1474,[1]character_tribe_i18n!A:C,3,FALSE)</f>
        <v>ヒューマン</v>
      </c>
      <c r="O1474" s="105" t="s">
        <v>3958</v>
      </c>
      <c r="P1474" s="107" t="str">
        <f>VLOOKUP(O1474,[1]character_tribe_i18n!A:C,3,FALSE)</f>
        <v>ヒーロー</v>
      </c>
      <c r="Q1474" s="110" t="s">
        <v>279</v>
      </c>
      <c r="R1474" s="111">
        <v>1</v>
      </c>
      <c r="S1474" s="108" t="s">
        <v>280</v>
      </c>
      <c r="T1474" s="108" t="s">
        <v>281</v>
      </c>
      <c r="U1474" s="108" t="s">
        <v>280</v>
      </c>
      <c r="V1474" s="108" t="s">
        <v>280</v>
      </c>
      <c r="W1474" s="108" t="s">
        <v>280</v>
      </c>
    </row>
    <row r="1475" spans="1:23" ht="21" customHeight="1" x14ac:dyDescent="0.15">
      <c r="A1475" s="207">
        <v>8079</v>
      </c>
      <c r="B1475" s="208" t="s">
        <v>268</v>
      </c>
      <c r="C1475" s="217" t="s">
        <v>3959</v>
      </c>
      <c r="D1475" s="219" t="s">
        <v>2861</v>
      </c>
      <c r="E1475" s="108" t="s">
        <v>709</v>
      </c>
      <c r="F1475" s="108" t="s">
        <v>532</v>
      </c>
      <c r="G1475" s="108" t="s">
        <v>853</v>
      </c>
      <c r="H1475" s="131" t="s">
        <v>274</v>
      </c>
      <c r="I1475" s="140">
        <v>5</v>
      </c>
      <c r="J1475" s="109" t="s">
        <v>1618</v>
      </c>
      <c r="K1475" s="161" t="s">
        <v>3955</v>
      </c>
      <c r="L1475" s="107" t="str">
        <f ca="1">VLOOKUP($K1475,OFFSET([1]character_type_i18n!$A$1,0,0,COUNTA([1]character_type_i18n!$A:$A),MATCH(L$1,[1]character_type_i18n!$1:$1,0)-MATCH($K$1,[1]character_type_i18n!$1:$1,0)+1),MATCH(L$1,[1]character_type_i18n!$1:$1,0)-MATCH($K$1,[1]character_type_i18n!$1:$1,0)+1,FALSE)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75" s="210" t="s">
        <v>854</v>
      </c>
      <c r="N1475" s="107" t="str">
        <f>VLOOKUP(M1475,[1]character_tribe_i18n!A:C,3,FALSE)</f>
        <v>ドラゴン</v>
      </c>
      <c r="O1475" s="105" t="s">
        <v>278</v>
      </c>
      <c r="P1475" s="107" t="str">
        <f>VLOOKUP(O1475,[1]character_tribe_i18n!A:C,3,FALSE)</f>
        <v>種族なし</v>
      </c>
      <c r="Q1475" s="110" t="s">
        <v>279</v>
      </c>
      <c r="R1475" s="111">
        <v>1</v>
      </c>
      <c r="S1475" s="108" t="s">
        <v>280</v>
      </c>
      <c r="T1475" s="108" t="s">
        <v>281</v>
      </c>
      <c r="U1475" s="108" t="s">
        <v>280</v>
      </c>
      <c r="V1475" s="108" t="s">
        <v>280</v>
      </c>
      <c r="W1475" s="108" t="s">
        <v>280</v>
      </c>
    </row>
    <row r="1476" spans="1:23" ht="21" customHeight="1" x14ac:dyDescent="0.15">
      <c r="A1476" s="207">
        <v>8080</v>
      </c>
      <c r="B1476" s="208" t="s">
        <v>268</v>
      </c>
      <c r="C1476" s="217" t="s">
        <v>3960</v>
      </c>
      <c r="D1476" s="219" t="s">
        <v>2861</v>
      </c>
      <c r="E1476" s="108" t="s">
        <v>709</v>
      </c>
      <c r="F1476" s="108" t="s">
        <v>532</v>
      </c>
      <c r="G1476" s="108" t="s">
        <v>853</v>
      </c>
      <c r="H1476" s="131" t="s">
        <v>274</v>
      </c>
      <c r="I1476" s="140">
        <v>6</v>
      </c>
      <c r="J1476" s="109" t="s">
        <v>1618</v>
      </c>
      <c r="K1476" s="161" t="s">
        <v>3955</v>
      </c>
      <c r="L1476" s="107" t="str">
        <f ca="1">VLOOKUP($K1476,OFFSET([1]character_type_i18n!$A$1,0,0,COUNTA([1]character_type_i18n!$A:$A),MATCH(L$1,[1]character_type_i18n!$1:$1,0)-MATCH($K$1,[1]character_type_i18n!$1:$1,0)+1),MATCH(L$1,[1]character_type_i18n!$1:$1,0)-MATCH($K$1,[1]character_type_i18n!$1:$1,0)+1,FALSE)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76" s="210" t="s">
        <v>854</v>
      </c>
      <c r="N1476" s="107" t="str">
        <f>VLOOKUP(M1476,[1]character_tribe_i18n!A:C,3,FALSE)</f>
        <v>ドラゴン</v>
      </c>
      <c r="O1476" s="210" t="s">
        <v>1164</v>
      </c>
      <c r="P1476" s="107" t="str">
        <f>VLOOKUP(O1476,[1]character_tribe_i18n!A:C,3,FALSE)</f>
        <v>Unknown</v>
      </c>
      <c r="Q1476" s="110" t="s">
        <v>279</v>
      </c>
      <c r="R1476" s="111">
        <v>1</v>
      </c>
      <c r="S1476" s="108" t="s">
        <v>280</v>
      </c>
      <c r="T1476" s="108" t="s">
        <v>281</v>
      </c>
      <c r="U1476" s="108" t="s">
        <v>280</v>
      </c>
      <c r="V1476" s="108" t="s">
        <v>280</v>
      </c>
      <c r="W1476" s="108" t="s">
        <v>280</v>
      </c>
    </row>
    <row r="1477" spans="1:23" ht="21" customHeight="1" x14ac:dyDescent="0.15">
      <c r="A1477" s="207">
        <v>8095</v>
      </c>
      <c r="B1477" s="208" t="s">
        <v>268</v>
      </c>
      <c r="C1477" s="217" t="s">
        <v>3961</v>
      </c>
      <c r="D1477" s="219" t="s">
        <v>2861</v>
      </c>
      <c r="E1477" s="108" t="s">
        <v>709</v>
      </c>
      <c r="F1477" s="108" t="s">
        <v>532</v>
      </c>
      <c r="G1477" s="108" t="s">
        <v>853</v>
      </c>
      <c r="H1477" s="105" t="s">
        <v>1141</v>
      </c>
      <c r="I1477" s="115">
        <v>6</v>
      </c>
      <c r="J1477" s="115" t="s">
        <v>537</v>
      </c>
      <c r="K1477" s="105" t="s">
        <v>538</v>
      </c>
      <c r="L1477" s="107" t="str">
        <f ca="1">VLOOKUP($K1477,OFFSET([1]character_type_i18n!$A$1,0,0,COUNTA([1]character_type_i18n!$A:$A),MATCH(L$1,[1]character_type_i18n!$1:$1,0)-MATCH($K$1,[1]character_type_i18n!$1:$1,0)+1),MATCH(L$1,[1]character_type_i18n!$1:$1,0)-MATCH($K$1,[1]character_type_i18n!$1:$1,0)+1,FALSE)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477" s="105" t="s">
        <v>277</v>
      </c>
      <c r="N1477" s="107" t="str">
        <f>VLOOKUP(M1477,[1]character_tribe_i18n!A:C,3,FALSE)</f>
        <v>Unknown</v>
      </c>
      <c r="O1477" s="105" t="s">
        <v>278</v>
      </c>
      <c r="P1477" s="107" t="str">
        <f>VLOOKUP(O1477,[1]character_tribe_i18n!A:C,3,FALSE)</f>
        <v>種族なし</v>
      </c>
      <c r="Q1477" s="110" t="s">
        <v>539</v>
      </c>
      <c r="R1477" s="111">
        <v>1</v>
      </c>
      <c r="S1477" s="108" t="s">
        <v>280</v>
      </c>
      <c r="T1477" s="108" t="s">
        <v>281</v>
      </c>
      <c r="U1477" s="108" t="s">
        <v>280</v>
      </c>
      <c r="V1477" s="108" t="s">
        <v>280</v>
      </c>
      <c r="W1477" s="108" t="s">
        <v>280</v>
      </c>
    </row>
    <row r="1478" spans="1:23" ht="21" customHeight="1" x14ac:dyDescent="0.15">
      <c r="A1478" s="207">
        <v>8096</v>
      </c>
      <c r="B1478" s="208" t="s">
        <v>268</v>
      </c>
      <c r="C1478" s="217" t="s">
        <v>3962</v>
      </c>
      <c r="D1478" s="219" t="s">
        <v>2861</v>
      </c>
      <c r="E1478" s="108" t="s">
        <v>709</v>
      </c>
      <c r="F1478" s="108" t="s">
        <v>532</v>
      </c>
      <c r="G1478" s="108" t="s">
        <v>853</v>
      </c>
      <c r="H1478" s="105" t="s">
        <v>1617</v>
      </c>
      <c r="I1478" s="115">
        <v>6</v>
      </c>
      <c r="J1478" s="115" t="s">
        <v>537</v>
      </c>
      <c r="K1478" s="105" t="s">
        <v>538</v>
      </c>
      <c r="L1478" s="107" t="str">
        <f ca="1">VLOOKUP($K1478,OFFSET([1]character_type_i18n!$A$1,0,0,COUNTA([1]character_type_i18n!$A:$A),MATCH(L$1,[1]character_type_i18n!$1:$1,0)-MATCH($K$1,[1]character_type_i18n!$1:$1,0)+1),MATCH(L$1,[1]character_type_i18n!$1:$1,0)-MATCH($K$1,[1]character_type_i18n!$1:$1,0)+1,FALSE)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478" s="105" t="s">
        <v>277</v>
      </c>
      <c r="N1478" s="107" t="str">
        <f>VLOOKUP(M1478,[1]character_tribe_i18n!A:C,3,FALSE)</f>
        <v>Unknown</v>
      </c>
      <c r="O1478" s="105" t="s">
        <v>278</v>
      </c>
      <c r="P1478" s="107" t="str">
        <f>VLOOKUP(O1478,[1]character_tribe_i18n!A:C,3,FALSE)</f>
        <v>種族なし</v>
      </c>
      <c r="Q1478" s="110" t="s">
        <v>539</v>
      </c>
      <c r="R1478" s="111">
        <v>1</v>
      </c>
      <c r="S1478" s="108" t="s">
        <v>280</v>
      </c>
      <c r="T1478" s="108" t="s">
        <v>281</v>
      </c>
      <c r="U1478" s="108" t="s">
        <v>280</v>
      </c>
      <c r="V1478" s="108" t="s">
        <v>280</v>
      </c>
      <c r="W1478" s="108" t="s">
        <v>280</v>
      </c>
    </row>
    <row r="1479" spans="1:23" ht="21" customHeight="1" x14ac:dyDescent="0.15">
      <c r="A1479" s="207">
        <v>8097</v>
      </c>
      <c r="B1479" s="208" t="s">
        <v>268</v>
      </c>
      <c r="C1479" s="217" t="s">
        <v>3963</v>
      </c>
      <c r="D1479" s="219" t="s">
        <v>2861</v>
      </c>
      <c r="E1479" s="108" t="s">
        <v>709</v>
      </c>
      <c r="F1479" s="108" t="s">
        <v>532</v>
      </c>
      <c r="G1479" s="108" t="s">
        <v>853</v>
      </c>
      <c r="H1479" s="105" t="s">
        <v>1761</v>
      </c>
      <c r="I1479" s="115">
        <v>6</v>
      </c>
      <c r="J1479" s="115" t="s">
        <v>537</v>
      </c>
      <c r="K1479" s="105" t="s">
        <v>538</v>
      </c>
      <c r="L1479" s="107" t="str">
        <f ca="1">VLOOKUP($K1479,OFFSET([1]character_type_i18n!$A$1,0,0,COUNTA([1]character_type_i18n!$A:$A),MATCH(L$1,[1]character_type_i18n!$1:$1,0)-MATCH($K$1,[1]character_type_i18n!$1:$1,0)+1),MATCH(L$1,[1]character_type_i18n!$1:$1,0)-MATCH($K$1,[1]character_type_i18n!$1:$1,0)+1,FALSE)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479" s="105" t="s">
        <v>277</v>
      </c>
      <c r="N1479" s="107" t="str">
        <f>VLOOKUP(M1479,[1]character_tribe_i18n!A:C,3,FALSE)</f>
        <v>Unknown</v>
      </c>
      <c r="O1479" s="105" t="s">
        <v>278</v>
      </c>
      <c r="P1479" s="107" t="str">
        <f>VLOOKUP(O1479,[1]character_tribe_i18n!A:C,3,FALSE)</f>
        <v>種族なし</v>
      </c>
      <c r="Q1479" s="110" t="s">
        <v>539</v>
      </c>
      <c r="R1479" s="111">
        <v>1</v>
      </c>
      <c r="S1479" s="108" t="s">
        <v>280</v>
      </c>
      <c r="T1479" s="108" t="s">
        <v>281</v>
      </c>
      <c r="U1479" s="108" t="s">
        <v>280</v>
      </c>
      <c r="V1479" s="108" t="s">
        <v>280</v>
      </c>
      <c r="W1479" s="108" t="s">
        <v>280</v>
      </c>
    </row>
    <row r="1480" spans="1:23" ht="21" customHeight="1" x14ac:dyDescent="0.15">
      <c r="A1480" s="207">
        <v>8098</v>
      </c>
      <c r="B1480" s="208" t="s">
        <v>268</v>
      </c>
      <c r="C1480" s="217" t="s">
        <v>3964</v>
      </c>
      <c r="D1480" s="219" t="s">
        <v>2861</v>
      </c>
      <c r="E1480" s="108" t="s">
        <v>709</v>
      </c>
      <c r="F1480" s="108" t="s">
        <v>532</v>
      </c>
      <c r="G1480" s="108" t="s">
        <v>853</v>
      </c>
      <c r="H1480" s="105" t="s">
        <v>1795</v>
      </c>
      <c r="I1480" s="115">
        <v>6</v>
      </c>
      <c r="J1480" s="115" t="s">
        <v>537</v>
      </c>
      <c r="K1480" s="105" t="s">
        <v>538</v>
      </c>
      <c r="L1480" s="107" t="str">
        <f ca="1">VLOOKUP($K1480,OFFSET([1]character_type_i18n!$A$1,0,0,COUNTA([1]character_type_i18n!$A:$A),MATCH(L$1,[1]character_type_i18n!$1:$1,0)-MATCH($K$1,[1]character_type_i18n!$1:$1,0)+1),MATCH(L$1,[1]character_type_i18n!$1:$1,0)-MATCH($K$1,[1]character_type_i18n!$1:$1,0)+1,FALSE)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480" s="105" t="s">
        <v>277</v>
      </c>
      <c r="N1480" s="107" t="str">
        <f>VLOOKUP(M1480,[1]character_tribe_i18n!A:C,3,FALSE)</f>
        <v>Unknown</v>
      </c>
      <c r="O1480" s="105" t="s">
        <v>278</v>
      </c>
      <c r="P1480" s="107" t="str">
        <f>VLOOKUP(O1480,[1]character_tribe_i18n!A:C,3,FALSE)</f>
        <v>種族なし</v>
      </c>
      <c r="Q1480" s="110" t="s">
        <v>539</v>
      </c>
      <c r="R1480" s="111">
        <v>1</v>
      </c>
      <c r="S1480" s="108" t="s">
        <v>280</v>
      </c>
      <c r="T1480" s="108" t="s">
        <v>281</v>
      </c>
      <c r="U1480" s="108" t="s">
        <v>280</v>
      </c>
      <c r="V1480" s="108" t="s">
        <v>280</v>
      </c>
      <c r="W1480" s="108" t="s">
        <v>280</v>
      </c>
    </row>
  </sheetData>
  <autoFilter ref="A1:W1476"/>
  <phoneticPr fontId="20"/>
  <conditionalFormatting sqref="C603:C604">
    <cfRule type="expression" dxfId="32" priority="30">
      <formula>$E603="青"</formula>
    </cfRule>
    <cfRule type="expression" dxfId="31" priority="31">
      <formula>$E603="黄"</formula>
    </cfRule>
    <cfRule type="expression" dxfId="30" priority="32">
      <formula>$E603="赤"</formula>
    </cfRule>
    <cfRule type="expression" dxfId="29" priority="33">
      <formula>$E603="緑"</formula>
    </cfRule>
  </conditionalFormatting>
  <conditionalFormatting sqref="C605:C607">
    <cfRule type="expression" dxfId="28" priority="26">
      <formula>$E605="青"</formula>
    </cfRule>
    <cfRule type="expression" dxfId="27" priority="27">
      <formula>$E605="黄"</formula>
    </cfRule>
    <cfRule type="expression" dxfId="26" priority="28">
      <formula>$E605="赤"</formula>
    </cfRule>
    <cfRule type="expression" dxfId="25" priority="29">
      <formula>$E605="緑"</formula>
    </cfRule>
  </conditionalFormatting>
  <conditionalFormatting sqref="C600:C602">
    <cfRule type="expression" dxfId="24" priority="22">
      <formula>$E600="青"</formula>
    </cfRule>
    <cfRule type="expression" dxfId="23" priority="23">
      <formula>$E600="黄"</formula>
    </cfRule>
    <cfRule type="expression" dxfId="22" priority="24">
      <formula>$E600="赤"</formula>
    </cfRule>
    <cfRule type="expression" dxfId="21" priority="25">
      <formula>$E600="緑"</formula>
    </cfRule>
  </conditionalFormatting>
  <conditionalFormatting sqref="C597:C599">
    <cfRule type="expression" dxfId="20" priority="18">
      <formula>$E597="青"</formula>
    </cfRule>
    <cfRule type="expression" dxfId="19" priority="19">
      <formula>$E597="黄"</formula>
    </cfRule>
    <cfRule type="expression" dxfId="18" priority="20">
      <formula>$E597="赤"</formula>
    </cfRule>
    <cfRule type="expression" dxfId="17" priority="21">
      <formula>$E597="緑"</formula>
    </cfRule>
  </conditionalFormatting>
  <conditionalFormatting sqref="C584:C585">
    <cfRule type="expression" dxfId="16" priority="14">
      <formula>$E584="青"</formula>
    </cfRule>
    <cfRule type="expression" dxfId="15" priority="15">
      <formula>$E584="黄"</formula>
    </cfRule>
    <cfRule type="expression" dxfId="14" priority="16">
      <formula>$E584="赤"</formula>
    </cfRule>
    <cfRule type="expression" dxfId="13" priority="17">
      <formula>$E584="緑"</formula>
    </cfRule>
  </conditionalFormatting>
  <conditionalFormatting sqref="C582:C583">
    <cfRule type="expression" dxfId="12" priority="10">
      <formula>$E582="青"</formula>
    </cfRule>
    <cfRule type="expression" dxfId="11" priority="11">
      <formula>$E582="黄"</formula>
    </cfRule>
    <cfRule type="expression" dxfId="10" priority="12">
      <formula>$E582="赤"</formula>
    </cfRule>
    <cfRule type="expression" dxfId="9" priority="13">
      <formula>$E582="緑"</formula>
    </cfRule>
  </conditionalFormatting>
  <conditionalFormatting sqref="C580:C581">
    <cfRule type="expression" dxfId="8" priority="6">
      <formula>$E580="青"</formula>
    </cfRule>
    <cfRule type="expression" dxfId="7" priority="7">
      <formula>$E580="黄"</formula>
    </cfRule>
    <cfRule type="expression" dxfId="6" priority="8">
      <formula>$E580="赤"</formula>
    </cfRule>
    <cfRule type="expression" dxfId="5" priority="9">
      <formula>$E580="緑"</formula>
    </cfRule>
  </conditionalFormatting>
  <conditionalFormatting sqref="C575">
    <cfRule type="expression" dxfId="4" priority="2">
      <formula>$E575="青"</formula>
    </cfRule>
    <cfRule type="expression" dxfId="3" priority="3">
      <formula>$E575="黄"</formula>
    </cfRule>
    <cfRule type="expression" dxfId="2" priority="4">
      <formula>$E575="赤"</formula>
    </cfRule>
    <cfRule type="expression" dxfId="1" priority="5">
      <formula>$E575="緑"</formula>
    </cfRule>
  </conditionalFormatting>
  <conditionalFormatting sqref="M753:M760">
    <cfRule type="cellIs" dxfId="0" priority="1" stopIfTrue="1" operator="equal">
      <formula>1</formula>
    </cfRule>
  </conditionalFormatting>
  <dataValidations count="1">
    <dataValidation type="list" allowBlank="1" showInputMessage="1" showErrorMessage="1" sqref="H2:H356 H1080:H1083 H1140:H1141 H1154:H1155 H1192 H1195:H1200 H1377:H1480 H1372:H1375 H361:H1059">
      <formula1>COLORS</formula1>
    </dataValidation>
  </dataValidations>
  <pageMargins left="0.75" right="0.75" top="1" bottom="1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11" sqref="F1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223" t="s">
        <v>3965</v>
      </c>
      <c r="B2" s="61" t="s">
        <v>110</v>
      </c>
      <c r="C2" s="50" t="str">
        <f t="shared" ref="C2" si="0">RIGHT(F2,6)</f>
        <v>497101</v>
      </c>
      <c r="D2" s="19" t="s">
        <v>45</v>
      </c>
      <c r="E2" s="17" t="str">
        <f t="shared" ref="E2" si="1">B2&amp;C2&amp;D2</f>
        <v>gacha_select_tables_497101.tmp</v>
      </c>
      <c r="F2" s="95" t="s">
        <v>3966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223" t="s">
        <v>3965</v>
      </c>
      <c r="B3" s="61" t="s">
        <v>110</v>
      </c>
      <c r="C3" s="50" t="str">
        <f t="shared" ref="C3:C7" si="2">RIGHT(F3,6)</f>
        <v>497103</v>
      </c>
      <c r="D3" s="19" t="s">
        <v>45</v>
      </c>
      <c r="E3" s="17" t="str">
        <f t="shared" ref="E3:E10" si="3">B3&amp;C3&amp;D3</f>
        <v>gacha_select_tables_497103.tmp</v>
      </c>
      <c r="F3" s="95" t="s">
        <v>3967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223" t="s">
        <v>3965</v>
      </c>
      <c r="B4" s="92" t="s">
        <v>244</v>
      </c>
      <c r="C4" s="93" t="str">
        <f t="shared" si="2"/>
        <v>497103</v>
      </c>
      <c r="D4" s="19" t="s">
        <v>245</v>
      </c>
      <c r="E4" s="17" t="str">
        <f t="shared" si="3"/>
        <v>gacha_settle_tables_497103.tmp</v>
      </c>
      <c r="F4" s="95" t="s">
        <v>3968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223" t="s">
        <v>3965</v>
      </c>
      <c r="B5" s="61" t="s">
        <v>110</v>
      </c>
      <c r="C5" s="50" t="str">
        <f t="shared" si="2"/>
        <v>497104</v>
      </c>
      <c r="D5" s="19" t="s">
        <v>45</v>
      </c>
      <c r="E5" s="17" t="str">
        <f t="shared" ref="E5:E7" si="4">B5&amp;C5&amp;D5</f>
        <v>gacha_select_tables_497104.tmp</v>
      </c>
      <c r="F5" s="95" t="s">
        <v>3969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223" t="s">
        <v>3965</v>
      </c>
      <c r="B6" s="61" t="s">
        <v>110</v>
      </c>
      <c r="C6" s="50" t="str">
        <f t="shared" ref="C6" si="5">RIGHT(F6,6)</f>
        <v>497105</v>
      </c>
      <c r="D6" s="19" t="s">
        <v>45</v>
      </c>
      <c r="E6" s="17" t="str">
        <f t="shared" ref="E6" si="6">B6&amp;C6&amp;D6</f>
        <v>gacha_select_tables_497105.tmp</v>
      </c>
      <c r="F6" s="95" t="s">
        <v>3970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223" t="s">
        <v>3965</v>
      </c>
      <c r="B7" s="61" t="s">
        <v>110</v>
      </c>
      <c r="C7" s="50" t="str">
        <f t="shared" si="2"/>
        <v>497100</v>
      </c>
      <c r="D7" s="19" t="s">
        <v>45</v>
      </c>
      <c r="E7" s="17" t="str">
        <f t="shared" si="4"/>
        <v>gacha_select_tables_497100.tmp</v>
      </c>
      <c r="F7" s="95" t="s">
        <v>3971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F34" sqref="F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497101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716</v>
      </c>
      <c r="M3" s="37" t="str">
        <f>VLOOKUP(L3,[1]characters!$A:$C,3,FALSE)</f>
        <v>平和島静雄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VLOOKUP(L3,tables_497101!B:C,2,FALSE)</f>
        <v>PremiumSS5R5only</v>
      </c>
      <c r="R3" s="62">
        <f t="shared" ref="R3:R20" si="1">N3*A$36</f>
        <v>310200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702</v>
      </c>
      <c r="M4" s="37" t="str">
        <f>VLOOKUP(L4,[1]characters!$A:$C,3,FALSE)</f>
        <v>サイモン</v>
      </c>
      <c r="N4" s="63">
        <v>0.04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VLOOKUP(L4,tables_497101!B:C,2,FALSE)</f>
        <v>Premium4R3less</v>
      </c>
      <c r="R4" s="62">
        <f t="shared" si="1"/>
        <v>2481600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6.8181818181818187E-4</v>
      </c>
      <c r="F5">
        <f>(COUNTIF(tables_497101!C:C,input_497101!A28)+COUNTIF(tables_497101!C:C,input_497101!A29))</f>
        <v>67</v>
      </c>
      <c r="H5" s="84">
        <v>5.0000000000000001E-3</v>
      </c>
      <c r="I5" s="31">
        <v>1</v>
      </c>
      <c r="L5" s="60">
        <v>703</v>
      </c>
      <c r="M5" s="37" t="str">
        <f>VLOOKUP(L5,[1]characters!$A:$C,3,FALSE)</f>
        <v>豪腕静穏な寿司屋　サイモン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VLOOKUP(L5,tables_497101!B:C,2,FALSE)</f>
        <v>Premium5R3less</v>
      </c>
      <c r="R5" s="62">
        <f t="shared" si="1"/>
        <v>620400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7.4468085106382973E-3</v>
      </c>
      <c r="F6">
        <f>(COUNTIF(tables_497101!C:C,input_497101!A25)+COUNTIF(tables_497101!C:C,input_497101!A18)+COUNTIF(tables_497101!C:C,input_497101!A20)+COUNTIF(tables_497101!C:C,input_497101!A22))</f>
        <v>97</v>
      </c>
      <c r="H6" s="89">
        <v>0.25</v>
      </c>
      <c r="I6" s="31">
        <v>3</v>
      </c>
      <c r="L6" s="90">
        <v>710</v>
      </c>
      <c r="M6" s="37" t="str">
        <f>VLOOKUP(L6,[1]characters!$A:$C,3,FALSE)</f>
        <v>田中トム</v>
      </c>
      <c r="N6" s="63">
        <v>0.05</v>
      </c>
      <c r="O6" s="37">
        <f>VLOOKUP(L6,[1]characters!$A:$I,9,FALSE)</f>
        <v>3</v>
      </c>
      <c r="P6" s="37" t="str">
        <f>VLOOKUP(L6,[1]characters!$A:$J,10,FALSE)</f>
        <v>PremiumN</v>
      </c>
      <c r="Q6" s="37" t="str">
        <f>VLOOKUP(L6,tables_497101!B:C,2,FALSE)</f>
        <v>Premium3R3less</v>
      </c>
      <c r="R6" s="62">
        <f t="shared" si="1"/>
        <v>3102000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711</v>
      </c>
      <c r="M7" s="37" t="str">
        <f>VLOOKUP(L7,[1]characters!$A:$C,3,FALSE)</f>
        <v>平衡調和の取り立て屋　田中トム</v>
      </c>
      <c r="N7" s="63">
        <v>0.05</v>
      </c>
      <c r="O7" s="37">
        <f>VLOOKUP(L7,[1]characters!$A:$I,9,FALSE)</f>
        <v>4</v>
      </c>
      <c r="P7" s="37" t="str">
        <f>VLOOKUP(L7,[1]characters!$A:$J,10,FALSE)</f>
        <v>PremiumN</v>
      </c>
      <c r="Q7" s="37" t="str">
        <f>VLOOKUP(L7,tables_497101!B:C,2,FALSE)</f>
        <v>Premium4R3less</v>
      </c>
      <c r="R7" s="62">
        <f t="shared" si="1"/>
        <v>3102000</v>
      </c>
      <c r="S7">
        <v>597</v>
      </c>
      <c r="U7" s="33" t="s">
        <v>196</v>
      </c>
      <c r="V7" s="54">
        <f t="shared" si="0"/>
        <v>0.14000000000000001</v>
      </c>
    </row>
    <row r="8" spans="1:22" x14ac:dyDescent="0.15">
      <c r="A8" s="57"/>
      <c r="B8" s="71"/>
      <c r="E8" s="76"/>
      <c r="L8" s="60">
        <v>714</v>
      </c>
      <c r="M8" s="37" t="str">
        <f>VLOOKUP(L8,[1]characters!$A:$C,3,FALSE)</f>
        <v>粟楠茜</v>
      </c>
      <c r="N8" s="63">
        <v>0.05</v>
      </c>
      <c r="O8" s="37">
        <f>VLOOKUP(L8,[1]characters!$A:$I,9,FALSE)</f>
        <v>3</v>
      </c>
      <c r="P8" s="37" t="str">
        <f>VLOOKUP(L8,[1]characters!$A:$J,10,FALSE)</f>
        <v>PremiumN</v>
      </c>
      <c r="Q8" s="37" t="str">
        <f>VLOOKUP(L8,tables_497101!B:C,2,FALSE)</f>
        <v>Premium3R3less</v>
      </c>
      <c r="R8" s="62">
        <f t="shared" si="1"/>
        <v>3102000</v>
      </c>
      <c r="S8">
        <v>598</v>
      </c>
      <c r="U8" s="33" t="s">
        <v>197</v>
      </c>
      <c r="V8" s="54">
        <f t="shared" si="0"/>
        <v>0.01</v>
      </c>
    </row>
    <row r="9" spans="1:22" x14ac:dyDescent="0.15">
      <c r="A9" s="35" t="s">
        <v>54</v>
      </c>
      <c r="B9" s="35"/>
      <c r="L9" s="88">
        <v>715</v>
      </c>
      <c r="M9" s="37" t="str">
        <f>VLOOKUP(L9,[1]characters!$A:$C,3,FALSE)</f>
        <v>小さな殺し屋　粟楠茜</v>
      </c>
      <c r="N9" s="63">
        <v>0.05</v>
      </c>
      <c r="O9" s="37">
        <f>VLOOKUP(L9,[1]characters!$A:$I,9,FALSE)</f>
        <v>4</v>
      </c>
      <c r="P9" s="37" t="str">
        <f>VLOOKUP(L9,[1]characters!$A:$J,10,FALSE)</f>
        <v>PremiumN</v>
      </c>
      <c r="Q9" s="37" t="str">
        <f>VLOOKUP(L9,tables_497101!B:C,2,FALSE)</f>
        <v>Premium4R3less</v>
      </c>
      <c r="R9" s="62">
        <f t="shared" si="1"/>
        <v>3102000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VLOOKUP(L10,tables_497101!B:C,2,FALSE)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VLOOKUP(L11,tables_497101!B:C,2,FALSE)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VLOOKUP(L12,tables_497101!B:C,2,FALSE)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VLOOKUP(L13,tables_497101!B:C,2,FALSE)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VLOOKUP(L14,tables_497101!B:C,2,FALSE)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5.0000000000000001E-3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VLOOKUP(L15,tables_497101!B:C,2,FALSE)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VLOOKUP(L16,tables_497101!B:C,2,FALSE)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B$5-B19-B24-E33</f>
        <v>0.19148936170212763</v>
      </c>
      <c r="C17" s="85">
        <f t="shared" ref="C17:C31" si="2">SUMIF(Q:Q,A17,N:N)</f>
        <v>0</v>
      </c>
      <c r="D17" s="74">
        <f t="shared" ref="D17:D32" si="3">B17-C17</f>
        <v>0.19148936170212763</v>
      </c>
      <c r="E17">
        <f>COUNTIF(tables_497101!C:C,input_497101!A17)-COUNTIF(Q:Q,A17)</f>
        <v>20</v>
      </c>
      <c r="F17" s="43">
        <f>IFERROR(B17/E17,0)</f>
        <v>9.5744680851063812E-3</v>
      </c>
      <c r="G17">
        <f t="shared" ref="G17:G31" si="4">A$36*B17</f>
        <v>11879999.999999998</v>
      </c>
      <c r="H17">
        <f t="shared" ref="H17:H31" si="5">IFERROR(ROUND(G17/E17,5),0)</f>
        <v>594000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VLOOKUP(L17,tables_497101!B:C,2,FALSE)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1.9097678920051535E-2</v>
      </c>
      <c r="C18" s="85">
        <f t="shared" si="2"/>
        <v>0</v>
      </c>
      <c r="D18" s="74">
        <f t="shared" si="3"/>
        <v>1.9097678920051535E-2</v>
      </c>
      <c r="E18">
        <f>COUNTIF(tables_497101!C:C,input_497101!A18)-COUNTIF(Q:Q,A18)</f>
        <v>20</v>
      </c>
      <c r="F18" s="43">
        <f>IFERROR(B18/E18,0)</f>
        <v>9.5488394600257674E-4</v>
      </c>
      <c r="G18">
        <f t="shared" si="4"/>
        <v>1184820.0001999973</v>
      </c>
      <c r="H18">
        <f t="shared" si="5"/>
        <v>59241.000010000003</v>
      </c>
      <c r="I18">
        <f t="shared" si="6"/>
        <v>1.0000003385357559E-5</v>
      </c>
      <c r="J18">
        <f t="shared" si="7"/>
        <v>99999.96614643588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VLOOKUP(L18,tables_497101!B:C,2,FALSE)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0.19361702127659572</v>
      </c>
      <c r="C19" s="85">
        <f t="shared" si="2"/>
        <v>0</v>
      </c>
      <c r="D19" s="74">
        <f t="shared" si="3"/>
        <v>0.19361702127659572</v>
      </c>
      <c r="E19">
        <f>COUNTIF(tables_497101!C:C,input_497101!A19)-COUNTIF(Q:Q,A19)</f>
        <v>52</v>
      </c>
      <c r="F19" s="43">
        <f t="shared" ref="F19:F31" si="8">IFERROR(B19/E19,0)</f>
        <v>3.7234042553191482E-3</v>
      </c>
      <c r="G19">
        <f t="shared" si="4"/>
        <v>12011999.999999998</v>
      </c>
      <c r="H19">
        <f t="shared" si="5"/>
        <v>231000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VLOOKUP(L19,tables_497101!B:C,2,FALSE)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E$6*E20*B$6-0.04-G49</f>
        <v>0.11925531915126675</v>
      </c>
      <c r="C20" s="85">
        <f t="shared" si="2"/>
        <v>0</v>
      </c>
      <c r="D20" s="74">
        <f t="shared" si="3"/>
        <v>0.11925531915126675</v>
      </c>
      <c r="E20">
        <f>COUNTIF(tables_497101!C:C,input_497101!A20)-COUNTIF(Q:Q,A20)</f>
        <v>52</v>
      </c>
      <c r="F20" s="43">
        <f t="shared" si="8"/>
        <v>2.2933715221397453E-3</v>
      </c>
      <c r="G20">
        <f t="shared" si="4"/>
        <v>7398600.0001445888</v>
      </c>
      <c r="H20">
        <f t="shared" si="5"/>
        <v>142280.76923000001</v>
      </c>
      <c r="I20">
        <f t="shared" si="6"/>
        <v>0.76923000000533648</v>
      </c>
      <c r="J20">
        <f t="shared" si="7"/>
        <v>1.3000012999922814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VLOOKUP(L20,tables_497101!B:C,2,FALSE)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1.2710831721470014E-2</v>
      </c>
      <c r="C21" s="85">
        <f t="shared" si="2"/>
        <v>0</v>
      </c>
      <c r="D21" s="74">
        <f t="shared" si="3"/>
        <v>1.2710831721470014E-2</v>
      </c>
      <c r="E21">
        <f>COUNTIF(tables_497101!C:C,input_497101!A21)-COUNTIF(Q:Q,A21)</f>
        <v>52</v>
      </c>
      <c r="F21" s="43">
        <f t="shared" si="8"/>
        <v>2.4443907156673105E-4</v>
      </c>
      <c r="G21">
        <f t="shared" si="4"/>
        <v>788579.99999999965</v>
      </c>
      <c r="H21">
        <f t="shared" si="5"/>
        <v>15165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0.1251063829787234</v>
      </c>
      <c r="C22" s="85">
        <f t="shared" si="2"/>
        <v>0.14000000000000001</v>
      </c>
      <c r="D22" s="74">
        <f t="shared" si="3"/>
        <v>-1.4893617021276617E-2</v>
      </c>
      <c r="E22">
        <f>COUNTIF(tables_497101!C:C,input_497101!A22)-COUNTIF(Q:Q,A22)</f>
        <v>18</v>
      </c>
      <c r="F22" s="43">
        <f t="shared" si="8"/>
        <v>6.9503546099290775E-3</v>
      </c>
      <c r="G22">
        <f t="shared" si="4"/>
        <v>7761599.9999999991</v>
      </c>
      <c r="H22">
        <f t="shared" si="5"/>
        <v>431200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8.9361702127659561E-3</v>
      </c>
      <c r="C23" s="85">
        <f t="shared" si="2"/>
        <v>0.01</v>
      </c>
      <c r="D23" s="74">
        <f t="shared" si="3"/>
        <v>-1.0638297872340441E-3</v>
      </c>
      <c r="E23">
        <f>COUNTIF(tables_497101!C:C,input_497101!A23)-COUNTIF(Q:Q,A23)</f>
        <v>24</v>
      </c>
      <c r="F23" s="43">
        <f t="shared" si="8"/>
        <v>3.7234042553191486E-4</v>
      </c>
      <c r="G23">
        <f t="shared" si="4"/>
        <v>554399.99999999988</v>
      </c>
      <c r="H23">
        <f t="shared" si="5"/>
        <v>23100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1.4893617021276595E-2</v>
      </c>
      <c r="C24" s="85">
        <f t="shared" si="2"/>
        <v>0</v>
      </c>
      <c r="D24" s="74">
        <f t="shared" si="3"/>
        <v>1.4893617021276595E-2</v>
      </c>
      <c r="E24">
        <f>COUNTIF(tables_497101!C:C,input_497101!A24)-COUNTIF(Q:Q,A24)</f>
        <v>4</v>
      </c>
      <c r="F24" s="43">
        <f t="shared" si="8"/>
        <v>3.7234042553191487E-3</v>
      </c>
      <c r="G24">
        <f t="shared" si="4"/>
        <v>923999.99999999988</v>
      </c>
      <c r="H24">
        <f t="shared" si="5"/>
        <v>231000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1.3404255319148935E-2</v>
      </c>
      <c r="C25" s="85">
        <f t="shared" si="2"/>
        <v>0</v>
      </c>
      <c r="D25" s="74">
        <f t="shared" si="3"/>
        <v>1.3404255319148935E-2</v>
      </c>
      <c r="E25">
        <f>COUNTIF(tables_497101!C:C,input_497101!A25)-COUNTIF(Q:Q,A25)</f>
        <v>4</v>
      </c>
      <c r="F25" s="43">
        <f t="shared" si="8"/>
        <v>3.3510638297872338E-3</v>
      </c>
      <c r="G25">
        <f t="shared" si="4"/>
        <v>831599.99999999988</v>
      </c>
      <c r="H25">
        <f t="shared" si="5"/>
        <v>207900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1.4893617021276596E-3</v>
      </c>
      <c r="C26" s="85">
        <f t="shared" si="2"/>
        <v>0</v>
      </c>
      <c r="D26" s="74">
        <f t="shared" si="3"/>
        <v>1.4893617021276596E-3</v>
      </c>
      <c r="E26">
        <f>COUNTIF(tables_497101!C:C,input_497101!A26)-COUNTIF(Q:Q,A26)</f>
        <v>4</v>
      </c>
      <c r="F26" s="43">
        <f t="shared" si="8"/>
        <v>3.7234042553191491E-4</v>
      </c>
      <c r="G26">
        <f t="shared" si="4"/>
        <v>92400</v>
      </c>
      <c r="H26">
        <f t="shared" si="5"/>
        <v>23100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3.3136363634033043E-2</v>
      </c>
      <c r="C27" s="85">
        <f t="shared" si="2"/>
        <v>0</v>
      </c>
      <c r="D27" s="74">
        <f t="shared" si="3"/>
        <v>3.3136363634033043E-2</v>
      </c>
      <c r="E27">
        <f>COUNTIF(tables_497101!C:C,input_497101!A27)-COUNTIF(Q:Q,A27)</f>
        <v>28</v>
      </c>
      <c r="F27" s="43">
        <f>IFERROR(B27/E27,0)</f>
        <v>1.183441558358323E-3</v>
      </c>
      <c r="G27">
        <f t="shared" si="4"/>
        <v>2055779.9998554101</v>
      </c>
      <c r="H27">
        <f t="shared" si="5"/>
        <v>73420.71428</v>
      </c>
      <c r="I27">
        <f t="shared" si="6"/>
        <v>0.71428000000014435</v>
      </c>
      <c r="J27">
        <f t="shared" si="7"/>
        <v>1.4000112000893177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9.5454545454545466E-4</v>
      </c>
      <c r="C28" s="85">
        <f t="shared" si="2"/>
        <v>0</v>
      </c>
      <c r="D28" s="74">
        <f t="shared" si="3"/>
        <v>9.5454545454545466E-4</v>
      </c>
      <c r="E28">
        <f>COUNTIF(tables_497101!C:C,input_497101!A28)-COUNTIF(Q:Q,A28)</f>
        <v>28</v>
      </c>
      <c r="F28" s="43">
        <f t="shared" si="8"/>
        <v>3.4090909090909092E-5</v>
      </c>
      <c r="G28">
        <f t="shared" si="4"/>
        <v>59220.000000000007</v>
      </c>
      <c r="H28">
        <f t="shared" si="5"/>
        <v>2115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E$5*E29-0.015</f>
        <v>1.090909090909091E-2</v>
      </c>
      <c r="C29" s="85">
        <f t="shared" si="2"/>
        <v>5.0000000000000001E-3</v>
      </c>
      <c r="D29" s="74">
        <f t="shared" si="3"/>
        <v>5.9090909090909098E-3</v>
      </c>
      <c r="E29">
        <f>COUNTIF(tables_497101!C:C,input_497101!A29)-COUNTIF(Q:Q,A29)</f>
        <v>38</v>
      </c>
      <c r="F29" s="43">
        <f t="shared" si="8"/>
        <v>2.8708133971291867E-4</v>
      </c>
      <c r="G29">
        <f t="shared" si="4"/>
        <v>676800</v>
      </c>
      <c r="H29">
        <f t="shared" si="5"/>
        <v>17810.526320000001</v>
      </c>
      <c r="I29">
        <f t="shared" si="6"/>
        <v>0.526320000000851</v>
      </c>
      <c r="J29">
        <f t="shared" si="7"/>
        <v>1.8999848001185269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COUNTIF(tables_497101!C:C,input_497101!A30)-COUNTIF(Q:Q,A30)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COUNTIF(tables_497101!C:C,input_497101!A31)-COUNTIF(Q:Q,A31)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0.74500000000322353</v>
      </c>
      <c r="C32" s="41">
        <f>SUM(C19:C31)</f>
        <v>0.15500000000000003</v>
      </c>
      <c r="D32" s="42">
        <f t="shared" si="3"/>
        <v>0.5900000000032235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0.1</v>
      </c>
    </row>
    <row r="34" spans="1:7" x14ac:dyDescent="0.15">
      <c r="E34" s="55">
        <v>2.1650870409413214E-2</v>
      </c>
      <c r="F34" s="55">
        <f ca="1">0.45-G41</f>
        <v>0</v>
      </c>
    </row>
    <row r="35" spans="1:7" x14ac:dyDescent="0.15">
      <c r="A35" t="s">
        <v>73</v>
      </c>
      <c r="E35">
        <v>1.4999999999999999E-2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SUMIF(tables_497101!C:C,input_497101!A40,tables_497101!O:O)</f>
        <v>12012000</v>
      </c>
      <c r="C40" s="54">
        <f t="shared" ref="C40:C46" ca="1" si="9">B40/B$47</f>
        <v>0.53831240942340985</v>
      </c>
      <c r="E40">
        <v>3</v>
      </c>
      <c r="F40">
        <f ca="1">SUMIF(tables_497101!J:J,input_497101!E40,tables_497101!O:O)</f>
        <v>31020000</v>
      </c>
      <c r="G40">
        <f ca="1">F40/A36</f>
        <v>0.5</v>
      </c>
    </row>
    <row r="41" spans="1:7" x14ac:dyDescent="0.15">
      <c r="A41" s="33" t="s">
        <v>104</v>
      </c>
      <c r="B41">
        <f ca="1">SUMIF(tables_497101!C:C,input_497101!A41,tables_497101!O:O)</f>
        <v>7398599.9999599969</v>
      </c>
      <c r="C41" s="54">
        <f t="shared" ca="1" si="9"/>
        <v>0.33156495107713174</v>
      </c>
      <c r="E41">
        <v>4</v>
      </c>
      <c r="F41">
        <f ca="1">SUMIF(tables_497101!J:J,input_497101!E41,tables_497101!O:O)</f>
        <v>27918000.000000007</v>
      </c>
      <c r="G41">
        <f ca="1">F41/A36</f>
        <v>0.45000000000000012</v>
      </c>
    </row>
    <row r="42" spans="1:7" x14ac:dyDescent="0.15">
      <c r="A42" s="33" t="s">
        <v>106</v>
      </c>
      <c r="B42">
        <f ca="1">SUMIF(tables_497101!C:C,input_497101!A42,tables_497101!O:O)</f>
        <v>2055779.9998399992</v>
      </c>
      <c r="C42" s="54">
        <f t="shared" ca="1" si="9"/>
        <v>9.2128861551642294E-2</v>
      </c>
      <c r="E42">
        <v>5</v>
      </c>
      <c r="F42">
        <f ca="1">SUMIF(tables_497101!J:J,input_497101!E42,tables_497101!O:O)</f>
        <v>3102000.0001599984</v>
      </c>
      <c r="G42">
        <f ca="1">F42/A36</f>
        <v>5.0000000002578954E-2</v>
      </c>
    </row>
    <row r="43" spans="1:7" x14ac:dyDescent="0.15">
      <c r="A43" s="33" t="s">
        <v>109</v>
      </c>
      <c r="B43">
        <f>SUMIF(tables_497101!C:C,input_497101!A43,tables_497101!O:O)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SUMIF(tables_497101!C:C,input_497101!A44,tables_497101!O:O)</f>
        <v>788580</v>
      </c>
      <c r="C44" s="54">
        <f t="shared" ca="1" si="9"/>
        <v>3.5339860125134244E-2</v>
      </c>
      <c r="E44" t="s">
        <v>54</v>
      </c>
      <c r="F44" s="55"/>
    </row>
    <row r="45" spans="1:7" x14ac:dyDescent="0.15">
      <c r="A45" s="33" t="s">
        <v>107</v>
      </c>
      <c r="B45">
        <f ca="1">SUMIF(tables_497101!C:C,input_497101!A45,tables_497101!O:O)</f>
        <v>59220</v>
      </c>
      <c r="C45" s="54">
        <f t="shared" ca="1" si="9"/>
        <v>2.6539178226818458E-3</v>
      </c>
      <c r="E45" t="s">
        <v>204</v>
      </c>
      <c r="F45" s="55">
        <f ca="1">SUMIF(tables_497101!I:I,input_497101!E45,tables_497101!P:P)</f>
        <v>0.21282108317482104</v>
      </c>
    </row>
    <row r="46" spans="1:7" x14ac:dyDescent="0.15">
      <c r="A46" s="33" t="s">
        <v>108</v>
      </c>
      <c r="B46">
        <f>SUMIF(tables_497101!C:C,input_497101!A46,tables_497101!O:O)</f>
        <v>0</v>
      </c>
      <c r="C46" s="54">
        <f t="shared" ca="1" si="9"/>
        <v>0</v>
      </c>
      <c r="E46" t="s">
        <v>205</v>
      </c>
      <c r="F46" s="55">
        <f ca="1">SUMIF(tables_497101!I:I,input_497101!E46,tables_497101!P:P)</f>
        <v>0.32878107796352884</v>
      </c>
    </row>
    <row r="47" spans="1:7" x14ac:dyDescent="0.15">
      <c r="A47" s="39" t="s">
        <v>59</v>
      </c>
      <c r="B47">
        <f ca="1">SUM(B40:B46)</f>
        <v>22314179.999799997</v>
      </c>
      <c r="C47" s="55">
        <f ca="1">SUM(C40:C46)</f>
        <v>1</v>
      </c>
      <c r="E47" t="s">
        <v>206</v>
      </c>
      <c r="F47" s="55">
        <f ca="1">SUMIF(tables_497101!I:I,input_497101!E47,tables_497101!P:P)</f>
        <v>0.40839783886177577</v>
      </c>
    </row>
    <row r="48" spans="1:7" x14ac:dyDescent="0.15">
      <c r="E48" t="s">
        <v>207</v>
      </c>
      <c r="F48" s="55">
        <f ca="1">SUMIF(tables_497101!I:I,input_497101!E48,tables_497101!P:P)</f>
        <v>4.7990430621410604E-2</v>
      </c>
      <c r="G48" s="55">
        <f ca="1">0.05-F48-F49</f>
        <v>1.290816412091722E-13</v>
      </c>
    </row>
    <row r="49" spans="5:7" x14ac:dyDescent="0.15">
      <c r="E49" t="s">
        <v>246</v>
      </c>
      <c r="F49" s="55">
        <f ca="1">SUMIF(tables_497101!I:I,input_497101!E49,tables_497101!P:P)</f>
        <v>2.009569378460317E-3</v>
      </c>
      <c r="G49">
        <v>1.4999999997669404E-2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2"/>
  <sheetViews>
    <sheetView showGridLines="0" zoomScale="75" zoomScaleNormal="75" zoomScalePageLayoutView="75" workbookViewId="0">
      <pane ySplit="1" topLeftCell="A320" activePane="bottomLeft" state="frozen"/>
      <selection activeCell="H276" sqref="H276"/>
      <selection pane="bottomLeft" activeCell="Q346" sqref="Q346:V35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input_497101!A$2</f>
        <v>497101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IFERROR(VLOOKUP(B2,input_497101!L:R,7,FALSE),VLOOKUP(tables_497101!C2,input_497101!A:H,8,FALSE))</f>
        <v>594000</v>
      </c>
      <c r="P2" s="46">
        <f t="shared" ref="P2:P65" ca="1" si="1">O2/SUM(O:O)</f>
        <v>9.5744680850816596E-3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input_497101!A$2</f>
        <v>497101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IFERROR(VLOOKUP(B3,input_497101!L:R,7,FALSE),VLOOKUP(tables_497101!C3,input_497101!A:H,8,FALSE))</f>
        <v>59241.000010000003</v>
      </c>
      <c r="P3" s="46">
        <f t="shared" ca="1" si="1"/>
        <v>9.5488394600011333E-4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input_497101!A$2</f>
        <v>497101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IFERROR(VLOOKUP(B4,input_497101!L:R,7,FALSE),VLOOKUP(tables_497101!C4,input_497101!A:H,8,FALSE))</f>
        <v>594000</v>
      </c>
      <c r="P4" s="46">
        <f t="shared" ca="1" si="1"/>
        <v>9.5744680850816596E-3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input_497101!A$2</f>
        <v>497101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IFERROR(VLOOKUP(B5,input_497101!L:R,7,FALSE),VLOOKUP(tables_497101!C5,input_497101!A:H,8,FALSE))</f>
        <v>59241.000010000003</v>
      </c>
      <c r="P5" s="46">
        <f t="shared" ca="1" si="1"/>
        <v>9.5488394600011333E-4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input_497101!A$2</f>
        <v>497101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IFERROR(VLOOKUP(B6,input_497101!L:R,7,FALSE),VLOOKUP(tables_497101!C6,input_497101!A:H,8,FALSE))</f>
        <v>594000</v>
      </c>
      <c r="P6" s="46">
        <f t="shared" ca="1" si="1"/>
        <v>9.5744680850816596E-3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input_497101!A$2</f>
        <v>497101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IFERROR(VLOOKUP(B7,input_497101!L:R,7,FALSE),VLOOKUP(tables_497101!C7,input_497101!A:H,8,FALSE))</f>
        <v>59241.000010000003</v>
      </c>
      <c r="P7" s="46">
        <f t="shared" ca="1" si="1"/>
        <v>9.5488394600011333E-4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input_497101!A$2</f>
        <v>497101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IFERROR(VLOOKUP(B8,input_497101!L:R,7,FALSE),VLOOKUP(tables_497101!C8,input_497101!A:H,8,FALSE))</f>
        <v>594000</v>
      </c>
      <c r="P8" s="46">
        <f t="shared" ca="1" si="1"/>
        <v>9.5744680850816596E-3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input_497101!A$2</f>
        <v>497101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IFERROR(VLOOKUP(B9,input_497101!L:R,7,FALSE),VLOOKUP(tables_497101!C9,input_497101!A:H,8,FALSE))</f>
        <v>59241.000010000003</v>
      </c>
      <c r="P9" s="46">
        <f t="shared" ca="1" si="1"/>
        <v>9.5488394600011333E-4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input_497101!A$2</f>
        <v>497101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IFERROR(VLOOKUP(B10,input_497101!L:R,7,FALSE),VLOOKUP(tables_497101!C10,input_497101!A:H,8,FALSE))</f>
        <v>594000</v>
      </c>
      <c r="P10" s="46">
        <f t="shared" ca="1" si="1"/>
        <v>9.5744680850816596E-3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input_497101!A$2</f>
        <v>497101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IFERROR(VLOOKUP(B11,input_497101!L:R,7,FALSE),VLOOKUP(tables_497101!C11,input_497101!A:H,8,FALSE))</f>
        <v>59241.000010000003</v>
      </c>
      <c r="P11" s="46">
        <f t="shared" ca="1" si="1"/>
        <v>9.5488394600011333E-4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input_497101!A$2</f>
        <v>497101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IFERROR(VLOOKUP(B12,input_497101!L:R,7,FALSE),VLOOKUP(tables_497101!C12,input_497101!A:H,8,FALSE))</f>
        <v>594000</v>
      </c>
      <c r="P12" s="46">
        <f t="shared" ca="1" si="1"/>
        <v>9.5744680850816596E-3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input_497101!A$2</f>
        <v>497101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IFERROR(VLOOKUP(B13,input_497101!L:R,7,FALSE),VLOOKUP(tables_497101!C13,input_497101!A:H,8,FALSE))</f>
        <v>59241.000010000003</v>
      </c>
      <c r="P13" s="46">
        <f t="shared" ca="1" si="1"/>
        <v>9.5488394600011333E-4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input_497101!A$2</f>
        <v>497101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IFERROR(VLOOKUP(B14,input_497101!L:R,7,FALSE),VLOOKUP(tables_497101!C14,input_497101!A:H,8,FALSE))</f>
        <v>594000</v>
      </c>
      <c r="P14" s="46">
        <f t="shared" ca="1" si="1"/>
        <v>9.5744680850816596E-3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input_497101!A$2</f>
        <v>497101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IFERROR(VLOOKUP(B15,input_497101!L:R,7,FALSE),VLOOKUP(tables_497101!C15,input_497101!A:H,8,FALSE))</f>
        <v>59241.000010000003</v>
      </c>
      <c r="P15" s="46">
        <f t="shared" ca="1" si="1"/>
        <v>9.5488394600011333E-4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input_497101!A$2</f>
        <v>497101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IFERROR(VLOOKUP(B16,input_497101!L:R,7,FALSE),VLOOKUP(tables_497101!C16,input_497101!A:H,8,FALSE))</f>
        <v>594000</v>
      </c>
      <c r="P16" s="46">
        <f t="shared" ca="1" si="1"/>
        <v>9.5744680850816596E-3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input_497101!A$2</f>
        <v>497101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IFERROR(VLOOKUP(B17,input_497101!L:R,7,FALSE),VLOOKUP(tables_497101!C17,input_497101!A:H,8,FALSE))</f>
        <v>59241.000010000003</v>
      </c>
      <c r="P17" s="46">
        <f t="shared" ca="1" si="1"/>
        <v>9.5488394600011333E-4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input_497101!A$2</f>
        <v>497101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IFERROR(VLOOKUP(B18,input_497101!L:R,7,FALSE),VLOOKUP(tables_497101!C18,input_497101!A:H,8,FALSE))</f>
        <v>594000</v>
      </c>
      <c r="P18" s="46">
        <f t="shared" ca="1" si="1"/>
        <v>9.5744680850816596E-3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input_497101!A$2</f>
        <v>497101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IFERROR(VLOOKUP(B19,input_497101!L:R,7,FALSE),VLOOKUP(tables_497101!C19,input_497101!A:H,8,FALSE))</f>
        <v>59241.000010000003</v>
      </c>
      <c r="P19" s="46">
        <f t="shared" ca="1" si="1"/>
        <v>9.5488394600011333E-4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input_497101!A$2</f>
        <v>497101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IFERROR(VLOOKUP(B20,input_497101!L:R,7,FALSE),VLOOKUP(tables_497101!C20,input_497101!A:H,8,FALSE))</f>
        <v>594000</v>
      </c>
      <c r="P20" s="46">
        <f t="shared" ca="1" si="1"/>
        <v>9.5744680850816596E-3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input_497101!A$2</f>
        <v>497101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IFERROR(VLOOKUP(B21,input_497101!L:R,7,FALSE),VLOOKUP(tables_497101!C21,input_497101!A:H,8,FALSE))</f>
        <v>59241.000010000003</v>
      </c>
      <c r="P21" s="46">
        <f t="shared" ca="1" si="1"/>
        <v>9.5488394600011333E-4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input_497101!A$2</f>
        <v>497101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IFERROR(VLOOKUP(B22,input_497101!L:R,7,FALSE),VLOOKUP(tables_497101!C22,input_497101!A:H,8,FALSE))</f>
        <v>594000</v>
      </c>
      <c r="P22" s="46">
        <f t="shared" ca="1" si="1"/>
        <v>9.5744680850816596E-3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input_497101!A$2</f>
        <v>497101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IFERROR(VLOOKUP(B23,input_497101!L:R,7,FALSE),VLOOKUP(tables_497101!C23,input_497101!A:H,8,FALSE))</f>
        <v>59241.000010000003</v>
      </c>
      <c r="P23" s="46">
        <f t="shared" ca="1" si="1"/>
        <v>9.5488394600011333E-4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input_497101!A$2</f>
        <v>497101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IFERROR(VLOOKUP(B24,input_497101!L:R,7,FALSE),VLOOKUP(tables_497101!C24,input_497101!A:H,8,FALSE))</f>
        <v>594000</v>
      </c>
      <c r="P24" s="46">
        <f t="shared" ca="1" si="1"/>
        <v>9.5744680850816596E-3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input_497101!A$2</f>
        <v>497101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IFERROR(VLOOKUP(B25,input_497101!L:R,7,FALSE),VLOOKUP(tables_497101!C25,input_497101!A:H,8,FALSE))</f>
        <v>59241.000010000003</v>
      </c>
      <c r="P25" s="46">
        <f t="shared" ca="1" si="1"/>
        <v>9.5488394600011333E-4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input_497101!A$2</f>
        <v>497101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IFERROR(VLOOKUP(B26,input_497101!L:R,7,FALSE),VLOOKUP(tables_497101!C26,input_497101!A:H,8,FALSE))</f>
        <v>594000</v>
      </c>
      <c r="P26" s="46">
        <f t="shared" ca="1" si="1"/>
        <v>9.5744680850816596E-3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input_497101!A$2</f>
        <v>497101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IFERROR(VLOOKUP(B27,input_497101!L:R,7,FALSE),VLOOKUP(tables_497101!C27,input_497101!A:H,8,FALSE))</f>
        <v>59241.000010000003</v>
      </c>
      <c r="P27" s="46">
        <f t="shared" ca="1" si="1"/>
        <v>9.5488394600011333E-4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input_497101!A$2</f>
        <v>497101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IFERROR(VLOOKUP(B28,input_497101!L:R,7,FALSE),VLOOKUP(tables_497101!C28,input_497101!A:H,8,FALSE))</f>
        <v>594000</v>
      </c>
      <c r="P28" s="46">
        <f t="shared" ca="1" si="1"/>
        <v>9.5744680850816596E-3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input_497101!A$2</f>
        <v>497101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IFERROR(VLOOKUP(B29,input_497101!L:R,7,FALSE),VLOOKUP(tables_497101!C29,input_497101!A:H,8,FALSE))</f>
        <v>59241.000010000003</v>
      </c>
      <c r="P29" s="46">
        <f t="shared" ca="1" si="1"/>
        <v>9.5488394600011333E-4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input_497101!A$2</f>
        <v>497101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IFERROR(VLOOKUP(B30,input_497101!L:R,7,FALSE),VLOOKUP(tables_497101!C30,input_497101!A:H,8,FALSE))</f>
        <v>594000</v>
      </c>
      <c r="P30" s="46">
        <f t="shared" ca="1" si="1"/>
        <v>9.5744680850816596E-3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input_497101!A$2</f>
        <v>497101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IFERROR(VLOOKUP(B31,input_497101!L:R,7,FALSE),VLOOKUP(tables_497101!C31,input_497101!A:H,8,FALSE))</f>
        <v>59241.000010000003</v>
      </c>
      <c r="P31" s="46">
        <f t="shared" ca="1" si="1"/>
        <v>9.5488394600011333E-4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input_497101!A$2</f>
        <v>497101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IFERROR(VLOOKUP(B32,input_497101!L:R,7,FALSE),VLOOKUP(tables_497101!C32,input_497101!A:H,8,FALSE))</f>
        <v>594000</v>
      </c>
      <c r="P32" s="46">
        <f t="shared" ca="1" si="1"/>
        <v>9.5744680850816596E-3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input_497101!A$2</f>
        <v>497101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IFERROR(VLOOKUP(B33,input_497101!L:R,7,FALSE),VLOOKUP(tables_497101!C33,input_497101!A:H,8,FALSE))</f>
        <v>59241.000010000003</v>
      </c>
      <c r="P33" s="46">
        <f t="shared" ca="1" si="1"/>
        <v>9.5488394600011333E-4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input_497101!A$2</f>
        <v>497101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IFERROR(VLOOKUP(B34,input_497101!L:R,7,FALSE),VLOOKUP(tables_497101!C34,input_497101!A:H,8,FALSE))</f>
        <v>594000</v>
      </c>
      <c r="P34" s="46">
        <f t="shared" ca="1" si="1"/>
        <v>9.5744680850816596E-3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input_497101!A$2</f>
        <v>497101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IFERROR(VLOOKUP(B35,input_497101!L:R,7,FALSE),VLOOKUP(tables_497101!C35,input_497101!A:H,8,FALSE))</f>
        <v>59241.000010000003</v>
      </c>
      <c r="P35" s="46">
        <f t="shared" ca="1" si="1"/>
        <v>9.5488394600011333E-4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input_497101!A$2</f>
        <v>497101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IFERROR(VLOOKUP(B36,input_497101!L:R,7,FALSE),VLOOKUP(tables_497101!C36,input_497101!A:H,8,FALSE))</f>
        <v>594000</v>
      </c>
      <c r="P36" s="46">
        <f t="shared" ca="1" si="1"/>
        <v>9.5744680850816596E-3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input_497101!A$2</f>
        <v>497101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IFERROR(VLOOKUP(B37,input_497101!L:R,7,FALSE),VLOOKUP(tables_497101!C37,input_497101!A:H,8,FALSE))</f>
        <v>59241.000010000003</v>
      </c>
      <c r="P37" s="46">
        <f t="shared" ca="1" si="1"/>
        <v>9.5488394600011333E-4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input_497101!A$2</f>
        <v>497101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IFERROR(VLOOKUP(B38,input_497101!L:R,7,FALSE),VLOOKUP(tables_497101!C38,input_497101!A:H,8,FALSE))</f>
        <v>594000</v>
      </c>
      <c r="P38" s="46">
        <f t="shared" ca="1" si="1"/>
        <v>9.5744680850816596E-3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input_497101!A$2</f>
        <v>497101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IFERROR(VLOOKUP(B39,input_497101!L:R,7,FALSE),VLOOKUP(tables_497101!C39,input_497101!A:H,8,FALSE))</f>
        <v>59241.000010000003</v>
      </c>
      <c r="P39" s="46">
        <f t="shared" ca="1" si="1"/>
        <v>9.5488394600011333E-4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input_497101!A$2</f>
        <v>497101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IFERROR(VLOOKUP(B40,input_497101!L:R,7,FALSE),VLOOKUP(tables_497101!C40,input_497101!A:H,8,FALSE))</f>
        <v>594000</v>
      </c>
      <c r="P40" s="46">
        <f t="shared" ca="1" si="1"/>
        <v>9.5744680850816596E-3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input_497101!A$2</f>
        <v>497101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IFERROR(VLOOKUP(B41,input_497101!L:R,7,FALSE),VLOOKUP(tables_497101!C41,input_497101!A:H,8,FALSE))</f>
        <v>59241.000010000003</v>
      </c>
      <c r="P41" s="46">
        <f t="shared" ca="1" si="1"/>
        <v>9.5488394600011333E-4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input_497101!A$2</f>
        <v>497101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IFERROR(VLOOKUP(B42,input_497101!L:R,7,FALSE),VLOOKUP(tables_497101!C42,input_497101!A:H,8,FALSE))</f>
        <v>231000</v>
      </c>
      <c r="P42" s="46">
        <f t="shared" ca="1" si="1"/>
        <v>3.7234042553095344E-3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input_497101!A$2</f>
        <v>497101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IFERROR(VLOOKUP(B43,input_497101!L:R,7,FALSE),VLOOKUP(tables_497101!C43,input_497101!A:H,8,FALSE))</f>
        <v>207900</v>
      </c>
      <c r="P43" s="46">
        <f t="shared" ca="1" si="1"/>
        <v>3.351063829778581E-3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input_497101!A$2</f>
        <v>497101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IFERROR(VLOOKUP(B44,input_497101!L:R,7,FALSE),VLOOKUP(tables_497101!C44,input_497101!A:H,8,FALSE))</f>
        <v>23100</v>
      </c>
      <c r="P44" s="46">
        <f t="shared" ca="1" si="1"/>
        <v>3.7234042553095344E-4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input_497101!A$2</f>
        <v>497101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IFERROR(VLOOKUP(B45,input_497101!L:R,7,FALSE),VLOOKUP(tables_497101!C45,input_497101!A:H,8,FALSE))</f>
        <v>231000</v>
      </c>
      <c r="P45" s="46">
        <f t="shared" ca="1" si="1"/>
        <v>3.7234042553095344E-3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input_497101!A$2</f>
        <v>497101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IFERROR(VLOOKUP(B46,input_497101!L:R,7,FALSE),VLOOKUP(tables_497101!C46,input_497101!A:H,8,FALSE))</f>
        <v>207900</v>
      </c>
      <c r="P46" s="46">
        <f t="shared" ca="1" si="1"/>
        <v>3.351063829778581E-3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input_497101!A$2</f>
        <v>497101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IFERROR(VLOOKUP(B47,input_497101!L:R,7,FALSE),VLOOKUP(tables_497101!C47,input_497101!A:H,8,FALSE))</f>
        <v>23100</v>
      </c>
      <c r="P47" s="46">
        <f t="shared" ca="1" si="1"/>
        <v>3.7234042553095344E-4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input_497101!A$2</f>
        <v>497101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IFERROR(VLOOKUP(B48,input_497101!L:R,7,FALSE),VLOOKUP(tables_497101!C48,input_497101!A:H,8,FALSE))</f>
        <v>231000</v>
      </c>
      <c r="P48" s="46">
        <f t="shared" ca="1" si="1"/>
        <v>3.7234042553095344E-3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input_497101!A$2</f>
        <v>497101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IFERROR(VLOOKUP(B49,input_497101!L:R,7,FALSE),VLOOKUP(tables_497101!C49,input_497101!A:H,8,FALSE))</f>
        <v>207900</v>
      </c>
      <c r="P49" s="46">
        <f t="shared" ca="1" si="1"/>
        <v>3.351063829778581E-3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input_497101!A$2</f>
        <v>497101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IFERROR(VLOOKUP(B50,input_497101!L:R,7,FALSE),VLOOKUP(tables_497101!C50,input_497101!A:H,8,FALSE))</f>
        <v>23100</v>
      </c>
      <c r="P50" s="46">
        <f t="shared" ca="1" si="1"/>
        <v>3.7234042553095344E-4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input_497101!A$2</f>
        <v>497101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IFERROR(VLOOKUP(B51,input_497101!L:R,7,FALSE),VLOOKUP(tables_497101!C51,input_497101!A:H,8,FALSE))</f>
        <v>231000</v>
      </c>
      <c r="P51" s="46">
        <f t="shared" ca="1" si="1"/>
        <v>3.7234042553095344E-3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input_497101!A$2</f>
        <v>497101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IFERROR(VLOOKUP(B52,input_497101!L:R,7,FALSE),VLOOKUP(tables_497101!C52,input_497101!A:H,8,FALSE))</f>
        <v>142280.76923000001</v>
      </c>
      <c r="P52" s="46">
        <f t="shared" ca="1" si="1"/>
        <v>2.2933715220766052E-3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input_497101!A$2</f>
        <v>497101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IFERROR(VLOOKUP(B53,input_497101!L:R,7,FALSE),VLOOKUP(tables_497101!C53,input_497101!A:H,8,FALSE))</f>
        <v>15165</v>
      </c>
      <c r="P53" s="46">
        <f t="shared" ca="1" si="1"/>
        <v>2.4443907156609994E-4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input_497101!A$2</f>
        <v>497101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IFERROR(VLOOKUP(B54,input_497101!L:R,7,FALSE),VLOOKUP(tables_497101!C54,input_497101!A:H,8,FALSE))</f>
        <v>231000</v>
      </c>
      <c r="P54" s="46">
        <f t="shared" ca="1" si="1"/>
        <v>3.7234042553095344E-3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input_497101!A$2</f>
        <v>497101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IFERROR(VLOOKUP(B55,input_497101!L:R,7,FALSE),VLOOKUP(tables_497101!C55,input_497101!A:H,8,FALSE))</f>
        <v>142280.76923000001</v>
      </c>
      <c r="P55" s="46">
        <f t="shared" ca="1" si="1"/>
        <v>2.2933715220766052E-3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input_497101!A$2</f>
        <v>497101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IFERROR(VLOOKUP(B56,input_497101!L:R,7,FALSE),VLOOKUP(tables_497101!C56,input_497101!A:H,8,FALSE))</f>
        <v>15165</v>
      </c>
      <c r="P56" s="46">
        <f t="shared" ca="1" si="1"/>
        <v>2.4443907156609994E-4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input_497101!A$2</f>
        <v>497101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IFERROR(VLOOKUP(B57,input_497101!L:R,7,FALSE),VLOOKUP(tables_497101!C57,input_497101!A:H,8,FALSE))</f>
        <v>231000</v>
      </c>
      <c r="P57" s="46">
        <f t="shared" ca="1" si="1"/>
        <v>3.7234042553095344E-3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input_497101!A$2</f>
        <v>497101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IFERROR(VLOOKUP(B58,input_497101!L:R,7,FALSE),VLOOKUP(tables_497101!C58,input_497101!A:H,8,FALSE))</f>
        <v>142280.76923000001</v>
      </c>
      <c r="P58" s="46">
        <f t="shared" ca="1" si="1"/>
        <v>2.2933715220766052E-3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input_497101!A$2</f>
        <v>497101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IFERROR(VLOOKUP(B59,input_497101!L:R,7,FALSE),VLOOKUP(tables_497101!C59,input_497101!A:H,8,FALSE))</f>
        <v>15165</v>
      </c>
      <c r="P59" s="46">
        <f t="shared" ca="1" si="1"/>
        <v>2.4443907156609994E-4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input_497101!A$2</f>
        <v>497101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IFERROR(VLOOKUP(B60,input_497101!L:R,7,FALSE),VLOOKUP(tables_497101!C60,input_497101!A:H,8,FALSE))</f>
        <v>231000</v>
      </c>
      <c r="P60" s="46">
        <f t="shared" ca="1" si="1"/>
        <v>3.7234042553095344E-3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input_497101!A$2</f>
        <v>497101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IFERROR(VLOOKUP(B61,input_497101!L:R,7,FALSE),VLOOKUP(tables_497101!C61,input_497101!A:H,8,FALSE))</f>
        <v>142280.76923000001</v>
      </c>
      <c r="P61" s="46">
        <f t="shared" ca="1" si="1"/>
        <v>2.2933715220766052E-3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input_497101!A$2</f>
        <v>497101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IFERROR(VLOOKUP(B62,input_497101!L:R,7,FALSE),VLOOKUP(tables_497101!C62,input_497101!A:H,8,FALSE))</f>
        <v>15165</v>
      </c>
      <c r="P62" s="46">
        <f t="shared" ca="1" si="1"/>
        <v>2.4443907156609994E-4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input_497101!A$2</f>
        <v>497101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IFERROR(VLOOKUP(B63,input_497101!L:R,7,FALSE),VLOOKUP(tables_497101!C63,input_497101!A:H,8,FALSE))</f>
        <v>231000</v>
      </c>
      <c r="P63" s="46">
        <f t="shared" ca="1" si="1"/>
        <v>3.7234042553095344E-3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input_497101!A$2</f>
        <v>497101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IFERROR(VLOOKUP(B64,input_497101!L:R,7,FALSE),VLOOKUP(tables_497101!C64,input_497101!A:H,8,FALSE))</f>
        <v>142280.76923000001</v>
      </c>
      <c r="P64" s="46">
        <f t="shared" ca="1" si="1"/>
        <v>2.2933715220766052E-3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input_497101!A$2</f>
        <v>497101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IFERROR(VLOOKUP(B65,input_497101!L:R,7,FALSE),VLOOKUP(tables_497101!C65,input_497101!A:H,8,FALSE))</f>
        <v>15165</v>
      </c>
      <c r="P65" s="46">
        <f t="shared" ca="1" si="1"/>
        <v>2.4443907156609994E-4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input_497101!A$2</f>
        <v>497101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IFERROR(VLOOKUP(B66,input_497101!L:R,7,FALSE),VLOOKUP(tables_497101!C66,input_497101!A:H,8,FALSE))</f>
        <v>231000</v>
      </c>
      <c r="P66" s="46">
        <f t="shared" ref="P66:P129" ca="1" si="4">O66/SUM(O:O)</f>
        <v>3.7234042553095344E-3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input_497101!A$2</f>
        <v>497101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IFERROR(VLOOKUP(B67,input_497101!L:R,7,FALSE),VLOOKUP(tables_497101!C67,input_497101!A:H,8,FALSE))</f>
        <v>142280.76923000001</v>
      </c>
      <c r="P67" s="46">
        <f t="shared" ca="1" si="4"/>
        <v>2.2933715220766052E-3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input_497101!A$2</f>
        <v>497101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IFERROR(VLOOKUP(B68,input_497101!L:R,7,FALSE),VLOOKUP(tables_497101!C68,input_497101!A:H,8,FALSE))</f>
        <v>15165</v>
      </c>
      <c r="P68" s="46">
        <f t="shared" ca="1" si="4"/>
        <v>2.4443907156609994E-4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input_497101!A$2</f>
        <v>497101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IFERROR(VLOOKUP(B69,input_497101!L:R,7,FALSE),VLOOKUP(tables_497101!C69,input_497101!A:H,8,FALSE))</f>
        <v>231000</v>
      </c>
      <c r="P69" s="46">
        <f t="shared" ca="1" si="4"/>
        <v>3.7234042553095344E-3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input_497101!A$2</f>
        <v>497101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IFERROR(VLOOKUP(B70,input_497101!L:R,7,FALSE),VLOOKUP(tables_497101!C70,input_497101!A:H,8,FALSE))</f>
        <v>142280.76923000001</v>
      </c>
      <c r="P70" s="46">
        <f t="shared" ca="1" si="4"/>
        <v>2.2933715220766052E-3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input_497101!A$2</f>
        <v>497101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IFERROR(VLOOKUP(B71,input_497101!L:R,7,FALSE),VLOOKUP(tables_497101!C71,input_497101!A:H,8,FALSE))</f>
        <v>15165</v>
      </c>
      <c r="P71" s="46">
        <f t="shared" ca="1" si="4"/>
        <v>2.4443907156609994E-4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input_497101!A$2</f>
        <v>497101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IFERROR(VLOOKUP(B72,input_497101!L:R,7,FALSE),VLOOKUP(tables_497101!C72,input_497101!A:H,8,FALSE))</f>
        <v>231000</v>
      </c>
      <c r="P72" s="46">
        <f t="shared" ca="1" si="4"/>
        <v>3.7234042553095344E-3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input_497101!A$2</f>
        <v>497101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IFERROR(VLOOKUP(B73,input_497101!L:R,7,FALSE),VLOOKUP(tables_497101!C73,input_497101!A:H,8,FALSE))</f>
        <v>142280.76923000001</v>
      </c>
      <c r="P73" s="46">
        <f t="shared" ca="1" si="4"/>
        <v>2.2933715220766052E-3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input_497101!A$2</f>
        <v>497101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IFERROR(VLOOKUP(B74,input_497101!L:R,7,FALSE),VLOOKUP(tables_497101!C74,input_497101!A:H,8,FALSE))</f>
        <v>15165</v>
      </c>
      <c r="P74" s="46">
        <f t="shared" ca="1" si="4"/>
        <v>2.4443907156609994E-4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input_497101!A$2</f>
        <v>497101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IFERROR(VLOOKUP(B75,input_497101!L:R,7,FALSE),VLOOKUP(tables_497101!C75,input_497101!A:H,8,FALSE))</f>
        <v>231000</v>
      </c>
      <c r="P75" s="46">
        <f t="shared" ca="1" si="4"/>
        <v>3.7234042553095344E-3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input_497101!A$2</f>
        <v>497101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IFERROR(VLOOKUP(B76,input_497101!L:R,7,FALSE),VLOOKUP(tables_497101!C76,input_497101!A:H,8,FALSE))</f>
        <v>142280.76923000001</v>
      </c>
      <c r="P76" s="46">
        <f t="shared" ca="1" si="4"/>
        <v>2.2933715220766052E-3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input_497101!A$2</f>
        <v>497101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IFERROR(VLOOKUP(B77,input_497101!L:R,7,FALSE),VLOOKUP(tables_497101!C77,input_497101!A:H,8,FALSE))</f>
        <v>15165</v>
      </c>
      <c r="P77" s="46">
        <f t="shared" ca="1" si="4"/>
        <v>2.4443907156609994E-4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input_497101!A$2</f>
        <v>497101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IFERROR(VLOOKUP(B78,input_497101!L:R,7,FALSE),VLOOKUP(tables_497101!C78,input_497101!A:H,8,FALSE))</f>
        <v>231000</v>
      </c>
      <c r="P78" s="46">
        <f t="shared" ca="1" si="4"/>
        <v>3.7234042553095344E-3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input_497101!A$2</f>
        <v>497101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IFERROR(VLOOKUP(B79,input_497101!L:R,7,FALSE),VLOOKUP(tables_497101!C79,input_497101!A:H,8,FALSE))</f>
        <v>142280.76923000001</v>
      </c>
      <c r="P79" s="46">
        <f t="shared" ca="1" si="4"/>
        <v>2.2933715220766052E-3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input_497101!A$2</f>
        <v>497101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IFERROR(VLOOKUP(B80,input_497101!L:R,7,FALSE),VLOOKUP(tables_497101!C80,input_497101!A:H,8,FALSE))</f>
        <v>15165</v>
      </c>
      <c r="P80" s="46">
        <f t="shared" ca="1" si="4"/>
        <v>2.4443907156609994E-4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input_497101!A$2</f>
        <v>497101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IFERROR(VLOOKUP(B81,input_497101!L:R,7,FALSE),VLOOKUP(tables_497101!C81,input_497101!A:H,8,FALSE))</f>
        <v>231000</v>
      </c>
      <c r="P81" s="46">
        <f t="shared" ca="1" si="4"/>
        <v>3.7234042553095344E-3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input_497101!A$2</f>
        <v>497101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IFERROR(VLOOKUP(B82,input_497101!L:R,7,FALSE),VLOOKUP(tables_497101!C82,input_497101!A:H,8,FALSE))</f>
        <v>142280.76923000001</v>
      </c>
      <c r="P82" s="46">
        <f t="shared" ca="1" si="4"/>
        <v>2.2933715220766052E-3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input_497101!A$2</f>
        <v>497101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IFERROR(VLOOKUP(B83,input_497101!L:R,7,FALSE),VLOOKUP(tables_497101!C83,input_497101!A:H,8,FALSE))</f>
        <v>15165</v>
      </c>
      <c r="P83" s="46">
        <f t="shared" ca="1" si="4"/>
        <v>2.4443907156609994E-4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input_497101!A$2</f>
        <v>497101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IFERROR(VLOOKUP(B84,input_497101!L:R,7,FALSE),VLOOKUP(tables_497101!C84,input_497101!A:H,8,FALSE))</f>
        <v>231000</v>
      </c>
      <c r="P84" s="46">
        <f t="shared" ca="1" si="4"/>
        <v>3.7234042553095344E-3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input_497101!A$2</f>
        <v>497101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IFERROR(VLOOKUP(B85,input_497101!L:R,7,FALSE),VLOOKUP(tables_497101!C85,input_497101!A:H,8,FALSE))</f>
        <v>142280.76923000001</v>
      </c>
      <c r="P85" s="46">
        <f t="shared" ca="1" si="4"/>
        <v>2.2933715220766052E-3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input_497101!A$2</f>
        <v>497101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IFERROR(VLOOKUP(B86,input_497101!L:R,7,FALSE),VLOOKUP(tables_497101!C86,input_497101!A:H,8,FALSE))</f>
        <v>15165</v>
      </c>
      <c r="P86" s="46">
        <f t="shared" ca="1" si="4"/>
        <v>2.4443907156609994E-4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input_497101!A$2</f>
        <v>497101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IFERROR(VLOOKUP(B87,input_497101!L:R,7,FALSE),VLOOKUP(tables_497101!C87,input_497101!A:H,8,FALSE))</f>
        <v>231000</v>
      </c>
      <c r="P87" s="46">
        <f t="shared" ca="1" si="4"/>
        <v>3.7234042553095344E-3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input_497101!A$2</f>
        <v>497101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IFERROR(VLOOKUP(B88,input_497101!L:R,7,FALSE),VLOOKUP(tables_497101!C88,input_497101!A:H,8,FALSE))</f>
        <v>142280.76923000001</v>
      </c>
      <c r="P88" s="46">
        <f t="shared" ca="1" si="4"/>
        <v>2.2933715220766052E-3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input_497101!A$2</f>
        <v>497101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IFERROR(VLOOKUP(B89,input_497101!L:R,7,FALSE),VLOOKUP(tables_497101!C89,input_497101!A:H,8,FALSE))</f>
        <v>15165</v>
      </c>
      <c r="P89" s="46">
        <f t="shared" ca="1" si="4"/>
        <v>2.4443907156609994E-4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input_497101!A$2</f>
        <v>497101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IFERROR(VLOOKUP(B90,input_497101!L:R,7,FALSE),VLOOKUP(tables_497101!C90,input_497101!A:H,8,FALSE))</f>
        <v>231000</v>
      </c>
      <c r="P90" s="46">
        <f t="shared" ca="1" si="4"/>
        <v>3.7234042553095344E-3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input_497101!A$2</f>
        <v>497101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IFERROR(VLOOKUP(B91,input_497101!L:R,7,FALSE),VLOOKUP(tables_497101!C91,input_497101!A:H,8,FALSE))</f>
        <v>142280.76923000001</v>
      </c>
      <c r="P91" s="46">
        <f t="shared" ca="1" si="4"/>
        <v>2.2933715220766052E-3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input_497101!A$2</f>
        <v>497101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IFERROR(VLOOKUP(B92,input_497101!L:R,7,FALSE),VLOOKUP(tables_497101!C92,input_497101!A:H,8,FALSE))</f>
        <v>15165</v>
      </c>
      <c r="P92" s="46">
        <f t="shared" ca="1" si="4"/>
        <v>2.4443907156609994E-4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input_497101!A$2</f>
        <v>497101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IFERROR(VLOOKUP(B93,input_497101!L:R,7,FALSE),VLOOKUP(tables_497101!C93,input_497101!A:H,8,FALSE))</f>
        <v>231000</v>
      </c>
      <c r="P93" s="46">
        <f t="shared" ca="1" si="4"/>
        <v>3.7234042553095344E-3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input_497101!A$2</f>
        <v>497101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IFERROR(VLOOKUP(B94,input_497101!L:R,7,FALSE),VLOOKUP(tables_497101!C94,input_497101!A:H,8,FALSE))</f>
        <v>142280.76923000001</v>
      </c>
      <c r="P94" s="46">
        <f t="shared" ca="1" si="4"/>
        <v>2.2933715220766052E-3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input_497101!A$2</f>
        <v>497101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IFERROR(VLOOKUP(B95,input_497101!L:R,7,FALSE),VLOOKUP(tables_497101!C95,input_497101!A:H,8,FALSE))</f>
        <v>15165</v>
      </c>
      <c r="P95" s="46">
        <f t="shared" ca="1" si="4"/>
        <v>2.4443907156609994E-4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input_497101!A$2</f>
        <v>497101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IFERROR(VLOOKUP(B96,input_497101!L:R,7,FALSE),VLOOKUP(tables_497101!C96,input_497101!A:H,8,FALSE))</f>
        <v>231000</v>
      </c>
      <c r="P96" s="46">
        <f t="shared" ca="1" si="4"/>
        <v>3.7234042553095344E-3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input_497101!A$2</f>
        <v>497101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IFERROR(VLOOKUP(B97,input_497101!L:R,7,FALSE),VLOOKUP(tables_497101!C97,input_497101!A:H,8,FALSE))</f>
        <v>142280.76923000001</v>
      </c>
      <c r="P97" s="46">
        <f t="shared" ca="1" si="4"/>
        <v>2.2933715220766052E-3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input_497101!A$2</f>
        <v>497101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IFERROR(VLOOKUP(B98,input_497101!L:R,7,FALSE),VLOOKUP(tables_497101!C98,input_497101!A:H,8,FALSE))</f>
        <v>15165</v>
      </c>
      <c r="P98" s="46">
        <f t="shared" ca="1" si="4"/>
        <v>2.4443907156609994E-4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input_497101!A$2</f>
        <v>497101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IFERROR(VLOOKUP(B99,input_497101!L:R,7,FALSE),VLOOKUP(tables_497101!C99,input_497101!A:H,8,FALSE))</f>
        <v>231000</v>
      </c>
      <c r="P99" s="46">
        <f t="shared" ca="1" si="4"/>
        <v>3.7234042553095344E-3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input_497101!A$2</f>
        <v>497101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IFERROR(VLOOKUP(B100,input_497101!L:R,7,FALSE),VLOOKUP(tables_497101!C100,input_497101!A:H,8,FALSE))</f>
        <v>142280.76923000001</v>
      </c>
      <c r="P100" s="46">
        <f t="shared" ca="1" si="4"/>
        <v>2.2933715220766052E-3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input_497101!A$2</f>
        <v>497101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IFERROR(VLOOKUP(B101,input_497101!L:R,7,FALSE),VLOOKUP(tables_497101!C101,input_497101!A:H,8,FALSE))</f>
        <v>15165</v>
      </c>
      <c r="P101" s="46">
        <f t="shared" ca="1" si="4"/>
        <v>2.4443907156609994E-4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input_497101!A$2</f>
        <v>497101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IFERROR(VLOOKUP(B102,input_497101!L:R,7,FALSE),VLOOKUP(tables_497101!C102,input_497101!A:H,8,FALSE))</f>
        <v>231000</v>
      </c>
      <c r="P102" s="46">
        <f t="shared" ca="1" si="4"/>
        <v>3.7234042553095344E-3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input_497101!A$2</f>
        <v>497101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IFERROR(VLOOKUP(B103,input_497101!L:R,7,FALSE),VLOOKUP(tables_497101!C103,input_497101!A:H,8,FALSE))</f>
        <v>142280.76923000001</v>
      </c>
      <c r="P103" s="46">
        <f t="shared" ca="1" si="4"/>
        <v>2.2933715220766052E-3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input_497101!A$2</f>
        <v>497101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IFERROR(VLOOKUP(B104,input_497101!L:R,7,FALSE),VLOOKUP(tables_497101!C104,input_497101!A:H,8,FALSE))</f>
        <v>15165</v>
      </c>
      <c r="P104" s="46">
        <f t="shared" ca="1" si="4"/>
        <v>2.4443907156609994E-4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input_497101!A$2</f>
        <v>497101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IFERROR(VLOOKUP(B105,input_497101!L:R,7,FALSE),VLOOKUP(tables_497101!C105,input_497101!A:H,8,FALSE))</f>
        <v>231000</v>
      </c>
      <c r="P105" s="46">
        <f t="shared" ca="1" si="4"/>
        <v>3.7234042553095344E-3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input_497101!A$2</f>
        <v>497101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IFERROR(VLOOKUP(B106,input_497101!L:R,7,FALSE),VLOOKUP(tables_497101!C106,input_497101!A:H,8,FALSE))</f>
        <v>142280.76923000001</v>
      </c>
      <c r="P106" s="46">
        <f t="shared" ca="1" si="4"/>
        <v>2.2933715220766052E-3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input_497101!A$2</f>
        <v>497101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IFERROR(VLOOKUP(B107,input_497101!L:R,7,FALSE),VLOOKUP(tables_497101!C107,input_497101!A:H,8,FALSE))</f>
        <v>15165</v>
      </c>
      <c r="P107" s="46">
        <f t="shared" ca="1" si="4"/>
        <v>2.4443907156609994E-4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input_497101!A$2</f>
        <v>497101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IFERROR(VLOOKUP(B108,input_497101!L:R,7,FALSE),VLOOKUP(tables_497101!C108,input_497101!A:H,8,FALSE))</f>
        <v>231000</v>
      </c>
      <c r="P108" s="46">
        <f t="shared" ca="1" si="4"/>
        <v>3.7234042553095344E-3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input_497101!A$2</f>
        <v>497101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IFERROR(VLOOKUP(B109,input_497101!L:R,7,FALSE),VLOOKUP(tables_497101!C109,input_497101!A:H,8,FALSE))</f>
        <v>142280.76923000001</v>
      </c>
      <c r="P109" s="46">
        <f t="shared" ca="1" si="4"/>
        <v>2.2933715220766052E-3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input_497101!A$2</f>
        <v>497101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IFERROR(VLOOKUP(B110,input_497101!L:R,7,FALSE),VLOOKUP(tables_497101!C110,input_497101!A:H,8,FALSE))</f>
        <v>15165</v>
      </c>
      <c r="P110" s="46">
        <f t="shared" ca="1" si="4"/>
        <v>2.4443907156609994E-4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input_497101!A$2</f>
        <v>497101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IFERROR(VLOOKUP(B111,input_497101!L:R,7,FALSE),VLOOKUP(tables_497101!C111,input_497101!A:H,8,FALSE))</f>
        <v>231000</v>
      </c>
      <c r="P111" s="46">
        <f t="shared" ca="1" si="4"/>
        <v>3.7234042553095344E-3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input_497101!A$2</f>
        <v>497101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IFERROR(VLOOKUP(B112,input_497101!L:R,7,FALSE),VLOOKUP(tables_497101!C112,input_497101!A:H,8,FALSE))</f>
        <v>207900</v>
      </c>
      <c r="P112" s="46">
        <f t="shared" ca="1" si="4"/>
        <v>3.351063829778581E-3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input_497101!A$2</f>
        <v>497101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IFERROR(VLOOKUP(B113,input_497101!L:R,7,FALSE),VLOOKUP(tables_497101!C113,input_497101!A:H,8,FALSE))</f>
        <v>23100</v>
      </c>
      <c r="P113" s="46">
        <f t="shared" ca="1" si="4"/>
        <v>3.7234042553095344E-4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input_497101!A$2</f>
        <v>497101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IFERROR(VLOOKUP(B114,input_497101!L:R,7,FALSE),VLOOKUP(tables_497101!C114,input_497101!A:H,8,FALSE))</f>
        <v>231000</v>
      </c>
      <c r="P114" s="46">
        <f t="shared" ca="1" si="4"/>
        <v>3.7234042553095344E-3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input_497101!A$2</f>
        <v>497101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IFERROR(VLOOKUP(B115,input_497101!L:R,7,FALSE),VLOOKUP(tables_497101!C115,input_497101!A:H,8,FALSE))</f>
        <v>142280.76923000001</v>
      </c>
      <c r="P115" s="46">
        <f t="shared" ca="1" si="4"/>
        <v>2.2933715220766052E-3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input_497101!A$2</f>
        <v>497101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IFERROR(VLOOKUP(B116,input_497101!L:R,7,FALSE),VLOOKUP(tables_497101!C116,input_497101!A:H,8,FALSE))</f>
        <v>15165</v>
      </c>
      <c r="P116" s="46">
        <f t="shared" ca="1" si="4"/>
        <v>2.4443907156609994E-4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input_497101!A$2</f>
        <v>497101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IFERROR(VLOOKUP(B117,input_497101!L:R,7,FALSE),VLOOKUP(tables_497101!C117,input_497101!A:H,8,FALSE))</f>
        <v>231000</v>
      </c>
      <c r="P117" s="46">
        <f t="shared" ca="1" si="4"/>
        <v>3.7234042553095344E-3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input_497101!A$2</f>
        <v>497101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IFERROR(VLOOKUP(B118,input_497101!L:R,7,FALSE),VLOOKUP(tables_497101!C118,input_497101!A:H,8,FALSE))</f>
        <v>142280.76923000001</v>
      </c>
      <c r="P118" s="46">
        <f t="shared" ca="1" si="4"/>
        <v>2.2933715220766052E-3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input_497101!A$2</f>
        <v>497101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IFERROR(VLOOKUP(B119,input_497101!L:R,7,FALSE),VLOOKUP(tables_497101!C119,input_497101!A:H,8,FALSE))</f>
        <v>15165</v>
      </c>
      <c r="P119" s="46">
        <f t="shared" ca="1" si="4"/>
        <v>2.4443907156609994E-4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input_497101!A$2</f>
        <v>497101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IFERROR(VLOOKUP(B120,input_497101!L:R,7,FALSE),VLOOKUP(tables_497101!C120,input_497101!A:H,8,FALSE))</f>
        <v>231000</v>
      </c>
      <c r="P120" s="46">
        <f t="shared" ca="1" si="4"/>
        <v>3.7234042553095344E-3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input_497101!A$2</f>
        <v>497101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IFERROR(VLOOKUP(B121,input_497101!L:R,7,FALSE),VLOOKUP(tables_497101!C121,input_497101!A:H,8,FALSE))</f>
        <v>142280.76923000001</v>
      </c>
      <c r="P121" s="46">
        <f t="shared" ca="1" si="4"/>
        <v>2.2933715220766052E-3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input_497101!A$2</f>
        <v>497101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IFERROR(VLOOKUP(B122,input_497101!L:R,7,FALSE),VLOOKUP(tables_497101!C122,input_497101!A:H,8,FALSE))</f>
        <v>15165</v>
      </c>
      <c r="P122" s="46">
        <f t="shared" ca="1" si="4"/>
        <v>2.4443907156609994E-4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input_497101!A$2</f>
        <v>497101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IFERROR(VLOOKUP(B123,input_497101!L:R,7,FALSE),VLOOKUP(tables_497101!C123,input_497101!A:H,8,FALSE))</f>
        <v>231000</v>
      </c>
      <c r="P123" s="46">
        <f t="shared" ca="1" si="4"/>
        <v>3.7234042553095344E-3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input_497101!A$2</f>
        <v>497101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IFERROR(VLOOKUP(B124,input_497101!L:R,7,FALSE),VLOOKUP(tables_497101!C124,input_497101!A:H,8,FALSE))</f>
        <v>142280.76923000001</v>
      </c>
      <c r="P124" s="46">
        <f t="shared" ca="1" si="4"/>
        <v>2.2933715220766052E-3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input_497101!A$2</f>
        <v>497101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IFERROR(VLOOKUP(B125,input_497101!L:R,7,FALSE),VLOOKUP(tables_497101!C125,input_497101!A:H,8,FALSE))</f>
        <v>15165</v>
      </c>
      <c r="P125" s="46">
        <f t="shared" ca="1" si="4"/>
        <v>2.4443907156609994E-4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input_497101!A$2</f>
        <v>497101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IFERROR(VLOOKUP(B126,input_497101!L:R,7,FALSE),VLOOKUP(tables_497101!C126,input_497101!A:H,8,FALSE))</f>
        <v>231000</v>
      </c>
      <c r="P126" s="46">
        <f t="shared" ca="1" si="4"/>
        <v>3.7234042553095344E-3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input_497101!A$2</f>
        <v>497101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IFERROR(VLOOKUP(B127,input_497101!L:R,7,FALSE),VLOOKUP(tables_497101!C127,input_497101!A:H,8,FALSE))</f>
        <v>142280.76923000001</v>
      </c>
      <c r="P127" s="46">
        <f t="shared" ca="1" si="4"/>
        <v>2.2933715220766052E-3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input_497101!A$2</f>
        <v>497101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IFERROR(VLOOKUP(B128,input_497101!L:R,7,FALSE),VLOOKUP(tables_497101!C128,input_497101!A:H,8,FALSE))</f>
        <v>15165</v>
      </c>
      <c r="P128" s="46">
        <f t="shared" ca="1" si="4"/>
        <v>2.4443907156609994E-4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input_497101!A$2</f>
        <v>497101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IFERROR(VLOOKUP(B129,input_497101!L:R,7,FALSE),VLOOKUP(tables_497101!C129,input_497101!A:H,8,FALSE))</f>
        <v>231000</v>
      </c>
      <c r="P129" s="46">
        <f t="shared" ca="1" si="4"/>
        <v>3.7234042553095344E-3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input_497101!A$2</f>
        <v>497101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IFERROR(VLOOKUP(B130,input_497101!L:R,7,FALSE),VLOOKUP(tables_497101!C130,input_497101!A:H,8,FALSE))</f>
        <v>142280.76923000001</v>
      </c>
      <c r="P130" s="46">
        <f t="shared" ref="P130:P193" ca="1" si="7">O130/SUM(O:O)</f>
        <v>2.2933715220766052E-3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input_497101!A$2</f>
        <v>497101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IFERROR(VLOOKUP(B131,input_497101!L:R,7,FALSE),VLOOKUP(tables_497101!C131,input_497101!A:H,8,FALSE))</f>
        <v>15165</v>
      </c>
      <c r="P131" s="46">
        <f t="shared" ca="1" si="7"/>
        <v>2.4443907156609994E-4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input_497101!A$2</f>
        <v>497101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IFERROR(VLOOKUP(B132,input_497101!L:R,7,FALSE),VLOOKUP(tables_497101!C132,input_497101!A:H,8,FALSE))</f>
        <v>231000</v>
      </c>
      <c r="P132" s="46">
        <f t="shared" ca="1" si="7"/>
        <v>3.7234042553095344E-3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input_497101!A$2</f>
        <v>497101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IFERROR(VLOOKUP(B133,input_497101!L:R,7,FALSE),VLOOKUP(tables_497101!C133,input_497101!A:H,8,FALSE))</f>
        <v>142280.76923000001</v>
      </c>
      <c r="P133" s="46">
        <f t="shared" ca="1" si="7"/>
        <v>2.2933715220766052E-3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input_497101!A$2</f>
        <v>497101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IFERROR(VLOOKUP(B134,input_497101!L:R,7,FALSE),VLOOKUP(tables_497101!C134,input_497101!A:H,8,FALSE))</f>
        <v>15165</v>
      </c>
      <c r="P134" s="46">
        <f t="shared" ca="1" si="7"/>
        <v>2.4443907156609994E-4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input_497101!A$2</f>
        <v>497101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IFERROR(VLOOKUP(B135,input_497101!L:R,7,FALSE),VLOOKUP(tables_497101!C135,input_497101!A:H,8,FALSE))</f>
        <v>231000</v>
      </c>
      <c r="P135" s="46">
        <f t="shared" ca="1" si="7"/>
        <v>3.7234042553095344E-3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input_497101!A$2</f>
        <v>497101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IFERROR(VLOOKUP(B136,input_497101!L:R,7,FALSE),VLOOKUP(tables_497101!C136,input_497101!A:H,8,FALSE))</f>
        <v>142280.76923000001</v>
      </c>
      <c r="P136" s="46">
        <f t="shared" ca="1" si="7"/>
        <v>2.2933715220766052E-3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input_497101!A$2</f>
        <v>497101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IFERROR(VLOOKUP(B137,input_497101!L:R,7,FALSE),VLOOKUP(tables_497101!C137,input_497101!A:H,8,FALSE))</f>
        <v>15165</v>
      </c>
      <c r="P137" s="46">
        <f t="shared" ca="1" si="7"/>
        <v>2.4443907156609994E-4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input_497101!A$2</f>
        <v>497101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IFERROR(VLOOKUP(B138,input_497101!L:R,7,FALSE),VLOOKUP(tables_497101!C138,input_497101!A:H,8,FALSE))</f>
        <v>73420.71428</v>
      </c>
      <c r="P138" s="46">
        <f t="shared" ca="1" si="7"/>
        <v>1.1834415583463959E-3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input_497101!A$2</f>
        <v>497101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IFERROR(VLOOKUP(B139,input_497101!L:R,7,FALSE),VLOOKUP(tables_497101!C139,input_497101!A:H,8,FALSE))</f>
        <v>2115</v>
      </c>
      <c r="P139" s="46">
        <f t="shared" ca="1" si="7"/>
        <v>3.4090909090821062E-5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input_497101!A$2</f>
        <v>497101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IFERROR(VLOOKUP(B140,input_497101!L:R,7,FALSE),VLOOKUP(tables_497101!C140,input_497101!A:H,8,FALSE))</f>
        <v>73420.71428</v>
      </c>
      <c r="P140" s="46">
        <f t="shared" ca="1" si="7"/>
        <v>1.1834415583463959E-3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input_497101!A$2</f>
        <v>497101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IFERROR(VLOOKUP(B141,input_497101!L:R,7,FALSE),VLOOKUP(tables_497101!C141,input_497101!A:H,8,FALSE))</f>
        <v>2115</v>
      </c>
      <c r="P141" s="46">
        <f t="shared" ca="1" si="7"/>
        <v>3.4090909090821062E-5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input_497101!A$2</f>
        <v>497101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IFERROR(VLOOKUP(B142,input_497101!L:R,7,FALSE),VLOOKUP(tables_497101!C142,input_497101!A:H,8,FALSE))</f>
        <v>73420.71428</v>
      </c>
      <c r="P142" s="46">
        <f t="shared" ca="1" si="7"/>
        <v>1.1834415583463959E-3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input_497101!A$2</f>
        <v>497101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IFERROR(VLOOKUP(B143,input_497101!L:R,7,FALSE),VLOOKUP(tables_497101!C143,input_497101!A:H,8,FALSE))</f>
        <v>2115</v>
      </c>
      <c r="P143" s="46">
        <f t="shared" ca="1" si="7"/>
        <v>3.4090909090821062E-5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input_497101!A$2</f>
        <v>497101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IFERROR(VLOOKUP(B144,input_497101!L:R,7,FALSE),VLOOKUP(tables_497101!C144,input_497101!A:H,8,FALSE))</f>
        <v>73420.71428</v>
      </c>
      <c r="P144" s="46">
        <f t="shared" ca="1" si="7"/>
        <v>1.1834415583463959E-3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input_497101!A$2</f>
        <v>497101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IFERROR(VLOOKUP(B145,input_497101!L:R,7,FALSE),VLOOKUP(tables_497101!C145,input_497101!A:H,8,FALSE))</f>
        <v>2115</v>
      </c>
      <c r="P145" s="46">
        <f t="shared" ca="1" si="7"/>
        <v>3.4090909090821062E-5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input_497101!A$2</f>
        <v>497101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IFERROR(VLOOKUP(B146,input_497101!L:R,7,FALSE),VLOOKUP(tables_497101!C146,input_497101!A:H,8,FALSE))</f>
        <v>231000</v>
      </c>
      <c r="P146" s="46">
        <f t="shared" ca="1" si="7"/>
        <v>3.7234042553095344E-3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input_497101!A$2</f>
        <v>497101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IFERROR(VLOOKUP(B147,input_497101!L:R,7,FALSE),VLOOKUP(tables_497101!C147,input_497101!A:H,8,FALSE))</f>
        <v>142280.76923000001</v>
      </c>
      <c r="P147" s="46">
        <f t="shared" ca="1" si="7"/>
        <v>2.2933715220766052E-3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input_497101!A$2</f>
        <v>497101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IFERROR(VLOOKUP(B148,input_497101!L:R,7,FALSE),VLOOKUP(tables_497101!C148,input_497101!A:H,8,FALSE))</f>
        <v>15165</v>
      </c>
      <c r="P148" s="46">
        <f t="shared" ca="1" si="7"/>
        <v>2.4443907156609994E-4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input_497101!A$2</f>
        <v>497101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IFERROR(VLOOKUP(B149,input_497101!L:R,7,FALSE),VLOOKUP(tables_497101!C149,input_497101!A:H,8,FALSE))</f>
        <v>73420.71428</v>
      </c>
      <c r="P149" s="46">
        <f t="shared" ca="1" si="7"/>
        <v>1.1834415583463959E-3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input_497101!A$2</f>
        <v>497101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IFERROR(VLOOKUP(B150,input_497101!L:R,7,FALSE),VLOOKUP(tables_497101!C150,input_497101!A:H,8,FALSE))</f>
        <v>2115</v>
      </c>
      <c r="P150" s="46">
        <f t="shared" ca="1" si="7"/>
        <v>3.4090909090821062E-5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input_497101!A$2</f>
        <v>497101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IFERROR(VLOOKUP(B151,input_497101!L:R,7,FALSE),VLOOKUP(tables_497101!C151,input_497101!A:H,8,FALSE))</f>
        <v>73420.71428</v>
      </c>
      <c r="P151" s="46">
        <f t="shared" ca="1" si="7"/>
        <v>1.1834415583463959E-3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input_497101!A$2</f>
        <v>497101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IFERROR(VLOOKUP(B152,input_497101!L:R,7,FALSE),VLOOKUP(tables_497101!C152,input_497101!A:H,8,FALSE))</f>
        <v>2115</v>
      </c>
      <c r="P152" s="46">
        <f t="shared" ca="1" si="7"/>
        <v>3.4090909090821062E-5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input_497101!A$2</f>
        <v>497101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IFERROR(VLOOKUP(B153,input_497101!L:R,7,FALSE),VLOOKUP(tables_497101!C153,input_497101!A:H,8,FALSE))</f>
        <v>231000</v>
      </c>
      <c r="P153" s="46">
        <f t="shared" ca="1" si="7"/>
        <v>3.7234042553095344E-3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input_497101!A$2</f>
        <v>497101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IFERROR(VLOOKUP(B154,input_497101!L:R,7,FALSE),VLOOKUP(tables_497101!C154,input_497101!A:H,8,FALSE))</f>
        <v>142280.76923000001</v>
      </c>
      <c r="P154" s="46">
        <f t="shared" ca="1" si="7"/>
        <v>2.2933715220766052E-3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input_497101!A$2</f>
        <v>497101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IFERROR(VLOOKUP(B155,input_497101!L:R,7,FALSE),VLOOKUP(tables_497101!C155,input_497101!A:H,8,FALSE))</f>
        <v>15165</v>
      </c>
      <c r="P155" s="46">
        <f t="shared" ca="1" si="7"/>
        <v>2.4443907156609994E-4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input_497101!A$2</f>
        <v>497101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IFERROR(VLOOKUP(B156,input_497101!L:R,7,FALSE),VLOOKUP(tables_497101!C156,input_497101!A:H,8,FALSE))</f>
        <v>73420.71428</v>
      </c>
      <c r="P156" s="46">
        <f t="shared" ca="1" si="7"/>
        <v>1.1834415583463959E-3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input_497101!A$2</f>
        <v>497101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IFERROR(VLOOKUP(B157,input_497101!L:R,7,FALSE),VLOOKUP(tables_497101!C157,input_497101!A:H,8,FALSE))</f>
        <v>2115</v>
      </c>
      <c r="P157" s="46">
        <f t="shared" ca="1" si="7"/>
        <v>3.4090909090821062E-5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input_497101!A$2</f>
        <v>497101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IFERROR(VLOOKUP(B158,input_497101!L:R,7,FALSE),VLOOKUP(tables_497101!C158,input_497101!A:H,8,FALSE))</f>
        <v>231000</v>
      </c>
      <c r="P158" s="46">
        <f t="shared" ca="1" si="7"/>
        <v>3.7234042553095344E-3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input_497101!A$2</f>
        <v>497101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IFERROR(VLOOKUP(B159,input_497101!L:R,7,FALSE),VLOOKUP(tables_497101!C159,input_497101!A:H,8,FALSE))</f>
        <v>142280.76923000001</v>
      </c>
      <c r="P159" s="46">
        <f t="shared" ca="1" si="7"/>
        <v>2.2933715220766052E-3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input_497101!A$2</f>
        <v>497101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IFERROR(VLOOKUP(B160,input_497101!L:R,7,FALSE),VLOOKUP(tables_497101!C160,input_497101!A:H,8,FALSE))</f>
        <v>15165</v>
      </c>
      <c r="P160" s="46">
        <f t="shared" ca="1" si="7"/>
        <v>2.4443907156609994E-4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input_497101!A$2</f>
        <v>497101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IFERROR(VLOOKUP(B161,input_497101!L:R,7,FALSE),VLOOKUP(tables_497101!C161,input_497101!A:H,8,FALSE))</f>
        <v>231000</v>
      </c>
      <c r="P161" s="46">
        <f t="shared" ca="1" si="7"/>
        <v>3.7234042553095344E-3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input_497101!A$2</f>
        <v>497101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IFERROR(VLOOKUP(B162,input_497101!L:R,7,FALSE),VLOOKUP(tables_497101!C162,input_497101!A:H,8,FALSE))</f>
        <v>142280.76923000001</v>
      </c>
      <c r="P162" s="46">
        <f t="shared" ca="1" si="7"/>
        <v>2.2933715220766052E-3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input_497101!A$2</f>
        <v>497101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IFERROR(VLOOKUP(B163,input_497101!L:R,7,FALSE),VLOOKUP(tables_497101!C163,input_497101!A:H,8,FALSE))</f>
        <v>15165</v>
      </c>
      <c r="P163" s="46">
        <f t="shared" ca="1" si="7"/>
        <v>2.4443907156609994E-4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input_497101!A$2</f>
        <v>497101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IFERROR(VLOOKUP(B164,input_497101!L:R,7,FALSE),VLOOKUP(tables_497101!C164,input_497101!A:H,8,FALSE))</f>
        <v>73420.71428</v>
      </c>
      <c r="P164" s="46">
        <f t="shared" ca="1" si="7"/>
        <v>1.1834415583463959E-3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input_497101!A$2</f>
        <v>497101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IFERROR(VLOOKUP(B165,input_497101!L:R,7,FALSE),VLOOKUP(tables_497101!C165,input_497101!A:H,8,FALSE))</f>
        <v>2115</v>
      </c>
      <c r="P165" s="46">
        <f t="shared" ca="1" si="7"/>
        <v>3.4090909090821062E-5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input_497101!A$2</f>
        <v>497101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IFERROR(VLOOKUP(B166,input_497101!L:R,7,FALSE),VLOOKUP(tables_497101!C166,input_497101!A:H,8,FALSE))</f>
        <v>231000</v>
      </c>
      <c r="P166" s="46">
        <f t="shared" ca="1" si="7"/>
        <v>3.7234042553095344E-3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input_497101!A$2</f>
        <v>497101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IFERROR(VLOOKUP(B167,input_497101!L:R,7,FALSE),VLOOKUP(tables_497101!C167,input_497101!A:H,8,FALSE))</f>
        <v>142280.76923000001</v>
      </c>
      <c r="P167" s="46">
        <f t="shared" ca="1" si="7"/>
        <v>2.2933715220766052E-3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input_497101!A$2</f>
        <v>497101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IFERROR(VLOOKUP(B168,input_497101!L:R,7,FALSE),VLOOKUP(tables_497101!C168,input_497101!A:H,8,FALSE))</f>
        <v>15165</v>
      </c>
      <c r="P168" s="46">
        <f t="shared" ca="1" si="7"/>
        <v>2.4443907156609994E-4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input_497101!A$2</f>
        <v>497101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IFERROR(VLOOKUP(B169,input_497101!L:R,7,FALSE),VLOOKUP(tables_497101!C169,input_497101!A:H,8,FALSE))</f>
        <v>73420.71428</v>
      </c>
      <c r="P169" s="46">
        <f t="shared" ca="1" si="7"/>
        <v>1.1834415583463959E-3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input_497101!A$2</f>
        <v>497101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IFERROR(VLOOKUP(B170,input_497101!L:R,7,FALSE),VLOOKUP(tables_497101!C170,input_497101!A:H,8,FALSE))</f>
        <v>2115</v>
      </c>
      <c r="P170" s="46">
        <f t="shared" ca="1" si="7"/>
        <v>3.4090909090821062E-5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input_497101!A$2</f>
        <v>497101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IFERROR(VLOOKUP(B171,input_497101!L:R,7,FALSE),VLOOKUP(tables_497101!C171,input_497101!A:H,8,FALSE))</f>
        <v>231000</v>
      </c>
      <c r="P171" s="46">
        <f t="shared" ca="1" si="7"/>
        <v>3.7234042553095344E-3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input_497101!A$2</f>
        <v>497101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IFERROR(VLOOKUP(B172,input_497101!L:R,7,FALSE),VLOOKUP(tables_497101!C172,input_497101!A:H,8,FALSE))</f>
        <v>142280.76923000001</v>
      </c>
      <c r="P172" s="46">
        <f t="shared" ca="1" si="7"/>
        <v>2.2933715220766052E-3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input_497101!A$2</f>
        <v>497101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IFERROR(VLOOKUP(B173,input_497101!L:R,7,FALSE),VLOOKUP(tables_497101!C173,input_497101!A:H,8,FALSE))</f>
        <v>15165</v>
      </c>
      <c r="P173" s="46">
        <f t="shared" ca="1" si="7"/>
        <v>2.4443907156609994E-4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input_497101!A$2</f>
        <v>497101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IFERROR(VLOOKUP(B174,input_497101!L:R,7,FALSE),VLOOKUP(tables_497101!C174,input_497101!A:H,8,FALSE))</f>
        <v>73420.71428</v>
      </c>
      <c r="P174" s="46">
        <f t="shared" ca="1" si="7"/>
        <v>1.1834415583463959E-3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input_497101!A$2</f>
        <v>497101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IFERROR(VLOOKUP(B175,input_497101!L:R,7,FALSE),VLOOKUP(tables_497101!C175,input_497101!A:H,8,FALSE))</f>
        <v>2115</v>
      </c>
      <c r="P175" s="46">
        <f t="shared" ca="1" si="7"/>
        <v>3.4090909090821062E-5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input_497101!A$2</f>
        <v>497101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IFERROR(VLOOKUP(B176,input_497101!L:R,7,FALSE),VLOOKUP(tables_497101!C176,input_497101!A:H,8,FALSE))</f>
        <v>73420.71428</v>
      </c>
      <c r="P176" s="46">
        <f t="shared" ca="1" si="7"/>
        <v>1.1834415583463959E-3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input_497101!A$2</f>
        <v>497101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IFERROR(VLOOKUP(B177,input_497101!L:R,7,FALSE),VLOOKUP(tables_497101!C177,input_497101!A:H,8,FALSE))</f>
        <v>2115</v>
      </c>
      <c r="P177" s="46">
        <f t="shared" ca="1" si="7"/>
        <v>3.4090909090821062E-5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input_497101!A$2</f>
        <v>497101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IFERROR(VLOOKUP(B178,input_497101!L:R,7,FALSE),VLOOKUP(tables_497101!C178,input_497101!A:H,8,FALSE))</f>
        <v>231000</v>
      </c>
      <c r="P178" s="46">
        <f t="shared" ca="1" si="7"/>
        <v>3.7234042553095344E-3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input_497101!A$2</f>
        <v>497101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IFERROR(VLOOKUP(B179,input_497101!L:R,7,FALSE),VLOOKUP(tables_497101!C179,input_497101!A:H,8,FALSE))</f>
        <v>142280.76923000001</v>
      </c>
      <c r="P179" s="46">
        <f t="shared" ca="1" si="7"/>
        <v>2.2933715220766052E-3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input_497101!A$2</f>
        <v>497101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IFERROR(VLOOKUP(B180,input_497101!L:R,7,FALSE),VLOOKUP(tables_497101!C180,input_497101!A:H,8,FALSE))</f>
        <v>15165</v>
      </c>
      <c r="P180" s="46">
        <f t="shared" ca="1" si="7"/>
        <v>2.4443907156609994E-4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input_497101!A$2</f>
        <v>497101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IFERROR(VLOOKUP(B181,input_497101!L:R,7,FALSE),VLOOKUP(tables_497101!C181,input_497101!A:H,8,FALSE))</f>
        <v>231000</v>
      </c>
      <c r="P181" s="46">
        <f t="shared" ca="1" si="7"/>
        <v>3.7234042553095344E-3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input_497101!A$2</f>
        <v>497101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IFERROR(VLOOKUP(B182,input_497101!L:R,7,FALSE),VLOOKUP(tables_497101!C182,input_497101!A:H,8,FALSE))</f>
        <v>142280.76923000001</v>
      </c>
      <c r="P182" s="46">
        <f t="shared" ca="1" si="7"/>
        <v>2.2933715220766052E-3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input_497101!A$2</f>
        <v>497101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IFERROR(VLOOKUP(B183,input_497101!L:R,7,FALSE),VLOOKUP(tables_497101!C183,input_497101!A:H,8,FALSE))</f>
        <v>15165</v>
      </c>
      <c r="P183" s="46">
        <f t="shared" ca="1" si="7"/>
        <v>2.4443907156609994E-4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input_497101!A$2</f>
        <v>497101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IFERROR(VLOOKUP(B184,input_497101!L:R,7,FALSE),VLOOKUP(tables_497101!C184,input_497101!A:H,8,FALSE))</f>
        <v>73420.71428</v>
      </c>
      <c r="P184" s="46">
        <f t="shared" ca="1" si="7"/>
        <v>1.1834415583463959E-3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input_497101!A$2</f>
        <v>497101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IFERROR(VLOOKUP(B185,input_497101!L:R,7,FALSE),VLOOKUP(tables_497101!C185,input_497101!A:H,8,FALSE))</f>
        <v>2115</v>
      </c>
      <c r="P185" s="46">
        <f t="shared" ca="1" si="7"/>
        <v>3.4090909090821062E-5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input_497101!A$2</f>
        <v>497101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IFERROR(VLOOKUP(B186,input_497101!L:R,7,FALSE),VLOOKUP(tables_497101!C186,input_497101!A:H,8,FALSE))</f>
        <v>231000</v>
      </c>
      <c r="P186" s="46">
        <f t="shared" ca="1" si="7"/>
        <v>3.7234042553095344E-3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input_497101!A$2</f>
        <v>497101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IFERROR(VLOOKUP(B187,input_497101!L:R,7,FALSE),VLOOKUP(tables_497101!C187,input_497101!A:H,8,FALSE))</f>
        <v>142280.76923000001</v>
      </c>
      <c r="P187" s="46">
        <f t="shared" ca="1" si="7"/>
        <v>2.2933715220766052E-3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input_497101!A$2</f>
        <v>497101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IFERROR(VLOOKUP(B188,input_497101!L:R,7,FALSE),VLOOKUP(tables_497101!C188,input_497101!A:H,8,FALSE))</f>
        <v>15165</v>
      </c>
      <c r="P188" s="46">
        <f t="shared" ca="1" si="7"/>
        <v>2.4443907156609994E-4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input_497101!A$2</f>
        <v>497101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IFERROR(VLOOKUP(B189,input_497101!L:R,7,FALSE),VLOOKUP(tables_497101!C189,input_497101!A:H,8,FALSE))</f>
        <v>73420.71428</v>
      </c>
      <c r="P189" s="46">
        <f t="shared" ca="1" si="7"/>
        <v>1.1834415583463959E-3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input_497101!A$2</f>
        <v>497101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IFERROR(VLOOKUP(B190,input_497101!L:R,7,FALSE),VLOOKUP(tables_497101!C190,input_497101!A:H,8,FALSE))</f>
        <v>2115</v>
      </c>
      <c r="P190" s="46">
        <f t="shared" ca="1" si="7"/>
        <v>3.4090909090821062E-5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input_497101!A$2</f>
        <v>497101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IFERROR(VLOOKUP(B191,input_497101!L:R,7,FALSE),VLOOKUP(tables_497101!C191,input_497101!A:H,8,FALSE))</f>
        <v>73420.71428</v>
      </c>
      <c r="P191" s="46">
        <f t="shared" ca="1" si="7"/>
        <v>1.1834415583463959E-3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input_497101!A$2</f>
        <v>497101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IFERROR(VLOOKUP(B192,input_497101!L:R,7,FALSE),VLOOKUP(tables_497101!C192,input_497101!A:H,8,FALSE))</f>
        <v>2115</v>
      </c>
      <c r="P192" s="46">
        <f t="shared" ca="1" si="7"/>
        <v>3.4090909090821062E-5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input_497101!A$2</f>
        <v>497101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IFERROR(VLOOKUP(B193,input_497101!L:R,7,FALSE),VLOOKUP(tables_497101!C193,input_497101!A:H,8,FALSE))</f>
        <v>231000</v>
      </c>
      <c r="P193" s="46">
        <f t="shared" ca="1" si="7"/>
        <v>3.7234042553095344E-3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input_497101!A$2</f>
        <v>497101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IFERROR(VLOOKUP(B194,input_497101!L:R,7,FALSE),VLOOKUP(tables_497101!C194,input_497101!A:H,8,FALSE))</f>
        <v>142280.76923000001</v>
      </c>
      <c r="P194" s="46">
        <f t="shared" ref="P194:P257" ca="1" si="10">O194/SUM(O:O)</f>
        <v>2.2933715220766052E-3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input_497101!A$2</f>
        <v>497101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IFERROR(VLOOKUP(B195,input_497101!L:R,7,FALSE),VLOOKUP(tables_497101!C195,input_497101!A:H,8,FALSE))</f>
        <v>15165</v>
      </c>
      <c r="P195" s="46">
        <f t="shared" ca="1" si="10"/>
        <v>2.4443907156609994E-4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input_497101!A$2</f>
        <v>497101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IFERROR(VLOOKUP(B196,input_497101!L:R,7,FALSE),VLOOKUP(tables_497101!C196,input_497101!A:H,8,FALSE))</f>
        <v>73420.71428</v>
      </c>
      <c r="P196" s="46">
        <f t="shared" ca="1" si="10"/>
        <v>1.1834415583463959E-3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input_497101!A$2</f>
        <v>497101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IFERROR(VLOOKUP(B197,input_497101!L:R,7,FALSE),VLOOKUP(tables_497101!C197,input_497101!A:H,8,FALSE))</f>
        <v>2115</v>
      </c>
      <c r="P197" s="46">
        <f t="shared" ca="1" si="10"/>
        <v>3.4090909090821062E-5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input_497101!A$2</f>
        <v>497101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IFERROR(VLOOKUP(B198,input_497101!L:R,7,FALSE),VLOOKUP(tables_497101!C198,input_497101!A:H,8,FALSE))</f>
        <v>231000</v>
      </c>
      <c r="P198" s="46">
        <f t="shared" ca="1" si="10"/>
        <v>3.7234042553095344E-3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input_497101!A$2</f>
        <v>497101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IFERROR(VLOOKUP(B199,input_497101!L:R,7,FALSE),VLOOKUP(tables_497101!C199,input_497101!A:H,8,FALSE))</f>
        <v>142280.76923000001</v>
      </c>
      <c r="P199" s="46">
        <f t="shared" ca="1" si="10"/>
        <v>2.2933715220766052E-3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input_497101!A$2</f>
        <v>497101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IFERROR(VLOOKUP(B200,input_497101!L:R,7,FALSE),VLOOKUP(tables_497101!C200,input_497101!A:H,8,FALSE))</f>
        <v>15165</v>
      </c>
      <c r="P200" s="46">
        <f t="shared" ca="1" si="10"/>
        <v>2.4443907156609994E-4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input_497101!A$2</f>
        <v>497101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IFERROR(VLOOKUP(B201,input_497101!L:R,7,FALSE),VLOOKUP(tables_497101!C201,input_497101!A:H,8,FALSE))</f>
        <v>73420.71428</v>
      </c>
      <c r="P201" s="46">
        <f t="shared" ca="1" si="10"/>
        <v>1.1834415583463959E-3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input_497101!A$2</f>
        <v>497101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IFERROR(VLOOKUP(B202,input_497101!L:R,7,FALSE),VLOOKUP(tables_497101!C202,input_497101!A:H,8,FALSE))</f>
        <v>2115</v>
      </c>
      <c r="P202" s="46">
        <f t="shared" ca="1" si="10"/>
        <v>3.4090909090821062E-5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input_497101!A$2</f>
        <v>497101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IFERROR(VLOOKUP(B203,input_497101!L:R,7,FALSE),VLOOKUP(tables_497101!C203,input_497101!A:H,8,FALSE))</f>
        <v>231000</v>
      </c>
      <c r="P203" s="46">
        <f t="shared" ca="1" si="10"/>
        <v>3.7234042553095344E-3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input_497101!A$2</f>
        <v>497101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IFERROR(VLOOKUP(B204,input_497101!L:R,7,FALSE),VLOOKUP(tables_497101!C204,input_497101!A:H,8,FALSE))</f>
        <v>142280.76923000001</v>
      </c>
      <c r="P204" s="46">
        <f t="shared" ca="1" si="10"/>
        <v>2.2933715220766052E-3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input_497101!A$2</f>
        <v>497101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IFERROR(VLOOKUP(B205,input_497101!L:R,7,FALSE),VLOOKUP(tables_497101!C205,input_497101!A:H,8,FALSE))</f>
        <v>15165</v>
      </c>
      <c r="P205" s="46">
        <f t="shared" ca="1" si="10"/>
        <v>2.4443907156609994E-4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input_497101!A$2</f>
        <v>497101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IFERROR(VLOOKUP(B206,input_497101!L:R,7,FALSE),VLOOKUP(tables_497101!C206,input_497101!A:H,8,FALSE))</f>
        <v>73420.71428</v>
      </c>
      <c r="P206" s="46">
        <f t="shared" ca="1" si="10"/>
        <v>1.1834415583463959E-3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input_497101!A$2</f>
        <v>497101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IFERROR(VLOOKUP(B207,input_497101!L:R,7,FALSE),VLOOKUP(tables_497101!C207,input_497101!A:H,8,FALSE))</f>
        <v>2115</v>
      </c>
      <c r="P207" s="46">
        <f t="shared" ca="1" si="10"/>
        <v>3.4090909090821062E-5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input_497101!A$2</f>
        <v>497101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IFERROR(VLOOKUP(B208,input_497101!L:R,7,FALSE),VLOOKUP(tables_497101!C208,input_497101!A:H,8,FALSE))</f>
        <v>73420.71428</v>
      </c>
      <c r="P208" s="46">
        <f t="shared" ca="1" si="10"/>
        <v>1.1834415583463959E-3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input_497101!A$2</f>
        <v>497101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IFERROR(VLOOKUP(B209,input_497101!L:R,7,FALSE),VLOOKUP(tables_497101!C209,input_497101!A:H,8,FALSE))</f>
        <v>2115</v>
      </c>
      <c r="P209" s="46">
        <f t="shared" ca="1" si="10"/>
        <v>3.4090909090821062E-5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input_497101!A$2</f>
        <v>497101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IFERROR(VLOOKUP(B210,input_497101!L:R,7,FALSE),VLOOKUP(tables_497101!C210,input_497101!A:H,8,FALSE))</f>
        <v>231000</v>
      </c>
      <c r="P210" s="46">
        <f t="shared" ca="1" si="10"/>
        <v>3.7234042553095344E-3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input_497101!A$2</f>
        <v>497101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IFERROR(VLOOKUP(B211,input_497101!L:R,7,FALSE),VLOOKUP(tables_497101!C211,input_497101!A:H,8,FALSE))</f>
        <v>142280.76923000001</v>
      </c>
      <c r="P211" s="46">
        <f t="shared" ca="1" si="10"/>
        <v>2.2933715220766052E-3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input_497101!A$2</f>
        <v>497101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IFERROR(VLOOKUP(B212,input_497101!L:R,7,FALSE),VLOOKUP(tables_497101!C212,input_497101!A:H,8,FALSE))</f>
        <v>15165</v>
      </c>
      <c r="P212" s="46">
        <f t="shared" ca="1" si="10"/>
        <v>2.4443907156609994E-4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input_497101!A$2</f>
        <v>497101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IFERROR(VLOOKUP(B213,input_497101!L:R,7,FALSE),VLOOKUP(tables_497101!C213,input_497101!A:H,8,FALSE))</f>
        <v>73420.71428</v>
      </c>
      <c r="P213" s="46">
        <f t="shared" ca="1" si="10"/>
        <v>1.1834415583463959E-3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input_497101!A$2</f>
        <v>497101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IFERROR(VLOOKUP(B214,input_497101!L:R,7,FALSE),VLOOKUP(tables_497101!C214,input_497101!A:H,8,FALSE))</f>
        <v>2115</v>
      </c>
      <c r="P214" s="46">
        <f t="shared" ca="1" si="10"/>
        <v>3.4090909090821062E-5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input_497101!A$2</f>
        <v>497101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IFERROR(VLOOKUP(B215,input_497101!L:R,7,FALSE),VLOOKUP(tables_497101!C215,input_497101!A:H,8,FALSE))</f>
        <v>23100</v>
      </c>
      <c r="P215" s="46">
        <f t="shared" ca="1" si="10"/>
        <v>3.7234042553095344E-4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input_497101!A$2</f>
        <v>497101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IFERROR(VLOOKUP(B216,input_497101!L:R,7,FALSE),VLOOKUP(tables_497101!C216,input_497101!A:H,8,FALSE))</f>
        <v>23100</v>
      </c>
      <c r="P216" s="46">
        <f t="shared" ca="1" si="10"/>
        <v>3.7234042553095344E-4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input_497101!A$2</f>
        <v>497101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IFERROR(VLOOKUP(B217,input_497101!L:R,7,FALSE),VLOOKUP(tables_497101!C217,input_497101!A:H,8,FALSE))</f>
        <v>23100</v>
      </c>
      <c r="P217" s="46">
        <f t="shared" ca="1" si="10"/>
        <v>3.7234042553095344E-4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input_497101!A$2</f>
        <v>497101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IFERROR(VLOOKUP(B218,input_497101!L:R,7,FALSE),VLOOKUP(tables_497101!C218,input_497101!A:H,8,FALSE))</f>
        <v>23100</v>
      </c>
      <c r="P218" s="46">
        <f t="shared" ca="1" si="10"/>
        <v>3.7234042553095344E-4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input_497101!A$2</f>
        <v>497101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IFERROR(VLOOKUP(B219,input_497101!L:R,7,FALSE),VLOOKUP(tables_497101!C219,input_497101!A:H,8,FALSE))</f>
        <v>23100</v>
      </c>
      <c r="P219" s="46">
        <f t="shared" ca="1" si="10"/>
        <v>3.7234042553095344E-4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input_497101!A$2</f>
        <v>497101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IFERROR(VLOOKUP(B220,input_497101!L:R,7,FALSE),VLOOKUP(tables_497101!C220,input_497101!A:H,8,FALSE))</f>
        <v>23100</v>
      </c>
      <c r="P220" s="46">
        <f t="shared" ca="1" si="10"/>
        <v>3.7234042553095344E-4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input_497101!A$2</f>
        <v>497101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IFERROR(VLOOKUP(B221,input_497101!L:R,7,FALSE),VLOOKUP(tables_497101!C221,input_497101!A:H,8,FALSE))</f>
        <v>73420.71428</v>
      </c>
      <c r="P221" s="46">
        <f t="shared" ca="1" si="10"/>
        <v>1.1834415583463959E-3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input_497101!A$2</f>
        <v>497101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IFERROR(VLOOKUP(B222,input_497101!L:R,7,FALSE),VLOOKUP(tables_497101!C222,input_497101!A:H,8,FALSE))</f>
        <v>2115</v>
      </c>
      <c r="P222" s="46">
        <f t="shared" ca="1" si="10"/>
        <v>3.4090909090821062E-5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input_497101!A$2</f>
        <v>497101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IFERROR(VLOOKUP(B223,input_497101!L:R,7,FALSE),VLOOKUP(tables_497101!C223,input_497101!A:H,8,FALSE))</f>
        <v>231000</v>
      </c>
      <c r="P223" s="46">
        <f t="shared" ca="1" si="10"/>
        <v>3.7234042553095344E-3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input_497101!A$2</f>
        <v>497101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IFERROR(VLOOKUP(B224,input_497101!L:R,7,FALSE),VLOOKUP(tables_497101!C224,input_497101!A:H,8,FALSE))</f>
        <v>142280.76923000001</v>
      </c>
      <c r="P224" s="46">
        <f t="shared" ca="1" si="10"/>
        <v>2.2933715220766052E-3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input_497101!A$2</f>
        <v>497101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IFERROR(VLOOKUP(B225,input_497101!L:R,7,FALSE),VLOOKUP(tables_497101!C225,input_497101!A:H,8,FALSE))</f>
        <v>15165</v>
      </c>
      <c r="P225" s="46">
        <f t="shared" ca="1" si="10"/>
        <v>2.4443907156609994E-4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input_497101!A$2</f>
        <v>497101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IFERROR(VLOOKUP(B226,input_497101!L:R,7,FALSE),VLOOKUP(tables_497101!C226,input_497101!A:H,8,FALSE))</f>
        <v>231000</v>
      </c>
      <c r="P226" s="46">
        <f t="shared" ca="1" si="10"/>
        <v>3.7234042553095344E-3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input_497101!A$2</f>
        <v>497101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IFERROR(VLOOKUP(B227,input_497101!L:R,7,FALSE),VLOOKUP(tables_497101!C227,input_497101!A:H,8,FALSE))</f>
        <v>142280.76923000001</v>
      </c>
      <c r="P227" s="46">
        <f t="shared" ca="1" si="10"/>
        <v>2.2933715220766052E-3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input_497101!A$2</f>
        <v>497101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IFERROR(VLOOKUP(B228,input_497101!L:R,7,FALSE),VLOOKUP(tables_497101!C228,input_497101!A:H,8,FALSE))</f>
        <v>15165</v>
      </c>
      <c r="P228" s="46">
        <f t="shared" ca="1" si="10"/>
        <v>2.4443907156609994E-4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input_497101!A$2</f>
        <v>497101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IFERROR(VLOOKUP(B229,input_497101!L:R,7,FALSE),VLOOKUP(tables_497101!C229,input_497101!A:H,8,FALSE))</f>
        <v>73420.71428</v>
      </c>
      <c r="P229" s="46">
        <f t="shared" ca="1" si="10"/>
        <v>1.1834415583463959E-3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input_497101!A$2</f>
        <v>497101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IFERROR(VLOOKUP(B230,input_497101!L:R,7,FALSE),VLOOKUP(tables_497101!C230,input_497101!A:H,8,FALSE))</f>
        <v>2115</v>
      </c>
      <c r="P230" s="46">
        <f t="shared" ca="1" si="10"/>
        <v>3.4090909090821062E-5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input_497101!A$2</f>
        <v>497101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IFERROR(VLOOKUP(B231,input_497101!L:R,7,FALSE),VLOOKUP(tables_497101!C231,input_497101!A:H,8,FALSE))</f>
        <v>231000</v>
      </c>
      <c r="P231" s="46">
        <f t="shared" ca="1" si="10"/>
        <v>3.7234042553095344E-3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input_497101!A$2</f>
        <v>497101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IFERROR(VLOOKUP(B232,input_497101!L:R,7,FALSE),VLOOKUP(tables_497101!C232,input_497101!A:H,8,FALSE))</f>
        <v>142280.76923000001</v>
      </c>
      <c r="P232" s="46">
        <f t="shared" ca="1" si="10"/>
        <v>2.2933715220766052E-3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input_497101!A$2</f>
        <v>497101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IFERROR(VLOOKUP(B233,input_497101!L:R,7,FALSE),VLOOKUP(tables_497101!C233,input_497101!A:H,8,FALSE))</f>
        <v>15165</v>
      </c>
      <c r="P233" s="46">
        <f t="shared" ca="1" si="10"/>
        <v>2.4443907156609994E-4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input_497101!A$2</f>
        <v>497101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IFERROR(VLOOKUP(B234,input_497101!L:R,7,FALSE),VLOOKUP(tables_497101!C234,input_497101!A:H,8,FALSE))</f>
        <v>231000</v>
      </c>
      <c r="P234" s="46">
        <f t="shared" ca="1" si="10"/>
        <v>3.7234042553095344E-3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input_497101!A$2</f>
        <v>497101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IFERROR(VLOOKUP(B235,input_497101!L:R,7,FALSE),VLOOKUP(tables_497101!C235,input_497101!A:H,8,FALSE))</f>
        <v>142280.76923000001</v>
      </c>
      <c r="P235" s="46">
        <f t="shared" ca="1" si="10"/>
        <v>2.2933715220766052E-3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input_497101!A$2</f>
        <v>497101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IFERROR(VLOOKUP(B236,input_497101!L:R,7,FALSE),VLOOKUP(tables_497101!C236,input_497101!A:H,8,FALSE))</f>
        <v>15165</v>
      </c>
      <c r="P236" s="46">
        <f t="shared" ca="1" si="10"/>
        <v>2.4443907156609994E-4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input_497101!A$2</f>
        <v>497101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IFERROR(VLOOKUP(B237,input_497101!L:R,7,FALSE),VLOOKUP(tables_497101!C237,input_497101!A:H,8,FALSE))</f>
        <v>73420.71428</v>
      </c>
      <c r="P237" s="46">
        <f t="shared" ca="1" si="10"/>
        <v>1.1834415583463959E-3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input_497101!A$2</f>
        <v>497101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IFERROR(VLOOKUP(B238,input_497101!L:R,7,FALSE),VLOOKUP(tables_497101!C238,input_497101!A:H,8,FALSE))</f>
        <v>2115</v>
      </c>
      <c r="P238" s="46">
        <f t="shared" ca="1" si="10"/>
        <v>3.4090909090821062E-5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input_497101!A$2</f>
        <v>497101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IFERROR(VLOOKUP(B239,input_497101!L:R,7,FALSE),VLOOKUP(tables_497101!C239,input_497101!A:H,8,FALSE))</f>
        <v>231000</v>
      </c>
      <c r="P239" s="46">
        <f t="shared" ca="1" si="10"/>
        <v>3.7234042553095344E-3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input_497101!A$2</f>
        <v>497101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IFERROR(VLOOKUP(B240,input_497101!L:R,7,FALSE),VLOOKUP(tables_497101!C240,input_497101!A:H,8,FALSE))</f>
        <v>142280.76923000001</v>
      </c>
      <c r="P240" s="46">
        <f t="shared" ca="1" si="10"/>
        <v>2.2933715220766052E-3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input_497101!A$2</f>
        <v>497101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IFERROR(VLOOKUP(B241,input_497101!L:R,7,FALSE),VLOOKUP(tables_497101!C241,input_497101!A:H,8,FALSE))</f>
        <v>15165</v>
      </c>
      <c r="P241" s="46">
        <f t="shared" ca="1" si="10"/>
        <v>2.4443907156609994E-4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input_497101!A$2</f>
        <v>497101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IFERROR(VLOOKUP(B242,input_497101!L:R,7,FALSE),VLOOKUP(tables_497101!C242,input_497101!A:H,8,FALSE))</f>
        <v>73420.71428</v>
      </c>
      <c r="P242" s="46">
        <f t="shared" ca="1" si="10"/>
        <v>1.1834415583463959E-3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input_497101!A$2</f>
        <v>497101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IFERROR(VLOOKUP(B243,input_497101!L:R,7,FALSE),VLOOKUP(tables_497101!C243,input_497101!A:H,8,FALSE))</f>
        <v>2115</v>
      </c>
      <c r="P243" s="46">
        <f t="shared" ca="1" si="10"/>
        <v>3.4090909090821062E-5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input_497101!A$2</f>
        <v>497101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IFERROR(VLOOKUP(B244,input_497101!L:R,7,FALSE),VLOOKUP(tables_497101!C244,input_497101!A:H,8,FALSE))</f>
        <v>73420.71428</v>
      </c>
      <c r="P244" s="46">
        <f t="shared" ca="1" si="10"/>
        <v>1.1834415583463959E-3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input_497101!A$2</f>
        <v>497101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IFERROR(VLOOKUP(B245,input_497101!L:R,7,FALSE),VLOOKUP(tables_497101!C245,input_497101!A:H,8,FALSE))</f>
        <v>2115</v>
      </c>
      <c r="P245" s="46">
        <f t="shared" ca="1" si="10"/>
        <v>3.4090909090821062E-5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input_497101!A$2</f>
        <v>497101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IFERROR(VLOOKUP(B246,input_497101!L:R,7,FALSE),VLOOKUP(tables_497101!C246,input_497101!A:H,8,FALSE))</f>
        <v>231000</v>
      </c>
      <c r="P246" s="46">
        <f t="shared" ca="1" si="10"/>
        <v>3.7234042553095344E-3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input_497101!A$2</f>
        <v>497101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IFERROR(VLOOKUP(B247,input_497101!L:R,7,FALSE),VLOOKUP(tables_497101!C247,input_497101!A:H,8,FALSE))</f>
        <v>142280.76923000001</v>
      </c>
      <c r="P247" s="46">
        <f t="shared" ca="1" si="10"/>
        <v>2.2933715220766052E-3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input_497101!A$2</f>
        <v>497101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IFERROR(VLOOKUP(B248,input_497101!L:R,7,FALSE),VLOOKUP(tables_497101!C248,input_497101!A:H,8,FALSE))</f>
        <v>15165</v>
      </c>
      <c r="P248" s="46">
        <f t="shared" ca="1" si="10"/>
        <v>2.4443907156609994E-4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input_497101!A$2</f>
        <v>497101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IFERROR(VLOOKUP(B249,input_497101!L:R,7,FALSE),VLOOKUP(tables_497101!C249,input_497101!A:H,8,FALSE))</f>
        <v>231000</v>
      </c>
      <c r="P249" s="46">
        <f t="shared" ca="1" si="10"/>
        <v>3.7234042553095344E-3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input_497101!A$2</f>
        <v>497101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IFERROR(VLOOKUP(B250,input_497101!L:R,7,FALSE),VLOOKUP(tables_497101!C250,input_497101!A:H,8,FALSE))</f>
        <v>142280.76923000001</v>
      </c>
      <c r="P250" s="46">
        <f t="shared" ca="1" si="10"/>
        <v>2.2933715220766052E-3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input_497101!A$2</f>
        <v>497101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IFERROR(VLOOKUP(B251,input_497101!L:R,7,FALSE),VLOOKUP(tables_497101!C251,input_497101!A:H,8,FALSE))</f>
        <v>15165</v>
      </c>
      <c r="P251" s="46">
        <f t="shared" ca="1" si="10"/>
        <v>2.4443907156609994E-4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input_497101!A$2</f>
        <v>497101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IFERROR(VLOOKUP(B252,input_497101!L:R,7,FALSE),VLOOKUP(tables_497101!C252,input_497101!A:H,8,FALSE))</f>
        <v>231000</v>
      </c>
      <c r="P252" s="46">
        <f t="shared" ca="1" si="10"/>
        <v>3.7234042553095344E-3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input_497101!A$2</f>
        <v>497101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IFERROR(VLOOKUP(B253,input_497101!L:R,7,FALSE),VLOOKUP(tables_497101!C253,input_497101!A:H,8,FALSE))</f>
        <v>142280.76923000001</v>
      </c>
      <c r="P253" s="46">
        <f t="shared" ca="1" si="10"/>
        <v>2.2933715220766052E-3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input_497101!A$2</f>
        <v>497101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IFERROR(VLOOKUP(B254,input_497101!L:R,7,FALSE),VLOOKUP(tables_497101!C254,input_497101!A:H,8,FALSE))</f>
        <v>15165</v>
      </c>
      <c r="P254" s="46">
        <f t="shared" ca="1" si="10"/>
        <v>2.4443907156609994E-4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input_497101!A$2</f>
        <v>497101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IFERROR(VLOOKUP(B255,input_497101!L:R,7,FALSE),VLOOKUP(tables_497101!C255,input_497101!A:H,8,FALSE))</f>
        <v>231000</v>
      </c>
      <c r="P255" s="46">
        <f t="shared" ca="1" si="10"/>
        <v>3.7234042553095344E-3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input_497101!A$2</f>
        <v>497101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IFERROR(VLOOKUP(B256,input_497101!L:R,7,FALSE),VLOOKUP(tables_497101!C256,input_497101!A:H,8,FALSE))</f>
        <v>142280.76923000001</v>
      </c>
      <c r="P256" s="46">
        <f t="shared" ca="1" si="10"/>
        <v>2.2933715220766052E-3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input_497101!A$2</f>
        <v>497101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IFERROR(VLOOKUP(B257,input_497101!L:R,7,FALSE),VLOOKUP(tables_497101!C257,input_497101!A:H,8,FALSE))</f>
        <v>15165</v>
      </c>
      <c r="P257" s="46">
        <f t="shared" ca="1" si="10"/>
        <v>2.4443907156609994E-4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input_497101!A$2</f>
        <v>497101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IFERROR(VLOOKUP(B258,input_497101!L:R,7,FALSE),VLOOKUP(tables_497101!C258,input_497101!A:H,8,FALSE))</f>
        <v>73420.71428</v>
      </c>
      <c r="P258" s="46">
        <f t="shared" ref="P258:P321" ca="1" si="13">O258/SUM(O:O)</f>
        <v>1.1834415583463959E-3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input_497101!A$2</f>
        <v>497101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IFERROR(VLOOKUP(B259,input_497101!L:R,7,FALSE),VLOOKUP(tables_497101!C259,input_497101!A:H,8,FALSE))</f>
        <v>2115</v>
      </c>
      <c r="P259" s="46">
        <f t="shared" ca="1" si="13"/>
        <v>3.4090909090821062E-5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input_497101!A$2</f>
        <v>497101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IFERROR(VLOOKUP(B260,input_497101!L:R,7,FALSE),VLOOKUP(tables_497101!C260,input_497101!A:H,8,FALSE))</f>
        <v>73420.71428</v>
      </c>
      <c r="P260" s="46">
        <f t="shared" ca="1" si="13"/>
        <v>1.1834415583463959E-3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input_497101!A$2</f>
        <v>497101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IFERROR(VLOOKUP(B261,input_497101!L:R,7,FALSE),VLOOKUP(tables_497101!C261,input_497101!A:H,8,FALSE))</f>
        <v>2115</v>
      </c>
      <c r="P261" s="46">
        <f t="shared" ca="1" si="13"/>
        <v>3.4090909090821062E-5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input_497101!A$2</f>
        <v>497101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IFERROR(VLOOKUP(B262,input_497101!L:R,7,FALSE),VLOOKUP(tables_497101!C262,input_497101!A:H,8,FALSE))</f>
        <v>431200</v>
      </c>
      <c r="P262" s="46">
        <f t="shared" ca="1" si="13"/>
        <v>6.9503546099111309E-3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input_497101!A$2</f>
        <v>497101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IFERROR(VLOOKUP(B263,input_497101!L:R,7,FALSE),VLOOKUP(tables_497101!C263,input_497101!A:H,8,FALSE))</f>
        <v>23100</v>
      </c>
      <c r="P263" s="46">
        <f t="shared" ca="1" si="13"/>
        <v>3.7234042553095344E-4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input_497101!A$2</f>
        <v>497101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IFERROR(VLOOKUP(B264,input_497101!L:R,7,FALSE),VLOOKUP(tables_497101!C264,input_497101!A:H,8,FALSE))</f>
        <v>431200</v>
      </c>
      <c r="P264" s="46">
        <f t="shared" ca="1" si="13"/>
        <v>6.9503546099111309E-3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input_497101!A$2</f>
        <v>497101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IFERROR(VLOOKUP(B265,input_497101!L:R,7,FALSE),VLOOKUP(tables_497101!C265,input_497101!A:H,8,FALSE))</f>
        <v>23100</v>
      </c>
      <c r="P265" s="46">
        <f t="shared" ca="1" si="13"/>
        <v>3.7234042553095344E-4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input_497101!A$2</f>
        <v>497101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IFERROR(VLOOKUP(B266,input_497101!L:R,7,FALSE),VLOOKUP(tables_497101!C266,input_497101!A:H,8,FALSE))</f>
        <v>17810.526320000001</v>
      </c>
      <c r="P266" s="46">
        <f t="shared" ca="1" si="13"/>
        <v>2.8708133978004531E-4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input_497101!A$2</f>
        <v>497101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IFERROR(VLOOKUP(B267,input_497101!L:R,7,FALSE),VLOOKUP(tables_497101!C267,input_497101!A:H,8,FALSE))</f>
        <v>17810.526320000001</v>
      </c>
      <c r="P267" s="46">
        <f t="shared" ca="1" si="13"/>
        <v>2.8708133978004531E-4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input_497101!A$2</f>
        <v>497101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IFERROR(VLOOKUP(B268,input_497101!L:R,7,FALSE),VLOOKUP(tables_497101!C268,input_497101!A:H,8,FALSE))</f>
        <v>17810.526320000001</v>
      </c>
      <c r="P268" s="46">
        <f t="shared" ca="1" si="13"/>
        <v>2.8708133978004531E-4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input_497101!A$2</f>
        <v>497101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IFERROR(VLOOKUP(B269,input_497101!L:R,7,FALSE),VLOOKUP(tables_497101!C269,input_497101!A:H,8,FALSE))</f>
        <v>17810.526320000001</v>
      </c>
      <c r="P269" s="46">
        <f t="shared" ca="1" si="13"/>
        <v>2.8708133978004531E-4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input_497101!A$2</f>
        <v>497101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IFERROR(VLOOKUP(B270,input_497101!L:R,7,FALSE),VLOOKUP(tables_497101!C270,input_497101!A:H,8,FALSE))</f>
        <v>431200</v>
      </c>
      <c r="P270" s="46">
        <f t="shared" ca="1" si="13"/>
        <v>6.9503546099111309E-3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input_497101!A$2</f>
        <v>497101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IFERROR(VLOOKUP(B271,input_497101!L:R,7,FALSE),VLOOKUP(tables_497101!C271,input_497101!A:H,8,FALSE))</f>
        <v>23100</v>
      </c>
      <c r="P271" s="46">
        <f t="shared" ca="1" si="13"/>
        <v>3.7234042553095344E-4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input_497101!A$2</f>
        <v>497101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IFERROR(VLOOKUP(B272,input_497101!L:R,7,FALSE),VLOOKUP(tables_497101!C272,input_497101!A:H,8,FALSE))</f>
        <v>431200</v>
      </c>
      <c r="P272" s="46">
        <f t="shared" ca="1" si="13"/>
        <v>6.9503546099111309E-3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input_497101!A$2</f>
        <v>497101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IFERROR(VLOOKUP(B273,input_497101!L:R,7,FALSE),VLOOKUP(tables_497101!C273,input_497101!A:H,8,FALSE))</f>
        <v>23100</v>
      </c>
      <c r="P273" s="46">
        <f t="shared" ca="1" si="13"/>
        <v>3.7234042553095344E-4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input_497101!A$2</f>
        <v>497101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IFERROR(VLOOKUP(B274,input_497101!L:R,7,FALSE),VLOOKUP(tables_497101!C274,input_497101!A:H,8,FALSE))</f>
        <v>73420.71428</v>
      </c>
      <c r="P274" s="46">
        <f t="shared" ca="1" si="13"/>
        <v>1.1834415583463959E-3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input_497101!A$2</f>
        <v>497101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IFERROR(VLOOKUP(B275,input_497101!L:R,7,FALSE),VLOOKUP(tables_497101!C275,input_497101!A:H,8,FALSE))</f>
        <v>2115</v>
      </c>
      <c r="P275" s="46">
        <f t="shared" ca="1" si="13"/>
        <v>3.4090909090821062E-5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input_497101!A$2</f>
        <v>497101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IFERROR(VLOOKUP(B276,input_497101!L:R,7,FALSE),VLOOKUP(tables_497101!C276,input_497101!A:H,8,FALSE))</f>
        <v>73420.71428</v>
      </c>
      <c r="P276" s="46">
        <f t="shared" ca="1" si="13"/>
        <v>1.1834415583463959E-3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input_497101!A$2</f>
        <v>497101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IFERROR(VLOOKUP(B277,input_497101!L:R,7,FALSE),VLOOKUP(tables_497101!C277,input_497101!A:H,8,FALSE))</f>
        <v>2115</v>
      </c>
      <c r="P277" s="46">
        <f t="shared" ca="1" si="13"/>
        <v>3.4090909090821062E-5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input_497101!A$2</f>
        <v>497101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IFERROR(VLOOKUP(B278,input_497101!L:R,7,FALSE),VLOOKUP(tables_497101!C278,input_497101!A:H,8,FALSE))</f>
        <v>231000</v>
      </c>
      <c r="P278" s="46">
        <f t="shared" ca="1" si="13"/>
        <v>3.7234042553095344E-3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input_497101!A$2</f>
        <v>497101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IFERROR(VLOOKUP(B279,input_497101!L:R,7,FALSE),VLOOKUP(tables_497101!C279,input_497101!A:H,8,FALSE))</f>
        <v>142280.76923000001</v>
      </c>
      <c r="P279" s="46">
        <f t="shared" ca="1" si="13"/>
        <v>2.2933715220766052E-3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input_497101!A$2</f>
        <v>497101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IFERROR(VLOOKUP(B280,input_497101!L:R,7,FALSE),VLOOKUP(tables_497101!C280,input_497101!A:H,8,FALSE))</f>
        <v>15165</v>
      </c>
      <c r="P280" s="46">
        <f t="shared" ca="1" si="13"/>
        <v>2.4443907156609994E-4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input_497101!A$2</f>
        <v>497101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IFERROR(VLOOKUP(B281,input_497101!L:R,7,FALSE),VLOOKUP(tables_497101!C281,input_497101!A:H,8,FALSE))</f>
        <v>231000</v>
      </c>
      <c r="P281" s="46">
        <f t="shared" ca="1" si="13"/>
        <v>3.7234042553095344E-3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input_497101!A$2</f>
        <v>497101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IFERROR(VLOOKUP(B282,input_497101!L:R,7,FALSE),VLOOKUP(tables_497101!C282,input_497101!A:H,8,FALSE))</f>
        <v>142280.76923000001</v>
      </c>
      <c r="P282" s="46">
        <f t="shared" ca="1" si="13"/>
        <v>2.2933715220766052E-3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input_497101!A$2</f>
        <v>497101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IFERROR(VLOOKUP(B283,input_497101!L:R,7,FALSE),VLOOKUP(tables_497101!C283,input_497101!A:H,8,FALSE))</f>
        <v>15165</v>
      </c>
      <c r="P283" s="46">
        <f t="shared" ca="1" si="13"/>
        <v>2.4443907156609994E-4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input_497101!A$2</f>
        <v>497101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IFERROR(VLOOKUP(B284,input_497101!L:R,7,FALSE),VLOOKUP(tables_497101!C284,input_497101!A:H,8,FALSE))</f>
        <v>17810.526320000001</v>
      </c>
      <c r="P284" s="46">
        <f t="shared" ca="1" si="13"/>
        <v>2.8708133978004531E-4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input_497101!A$2</f>
        <v>497101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IFERROR(VLOOKUP(B285,input_497101!L:R,7,FALSE),VLOOKUP(tables_497101!C285,input_497101!A:H,8,FALSE))</f>
        <v>17810.526320000001</v>
      </c>
      <c r="P285" s="46">
        <f t="shared" ca="1" si="13"/>
        <v>2.8708133978004531E-4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input_497101!A$2</f>
        <v>497101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IFERROR(VLOOKUP(B286,input_497101!L:R,7,FALSE),VLOOKUP(tables_497101!C286,input_497101!A:H,8,FALSE))</f>
        <v>431200</v>
      </c>
      <c r="P286" s="46">
        <f t="shared" ca="1" si="13"/>
        <v>6.9503546099111309E-3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input_497101!A$2</f>
        <v>497101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IFERROR(VLOOKUP(B287,input_497101!L:R,7,FALSE),VLOOKUP(tables_497101!C287,input_497101!A:H,8,FALSE))</f>
        <v>23100</v>
      </c>
      <c r="P287" s="46">
        <f t="shared" ca="1" si="13"/>
        <v>3.7234042553095344E-4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input_497101!A$2</f>
        <v>497101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IFERROR(VLOOKUP(B288,input_497101!L:R,7,FALSE),VLOOKUP(tables_497101!C288,input_497101!A:H,8,FALSE))</f>
        <v>431200</v>
      </c>
      <c r="P288" s="46">
        <f t="shared" ca="1" si="13"/>
        <v>6.9503546099111309E-3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input_497101!A$2</f>
        <v>497101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IFERROR(VLOOKUP(B289,input_497101!L:R,7,FALSE),VLOOKUP(tables_497101!C289,input_497101!A:H,8,FALSE))</f>
        <v>23100</v>
      </c>
      <c r="P289" s="46">
        <f t="shared" ca="1" si="13"/>
        <v>3.7234042553095344E-4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input_497101!A$2</f>
        <v>497101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IFERROR(VLOOKUP(B290,input_497101!L:R,7,FALSE),VLOOKUP(tables_497101!C290,input_497101!A:H,8,FALSE))</f>
        <v>431200</v>
      </c>
      <c r="P290" s="46">
        <f t="shared" ca="1" si="13"/>
        <v>6.9503546099111309E-3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input_497101!A$2</f>
        <v>497101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IFERROR(VLOOKUP(B291,input_497101!L:R,7,FALSE),VLOOKUP(tables_497101!C291,input_497101!A:H,8,FALSE))</f>
        <v>23100</v>
      </c>
      <c r="P291" s="46">
        <f t="shared" ca="1" si="13"/>
        <v>3.7234042553095344E-4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input_497101!A$2</f>
        <v>497101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IFERROR(VLOOKUP(B292,input_497101!L:R,7,FALSE),VLOOKUP(tables_497101!C292,input_497101!A:H,8,FALSE))</f>
        <v>431200</v>
      </c>
      <c r="P292" s="46">
        <f t="shared" ca="1" si="13"/>
        <v>6.9503546099111309E-3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input_497101!A$2</f>
        <v>497101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IFERROR(VLOOKUP(B293,input_497101!L:R,7,FALSE),VLOOKUP(tables_497101!C293,input_497101!A:H,8,FALSE))</f>
        <v>23100</v>
      </c>
      <c r="P293" s="46">
        <f t="shared" ca="1" si="13"/>
        <v>3.7234042553095344E-4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input_497101!A$2</f>
        <v>497101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IFERROR(VLOOKUP(B294,input_497101!L:R,7,FALSE),VLOOKUP(tables_497101!C294,input_497101!A:H,8,FALSE))</f>
        <v>17810.526320000001</v>
      </c>
      <c r="P294" s="46">
        <f t="shared" ca="1" si="13"/>
        <v>2.8708133978004531E-4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input_497101!A$2</f>
        <v>497101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IFERROR(VLOOKUP(B295,input_497101!L:R,7,FALSE),VLOOKUP(tables_497101!C295,input_497101!A:H,8,FALSE))</f>
        <v>17810.526320000001</v>
      </c>
      <c r="P295" s="46">
        <f t="shared" ca="1" si="13"/>
        <v>2.8708133978004531E-4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input_497101!A$2</f>
        <v>497101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IFERROR(VLOOKUP(B296,input_497101!L:R,7,FALSE),VLOOKUP(tables_497101!C296,input_497101!A:H,8,FALSE))</f>
        <v>17810.526320000001</v>
      </c>
      <c r="P296" s="46">
        <f t="shared" ca="1" si="13"/>
        <v>2.8708133978004531E-4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input_497101!A$2</f>
        <v>497101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IFERROR(VLOOKUP(B297,input_497101!L:R,7,FALSE),VLOOKUP(tables_497101!C297,input_497101!A:H,8,FALSE))</f>
        <v>431200</v>
      </c>
      <c r="P297" s="46">
        <f t="shared" ca="1" si="13"/>
        <v>6.9503546099111309E-3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input_497101!A$2</f>
        <v>497101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IFERROR(VLOOKUP(B298,input_497101!L:R,7,FALSE),VLOOKUP(tables_497101!C298,input_497101!A:H,8,FALSE))</f>
        <v>23100</v>
      </c>
      <c r="P298" s="46">
        <f t="shared" ca="1" si="13"/>
        <v>3.7234042553095344E-4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input_497101!A$2</f>
        <v>497101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IFERROR(VLOOKUP(B299,input_497101!L:R,7,FALSE),VLOOKUP(tables_497101!C299,input_497101!A:H,8,FALSE))</f>
        <v>17810.526320000001</v>
      </c>
      <c r="P299" s="46">
        <f t="shared" ca="1" si="13"/>
        <v>2.8708133978004531E-4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input_497101!A$2</f>
        <v>497101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IFERROR(VLOOKUP(B300,input_497101!L:R,7,FALSE),VLOOKUP(tables_497101!C300,input_497101!A:H,8,FALSE))</f>
        <v>17810.526320000001</v>
      </c>
      <c r="P300" s="46">
        <f t="shared" ca="1" si="13"/>
        <v>2.8708133978004531E-4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input_497101!A$2</f>
        <v>497101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IFERROR(VLOOKUP(B301,input_497101!L:R,7,FALSE),VLOOKUP(tables_497101!C301,input_497101!A:H,8,FALSE))</f>
        <v>17810.526320000001</v>
      </c>
      <c r="P301" s="46">
        <f t="shared" ca="1" si="13"/>
        <v>2.8708133978004531E-4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input_497101!A$2</f>
        <v>497101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IFERROR(VLOOKUP(B302,input_497101!L:R,7,FALSE),VLOOKUP(tables_497101!C302,input_497101!A:H,8,FALSE))</f>
        <v>17810.526320000001</v>
      </c>
      <c r="P302" s="46">
        <f t="shared" ca="1" si="13"/>
        <v>2.8708133978004531E-4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input_497101!A$2</f>
        <v>497101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IFERROR(VLOOKUP(B303,input_497101!L:R,7,FALSE),VLOOKUP(tables_497101!C303,input_497101!A:H,8,FALSE))</f>
        <v>431200</v>
      </c>
      <c r="P303" s="46">
        <f t="shared" ca="1" si="13"/>
        <v>6.9503546099111309E-3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input_497101!A$2</f>
        <v>497101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IFERROR(VLOOKUP(B304,input_497101!L:R,7,FALSE),VLOOKUP(tables_497101!C304,input_497101!A:H,8,FALSE))</f>
        <v>23100</v>
      </c>
      <c r="P304" s="46">
        <f t="shared" ca="1" si="13"/>
        <v>3.7234042553095344E-4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input_497101!A$2</f>
        <v>497101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IFERROR(VLOOKUP(B305,input_497101!L:R,7,FALSE),VLOOKUP(tables_497101!C305,input_497101!A:H,8,FALSE))</f>
        <v>17810.526320000001</v>
      </c>
      <c r="P305" s="46">
        <f t="shared" ca="1" si="13"/>
        <v>2.8708133978004531E-4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input_497101!A$2</f>
        <v>497101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IFERROR(VLOOKUP(B306,input_497101!L:R,7,FALSE),VLOOKUP(tables_497101!C306,input_497101!A:H,8,FALSE))</f>
        <v>431200</v>
      </c>
      <c r="P306" s="46">
        <f t="shared" ca="1" si="13"/>
        <v>6.9503546099111309E-3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input_497101!A$2</f>
        <v>497101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IFERROR(VLOOKUP(B307,input_497101!L:R,7,FALSE),VLOOKUP(tables_497101!C307,input_497101!A:H,8,FALSE))</f>
        <v>23100</v>
      </c>
      <c r="P307" s="46">
        <f t="shared" ca="1" si="13"/>
        <v>3.7234042553095344E-4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input_497101!A$2</f>
        <v>497101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IFERROR(VLOOKUP(B308,input_497101!L:R,7,FALSE),VLOOKUP(tables_497101!C308,input_497101!A:H,8,FALSE))</f>
        <v>17810.526320000001</v>
      </c>
      <c r="P308" s="46">
        <f t="shared" ca="1" si="13"/>
        <v>2.8708133978004531E-4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input_497101!A$2</f>
        <v>497101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IFERROR(VLOOKUP(B309,input_497101!L:R,7,FALSE),VLOOKUP(tables_497101!C309,input_497101!A:H,8,FALSE))</f>
        <v>17810.526320000001</v>
      </c>
      <c r="P309" s="46">
        <f t="shared" ca="1" si="13"/>
        <v>2.8708133978004531E-4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input_497101!A$2</f>
        <v>497101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IFERROR(VLOOKUP(B310,input_497101!L:R,7,FALSE),VLOOKUP(tables_497101!C310,input_497101!A:H,8,FALSE))</f>
        <v>17810.526320000001</v>
      </c>
      <c r="P310" s="46">
        <f t="shared" ca="1" si="13"/>
        <v>2.8708133978004531E-4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input_497101!A$2</f>
        <v>497101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IFERROR(VLOOKUP(B311,input_497101!L:R,7,FALSE),VLOOKUP(tables_497101!C311,input_497101!A:H,8,FALSE))</f>
        <v>431200</v>
      </c>
      <c r="P311" s="46">
        <f t="shared" ca="1" si="13"/>
        <v>6.9503546099111309E-3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input_497101!A$2</f>
        <v>497101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IFERROR(VLOOKUP(B312,input_497101!L:R,7,FALSE),VLOOKUP(tables_497101!C312,input_497101!A:H,8,FALSE))</f>
        <v>23100</v>
      </c>
      <c r="P312" s="46">
        <f t="shared" ca="1" si="13"/>
        <v>3.7234042553095344E-4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input_497101!A$2</f>
        <v>497101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IFERROR(VLOOKUP(B313,input_497101!L:R,7,FALSE),VLOOKUP(tables_497101!C313,input_497101!A:H,8,FALSE))</f>
        <v>17810.526320000001</v>
      </c>
      <c r="P313" s="46">
        <f t="shared" ca="1" si="13"/>
        <v>2.8708133978004531E-4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input_497101!A$2</f>
        <v>497101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IFERROR(VLOOKUP(B314,input_497101!L:R,7,FALSE),VLOOKUP(tables_497101!C314,input_497101!A:H,8,FALSE))</f>
        <v>17810.526320000001</v>
      </c>
      <c r="P314" s="46">
        <f t="shared" ca="1" si="13"/>
        <v>2.8708133978004531E-4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input_497101!A$2</f>
        <v>497101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IFERROR(VLOOKUP(B315,input_497101!L:R,7,FALSE),VLOOKUP(tables_497101!C315,input_497101!A:H,8,FALSE))</f>
        <v>17810.526320000001</v>
      </c>
      <c r="P315" s="46">
        <f t="shared" ca="1" si="13"/>
        <v>2.8708133978004531E-4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input_497101!A$2</f>
        <v>497101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IFERROR(VLOOKUP(B316,input_497101!L:R,7,FALSE),VLOOKUP(tables_497101!C316,input_497101!A:H,8,FALSE))</f>
        <v>17810.526320000001</v>
      </c>
      <c r="P316" s="46">
        <f t="shared" ca="1" si="13"/>
        <v>2.8708133978004531E-4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input_497101!A$2</f>
        <v>497101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IFERROR(VLOOKUP(B317,input_497101!L:R,7,FALSE),VLOOKUP(tables_497101!C317,input_497101!A:H,8,FALSE))</f>
        <v>17810.526320000001</v>
      </c>
      <c r="P317" s="46">
        <f t="shared" ca="1" si="13"/>
        <v>2.8708133978004531E-4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input_497101!A$2</f>
        <v>497101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IFERROR(VLOOKUP(B318,input_497101!L:R,7,FALSE),VLOOKUP(tables_497101!C318,input_497101!A:H,8,FALSE))</f>
        <v>431200</v>
      </c>
      <c r="P318" s="46">
        <f t="shared" ca="1" si="13"/>
        <v>6.9503546099111309E-3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input_497101!A$2</f>
        <v>497101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IFERROR(VLOOKUP(B319,input_497101!L:R,7,FALSE),VLOOKUP(tables_497101!C319,input_497101!A:H,8,FALSE))</f>
        <v>23100</v>
      </c>
      <c r="P319" s="46">
        <f t="shared" ca="1" si="13"/>
        <v>3.7234042553095344E-4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input_497101!A$2</f>
        <v>497101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IFERROR(VLOOKUP(B320,input_497101!L:R,7,FALSE),VLOOKUP(tables_497101!C320,input_497101!A:H,8,FALSE))</f>
        <v>17810.526320000001</v>
      </c>
      <c r="P320" s="46">
        <f t="shared" ca="1" si="13"/>
        <v>2.8708133978004531E-4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input_497101!A$2</f>
        <v>497101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IFERROR(VLOOKUP(B321,input_497101!L:R,7,FALSE),VLOOKUP(tables_497101!C321,input_497101!A:H,8,FALSE))</f>
        <v>17810.526320000001</v>
      </c>
      <c r="P321" s="46">
        <f t="shared" ca="1" si="13"/>
        <v>2.8708133978004531E-4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input_497101!A$2</f>
        <v>497101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IFERROR(VLOOKUP(B322,input_497101!L:R,7,FALSE),VLOOKUP(tables_497101!C322,input_497101!A:H,8,FALSE))</f>
        <v>17810.526320000001</v>
      </c>
      <c r="P322" s="46">
        <f t="shared" ref="P322:P352" ca="1" si="23">O322/SUM(O:O)</f>
        <v>2.8708133978004531E-4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input_497101!A$2</f>
        <v>497101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IFERROR(VLOOKUP(B323,input_497101!L:R,7,FALSE),VLOOKUP(tables_497101!C323,input_497101!A:H,8,FALSE))</f>
        <v>17810.526320000001</v>
      </c>
      <c r="P323" s="46">
        <f t="shared" ca="1" si="23"/>
        <v>2.8708133978004531E-4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input_497101!A$2</f>
        <v>497101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IFERROR(VLOOKUP(B324,input_497101!L:R,7,FALSE),VLOOKUP(tables_497101!C324,input_497101!A:H,8,FALSE))</f>
        <v>431200</v>
      </c>
      <c r="P324" s="46">
        <f t="shared" ca="1" si="23"/>
        <v>6.9503546099111309E-3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input_497101!A$2</f>
        <v>497101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IFERROR(VLOOKUP(B325,input_497101!L:R,7,FALSE),VLOOKUP(tables_497101!C325,input_497101!A:H,8,FALSE))</f>
        <v>23100</v>
      </c>
      <c r="P325" s="46">
        <f t="shared" ca="1" si="23"/>
        <v>3.7234042553095344E-4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input_497101!A$2</f>
        <v>497101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IFERROR(VLOOKUP(B326,input_497101!L:R,7,FALSE),VLOOKUP(tables_497101!C326,input_497101!A:H,8,FALSE))</f>
        <v>431200</v>
      </c>
      <c r="P326" s="46">
        <f t="shared" ca="1" si="23"/>
        <v>6.9503546099111309E-3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input_497101!A$2</f>
        <v>497101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IFERROR(VLOOKUP(B327,input_497101!L:R,7,FALSE),VLOOKUP(tables_497101!C327,input_497101!A:H,8,FALSE))</f>
        <v>23100</v>
      </c>
      <c r="P327" s="46">
        <f t="shared" ca="1" si="23"/>
        <v>3.7234042553095344E-4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input_497101!A$2</f>
        <v>497101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IFERROR(VLOOKUP(B328,input_497101!L:R,7,FALSE),VLOOKUP(tables_497101!C328,input_497101!A:H,8,FALSE))</f>
        <v>17810.526320000001</v>
      </c>
      <c r="P328" s="46">
        <f t="shared" ca="1" si="23"/>
        <v>2.8708133978004531E-4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input_497101!A$2</f>
        <v>497101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IFERROR(VLOOKUP(B329,input_497101!L:R,7,FALSE),VLOOKUP(tables_497101!C329,input_497101!A:H,8,FALSE))</f>
        <v>17810.526320000001</v>
      </c>
      <c r="P329" s="46">
        <f t="shared" ca="1" si="23"/>
        <v>2.8708133978004531E-4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input_497101!A$2</f>
        <v>497101</v>
      </c>
      <c r="B330" s="2">
        <v>1157</v>
      </c>
      <c r="C330" s="7" t="str">
        <f t="shared" si="25"/>
        <v>PremiumSS5R5only</v>
      </c>
      <c r="D330" s="94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IFERROR(VLOOKUP(B330,input_497101!L:R,7,FALSE),VLOOKUP(tables_497101!C330,input_497101!A:H,8,FALSE))</f>
        <v>17810.526320000001</v>
      </c>
      <c r="P330" s="46">
        <f t="shared" ca="1" si="23"/>
        <v>2.8708133978004531E-4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input_497101!A$2</f>
        <v>497101</v>
      </c>
      <c r="B331" s="60">
        <v>1214</v>
      </c>
      <c r="C331" s="7" t="str">
        <f t="shared" ref="C331:C335" si="26">D331&amp;J331&amp;E331&amp;F331&amp;G331</f>
        <v>PremiumSS5R5only</v>
      </c>
      <c r="D331" s="94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IFERROR(VLOOKUP(B331,input_497101!L:R,7,FALSE),VLOOKUP(tables_497101!C331,input_497101!A:H,8,FALSE))</f>
        <v>17810.526320000001</v>
      </c>
      <c r="P331" s="46">
        <f t="shared" ca="1" si="23"/>
        <v>2.8708133978004531E-4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input_497101!A$2</f>
        <v>497101</v>
      </c>
      <c r="B332" s="60">
        <v>1212</v>
      </c>
      <c r="C332" s="7" t="str">
        <f t="shared" si="26"/>
        <v>PremiumSS5R5only</v>
      </c>
      <c r="D332" s="94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IFERROR(VLOOKUP(B332,input_497101!L:R,7,FALSE),VLOOKUP(tables_497101!C332,input_497101!A:H,8,FALSE))</f>
        <v>17810.526320000001</v>
      </c>
      <c r="P332" s="46">
        <f t="shared" ca="1" si="23"/>
        <v>2.8708133978004531E-4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input_497101!A$2</f>
        <v>497101</v>
      </c>
      <c r="B333" s="60">
        <v>1208</v>
      </c>
      <c r="C333" s="7" t="str">
        <f t="shared" si="26"/>
        <v>PremiumSS5R5only</v>
      </c>
      <c r="D333" s="94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IFERROR(VLOOKUP(B333,input_497101!L:R,7,FALSE),VLOOKUP(tables_497101!C333,input_497101!A:H,8,FALSE))</f>
        <v>17810.526320000001</v>
      </c>
      <c r="P333" s="46">
        <f t="shared" ca="1" si="23"/>
        <v>2.8708133978004531E-4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input_497101!A$2</f>
        <v>497101</v>
      </c>
      <c r="B334" s="90">
        <v>1210</v>
      </c>
      <c r="C334" s="7" t="str">
        <f t="shared" si="26"/>
        <v>Premium4R3less</v>
      </c>
      <c r="D334" s="94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IFERROR(VLOOKUP(B334,input_497101!L:R,7,FALSE),VLOOKUP(tables_497101!C334,input_497101!A:H,8,FALSE))</f>
        <v>431200</v>
      </c>
      <c r="P334" s="46">
        <f t="shared" ca="1" si="23"/>
        <v>6.9503546099111309E-3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input_497101!A$2</f>
        <v>497101</v>
      </c>
      <c r="B335" s="60">
        <v>1211</v>
      </c>
      <c r="C335" s="7" t="str">
        <f t="shared" si="26"/>
        <v>Premium5R3less</v>
      </c>
      <c r="D335" s="94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IFERROR(VLOOKUP(B335,input_497101!L:R,7,FALSE),VLOOKUP(tables_497101!C335,input_497101!A:H,8,FALSE))</f>
        <v>23100</v>
      </c>
      <c r="P335" s="46">
        <f t="shared" ca="1" si="23"/>
        <v>3.7234042553095344E-4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input_497101!A$2</f>
        <v>497101</v>
      </c>
      <c r="B336" s="2">
        <v>1224</v>
      </c>
      <c r="C336" s="7" t="str">
        <f t="shared" ref="C336:C340" si="28">D336&amp;J336&amp;E336&amp;F336&amp;G336</f>
        <v>Premium4R3less</v>
      </c>
      <c r="D336" s="94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IFERROR(VLOOKUP(B336,input_497101!L:R,7,FALSE),VLOOKUP(tables_497101!C336,input_497101!A:H,8,FALSE))</f>
        <v>431200</v>
      </c>
      <c r="P336" s="46">
        <f t="shared" ca="1" si="23"/>
        <v>6.9503546099111309E-3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input_497101!A$2</f>
        <v>497101</v>
      </c>
      <c r="B337" s="2">
        <v>1225</v>
      </c>
      <c r="C337" s="7" t="str">
        <f t="shared" si="28"/>
        <v>Premium5R3less</v>
      </c>
      <c r="D337" s="94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IFERROR(VLOOKUP(B337,input_497101!L:R,7,FALSE),VLOOKUP(tables_497101!C337,input_497101!A:H,8,FALSE))</f>
        <v>23100</v>
      </c>
      <c r="P337" s="46">
        <f t="shared" ca="1" si="23"/>
        <v>3.7234042553095344E-4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input_497101!A$2</f>
        <v>497101</v>
      </c>
      <c r="B338" s="2">
        <v>1226</v>
      </c>
      <c r="C338" s="7" t="str">
        <f t="shared" si="28"/>
        <v>PremiumSS5R5only</v>
      </c>
      <c r="D338" s="94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IFERROR(VLOOKUP(B338,input_497101!L:R,7,FALSE),VLOOKUP(tables_497101!C338,input_497101!A:H,8,FALSE))</f>
        <v>17810.526320000001</v>
      </c>
      <c r="P338" s="46">
        <f t="shared" ca="1" si="23"/>
        <v>2.8708133978004531E-4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input_497101!A$2</f>
        <v>497101</v>
      </c>
      <c r="B339" s="2">
        <v>1228</v>
      </c>
      <c r="C339" s="7" t="str">
        <f t="shared" si="28"/>
        <v>PremiumSS5R5only</v>
      </c>
      <c r="D339" s="94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IFERROR(VLOOKUP(B339,input_497101!L:R,7,FALSE),VLOOKUP(tables_497101!C339,input_497101!A:H,8,FALSE))</f>
        <v>17810.526320000001</v>
      </c>
      <c r="P339" s="46">
        <f t="shared" ca="1" si="23"/>
        <v>2.8708133978004531E-4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input_497101!A$2</f>
        <v>497101</v>
      </c>
      <c r="B340" s="2">
        <v>1230</v>
      </c>
      <c r="C340" s="7" t="str">
        <f t="shared" si="28"/>
        <v>PremiumSS5R5only</v>
      </c>
      <c r="D340" s="94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IFERROR(VLOOKUP(B340,input_497101!L:R,7,FALSE),VLOOKUP(tables_497101!C340,input_497101!A:H,8,FALSE))</f>
        <v>17810.526320000001</v>
      </c>
      <c r="P340" s="46">
        <f t="shared" ca="1" si="23"/>
        <v>2.8708133978004531E-4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input_497101!A$2</f>
        <v>497101</v>
      </c>
      <c r="B341" s="1">
        <v>1250</v>
      </c>
      <c r="C341" s="7" t="str">
        <f t="shared" ref="C341" si="30">D341&amp;J341&amp;E341&amp;F341&amp;G341</f>
        <v>PremiumSS5R5only</v>
      </c>
      <c r="D341" s="94" t="str">
        <f t="shared" ref="D341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IFERROR(VLOOKUP(B341,input_497101!L:R,7,FALSE),VLOOKUP(tables_497101!C341,input_497101!A:H,8,FALSE))</f>
        <v>17810.526320000001</v>
      </c>
      <c r="P341" s="46">
        <f t="shared" ca="1" si="23"/>
        <v>2.8708133978004531E-4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input_497101!A$2</f>
        <v>497101</v>
      </c>
      <c r="B342" s="1">
        <v>1248</v>
      </c>
      <c r="C342" s="7" t="str">
        <f t="shared" ref="C342:C345" si="32">D342&amp;J342&amp;E342&amp;F342&amp;G342</f>
        <v>Premium4R3less</v>
      </c>
      <c r="D342" s="94" t="str">
        <f t="shared" ref="D342:D345" si="33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IFERROR(VLOOKUP(B342,input_497101!L:R,7,FALSE),VLOOKUP(tables_497101!C342,input_497101!A:H,8,FALSE))</f>
        <v>431200</v>
      </c>
      <c r="P342" s="46">
        <f t="shared" ca="1" si="23"/>
        <v>6.9503546099111309E-3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input_497101!A$2</f>
        <v>497101</v>
      </c>
      <c r="B343" s="1">
        <v>1249</v>
      </c>
      <c r="C343" s="7" t="str">
        <f t="shared" si="32"/>
        <v>Premium5R3less</v>
      </c>
      <c r="D343" s="94" t="str">
        <f t="shared" si="3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IFERROR(VLOOKUP(B343,input_497101!L:R,7,FALSE),VLOOKUP(tables_497101!C343,input_497101!A:H,8,FALSE))</f>
        <v>23100</v>
      </c>
      <c r="P343" s="46">
        <f t="shared" ca="1" si="23"/>
        <v>3.7234042553095344E-4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input_497101!A$2</f>
        <v>497101</v>
      </c>
      <c r="B344" s="1">
        <v>1246</v>
      </c>
      <c r="C344" s="7" t="str">
        <f t="shared" si="32"/>
        <v>PremiumSS5R5only</v>
      </c>
      <c r="D344" s="94" t="str">
        <f t="shared" si="3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IFERROR(VLOOKUP(B344,input_497101!L:R,7,FALSE),VLOOKUP(tables_497101!C344,input_497101!A:H,8,FALSE))</f>
        <v>17810.526320000001</v>
      </c>
      <c r="P344" s="46">
        <f t="shared" ca="1" si="23"/>
        <v>2.8708133978004531E-4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input_497101!A$2</f>
        <v>497101</v>
      </c>
      <c r="B345" s="1">
        <v>1244</v>
      </c>
      <c r="C345" s="7" t="str">
        <f t="shared" si="32"/>
        <v>PremiumSS5R5only</v>
      </c>
      <c r="D345" s="94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IFERROR(VLOOKUP(B345,input_497101!L:R,7,FALSE),VLOOKUP(tables_497101!C345,input_497101!A:H,8,FALSE))</f>
        <v>17810.526320000001</v>
      </c>
      <c r="P345" s="46">
        <f t="shared" ca="1" si="23"/>
        <v>2.8708133978004531E-4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input_497101!A$2</f>
        <v>497101</v>
      </c>
      <c r="B346" s="60">
        <v>716</v>
      </c>
      <c r="C346" s="7" t="str">
        <f t="shared" ref="C346:C352" si="34">D346&amp;J346&amp;E346&amp;F346&amp;G346</f>
        <v>PremiumSS5R5only</v>
      </c>
      <c r="D346" s="94" t="str">
        <f t="shared" ref="D346:D352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平和島静雄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dr</v>
      </c>
      <c r="M346" s="7" t="str">
        <f>VLOOKUP(B346,[1]characters!$A:$M,13,FALSE)</f>
        <v>human</v>
      </c>
      <c r="N346" s="7" t="str">
        <f>VLOOKUP(B346,[1]characters!$A:$G,7,FALSE)</f>
        <v>男性</v>
      </c>
      <c r="O346" s="45">
        <f>IFERROR(VLOOKUP(B346,input_497101!L:R,7,FALSE),VLOOKUP(tables_497101!C346,input_497101!A:H,8,FALSE))</f>
        <v>310200</v>
      </c>
      <c r="P346" s="46">
        <f t="shared" ca="1" si="23"/>
        <v>4.9999999999870886E-3</v>
      </c>
      <c r="Q346" s="224">
        <v>80</v>
      </c>
      <c r="R346" s="30">
        <v>0</v>
      </c>
      <c r="S346" s="30">
        <v>0</v>
      </c>
      <c r="T346" s="30">
        <v>0</v>
      </c>
      <c r="U346" s="30">
        <v>0</v>
      </c>
      <c r="V346" s="224">
        <v>5</v>
      </c>
    </row>
    <row r="347" spans="1:22" ht="21" customHeight="1" x14ac:dyDescent="0.15">
      <c r="A347" s="2" t="str">
        <f ca="1">input_497101!A$2</f>
        <v>497101</v>
      </c>
      <c r="B347" s="60">
        <v>702</v>
      </c>
      <c r="C347" s="7" t="str">
        <f t="shared" si="34"/>
        <v>Premium4R3less</v>
      </c>
      <c r="D347" s="94" t="str">
        <f t="shared" si="35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サイモン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red</v>
      </c>
      <c r="L347" s="7" t="str">
        <f>VLOOKUP(B347,[1]characters!$A:$K,11,FALSE)</f>
        <v>dr</v>
      </c>
      <c r="M347" s="7" t="str">
        <f>VLOOKUP(B347,[1]characters!$A:$M,13,FALSE)</f>
        <v>human</v>
      </c>
      <c r="N347" s="7" t="str">
        <f>VLOOKUP(B347,[1]characters!$A:$G,7,FALSE)</f>
        <v>男性</v>
      </c>
      <c r="O347" s="45">
        <f>IFERROR(VLOOKUP(B347,input_497101!L:R,7,FALSE),VLOOKUP(tables_497101!C347,input_497101!A:H,8,FALSE))</f>
        <v>2481600</v>
      </c>
      <c r="P347" s="46">
        <f t="shared" ca="1" si="23"/>
        <v>3.9999999999896708E-2</v>
      </c>
      <c r="Q347" s="224">
        <v>60</v>
      </c>
      <c r="R347" s="30">
        <v>0</v>
      </c>
      <c r="S347" s="30">
        <v>0</v>
      </c>
      <c r="T347" s="30">
        <v>0</v>
      </c>
      <c r="U347" s="30">
        <v>0</v>
      </c>
      <c r="V347" s="224">
        <v>5</v>
      </c>
    </row>
    <row r="348" spans="1:22" ht="21" customHeight="1" x14ac:dyDescent="0.15">
      <c r="A348" s="2" t="str">
        <f ca="1">input_497101!A$2</f>
        <v>497101</v>
      </c>
      <c r="B348" s="60">
        <v>703</v>
      </c>
      <c r="C348" s="7" t="str">
        <f t="shared" si="34"/>
        <v>Premium5R3less</v>
      </c>
      <c r="D348" s="94" t="str">
        <f t="shared" si="35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豪腕静穏な寿司屋　サイモン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red</v>
      </c>
      <c r="L348" s="7" t="str">
        <f>VLOOKUP(B348,[1]characters!$A:$K,11,FALSE)</f>
        <v>dr</v>
      </c>
      <c r="M348" s="7" t="str">
        <f>VLOOKUP(B348,[1]characters!$A:$M,13,FALSE)</f>
        <v>human</v>
      </c>
      <c r="N348" s="7" t="str">
        <f>VLOOKUP(B348,[1]characters!$A:$G,7,FALSE)</f>
        <v>男性</v>
      </c>
      <c r="O348" s="45">
        <f>IFERROR(VLOOKUP(B348,input_497101!L:R,7,FALSE),VLOOKUP(tables_497101!C348,input_497101!A:H,8,FALSE))</f>
        <v>620400</v>
      </c>
      <c r="P348" s="46">
        <f t="shared" ca="1" si="23"/>
        <v>9.9999999999741771E-3</v>
      </c>
      <c r="Q348" s="224">
        <v>80</v>
      </c>
      <c r="R348" s="30">
        <v>0</v>
      </c>
      <c r="S348" s="30">
        <v>0</v>
      </c>
      <c r="T348" s="30">
        <v>0</v>
      </c>
      <c r="U348" s="30">
        <v>0</v>
      </c>
      <c r="V348" s="224">
        <v>5</v>
      </c>
    </row>
    <row r="349" spans="1:22" ht="21" customHeight="1" x14ac:dyDescent="0.15">
      <c r="A349" s="2" t="str">
        <f ca="1">input_497101!A$2</f>
        <v>497101</v>
      </c>
      <c r="B349" s="90">
        <v>710</v>
      </c>
      <c r="C349" s="7" t="str">
        <f t="shared" si="34"/>
        <v>Premium3R3less</v>
      </c>
      <c r="D349" s="94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田中トム</v>
      </c>
      <c r="I349" s="7" t="str">
        <f>VLOOKUP(B349,[1]characters!$A:$J,10,FALSE)</f>
        <v>PremiumN</v>
      </c>
      <c r="J349" s="7">
        <f>VLOOKUP(B349,[1]characters!$A:$I,9,FALSE)</f>
        <v>3</v>
      </c>
      <c r="K349" s="7" t="str">
        <f>VLOOKUP(B349,[1]characters!$A:$H,8,FALSE)</f>
        <v>green</v>
      </c>
      <c r="L349" s="7" t="str">
        <f>VLOOKUP(B349,[1]characters!$A:$K,11,FALSE)</f>
        <v>dr</v>
      </c>
      <c r="M349" s="7" t="str">
        <f>VLOOKUP(B349,[1]characters!$A:$M,13,FALSE)</f>
        <v>human</v>
      </c>
      <c r="N349" s="7" t="str">
        <f>VLOOKUP(B349,[1]characters!$A:$G,7,FALSE)</f>
        <v>男性</v>
      </c>
      <c r="O349" s="45">
        <f>IFERROR(VLOOKUP(B349,input_497101!L:R,7,FALSE),VLOOKUP(tables_497101!C349,input_497101!A:H,8,FALSE))</f>
        <v>3102000</v>
      </c>
      <c r="P349" s="46">
        <f t="shared" ca="1" si="23"/>
        <v>4.9999999999870891E-2</v>
      </c>
      <c r="Q349" s="224">
        <v>40</v>
      </c>
      <c r="R349" s="30">
        <v>0</v>
      </c>
      <c r="S349" s="30">
        <v>0</v>
      </c>
      <c r="T349" s="30">
        <v>0</v>
      </c>
      <c r="U349" s="30">
        <v>0</v>
      </c>
      <c r="V349" s="224">
        <v>5</v>
      </c>
    </row>
    <row r="350" spans="1:22" ht="21" customHeight="1" x14ac:dyDescent="0.15">
      <c r="A350" s="2" t="str">
        <f ca="1">input_497101!A$2</f>
        <v>497101</v>
      </c>
      <c r="B350" s="60">
        <v>711</v>
      </c>
      <c r="C350" s="7" t="str">
        <f t="shared" si="34"/>
        <v>Premium4R3less</v>
      </c>
      <c r="D350" s="94" t="str">
        <f t="shared" si="35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平衡調和の取り立て屋　田中トム</v>
      </c>
      <c r="I350" s="7" t="str">
        <f>VLOOKUP(B350,[1]characters!$A:$J,10,FALSE)</f>
        <v>PremiumN</v>
      </c>
      <c r="J350" s="7">
        <f>VLOOKUP(B350,[1]characters!$A:$I,9,FALSE)</f>
        <v>4</v>
      </c>
      <c r="K350" s="7" t="str">
        <f>VLOOKUP(B350,[1]characters!$A:$H,8,FALSE)</f>
        <v>green</v>
      </c>
      <c r="L350" s="7" t="str">
        <f>VLOOKUP(B350,[1]characters!$A:$K,11,FALSE)</f>
        <v>dr</v>
      </c>
      <c r="M350" s="7" t="str">
        <f>VLOOKUP(B350,[1]characters!$A:$M,13,FALSE)</f>
        <v>human</v>
      </c>
      <c r="N350" s="7" t="str">
        <f>VLOOKUP(B350,[1]characters!$A:$G,7,FALSE)</f>
        <v>男性</v>
      </c>
      <c r="O350" s="45">
        <f>IFERROR(VLOOKUP(B350,input_497101!L:R,7,FALSE),VLOOKUP(tables_497101!C350,input_497101!A:H,8,FALSE))</f>
        <v>3102000</v>
      </c>
      <c r="P350" s="46">
        <f t="shared" ca="1" si="23"/>
        <v>4.9999999999870891E-2</v>
      </c>
      <c r="Q350" s="224">
        <v>60</v>
      </c>
      <c r="R350" s="30">
        <v>0</v>
      </c>
      <c r="S350" s="30">
        <v>0</v>
      </c>
      <c r="T350" s="30">
        <v>0</v>
      </c>
      <c r="U350" s="30">
        <v>0</v>
      </c>
      <c r="V350" s="224">
        <v>5</v>
      </c>
    </row>
    <row r="351" spans="1:22" ht="21" customHeight="1" x14ac:dyDescent="0.15">
      <c r="A351" s="2" t="str">
        <f ca="1">input_497101!A$2</f>
        <v>497101</v>
      </c>
      <c r="B351" s="60">
        <v>714</v>
      </c>
      <c r="C351" s="7" t="str">
        <f t="shared" si="34"/>
        <v>Premium3R3less</v>
      </c>
      <c r="D351" s="94" t="str">
        <f t="shared" si="35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粟楠茜</v>
      </c>
      <c r="I351" s="7" t="str">
        <f>VLOOKUP(B351,[1]characters!$A:$J,10,FALSE)</f>
        <v>PremiumN</v>
      </c>
      <c r="J351" s="7">
        <f>VLOOKUP(B351,[1]characters!$A:$I,9,FALSE)</f>
        <v>3</v>
      </c>
      <c r="K351" s="7" t="str">
        <f>VLOOKUP(B351,[1]characters!$A:$H,8,FALSE)</f>
        <v>blue</v>
      </c>
      <c r="L351" s="7" t="str">
        <f>VLOOKUP(B351,[1]characters!$A:$K,11,FALSE)</f>
        <v>dr</v>
      </c>
      <c r="M351" s="7" t="str">
        <f>VLOOKUP(B351,[1]characters!$A:$M,13,FALSE)</f>
        <v>human</v>
      </c>
      <c r="N351" s="7" t="str">
        <f>VLOOKUP(B351,[1]characters!$A:$G,7,FALSE)</f>
        <v>女性</v>
      </c>
      <c r="O351" s="45">
        <f>IFERROR(VLOOKUP(B351,input_497101!L:R,7,FALSE),VLOOKUP(tables_497101!C351,input_497101!A:H,8,FALSE))</f>
        <v>3102000</v>
      </c>
      <c r="P351" s="46">
        <f t="shared" ca="1" si="23"/>
        <v>4.9999999999870891E-2</v>
      </c>
      <c r="Q351" s="224">
        <v>40</v>
      </c>
      <c r="R351" s="30">
        <v>0</v>
      </c>
      <c r="S351" s="30">
        <v>0</v>
      </c>
      <c r="T351" s="30">
        <v>0</v>
      </c>
      <c r="U351" s="30">
        <v>0</v>
      </c>
      <c r="V351" s="224">
        <v>5</v>
      </c>
    </row>
    <row r="352" spans="1:22" ht="21" customHeight="1" x14ac:dyDescent="0.15">
      <c r="A352" s="2" t="str">
        <f ca="1">input_497101!A$2</f>
        <v>497101</v>
      </c>
      <c r="B352" s="88">
        <v>715</v>
      </c>
      <c r="C352" s="7" t="str">
        <f t="shared" si="34"/>
        <v>Premium4R3less</v>
      </c>
      <c r="D352" s="94" t="str">
        <f t="shared" si="35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小さな殺し屋　粟楠茜</v>
      </c>
      <c r="I352" s="7" t="str">
        <f>VLOOKUP(B352,[1]characters!$A:$J,10,FALSE)</f>
        <v>PremiumN</v>
      </c>
      <c r="J352" s="7">
        <f>VLOOKUP(B352,[1]characters!$A:$I,9,FALSE)</f>
        <v>4</v>
      </c>
      <c r="K352" s="7" t="str">
        <f>VLOOKUP(B352,[1]characters!$A:$H,8,FALSE)</f>
        <v>blue</v>
      </c>
      <c r="L352" s="7" t="str">
        <f>VLOOKUP(B352,[1]characters!$A:$K,11,FALSE)</f>
        <v>dr</v>
      </c>
      <c r="M352" s="7" t="str">
        <f>VLOOKUP(B352,[1]characters!$A:$M,13,FALSE)</f>
        <v>human</v>
      </c>
      <c r="N352" s="7" t="str">
        <f>VLOOKUP(B352,[1]characters!$A:$G,7,FALSE)</f>
        <v>女性</v>
      </c>
      <c r="O352" s="45">
        <f>IFERROR(VLOOKUP(B352,input_497101!L:R,7,FALSE),VLOOKUP(tables_497101!C352,input_497101!A:H,8,FALSE))</f>
        <v>3102000</v>
      </c>
      <c r="P352" s="46">
        <f t="shared" ca="1" si="23"/>
        <v>4.9999999999870891E-2</v>
      </c>
      <c r="Q352" s="224">
        <v>60</v>
      </c>
      <c r="R352" s="30">
        <v>0</v>
      </c>
      <c r="S352" s="30">
        <v>0</v>
      </c>
      <c r="T352" s="30">
        <v>0</v>
      </c>
      <c r="U352" s="30">
        <v>0</v>
      </c>
      <c r="V352" s="224">
        <v>5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N6" sqref="N6:N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497103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716</v>
      </c>
      <c r="M3" s="37" t="str">
        <f>VLOOKUP(L3,[1]characters!$A:$C,3,FALSE)</f>
        <v>平和島静雄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VLOOKUP(L3,tables_497103!B:C,2,FALSE)</f>
        <v>PremiumSS5R5only</v>
      </c>
      <c r="R3" s="62">
        <f t="shared" ref="R3:R20" si="1">N3*A$36</f>
        <v>310200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702</v>
      </c>
      <c r="M4" s="37" t="str">
        <f>VLOOKUP(L4,[1]characters!$A:$C,3,FALSE)</f>
        <v>サイモン</v>
      </c>
      <c r="N4" s="63">
        <v>0.04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VLOOKUP(L4,tables_497103!B:C,2,FALSE)</f>
        <v>Premium4R3less</v>
      </c>
      <c r="R4" s="62">
        <f t="shared" si="1"/>
        <v>2481600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6.8181818181818187E-4</v>
      </c>
      <c r="F5">
        <f>(COUNTIF(tables_497103!C:C,input_497103!A28)+COUNTIF(tables_497103!C:C,input_497103!A29))</f>
        <v>67</v>
      </c>
      <c r="H5" s="84">
        <v>5.0000000000000001E-3</v>
      </c>
      <c r="I5" s="31">
        <v>1</v>
      </c>
      <c r="L5" s="60">
        <v>703</v>
      </c>
      <c r="M5" s="37" t="str">
        <f>VLOOKUP(L5,[1]characters!$A:$C,3,FALSE)</f>
        <v>豪腕静穏な寿司屋　サイモン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VLOOKUP(L5,tables_497103!B:C,2,FALSE)</f>
        <v>Premium5R3less</v>
      </c>
      <c r="R5" s="62">
        <f t="shared" si="1"/>
        <v>620400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7.4468085106382973E-3</v>
      </c>
      <c r="F6">
        <f>(COUNTIF(tables_497103!C:C,input_497103!A25)+COUNTIF(tables_497103!C:C,input_497103!A18)+COUNTIF(tables_497103!C:C,input_497103!A20)+COUNTIF(tables_497103!C:C,input_497103!A22))</f>
        <v>97</v>
      </c>
      <c r="H6" s="89">
        <v>0.25</v>
      </c>
      <c r="I6" s="31">
        <v>3</v>
      </c>
      <c r="L6" s="90">
        <v>710</v>
      </c>
      <c r="M6" s="37" t="str">
        <f>VLOOKUP(L6,[1]characters!$A:$C,3,FALSE)</f>
        <v>田中トム</v>
      </c>
      <c r="N6" s="63">
        <v>0</v>
      </c>
      <c r="O6" s="37">
        <f>VLOOKUP(L6,[1]characters!$A:$I,9,FALSE)</f>
        <v>3</v>
      </c>
      <c r="P6" s="37" t="str">
        <f>VLOOKUP(L6,[1]characters!$A:$J,10,FALSE)</f>
        <v>PremiumN</v>
      </c>
      <c r="Q6" s="37" t="str">
        <f>VLOOKUP(L6,tables_497103!B:C,2,FALSE)</f>
        <v>Premium3R3less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711</v>
      </c>
      <c r="M7" s="37" t="str">
        <f>VLOOKUP(L7,[1]characters!$A:$C,3,FALSE)</f>
        <v>平衡調和の取り立て屋　田中トム</v>
      </c>
      <c r="N7" s="63">
        <v>0.1</v>
      </c>
      <c r="O7" s="37">
        <f>VLOOKUP(L7,[1]characters!$A:$I,9,FALSE)</f>
        <v>4</v>
      </c>
      <c r="P7" s="37" t="str">
        <f>VLOOKUP(L7,[1]characters!$A:$J,10,FALSE)</f>
        <v>PremiumN</v>
      </c>
      <c r="Q7" s="37" t="str">
        <f>VLOOKUP(L7,tables_497103!B:C,2,FALSE)</f>
        <v>Premium4R3less</v>
      </c>
      <c r="R7" s="62">
        <f t="shared" si="1"/>
        <v>6204000</v>
      </c>
      <c r="S7">
        <v>597</v>
      </c>
      <c r="U7" s="33" t="s">
        <v>196</v>
      </c>
      <c r="V7" s="54">
        <f t="shared" si="0"/>
        <v>0.24000000000000002</v>
      </c>
    </row>
    <row r="8" spans="1:22" x14ac:dyDescent="0.15">
      <c r="A8" s="57"/>
      <c r="B8" s="71"/>
      <c r="E8" s="76"/>
      <c r="L8" s="60">
        <v>714</v>
      </c>
      <c r="M8" s="37" t="str">
        <f>VLOOKUP(L8,[1]characters!$A:$C,3,FALSE)</f>
        <v>粟楠茜</v>
      </c>
      <c r="N8" s="63">
        <v>0</v>
      </c>
      <c r="O8" s="37">
        <f>VLOOKUP(L8,[1]characters!$A:$I,9,FALSE)</f>
        <v>3</v>
      </c>
      <c r="P8" s="37" t="str">
        <f>VLOOKUP(L8,[1]characters!$A:$J,10,FALSE)</f>
        <v>PremiumN</v>
      </c>
      <c r="Q8" s="37" t="str">
        <f>VLOOKUP(L8,tables_497103!B:C,2,FALSE)</f>
        <v>Premium3R3less</v>
      </c>
      <c r="R8" s="62">
        <f t="shared" si="1"/>
        <v>0</v>
      </c>
      <c r="S8">
        <v>598</v>
      </c>
      <c r="U8" s="33" t="s">
        <v>197</v>
      </c>
      <c r="V8" s="54">
        <f t="shared" si="0"/>
        <v>0.01</v>
      </c>
    </row>
    <row r="9" spans="1:22" x14ac:dyDescent="0.15">
      <c r="A9" s="35" t="s">
        <v>54</v>
      </c>
      <c r="B9" s="35"/>
      <c r="L9" s="88">
        <v>715</v>
      </c>
      <c r="M9" s="37" t="str">
        <f>VLOOKUP(L9,[1]characters!$A:$C,3,FALSE)</f>
        <v>小さな殺し屋　粟楠茜</v>
      </c>
      <c r="N9" s="63">
        <v>0.1</v>
      </c>
      <c r="O9" s="37">
        <f>VLOOKUP(L9,[1]characters!$A:$I,9,FALSE)</f>
        <v>4</v>
      </c>
      <c r="P9" s="37" t="str">
        <f>VLOOKUP(L9,[1]characters!$A:$J,10,FALSE)</f>
        <v>PremiumN</v>
      </c>
      <c r="Q9" s="37" t="str">
        <f>VLOOKUP(L9,tables_497103!B:C,2,FALSE)</f>
        <v>Premium4R3less</v>
      </c>
      <c r="R9" s="62">
        <f t="shared" si="1"/>
        <v>6204000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VLOOKUP(L10,tables_497103!B:C,2,FALSE)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VLOOKUP(L11,tables_497103!B:C,2,FALSE)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VLOOKUP(L12,tables_497103!B:C,2,FALSE)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VLOOKUP(L13,tables_497103!B:C,2,FALSE)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VLOOKUP(L14,tables_497103!B:C,2,FALSE)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5.0000000000000001E-3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VLOOKUP(L15,tables_497103!B:C,2,FALSE)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VLOOKUP(L16,tables_497103!B:C,2,FALSE)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B$5-B19-B24-E33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COUNTIF(tables_497103!C:C,input_497103!A17)-COUNTIF(Q:Q,A17)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VLOOKUP(L17,tables_497103!B:C,2,FALSE)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0.20558704062314556</v>
      </c>
      <c r="C18" s="85">
        <f t="shared" si="2"/>
        <v>0</v>
      </c>
      <c r="D18" s="74">
        <f t="shared" si="3"/>
        <v>0.20558704062314556</v>
      </c>
      <c r="E18">
        <f>COUNTIF(tables_497103!C:C,input_497103!A18)-COUNTIF(Q:Q,A18)</f>
        <v>20</v>
      </c>
      <c r="F18" s="43">
        <f>IFERROR(B18/E18,0)</f>
        <v>1.0279352031157278E-2</v>
      </c>
      <c r="G18">
        <f t="shared" si="4"/>
        <v>12754620.000259951</v>
      </c>
      <c r="H18">
        <f t="shared" si="5"/>
        <v>637731.00000999996</v>
      </c>
      <c r="I18">
        <f t="shared" si="6"/>
        <v>9.9999597296118736E-6</v>
      </c>
      <c r="J18">
        <f t="shared" si="7"/>
        <v>100000.40270550297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VLOOKUP(L18,tables_497103!B:C,2,FALSE)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COUNTIF(tables_497103!C:C,input_497103!A19)-COUNTIF(Q:Q,A19)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VLOOKUP(L19,tables_497103!B:C,2,FALSE)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E$6*E20*B$6-0.04-G49</f>
        <v>0.31287234042794154</v>
      </c>
      <c r="C20" s="85">
        <f t="shared" si="2"/>
        <v>0</v>
      </c>
      <c r="D20" s="74">
        <f t="shared" si="3"/>
        <v>0.31287234042794154</v>
      </c>
      <c r="E20">
        <f>COUNTIF(tables_497103!C:C,input_497103!A20)-COUNTIF(Q:Q,A20)</f>
        <v>52</v>
      </c>
      <c r="F20" s="43">
        <f t="shared" si="8"/>
        <v>6.016775777460414E-3</v>
      </c>
      <c r="G20">
        <f t="shared" si="4"/>
        <v>19410600.000149492</v>
      </c>
      <c r="H20">
        <f t="shared" si="5"/>
        <v>373280.76922999998</v>
      </c>
      <c r="I20">
        <f t="shared" si="6"/>
        <v>0.76922999997623265</v>
      </c>
      <c r="J20">
        <f t="shared" si="7"/>
        <v>1.300001300041467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VLOOKUP(L20,tables_497103!B:C,2,FALSE)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1.7710831721470019E-2</v>
      </c>
      <c r="C21" s="85">
        <f t="shared" si="2"/>
        <v>0</v>
      </c>
      <c r="D21" s="74">
        <f t="shared" si="3"/>
        <v>1.7710831721470019E-2</v>
      </c>
      <c r="E21">
        <f>COUNTIF(tables_497103!C:C,input_497103!A21)-COUNTIF(Q:Q,A21)</f>
        <v>52</v>
      </c>
      <c r="F21" s="43">
        <f t="shared" si="8"/>
        <v>3.4059291772057729E-4</v>
      </c>
      <c r="G21">
        <f t="shared" si="4"/>
        <v>1098780</v>
      </c>
      <c r="H21">
        <f t="shared" si="5"/>
        <v>21130.384620000001</v>
      </c>
      <c r="I21">
        <f t="shared" si="6"/>
        <v>0.38462000000072294</v>
      </c>
      <c r="J21">
        <f t="shared" si="7"/>
        <v>2.5999688003695085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0.1301063829787234</v>
      </c>
      <c r="C22" s="85">
        <f t="shared" si="2"/>
        <v>0.24000000000000002</v>
      </c>
      <c r="D22" s="74">
        <f t="shared" si="3"/>
        <v>-0.10989361702127662</v>
      </c>
      <c r="E22">
        <f>COUNTIF(tables_497103!C:C,input_497103!A22)-COUNTIF(Q:Q,A22)</f>
        <v>18</v>
      </c>
      <c r="F22" s="43">
        <f t="shared" si="8"/>
        <v>7.2281323877068553E-3</v>
      </c>
      <c r="G22">
        <f t="shared" si="4"/>
        <v>8071800</v>
      </c>
      <c r="H22">
        <f t="shared" si="5"/>
        <v>448433.33332999999</v>
      </c>
      <c r="I22">
        <f t="shared" si="6"/>
        <v>0.33332999999402091</v>
      </c>
      <c r="J22">
        <f t="shared" si="7"/>
        <v>3.0000300003538158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E23*E6*B7-E36-0.005</f>
        <v>3.936170212765956E-3</v>
      </c>
      <c r="C23" s="85">
        <f t="shared" si="2"/>
        <v>0.01</v>
      </c>
      <c r="D23" s="74">
        <f t="shared" si="3"/>
        <v>-6.0638297872340442E-3</v>
      </c>
      <c r="E23">
        <f>COUNTIF(tables_497103!C:C,input_497103!A23)-COUNTIF(Q:Q,A23)</f>
        <v>24</v>
      </c>
      <c r="F23" s="43">
        <f t="shared" si="8"/>
        <v>1.6400709219858151E-4</v>
      </c>
      <c r="G23">
        <f t="shared" si="4"/>
        <v>244199.99999999991</v>
      </c>
      <c r="H23">
        <f t="shared" si="5"/>
        <v>10175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COUNTIF(tables_497103!C:C,input_497103!A24)-COUNTIF(Q:Q,A24)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2.829787234042553E-2</v>
      </c>
      <c r="C25" s="85">
        <f t="shared" si="2"/>
        <v>0</v>
      </c>
      <c r="D25" s="74">
        <f t="shared" si="3"/>
        <v>2.829787234042553E-2</v>
      </c>
      <c r="E25">
        <f>COUNTIF(tables_497103!C:C,input_497103!A25)-COUNTIF(Q:Q,A25)</f>
        <v>4</v>
      </c>
      <c r="F25" s="43">
        <f t="shared" si="8"/>
        <v>7.0744680851063824E-3</v>
      </c>
      <c r="G25">
        <f t="shared" si="4"/>
        <v>1755599.9999999998</v>
      </c>
      <c r="H25">
        <f t="shared" si="5"/>
        <v>438900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1.4893617021276596E-3</v>
      </c>
      <c r="C26" s="85">
        <f t="shared" si="2"/>
        <v>0</v>
      </c>
      <c r="D26" s="74">
        <f t="shared" si="3"/>
        <v>1.4893617021276596E-3</v>
      </c>
      <c r="E26">
        <f>COUNTIF(tables_497103!C:C,input_497103!A26)-COUNTIF(Q:Q,A26)</f>
        <v>4</v>
      </c>
      <c r="F26" s="43">
        <f t="shared" si="8"/>
        <v>3.7234042553191491E-4</v>
      </c>
      <c r="G26">
        <f t="shared" si="4"/>
        <v>92400</v>
      </c>
      <c r="H26">
        <f t="shared" si="5"/>
        <v>23100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3.3136363633953989E-2</v>
      </c>
      <c r="C27" s="85">
        <f t="shared" si="2"/>
        <v>0</v>
      </c>
      <c r="D27" s="74">
        <f t="shared" si="3"/>
        <v>3.3136363633953989E-2</v>
      </c>
      <c r="E27">
        <f>COUNTIF(tables_497103!C:C,input_497103!A27)-COUNTIF(Q:Q,A27)</f>
        <v>28</v>
      </c>
      <c r="F27" s="43">
        <f>IFERROR(B27/E27,0)</f>
        <v>1.1834415583554996E-3</v>
      </c>
      <c r="G27">
        <f t="shared" si="4"/>
        <v>2055779.9998505055</v>
      </c>
      <c r="H27">
        <f t="shared" si="5"/>
        <v>73420.71428</v>
      </c>
      <c r="I27">
        <f t="shared" si="6"/>
        <v>0.71428000000014435</v>
      </c>
      <c r="J27">
        <f t="shared" si="7"/>
        <v>1.4000112000893177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9.5454545454545466E-4</v>
      </c>
      <c r="C28" s="85">
        <f t="shared" si="2"/>
        <v>0</v>
      </c>
      <c r="D28" s="74">
        <f t="shared" si="3"/>
        <v>9.5454545454545466E-4</v>
      </c>
      <c r="E28">
        <f>COUNTIF(tables_497103!C:C,input_497103!A28)-COUNTIF(Q:Q,A28)</f>
        <v>28</v>
      </c>
      <c r="F28" s="43">
        <f t="shared" si="8"/>
        <v>3.4090909090909092E-5</v>
      </c>
      <c r="G28">
        <f t="shared" si="4"/>
        <v>59220.000000000007</v>
      </c>
      <c r="H28">
        <f t="shared" si="5"/>
        <v>2115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E$5*E29-0.015</f>
        <v>1.090909090909091E-2</v>
      </c>
      <c r="C29" s="85">
        <f t="shared" si="2"/>
        <v>5.0000000000000001E-3</v>
      </c>
      <c r="D29" s="74">
        <f t="shared" si="3"/>
        <v>5.9090909090909098E-3</v>
      </c>
      <c r="E29">
        <f>COUNTIF(tables_497103!C:C,input_497103!A29)-COUNTIF(Q:Q,A29)</f>
        <v>38</v>
      </c>
      <c r="F29" s="43">
        <f t="shared" si="8"/>
        <v>2.8708133971291867E-4</v>
      </c>
      <c r="G29">
        <f t="shared" si="4"/>
        <v>676800</v>
      </c>
      <c r="H29">
        <f t="shared" si="5"/>
        <v>17810.526320000001</v>
      </c>
      <c r="I29">
        <f t="shared" si="6"/>
        <v>0.526320000000851</v>
      </c>
      <c r="J29">
        <f t="shared" si="7"/>
        <v>1.8999848001185269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COUNTIF(tables_497103!C:C,input_497103!A30)-COUNTIF(Q:Q,A30)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COUNTIF(tables_497103!C:C,input_497103!A31)-COUNTIF(Q:Q,A31)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0.74500000000419009</v>
      </c>
      <c r="C32" s="41">
        <f>SUM(C19:C31)</f>
        <v>0.255</v>
      </c>
      <c r="D32" s="42">
        <f t="shared" si="3"/>
        <v>0.49000000000419008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1.66508704103796E-2</v>
      </c>
      <c r="F34" s="55">
        <f ca="1">G41-0.85</f>
        <v>9.999999999903364E-2</v>
      </c>
    </row>
    <row r="35" spans="1:7" x14ac:dyDescent="0.15">
      <c r="A35" t="s">
        <v>73</v>
      </c>
      <c r="E35">
        <v>1.4999999999999999E-2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SUMIF(tables_497103!C:C,input_497103!A40,tables_497103!O:O)</f>
        <v>0</v>
      </c>
      <c r="C40" s="54">
        <f t="shared" ref="C40:C46" ca="1" si="9">B40/B$47</f>
        <v>0</v>
      </c>
      <c r="E40">
        <v>3</v>
      </c>
      <c r="F40">
        <f ca="1">SUMIF(tables_497103!J:J,input_497103!E40,tables_497103!O:O)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SUMIF(tables_497103!C:C,input_497103!A41,tables_497103!O:O)</f>
        <v>19410599.999960016</v>
      </c>
      <c r="C41" s="54">
        <f t="shared" ca="1" si="9"/>
        <v>0.85795058250991563</v>
      </c>
      <c r="E41">
        <v>4</v>
      </c>
      <c r="F41">
        <f ca="1">SUMIF(tables_497103!J:J,input_497103!E41,tables_497103!O:O)</f>
        <v>58937999.999940045</v>
      </c>
      <c r="G41">
        <f ca="1">F41/A36</f>
        <v>0.94999999999903362</v>
      </c>
    </row>
    <row r="42" spans="1:7" x14ac:dyDescent="0.15">
      <c r="A42" s="33" t="s">
        <v>106</v>
      </c>
      <c r="B42">
        <f ca="1">SUMIF(tables_497103!C:C,input_497103!A42,tables_497103!O:O)</f>
        <v>2055779.9998399992</v>
      </c>
      <c r="C42" s="54">
        <f t="shared" ca="1" si="9"/>
        <v>9.0865694433896665E-2</v>
      </c>
      <c r="E42">
        <v>5</v>
      </c>
      <c r="F42">
        <f ca="1">SUMIF(tables_497103!J:J,input_497103!E42,tables_497103!O:O)</f>
        <v>3102000.0003999984</v>
      </c>
      <c r="G42">
        <f ca="1">F42/A36</f>
        <v>5.0000000006447429E-2</v>
      </c>
    </row>
    <row r="43" spans="1:7" x14ac:dyDescent="0.15">
      <c r="A43" s="33" t="s">
        <v>109</v>
      </c>
      <c r="B43">
        <f>SUMIF(tables_497103!C:C,input_497103!A43,tables_497103!O:O)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SUMIF(tables_497103!C:C,input_497103!A44,tables_497103!O:O)</f>
        <v>1098780.0002400007</v>
      </c>
      <c r="C44" s="54">
        <f t="shared" ca="1" si="9"/>
        <v>4.8566192763649534E-2</v>
      </c>
      <c r="E44" t="s">
        <v>54</v>
      </c>
      <c r="F44" s="55"/>
    </row>
    <row r="45" spans="1:7" x14ac:dyDescent="0.15">
      <c r="A45" s="33" t="s">
        <v>107</v>
      </c>
      <c r="B45">
        <f ca="1">SUMIF(tables_497103!C:C,input_497103!A45,tables_497103!O:O)</f>
        <v>59220</v>
      </c>
      <c r="C45" s="54">
        <f t="shared" ca="1" si="9"/>
        <v>2.6175302925381936E-3</v>
      </c>
      <c r="E45" t="s">
        <v>204</v>
      </c>
      <c r="F45" s="55">
        <f ca="1">SUMIF(tables_497103!I:I,input_497103!E45,tables_497103!P:P)</f>
        <v>0.20657108317423808</v>
      </c>
    </row>
    <row r="46" spans="1:7" x14ac:dyDescent="0.15">
      <c r="A46" s="33" t="s">
        <v>108</v>
      </c>
      <c r="B46">
        <f>SUMIF(tables_497103!C:C,input_497103!A46,tables_497103!O:O)</f>
        <v>0</v>
      </c>
      <c r="C46" s="54">
        <f t="shared" ca="1" si="9"/>
        <v>0</v>
      </c>
      <c r="E46" t="s">
        <v>205</v>
      </c>
      <c r="F46" s="55">
        <f ca="1">SUMIF(tables_497103!I:I,input_497103!E46,tables_497103!P:P)</f>
        <v>0.33041569334844617</v>
      </c>
    </row>
    <row r="47" spans="1:7" x14ac:dyDescent="0.15">
      <c r="A47" s="39" t="s">
        <v>59</v>
      </c>
      <c r="B47">
        <f ca="1">SUM(B40:B46)</f>
        <v>22624380.000040017</v>
      </c>
      <c r="C47" s="55">
        <f ca="1">SUM(C40:C46)</f>
        <v>1</v>
      </c>
      <c r="E47" t="s">
        <v>206</v>
      </c>
      <c r="F47" s="55">
        <f ca="1">SUMIF(tables_497103!I:I,input_497103!E47,tables_497103!P:P)</f>
        <v>0.41301322347758646</v>
      </c>
    </row>
    <row r="48" spans="1:7" x14ac:dyDescent="0.15">
      <c r="E48" t="s">
        <v>207</v>
      </c>
      <c r="F48" s="55">
        <f ca="1">SUMIF(tables_497103!I:I,input_497103!E48,tables_497103!P:P)</f>
        <v>4.7990430621271375E-2</v>
      </c>
      <c r="G48" s="55">
        <f ca="1">0.05-F48-F49</f>
        <v>2.741405193129598E-13</v>
      </c>
    </row>
    <row r="49" spans="5:7" x14ac:dyDescent="0.15">
      <c r="E49" t="s">
        <v>247</v>
      </c>
      <c r="F49" s="55">
        <f ca="1">SUMIF(tables_497103!I:I,input_497103!E49,tables_497103!P:P)</f>
        <v>2.009569378454487E-3</v>
      </c>
      <c r="G49">
        <v>1.4999999997590347E-2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2"/>
  <sheetViews>
    <sheetView showGridLines="0" zoomScale="75" zoomScaleNormal="75" zoomScalePageLayoutView="75" workbookViewId="0">
      <pane ySplit="1" topLeftCell="A319" activePane="bottomLeft" state="frozen"/>
      <selection activeCell="D34" sqref="D34"/>
      <selection pane="bottomLeft" activeCell="Q346" sqref="Q346:V35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input_497103!A$2</f>
        <v>497103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IFERROR(VLOOKUP(B2,input_497103!L:R,7,FALSE),VLOOKUP(tables_497103!C2,input_497103!A:H,8,FALSE))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input_497103!A$2</f>
        <v>497103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IFERROR(VLOOKUP(B3,input_497103!L:R,7,FALSE),VLOOKUP(tables_497103!C3,input_497103!A:H,8,FALSE))</f>
        <v>637731.00000999996</v>
      </c>
      <c r="P3" s="46">
        <f t="shared" ca="1" si="1"/>
        <v>1.0279352031052598E-2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input_497103!A$2</f>
        <v>497103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IFERROR(VLOOKUP(B4,input_497103!L:R,7,FALSE),VLOOKUP(tables_497103!C4,input_497103!A:H,8,FALSE))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input_497103!A$2</f>
        <v>497103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IFERROR(VLOOKUP(B5,input_497103!L:R,7,FALSE),VLOOKUP(tables_497103!C5,input_497103!A:H,8,FALSE))</f>
        <v>637731.00000999996</v>
      </c>
      <c r="P5" s="46">
        <f t="shared" ca="1" si="1"/>
        <v>1.0279352031052598E-2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input_497103!A$2</f>
        <v>497103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IFERROR(VLOOKUP(B6,input_497103!L:R,7,FALSE),VLOOKUP(tables_497103!C6,input_497103!A:H,8,FALSE))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input_497103!A$2</f>
        <v>497103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IFERROR(VLOOKUP(B7,input_497103!L:R,7,FALSE),VLOOKUP(tables_497103!C7,input_497103!A:H,8,FALSE))</f>
        <v>637731.00000999996</v>
      </c>
      <c r="P7" s="46">
        <f t="shared" ca="1" si="1"/>
        <v>1.0279352031052598E-2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input_497103!A$2</f>
        <v>497103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IFERROR(VLOOKUP(B8,input_497103!L:R,7,FALSE),VLOOKUP(tables_497103!C8,input_497103!A:H,8,FALSE))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input_497103!A$2</f>
        <v>497103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IFERROR(VLOOKUP(B9,input_497103!L:R,7,FALSE),VLOOKUP(tables_497103!C9,input_497103!A:H,8,FALSE))</f>
        <v>637731.00000999996</v>
      </c>
      <c r="P9" s="46">
        <f t="shared" ca="1" si="1"/>
        <v>1.0279352031052598E-2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input_497103!A$2</f>
        <v>497103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IFERROR(VLOOKUP(B10,input_497103!L:R,7,FALSE),VLOOKUP(tables_497103!C10,input_497103!A:H,8,FALSE))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input_497103!A$2</f>
        <v>497103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IFERROR(VLOOKUP(B11,input_497103!L:R,7,FALSE),VLOOKUP(tables_497103!C11,input_497103!A:H,8,FALSE))</f>
        <v>637731.00000999996</v>
      </c>
      <c r="P11" s="46">
        <f t="shared" ca="1" si="1"/>
        <v>1.0279352031052598E-2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input_497103!A$2</f>
        <v>497103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IFERROR(VLOOKUP(B12,input_497103!L:R,7,FALSE),VLOOKUP(tables_497103!C12,input_497103!A:H,8,FALSE))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input_497103!A$2</f>
        <v>497103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IFERROR(VLOOKUP(B13,input_497103!L:R,7,FALSE),VLOOKUP(tables_497103!C13,input_497103!A:H,8,FALSE))</f>
        <v>637731.00000999996</v>
      </c>
      <c r="P13" s="46">
        <f t="shared" ca="1" si="1"/>
        <v>1.0279352031052598E-2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input_497103!A$2</f>
        <v>497103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IFERROR(VLOOKUP(B14,input_497103!L:R,7,FALSE),VLOOKUP(tables_497103!C14,input_497103!A:H,8,FALSE))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input_497103!A$2</f>
        <v>497103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IFERROR(VLOOKUP(B15,input_497103!L:R,7,FALSE),VLOOKUP(tables_497103!C15,input_497103!A:H,8,FALSE))</f>
        <v>637731.00000999996</v>
      </c>
      <c r="P15" s="46">
        <f t="shared" ca="1" si="1"/>
        <v>1.0279352031052598E-2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input_497103!A$2</f>
        <v>497103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IFERROR(VLOOKUP(B16,input_497103!L:R,7,FALSE),VLOOKUP(tables_497103!C16,input_497103!A:H,8,FALSE))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input_497103!A$2</f>
        <v>497103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IFERROR(VLOOKUP(B17,input_497103!L:R,7,FALSE),VLOOKUP(tables_497103!C17,input_497103!A:H,8,FALSE))</f>
        <v>637731.00000999996</v>
      </c>
      <c r="P17" s="46">
        <f t="shared" ca="1" si="1"/>
        <v>1.0279352031052598E-2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input_497103!A$2</f>
        <v>497103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IFERROR(VLOOKUP(B18,input_497103!L:R,7,FALSE),VLOOKUP(tables_497103!C18,input_497103!A:H,8,FALSE))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input_497103!A$2</f>
        <v>497103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IFERROR(VLOOKUP(B19,input_497103!L:R,7,FALSE),VLOOKUP(tables_497103!C19,input_497103!A:H,8,FALSE))</f>
        <v>637731.00000999996</v>
      </c>
      <c r="P19" s="46">
        <f t="shared" ca="1" si="1"/>
        <v>1.0279352031052598E-2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input_497103!A$2</f>
        <v>497103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IFERROR(VLOOKUP(B20,input_497103!L:R,7,FALSE),VLOOKUP(tables_497103!C20,input_497103!A:H,8,FALSE))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input_497103!A$2</f>
        <v>497103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IFERROR(VLOOKUP(B21,input_497103!L:R,7,FALSE),VLOOKUP(tables_497103!C21,input_497103!A:H,8,FALSE))</f>
        <v>637731.00000999996</v>
      </c>
      <c r="P21" s="46">
        <f t="shared" ca="1" si="1"/>
        <v>1.0279352031052598E-2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input_497103!A$2</f>
        <v>497103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IFERROR(VLOOKUP(B22,input_497103!L:R,7,FALSE),VLOOKUP(tables_497103!C22,input_497103!A:H,8,FALSE))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input_497103!A$2</f>
        <v>497103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IFERROR(VLOOKUP(B23,input_497103!L:R,7,FALSE),VLOOKUP(tables_497103!C23,input_497103!A:H,8,FALSE))</f>
        <v>637731.00000999996</v>
      </c>
      <c r="P23" s="46">
        <f t="shared" ca="1" si="1"/>
        <v>1.0279352031052598E-2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input_497103!A$2</f>
        <v>497103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IFERROR(VLOOKUP(B24,input_497103!L:R,7,FALSE),VLOOKUP(tables_497103!C24,input_497103!A:H,8,FALSE))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input_497103!A$2</f>
        <v>497103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IFERROR(VLOOKUP(B25,input_497103!L:R,7,FALSE),VLOOKUP(tables_497103!C25,input_497103!A:H,8,FALSE))</f>
        <v>637731.00000999996</v>
      </c>
      <c r="P25" s="46">
        <f t="shared" ca="1" si="1"/>
        <v>1.0279352031052598E-2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input_497103!A$2</f>
        <v>497103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IFERROR(VLOOKUP(B26,input_497103!L:R,7,FALSE),VLOOKUP(tables_497103!C26,input_497103!A:H,8,FALSE))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input_497103!A$2</f>
        <v>497103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IFERROR(VLOOKUP(B27,input_497103!L:R,7,FALSE),VLOOKUP(tables_497103!C27,input_497103!A:H,8,FALSE))</f>
        <v>637731.00000999996</v>
      </c>
      <c r="P27" s="46">
        <f t="shared" ca="1" si="1"/>
        <v>1.0279352031052598E-2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input_497103!A$2</f>
        <v>497103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IFERROR(VLOOKUP(B28,input_497103!L:R,7,FALSE),VLOOKUP(tables_497103!C28,input_497103!A:H,8,FALSE))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input_497103!A$2</f>
        <v>497103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IFERROR(VLOOKUP(B29,input_497103!L:R,7,FALSE),VLOOKUP(tables_497103!C29,input_497103!A:H,8,FALSE))</f>
        <v>637731.00000999996</v>
      </c>
      <c r="P29" s="46">
        <f t="shared" ca="1" si="1"/>
        <v>1.0279352031052598E-2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input_497103!A$2</f>
        <v>497103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IFERROR(VLOOKUP(B30,input_497103!L:R,7,FALSE),VLOOKUP(tables_497103!C30,input_497103!A:H,8,FALSE))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input_497103!A$2</f>
        <v>497103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IFERROR(VLOOKUP(B31,input_497103!L:R,7,FALSE),VLOOKUP(tables_497103!C31,input_497103!A:H,8,FALSE))</f>
        <v>637731.00000999996</v>
      </c>
      <c r="P31" s="46">
        <f t="shared" ca="1" si="1"/>
        <v>1.0279352031052598E-2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input_497103!A$2</f>
        <v>497103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IFERROR(VLOOKUP(B32,input_497103!L:R,7,FALSE),VLOOKUP(tables_497103!C32,input_497103!A:H,8,FALSE))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input_497103!A$2</f>
        <v>497103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IFERROR(VLOOKUP(B33,input_497103!L:R,7,FALSE),VLOOKUP(tables_497103!C33,input_497103!A:H,8,FALSE))</f>
        <v>637731.00000999996</v>
      </c>
      <c r="P33" s="46">
        <f t="shared" ca="1" si="1"/>
        <v>1.0279352031052598E-2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input_497103!A$2</f>
        <v>497103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IFERROR(VLOOKUP(B34,input_497103!L:R,7,FALSE),VLOOKUP(tables_497103!C34,input_497103!A:H,8,FALSE))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input_497103!A$2</f>
        <v>497103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IFERROR(VLOOKUP(B35,input_497103!L:R,7,FALSE),VLOOKUP(tables_497103!C35,input_497103!A:H,8,FALSE))</f>
        <v>637731.00000999996</v>
      </c>
      <c r="P35" s="46">
        <f t="shared" ca="1" si="1"/>
        <v>1.0279352031052598E-2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input_497103!A$2</f>
        <v>497103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IFERROR(VLOOKUP(B36,input_497103!L:R,7,FALSE),VLOOKUP(tables_497103!C36,input_497103!A:H,8,FALSE))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input_497103!A$2</f>
        <v>497103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IFERROR(VLOOKUP(B37,input_497103!L:R,7,FALSE),VLOOKUP(tables_497103!C37,input_497103!A:H,8,FALSE))</f>
        <v>637731.00000999996</v>
      </c>
      <c r="P37" s="46">
        <f t="shared" ca="1" si="1"/>
        <v>1.0279352031052598E-2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input_497103!A$2</f>
        <v>497103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IFERROR(VLOOKUP(B38,input_497103!L:R,7,FALSE),VLOOKUP(tables_497103!C38,input_497103!A:H,8,FALSE))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input_497103!A$2</f>
        <v>497103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IFERROR(VLOOKUP(B39,input_497103!L:R,7,FALSE),VLOOKUP(tables_497103!C39,input_497103!A:H,8,FALSE))</f>
        <v>637731.00000999996</v>
      </c>
      <c r="P39" s="46">
        <f t="shared" ca="1" si="1"/>
        <v>1.0279352031052598E-2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input_497103!A$2</f>
        <v>497103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IFERROR(VLOOKUP(B40,input_497103!L:R,7,FALSE),VLOOKUP(tables_497103!C40,input_497103!A:H,8,FALSE))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input_497103!A$2</f>
        <v>497103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IFERROR(VLOOKUP(B41,input_497103!L:R,7,FALSE),VLOOKUP(tables_497103!C41,input_497103!A:H,8,FALSE))</f>
        <v>637731.00000999996</v>
      </c>
      <c r="P41" s="46">
        <f t="shared" ca="1" si="1"/>
        <v>1.0279352031052598E-2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input_497103!A$2</f>
        <v>497103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IFERROR(VLOOKUP(B42,input_497103!L:R,7,FALSE),VLOOKUP(tables_497103!C42,input_497103!A:H,8,FALSE))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input_497103!A$2</f>
        <v>497103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IFERROR(VLOOKUP(B43,input_497103!L:R,7,FALSE),VLOOKUP(tables_497103!C43,input_497103!A:H,8,FALSE))</f>
        <v>438900</v>
      </c>
      <c r="P43" s="46">
        <f t="shared" ca="1" si="1"/>
        <v>7.0744680850675923E-3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input_497103!A$2</f>
        <v>497103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IFERROR(VLOOKUP(B44,input_497103!L:R,7,FALSE),VLOOKUP(tables_497103!C44,input_497103!A:H,8,FALSE))</f>
        <v>23100</v>
      </c>
      <c r="P44" s="46">
        <f t="shared" ca="1" si="1"/>
        <v>3.7234042552987325E-4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input_497103!A$2</f>
        <v>497103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IFERROR(VLOOKUP(B45,input_497103!L:R,7,FALSE),VLOOKUP(tables_497103!C45,input_497103!A:H,8,FALSE))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input_497103!A$2</f>
        <v>497103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IFERROR(VLOOKUP(B46,input_497103!L:R,7,FALSE),VLOOKUP(tables_497103!C46,input_497103!A:H,8,FALSE))</f>
        <v>438900</v>
      </c>
      <c r="P46" s="46">
        <f t="shared" ca="1" si="1"/>
        <v>7.0744680850675923E-3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input_497103!A$2</f>
        <v>497103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IFERROR(VLOOKUP(B47,input_497103!L:R,7,FALSE),VLOOKUP(tables_497103!C47,input_497103!A:H,8,FALSE))</f>
        <v>23100</v>
      </c>
      <c r="P47" s="46">
        <f t="shared" ca="1" si="1"/>
        <v>3.7234042552987325E-4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input_497103!A$2</f>
        <v>497103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IFERROR(VLOOKUP(B48,input_497103!L:R,7,FALSE),VLOOKUP(tables_497103!C48,input_497103!A:H,8,FALSE))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input_497103!A$2</f>
        <v>497103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IFERROR(VLOOKUP(B49,input_497103!L:R,7,FALSE),VLOOKUP(tables_497103!C49,input_497103!A:H,8,FALSE))</f>
        <v>438900</v>
      </c>
      <c r="P49" s="46">
        <f t="shared" ca="1" si="1"/>
        <v>7.0744680850675923E-3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input_497103!A$2</f>
        <v>497103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IFERROR(VLOOKUP(B50,input_497103!L:R,7,FALSE),VLOOKUP(tables_497103!C50,input_497103!A:H,8,FALSE))</f>
        <v>23100</v>
      </c>
      <c r="P50" s="46">
        <f t="shared" ca="1" si="1"/>
        <v>3.7234042552987325E-4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input_497103!A$2</f>
        <v>497103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IFERROR(VLOOKUP(B51,input_497103!L:R,7,FALSE),VLOOKUP(tables_497103!C51,input_497103!A:H,8,FALSE))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input_497103!A$2</f>
        <v>497103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IFERROR(VLOOKUP(B52,input_497103!L:R,7,FALSE),VLOOKUP(tables_497103!C52,input_497103!A:H,8,FALSE))</f>
        <v>373280.76922999998</v>
      </c>
      <c r="P52" s="46">
        <f t="shared" ca="1" si="1"/>
        <v>6.0167757773686844E-3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input_497103!A$2</f>
        <v>497103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IFERROR(VLOOKUP(B53,input_497103!L:R,7,FALSE),VLOOKUP(tables_497103!C53,input_497103!A:H,8,FALSE))</f>
        <v>21130.384620000001</v>
      </c>
      <c r="P53" s="46">
        <f t="shared" ca="1" si="1"/>
        <v>3.4059291779310347E-4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input_497103!A$2</f>
        <v>497103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IFERROR(VLOOKUP(B54,input_497103!L:R,7,FALSE),VLOOKUP(tables_497103!C54,input_497103!A:H,8,FALSE))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input_497103!A$2</f>
        <v>497103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IFERROR(VLOOKUP(B55,input_497103!L:R,7,FALSE),VLOOKUP(tables_497103!C55,input_497103!A:H,8,FALSE))</f>
        <v>373280.76922999998</v>
      </c>
      <c r="P55" s="46">
        <f t="shared" ca="1" si="1"/>
        <v>6.0167757773686844E-3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input_497103!A$2</f>
        <v>497103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IFERROR(VLOOKUP(B56,input_497103!L:R,7,FALSE),VLOOKUP(tables_497103!C56,input_497103!A:H,8,FALSE))</f>
        <v>21130.384620000001</v>
      </c>
      <c r="P56" s="46">
        <f t="shared" ca="1" si="1"/>
        <v>3.4059291779310347E-4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input_497103!A$2</f>
        <v>497103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IFERROR(VLOOKUP(B57,input_497103!L:R,7,FALSE),VLOOKUP(tables_497103!C57,input_497103!A:H,8,FALSE))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input_497103!A$2</f>
        <v>497103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IFERROR(VLOOKUP(B58,input_497103!L:R,7,FALSE),VLOOKUP(tables_497103!C58,input_497103!A:H,8,FALSE))</f>
        <v>373280.76922999998</v>
      </c>
      <c r="P58" s="46">
        <f t="shared" ca="1" si="1"/>
        <v>6.0167757773686844E-3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input_497103!A$2</f>
        <v>497103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IFERROR(VLOOKUP(B59,input_497103!L:R,7,FALSE),VLOOKUP(tables_497103!C59,input_497103!A:H,8,FALSE))</f>
        <v>21130.384620000001</v>
      </c>
      <c r="P59" s="46">
        <f t="shared" ca="1" si="1"/>
        <v>3.4059291779310347E-4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input_497103!A$2</f>
        <v>497103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IFERROR(VLOOKUP(B60,input_497103!L:R,7,FALSE),VLOOKUP(tables_497103!C60,input_497103!A:H,8,FALSE))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input_497103!A$2</f>
        <v>497103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IFERROR(VLOOKUP(B61,input_497103!L:R,7,FALSE),VLOOKUP(tables_497103!C61,input_497103!A:H,8,FALSE))</f>
        <v>373280.76922999998</v>
      </c>
      <c r="P61" s="46">
        <f t="shared" ca="1" si="1"/>
        <v>6.0167757773686844E-3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input_497103!A$2</f>
        <v>497103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IFERROR(VLOOKUP(B62,input_497103!L:R,7,FALSE),VLOOKUP(tables_497103!C62,input_497103!A:H,8,FALSE))</f>
        <v>21130.384620000001</v>
      </c>
      <c r="P62" s="46">
        <f t="shared" ca="1" si="1"/>
        <v>3.4059291779310347E-4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input_497103!A$2</f>
        <v>497103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IFERROR(VLOOKUP(B63,input_497103!L:R,7,FALSE),VLOOKUP(tables_497103!C63,input_497103!A:H,8,FALSE))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input_497103!A$2</f>
        <v>497103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IFERROR(VLOOKUP(B64,input_497103!L:R,7,FALSE),VLOOKUP(tables_497103!C64,input_497103!A:H,8,FALSE))</f>
        <v>373280.76922999998</v>
      </c>
      <c r="P64" s="46">
        <f t="shared" ca="1" si="1"/>
        <v>6.0167757773686844E-3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input_497103!A$2</f>
        <v>497103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IFERROR(VLOOKUP(B65,input_497103!L:R,7,FALSE),VLOOKUP(tables_497103!C65,input_497103!A:H,8,FALSE))</f>
        <v>21130.384620000001</v>
      </c>
      <c r="P65" s="46">
        <f t="shared" ca="1" si="1"/>
        <v>3.4059291779310347E-4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input_497103!A$2</f>
        <v>497103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IFERROR(VLOOKUP(B66,input_497103!L:R,7,FALSE),VLOOKUP(tables_497103!C66,input_497103!A:H,8,FALSE))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input_497103!A$2</f>
        <v>497103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IFERROR(VLOOKUP(B67,input_497103!L:R,7,FALSE),VLOOKUP(tables_497103!C67,input_497103!A:H,8,FALSE))</f>
        <v>373280.76922999998</v>
      </c>
      <c r="P67" s="46">
        <f t="shared" ca="1" si="4"/>
        <v>6.0167757773686844E-3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input_497103!A$2</f>
        <v>497103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IFERROR(VLOOKUP(B68,input_497103!L:R,7,FALSE),VLOOKUP(tables_497103!C68,input_497103!A:H,8,FALSE))</f>
        <v>21130.384620000001</v>
      </c>
      <c r="P68" s="46">
        <f t="shared" ca="1" si="4"/>
        <v>3.4059291779310347E-4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input_497103!A$2</f>
        <v>497103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IFERROR(VLOOKUP(B69,input_497103!L:R,7,FALSE),VLOOKUP(tables_497103!C69,input_497103!A:H,8,FALSE))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input_497103!A$2</f>
        <v>497103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IFERROR(VLOOKUP(B70,input_497103!L:R,7,FALSE),VLOOKUP(tables_497103!C70,input_497103!A:H,8,FALSE))</f>
        <v>373280.76922999998</v>
      </c>
      <c r="P70" s="46">
        <f t="shared" ca="1" si="4"/>
        <v>6.0167757773686844E-3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input_497103!A$2</f>
        <v>497103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IFERROR(VLOOKUP(B71,input_497103!L:R,7,FALSE),VLOOKUP(tables_497103!C71,input_497103!A:H,8,FALSE))</f>
        <v>21130.384620000001</v>
      </c>
      <c r="P71" s="46">
        <f t="shared" ca="1" si="4"/>
        <v>3.4059291779310347E-4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input_497103!A$2</f>
        <v>497103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IFERROR(VLOOKUP(B72,input_497103!L:R,7,FALSE),VLOOKUP(tables_497103!C72,input_497103!A:H,8,FALSE))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input_497103!A$2</f>
        <v>497103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IFERROR(VLOOKUP(B73,input_497103!L:R,7,FALSE),VLOOKUP(tables_497103!C73,input_497103!A:H,8,FALSE))</f>
        <v>373280.76922999998</v>
      </c>
      <c r="P73" s="46">
        <f t="shared" ca="1" si="4"/>
        <v>6.0167757773686844E-3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input_497103!A$2</f>
        <v>497103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IFERROR(VLOOKUP(B74,input_497103!L:R,7,FALSE),VLOOKUP(tables_497103!C74,input_497103!A:H,8,FALSE))</f>
        <v>21130.384620000001</v>
      </c>
      <c r="P74" s="46">
        <f t="shared" ca="1" si="4"/>
        <v>3.4059291779310347E-4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input_497103!A$2</f>
        <v>497103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IFERROR(VLOOKUP(B75,input_497103!L:R,7,FALSE),VLOOKUP(tables_497103!C75,input_497103!A:H,8,FALSE))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input_497103!A$2</f>
        <v>497103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IFERROR(VLOOKUP(B76,input_497103!L:R,7,FALSE),VLOOKUP(tables_497103!C76,input_497103!A:H,8,FALSE))</f>
        <v>373280.76922999998</v>
      </c>
      <c r="P76" s="46">
        <f t="shared" ca="1" si="4"/>
        <v>6.0167757773686844E-3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input_497103!A$2</f>
        <v>497103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IFERROR(VLOOKUP(B77,input_497103!L:R,7,FALSE),VLOOKUP(tables_497103!C77,input_497103!A:H,8,FALSE))</f>
        <v>21130.384620000001</v>
      </c>
      <c r="P77" s="46">
        <f t="shared" ca="1" si="4"/>
        <v>3.4059291779310347E-4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input_497103!A$2</f>
        <v>497103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IFERROR(VLOOKUP(B78,input_497103!L:R,7,FALSE),VLOOKUP(tables_497103!C78,input_497103!A:H,8,FALSE))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input_497103!A$2</f>
        <v>497103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IFERROR(VLOOKUP(B79,input_497103!L:R,7,FALSE),VLOOKUP(tables_497103!C79,input_497103!A:H,8,FALSE))</f>
        <v>373280.76922999998</v>
      </c>
      <c r="P79" s="46">
        <f t="shared" ca="1" si="4"/>
        <v>6.0167757773686844E-3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input_497103!A$2</f>
        <v>497103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IFERROR(VLOOKUP(B80,input_497103!L:R,7,FALSE),VLOOKUP(tables_497103!C80,input_497103!A:H,8,FALSE))</f>
        <v>21130.384620000001</v>
      </c>
      <c r="P80" s="46">
        <f t="shared" ca="1" si="4"/>
        <v>3.4059291779310347E-4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input_497103!A$2</f>
        <v>497103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IFERROR(VLOOKUP(B81,input_497103!L:R,7,FALSE),VLOOKUP(tables_497103!C81,input_497103!A:H,8,FALSE))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input_497103!A$2</f>
        <v>497103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IFERROR(VLOOKUP(B82,input_497103!L:R,7,FALSE),VLOOKUP(tables_497103!C82,input_497103!A:H,8,FALSE))</f>
        <v>373280.76922999998</v>
      </c>
      <c r="P82" s="46">
        <f t="shared" ca="1" si="4"/>
        <v>6.0167757773686844E-3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input_497103!A$2</f>
        <v>497103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IFERROR(VLOOKUP(B83,input_497103!L:R,7,FALSE),VLOOKUP(tables_497103!C83,input_497103!A:H,8,FALSE))</f>
        <v>21130.384620000001</v>
      </c>
      <c r="P83" s="46">
        <f t="shared" ca="1" si="4"/>
        <v>3.4059291779310347E-4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input_497103!A$2</f>
        <v>497103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IFERROR(VLOOKUP(B84,input_497103!L:R,7,FALSE),VLOOKUP(tables_497103!C84,input_497103!A:H,8,FALSE))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input_497103!A$2</f>
        <v>497103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IFERROR(VLOOKUP(B85,input_497103!L:R,7,FALSE),VLOOKUP(tables_497103!C85,input_497103!A:H,8,FALSE))</f>
        <v>373280.76922999998</v>
      </c>
      <c r="P85" s="46">
        <f t="shared" ca="1" si="4"/>
        <v>6.0167757773686844E-3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input_497103!A$2</f>
        <v>497103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IFERROR(VLOOKUP(B86,input_497103!L:R,7,FALSE),VLOOKUP(tables_497103!C86,input_497103!A:H,8,FALSE))</f>
        <v>21130.384620000001</v>
      </c>
      <c r="P86" s="46">
        <f t="shared" ca="1" si="4"/>
        <v>3.4059291779310347E-4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input_497103!A$2</f>
        <v>497103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IFERROR(VLOOKUP(B87,input_497103!L:R,7,FALSE),VLOOKUP(tables_497103!C87,input_497103!A:H,8,FALSE))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input_497103!A$2</f>
        <v>497103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IFERROR(VLOOKUP(B88,input_497103!L:R,7,FALSE),VLOOKUP(tables_497103!C88,input_497103!A:H,8,FALSE))</f>
        <v>373280.76922999998</v>
      </c>
      <c r="P88" s="46">
        <f t="shared" ca="1" si="4"/>
        <v>6.0167757773686844E-3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input_497103!A$2</f>
        <v>497103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IFERROR(VLOOKUP(B89,input_497103!L:R,7,FALSE),VLOOKUP(tables_497103!C89,input_497103!A:H,8,FALSE))</f>
        <v>21130.384620000001</v>
      </c>
      <c r="P89" s="46">
        <f t="shared" ca="1" si="4"/>
        <v>3.4059291779310347E-4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input_497103!A$2</f>
        <v>497103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IFERROR(VLOOKUP(B90,input_497103!L:R,7,FALSE),VLOOKUP(tables_497103!C90,input_497103!A:H,8,FALSE))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input_497103!A$2</f>
        <v>497103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IFERROR(VLOOKUP(B91,input_497103!L:R,7,FALSE),VLOOKUP(tables_497103!C91,input_497103!A:H,8,FALSE))</f>
        <v>373280.76922999998</v>
      </c>
      <c r="P91" s="46">
        <f t="shared" ca="1" si="4"/>
        <v>6.0167757773686844E-3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input_497103!A$2</f>
        <v>497103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IFERROR(VLOOKUP(B92,input_497103!L:R,7,FALSE),VLOOKUP(tables_497103!C92,input_497103!A:H,8,FALSE))</f>
        <v>21130.384620000001</v>
      </c>
      <c r="P92" s="46">
        <f t="shared" ca="1" si="4"/>
        <v>3.4059291779310347E-4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input_497103!A$2</f>
        <v>497103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IFERROR(VLOOKUP(B93,input_497103!L:R,7,FALSE),VLOOKUP(tables_497103!C93,input_497103!A:H,8,FALSE))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input_497103!A$2</f>
        <v>497103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IFERROR(VLOOKUP(B94,input_497103!L:R,7,FALSE),VLOOKUP(tables_497103!C94,input_497103!A:H,8,FALSE))</f>
        <v>373280.76922999998</v>
      </c>
      <c r="P94" s="46">
        <f t="shared" ca="1" si="4"/>
        <v>6.0167757773686844E-3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input_497103!A$2</f>
        <v>497103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IFERROR(VLOOKUP(B95,input_497103!L:R,7,FALSE),VLOOKUP(tables_497103!C95,input_497103!A:H,8,FALSE))</f>
        <v>21130.384620000001</v>
      </c>
      <c r="P95" s="46">
        <f t="shared" ca="1" si="4"/>
        <v>3.4059291779310347E-4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input_497103!A$2</f>
        <v>497103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IFERROR(VLOOKUP(B96,input_497103!L:R,7,FALSE),VLOOKUP(tables_497103!C96,input_497103!A:H,8,FALSE))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input_497103!A$2</f>
        <v>497103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IFERROR(VLOOKUP(B97,input_497103!L:R,7,FALSE),VLOOKUP(tables_497103!C97,input_497103!A:H,8,FALSE))</f>
        <v>373280.76922999998</v>
      </c>
      <c r="P97" s="46">
        <f t="shared" ca="1" si="4"/>
        <v>6.0167757773686844E-3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input_497103!A$2</f>
        <v>497103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IFERROR(VLOOKUP(B98,input_497103!L:R,7,FALSE),VLOOKUP(tables_497103!C98,input_497103!A:H,8,FALSE))</f>
        <v>21130.384620000001</v>
      </c>
      <c r="P98" s="46">
        <f t="shared" ca="1" si="4"/>
        <v>3.4059291779310347E-4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input_497103!A$2</f>
        <v>497103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IFERROR(VLOOKUP(B99,input_497103!L:R,7,FALSE),VLOOKUP(tables_497103!C99,input_497103!A:H,8,FALSE))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input_497103!A$2</f>
        <v>497103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IFERROR(VLOOKUP(B100,input_497103!L:R,7,FALSE),VLOOKUP(tables_497103!C100,input_497103!A:H,8,FALSE))</f>
        <v>373280.76922999998</v>
      </c>
      <c r="P100" s="46">
        <f t="shared" ca="1" si="4"/>
        <v>6.0167757773686844E-3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input_497103!A$2</f>
        <v>497103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IFERROR(VLOOKUP(B101,input_497103!L:R,7,FALSE),VLOOKUP(tables_497103!C101,input_497103!A:H,8,FALSE))</f>
        <v>21130.384620000001</v>
      </c>
      <c r="P101" s="46">
        <f t="shared" ca="1" si="4"/>
        <v>3.4059291779310347E-4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input_497103!A$2</f>
        <v>497103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IFERROR(VLOOKUP(B102,input_497103!L:R,7,FALSE),VLOOKUP(tables_497103!C102,input_497103!A:H,8,FALSE))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input_497103!A$2</f>
        <v>497103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IFERROR(VLOOKUP(B103,input_497103!L:R,7,FALSE),VLOOKUP(tables_497103!C103,input_497103!A:H,8,FALSE))</f>
        <v>373280.76922999998</v>
      </c>
      <c r="P103" s="46">
        <f t="shared" ca="1" si="4"/>
        <v>6.0167757773686844E-3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input_497103!A$2</f>
        <v>497103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IFERROR(VLOOKUP(B104,input_497103!L:R,7,FALSE),VLOOKUP(tables_497103!C104,input_497103!A:H,8,FALSE))</f>
        <v>21130.384620000001</v>
      </c>
      <c r="P104" s="46">
        <f t="shared" ca="1" si="4"/>
        <v>3.4059291779310347E-4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input_497103!A$2</f>
        <v>497103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IFERROR(VLOOKUP(B105,input_497103!L:R,7,FALSE),VLOOKUP(tables_497103!C105,input_497103!A:H,8,FALSE))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input_497103!A$2</f>
        <v>497103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IFERROR(VLOOKUP(B106,input_497103!L:R,7,FALSE),VLOOKUP(tables_497103!C106,input_497103!A:H,8,FALSE))</f>
        <v>373280.76922999998</v>
      </c>
      <c r="P106" s="46">
        <f t="shared" ca="1" si="4"/>
        <v>6.0167757773686844E-3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input_497103!A$2</f>
        <v>497103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IFERROR(VLOOKUP(B107,input_497103!L:R,7,FALSE),VLOOKUP(tables_497103!C107,input_497103!A:H,8,FALSE))</f>
        <v>21130.384620000001</v>
      </c>
      <c r="P107" s="46">
        <f t="shared" ca="1" si="4"/>
        <v>3.4059291779310347E-4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input_497103!A$2</f>
        <v>497103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IFERROR(VLOOKUP(B108,input_497103!L:R,7,FALSE),VLOOKUP(tables_497103!C108,input_497103!A:H,8,FALSE))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input_497103!A$2</f>
        <v>497103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IFERROR(VLOOKUP(B109,input_497103!L:R,7,FALSE),VLOOKUP(tables_497103!C109,input_497103!A:H,8,FALSE))</f>
        <v>373280.76922999998</v>
      </c>
      <c r="P109" s="46">
        <f t="shared" ca="1" si="4"/>
        <v>6.0167757773686844E-3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input_497103!A$2</f>
        <v>497103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IFERROR(VLOOKUP(B110,input_497103!L:R,7,FALSE),VLOOKUP(tables_497103!C110,input_497103!A:H,8,FALSE))</f>
        <v>21130.384620000001</v>
      </c>
      <c r="P110" s="46">
        <f t="shared" ca="1" si="4"/>
        <v>3.4059291779310347E-4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input_497103!A$2</f>
        <v>497103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IFERROR(VLOOKUP(B111,input_497103!L:R,7,FALSE),VLOOKUP(tables_497103!C111,input_497103!A:H,8,FALSE))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input_497103!A$2</f>
        <v>497103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IFERROR(VLOOKUP(B112,input_497103!L:R,7,FALSE),VLOOKUP(tables_497103!C112,input_497103!A:H,8,FALSE))</f>
        <v>438900</v>
      </c>
      <c r="P112" s="46">
        <f t="shared" ca="1" si="4"/>
        <v>7.0744680850675923E-3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input_497103!A$2</f>
        <v>497103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IFERROR(VLOOKUP(B113,input_497103!L:R,7,FALSE),VLOOKUP(tables_497103!C113,input_497103!A:H,8,FALSE))</f>
        <v>23100</v>
      </c>
      <c r="P113" s="46">
        <f t="shared" ca="1" si="4"/>
        <v>3.7234042552987325E-4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input_497103!A$2</f>
        <v>497103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IFERROR(VLOOKUP(B114,input_497103!L:R,7,FALSE),VLOOKUP(tables_497103!C114,input_497103!A:H,8,FALSE))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input_497103!A$2</f>
        <v>497103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IFERROR(VLOOKUP(B115,input_497103!L:R,7,FALSE),VLOOKUP(tables_497103!C115,input_497103!A:H,8,FALSE))</f>
        <v>373280.76922999998</v>
      </c>
      <c r="P115" s="46">
        <f t="shared" ca="1" si="4"/>
        <v>6.0167757773686844E-3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input_497103!A$2</f>
        <v>497103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IFERROR(VLOOKUP(B116,input_497103!L:R,7,FALSE),VLOOKUP(tables_497103!C116,input_497103!A:H,8,FALSE))</f>
        <v>21130.384620000001</v>
      </c>
      <c r="P116" s="46">
        <f t="shared" ca="1" si="4"/>
        <v>3.4059291779310347E-4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input_497103!A$2</f>
        <v>497103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IFERROR(VLOOKUP(B117,input_497103!L:R,7,FALSE),VLOOKUP(tables_497103!C117,input_497103!A:H,8,FALSE))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input_497103!A$2</f>
        <v>497103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IFERROR(VLOOKUP(B118,input_497103!L:R,7,FALSE),VLOOKUP(tables_497103!C118,input_497103!A:H,8,FALSE))</f>
        <v>373280.76922999998</v>
      </c>
      <c r="P118" s="46">
        <f t="shared" ca="1" si="4"/>
        <v>6.0167757773686844E-3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input_497103!A$2</f>
        <v>497103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IFERROR(VLOOKUP(B119,input_497103!L:R,7,FALSE),VLOOKUP(tables_497103!C119,input_497103!A:H,8,FALSE))</f>
        <v>21130.384620000001</v>
      </c>
      <c r="P119" s="46">
        <f t="shared" ca="1" si="4"/>
        <v>3.4059291779310347E-4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input_497103!A$2</f>
        <v>497103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IFERROR(VLOOKUP(B120,input_497103!L:R,7,FALSE),VLOOKUP(tables_497103!C120,input_497103!A:H,8,FALSE))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input_497103!A$2</f>
        <v>497103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IFERROR(VLOOKUP(B121,input_497103!L:R,7,FALSE),VLOOKUP(tables_497103!C121,input_497103!A:H,8,FALSE))</f>
        <v>373280.76922999998</v>
      </c>
      <c r="P121" s="46">
        <f t="shared" ca="1" si="4"/>
        <v>6.0167757773686844E-3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input_497103!A$2</f>
        <v>497103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IFERROR(VLOOKUP(B122,input_497103!L:R,7,FALSE),VLOOKUP(tables_497103!C122,input_497103!A:H,8,FALSE))</f>
        <v>21130.384620000001</v>
      </c>
      <c r="P122" s="46">
        <f t="shared" ca="1" si="4"/>
        <v>3.4059291779310347E-4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input_497103!A$2</f>
        <v>497103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IFERROR(VLOOKUP(B123,input_497103!L:R,7,FALSE),VLOOKUP(tables_497103!C123,input_497103!A:H,8,FALSE))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input_497103!A$2</f>
        <v>497103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IFERROR(VLOOKUP(B124,input_497103!L:R,7,FALSE),VLOOKUP(tables_497103!C124,input_497103!A:H,8,FALSE))</f>
        <v>373280.76922999998</v>
      </c>
      <c r="P124" s="46">
        <f t="shared" ca="1" si="4"/>
        <v>6.0167757773686844E-3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input_497103!A$2</f>
        <v>497103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IFERROR(VLOOKUP(B125,input_497103!L:R,7,FALSE),VLOOKUP(tables_497103!C125,input_497103!A:H,8,FALSE))</f>
        <v>21130.384620000001</v>
      </c>
      <c r="P125" s="46">
        <f t="shared" ca="1" si="4"/>
        <v>3.4059291779310347E-4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input_497103!A$2</f>
        <v>497103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IFERROR(VLOOKUP(B126,input_497103!L:R,7,FALSE),VLOOKUP(tables_497103!C126,input_497103!A:H,8,FALSE))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input_497103!A$2</f>
        <v>497103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IFERROR(VLOOKUP(B127,input_497103!L:R,7,FALSE),VLOOKUP(tables_497103!C127,input_497103!A:H,8,FALSE))</f>
        <v>373280.76922999998</v>
      </c>
      <c r="P127" s="46">
        <f t="shared" ca="1" si="4"/>
        <v>6.0167757773686844E-3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input_497103!A$2</f>
        <v>497103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IFERROR(VLOOKUP(B128,input_497103!L:R,7,FALSE),VLOOKUP(tables_497103!C128,input_497103!A:H,8,FALSE))</f>
        <v>21130.384620000001</v>
      </c>
      <c r="P128" s="46">
        <f t="shared" ca="1" si="4"/>
        <v>3.4059291779310347E-4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input_497103!A$2</f>
        <v>497103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IFERROR(VLOOKUP(B129,input_497103!L:R,7,FALSE),VLOOKUP(tables_497103!C129,input_497103!A:H,8,FALSE))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input_497103!A$2</f>
        <v>497103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IFERROR(VLOOKUP(B130,input_497103!L:R,7,FALSE),VLOOKUP(tables_497103!C130,input_497103!A:H,8,FALSE))</f>
        <v>373280.76922999998</v>
      </c>
      <c r="P130" s="46">
        <f t="shared" ref="P130:P193" ca="1" si="7">O130/SUM(O:O)</f>
        <v>6.0167757773686844E-3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input_497103!A$2</f>
        <v>497103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IFERROR(VLOOKUP(B131,input_497103!L:R,7,FALSE),VLOOKUP(tables_497103!C131,input_497103!A:H,8,FALSE))</f>
        <v>21130.384620000001</v>
      </c>
      <c r="P131" s="46">
        <f t="shared" ca="1" si="7"/>
        <v>3.4059291779310347E-4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input_497103!A$2</f>
        <v>497103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IFERROR(VLOOKUP(B132,input_497103!L:R,7,FALSE),VLOOKUP(tables_497103!C132,input_497103!A:H,8,FALSE))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input_497103!A$2</f>
        <v>497103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IFERROR(VLOOKUP(B133,input_497103!L:R,7,FALSE),VLOOKUP(tables_497103!C133,input_497103!A:H,8,FALSE))</f>
        <v>373280.76922999998</v>
      </c>
      <c r="P133" s="46">
        <f t="shared" ca="1" si="7"/>
        <v>6.0167757773686844E-3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input_497103!A$2</f>
        <v>497103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IFERROR(VLOOKUP(B134,input_497103!L:R,7,FALSE),VLOOKUP(tables_497103!C134,input_497103!A:H,8,FALSE))</f>
        <v>21130.384620000001</v>
      </c>
      <c r="P134" s="46">
        <f t="shared" ca="1" si="7"/>
        <v>3.4059291779310347E-4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input_497103!A$2</f>
        <v>497103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IFERROR(VLOOKUP(B135,input_497103!L:R,7,FALSE),VLOOKUP(tables_497103!C135,input_497103!A:H,8,FALSE))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input_497103!A$2</f>
        <v>497103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IFERROR(VLOOKUP(B136,input_497103!L:R,7,FALSE),VLOOKUP(tables_497103!C136,input_497103!A:H,8,FALSE))</f>
        <v>373280.76922999998</v>
      </c>
      <c r="P136" s="46">
        <f t="shared" ca="1" si="7"/>
        <v>6.0167757773686844E-3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input_497103!A$2</f>
        <v>497103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IFERROR(VLOOKUP(B137,input_497103!L:R,7,FALSE),VLOOKUP(tables_497103!C137,input_497103!A:H,8,FALSE))</f>
        <v>21130.384620000001</v>
      </c>
      <c r="P137" s="46">
        <f t="shared" ca="1" si="7"/>
        <v>3.4059291779310347E-4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input_497103!A$2</f>
        <v>497103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IFERROR(VLOOKUP(B138,input_497103!L:R,7,FALSE),VLOOKUP(tables_497103!C138,input_497103!A:H,8,FALSE))</f>
        <v>73420.71428</v>
      </c>
      <c r="P138" s="46">
        <f t="shared" ca="1" si="7"/>
        <v>1.1834415583429629E-3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input_497103!A$2</f>
        <v>497103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IFERROR(VLOOKUP(B139,input_497103!L:R,7,FALSE),VLOOKUP(tables_497103!C139,input_497103!A:H,8,FALSE))</f>
        <v>2115</v>
      </c>
      <c r="P139" s="46">
        <f t="shared" ca="1" si="7"/>
        <v>3.4090909090722162E-5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input_497103!A$2</f>
        <v>497103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IFERROR(VLOOKUP(B140,input_497103!L:R,7,FALSE),VLOOKUP(tables_497103!C140,input_497103!A:H,8,FALSE))</f>
        <v>73420.71428</v>
      </c>
      <c r="P140" s="46">
        <f t="shared" ca="1" si="7"/>
        <v>1.1834415583429629E-3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input_497103!A$2</f>
        <v>497103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IFERROR(VLOOKUP(B141,input_497103!L:R,7,FALSE),VLOOKUP(tables_497103!C141,input_497103!A:H,8,FALSE))</f>
        <v>2115</v>
      </c>
      <c r="P141" s="46">
        <f t="shared" ca="1" si="7"/>
        <v>3.4090909090722162E-5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input_497103!A$2</f>
        <v>497103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IFERROR(VLOOKUP(B142,input_497103!L:R,7,FALSE),VLOOKUP(tables_497103!C142,input_497103!A:H,8,FALSE))</f>
        <v>73420.71428</v>
      </c>
      <c r="P142" s="46">
        <f t="shared" ca="1" si="7"/>
        <v>1.1834415583429629E-3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input_497103!A$2</f>
        <v>497103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IFERROR(VLOOKUP(B143,input_497103!L:R,7,FALSE),VLOOKUP(tables_497103!C143,input_497103!A:H,8,FALSE))</f>
        <v>2115</v>
      </c>
      <c r="P143" s="46">
        <f t="shared" ca="1" si="7"/>
        <v>3.4090909090722162E-5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input_497103!A$2</f>
        <v>497103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IFERROR(VLOOKUP(B144,input_497103!L:R,7,FALSE),VLOOKUP(tables_497103!C144,input_497103!A:H,8,FALSE))</f>
        <v>73420.71428</v>
      </c>
      <c r="P144" s="46">
        <f t="shared" ca="1" si="7"/>
        <v>1.1834415583429629E-3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input_497103!A$2</f>
        <v>497103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IFERROR(VLOOKUP(B145,input_497103!L:R,7,FALSE),VLOOKUP(tables_497103!C145,input_497103!A:H,8,FALSE))</f>
        <v>2115</v>
      </c>
      <c r="P145" s="46">
        <f t="shared" ca="1" si="7"/>
        <v>3.4090909090722162E-5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input_497103!A$2</f>
        <v>497103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IFERROR(VLOOKUP(B146,input_497103!L:R,7,FALSE),VLOOKUP(tables_497103!C146,input_497103!A:H,8,FALSE))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input_497103!A$2</f>
        <v>497103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IFERROR(VLOOKUP(B147,input_497103!L:R,7,FALSE),VLOOKUP(tables_497103!C147,input_497103!A:H,8,FALSE))</f>
        <v>373280.76922999998</v>
      </c>
      <c r="P147" s="46">
        <f t="shared" ca="1" si="7"/>
        <v>6.0167757773686844E-3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input_497103!A$2</f>
        <v>497103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IFERROR(VLOOKUP(B148,input_497103!L:R,7,FALSE),VLOOKUP(tables_497103!C148,input_497103!A:H,8,FALSE))</f>
        <v>21130.384620000001</v>
      </c>
      <c r="P148" s="46">
        <f t="shared" ca="1" si="7"/>
        <v>3.4059291779310347E-4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input_497103!A$2</f>
        <v>497103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IFERROR(VLOOKUP(B149,input_497103!L:R,7,FALSE),VLOOKUP(tables_497103!C149,input_497103!A:H,8,FALSE))</f>
        <v>73420.71428</v>
      </c>
      <c r="P149" s="46">
        <f t="shared" ca="1" si="7"/>
        <v>1.1834415583429629E-3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input_497103!A$2</f>
        <v>497103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IFERROR(VLOOKUP(B150,input_497103!L:R,7,FALSE),VLOOKUP(tables_497103!C150,input_497103!A:H,8,FALSE))</f>
        <v>2115</v>
      </c>
      <c r="P150" s="46">
        <f t="shared" ca="1" si="7"/>
        <v>3.4090909090722162E-5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input_497103!A$2</f>
        <v>497103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IFERROR(VLOOKUP(B151,input_497103!L:R,7,FALSE),VLOOKUP(tables_497103!C151,input_497103!A:H,8,FALSE))</f>
        <v>73420.71428</v>
      </c>
      <c r="P151" s="46">
        <f t="shared" ca="1" si="7"/>
        <v>1.1834415583429629E-3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input_497103!A$2</f>
        <v>497103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IFERROR(VLOOKUP(B152,input_497103!L:R,7,FALSE),VLOOKUP(tables_497103!C152,input_497103!A:H,8,FALSE))</f>
        <v>2115</v>
      </c>
      <c r="P152" s="46">
        <f t="shared" ca="1" si="7"/>
        <v>3.4090909090722162E-5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input_497103!A$2</f>
        <v>497103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IFERROR(VLOOKUP(B153,input_497103!L:R,7,FALSE),VLOOKUP(tables_497103!C153,input_497103!A:H,8,FALSE))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input_497103!A$2</f>
        <v>497103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IFERROR(VLOOKUP(B154,input_497103!L:R,7,FALSE),VLOOKUP(tables_497103!C154,input_497103!A:H,8,FALSE))</f>
        <v>373280.76922999998</v>
      </c>
      <c r="P154" s="46">
        <f t="shared" ca="1" si="7"/>
        <v>6.0167757773686844E-3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input_497103!A$2</f>
        <v>497103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IFERROR(VLOOKUP(B155,input_497103!L:R,7,FALSE),VLOOKUP(tables_497103!C155,input_497103!A:H,8,FALSE))</f>
        <v>21130.384620000001</v>
      </c>
      <c r="P155" s="46">
        <f t="shared" ca="1" si="7"/>
        <v>3.4059291779310347E-4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input_497103!A$2</f>
        <v>497103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IFERROR(VLOOKUP(B156,input_497103!L:R,7,FALSE),VLOOKUP(tables_497103!C156,input_497103!A:H,8,FALSE))</f>
        <v>73420.71428</v>
      </c>
      <c r="P156" s="46">
        <f t="shared" ca="1" si="7"/>
        <v>1.1834415583429629E-3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input_497103!A$2</f>
        <v>497103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IFERROR(VLOOKUP(B157,input_497103!L:R,7,FALSE),VLOOKUP(tables_497103!C157,input_497103!A:H,8,FALSE))</f>
        <v>2115</v>
      </c>
      <c r="P157" s="46">
        <f t="shared" ca="1" si="7"/>
        <v>3.4090909090722162E-5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input_497103!A$2</f>
        <v>497103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IFERROR(VLOOKUP(B158,input_497103!L:R,7,FALSE),VLOOKUP(tables_497103!C158,input_497103!A:H,8,FALSE))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input_497103!A$2</f>
        <v>497103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IFERROR(VLOOKUP(B159,input_497103!L:R,7,FALSE),VLOOKUP(tables_497103!C159,input_497103!A:H,8,FALSE))</f>
        <v>373280.76922999998</v>
      </c>
      <c r="P159" s="46">
        <f t="shared" ca="1" si="7"/>
        <v>6.0167757773686844E-3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input_497103!A$2</f>
        <v>497103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IFERROR(VLOOKUP(B160,input_497103!L:R,7,FALSE),VLOOKUP(tables_497103!C160,input_497103!A:H,8,FALSE))</f>
        <v>21130.384620000001</v>
      </c>
      <c r="P160" s="46">
        <f t="shared" ca="1" si="7"/>
        <v>3.4059291779310347E-4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input_497103!A$2</f>
        <v>497103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IFERROR(VLOOKUP(B161,input_497103!L:R,7,FALSE),VLOOKUP(tables_497103!C161,input_497103!A:H,8,FALSE))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input_497103!A$2</f>
        <v>497103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IFERROR(VLOOKUP(B162,input_497103!L:R,7,FALSE),VLOOKUP(tables_497103!C162,input_497103!A:H,8,FALSE))</f>
        <v>373280.76922999998</v>
      </c>
      <c r="P162" s="46">
        <f t="shared" ca="1" si="7"/>
        <v>6.0167757773686844E-3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input_497103!A$2</f>
        <v>497103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IFERROR(VLOOKUP(B163,input_497103!L:R,7,FALSE),VLOOKUP(tables_497103!C163,input_497103!A:H,8,FALSE))</f>
        <v>21130.384620000001</v>
      </c>
      <c r="P163" s="46">
        <f t="shared" ca="1" si="7"/>
        <v>3.4059291779310347E-4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input_497103!A$2</f>
        <v>497103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IFERROR(VLOOKUP(B164,input_497103!L:R,7,FALSE),VLOOKUP(tables_497103!C164,input_497103!A:H,8,FALSE))</f>
        <v>73420.71428</v>
      </c>
      <c r="P164" s="46">
        <f t="shared" ca="1" si="7"/>
        <v>1.1834415583429629E-3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input_497103!A$2</f>
        <v>497103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IFERROR(VLOOKUP(B165,input_497103!L:R,7,FALSE),VLOOKUP(tables_497103!C165,input_497103!A:H,8,FALSE))</f>
        <v>2115</v>
      </c>
      <c r="P165" s="46">
        <f t="shared" ca="1" si="7"/>
        <v>3.4090909090722162E-5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input_497103!A$2</f>
        <v>497103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IFERROR(VLOOKUP(B166,input_497103!L:R,7,FALSE),VLOOKUP(tables_497103!C166,input_497103!A:H,8,FALSE))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input_497103!A$2</f>
        <v>497103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IFERROR(VLOOKUP(B167,input_497103!L:R,7,FALSE),VLOOKUP(tables_497103!C167,input_497103!A:H,8,FALSE))</f>
        <v>373280.76922999998</v>
      </c>
      <c r="P167" s="46">
        <f t="shared" ca="1" si="7"/>
        <v>6.0167757773686844E-3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input_497103!A$2</f>
        <v>497103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IFERROR(VLOOKUP(B168,input_497103!L:R,7,FALSE),VLOOKUP(tables_497103!C168,input_497103!A:H,8,FALSE))</f>
        <v>21130.384620000001</v>
      </c>
      <c r="P168" s="46">
        <f t="shared" ca="1" si="7"/>
        <v>3.4059291779310347E-4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input_497103!A$2</f>
        <v>497103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IFERROR(VLOOKUP(B169,input_497103!L:R,7,FALSE),VLOOKUP(tables_497103!C169,input_497103!A:H,8,FALSE))</f>
        <v>73420.71428</v>
      </c>
      <c r="P169" s="46">
        <f t="shared" ca="1" si="7"/>
        <v>1.1834415583429629E-3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input_497103!A$2</f>
        <v>497103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IFERROR(VLOOKUP(B170,input_497103!L:R,7,FALSE),VLOOKUP(tables_497103!C170,input_497103!A:H,8,FALSE))</f>
        <v>2115</v>
      </c>
      <c r="P170" s="46">
        <f t="shared" ca="1" si="7"/>
        <v>3.4090909090722162E-5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input_497103!A$2</f>
        <v>497103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IFERROR(VLOOKUP(B171,input_497103!L:R,7,FALSE),VLOOKUP(tables_497103!C171,input_497103!A:H,8,FALSE))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input_497103!A$2</f>
        <v>497103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IFERROR(VLOOKUP(B172,input_497103!L:R,7,FALSE),VLOOKUP(tables_497103!C172,input_497103!A:H,8,FALSE))</f>
        <v>373280.76922999998</v>
      </c>
      <c r="P172" s="46">
        <f t="shared" ca="1" si="7"/>
        <v>6.0167757773686844E-3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input_497103!A$2</f>
        <v>497103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IFERROR(VLOOKUP(B173,input_497103!L:R,7,FALSE),VLOOKUP(tables_497103!C173,input_497103!A:H,8,FALSE))</f>
        <v>21130.384620000001</v>
      </c>
      <c r="P173" s="46">
        <f t="shared" ca="1" si="7"/>
        <v>3.4059291779310347E-4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input_497103!A$2</f>
        <v>497103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IFERROR(VLOOKUP(B174,input_497103!L:R,7,FALSE),VLOOKUP(tables_497103!C174,input_497103!A:H,8,FALSE))</f>
        <v>73420.71428</v>
      </c>
      <c r="P174" s="46">
        <f t="shared" ca="1" si="7"/>
        <v>1.1834415583429629E-3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input_497103!A$2</f>
        <v>497103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IFERROR(VLOOKUP(B175,input_497103!L:R,7,FALSE),VLOOKUP(tables_497103!C175,input_497103!A:H,8,FALSE))</f>
        <v>2115</v>
      </c>
      <c r="P175" s="46">
        <f t="shared" ca="1" si="7"/>
        <v>3.4090909090722162E-5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input_497103!A$2</f>
        <v>497103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IFERROR(VLOOKUP(B176,input_497103!L:R,7,FALSE),VLOOKUP(tables_497103!C176,input_497103!A:H,8,FALSE))</f>
        <v>73420.71428</v>
      </c>
      <c r="P176" s="46">
        <f t="shared" ca="1" si="7"/>
        <v>1.1834415583429629E-3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input_497103!A$2</f>
        <v>497103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IFERROR(VLOOKUP(B177,input_497103!L:R,7,FALSE),VLOOKUP(tables_497103!C177,input_497103!A:H,8,FALSE))</f>
        <v>2115</v>
      </c>
      <c r="P177" s="46">
        <f t="shared" ca="1" si="7"/>
        <v>3.4090909090722162E-5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input_497103!A$2</f>
        <v>497103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IFERROR(VLOOKUP(B178,input_497103!L:R,7,FALSE),VLOOKUP(tables_497103!C178,input_497103!A:H,8,FALSE))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input_497103!A$2</f>
        <v>497103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IFERROR(VLOOKUP(B179,input_497103!L:R,7,FALSE),VLOOKUP(tables_497103!C179,input_497103!A:H,8,FALSE))</f>
        <v>373280.76922999998</v>
      </c>
      <c r="P179" s="46">
        <f t="shared" ca="1" si="7"/>
        <v>6.0167757773686844E-3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input_497103!A$2</f>
        <v>497103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IFERROR(VLOOKUP(B180,input_497103!L:R,7,FALSE),VLOOKUP(tables_497103!C180,input_497103!A:H,8,FALSE))</f>
        <v>21130.384620000001</v>
      </c>
      <c r="P180" s="46">
        <f t="shared" ca="1" si="7"/>
        <v>3.4059291779310347E-4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input_497103!A$2</f>
        <v>497103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IFERROR(VLOOKUP(B181,input_497103!L:R,7,FALSE),VLOOKUP(tables_497103!C181,input_497103!A:H,8,FALSE))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input_497103!A$2</f>
        <v>497103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IFERROR(VLOOKUP(B182,input_497103!L:R,7,FALSE),VLOOKUP(tables_497103!C182,input_497103!A:H,8,FALSE))</f>
        <v>373280.76922999998</v>
      </c>
      <c r="P182" s="46">
        <f t="shared" ca="1" si="7"/>
        <v>6.0167757773686844E-3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input_497103!A$2</f>
        <v>497103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IFERROR(VLOOKUP(B183,input_497103!L:R,7,FALSE),VLOOKUP(tables_497103!C183,input_497103!A:H,8,FALSE))</f>
        <v>21130.384620000001</v>
      </c>
      <c r="P183" s="46">
        <f t="shared" ca="1" si="7"/>
        <v>3.4059291779310347E-4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input_497103!A$2</f>
        <v>497103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IFERROR(VLOOKUP(B184,input_497103!L:R,7,FALSE),VLOOKUP(tables_497103!C184,input_497103!A:H,8,FALSE))</f>
        <v>73420.71428</v>
      </c>
      <c r="P184" s="46">
        <f t="shared" ca="1" si="7"/>
        <v>1.1834415583429629E-3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input_497103!A$2</f>
        <v>497103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IFERROR(VLOOKUP(B185,input_497103!L:R,7,FALSE),VLOOKUP(tables_497103!C185,input_497103!A:H,8,FALSE))</f>
        <v>2115</v>
      </c>
      <c r="P185" s="46">
        <f t="shared" ca="1" si="7"/>
        <v>3.4090909090722162E-5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input_497103!A$2</f>
        <v>497103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IFERROR(VLOOKUP(B186,input_497103!L:R,7,FALSE),VLOOKUP(tables_497103!C186,input_497103!A:H,8,FALSE))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input_497103!A$2</f>
        <v>497103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IFERROR(VLOOKUP(B187,input_497103!L:R,7,FALSE),VLOOKUP(tables_497103!C187,input_497103!A:H,8,FALSE))</f>
        <v>373280.76922999998</v>
      </c>
      <c r="P187" s="46">
        <f t="shared" ca="1" si="7"/>
        <v>6.0167757773686844E-3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input_497103!A$2</f>
        <v>497103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IFERROR(VLOOKUP(B188,input_497103!L:R,7,FALSE),VLOOKUP(tables_497103!C188,input_497103!A:H,8,FALSE))</f>
        <v>21130.384620000001</v>
      </c>
      <c r="P188" s="46">
        <f t="shared" ca="1" si="7"/>
        <v>3.4059291779310347E-4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input_497103!A$2</f>
        <v>497103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IFERROR(VLOOKUP(B189,input_497103!L:R,7,FALSE),VLOOKUP(tables_497103!C189,input_497103!A:H,8,FALSE))</f>
        <v>73420.71428</v>
      </c>
      <c r="P189" s="46">
        <f t="shared" ca="1" si="7"/>
        <v>1.1834415583429629E-3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input_497103!A$2</f>
        <v>497103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IFERROR(VLOOKUP(B190,input_497103!L:R,7,FALSE),VLOOKUP(tables_497103!C190,input_497103!A:H,8,FALSE))</f>
        <v>2115</v>
      </c>
      <c r="P190" s="46">
        <f t="shared" ca="1" si="7"/>
        <v>3.4090909090722162E-5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input_497103!A$2</f>
        <v>497103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IFERROR(VLOOKUP(B191,input_497103!L:R,7,FALSE),VLOOKUP(tables_497103!C191,input_497103!A:H,8,FALSE))</f>
        <v>73420.71428</v>
      </c>
      <c r="P191" s="46">
        <f t="shared" ca="1" si="7"/>
        <v>1.1834415583429629E-3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input_497103!A$2</f>
        <v>497103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IFERROR(VLOOKUP(B192,input_497103!L:R,7,FALSE),VLOOKUP(tables_497103!C192,input_497103!A:H,8,FALSE))</f>
        <v>2115</v>
      </c>
      <c r="P192" s="46">
        <f t="shared" ca="1" si="7"/>
        <v>3.4090909090722162E-5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input_497103!A$2</f>
        <v>497103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IFERROR(VLOOKUP(B193,input_497103!L:R,7,FALSE),VLOOKUP(tables_497103!C193,input_497103!A:H,8,FALSE))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input_497103!A$2</f>
        <v>497103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IFERROR(VLOOKUP(B194,input_497103!L:R,7,FALSE),VLOOKUP(tables_497103!C194,input_497103!A:H,8,FALSE))</f>
        <v>373280.76922999998</v>
      </c>
      <c r="P194" s="46">
        <f t="shared" ref="P194:P257" ca="1" si="10">O194/SUM(O:O)</f>
        <v>6.0167757773686844E-3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input_497103!A$2</f>
        <v>497103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IFERROR(VLOOKUP(B195,input_497103!L:R,7,FALSE),VLOOKUP(tables_497103!C195,input_497103!A:H,8,FALSE))</f>
        <v>21130.384620000001</v>
      </c>
      <c r="P195" s="46">
        <f t="shared" ca="1" si="10"/>
        <v>3.4059291779310347E-4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input_497103!A$2</f>
        <v>497103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IFERROR(VLOOKUP(B196,input_497103!L:R,7,FALSE),VLOOKUP(tables_497103!C196,input_497103!A:H,8,FALSE))</f>
        <v>73420.71428</v>
      </c>
      <c r="P196" s="46">
        <f t="shared" ca="1" si="10"/>
        <v>1.1834415583429629E-3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input_497103!A$2</f>
        <v>497103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IFERROR(VLOOKUP(B197,input_497103!L:R,7,FALSE),VLOOKUP(tables_497103!C197,input_497103!A:H,8,FALSE))</f>
        <v>2115</v>
      </c>
      <c r="P197" s="46">
        <f t="shared" ca="1" si="10"/>
        <v>3.4090909090722162E-5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input_497103!A$2</f>
        <v>497103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IFERROR(VLOOKUP(B198,input_497103!L:R,7,FALSE),VLOOKUP(tables_497103!C198,input_497103!A:H,8,FALSE))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input_497103!A$2</f>
        <v>497103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IFERROR(VLOOKUP(B199,input_497103!L:R,7,FALSE),VLOOKUP(tables_497103!C199,input_497103!A:H,8,FALSE))</f>
        <v>373280.76922999998</v>
      </c>
      <c r="P199" s="46">
        <f t="shared" ca="1" si="10"/>
        <v>6.0167757773686844E-3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input_497103!A$2</f>
        <v>497103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IFERROR(VLOOKUP(B200,input_497103!L:R,7,FALSE),VLOOKUP(tables_497103!C200,input_497103!A:H,8,FALSE))</f>
        <v>21130.384620000001</v>
      </c>
      <c r="P200" s="46">
        <f t="shared" ca="1" si="10"/>
        <v>3.4059291779310347E-4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input_497103!A$2</f>
        <v>497103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IFERROR(VLOOKUP(B201,input_497103!L:R,7,FALSE),VLOOKUP(tables_497103!C201,input_497103!A:H,8,FALSE))</f>
        <v>73420.71428</v>
      </c>
      <c r="P201" s="46">
        <f t="shared" ca="1" si="10"/>
        <v>1.1834415583429629E-3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input_497103!A$2</f>
        <v>497103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IFERROR(VLOOKUP(B202,input_497103!L:R,7,FALSE),VLOOKUP(tables_497103!C202,input_497103!A:H,8,FALSE))</f>
        <v>2115</v>
      </c>
      <c r="P202" s="46">
        <f t="shared" ca="1" si="10"/>
        <v>3.4090909090722162E-5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input_497103!A$2</f>
        <v>497103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IFERROR(VLOOKUP(B203,input_497103!L:R,7,FALSE),VLOOKUP(tables_497103!C203,input_497103!A:H,8,FALSE))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input_497103!A$2</f>
        <v>497103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IFERROR(VLOOKUP(B204,input_497103!L:R,7,FALSE),VLOOKUP(tables_497103!C204,input_497103!A:H,8,FALSE))</f>
        <v>373280.76922999998</v>
      </c>
      <c r="P204" s="46">
        <f t="shared" ca="1" si="10"/>
        <v>6.0167757773686844E-3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input_497103!A$2</f>
        <v>497103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IFERROR(VLOOKUP(B205,input_497103!L:R,7,FALSE),VLOOKUP(tables_497103!C205,input_497103!A:H,8,FALSE))</f>
        <v>21130.384620000001</v>
      </c>
      <c r="P205" s="46">
        <f t="shared" ca="1" si="10"/>
        <v>3.4059291779310347E-4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input_497103!A$2</f>
        <v>497103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IFERROR(VLOOKUP(B206,input_497103!L:R,7,FALSE),VLOOKUP(tables_497103!C206,input_497103!A:H,8,FALSE))</f>
        <v>73420.71428</v>
      </c>
      <c r="P206" s="46">
        <f t="shared" ca="1" si="10"/>
        <v>1.1834415583429629E-3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input_497103!A$2</f>
        <v>497103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IFERROR(VLOOKUP(B207,input_497103!L:R,7,FALSE),VLOOKUP(tables_497103!C207,input_497103!A:H,8,FALSE))</f>
        <v>2115</v>
      </c>
      <c r="P207" s="46">
        <f t="shared" ca="1" si="10"/>
        <v>3.4090909090722162E-5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input_497103!A$2</f>
        <v>497103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IFERROR(VLOOKUP(B208,input_497103!L:R,7,FALSE),VLOOKUP(tables_497103!C208,input_497103!A:H,8,FALSE))</f>
        <v>73420.71428</v>
      </c>
      <c r="P208" s="46">
        <f t="shared" ca="1" si="10"/>
        <v>1.1834415583429629E-3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input_497103!A$2</f>
        <v>497103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IFERROR(VLOOKUP(B209,input_497103!L:R,7,FALSE),VLOOKUP(tables_497103!C209,input_497103!A:H,8,FALSE))</f>
        <v>2115</v>
      </c>
      <c r="P209" s="46">
        <f t="shared" ca="1" si="10"/>
        <v>3.4090909090722162E-5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input_497103!A$2</f>
        <v>497103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IFERROR(VLOOKUP(B210,input_497103!L:R,7,FALSE),VLOOKUP(tables_497103!C210,input_497103!A:H,8,FALSE))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input_497103!A$2</f>
        <v>497103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IFERROR(VLOOKUP(B211,input_497103!L:R,7,FALSE),VLOOKUP(tables_497103!C211,input_497103!A:H,8,FALSE))</f>
        <v>373280.76922999998</v>
      </c>
      <c r="P211" s="46">
        <f t="shared" ca="1" si="10"/>
        <v>6.0167757773686844E-3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input_497103!A$2</f>
        <v>497103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IFERROR(VLOOKUP(B212,input_497103!L:R,7,FALSE),VLOOKUP(tables_497103!C212,input_497103!A:H,8,FALSE))</f>
        <v>21130.384620000001</v>
      </c>
      <c r="P212" s="46">
        <f t="shared" ca="1" si="10"/>
        <v>3.4059291779310347E-4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input_497103!A$2</f>
        <v>497103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IFERROR(VLOOKUP(B213,input_497103!L:R,7,FALSE),VLOOKUP(tables_497103!C213,input_497103!A:H,8,FALSE))</f>
        <v>73420.71428</v>
      </c>
      <c r="P213" s="46">
        <f t="shared" ca="1" si="10"/>
        <v>1.1834415583429629E-3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input_497103!A$2</f>
        <v>497103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IFERROR(VLOOKUP(B214,input_497103!L:R,7,FALSE),VLOOKUP(tables_497103!C214,input_497103!A:H,8,FALSE))</f>
        <v>2115</v>
      </c>
      <c r="P214" s="46">
        <f t="shared" ca="1" si="10"/>
        <v>3.4090909090722162E-5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input_497103!A$2</f>
        <v>497103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IFERROR(VLOOKUP(B215,input_497103!L:R,7,FALSE),VLOOKUP(tables_497103!C215,input_497103!A:H,8,FALSE))</f>
        <v>10175</v>
      </c>
      <c r="P215" s="46">
        <f t="shared" ca="1" si="10"/>
        <v>1.6400709219768227E-4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input_497103!A$2</f>
        <v>497103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IFERROR(VLOOKUP(B216,input_497103!L:R,7,FALSE),VLOOKUP(tables_497103!C216,input_497103!A:H,8,FALSE))</f>
        <v>10175</v>
      </c>
      <c r="P216" s="46">
        <f t="shared" ca="1" si="10"/>
        <v>1.6400709219768227E-4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input_497103!A$2</f>
        <v>497103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IFERROR(VLOOKUP(B217,input_497103!L:R,7,FALSE),VLOOKUP(tables_497103!C217,input_497103!A:H,8,FALSE))</f>
        <v>10175</v>
      </c>
      <c r="P217" s="46">
        <f t="shared" ca="1" si="10"/>
        <v>1.6400709219768227E-4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input_497103!A$2</f>
        <v>497103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IFERROR(VLOOKUP(B218,input_497103!L:R,7,FALSE),VLOOKUP(tables_497103!C218,input_497103!A:H,8,FALSE))</f>
        <v>10175</v>
      </c>
      <c r="P218" s="46">
        <f t="shared" ca="1" si="10"/>
        <v>1.6400709219768227E-4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input_497103!A$2</f>
        <v>497103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IFERROR(VLOOKUP(B219,input_497103!L:R,7,FALSE),VLOOKUP(tables_497103!C219,input_497103!A:H,8,FALSE))</f>
        <v>10175</v>
      </c>
      <c r="P219" s="46">
        <f t="shared" ca="1" si="10"/>
        <v>1.6400709219768227E-4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input_497103!A$2</f>
        <v>497103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IFERROR(VLOOKUP(B220,input_497103!L:R,7,FALSE),VLOOKUP(tables_497103!C220,input_497103!A:H,8,FALSE))</f>
        <v>10175</v>
      </c>
      <c r="P220" s="46">
        <f t="shared" ca="1" si="10"/>
        <v>1.6400709219768227E-4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input_497103!A$2</f>
        <v>497103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IFERROR(VLOOKUP(B221,input_497103!L:R,7,FALSE),VLOOKUP(tables_497103!C221,input_497103!A:H,8,FALSE))</f>
        <v>73420.71428</v>
      </c>
      <c r="P221" s="46">
        <f t="shared" ca="1" si="10"/>
        <v>1.1834415583429629E-3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input_497103!A$2</f>
        <v>497103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IFERROR(VLOOKUP(B222,input_497103!L:R,7,FALSE),VLOOKUP(tables_497103!C222,input_497103!A:H,8,FALSE))</f>
        <v>2115</v>
      </c>
      <c r="P222" s="46">
        <f t="shared" ca="1" si="10"/>
        <v>3.4090909090722162E-5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input_497103!A$2</f>
        <v>497103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IFERROR(VLOOKUP(B223,input_497103!L:R,7,FALSE),VLOOKUP(tables_497103!C223,input_497103!A:H,8,FALSE))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input_497103!A$2</f>
        <v>497103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IFERROR(VLOOKUP(B224,input_497103!L:R,7,FALSE),VLOOKUP(tables_497103!C224,input_497103!A:H,8,FALSE))</f>
        <v>373280.76922999998</v>
      </c>
      <c r="P224" s="46">
        <f t="shared" ca="1" si="10"/>
        <v>6.0167757773686844E-3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input_497103!A$2</f>
        <v>497103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IFERROR(VLOOKUP(B225,input_497103!L:R,7,FALSE),VLOOKUP(tables_497103!C225,input_497103!A:H,8,FALSE))</f>
        <v>21130.384620000001</v>
      </c>
      <c r="P225" s="46">
        <f t="shared" ca="1" si="10"/>
        <v>3.4059291779310347E-4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input_497103!A$2</f>
        <v>497103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IFERROR(VLOOKUP(B226,input_497103!L:R,7,FALSE),VLOOKUP(tables_497103!C226,input_497103!A:H,8,FALSE))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input_497103!A$2</f>
        <v>497103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IFERROR(VLOOKUP(B227,input_497103!L:R,7,FALSE),VLOOKUP(tables_497103!C227,input_497103!A:H,8,FALSE))</f>
        <v>373280.76922999998</v>
      </c>
      <c r="P227" s="46">
        <f t="shared" ca="1" si="10"/>
        <v>6.0167757773686844E-3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input_497103!A$2</f>
        <v>497103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IFERROR(VLOOKUP(B228,input_497103!L:R,7,FALSE),VLOOKUP(tables_497103!C228,input_497103!A:H,8,FALSE))</f>
        <v>21130.384620000001</v>
      </c>
      <c r="P228" s="46">
        <f t="shared" ca="1" si="10"/>
        <v>3.4059291779310347E-4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input_497103!A$2</f>
        <v>497103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IFERROR(VLOOKUP(B229,input_497103!L:R,7,FALSE),VLOOKUP(tables_497103!C229,input_497103!A:H,8,FALSE))</f>
        <v>73420.71428</v>
      </c>
      <c r="P229" s="46">
        <f t="shared" ca="1" si="10"/>
        <v>1.1834415583429629E-3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input_497103!A$2</f>
        <v>497103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IFERROR(VLOOKUP(B230,input_497103!L:R,7,FALSE),VLOOKUP(tables_497103!C230,input_497103!A:H,8,FALSE))</f>
        <v>2115</v>
      </c>
      <c r="P230" s="46">
        <f t="shared" ca="1" si="10"/>
        <v>3.4090909090722162E-5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input_497103!A$2</f>
        <v>497103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IFERROR(VLOOKUP(B231,input_497103!L:R,7,FALSE),VLOOKUP(tables_497103!C231,input_497103!A:H,8,FALSE))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input_497103!A$2</f>
        <v>497103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IFERROR(VLOOKUP(B232,input_497103!L:R,7,FALSE),VLOOKUP(tables_497103!C232,input_497103!A:H,8,FALSE))</f>
        <v>373280.76922999998</v>
      </c>
      <c r="P232" s="46">
        <f t="shared" ca="1" si="10"/>
        <v>6.0167757773686844E-3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input_497103!A$2</f>
        <v>497103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IFERROR(VLOOKUP(B233,input_497103!L:R,7,FALSE),VLOOKUP(tables_497103!C233,input_497103!A:H,8,FALSE))</f>
        <v>21130.384620000001</v>
      </c>
      <c r="P233" s="46">
        <f t="shared" ca="1" si="10"/>
        <v>3.4059291779310347E-4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input_497103!A$2</f>
        <v>497103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IFERROR(VLOOKUP(B234,input_497103!L:R,7,FALSE),VLOOKUP(tables_497103!C234,input_497103!A:H,8,FALSE))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input_497103!A$2</f>
        <v>497103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IFERROR(VLOOKUP(B235,input_497103!L:R,7,FALSE),VLOOKUP(tables_497103!C235,input_497103!A:H,8,FALSE))</f>
        <v>373280.76922999998</v>
      </c>
      <c r="P235" s="46">
        <f t="shared" ca="1" si="10"/>
        <v>6.0167757773686844E-3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input_497103!A$2</f>
        <v>497103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IFERROR(VLOOKUP(B236,input_497103!L:R,7,FALSE),VLOOKUP(tables_497103!C236,input_497103!A:H,8,FALSE))</f>
        <v>21130.384620000001</v>
      </c>
      <c r="P236" s="46">
        <f t="shared" ca="1" si="10"/>
        <v>3.4059291779310347E-4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input_497103!A$2</f>
        <v>497103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IFERROR(VLOOKUP(B237,input_497103!L:R,7,FALSE),VLOOKUP(tables_497103!C237,input_497103!A:H,8,FALSE))</f>
        <v>73420.71428</v>
      </c>
      <c r="P237" s="46">
        <f t="shared" ca="1" si="10"/>
        <v>1.1834415583429629E-3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input_497103!A$2</f>
        <v>497103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IFERROR(VLOOKUP(B238,input_497103!L:R,7,FALSE),VLOOKUP(tables_497103!C238,input_497103!A:H,8,FALSE))</f>
        <v>2115</v>
      </c>
      <c r="P238" s="46">
        <f t="shared" ca="1" si="10"/>
        <v>3.4090909090722162E-5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input_497103!A$2</f>
        <v>497103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IFERROR(VLOOKUP(B239,input_497103!L:R,7,FALSE),VLOOKUP(tables_497103!C239,input_497103!A:H,8,FALSE))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input_497103!A$2</f>
        <v>497103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IFERROR(VLOOKUP(B240,input_497103!L:R,7,FALSE),VLOOKUP(tables_497103!C240,input_497103!A:H,8,FALSE))</f>
        <v>373280.76922999998</v>
      </c>
      <c r="P240" s="46">
        <f t="shared" ca="1" si="10"/>
        <v>6.0167757773686844E-3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input_497103!A$2</f>
        <v>497103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IFERROR(VLOOKUP(B241,input_497103!L:R,7,FALSE),VLOOKUP(tables_497103!C241,input_497103!A:H,8,FALSE))</f>
        <v>21130.384620000001</v>
      </c>
      <c r="P241" s="46">
        <f t="shared" ca="1" si="10"/>
        <v>3.4059291779310347E-4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input_497103!A$2</f>
        <v>497103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IFERROR(VLOOKUP(B242,input_497103!L:R,7,FALSE),VLOOKUP(tables_497103!C242,input_497103!A:H,8,FALSE))</f>
        <v>73420.71428</v>
      </c>
      <c r="P242" s="46">
        <f t="shared" ca="1" si="10"/>
        <v>1.1834415583429629E-3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input_497103!A$2</f>
        <v>497103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IFERROR(VLOOKUP(B243,input_497103!L:R,7,FALSE),VLOOKUP(tables_497103!C243,input_497103!A:H,8,FALSE))</f>
        <v>2115</v>
      </c>
      <c r="P243" s="46">
        <f t="shared" ca="1" si="10"/>
        <v>3.4090909090722162E-5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input_497103!A$2</f>
        <v>497103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IFERROR(VLOOKUP(B244,input_497103!L:R,7,FALSE),VLOOKUP(tables_497103!C244,input_497103!A:H,8,FALSE))</f>
        <v>73420.71428</v>
      </c>
      <c r="P244" s="46">
        <f t="shared" ca="1" si="10"/>
        <v>1.1834415583429629E-3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input_497103!A$2</f>
        <v>497103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IFERROR(VLOOKUP(B245,input_497103!L:R,7,FALSE),VLOOKUP(tables_497103!C245,input_497103!A:H,8,FALSE))</f>
        <v>2115</v>
      </c>
      <c r="P245" s="46">
        <f t="shared" ca="1" si="10"/>
        <v>3.4090909090722162E-5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input_497103!A$2</f>
        <v>497103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IFERROR(VLOOKUP(B246,input_497103!L:R,7,FALSE),VLOOKUP(tables_497103!C246,input_497103!A:H,8,FALSE))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input_497103!A$2</f>
        <v>497103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IFERROR(VLOOKUP(B247,input_497103!L:R,7,FALSE),VLOOKUP(tables_497103!C247,input_497103!A:H,8,FALSE))</f>
        <v>373280.76922999998</v>
      </c>
      <c r="P247" s="46">
        <f t="shared" ca="1" si="10"/>
        <v>6.0167757773686844E-3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input_497103!A$2</f>
        <v>497103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IFERROR(VLOOKUP(B248,input_497103!L:R,7,FALSE),VLOOKUP(tables_497103!C248,input_497103!A:H,8,FALSE))</f>
        <v>21130.384620000001</v>
      </c>
      <c r="P248" s="46">
        <f t="shared" ca="1" si="10"/>
        <v>3.4059291779310347E-4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input_497103!A$2</f>
        <v>497103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IFERROR(VLOOKUP(B249,input_497103!L:R,7,FALSE),VLOOKUP(tables_497103!C249,input_497103!A:H,8,FALSE))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input_497103!A$2</f>
        <v>497103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IFERROR(VLOOKUP(B250,input_497103!L:R,7,FALSE),VLOOKUP(tables_497103!C250,input_497103!A:H,8,FALSE))</f>
        <v>373280.76922999998</v>
      </c>
      <c r="P250" s="46">
        <f t="shared" ca="1" si="10"/>
        <v>6.0167757773686844E-3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input_497103!A$2</f>
        <v>497103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IFERROR(VLOOKUP(B251,input_497103!L:R,7,FALSE),VLOOKUP(tables_497103!C251,input_497103!A:H,8,FALSE))</f>
        <v>21130.384620000001</v>
      </c>
      <c r="P251" s="46">
        <f t="shared" ca="1" si="10"/>
        <v>3.4059291779310347E-4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input_497103!A$2</f>
        <v>497103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IFERROR(VLOOKUP(B252,input_497103!L:R,7,FALSE),VLOOKUP(tables_497103!C252,input_497103!A:H,8,FALSE))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input_497103!A$2</f>
        <v>497103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IFERROR(VLOOKUP(B253,input_497103!L:R,7,FALSE),VLOOKUP(tables_497103!C253,input_497103!A:H,8,FALSE))</f>
        <v>373280.76922999998</v>
      </c>
      <c r="P253" s="46">
        <f t="shared" ca="1" si="10"/>
        <v>6.0167757773686844E-3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input_497103!A$2</f>
        <v>497103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IFERROR(VLOOKUP(B254,input_497103!L:R,7,FALSE),VLOOKUP(tables_497103!C254,input_497103!A:H,8,FALSE))</f>
        <v>21130.384620000001</v>
      </c>
      <c r="P254" s="46">
        <f t="shared" ca="1" si="10"/>
        <v>3.4059291779310347E-4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input_497103!A$2</f>
        <v>497103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IFERROR(VLOOKUP(B255,input_497103!L:R,7,FALSE),VLOOKUP(tables_497103!C255,input_497103!A:H,8,FALSE))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input_497103!A$2</f>
        <v>497103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IFERROR(VLOOKUP(B256,input_497103!L:R,7,FALSE),VLOOKUP(tables_497103!C256,input_497103!A:H,8,FALSE))</f>
        <v>373280.76922999998</v>
      </c>
      <c r="P256" s="46">
        <f t="shared" ca="1" si="10"/>
        <v>6.0167757773686844E-3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input_497103!A$2</f>
        <v>497103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IFERROR(VLOOKUP(B257,input_497103!L:R,7,FALSE),VLOOKUP(tables_497103!C257,input_497103!A:H,8,FALSE))</f>
        <v>21130.384620000001</v>
      </c>
      <c r="P257" s="46">
        <f t="shared" ca="1" si="10"/>
        <v>3.4059291779310347E-4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input_497103!A$2</f>
        <v>497103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IFERROR(VLOOKUP(B258,input_497103!L:R,7,FALSE),VLOOKUP(tables_497103!C258,input_497103!A:H,8,FALSE))</f>
        <v>73420.71428</v>
      </c>
      <c r="P258" s="46">
        <f t="shared" ref="P258:P321" ca="1" si="13">O258/SUM(O:O)</f>
        <v>1.1834415583429629E-3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input_497103!A$2</f>
        <v>497103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IFERROR(VLOOKUP(B259,input_497103!L:R,7,FALSE),VLOOKUP(tables_497103!C259,input_497103!A:H,8,FALSE))</f>
        <v>2115</v>
      </c>
      <c r="P259" s="46">
        <f t="shared" ca="1" si="13"/>
        <v>3.4090909090722162E-5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input_497103!A$2</f>
        <v>497103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IFERROR(VLOOKUP(B260,input_497103!L:R,7,FALSE),VLOOKUP(tables_497103!C260,input_497103!A:H,8,FALSE))</f>
        <v>73420.71428</v>
      </c>
      <c r="P260" s="46">
        <f t="shared" ca="1" si="13"/>
        <v>1.1834415583429629E-3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input_497103!A$2</f>
        <v>497103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IFERROR(VLOOKUP(B261,input_497103!L:R,7,FALSE),VLOOKUP(tables_497103!C261,input_497103!A:H,8,FALSE))</f>
        <v>2115</v>
      </c>
      <c r="P261" s="46">
        <f t="shared" ca="1" si="13"/>
        <v>3.4090909090722162E-5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input_497103!A$2</f>
        <v>497103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IFERROR(VLOOKUP(B262,input_497103!L:R,7,FALSE),VLOOKUP(tables_497103!C262,input_497103!A:H,8,FALSE))</f>
        <v>448433.33332999999</v>
      </c>
      <c r="P262" s="46">
        <f t="shared" ca="1" si="13"/>
        <v>7.2281323876134933E-3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input_497103!A$2</f>
        <v>497103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IFERROR(VLOOKUP(B263,input_497103!L:R,7,FALSE),VLOOKUP(tables_497103!C263,input_497103!A:H,8,FALSE))</f>
        <v>10175</v>
      </c>
      <c r="P263" s="46">
        <f t="shared" ca="1" si="13"/>
        <v>1.6400709219768227E-4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input_497103!A$2</f>
        <v>497103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IFERROR(VLOOKUP(B264,input_497103!L:R,7,FALSE),VLOOKUP(tables_497103!C264,input_497103!A:H,8,FALSE))</f>
        <v>448433.33332999999</v>
      </c>
      <c r="P264" s="46">
        <f t="shared" ca="1" si="13"/>
        <v>7.2281323876134933E-3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input_497103!A$2</f>
        <v>497103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IFERROR(VLOOKUP(B265,input_497103!L:R,7,FALSE),VLOOKUP(tables_497103!C265,input_497103!A:H,8,FALSE))</f>
        <v>10175</v>
      </c>
      <c r="P265" s="46">
        <f t="shared" ca="1" si="13"/>
        <v>1.6400709219768227E-4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input_497103!A$2</f>
        <v>497103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IFERROR(VLOOKUP(B266,input_497103!L:R,7,FALSE),VLOOKUP(tables_497103!C266,input_497103!A:H,8,FALSE))</f>
        <v>17810.526320000001</v>
      </c>
      <c r="P266" s="46">
        <f t="shared" ca="1" si="13"/>
        <v>2.8708133977921248E-4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input_497103!A$2</f>
        <v>497103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IFERROR(VLOOKUP(B267,input_497103!L:R,7,FALSE),VLOOKUP(tables_497103!C267,input_497103!A:H,8,FALSE))</f>
        <v>17810.526320000001</v>
      </c>
      <c r="P267" s="46">
        <f t="shared" ca="1" si="13"/>
        <v>2.8708133977921248E-4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input_497103!A$2</f>
        <v>497103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IFERROR(VLOOKUP(B268,input_497103!L:R,7,FALSE),VLOOKUP(tables_497103!C268,input_497103!A:H,8,FALSE))</f>
        <v>17810.526320000001</v>
      </c>
      <c r="P268" s="46">
        <f t="shared" ca="1" si="13"/>
        <v>2.8708133977921248E-4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input_497103!A$2</f>
        <v>497103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IFERROR(VLOOKUP(B269,input_497103!L:R,7,FALSE),VLOOKUP(tables_497103!C269,input_497103!A:H,8,FALSE))</f>
        <v>17810.526320000001</v>
      </c>
      <c r="P269" s="46">
        <f t="shared" ca="1" si="13"/>
        <v>2.8708133977921248E-4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input_497103!A$2</f>
        <v>497103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IFERROR(VLOOKUP(B270,input_497103!L:R,7,FALSE),VLOOKUP(tables_497103!C270,input_497103!A:H,8,FALSE))</f>
        <v>448433.33332999999</v>
      </c>
      <c r="P270" s="46">
        <f t="shared" ca="1" si="13"/>
        <v>7.2281323876134933E-3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input_497103!A$2</f>
        <v>497103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IFERROR(VLOOKUP(B271,input_497103!L:R,7,FALSE),VLOOKUP(tables_497103!C271,input_497103!A:H,8,FALSE))</f>
        <v>10175</v>
      </c>
      <c r="P271" s="46">
        <f t="shared" ca="1" si="13"/>
        <v>1.6400709219768227E-4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input_497103!A$2</f>
        <v>497103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IFERROR(VLOOKUP(B272,input_497103!L:R,7,FALSE),VLOOKUP(tables_497103!C272,input_497103!A:H,8,FALSE))</f>
        <v>448433.33332999999</v>
      </c>
      <c r="P272" s="46">
        <f t="shared" ca="1" si="13"/>
        <v>7.2281323876134933E-3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input_497103!A$2</f>
        <v>497103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IFERROR(VLOOKUP(B273,input_497103!L:R,7,FALSE),VLOOKUP(tables_497103!C273,input_497103!A:H,8,FALSE))</f>
        <v>10175</v>
      </c>
      <c r="P273" s="46">
        <f t="shared" ca="1" si="13"/>
        <v>1.6400709219768227E-4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input_497103!A$2</f>
        <v>497103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IFERROR(VLOOKUP(B274,input_497103!L:R,7,FALSE),VLOOKUP(tables_497103!C274,input_497103!A:H,8,FALSE))</f>
        <v>73420.71428</v>
      </c>
      <c r="P274" s="46">
        <f t="shared" ca="1" si="13"/>
        <v>1.1834415583429629E-3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input_497103!A$2</f>
        <v>497103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IFERROR(VLOOKUP(B275,input_497103!L:R,7,FALSE),VLOOKUP(tables_497103!C275,input_497103!A:H,8,FALSE))</f>
        <v>2115</v>
      </c>
      <c r="P275" s="46">
        <f t="shared" ca="1" si="13"/>
        <v>3.4090909090722162E-5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input_497103!A$2</f>
        <v>497103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IFERROR(VLOOKUP(B276,input_497103!L:R,7,FALSE),VLOOKUP(tables_497103!C276,input_497103!A:H,8,FALSE))</f>
        <v>73420.71428</v>
      </c>
      <c r="P276" s="46">
        <f t="shared" ca="1" si="13"/>
        <v>1.1834415583429629E-3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input_497103!A$2</f>
        <v>497103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IFERROR(VLOOKUP(B277,input_497103!L:R,7,FALSE),VLOOKUP(tables_497103!C277,input_497103!A:H,8,FALSE))</f>
        <v>2115</v>
      </c>
      <c r="P277" s="46">
        <f t="shared" ca="1" si="13"/>
        <v>3.4090909090722162E-5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input_497103!A$2</f>
        <v>497103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IFERROR(VLOOKUP(B278,input_497103!L:R,7,FALSE),VLOOKUP(tables_497103!C278,input_497103!A:H,8,FALSE))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input_497103!A$2</f>
        <v>497103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IFERROR(VLOOKUP(B279,input_497103!L:R,7,FALSE),VLOOKUP(tables_497103!C279,input_497103!A:H,8,FALSE))</f>
        <v>373280.76922999998</v>
      </c>
      <c r="P279" s="46">
        <f t="shared" ca="1" si="13"/>
        <v>6.0167757773686844E-3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input_497103!A$2</f>
        <v>497103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IFERROR(VLOOKUP(B280,input_497103!L:R,7,FALSE),VLOOKUP(tables_497103!C280,input_497103!A:H,8,FALSE))</f>
        <v>21130.384620000001</v>
      </c>
      <c r="P280" s="46">
        <f t="shared" ca="1" si="13"/>
        <v>3.4059291779310347E-4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input_497103!A$2</f>
        <v>497103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IFERROR(VLOOKUP(B281,input_497103!L:R,7,FALSE),VLOOKUP(tables_497103!C281,input_497103!A:H,8,FALSE))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input_497103!A$2</f>
        <v>497103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IFERROR(VLOOKUP(B282,input_497103!L:R,7,FALSE),VLOOKUP(tables_497103!C282,input_497103!A:H,8,FALSE))</f>
        <v>373280.76922999998</v>
      </c>
      <c r="P282" s="46">
        <f t="shared" ca="1" si="13"/>
        <v>6.0167757773686844E-3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input_497103!A$2</f>
        <v>497103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IFERROR(VLOOKUP(B283,input_497103!L:R,7,FALSE),VLOOKUP(tables_497103!C283,input_497103!A:H,8,FALSE))</f>
        <v>21130.384620000001</v>
      </c>
      <c r="P283" s="46">
        <f t="shared" ca="1" si="13"/>
        <v>3.4059291779310347E-4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input_497103!A$2</f>
        <v>497103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IFERROR(VLOOKUP(B284,input_497103!L:R,7,FALSE),VLOOKUP(tables_497103!C284,input_497103!A:H,8,FALSE))</f>
        <v>17810.526320000001</v>
      </c>
      <c r="P284" s="46">
        <f t="shared" ca="1" si="13"/>
        <v>2.8708133977921248E-4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input_497103!A$2</f>
        <v>497103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IFERROR(VLOOKUP(B285,input_497103!L:R,7,FALSE),VLOOKUP(tables_497103!C285,input_497103!A:H,8,FALSE))</f>
        <v>17810.526320000001</v>
      </c>
      <c r="P285" s="46">
        <f t="shared" ca="1" si="13"/>
        <v>2.8708133977921248E-4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input_497103!A$2</f>
        <v>497103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IFERROR(VLOOKUP(B286,input_497103!L:R,7,FALSE),VLOOKUP(tables_497103!C286,input_497103!A:H,8,FALSE))</f>
        <v>448433.33332999999</v>
      </c>
      <c r="P286" s="46">
        <f t="shared" ca="1" si="13"/>
        <v>7.2281323876134933E-3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input_497103!A$2</f>
        <v>497103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IFERROR(VLOOKUP(B287,input_497103!L:R,7,FALSE),VLOOKUP(tables_497103!C287,input_497103!A:H,8,FALSE))</f>
        <v>10175</v>
      </c>
      <c r="P287" s="46">
        <f t="shared" ca="1" si="13"/>
        <v>1.6400709219768227E-4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input_497103!A$2</f>
        <v>497103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IFERROR(VLOOKUP(B288,input_497103!L:R,7,FALSE),VLOOKUP(tables_497103!C288,input_497103!A:H,8,FALSE))</f>
        <v>448433.33332999999</v>
      </c>
      <c r="P288" s="46">
        <f t="shared" ca="1" si="13"/>
        <v>7.2281323876134933E-3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input_497103!A$2</f>
        <v>497103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IFERROR(VLOOKUP(B289,input_497103!L:R,7,FALSE),VLOOKUP(tables_497103!C289,input_497103!A:H,8,FALSE))</f>
        <v>10175</v>
      </c>
      <c r="P289" s="46">
        <f t="shared" ca="1" si="13"/>
        <v>1.6400709219768227E-4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input_497103!A$2</f>
        <v>497103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IFERROR(VLOOKUP(B290,input_497103!L:R,7,FALSE),VLOOKUP(tables_497103!C290,input_497103!A:H,8,FALSE))</f>
        <v>448433.33332999999</v>
      </c>
      <c r="P290" s="46">
        <f t="shared" ca="1" si="13"/>
        <v>7.2281323876134933E-3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input_497103!A$2</f>
        <v>497103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IFERROR(VLOOKUP(B291,input_497103!L:R,7,FALSE),VLOOKUP(tables_497103!C291,input_497103!A:H,8,FALSE))</f>
        <v>10175</v>
      </c>
      <c r="P291" s="46">
        <f t="shared" ca="1" si="13"/>
        <v>1.6400709219768227E-4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input_497103!A$2</f>
        <v>497103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IFERROR(VLOOKUP(B292,input_497103!L:R,7,FALSE),VLOOKUP(tables_497103!C292,input_497103!A:H,8,FALSE))</f>
        <v>448433.33332999999</v>
      </c>
      <c r="P292" s="46">
        <f t="shared" ca="1" si="13"/>
        <v>7.2281323876134933E-3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input_497103!A$2</f>
        <v>497103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IFERROR(VLOOKUP(B293,input_497103!L:R,7,FALSE),VLOOKUP(tables_497103!C293,input_497103!A:H,8,FALSE))</f>
        <v>10175</v>
      </c>
      <c r="P293" s="46">
        <f t="shared" ca="1" si="13"/>
        <v>1.6400709219768227E-4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input_497103!A$2</f>
        <v>497103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IFERROR(VLOOKUP(B294,input_497103!L:R,7,FALSE),VLOOKUP(tables_497103!C294,input_497103!A:H,8,FALSE))</f>
        <v>17810.526320000001</v>
      </c>
      <c r="P294" s="46">
        <f t="shared" ca="1" si="13"/>
        <v>2.8708133977921248E-4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input_497103!A$2</f>
        <v>497103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IFERROR(VLOOKUP(B295,input_497103!L:R,7,FALSE),VLOOKUP(tables_497103!C295,input_497103!A:H,8,FALSE))</f>
        <v>17810.526320000001</v>
      </c>
      <c r="P295" s="46">
        <f t="shared" ca="1" si="13"/>
        <v>2.8708133977921248E-4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input_497103!A$2</f>
        <v>497103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IFERROR(VLOOKUP(B296,input_497103!L:R,7,FALSE),VLOOKUP(tables_497103!C296,input_497103!A:H,8,FALSE))</f>
        <v>17810.526320000001</v>
      </c>
      <c r="P296" s="46">
        <f t="shared" ca="1" si="13"/>
        <v>2.8708133977921248E-4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input_497103!A$2</f>
        <v>497103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IFERROR(VLOOKUP(B297,input_497103!L:R,7,FALSE),VLOOKUP(tables_497103!C297,input_497103!A:H,8,FALSE))</f>
        <v>448433.33332999999</v>
      </c>
      <c r="P297" s="46">
        <f t="shared" ca="1" si="13"/>
        <v>7.2281323876134933E-3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input_497103!A$2</f>
        <v>497103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IFERROR(VLOOKUP(B298,input_497103!L:R,7,FALSE),VLOOKUP(tables_497103!C298,input_497103!A:H,8,FALSE))</f>
        <v>10175</v>
      </c>
      <c r="P298" s="46">
        <f t="shared" ca="1" si="13"/>
        <v>1.6400709219768227E-4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input_497103!A$2</f>
        <v>497103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IFERROR(VLOOKUP(B299,input_497103!L:R,7,FALSE),VLOOKUP(tables_497103!C299,input_497103!A:H,8,FALSE))</f>
        <v>17810.526320000001</v>
      </c>
      <c r="P299" s="46">
        <f t="shared" ca="1" si="13"/>
        <v>2.8708133977921248E-4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input_497103!A$2</f>
        <v>497103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IFERROR(VLOOKUP(B300,input_497103!L:R,7,FALSE),VLOOKUP(tables_497103!C300,input_497103!A:H,8,FALSE))</f>
        <v>17810.526320000001</v>
      </c>
      <c r="P300" s="46">
        <f t="shared" ca="1" si="13"/>
        <v>2.8708133977921248E-4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input_497103!A$2</f>
        <v>497103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IFERROR(VLOOKUP(B301,input_497103!L:R,7,FALSE),VLOOKUP(tables_497103!C301,input_497103!A:H,8,FALSE))</f>
        <v>17810.526320000001</v>
      </c>
      <c r="P301" s="46">
        <f t="shared" ca="1" si="13"/>
        <v>2.8708133977921248E-4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input_497103!A$2</f>
        <v>497103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IFERROR(VLOOKUP(B302,input_497103!L:R,7,FALSE),VLOOKUP(tables_497103!C302,input_497103!A:H,8,FALSE))</f>
        <v>17810.526320000001</v>
      </c>
      <c r="P302" s="46">
        <f t="shared" ca="1" si="13"/>
        <v>2.8708133977921248E-4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input_497103!A$2</f>
        <v>497103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IFERROR(VLOOKUP(B303,input_497103!L:R,7,FALSE),VLOOKUP(tables_497103!C303,input_497103!A:H,8,FALSE))</f>
        <v>448433.33332999999</v>
      </c>
      <c r="P303" s="46">
        <f t="shared" ca="1" si="13"/>
        <v>7.2281323876134933E-3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input_497103!A$2</f>
        <v>497103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IFERROR(VLOOKUP(B304,input_497103!L:R,7,FALSE),VLOOKUP(tables_497103!C304,input_497103!A:H,8,FALSE))</f>
        <v>10175</v>
      </c>
      <c r="P304" s="46">
        <f t="shared" ca="1" si="13"/>
        <v>1.6400709219768227E-4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input_497103!A$2</f>
        <v>497103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IFERROR(VLOOKUP(B305,input_497103!L:R,7,FALSE),VLOOKUP(tables_497103!C305,input_497103!A:H,8,FALSE))</f>
        <v>17810.526320000001</v>
      </c>
      <c r="P305" s="46">
        <f t="shared" ca="1" si="13"/>
        <v>2.8708133977921248E-4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input_497103!A$2</f>
        <v>497103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IFERROR(VLOOKUP(B306,input_497103!L:R,7,FALSE),VLOOKUP(tables_497103!C306,input_497103!A:H,8,FALSE))</f>
        <v>448433.33332999999</v>
      </c>
      <c r="P306" s="46">
        <f t="shared" ca="1" si="13"/>
        <v>7.2281323876134933E-3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input_497103!A$2</f>
        <v>497103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IFERROR(VLOOKUP(B307,input_497103!L:R,7,FALSE),VLOOKUP(tables_497103!C307,input_497103!A:H,8,FALSE))</f>
        <v>10175</v>
      </c>
      <c r="P307" s="46">
        <f t="shared" ca="1" si="13"/>
        <v>1.6400709219768227E-4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input_497103!A$2</f>
        <v>497103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IFERROR(VLOOKUP(B308,input_497103!L:R,7,FALSE),VLOOKUP(tables_497103!C308,input_497103!A:H,8,FALSE))</f>
        <v>17810.526320000001</v>
      </c>
      <c r="P308" s="46">
        <f t="shared" ca="1" si="13"/>
        <v>2.8708133977921248E-4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input_497103!A$2</f>
        <v>497103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IFERROR(VLOOKUP(B309,input_497103!L:R,7,FALSE),VLOOKUP(tables_497103!C309,input_497103!A:H,8,FALSE))</f>
        <v>17810.526320000001</v>
      </c>
      <c r="P309" s="46">
        <f t="shared" ca="1" si="13"/>
        <v>2.8708133977921248E-4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input_497103!A$2</f>
        <v>497103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IFERROR(VLOOKUP(B310,input_497103!L:R,7,FALSE),VLOOKUP(tables_497103!C310,input_497103!A:H,8,FALSE))</f>
        <v>17810.526320000001</v>
      </c>
      <c r="P310" s="46">
        <f t="shared" ca="1" si="13"/>
        <v>2.8708133977921248E-4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input_497103!A$2</f>
        <v>497103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IFERROR(VLOOKUP(B311,input_497103!L:R,7,FALSE),VLOOKUP(tables_497103!C311,input_497103!A:H,8,FALSE))</f>
        <v>448433.33332999999</v>
      </c>
      <c r="P311" s="46">
        <f t="shared" ca="1" si="13"/>
        <v>7.2281323876134933E-3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input_497103!A$2</f>
        <v>497103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IFERROR(VLOOKUP(B312,input_497103!L:R,7,FALSE),VLOOKUP(tables_497103!C312,input_497103!A:H,8,FALSE))</f>
        <v>10175</v>
      </c>
      <c r="P312" s="46">
        <f t="shared" ca="1" si="13"/>
        <v>1.6400709219768227E-4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input_497103!A$2</f>
        <v>497103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IFERROR(VLOOKUP(B313,input_497103!L:R,7,FALSE),VLOOKUP(tables_497103!C313,input_497103!A:H,8,FALSE))</f>
        <v>17810.526320000001</v>
      </c>
      <c r="P313" s="46">
        <f t="shared" ca="1" si="13"/>
        <v>2.8708133977921248E-4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input_497103!A$2</f>
        <v>497103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IFERROR(VLOOKUP(B314,input_497103!L:R,7,FALSE),VLOOKUP(tables_497103!C314,input_497103!A:H,8,FALSE))</f>
        <v>17810.526320000001</v>
      </c>
      <c r="P314" s="46">
        <f t="shared" ca="1" si="13"/>
        <v>2.8708133977921248E-4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input_497103!A$2</f>
        <v>497103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IFERROR(VLOOKUP(B315,input_497103!L:R,7,FALSE),VLOOKUP(tables_497103!C315,input_497103!A:H,8,FALSE))</f>
        <v>17810.526320000001</v>
      </c>
      <c r="P315" s="46">
        <f t="shared" ca="1" si="13"/>
        <v>2.8708133977921248E-4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input_497103!A$2</f>
        <v>497103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IFERROR(VLOOKUP(B316,input_497103!L:R,7,FALSE),VLOOKUP(tables_497103!C316,input_497103!A:H,8,FALSE))</f>
        <v>17810.526320000001</v>
      </c>
      <c r="P316" s="46">
        <f t="shared" ca="1" si="13"/>
        <v>2.8708133977921248E-4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input_497103!A$2</f>
        <v>497103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IFERROR(VLOOKUP(B317,input_497103!L:R,7,FALSE),VLOOKUP(tables_497103!C317,input_497103!A:H,8,FALSE))</f>
        <v>17810.526320000001</v>
      </c>
      <c r="P317" s="46">
        <f t="shared" ca="1" si="13"/>
        <v>2.8708133977921248E-4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input_497103!A$2</f>
        <v>497103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IFERROR(VLOOKUP(B318,input_497103!L:R,7,FALSE),VLOOKUP(tables_497103!C318,input_497103!A:H,8,FALSE))</f>
        <v>448433.33332999999</v>
      </c>
      <c r="P318" s="46">
        <f t="shared" ca="1" si="13"/>
        <v>7.2281323876134933E-3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input_497103!A$2</f>
        <v>497103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IFERROR(VLOOKUP(B319,input_497103!L:R,7,FALSE),VLOOKUP(tables_497103!C319,input_497103!A:H,8,FALSE))</f>
        <v>10175</v>
      </c>
      <c r="P319" s="46">
        <f t="shared" ca="1" si="13"/>
        <v>1.6400709219768227E-4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input_497103!A$2</f>
        <v>497103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IFERROR(VLOOKUP(B320,input_497103!L:R,7,FALSE),VLOOKUP(tables_497103!C320,input_497103!A:H,8,FALSE))</f>
        <v>17810.526320000001</v>
      </c>
      <c r="P320" s="46">
        <f t="shared" ca="1" si="13"/>
        <v>2.8708133977921248E-4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input_497103!A$2</f>
        <v>497103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IFERROR(VLOOKUP(B321,input_497103!L:R,7,FALSE),VLOOKUP(tables_497103!C321,input_497103!A:H,8,FALSE))</f>
        <v>17810.526320000001</v>
      </c>
      <c r="P321" s="46">
        <f t="shared" ca="1" si="13"/>
        <v>2.8708133977921248E-4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input_497103!A$2</f>
        <v>497103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IFERROR(VLOOKUP(B322,input_497103!L:R,7,FALSE),VLOOKUP(tables_497103!C322,input_497103!A:H,8,FALSE))</f>
        <v>17810.526320000001</v>
      </c>
      <c r="P322" s="46">
        <f t="shared" ref="P322:P352" ca="1" si="26">O322/SUM(O:O)</f>
        <v>2.8708133977921248E-4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input_497103!A$2</f>
        <v>497103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IFERROR(VLOOKUP(B323,input_497103!L:R,7,FALSE),VLOOKUP(tables_497103!C323,input_497103!A:H,8,FALSE))</f>
        <v>17810.526320000001</v>
      </c>
      <c r="P323" s="46">
        <f t="shared" ca="1" si="26"/>
        <v>2.8708133977921248E-4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input_497103!A$2</f>
        <v>497103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IFERROR(VLOOKUP(B324,input_497103!L:R,7,FALSE),VLOOKUP(tables_497103!C324,input_497103!A:H,8,FALSE))</f>
        <v>448433.33332999999</v>
      </c>
      <c r="P324" s="46">
        <f t="shared" ca="1" si="26"/>
        <v>7.2281323876134933E-3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input_497103!A$2</f>
        <v>497103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IFERROR(VLOOKUP(B325,input_497103!L:R,7,FALSE),VLOOKUP(tables_497103!C325,input_497103!A:H,8,FALSE))</f>
        <v>10175</v>
      </c>
      <c r="P325" s="46">
        <f t="shared" ca="1" si="26"/>
        <v>1.6400709219768227E-4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input_497103!A$2</f>
        <v>497103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IFERROR(VLOOKUP(B326,input_497103!L:R,7,FALSE),VLOOKUP(tables_497103!C326,input_497103!A:H,8,FALSE))</f>
        <v>448433.33332999999</v>
      </c>
      <c r="P326" s="46">
        <f t="shared" ca="1" si="26"/>
        <v>7.2281323876134933E-3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input_497103!A$2</f>
        <v>497103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IFERROR(VLOOKUP(B327,input_497103!L:R,7,FALSE),VLOOKUP(tables_497103!C327,input_497103!A:H,8,FALSE))</f>
        <v>10175</v>
      </c>
      <c r="P327" s="46">
        <f t="shared" ca="1" si="26"/>
        <v>1.6400709219768227E-4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input_497103!A$2</f>
        <v>497103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IFERROR(VLOOKUP(B328,input_497103!L:R,7,FALSE),VLOOKUP(tables_497103!C328,input_497103!A:H,8,FALSE))</f>
        <v>17810.526320000001</v>
      </c>
      <c r="P328" s="46">
        <f t="shared" ca="1" si="26"/>
        <v>2.8708133977921248E-4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input_497103!A$2</f>
        <v>497103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IFERROR(VLOOKUP(B329,input_497103!L:R,7,FALSE),VLOOKUP(tables_497103!C329,input_497103!A:H,8,FALSE))</f>
        <v>17810.526320000001</v>
      </c>
      <c r="P329" s="46">
        <f t="shared" ca="1" si="26"/>
        <v>2.8708133977921248E-4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input_497103!A$2</f>
        <v>497103</v>
      </c>
      <c r="B330" s="2">
        <v>1157</v>
      </c>
      <c r="C330" s="7" t="str">
        <f t="shared" si="28"/>
        <v>PremiumSS5R5only</v>
      </c>
      <c r="D330" s="94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IFERROR(VLOOKUP(B330,input_497103!L:R,7,FALSE),VLOOKUP(tables_497103!C330,input_497103!A:H,8,FALSE))</f>
        <v>17810.526320000001</v>
      </c>
      <c r="P330" s="46">
        <f t="shared" ca="1" si="26"/>
        <v>2.8708133977921248E-4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input_497103!A$2</f>
        <v>497103</v>
      </c>
      <c r="B331" s="60">
        <v>1214</v>
      </c>
      <c r="C331" s="7" t="str">
        <f t="shared" ref="C331:C335" si="29">D331&amp;J331&amp;E331&amp;F331&amp;G331</f>
        <v>PremiumSS5R5only</v>
      </c>
      <c r="D331" s="94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IFERROR(VLOOKUP(B331,input_497103!L:R,7,FALSE),VLOOKUP(tables_497103!C331,input_497103!A:H,8,FALSE))</f>
        <v>17810.526320000001</v>
      </c>
      <c r="P331" s="46">
        <f t="shared" ca="1" si="26"/>
        <v>2.8708133977921248E-4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input_497103!A$2</f>
        <v>497103</v>
      </c>
      <c r="B332" s="60">
        <v>1212</v>
      </c>
      <c r="C332" s="7" t="str">
        <f t="shared" si="29"/>
        <v>PremiumSS5R5only</v>
      </c>
      <c r="D332" s="94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IFERROR(VLOOKUP(B332,input_497103!L:R,7,FALSE),VLOOKUP(tables_497103!C332,input_497103!A:H,8,FALSE))</f>
        <v>17810.526320000001</v>
      </c>
      <c r="P332" s="46">
        <f t="shared" ca="1" si="26"/>
        <v>2.8708133977921248E-4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input_497103!A$2</f>
        <v>497103</v>
      </c>
      <c r="B333" s="60">
        <v>1208</v>
      </c>
      <c r="C333" s="7" t="str">
        <f t="shared" si="29"/>
        <v>PremiumSS5R5only</v>
      </c>
      <c r="D333" s="94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IFERROR(VLOOKUP(B333,input_497103!L:R,7,FALSE),VLOOKUP(tables_497103!C333,input_497103!A:H,8,FALSE))</f>
        <v>17810.526320000001</v>
      </c>
      <c r="P333" s="46">
        <f t="shared" ca="1" si="26"/>
        <v>2.8708133977921248E-4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input_497103!A$2</f>
        <v>497103</v>
      </c>
      <c r="B334" s="90">
        <v>1210</v>
      </c>
      <c r="C334" s="7" t="str">
        <f t="shared" si="29"/>
        <v>Premium4R3less</v>
      </c>
      <c r="D334" s="94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IFERROR(VLOOKUP(B334,input_497103!L:R,7,FALSE),VLOOKUP(tables_497103!C334,input_497103!A:H,8,FALSE))</f>
        <v>448433.33332999999</v>
      </c>
      <c r="P334" s="46">
        <f t="shared" ca="1" si="26"/>
        <v>7.2281323876134933E-3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input_497103!A$2</f>
        <v>497103</v>
      </c>
      <c r="B335" s="60">
        <v>1211</v>
      </c>
      <c r="C335" s="7" t="str">
        <f t="shared" si="29"/>
        <v>Premium5R3less</v>
      </c>
      <c r="D335" s="94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IFERROR(VLOOKUP(B335,input_497103!L:R,7,FALSE),VLOOKUP(tables_497103!C335,input_497103!A:H,8,FALSE))</f>
        <v>10175</v>
      </c>
      <c r="P335" s="46">
        <f t="shared" ca="1" si="26"/>
        <v>1.6400709219768227E-4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input_497103!A$2</f>
        <v>497103</v>
      </c>
      <c r="B336" s="2">
        <v>1224</v>
      </c>
      <c r="C336" s="7" t="str">
        <f t="shared" ref="C336:C340" si="31">D336&amp;J336&amp;E336&amp;F336&amp;G336</f>
        <v>Premium4R3less</v>
      </c>
      <c r="D336" s="94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IFERROR(VLOOKUP(B336,input_497103!L:R,7,FALSE),VLOOKUP(tables_497103!C336,input_497103!A:H,8,FALSE))</f>
        <v>448433.33332999999</v>
      </c>
      <c r="P336" s="46">
        <f t="shared" ca="1" si="26"/>
        <v>7.2281323876134933E-3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input_497103!A$2</f>
        <v>497103</v>
      </c>
      <c r="B337" s="2">
        <v>1225</v>
      </c>
      <c r="C337" s="7" t="str">
        <f t="shared" si="31"/>
        <v>Premium5R3less</v>
      </c>
      <c r="D337" s="94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IFERROR(VLOOKUP(B337,input_497103!L:R,7,FALSE),VLOOKUP(tables_497103!C337,input_497103!A:H,8,FALSE))</f>
        <v>10175</v>
      </c>
      <c r="P337" s="46">
        <f t="shared" ca="1" si="26"/>
        <v>1.6400709219768227E-4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input_497103!A$2</f>
        <v>497103</v>
      </c>
      <c r="B338" s="2">
        <v>1226</v>
      </c>
      <c r="C338" s="7" t="str">
        <f t="shared" si="31"/>
        <v>PremiumSS5R5only</v>
      </c>
      <c r="D338" s="94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IFERROR(VLOOKUP(B338,input_497103!L:R,7,FALSE),VLOOKUP(tables_497103!C338,input_497103!A:H,8,FALSE))</f>
        <v>17810.526320000001</v>
      </c>
      <c r="P338" s="46">
        <f t="shared" ca="1" si="26"/>
        <v>2.8708133977921248E-4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input_497103!A$2</f>
        <v>497103</v>
      </c>
      <c r="B339" s="2">
        <v>1228</v>
      </c>
      <c r="C339" s="7" t="str">
        <f t="shared" si="31"/>
        <v>PremiumSS5R5only</v>
      </c>
      <c r="D339" s="94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IFERROR(VLOOKUP(B339,input_497103!L:R,7,FALSE),VLOOKUP(tables_497103!C339,input_497103!A:H,8,FALSE))</f>
        <v>17810.526320000001</v>
      </c>
      <c r="P339" s="46">
        <f t="shared" ca="1" si="26"/>
        <v>2.8708133977921248E-4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input_497103!A$2</f>
        <v>497103</v>
      </c>
      <c r="B340" s="2">
        <v>1230</v>
      </c>
      <c r="C340" s="7" t="str">
        <f t="shared" si="31"/>
        <v>PremiumSS5R5only</v>
      </c>
      <c r="D340" s="94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IFERROR(VLOOKUP(B340,input_497103!L:R,7,FALSE),VLOOKUP(tables_497103!C340,input_497103!A:H,8,FALSE))</f>
        <v>17810.526320000001</v>
      </c>
      <c r="P340" s="46">
        <f t="shared" ca="1" si="26"/>
        <v>2.8708133977921248E-4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input_497103!A$2</f>
        <v>497103</v>
      </c>
      <c r="B341" s="1">
        <v>1250</v>
      </c>
      <c r="C341" s="7" t="str">
        <f t="shared" ref="C341:C345" si="33">D341&amp;J341&amp;E341&amp;F341&amp;G341</f>
        <v>PremiumSS5R5only</v>
      </c>
      <c r="D341" s="94" t="str">
        <f t="shared" ref="D341:D345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IFERROR(VLOOKUP(B341,input_497103!L:R,7,FALSE),VLOOKUP(tables_497103!C341,input_497103!A:H,8,FALSE))</f>
        <v>17810.526320000001</v>
      </c>
      <c r="P341" s="46">
        <f t="shared" ca="1" si="26"/>
        <v>2.8708133977921248E-4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input_497103!A$2</f>
        <v>497103</v>
      </c>
      <c r="B342" s="1">
        <v>1248</v>
      </c>
      <c r="C342" s="7" t="str">
        <f t="shared" si="33"/>
        <v>Premium4R3less</v>
      </c>
      <c r="D342" s="94" t="str">
        <f t="shared" si="34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IFERROR(VLOOKUP(B342,input_497103!L:R,7,FALSE),VLOOKUP(tables_497103!C342,input_497103!A:H,8,FALSE))</f>
        <v>448433.33332999999</v>
      </c>
      <c r="P342" s="46">
        <f t="shared" ca="1" si="26"/>
        <v>7.2281323876134933E-3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input_497103!A$2</f>
        <v>497103</v>
      </c>
      <c r="B343" s="1">
        <v>1249</v>
      </c>
      <c r="C343" s="7" t="str">
        <f t="shared" si="33"/>
        <v>Premium5R3less</v>
      </c>
      <c r="D343" s="94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IFERROR(VLOOKUP(B343,input_497103!L:R,7,FALSE),VLOOKUP(tables_497103!C343,input_497103!A:H,8,FALSE))</f>
        <v>10175</v>
      </c>
      <c r="P343" s="46">
        <f t="shared" ca="1" si="26"/>
        <v>1.6400709219768227E-4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input_497103!A$2</f>
        <v>497103</v>
      </c>
      <c r="B344" s="1">
        <v>1246</v>
      </c>
      <c r="C344" s="7" t="str">
        <f t="shared" si="33"/>
        <v>PremiumSS5R5only</v>
      </c>
      <c r="D344" s="94" t="str">
        <f t="shared" si="34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IFERROR(VLOOKUP(B344,input_497103!L:R,7,FALSE),VLOOKUP(tables_497103!C344,input_497103!A:H,8,FALSE))</f>
        <v>17810.526320000001</v>
      </c>
      <c r="P344" s="46">
        <f t="shared" ca="1" si="26"/>
        <v>2.8708133977921248E-4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input_497103!A$2</f>
        <v>497103</v>
      </c>
      <c r="B345" s="1">
        <v>1244</v>
      </c>
      <c r="C345" s="7" t="str">
        <f t="shared" si="33"/>
        <v>PremiumSS5R5only</v>
      </c>
      <c r="D345" s="94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IFERROR(VLOOKUP(B345,input_497103!L:R,7,FALSE),VLOOKUP(tables_497103!C345,input_497103!A:H,8,FALSE))</f>
        <v>17810.526320000001</v>
      </c>
      <c r="P345" s="46">
        <f t="shared" ca="1" si="26"/>
        <v>2.8708133977921248E-4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input_497103!A$2</f>
        <v>497103</v>
      </c>
      <c r="B346" s="60">
        <v>716</v>
      </c>
      <c r="C346" s="7" t="str">
        <f t="shared" ref="C346:C352" si="35">D346&amp;J346&amp;E346&amp;F346&amp;G346</f>
        <v>PremiumSS5R5only</v>
      </c>
      <c r="D346" s="94" t="str">
        <f t="shared" ref="D346:D352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平和島静雄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dr</v>
      </c>
      <c r="M346" s="7" t="str">
        <f>VLOOKUP(B346,[1]characters!$A:$M,13,FALSE)</f>
        <v>human</v>
      </c>
      <c r="N346" s="7" t="str">
        <f>VLOOKUP(B346,[1]characters!$A:$G,7,FALSE)</f>
        <v>男性</v>
      </c>
      <c r="O346" s="45">
        <f>IFERROR(VLOOKUP(B346,input_497103!L:R,7,FALSE),VLOOKUP(tables_497103!C346,input_497103!A:H,8,FALSE))</f>
        <v>310200</v>
      </c>
      <c r="P346" s="46">
        <f t="shared" ca="1" si="26"/>
        <v>4.9999999999725837E-3</v>
      </c>
      <c r="Q346" s="224">
        <v>80</v>
      </c>
      <c r="R346" s="30">
        <v>0</v>
      </c>
      <c r="S346" s="30">
        <v>0</v>
      </c>
      <c r="T346" s="30">
        <v>0</v>
      </c>
      <c r="U346" s="30">
        <v>0</v>
      </c>
      <c r="V346" s="224">
        <v>5</v>
      </c>
    </row>
    <row r="347" spans="1:22" ht="21" customHeight="1" x14ac:dyDescent="0.15">
      <c r="A347" s="2" t="str">
        <f ca="1">input_497103!A$2</f>
        <v>497103</v>
      </c>
      <c r="B347" s="60">
        <v>702</v>
      </c>
      <c r="C347" s="7" t="str">
        <f t="shared" si="35"/>
        <v>Premium4R3less</v>
      </c>
      <c r="D347" s="94" t="str">
        <f t="shared" si="36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サイモン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red</v>
      </c>
      <c r="L347" s="7" t="str">
        <f>VLOOKUP(B347,[1]characters!$A:$K,11,FALSE)</f>
        <v>dr</v>
      </c>
      <c r="M347" s="7" t="str">
        <f>VLOOKUP(B347,[1]characters!$A:$M,13,FALSE)</f>
        <v>human</v>
      </c>
      <c r="N347" s="7" t="str">
        <f>VLOOKUP(B347,[1]characters!$A:$G,7,FALSE)</f>
        <v>男性</v>
      </c>
      <c r="O347" s="45">
        <f>IFERROR(VLOOKUP(B347,input_497103!L:R,7,FALSE),VLOOKUP(tables_497103!C347,input_497103!A:H,8,FALSE))</f>
        <v>2481600</v>
      </c>
      <c r="P347" s="46">
        <f t="shared" ca="1" si="26"/>
        <v>3.9999999999780669E-2</v>
      </c>
      <c r="Q347" s="224">
        <v>60</v>
      </c>
      <c r="R347" s="30">
        <v>0</v>
      </c>
      <c r="S347" s="30">
        <v>0</v>
      </c>
      <c r="T347" s="30">
        <v>0</v>
      </c>
      <c r="U347" s="30">
        <v>0</v>
      </c>
      <c r="V347" s="224">
        <v>5</v>
      </c>
    </row>
    <row r="348" spans="1:22" ht="21" customHeight="1" x14ac:dyDescent="0.15">
      <c r="A348" s="2" t="str">
        <f ca="1">input_497103!A$2</f>
        <v>497103</v>
      </c>
      <c r="B348" s="60">
        <v>703</v>
      </c>
      <c r="C348" s="7" t="str">
        <f t="shared" si="35"/>
        <v>Premium5R3less</v>
      </c>
      <c r="D348" s="94" t="str">
        <f t="shared" si="36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豪腕静穏な寿司屋　サイモン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red</v>
      </c>
      <c r="L348" s="7" t="str">
        <f>VLOOKUP(B348,[1]characters!$A:$K,11,FALSE)</f>
        <v>dr</v>
      </c>
      <c r="M348" s="7" t="str">
        <f>VLOOKUP(B348,[1]characters!$A:$M,13,FALSE)</f>
        <v>human</v>
      </c>
      <c r="N348" s="7" t="str">
        <f>VLOOKUP(B348,[1]characters!$A:$G,7,FALSE)</f>
        <v>男性</v>
      </c>
      <c r="O348" s="45">
        <f>IFERROR(VLOOKUP(B348,input_497103!L:R,7,FALSE),VLOOKUP(tables_497103!C348,input_497103!A:H,8,FALSE))</f>
        <v>620400</v>
      </c>
      <c r="P348" s="46">
        <f t="shared" ca="1" si="26"/>
        <v>9.9999999999451673E-3</v>
      </c>
      <c r="Q348" s="224">
        <v>80</v>
      </c>
      <c r="R348" s="30">
        <v>0</v>
      </c>
      <c r="S348" s="30">
        <v>0</v>
      </c>
      <c r="T348" s="30">
        <v>0</v>
      </c>
      <c r="U348" s="30">
        <v>0</v>
      </c>
      <c r="V348" s="224">
        <v>5</v>
      </c>
    </row>
    <row r="349" spans="1:22" ht="21" customHeight="1" x14ac:dyDescent="0.15">
      <c r="A349" s="2" t="str">
        <f ca="1">input_497103!A$2</f>
        <v>497103</v>
      </c>
      <c r="B349" s="90">
        <v>710</v>
      </c>
      <c r="C349" s="7" t="str">
        <f t="shared" si="35"/>
        <v>Premium3R3less</v>
      </c>
      <c r="D349" s="94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田中トム</v>
      </c>
      <c r="I349" s="7" t="str">
        <f>VLOOKUP(B349,[1]characters!$A:$J,10,FALSE)</f>
        <v>PremiumN</v>
      </c>
      <c r="J349" s="7">
        <f>VLOOKUP(B349,[1]characters!$A:$I,9,FALSE)</f>
        <v>3</v>
      </c>
      <c r="K349" s="7" t="str">
        <f>VLOOKUP(B349,[1]characters!$A:$H,8,FALSE)</f>
        <v>green</v>
      </c>
      <c r="L349" s="7" t="str">
        <f>VLOOKUP(B349,[1]characters!$A:$K,11,FALSE)</f>
        <v>dr</v>
      </c>
      <c r="M349" s="7" t="str">
        <f>VLOOKUP(B349,[1]characters!$A:$M,13,FALSE)</f>
        <v>human</v>
      </c>
      <c r="N349" s="7" t="str">
        <f>VLOOKUP(B349,[1]characters!$A:$G,7,FALSE)</f>
        <v>男性</v>
      </c>
      <c r="O349" s="45">
        <f>IFERROR(VLOOKUP(B349,input_497103!L:R,7,FALSE),VLOOKUP(tables_497103!C349,input_497103!A:H,8,FALSE))</f>
        <v>0</v>
      </c>
      <c r="P349" s="46">
        <f t="shared" ca="1" si="26"/>
        <v>0</v>
      </c>
      <c r="Q349" s="224">
        <v>40</v>
      </c>
      <c r="R349" s="30">
        <v>0</v>
      </c>
      <c r="S349" s="30">
        <v>0</v>
      </c>
      <c r="T349" s="30">
        <v>0</v>
      </c>
      <c r="U349" s="30">
        <v>0</v>
      </c>
      <c r="V349" s="224">
        <v>5</v>
      </c>
    </row>
    <row r="350" spans="1:22" ht="21" customHeight="1" x14ac:dyDescent="0.15">
      <c r="A350" s="2" t="str">
        <f ca="1">input_497103!A$2</f>
        <v>497103</v>
      </c>
      <c r="B350" s="60">
        <v>711</v>
      </c>
      <c r="C350" s="7" t="str">
        <f t="shared" si="35"/>
        <v>Premium4R3less</v>
      </c>
      <c r="D350" s="94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平衡調和の取り立て屋　田中トム</v>
      </c>
      <c r="I350" s="7" t="str">
        <f>VLOOKUP(B350,[1]characters!$A:$J,10,FALSE)</f>
        <v>PremiumN</v>
      </c>
      <c r="J350" s="7">
        <f>VLOOKUP(B350,[1]characters!$A:$I,9,FALSE)</f>
        <v>4</v>
      </c>
      <c r="K350" s="7" t="str">
        <f>VLOOKUP(B350,[1]characters!$A:$H,8,FALSE)</f>
        <v>green</v>
      </c>
      <c r="L350" s="7" t="str">
        <f>VLOOKUP(B350,[1]characters!$A:$K,11,FALSE)</f>
        <v>dr</v>
      </c>
      <c r="M350" s="7" t="str">
        <f>VLOOKUP(B350,[1]characters!$A:$M,13,FALSE)</f>
        <v>human</v>
      </c>
      <c r="N350" s="7" t="str">
        <f>VLOOKUP(B350,[1]characters!$A:$G,7,FALSE)</f>
        <v>男性</v>
      </c>
      <c r="O350" s="45">
        <f>IFERROR(VLOOKUP(B350,input_497103!L:R,7,FALSE),VLOOKUP(tables_497103!C350,input_497103!A:H,8,FALSE))</f>
        <v>6204000</v>
      </c>
      <c r="P350" s="46">
        <f t="shared" ca="1" si="26"/>
        <v>9.999999999945168E-2</v>
      </c>
      <c r="Q350" s="224">
        <v>60</v>
      </c>
      <c r="R350" s="30">
        <v>0</v>
      </c>
      <c r="S350" s="30">
        <v>0</v>
      </c>
      <c r="T350" s="30">
        <v>0</v>
      </c>
      <c r="U350" s="30">
        <v>0</v>
      </c>
      <c r="V350" s="224">
        <v>5</v>
      </c>
    </row>
    <row r="351" spans="1:22" ht="21" customHeight="1" x14ac:dyDescent="0.15">
      <c r="A351" s="2" t="str">
        <f ca="1">input_497103!A$2</f>
        <v>497103</v>
      </c>
      <c r="B351" s="60">
        <v>714</v>
      </c>
      <c r="C351" s="7" t="str">
        <f t="shared" si="35"/>
        <v>Premium3R3less</v>
      </c>
      <c r="D351" s="94" t="str">
        <f t="shared" si="36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粟楠茜</v>
      </c>
      <c r="I351" s="7" t="str">
        <f>VLOOKUP(B351,[1]characters!$A:$J,10,FALSE)</f>
        <v>PremiumN</v>
      </c>
      <c r="J351" s="7">
        <f>VLOOKUP(B351,[1]characters!$A:$I,9,FALSE)</f>
        <v>3</v>
      </c>
      <c r="K351" s="7" t="str">
        <f>VLOOKUP(B351,[1]characters!$A:$H,8,FALSE)</f>
        <v>blue</v>
      </c>
      <c r="L351" s="7" t="str">
        <f>VLOOKUP(B351,[1]characters!$A:$K,11,FALSE)</f>
        <v>dr</v>
      </c>
      <c r="M351" s="7" t="str">
        <f>VLOOKUP(B351,[1]characters!$A:$M,13,FALSE)</f>
        <v>human</v>
      </c>
      <c r="N351" s="7" t="str">
        <f>VLOOKUP(B351,[1]characters!$A:$G,7,FALSE)</f>
        <v>女性</v>
      </c>
      <c r="O351" s="45">
        <f>IFERROR(VLOOKUP(B351,input_497103!L:R,7,FALSE),VLOOKUP(tables_497103!C351,input_497103!A:H,8,FALSE))</f>
        <v>0</v>
      </c>
      <c r="P351" s="46">
        <f t="shared" ca="1" si="26"/>
        <v>0</v>
      </c>
      <c r="Q351" s="224">
        <v>40</v>
      </c>
      <c r="R351" s="30">
        <v>0</v>
      </c>
      <c r="S351" s="30">
        <v>0</v>
      </c>
      <c r="T351" s="30">
        <v>0</v>
      </c>
      <c r="U351" s="30">
        <v>0</v>
      </c>
      <c r="V351" s="224">
        <v>5</v>
      </c>
    </row>
    <row r="352" spans="1:22" ht="21" customHeight="1" x14ac:dyDescent="0.15">
      <c r="A352" s="2" t="str">
        <f ca="1">input_497103!A$2</f>
        <v>497103</v>
      </c>
      <c r="B352" s="88">
        <v>715</v>
      </c>
      <c r="C352" s="7" t="str">
        <f t="shared" si="35"/>
        <v>Premium4R3less</v>
      </c>
      <c r="D352" s="94" t="str">
        <f t="shared" si="36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小さな殺し屋　粟楠茜</v>
      </c>
      <c r="I352" s="7" t="str">
        <f>VLOOKUP(B352,[1]characters!$A:$J,10,FALSE)</f>
        <v>PremiumN</v>
      </c>
      <c r="J352" s="7">
        <f>VLOOKUP(B352,[1]characters!$A:$I,9,FALSE)</f>
        <v>4</v>
      </c>
      <c r="K352" s="7" t="str">
        <f>VLOOKUP(B352,[1]characters!$A:$H,8,FALSE)</f>
        <v>blue</v>
      </c>
      <c r="L352" s="7" t="str">
        <f>VLOOKUP(B352,[1]characters!$A:$K,11,FALSE)</f>
        <v>dr</v>
      </c>
      <c r="M352" s="7" t="str">
        <f>VLOOKUP(B352,[1]characters!$A:$M,13,FALSE)</f>
        <v>human</v>
      </c>
      <c r="N352" s="7" t="str">
        <f>VLOOKUP(B352,[1]characters!$A:$G,7,FALSE)</f>
        <v>女性</v>
      </c>
      <c r="O352" s="45">
        <f>IFERROR(VLOOKUP(B352,input_497103!L:R,7,FALSE),VLOOKUP(tables_497103!C352,input_497103!A:H,8,FALSE))</f>
        <v>6204000</v>
      </c>
      <c r="P352" s="46">
        <f t="shared" ca="1" si="26"/>
        <v>9.999999999945168E-2</v>
      </c>
      <c r="Q352" s="224">
        <v>60</v>
      </c>
      <c r="R352" s="30">
        <v>0</v>
      </c>
      <c r="S352" s="30">
        <v>0</v>
      </c>
      <c r="T352" s="30">
        <v>0</v>
      </c>
      <c r="U352" s="30">
        <v>0</v>
      </c>
      <c r="V352" s="224">
        <v>5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O7" sqref="O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input_497103!A$2</f>
        <v>497103</v>
      </c>
      <c r="B2" s="60">
        <v>716</v>
      </c>
      <c r="C2" s="7" t="str">
        <f t="shared" ref="C2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平和島静雄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dr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10</v>
      </c>
      <c r="P2" s="46">
        <f>O2/SUM(O:O)</f>
        <v>0.1</v>
      </c>
      <c r="Q2" s="224">
        <v>80</v>
      </c>
      <c r="R2" s="30">
        <v>0</v>
      </c>
      <c r="S2" s="30">
        <v>0</v>
      </c>
      <c r="T2" s="30">
        <v>0</v>
      </c>
      <c r="U2" s="30">
        <v>0</v>
      </c>
      <c r="V2" s="224">
        <v>5</v>
      </c>
    </row>
    <row r="3" spans="1:22" ht="21" customHeight="1" x14ac:dyDescent="0.15">
      <c r="A3" s="2" t="str">
        <f ca="1">input_497103!A$2</f>
        <v>497103</v>
      </c>
      <c r="B3" s="60">
        <v>702</v>
      </c>
      <c r="C3" s="7" t="str">
        <f t="shared" ref="C3:C6" si="1">D3&amp;J3&amp;E3&amp;F3&amp;G3</f>
        <v>Premium4R3less</v>
      </c>
      <c r="D3" s="7" t="str">
        <f t="shared" ref="D3:D6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サイモン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dr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13</v>
      </c>
      <c r="P3" s="46">
        <f>O3/SUM(O:O)</f>
        <v>0.13</v>
      </c>
      <c r="Q3" s="224">
        <v>60</v>
      </c>
      <c r="R3" s="30">
        <v>0</v>
      </c>
      <c r="S3" s="30">
        <v>0</v>
      </c>
      <c r="T3" s="30">
        <v>0</v>
      </c>
      <c r="U3" s="30">
        <v>0</v>
      </c>
      <c r="V3" s="224">
        <v>5</v>
      </c>
    </row>
    <row r="4" spans="1:22" ht="21" customHeight="1" x14ac:dyDescent="0.15">
      <c r="A4" s="2" t="str">
        <f ca="1">input_497103!A$2</f>
        <v>497103</v>
      </c>
      <c r="B4" s="60">
        <v>703</v>
      </c>
      <c r="C4" s="7" t="str">
        <f t="shared" si="1"/>
        <v>Premium5R3less</v>
      </c>
      <c r="D4" s="7" t="str">
        <f t="shared" si="2"/>
        <v>Premium</v>
      </c>
      <c r="E4" s="7" t="str">
        <f>IF(COUNTIF('R6追加前'!A:A,B4)=0,IF(OR(I4="PremiumSS",I4="PremiumSSw"),"R5only","R3less"),"")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豪腕静穏な寿司屋　サイモン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dr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13</v>
      </c>
      <c r="P4" s="46">
        <f>O4/SUM(O:O)</f>
        <v>0.13</v>
      </c>
      <c r="Q4" s="224">
        <v>80</v>
      </c>
      <c r="R4" s="30">
        <v>0</v>
      </c>
      <c r="S4" s="30">
        <v>0</v>
      </c>
      <c r="T4" s="30">
        <v>0</v>
      </c>
      <c r="U4" s="30">
        <v>0</v>
      </c>
      <c r="V4" s="224">
        <v>5</v>
      </c>
    </row>
    <row r="5" spans="1:22" ht="21" customHeight="1" x14ac:dyDescent="0.15">
      <c r="A5" s="2" t="str">
        <f ca="1">input_497103!A$2</f>
        <v>497103</v>
      </c>
      <c r="B5" s="60">
        <v>711</v>
      </c>
      <c r="C5" s="7" t="str">
        <f t="shared" si="1"/>
        <v>Premium4R3less</v>
      </c>
      <c r="D5" s="7" t="str">
        <f t="shared" si="2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平衡調和の取り立て屋　田中トム</v>
      </c>
      <c r="I5" s="7" t="str">
        <f>VLOOKUP(B5,[1]characters!$A:$J,10,FALSE)</f>
        <v>PremiumN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dr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32</v>
      </c>
      <c r="P5" s="46">
        <f>O5/SUM(O:O)</f>
        <v>0.32</v>
      </c>
      <c r="Q5" s="224">
        <v>60</v>
      </c>
      <c r="R5" s="30">
        <v>0</v>
      </c>
      <c r="S5" s="30">
        <v>0</v>
      </c>
      <c r="T5" s="30">
        <v>0</v>
      </c>
      <c r="U5" s="30">
        <v>0</v>
      </c>
      <c r="V5" s="224">
        <v>5</v>
      </c>
    </row>
    <row r="6" spans="1:22" ht="21" customHeight="1" x14ac:dyDescent="0.15">
      <c r="A6" s="2" t="str">
        <f ca="1">input_497103!A$2</f>
        <v>497103</v>
      </c>
      <c r="B6" s="88">
        <v>715</v>
      </c>
      <c r="C6" s="7" t="str">
        <f t="shared" si="1"/>
        <v>Premium4R3less</v>
      </c>
      <c r="D6" s="7" t="str">
        <f t="shared" si="2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小さな殺し屋　粟楠茜</v>
      </c>
      <c r="I6" s="7" t="str">
        <f>VLOOKUP(B6,[1]characters!$A:$J,10,FALSE)</f>
        <v>PremiumN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dr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32</v>
      </c>
      <c r="P6" s="46">
        <f>O6/SUM(O:O)</f>
        <v>0.32</v>
      </c>
      <c r="Q6" s="224">
        <v>60</v>
      </c>
      <c r="R6" s="30">
        <v>0</v>
      </c>
      <c r="S6" s="30">
        <v>0</v>
      </c>
      <c r="T6" s="30">
        <v>0</v>
      </c>
      <c r="U6" s="30">
        <v>0</v>
      </c>
      <c r="V6" s="224">
        <v>5</v>
      </c>
    </row>
  </sheetData>
  <autoFilter ref="A1:V2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N6" sqref="N6:N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497104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716</v>
      </c>
      <c r="M3" s="37" t="str">
        <f>VLOOKUP(L3,[1]characters!$A:$C,3,FALSE)</f>
        <v>平和島静雄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VLOOKUP(L3,tables_497104!B:C,2,FALSE)</f>
        <v>PremiumSS5R5only</v>
      </c>
      <c r="R3" s="62">
        <f t="shared" ref="R3:R20" si="1">N3*A$36</f>
        <v>620400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702</v>
      </c>
      <c r="M4" s="37" t="str">
        <f>VLOOKUP(L4,[1]characters!$A:$C,3,FALSE)</f>
        <v>サイモン</v>
      </c>
      <c r="N4" s="63">
        <v>0.04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VLOOKUP(L4,tables_497104!B:C,2,FALSE)</f>
        <v>Premium4R3less</v>
      </c>
      <c r="R4" s="62">
        <f t="shared" si="1"/>
        <v>2481600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6.0606060606060606E-4</v>
      </c>
      <c r="F5">
        <f>(COUNTIF(tables_497104!C:C,input_497104!A28)+COUNTIF(tables_497104!C:C,input_497104!A29))</f>
        <v>67</v>
      </c>
      <c r="H5" s="84">
        <v>0.01</v>
      </c>
      <c r="I5" s="31">
        <v>1</v>
      </c>
      <c r="L5" s="60">
        <v>703</v>
      </c>
      <c r="M5" s="37" t="str">
        <f>VLOOKUP(L5,[1]characters!$A:$C,3,FALSE)</f>
        <v>豪腕静穏な寿司屋　サイモン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VLOOKUP(L5,tables_497104!B:C,2,FALSE)</f>
        <v>Premium5R3less</v>
      </c>
      <c r="R5" s="62">
        <f t="shared" si="1"/>
        <v>620400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7.4468085106382973E-3</v>
      </c>
      <c r="F6">
        <f>(COUNTIF(tables_497104!C:C,input_497104!A25)+COUNTIF(tables_497104!C:C,input_497104!A18)+COUNTIF(tables_497104!C:C,input_497104!A20)+COUNTIF(tables_497104!C:C,input_497104!A22))</f>
        <v>97</v>
      </c>
      <c r="H6" s="89">
        <v>0.25</v>
      </c>
      <c r="I6" s="31">
        <v>3</v>
      </c>
      <c r="L6" s="90">
        <v>710</v>
      </c>
      <c r="M6" s="37" t="str">
        <f>VLOOKUP(L6,[1]characters!$A:$C,3,FALSE)</f>
        <v>田中トム</v>
      </c>
      <c r="N6" s="63">
        <v>0</v>
      </c>
      <c r="O6" s="37">
        <f>VLOOKUP(L6,[1]characters!$A:$I,9,FALSE)</f>
        <v>3</v>
      </c>
      <c r="P6" s="37" t="str">
        <f>VLOOKUP(L6,[1]characters!$A:$J,10,FALSE)</f>
        <v>PremiumN</v>
      </c>
      <c r="Q6" s="37" t="str">
        <f>VLOOKUP(L6,tables_497104!B:C,2,FALSE)</f>
        <v>Premium3R3less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711</v>
      </c>
      <c r="M7" s="37" t="str">
        <f>VLOOKUP(L7,[1]characters!$A:$C,3,FALSE)</f>
        <v>平衡調和の取り立て屋　田中トム</v>
      </c>
      <c r="N7" s="63">
        <v>0.1</v>
      </c>
      <c r="O7" s="37">
        <f>VLOOKUP(L7,[1]characters!$A:$I,9,FALSE)</f>
        <v>4</v>
      </c>
      <c r="P7" s="37" t="str">
        <f>VLOOKUP(L7,[1]characters!$A:$J,10,FALSE)</f>
        <v>PremiumN</v>
      </c>
      <c r="Q7" s="37" t="str">
        <f>VLOOKUP(L7,tables_497104!B:C,2,FALSE)</f>
        <v>Premium4R3less</v>
      </c>
      <c r="R7" s="62">
        <f t="shared" si="1"/>
        <v>6204000</v>
      </c>
      <c r="S7">
        <v>597</v>
      </c>
      <c r="U7" s="33" t="s">
        <v>196</v>
      </c>
      <c r="V7" s="54">
        <f t="shared" si="0"/>
        <v>0.24000000000000002</v>
      </c>
    </row>
    <row r="8" spans="1:22" x14ac:dyDescent="0.15">
      <c r="A8" s="57"/>
      <c r="B8" s="71"/>
      <c r="E8" s="76"/>
      <c r="L8" s="60">
        <v>714</v>
      </c>
      <c r="M8" s="37" t="str">
        <f>VLOOKUP(L8,[1]characters!$A:$C,3,FALSE)</f>
        <v>粟楠茜</v>
      </c>
      <c r="N8" s="63">
        <v>0</v>
      </c>
      <c r="O8" s="37">
        <f>VLOOKUP(L8,[1]characters!$A:$I,9,FALSE)</f>
        <v>3</v>
      </c>
      <c r="P8" s="37" t="str">
        <f>VLOOKUP(L8,[1]characters!$A:$J,10,FALSE)</f>
        <v>PremiumN</v>
      </c>
      <c r="Q8" s="37" t="str">
        <f>VLOOKUP(L8,tables_497104!B:C,2,FALSE)</f>
        <v>Premium3R3less</v>
      </c>
      <c r="R8" s="62">
        <f t="shared" si="1"/>
        <v>0</v>
      </c>
      <c r="S8">
        <v>598</v>
      </c>
      <c r="U8" s="33" t="s">
        <v>197</v>
      </c>
      <c r="V8" s="54">
        <f t="shared" si="0"/>
        <v>0.01</v>
      </c>
    </row>
    <row r="9" spans="1:22" x14ac:dyDescent="0.15">
      <c r="A9" s="35" t="s">
        <v>54</v>
      </c>
      <c r="B9" s="35"/>
      <c r="L9" s="88">
        <v>715</v>
      </c>
      <c r="M9" s="37" t="str">
        <f>VLOOKUP(L9,[1]characters!$A:$C,3,FALSE)</f>
        <v>小さな殺し屋　粟楠茜</v>
      </c>
      <c r="N9" s="63">
        <v>0.1</v>
      </c>
      <c r="O9" s="37">
        <f>VLOOKUP(L9,[1]characters!$A:$I,9,FALSE)</f>
        <v>4</v>
      </c>
      <c r="P9" s="37" t="str">
        <f>VLOOKUP(L9,[1]characters!$A:$J,10,FALSE)</f>
        <v>PremiumN</v>
      </c>
      <c r="Q9" s="37" t="str">
        <f>VLOOKUP(L9,tables_497104!B:C,2,FALSE)</f>
        <v>Premium4R3less</v>
      </c>
      <c r="R9" s="62">
        <f t="shared" si="1"/>
        <v>6204000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VLOOKUP(L10,tables_497104!B:C,2,FALSE)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VLOOKUP(L11,tables_497104!B:C,2,FALSE)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VLOOKUP(L12,tables_497104!B:C,2,FALSE)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VLOOKUP(L13,tables_497104!B:C,2,FALSE)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VLOOKUP(L14,tables_497104!B:C,2,FALSE)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0.01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VLOOKUP(L15,tables_497104!B:C,2,FALSE)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VLOOKUP(L16,tables_497104!B:C,2,FALSE)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B$5-B19-B24-E33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COUNTIF(tables_497104!C:C,input_497104!A17)-COUNTIF(Q:Q,A17)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VLOOKUP(L17,tables_497104!B:C,2,FALSE)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0.20760219213829706</v>
      </c>
      <c r="C18" s="85">
        <f t="shared" si="2"/>
        <v>0</v>
      </c>
      <c r="D18" s="74">
        <f t="shared" si="3"/>
        <v>0.20760219213829706</v>
      </c>
      <c r="E18">
        <f>COUNTIF(tables_497104!C:C,input_497104!A18)-COUNTIF(Q:Q,A18)</f>
        <v>20</v>
      </c>
      <c r="F18" s="43">
        <f>IFERROR(B18/E18,0)</f>
        <v>1.0380109606914854E-2</v>
      </c>
      <c r="G18">
        <f t="shared" si="4"/>
        <v>12879640.000259949</v>
      </c>
      <c r="H18">
        <f t="shared" si="5"/>
        <v>643982.00000999996</v>
      </c>
      <c r="I18">
        <f t="shared" si="6"/>
        <v>9.9999597296118736E-6</v>
      </c>
      <c r="J18">
        <f t="shared" si="7"/>
        <v>100000.40270550297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VLOOKUP(L18,tables_497104!B:C,2,FALSE)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COUNTIF(tables_497104!C:C,input_497104!A19)-COUNTIF(Q:Q,A19)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VLOOKUP(L19,tables_497104!B:C,2,FALSE)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E$6*E20*B$6-0.04-G49</f>
        <v>0.31287234042807699</v>
      </c>
      <c r="C20" s="85">
        <f t="shared" si="2"/>
        <v>0</v>
      </c>
      <c r="D20" s="74">
        <f t="shared" si="3"/>
        <v>0.31287234042807699</v>
      </c>
      <c r="E20">
        <f>COUNTIF(tables_497104!C:C,input_497104!A20)-COUNTIF(Q:Q,A20)</f>
        <v>52</v>
      </c>
      <c r="F20" s="43">
        <f t="shared" si="8"/>
        <v>6.0167757774630187E-3</v>
      </c>
      <c r="G20">
        <f t="shared" si="4"/>
        <v>19410600.000157896</v>
      </c>
      <c r="H20">
        <f t="shared" si="5"/>
        <v>373280.76922999998</v>
      </c>
      <c r="I20">
        <f t="shared" si="6"/>
        <v>0.76922999997623265</v>
      </c>
      <c r="J20">
        <f t="shared" si="7"/>
        <v>1.300001300041467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VLOOKUP(L20,tables_497104!B:C,2,FALSE)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1.5695680206318511E-2</v>
      </c>
      <c r="C21" s="85">
        <f t="shared" si="2"/>
        <v>0</v>
      </c>
      <c r="D21" s="74">
        <f t="shared" si="3"/>
        <v>1.5695680206318511E-2</v>
      </c>
      <c r="E21">
        <f>COUNTIF(tables_497104!C:C,input_497104!A21)-COUNTIF(Q:Q,A21)</f>
        <v>52</v>
      </c>
      <c r="F21" s="43">
        <f t="shared" si="8"/>
        <v>3.0184000396766365E-4</v>
      </c>
      <c r="G21">
        <f t="shared" si="4"/>
        <v>973760.00000000047</v>
      </c>
      <c r="H21">
        <f t="shared" si="5"/>
        <v>18726.153849999999</v>
      </c>
      <c r="I21">
        <f t="shared" si="6"/>
        <v>0.15384999999878346</v>
      </c>
      <c r="J21">
        <f t="shared" si="7"/>
        <v>6.4998375041137946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0.1301063829787234</v>
      </c>
      <c r="C22" s="85">
        <f t="shared" si="2"/>
        <v>0.24000000000000002</v>
      </c>
      <c r="D22" s="74">
        <f t="shared" si="3"/>
        <v>-0.10989361702127662</v>
      </c>
      <c r="E22">
        <f>COUNTIF(tables_497104!C:C,input_497104!A22)-COUNTIF(Q:Q,A22)</f>
        <v>18</v>
      </c>
      <c r="F22" s="43">
        <f t="shared" si="8"/>
        <v>7.2281323877068553E-3</v>
      </c>
      <c r="G22">
        <f t="shared" si="4"/>
        <v>8071800</v>
      </c>
      <c r="H22">
        <f t="shared" si="5"/>
        <v>448433.33332999999</v>
      </c>
      <c r="I22">
        <f t="shared" si="6"/>
        <v>0.33332999999402091</v>
      </c>
      <c r="J22">
        <f t="shared" si="7"/>
        <v>3.0000300003538158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E23*E6*B7-E36-0.005</f>
        <v>3.936170212765956E-3</v>
      </c>
      <c r="C23" s="85">
        <f t="shared" si="2"/>
        <v>0.01</v>
      </c>
      <c r="D23" s="74">
        <f t="shared" si="3"/>
        <v>-6.0638297872340442E-3</v>
      </c>
      <c r="E23">
        <f>COUNTIF(tables_497104!C:C,input_497104!A23)-COUNTIF(Q:Q,A23)</f>
        <v>24</v>
      </c>
      <c r="F23" s="43">
        <f t="shared" si="8"/>
        <v>1.6400709219858151E-4</v>
      </c>
      <c r="G23">
        <f t="shared" si="4"/>
        <v>244199.99999999991</v>
      </c>
      <c r="H23">
        <f t="shared" si="5"/>
        <v>10175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COUNTIF(tables_497104!C:C,input_497104!A24)-COUNTIF(Q:Q,A24)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2.829787234042553E-2</v>
      </c>
      <c r="C25" s="85">
        <f t="shared" si="2"/>
        <v>0</v>
      </c>
      <c r="D25" s="74">
        <f t="shared" si="3"/>
        <v>2.829787234042553E-2</v>
      </c>
      <c r="E25">
        <f>COUNTIF(tables_497104!C:C,input_497104!A25)-COUNTIF(Q:Q,A25)</f>
        <v>4</v>
      </c>
      <c r="F25" s="43">
        <f t="shared" si="8"/>
        <v>7.0744680851063824E-3</v>
      </c>
      <c r="G25">
        <f t="shared" si="4"/>
        <v>1755599.9999999998</v>
      </c>
      <c r="H25">
        <f t="shared" si="5"/>
        <v>438900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1.4893617021276596E-3</v>
      </c>
      <c r="C26" s="85">
        <f t="shared" si="2"/>
        <v>0</v>
      </c>
      <c r="D26" s="74">
        <f t="shared" si="3"/>
        <v>1.4893617021276596E-3</v>
      </c>
      <c r="E26">
        <f>COUNTIF(tables_497104!C:C,input_497104!A26)-COUNTIF(Q:Q,A26)</f>
        <v>4</v>
      </c>
      <c r="F26" s="43">
        <f t="shared" si="8"/>
        <v>3.7234042553191491E-4</v>
      </c>
      <c r="G26">
        <f t="shared" si="4"/>
        <v>92400</v>
      </c>
      <c r="H26">
        <f t="shared" si="5"/>
        <v>23100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3.1121212118667009E-2</v>
      </c>
      <c r="C27" s="85">
        <f t="shared" si="2"/>
        <v>0</v>
      </c>
      <c r="D27" s="74">
        <f t="shared" si="3"/>
        <v>3.1121212118667009E-2</v>
      </c>
      <c r="E27">
        <f>COUNTIF(tables_497104!C:C,input_497104!A27)-COUNTIF(Q:Q,A27)</f>
        <v>28</v>
      </c>
      <c r="F27" s="43">
        <f>IFERROR(B27/E27,0)</f>
        <v>1.1114718613809645E-3</v>
      </c>
      <c r="G27">
        <f t="shared" si="4"/>
        <v>1930759.9998421012</v>
      </c>
      <c r="H27">
        <f t="shared" si="5"/>
        <v>68955.71428</v>
      </c>
      <c r="I27">
        <f t="shared" si="6"/>
        <v>0.71428000000014435</v>
      </c>
      <c r="J27">
        <f t="shared" si="7"/>
        <v>1.4000112000893177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8.484848484848484E-4</v>
      </c>
      <c r="C28" s="85">
        <f t="shared" si="2"/>
        <v>0</v>
      </c>
      <c r="D28" s="74">
        <f t="shared" si="3"/>
        <v>8.484848484848484E-4</v>
      </c>
      <c r="E28">
        <f>COUNTIF(tables_497104!C:C,input_497104!A28)-COUNTIF(Q:Q,A28)</f>
        <v>28</v>
      </c>
      <c r="F28" s="43">
        <f t="shared" si="8"/>
        <v>3.0303030303030299E-5</v>
      </c>
      <c r="G28">
        <f t="shared" si="4"/>
        <v>52639.999999999993</v>
      </c>
      <c r="H28">
        <f t="shared" si="5"/>
        <v>1880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E$5*E29-0.015</f>
        <v>8.03030303030303E-3</v>
      </c>
      <c r="C29" s="85">
        <f t="shared" si="2"/>
        <v>0.01</v>
      </c>
      <c r="D29" s="74">
        <f t="shared" si="3"/>
        <v>-1.9696969696969702E-3</v>
      </c>
      <c r="E29">
        <f>COUNTIF(tables_497104!C:C,input_497104!A29)-COUNTIF(Q:Q,A29)</f>
        <v>38</v>
      </c>
      <c r="F29" s="43">
        <f t="shared" si="8"/>
        <v>2.1132376395534288E-4</v>
      </c>
      <c r="G29">
        <f t="shared" si="4"/>
        <v>498200</v>
      </c>
      <c r="H29">
        <f t="shared" si="5"/>
        <v>13110.526320000001</v>
      </c>
      <c r="I29">
        <f t="shared" si="6"/>
        <v>0.526320000000851</v>
      </c>
      <c r="J29">
        <f t="shared" si="7"/>
        <v>1.8999848001185269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COUNTIF(tables_497104!C:C,input_497104!A30)-COUNTIF(Q:Q,A30)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COUNTIF(tables_497104!C:C,input_497104!A31)-COUNTIF(Q:Q,A31)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0.74000000000418997</v>
      </c>
      <c r="C32" s="41">
        <f>SUM(C19:C31)</f>
        <v>0.26</v>
      </c>
      <c r="D32" s="42">
        <f t="shared" si="3"/>
        <v>0.48000000000418996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1.8666021925531101E-2</v>
      </c>
      <c r="F34" s="55">
        <f ca="1">G41-0.85</f>
        <v>9.999999999903364E-2</v>
      </c>
    </row>
    <row r="35" spans="1:7" x14ac:dyDescent="0.15">
      <c r="A35" t="s">
        <v>73</v>
      </c>
      <c r="E35">
        <v>0.02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SUMIF(tables_497104!C:C,input_497104!A40,tables_497104!O:O)</f>
        <v>0</v>
      </c>
      <c r="C40" s="54">
        <f t="shared" ref="C40:C46" ca="1" si="9">B40/B$47</f>
        <v>0</v>
      </c>
      <c r="E40">
        <v>3</v>
      </c>
      <c r="F40">
        <f ca="1">SUMIF(tables_497104!J:J,input_497104!E40,tables_497104!O:O)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SUMIF(tables_497104!C:C,input_497104!A41,tables_497104!O:O)</f>
        <v>19410599.999960016</v>
      </c>
      <c r="C41" s="54">
        <f t="shared" ca="1" si="9"/>
        <v>0.86779364585278107</v>
      </c>
      <c r="E41">
        <v>4</v>
      </c>
      <c r="F41">
        <f ca="1">SUMIF(tables_497104!J:J,input_497104!E41,tables_497104!O:O)</f>
        <v>58937999.999940045</v>
      </c>
      <c r="G41">
        <f ca="1">F41/A36</f>
        <v>0.94999999999903362</v>
      </c>
    </row>
    <row r="42" spans="1:7" x14ac:dyDescent="0.15">
      <c r="A42" s="33" t="s">
        <v>106</v>
      </c>
      <c r="B42">
        <f ca="1">SUMIF(tables_497104!C:C,input_497104!A42,tables_497104!O:O)</f>
        <v>1930759.9998399992</v>
      </c>
      <c r="C42" s="54">
        <f t="shared" ca="1" si="9"/>
        <v>8.6318880381406005E-2</v>
      </c>
      <c r="E42">
        <v>5</v>
      </c>
      <c r="F42">
        <f ca="1">SUMIF(tables_497104!J:J,input_497104!E42,tables_497104!O:O)</f>
        <v>3102000.0003599972</v>
      </c>
      <c r="G42">
        <f ca="1">F42/A36</f>
        <v>5.000000000580266E-2</v>
      </c>
    </row>
    <row r="43" spans="1:7" x14ac:dyDescent="0.15">
      <c r="A43" s="33" t="s">
        <v>109</v>
      </c>
      <c r="B43">
        <f>SUMIF(tables_497104!C:C,input_497104!A43,tables_497104!O:O)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SUMIF(tables_497104!C:C,input_497104!A44,tables_497104!O:O)</f>
        <v>973760.00020000001</v>
      </c>
      <c r="C44" s="54">
        <f t="shared" ca="1" si="9"/>
        <v>4.3534086569240703E-2</v>
      </c>
      <c r="E44" t="s">
        <v>54</v>
      </c>
      <c r="F44" s="55"/>
    </row>
    <row r="45" spans="1:7" x14ac:dyDescent="0.15">
      <c r="A45" s="33" t="s">
        <v>107</v>
      </c>
      <c r="B45">
        <f ca="1">SUMIF(tables_497104!C:C,input_497104!A45,tables_497104!O:O)</f>
        <v>52640</v>
      </c>
      <c r="C45" s="54">
        <f t="shared" ca="1" si="9"/>
        <v>2.3533871965722079E-3</v>
      </c>
      <c r="E45" t="s">
        <v>204</v>
      </c>
      <c r="F45" s="55">
        <f ca="1">SUMIF(tables_497104!I:I,input_497104!E45,tables_497104!P:P)</f>
        <v>0.20858623468951315</v>
      </c>
    </row>
    <row r="46" spans="1:7" x14ac:dyDescent="0.15">
      <c r="A46" s="33" t="s">
        <v>108</v>
      </c>
      <c r="B46">
        <f>SUMIF(tables_497104!C:C,input_497104!A46,tables_497104!O:O)</f>
        <v>0</v>
      </c>
      <c r="C46" s="54">
        <f t="shared" ca="1" si="9"/>
        <v>0</v>
      </c>
      <c r="E46" t="s">
        <v>205</v>
      </c>
      <c r="F46" s="55">
        <f ca="1">SUMIF(tables_497104!I:I,input_497104!E46,tables_497104!P:P)</f>
        <v>0.32975689381465217</v>
      </c>
    </row>
    <row r="47" spans="1:7" x14ac:dyDescent="0.15">
      <c r="A47" s="39" t="s">
        <v>59</v>
      </c>
      <c r="B47">
        <f ca="1">SUM(B40:B46)</f>
        <v>22367760.000000015</v>
      </c>
      <c r="C47" s="55">
        <f ca="1">SUM(C40:C46)</f>
        <v>1</v>
      </c>
      <c r="E47" t="s">
        <v>206</v>
      </c>
      <c r="F47" s="55">
        <f ca="1">SUMIF(tables_497104!I:I,input_497104!E47,tables_497104!P:P)</f>
        <v>0.41165687149607377</v>
      </c>
    </row>
    <row r="48" spans="1:7" x14ac:dyDescent="0.15">
      <c r="E48" t="s">
        <v>207</v>
      </c>
      <c r="F48" s="55">
        <f ca="1">SUMIF(tables_497104!I:I,input_497104!E48,tables_497104!P:P)</f>
        <v>4.8520733651602685E-2</v>
      </c>
      <c r="G48" s="55">
        <f ca="1">0.05-F48-F49</f>
        <v>2.4199869538832353E-13</v>
      </c>
    </row>
    <row r="49" spans="5:7" x14ac:dyDescent="0.15">
      <c r="E49" t="s">
        <v>247</v>
      </c>
      <c r="F49" s="55">
        <f ca="1">SUMIF(tables_497104!I:I,input_497104!E49,tables_497104!P:P)</f>
        <v>1.4792663481553192E-3</v>
      </c>
      <c r="G49">
        <v>1.4999999997454888E-2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2"/>
  <sheetViews>
    <sheetView showGridLines="0" zoomScale="75" zoomScaleNormal="75" zoomScalePageLayoutView="75" workbookViewId="0">
      <pane ySplit="1" topLeftCell="A321" activePane="bottomLeft" state="frozen"/>
      <selection activeCell="D34" sqref="D34"/>
      <selection pane="bottomLeft" activeCell="Q346" sqref="Q346:V35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input_497104!A$2</f>
        <v>497104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IFERROR(VLOOKUP(B2,input_497104!L:R,7,FALSE),VLOOKUP(tables_497104!C2,input_497104!A:H,8,FALSE))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input_497104!A$2</f>
        <v>497104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IFERROR(VLOOKUP(B3,input_497104!L:R,7,FALSE),VLOOKUP(tables_497104!C3,input_497104!A:H,8,FALSE))</f>
        <v>643982.00000999996</v>
      </c>
      <c r="P3" s="46">
        <f t="shared" ca="1" si="1"/>
        <v>1.0380109606816318E-2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input_497104!A$2</f>
        <v>497104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IFERROR(VLOOKUP(B4,input_497104!L:R,7,FALSE),VLOOKUP(tables_497104!C4,input_497104!A:H,8,FALSE))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input_497104!A$2</f>
        <v>497104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IFERROR(VLOOKUP(B5,input_497104!L:R,7,FALSE),VLOOKUP(tables_497104!C5,input_497104!A:H,8,FALSE))</f>
        <v>643982.00000999996</v>
      </c>
      <c r="P5" s="46">
        <f t="shared" ca="1" si="1"/>
        <v>1.0380109606816318E-2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input_497104!A$2</f>
        <v>497104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IFERROR(VLOOKUP(B6,input_497104!L:R,7,FALSE),VLOOKUP(tables_497104!C6,input_497104!A:H,8,FALSE))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input_497104!A$2</f>
        <v>497104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IFERROR(VLOOKUP(B7,input_497104!L:R,7,FALSE),VLOOKUP(tables_497104!C7,input_497104!A:H,8,FALSE))</f>
        <v>643982.00000999996</v>
      </c>
      <c r="P7" s="46">
        <f t="shared" ca="1" si="1"/>
        <v>1.0380109606816318E-2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input_497104!A$2</f>
        <v>497104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IFERROR(VLOOKUP(B8,input_497104!L:R,7,FALSE),VLOOKUP(tables_497104!C8,input_497104!A:H,8,FALSE))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input_497104!A$2</f>
        <v>497104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IFERROR(VLOOKUP(B9,input_497104!L:R,7,FALSE),VLOOKUP(tables_497104!C9,input_497104!A:H,8,FALSE))</f>
        <v>643982.00000999996</v>
      </c>
      <c r="P9" s="46">
        <f t="shared" ca="1" si="1"/>
        <v>1.0380109606816318E-2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input_497104!A$2</f>
        <v>497104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IFERROR(VLOOKUP(B10,input_497104!L:R,7,FALSE),VLOOKUP(tables_497104!C10,input_497104!A:H,8,FALSE))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input_497104!A$2</f>
        <v>497104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IFERROR(VLOOKUP(B11,input_497104!L:R,7,FALSE),VLOOKUP(tables_497104!C11,input_497104!A:H,8,FALSE))</f>
        <v>643982.00000999996</v>
      </c>
      <c r="P11" s="46">
        <f t="shared" ca="1" si="1"/>
        <v>1.0380109606816318E-2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input_497104!A$2</f>
        <v>497104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IFERROR(VLOOKUP(B12,input_497104!L:R,7,FALSE),VLOOKUP(tables_497104!C12,input_497104!A:H,8,FALSE))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input_497104!A$2</f>
        <v>497104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IFERROR(VLOOKUP(B13,input_497104!L:R,7,FALSE),VLOOKUP(tables_497104!C13,input_497104!A:H,8,FALSE))</f>
        <v>643982.00000999996</v>
      </c>
      <c r="P13" s="46">
        <f t="shared" ca="1" si="1"/>
        <v>1.0380109606816318E-2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input_497104!A$2</f>
        <v>497104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IFERROR(VLOOKUP(B14,input_497104!L:R,7,FALSE),VLOOKUP(tables_497104!C14,input_497104!A:H,8,FALSE))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input_497104!A$2</f>
        <v>497104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IFERROR(VLOOKUP(B15,input_497104!L:R,7,FALSE),VLOOKUP(tables_497104!C15,input_497104!A:H,8,FALSE))</f>
        <v>643982.00000999996</v>
      </c>
      <c r="P15" s="46">
        <f t="shared" ca="1" si="1"/>
        <v>1.0380109606816318E-2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input_497104!A$2</f>
        <v>497104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IFERROR(VLOOKUP(B16,input_497104!L:R,7,FALSE),VLOOKUP(tables_497104!C16,input_497104!A:H,8,FALSE))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input_497104!A$2</f>
        <v>497104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IFERROR(VLOOKUP(B17,input_497104!L:R,7,FALSE),VLOOKUP(tables_497104!C17,input_497104!A:H,8,FALSE))</f>
        <v>643982.00000999996</v>
      </c>
      <c r="P17" s="46">
        <f t="shared" ca="1" si="1"/>
        <v>1.0380109606816318E-2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input_497104!A$2</f>
        <v>497104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IFERROR(VLOOKUP(B18,input_497104!L:R,7,FALSE),VLOOKUP(tables_497104!C18,input_497104!A:H,8,FALSE))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input_497104!A$2</f>
        <v>497104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IFERROR(VLOOKUP(B19,input_497104!L:R,7,FALSE),VLOOKUP(tables_497104!C19,input_497104!A:H,8,FALSE))</f>
        <v>643982.00000999996</v>
      </c>
      <c r="P19" s="46">
        <f t="shared" ca="1" si="1"/>
        <v>1.0380109606816318E-2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input_497104!A$2</f>
        <v>497104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IFERROR(VLOOKUP(B20,input_497104!L:R,7,FALSE),VLOOKUP(tables_497104!C20,input_497104!A:H,8,FALSE))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input_497104!A$2</f>
        <v>497104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IFERROR(VLOOKUP(B21,input_497104!L:R,7,FALSE),VLOOKUP(tables_497104!C21,input_497104!A:H,8,FALSE))</f>
        <v>643982.00000999996</v>
      </c>
      <c r="P21" s="46">
        <f t="shared" ca="1" si="1"/>
        <v>1.0380109606816318E-2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input_497104!A$2</f>
        <v>497104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IFERROR(VLOOKUP(B22,input_497104!L:R,7,FALSE),VLOOKUP(tables_497104!C22,input_497104!A:H,8,FALSE))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input_497104!A$2</f>
        <v>497104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IFERROR(VLOOKUP(B23,input_497104!L:R,7,FALSE),VLOOKUP(tables_497104!C23,input_497104!A:H,8,FALSE))</f>
        <v>643982.00000999996</v>
      </c>
      <c r="P23" s="46">
        <f t="shared" ca="1" si="1"/>
        <v>1.0380109606816318E-2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input_497104!A$2</f>
        <v>497104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IFERROR(VLOOKUP(B24,input_497104!L:R,7,FALSE),VLOOKUP(tables_497104!C24,input_497104!A:H,8,FALSE))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input_497104!A$2</f>
        <v>497104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IFERROR(VLOOKUP(B25,input_497104!L:R,7,FALSE),VLOOKUP(tables_497104!C25,input_497104!A:H,8,FALSE))</f>
        <v>643982.00000999996</v>
      </c>
      <c r="P25" s="46">
        <f t="shared" ca="1" si="1"/>
        <v>1.0380109606816318E-2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input_497104!A$2</f>
        <v>497104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IFERROR(VLOOKUP(B26,input_497104!L:R,7,FALSE),VLOOKUP(tables_497104!C26,input_497104!A:H,8,FALSE))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input_497104!A$2</f>
        <v>497104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IFERROR(VLOOKUP(B27,input_497104!L:R,7,FALSE),VLOOKUP(tables_497104!C27,input_497104!A:H,8,FALSE))</f>
        <v>643982.00000999996</v>
      </c>
      <c r="P27" s="46">
        <f t="shared" ca="1" si="1"/>
        <v>1.0380109606816318E-2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input_497104!A$2</f>
        <v>497104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IFERROR(VLOOKUP(B28,input_497104!L:R,7,FALSE),VLOOKUP(tables_497104!C28,input_497104!A:H,8,FALSE))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input_497104!A$2</f>
        <v>497104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IFERROR(VLOOKUP(B29,input_497104!L:R,7,FALSE),VLOOKUP(tables_497104!C29,input_497104!A:H,8,FALSE))</f>
        <v>643982.00000999996</v>
      </c>
      <c r="P29" s="46">
        <f t="shared" ca="1" si="1"/>
        <v>1.0380109606816318E-2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input_497104!A$2</f>
        <v>497104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IFERROR(VLOOKUP(B30,input_497104!L:R,7,FALSE),VLOOKUP(tables_497104!C30,input_497104!A:H,8,FALSE))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input_497104!A$2</f>
        <v>497104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IFERROR(VLOOKUP(B31,input_497104!L:R,7,FALSE),VLOOKUP(tables_497104!C31,input_497104!A:H,8,FALSE))</f>
        <v>643982.00000999996</v>
      </c>
      <c r="P31" s="46">
        <f t="shared" ca="1" si="1"/>
        <v>1.0380109606816318E-2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input_497104!A$2</f>
        <v>497104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IFERROR(VLOOKUP(B32,input_497104!L:R,7,FALSE),VLOOKUP(tables_497104!C32,input_497104!A:H,8,FALSE))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input_497104!A$2</f>
        <v>497104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IFERROR(VLOOKUP(B33,input_497104!L:R,7,FALSE),VLOOKUP(tables_497104!C33,input_497104!A:H,8,FALSE))</f>
        <v>643982.00000999996</v>
      </c>
      <c r="P33" s="46">
        <f t="shared" ca="1" si="1"/>
        <v>1.0380109606816318E-2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input_497104!A$2</f>
        <v>497104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IFERROR(VLOOKUP(B34,input_497104!L:R,7,FALSE),VLOOKUP(tables_497104!C34,input_497104!A:H,8,FALSE))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input_497104!A$2</f>
        <v>497104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IFERROR(VLOOKUP(B35,input_497104!L:R,7,FALSE),VLOOKUP(tables_497104!C35,input_497104!A:H,8,FALSE))</f>
        <v>643982.00000999996</v>
      </c>
      <c r="P35" s="46">
        <f t="shared" ca="1" si="1"/>
        <v>1.0380109606816318E-2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input_497104!A$2</f>
        <v>497104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IFERROR(VLOOKUP(B36,input_497104!L:R,7,FALSE),VLOOKUP(tables_497104!C36,input_497104!A:H,8,FALSE))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input_497104!A$2</f>
        <v>497104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IFERROR(VLOOKUP(B37,input_497104!L:R,7,FALSE),VLOOKUP(tables_497104!C37,input_497104!A:H,8,FALSE))</f>
        <v>643982.00000999996</v>
      </c>
      <c r="P37" s="46">
        <f t="shared" ca="1" si="1"/>
        <v>1.0380109606816318E-2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input_497104!A$2</f>
        <v>497104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IFERROR(VLOOKUP(B38,input_497104!L:R,7,FALSE),VLOOKUP(tables_497104!C38,input_497104!A:H,8,FALSE))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input_497104!A$2</f>
        <v>497104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IFERROR(VLOOKUP(B39,input_497104!L:R,7,FALSE),VLOOKUP(tables_497104!C39,input_497104!A:H,8,FALSE))</f>
        <v>643982.00000999996</v>
      </c>
      <c r="P39" s="46">
        <f t="shared" ca="1" si="1"/>
        <v>1.0380109606816318E-2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input_497104!A$2</f>
        <v>497104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IFERROR(VLOOKUP(B40,input_497104!L:R,7,FALSE),VLOOKUP(tables_497104!C40,input_497104!A:H,8,FALSE))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input_497104!A$2</f>
        <v>497104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IFERROR(VLOOKUP(B41,input_497104!L:R,7,FALSE),VLOOKUP(tables_497104!C41,input_497104!A:H,8,FALSE))</f>
        <v>643982.00000999996</v>
      </c>
      <c r="P41" s="46">
        <f t="shared" ca="1" si="1"/>
        <v>1.0380109606816318E-2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input_497104!A$2</f>
        <v>497104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IFERROR(VLOOKUP(B42,input_497104!L:R,7,FALSE),VLOOKUP(tables_497104!C42,input_497104!A:H,8,FALSE))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input_497104!A$2</f>
        <v>497104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IFERROR(VLOOKUP(B43,input_497104!L:R,7,FALSE),VLOOKUP(tables_497104!C43,input_497104!A:H,8,FALSE))</f>
        <v>438900</v>
      </c>
      <c r="P43" s="46">
        <f t="shared" ca="1" si="1"/>
        <v>7.0744680850721572E-3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input_497104!A$2</f>
        <v>497104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IFERROR(VLOOKUP(B44,input_497104!L:R,7,FALSE),VLOOKUP(tables_497104!C44,input_497104!A:H,8,FALSE))</f>
        <v>23100</v>
      </c>
      <c r="P44" s="46">
        <f t="shared" ca="1" si="1"/>
        <v>3.7234042553011351E-4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input_497104!A$2</f>
        <v>497104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IFERROR(VLOOKUP(B45,input_497104!L:R,7,FALSE),VLOOKUP(tables_497104!C45,input_497104!A:H,8,FALSE))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input_497104!A$2</f>
        <v>497104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IFERROR(VLOOKUP(B46,input_497104!L:R,7,FALSE),VLOOKUP(tables_497104!C46,input_497104!A:H,8,FALSE))</f>
        <v>438900</v>
      </c>
      <c r="P46" s="46">
        <f t="shared" ca="1" si="1"/>
        <v>7.0744680850721572E-3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input_497104!A$2</f>
        <v>497104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IFERROR(VLOOKUP(B47,input_497104!L:R,7,FALSE),VLOOKUP(tables_497104!C47,input_497104!A:H,8,FALSE))</f>
        <v>23100</v>
      </c>
      <c r="P47" s="46">
        <f t="shared" ca="1" si="1"/>
        <v>3.7234042553011351E-4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input_497104!A$2</f>
        <v>497104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IFERROR(VLOOKUP(B48,input_497104!L:R,7,FALSE),VLOOKUP(tables_497104!C48,input_497104!A:H,8,FALSE))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input_497104!A$2</f>
        <v>497104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IFERROR(VLOOKUP(B49,input_497104!L:R,7,FALSE),VLOOKUP(tables_497104!C49,input_497104!A:H,8,FALSE))</f>
        <v>438900</v>
      </c>
      <c r="P49" s="46">
        <f t="shared" ca="1" si="1"/>
        <v>7.0744680850721572E-3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input_497104!A$2</f>
        <v>497104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IFERROR(VLOOKUP(B50,input_497104!L:R,7,FALSE),VLOOKUP(tables_497104!C50,input_497104!A:H,8,FALSE))</f>
        <v>23100</v>
      </c>
      <c r="P50" s="46">
        <f t="shared" ca="1" si="1"/>
        <v>3.7234042553011351E-4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input_497104!A$2</f>
        <v>497104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IFERROR(VLOOKUP(B51,input_497104!L:R,7,FALSE),VLOOKUP(tables_497104!C51,input_497104!A:H,8,FALSE))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input_497104!A$2</f>
        <v>497104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IFERROR(VLOOKUP(B52,input_497104!L:R,7,FALSE),VLOOKUP(tables_497104!C52,input_497104!A:H,8,FALSE))</f>
        <v>373280.76922999998</v>
      </c>
      <c r="P52" s="46">
        <f t="shared" ca="1" si="1"/>
        <v>6.0167757773725667E-3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input_497104!A$2</f>
        <v>497104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IFERROR(VLOOKUP(B53,input_497104!L:R,7,FALSE),VLOOKUP(tables_497104!C53,input_497104!A:H,8,FALSE))</f>
        <v>18726.153849999999</v>
      </c>
      <c r="P53" s="46">
        <f t="shared" ca="1" si="1"/>
        <v>3.0184000402819797E-4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input_497104!A$2</f>
        <v>497104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IFERROR(VLOOKUP(B54,input_497104!L:R,7,FALSE),VLOOKUP(tables_497104!C54,input_497104!A:H,8,FALSE))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input_497104!A$2</f>
        <v>497104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IFERROR(VLOOKUP(B55,input_497104!L:R,7,FALSE),VLOOKUP(tables_497104!C55,input_497104!A:H,8,FALSE))</f>
        <v>373280.76922999998</v>
      </c>
      <c r="P55" s="46">
        <f t="shared" ca="1" si="1"/>
        <v>6.0167757773725667E-3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input_497104!A$2</f>
        <v>497104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IFERROR(VLOOKUP(B56,input_497104!L:R,7,FALSE),VLOOKUP(tables_497104!C56,input_497104!A:H,8,FALSE))</f>
        <v>18726.153849999999</v>
      </c>
      <c r="P56" s="46">
        <f t="shared" ca="1" si="1"/>
        <v>3.0184000402819797E-4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input_497104!A$2</f>
        <v>497104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IFERROR(VLOOKUP(B57,input_497104!L:R,7,FALSE),VLOOKUP(tables_497104!C57,input_497104!A:H,8,FALSE))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input_497104!A$2</f>
        <v>497104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IFERROR(VLOOKUP(B58,input_497104!L:R,7,FALSE),VLOOKUP(tables_497104!C58,input_497104!A:H,8,FALSE))</f>
        <v>373280.76922999998</v>
      </c>
      <c r="P58" s="46">
        <f t="shared" ca="1" si="1"/>
        <v>6.0167757773725667E-3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input_497104!A$2</f>
        <v>497104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IFERROR(VLOOKUP(B59,input_497104!L:R,7,FALSE),VLOOKUP(tables_497104!C59,input_497104!A:H,8,FALSE))</f>
        <v>18726.153849999999</v>
      </c>
      <c r="P59" s="46">
        <f t="shared" ca="1" si="1"/>
        <v>3.0184000402819797E-4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input_497104!A$2</f>
        <v>497104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IFERROR(VLOOKUP(B60,input_497104!L:R,7,FALSE),VLOOKUP(tables_497104!C60,input_497104!A:H,8,FALSE))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input_497104!A$2</f>
        <v>497104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IFERROR(VLOOKUP(B61,input_497104!L:R,7,FALSE),VLOOKUP(tables_497104!C61,input_497104!A:H,8,FALSE))</f>
        <v>373280.76922999998</v>
      </c>
      <c r="P61" s="46">
        <f t="shared" ca="1" si="1"/>
        <v>6.0167757773725667E-3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input_497104!A$2</f>
        <v>497104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IFERROR(VLOOKUP(B62,input_497104!L:R,7,FALSE),VLOOKUP(tables_497104!C62,input_497104!A:H,8,FALSE))</f>
        <v>18726.153849999999</v>
      </c>
      <c r="P62" s="46">
        <f t="shared" ca="1" si="1"/>
        <v>3.0184000402819797E-4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input_497104!A$2</f>
        <v>497104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IFERROR(VLOOKUP(B63,input_497104!L:R,7,FALSE),VLOOKUP(tables_497104!C63,input_497104!A:H,8,FALSE))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input_497104!A$2</f>
        <v>497104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IFERROR(VLOOKUP(B64,input_497104!L:R,7,FALSE),VLOOKUP(tables_497104!C64,input_497104!A:H,8,FALSE))</f>
        <v>373280.76922999998</v>
      </c>
      <c r="P64" s="46">
        <f t="shared" ca="1" si="1"/>
        <v>6.0167757773725667E-3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input_497104!A$2</f>
        <v>497104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IFERROR(VLOOKUP(B65,input_497104!L:R,7,FALSE),VLOOKUP(tables_497104!C65,input_497104!A:H,8,FALSE))</f>
        <v>18726.153849999999</v>
      </c>
      <c r="P65" s="46">
        <f t="shared" ca="1" si="1"/>
        <v>3.0184000402819797E-4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input_497104!A$2</f>
        <v>497104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IFERROR(VLOOKUP(B66,input_497104!L:R,7,FALSE),VLOOKUP(tables_497104!C66,input_497104!A:H,8,FALSE))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input_497104!A$2</f>
        <v>497104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IFERROR(VLOOKUP(B67,input_497104!L:R,7,FALSE),VLOOKUP(tables_497104!C67,input_497104!A:H,8,FALSE))</f>
        <v>373280.76922999998</v>
      </c>
      <c r="P67" s="46">
        <f t="shared" ca="1" si="4"/>
        <v>6.0167757773725667E-3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input_497104!A$2</f>
        <v>497104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IFERROR(VLOOKUP(B68,input_497104!L:R,7,FALSE),VLOOKUP(tables_497104!C68,input_497104!A:H,8,FALSE))</f>
        <v>18726.153849999999</v>
      </c>
      <c r="P68" s="46">
        <f t="shared" ca="1" si="4"/>
        <v>3.0184000402819797E-4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input_497104!A$2</f>
        <v>497104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IFERROR(VLOOKUP(B69,input_497104!L:R,7,FALSE),VLOOKUP(tables_497104!C69,input_497104!A:H,8,FALSE))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input_497104!A$2</f>
        <v>497104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IFERROR(VLOOKUP(B70,input_497104!L:R,7,FALSE),VLOOKUP(tables_497104!C70,input_497104!A:H,8,FALSE))</f>
        <v>373280.76922999998</v>
      </c>
      <c r="P70" s="46">
        <f t="shared" ca="1" si="4"/>
        <v>6.0167757773725667E-3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input_497104!A$2</f>
        <v>497104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IFERROR(VLOOKUP(B71,input_497104!L:R,7,FALSE),VLOOKUP(tables_497104!C71,input_497104!A:H,8,FALSE))</f>
        <v>18726.153849999999</v>
      </c>
      <c r="P71" s="46">
        <f t="shared" ca="1" si="4"/>
        <v>3.0184000402819797E-4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input_497104!A$2</f>
        <v>497104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IFERROR(VLOOKUP(B72,input_497104!L:R,7,FALSE),VLOOKUP(tables_497104!C72,input_497104!A:H,8,FALSE))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input_497104!A$2</f>
        <v>497104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IFERROR(VLOOKUP(B73,input_497104!L:R,7,FALSE),VLOOKUP(tables_497104!C73,input_497104!A:H,8,FALSE))</f>
        <v>373280.76922999998</v>
      </c>
      <c r="P73" s="46">
        <f t="shared" ca="1" si="4"/>
        <v>6.0167757773725667E-3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input_497104!A$2</f>
        <v>497104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IFERROR(VLOOKUP(B74,input_497104!L:R,7,FALSE),VLOOKUP(tables_497104!C74,input_497104!A:H,8,FALSE))</f>
        <v>18726.153849999999</v>
      </c>
      <c r="P74" s="46">
        <f t="shared" ca="1" si="4"/>
        <v>3.0184000402819797E-4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input_497104!A$2</f>
        <v>497104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IFERROR(VLOOKUP(B75,input_497104!L:R,7,FALSE),VLOOKUP(tables_497104!C75,input_497104!A:H,8,FALSE))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input_497104!A$2</f>
        <v>497104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IFERROR(VLOOKUP(B76,input_497104!L:R,7,FALSE),VLOOKUP(tables_497104!C76,input_497104!A:H,8,FALSE))</f>
        <v>373280.76922999998</v>
      </c>
      <c r="P76" s="46">
        <f t="shared" ca="1" si="4"/>
        <v>6.0167757773725667E-3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input_497104!A$2</f>
        <v>497104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IFERROR(VLOOKUP(B77,input_497104!L:R,7,FALSE),VLOOKUP(tables_497104!C77,input_497104!A:H,8,FALSE))</f>
        <v>18726.153849999999</v>
      </c>
      <c r="P77" s="46">
        <f t="shared" ca="1" si="4"/>
        <v>3.0184000402819797E-4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input_497104!A$2</f>
        <v>497104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IFERROR(VLOOKUP(B78,input_497104!L:R,7,FALSE),VLOOKUP(tables_497104!C78,input_497104!A:H,8,FALSE))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input_497104!A$2</f>
        <v>497104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IFERROR(VLOOKUP(B79,input_497104!L:R,7,FALSE),VLOOKUP(tables_497104!C79,input_497104!A:H,8,FALSE))</f>
        <v>373280.76922999998</v>
      </c>
      <c r="P79" s="46">
        <f t="shared" ca="1" si="4"/>
        <v>6.0167757773725667E-3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input_497104!A$2</f>
        <v>497104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IFERROR(VLOOKUP(B80,input_497104!L:R,7,FALSE),VLOOKUP(tables_497104!C80,input_497104!A:H,8,FALSE))</f>
        <v>18726.153849999999</v>
      </c>
      <c r="P80" s="46">
        <f t="shared" ca="1" si="4"/>
        <v>3.0184000402819797E-4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input_497104!A$2</f>
        <v>497104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IFERROR(VLOOKUP(B81,input_497104!L:R,7,FALSE),VLOOKUP(tables_497104!C81,input_497104!A:H,8,FALSE))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input_497104!A$2</f>
        <v>497104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IFERROR(VLOOKUP(B82,input_497104!L:R,7,FALSE),VLOOKUP(tables_497104!C82,input_497104!A:H,8,FALSE))</f>
        <v>373280.76922999998</v>
      </c>
      <c r="P82" s="46">
        <f t="shared" ca="1" si="4"/>
        <v>6.0167757773725667E-3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input_497104!A$2</f>
        <v>497104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IFERROR(VLOOKUP(B83,input_497104!L:R,7,FALSE),VLOOKUP(tables_497104!C83,input_497104!A:H,8,FALSE))</f>
        <v>18726.153849999999</v>
      </c>
      <c r="P83" s="46">
        <f t="shared" ca="1" si="4"/>
        <v>3.0184000402819797E-4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input_497104!A$2</f>
        <v>497104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IFERROR(VLOOKUP(B84,input_497104!L:R,7,FALSE),VLOOKUP(tables_497104!C84,input_497104!A:H,8,FALSE))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input_497104!A$2</f>
        <v>497104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IFERROR(VLOOKUP(B85,input_497104!L:R,7,FALSE),VLOOKUP(tables_497104!C85,input_497104!A:H,8,FALSE))</f>
        <v>373280.76922999998</v>
      </c>
      <c r="P85" s="46">
        <f t="shared" ca="1" si="4"/>
        <v>6.0167757773725667E-3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input_497104!A$2</f>
        <v>497104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IFERROR(VLOOKUP(B86,input_497104!L:R,7,FALSE),VLOOKUP(tables_497104!C86,input_497104!A:H,8,FALSE))</f>
        <v>18726.153849999999</v>
      </c>
      <c r="P86" s="46">
        <f t="shared" ca="1" si="4"/>
        <v>3.0184000402819797E-4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input_497104!A$2</f>
        <v>497104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IFERROR(VLOOKUP(B87,input_497104!L:R,7,FALSE),VLOOKUP(tables_497104!C87,input_497104!A:H,8,FALSE))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input_497104!A$2</f>
        <v>497104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IFERROR(VLOOKUP(B88,input_497104!L:R,7,FALSE),VLOOKUP(tables_497104!C88,input_497104!A:H,8,FALSE))</f>
        <v>373280.76922999998</v>
      </c>
      <c r="P88" s="46">
        <f t="shared" ca="1" si="4"/>
        <v>6.0167757773725667E-3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input_497104!A$2</f>
        <v>497104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IFERROR(VLOOKUP(B89,input_497104!L:R,7,FALSE),VLOOKUP(tables_497104!C89,input_497104!A:H,8,FALSE))</f>
        <v>18726.153849999999</v>
      </c>
      <c r="P89" s="46">
        <f t="shared" ca="1" si="4"/>
        <v>3.0184000402819797E-4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input_497104!A$2</f>
        <v>497104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IFERROR(VLOOKUP(B90,input_497104!L:R,7,FALSE),VLOOKUP(tables_497104!C90,input_497104!A:H,8,FALSE))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input_497104!A$2</f>
        <v>497104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IFERROR(VLOOKUP(B91,input_497104!L:R,7,FALSE),VLOOKUP(tables_497104!C91,input_497104!A:H,8,FALSE))</f>
        <v>373280.76922999998</v>
      </c>
      <c r="P91" s="46">
        <f t="shared" ca="1" si="4"/>
        <v>6.0167757773725667E-3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input_497104!A$2</f>
        <v>497104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IFERROR(VLOOKUP(B92,input_497104!L:R,7,FALSE),VLOOKUP(tables_497104!C92,input_497104!A:H,8,FALSE))</f>
        <v>18726.153849999999</v>
      </c>
      <c r="P92" s="46">
        <f t="shared" ca="1" si="4"/>
        <v>3.0184000402819797E-4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input_497104!A$2</f>
        <v>497104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IFERROR(VLOOKUP(B93,input_497104!L:R,7,FALSE),VLOOKUP(tables_497104!C93,input_497104!A:H,8,FALSE))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input_497104!A$2</f>
        <v>497104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IFERROR(VLOOKUP(B94,input_497104!L:R,7,FALSE),VLOOKUP(tables_497104!C94,input_497104!A:H,8,FALSE))</f>
        <v>373280.76922999998</v>
      </c>
      <c r="P94" s="46">
        <f t="shared" ca="1" si="4"/>
        <v>6.0167757773725667E-3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input_497104!A$2</f>
        <v>497104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IFERROR(VLOOKUP(B95,input_497104!L:R,7,FALSE),VLOOKUP(tables_497104!C95,input_497104!A:H,8,FALSE))</f>
        <v>18726.153849999999</v>
      </c>
      <c r="P95" s="46">
        <f t="shared" ca="1" si="4"/>
        <v>3.0184000402819797E-4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input_497104!A$2</f>
        <v>497104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IFERROR(VLOOKUP(B96,input_497104!L:R,7,FALSE),VLOOKUP(tables_497104!C96,input_497104!A:H,8,FALSE))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input_497104!A$2</f>
        <v>497104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IFERROR(VLOOKUP(B97,input_497104!L:R,7,FALSE),VLOOKUP(tables_497104!C97,input_497104!A:H,8,FALSE))</f>
        <v>373280.76922999998</v>
      </c>
      <c r="P97" s="46">
        <f t="shared" ca="1" si="4"/>
        <v>6.0167757773725667E-3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input_497104!A$2</f>
        <v>497104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IFERROR(VLOOKUP(B98,input_497104!L:R,7,FALSE),VLOOKUP(tables_497104!C98,input_497104!A:H,8,FALSE))</f>
        <v>18726.153849999999</v>
      </c>
      <c r="P98" s="46">
        <f t="shared" ca="1" si="4"/>
        <v>3.0184000402819797E-4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input_497104!A$2</f>
        <v>497104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IFERROR(VLOOKUP(B99,input_497104!L:R,7,FALSE),VLOOKUP(tables_497104!C99,input_497104!A:H,8,FALSE))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input_497104!A$2</f>
        <v>497104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IFERROR(VLOOKUP(B100,input_497104!L:R,7,FALSE),VLOOKUP(tables_497104!C100,input_497104!A:H,8,FALSE))</f>
        <v>373280.76922999998</v>
      </c>
      <c r="P100" s="46">
        <f t="shared" ca="1" si="4"/>
        <v>6.0167757773725667E-3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input_497104!A$2</f>
        <v>497104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IFERROR(VLOOKUP(B101,input_497104!L:R,7,FALSE),VLOOKUP(tables_497104!C101,input_497104!A:H,8,FALSE))</f>
        <v>18726.153849999999</v>
      </c>
      <c r="P101" s="46">
        <f t="shared" ca="1" si="4"/>
        <v>3.0184000402819797E-4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input_497104!A$2</f>
        <v>497104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IFERROR(VLOOKUP(B102,input_497104!L:R,7,FALSE),VLOOKUP(tables_497104!C102,input_497104!A:H,8,FALSE))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input_497104!A$2</f>
        <v>497104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IFERROR(VLOOKUP(B103,input_497104!L:R,7,FALSE),VLOOKUP(tables_497104!C103,input_497104!A:H,8,FALSE))</f>
        <v>373280.76922999998</v>
      </c>
      <c r="P103" s="46">
        <f t="shared" ca="1" si="4"/>
        <v>6.0167757773725667E-3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input_497104!A$2</f>
        <v>497104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IFERROR(VLOOKUP(B104,input_497104!L:R,7,FALSE),VLOOKUP(tables_497104!C104,input_497104!A:H,8,FALSE))</f>
        <v>18726.153849999999</v>
      </c>
      <c r="P104" s="46">
        <f t="shared" ca="1" si="4"/>
        <v>3.0184000402819797E-4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input_497104!A$2</f>
        <v>497104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IFERROR(VLOOKUP(B105,input_497104!L:R,7,FALSE),VLOOKUP(tables_497104!C105,input_497104!A:H,8,FALSE))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input_497104!A$2</f>
        <v>497104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IFERROR(VLOOKUP(B106,input_497104!L:R,7,FALSE),VLOOKUP(tables_497104!C106,input_497104!A:H,8,FALSE))</f>
        <v>373280.76922999998</v>
      </c>
      <c r="P106" s="46">
        <f t="shared" ca="1" si="4"/>
        <v>6.0167757773725667E-3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input_497104!A$2</f>
        <v>497104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IFERROR(VLOOKUP(B107,input_497104!L:R,7,FALSE),VLOOKUP(tables_497104!C107,input_497104!A:H,8,FALSE))</f>
        <v>18726.153849999999</v>
      </c>
      <c r="P107" s="46">
        <f t="shared" ca="1" si="4"/>
        <v>3.0184000402819797E-4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input_497104!A$2</f>
        <v>497104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IFERROR(VLOOKUP(B108,input_497104!L:R,7,FALSE),VLOOKUP(tables_497104!C108,input_497104!A:H,8,FALSE))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input_497104!A$2</f>
        <v>497104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IFERROR(VLOOKUP(B109,input_497104!L:R,7,FALSE),VLOOKUP(tables_497104!C109,input_497104!A:H,8,FALSE))</f>
        <v>373280.76922999998</v>
      </c>
      <c r="P109" s="46">
        <f t="shared" ca="1" si="4"/>
        <v>6.0167757773725667E-3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input_497104!A$2</f>
        <v>497104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IFERROR(VLOOKUP(B110,input_497104!L:R,7,FALSE),VLOOKUP(tables_497104!C110,input_497104!A:H,8,FALSE))</f>
        <v>18726.153849999999</v>
      </c>
      <c r="P110" s="46">
        <f t="shared" ca="1" si="4"/>
        <v>3.0184000402819797E-4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input_497104!A$2</f>
        <v>497104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IFERROR(VLOOKUP(B111,input_497104!L:R,7,FALSE),VLOOKUP(tables_497104!C111,input_497104!A:H,8,FALSE))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input_497104!A$2</f>
        <v>497104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IFERROR(VLOOKUP(B112,input_497104!L:R,7,FALSE),VLOOKUP(tables_497104!C112,input_497104!A:H,8,FALSE))</f>
        <v>438900</v>
      </c>
      <c r="P112" s="46">
        <f t="shared" ca="1" si="4"/>
        <v>7.0744680850721572E-3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input_497104!A$2</f>
        <v>497104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IFERROR(VLOOKUP(B113,input_497104!L:R,7,FALSE),VLOOKUP(tables_497104!C113,input_497104!A:H,8,FALSE))</f>
        <v>23100</v>
      </c>
      <c r="P113" s="46">
        <f t="shared" ca="1" si="4"/>
        <v>3.7234042553011351E-4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input_497104!A$2</f>
        <v>497104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IFERROR(VLOOKUP(B114,input_497104!L:R,7,FALSE),VLOOKUP(tables_497104!C114,input_497104!A:H,8,FALSE))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input_497104!A$2</f>
        <v>497104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IFERROR(VLOOKUP(B115,input_497104!L:R,7,FALSE),VLOOKUP(tables_497104!C115,input_497104!A:H,8,FALSE))</f>
        <v>373280.76922999998</v>
      </c>
      <c r="P115" s="46">
        <f t="shared" ca="1" si="4"/>
        <v>6.0167757773725667E-3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input_497104!A$2</f>
        <v>497104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IFERROR(VLOOKUP(B116,input_497104!L:R,7,FALSE),VLOOKUP(tables_497104!C116,input_497104!A:H,8,FALSE))</f>
        <v>18726.153849999999</v>
      </c>
      <c r="P116" s="46">
        <f t="shared" ca="1" si="4"/>
        <v>3.0184000402819797E-4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input_497104!A$2</f>
        <v>497104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IFERROR(VLOOKUP(B117,input_497104!L:R,7,FALSE),VLOOKUP(tables_497104!C117,input_497104!A:H,8,FALSE))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input_497104!A$2</f>
        <v>497104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IFERROR(VLOOKUP(B118,input_497104!L:R,7,FALSE),VLOOKUP(tables_497104!C118,input_497104!A:H,8,FALSE))</f>
        <v>373280.76922999998</v>
      </c>
      <c r="P118" s="46">
        <f t="shared" ca="1" si="4"/>
        <v>6.0167757773725667E-3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input_497104!A$2</f>
        <v>497104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IFERROR(VLOOKUP(B119,input_497104!L:R,7,FALSE),VLOOKUP(tables_497104!C119,input_497104!A:H,8,FALSE))</f>
        <v>18726.153849999999</v>
      </c>
      <c r="P119" s="46">
        <f t="shared" ca="1" si="4"/>
        <v>3.0184000402819797E-4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input_497104!A$2</f>
        <v>497104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IFERROR(VLOOKUP(B120,input_497104!L:R,7,FALSE),VLOOKUP(tables_497104!C120,input_497104!A:H,8,FALSE))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input_497104!A$2</f>
        <v>497104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IFERROR(VLOOKUP(B121,input_497104!L:R,7,FALSE),VLOOKUP(tables_497104!C121,input_497104!A:H,8,FALSE))</f>
        <v>373280.76922999998</v>
      </c>
      <c r="P121" s="46">
        <f t="shared" ca="1" si="4"/>
        <v>6.0167757773725667E-3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input_497104!A$2</f>
        <v>497104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IFERROR(VLOOKUP(B122,input_497104!L:R,7,FALSE),VLOOKUP(tables_497104!C122,input_497104!A:H,8,FALSE))</f>
        <v>18726.153849999999</v>
      </c>
      <c r="P122" s="46">
        <f t="shared" ca="1" si="4"/>
        <v>3.0184000402819797E-4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input_497104!A$2</f>
        <v>497104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IFERROR(VLOOKUP(B123,input_497104!L:R,7,FALSE),VLOOKUP(tables_497104!C123,input_497104!A:H,8,FALSE))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input_497104!A$2</f>
        <v>497104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IFERROR(VLOOKUP(B124,input_497104!L:R,7,FALSE),VLOOKUP(tables_497104!C124,input_497104!A:H,8,FALSE))</f>
        <v>373280.76922999998</v>
      </c>
      <c r="P124" s="46">
        <f t="shared" ca="1" si="4"/>
        <v>6.0167757773725667E-3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input_497104!A$2</f>
        <v>497104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IFERROR(VLOOKUP(B125,input_497104!L:R,7,FALSE),VLOOKUP(tables_497104!C125,input_497104!A:H,8,FALSE))</f>
        <v>18726.153849999999</v>
      </c>
      <c r="P125" s="46">
        <f t="shared" ca="1" si="4"/>
        <v>3.0184000402819797E-4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input_497104!A$2</f>
        <v>497104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IFERROR(VLOOKUP(B126,input_497104!L:R,7,FALSE),VLOOKUP(tables_497104!C126,input_497104!A:H,8,FALSE))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input_497104!A$2</f>
        <v>497104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IFERROR(VLOOKUP(B127,input_497104!L:R,7,FALSE),VLOOKUP(tables_497104!C127,input_497104!A:H,8,FALSE))</f>
        <v>373280.76922999998</v>
      </c>
      <c r="P127" s="46">
        <f t="shared" ca="1" si="4"/>
        <v>6.0167757773725667E-3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input_497104!A$2</f>
        <v>497104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IFERROR(VLOOKUP(B128,input_497104!L:R,7,FALSE),VLOOKUP(tables_497104!C128,input_497104!A:H,8,FALSE))</f>
        <v>18726.153849999999</v>
      </c>
      <c r="P128" s="46">
        <f t="shared" ca="1" si="4"/>
        <v>3.0184000402819797E-4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input_497104!A$2</f>
        <v>497104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IFERROR(VLOOKUP(B129,input_497104!L:R,7,FALSE),VLOOKUP(tables_497104!C129,input_497104!A:H,8,FALSE))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input_497104!A$2</f>
        <v>497104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IFERROR(VLOOKUP(B130,input_497104!L:R,7,FALSE),VLOOKUP(tables_497104!C130,input_497104!A:H,8,FALSE))</f>
        <v>373280.76922999998</v>
      </c>
      <c r="P130" s="46">
        <f t="shared" ref="P130:P193" ca="1" si="7">O130/SUM(O:O)</f>
        <v>6.0167757773725667E-3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input_497104!A$2</f>
        <v>497104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IFERROR(VLOOKUP(B131,input_497104!L:R,7,FALSE),VLOOKUP(tables_497104!C131,input_497104!A:H,8,FALSE))</f>
        <v>18726.153849999999</v>
      </c>
      <c r="P131" s="46">
        <f t="shared" ca="1" si="7"/>
        <v>3.0184000402819797E-4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input_497104!A$2</f>
        <v>497104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IFERROR(VLOOKUP(B132,input_497104!L:R,7,FALSE),VLOOKUP(tables_497104!C132,input_497104!A:H,8,FALSE))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input_497104!A$2</f>
        <v>497104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IFERROR(VLOOKUP(B133,input_497104!L:R,7,FALSE),VLOOKUP(tables_497104!C133,input_497104!A:H,8,FALSE))</f>
        <v>373280.76922999998</v>
      </c>
      <c r="P133" s="46">
        <f t="shared" ca="1" si="7"/>
        <v>6.0167757773725667E-3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input_497104!A$2</f>
        <v>497104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IFERROR(VLOOKUP(B134,input_497104!L:R,7,FALSE),VLOOKUP(tables_497104!C134,input_497104!A:H,8,FALSE))</f>
        <v>18726.153849999999</v>
      </c>
      <c r="P134" s="46">
        <f t="shared" ca="1" si="7"/>
        <v>3.0184000402819797E-4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input_497104!A$2</f>
        <v>497104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IFERROR(VLOOKUP(B135,input_497104!L:R,7,FALSE),VLOOKUP(tables_497104!C135,input_497104!A:H,8,FALSE))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input_497104!A$2</f>
        <v>497104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IFERROR(VLOOKUP(B136,input_497104!L:R,7,FALSE),VLOOKUP(tables_497104!C136,input_497104!A:H,8,FALSE))</f>
        <v>373280.76922999998</v>
      </c>
      <c r="P136" s="46">
        <f t="shared" ca="1" si="7"/>
        <v>6.0167757773725667E-3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input_497104!A$2</f>
        <v>497104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IFERROR(VLOOKUP(B137,input_497104!L:R,7,FALSE),VLOOKUP(tables_497104!C137,input_497104!A:H,8,FALSE))</f>
        <v>18726.153849999999</v>
      </c>
      <c r="P137" s="46">
        <f t="shared" ca="1" si="7"/>
        <v>3.0184000402819797E-4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input_497104!A$2</f>
        <v>497104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IFERROR(VLOOKUP(B138,input_497104!L:R,7,FALSE),VLOOKUP(tables_497104!C138,input_497104!A:H,8,FALSE))</f>
        <v>68955.71428</v>
      </c>
      <c r="P138" s="46">
        <f t="shared" ca="1" si="7"/>
        <v>1.1114718613743778E-3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input_497104!A$2</f>
        <v>497104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IFERROR(VLOOKUP(B139,input_497104!L:R,7,FALSE),VLOOKUP(tables_497104!C139,input_497104!A:H,8,FALSE))</f>
        <v>1880</v>
      </c>
      <c r="P139" s="46">
        <f t="shared" ca="1" si="7"/>
        <v>3.0303030302883698E-5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input_497104!A$2</f>
        <v>497104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IFERROR(VLOOKUP(B140,input_497104!L:R,7,FALSE),VLOOKUP(tables_497104!C140,input_497104!A:H,8,FALSE))</f>
        <v>68955.71428</v>
      </c>
      <c r="P140" s="46">
        <f t="shared" ca="1" si="7"/>
        <v>1.1114718613743778E-3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input_497104!A$2</f>
        <v>497104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IFERROR(VLOOKUP(B141,input_497104!L:R,7,FALSE),VLOOKUP(tables_497104!C141,input_497104!A:H,8,FALSE))</f>
        <v>1880</v>
      </c>
      <c r="P141" s="46">
        <f t="shared" ca="1" si="7"/>
        <v>3.0303030302883698E-5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input_497104!A$2</f>
        <v>497104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IFERROR(VLOOKUP(B142,input_497104!L:R,7,FALSE),VLOOKUP(tables_497104!C142,input_497104!A:H,8,FALSE))</f>
        <v>68955.71428</v>
      </c>
      <c r="P142" s="46">
        <f t="shared" ca="1" si="7"/>
        <v>1.1114718613743778E-3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input_497104!A$2</f>
        <v>497104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IFERROR(VLOOKUP(B143,input_497104!L:R,7,FALSE),VLOOKUP(tables_497104!C143,input_497104!A:H,8,FALSE))</f>
        <v>1880</v>
      </c>
      <c r="P143" s="46">
        <f t="shared" ca="1" si="7"/>
        <v>3.0303030302883698E-5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input_497104!A$2</f>
        <v>497104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IFERROR(VLOOKUP(B144,input_497104!L:R,7,FALSE),VLOOKUP(tables_497104!C144,input_497104!A:H,8,FALSE))</f>
        <v>68955.71428</v>
      </c>
      <c r="P144" s="46">
        <f t="shared" ca="1" si="7"/>
        <v>1.1114718613743778E-3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input_497104!A$2</f>
        <v>497104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IFERROR(VLOOKUP(B145,input_497104!L:R,7,FALSE),VLOOKUP(tables_497104!C145,input_497104!A:H,8,FALSE))</f>
        <v>1880</v>
      </c>
      <c r="P145" s="46">
        <f t="shared" ca="1" si="7"/>
        <v>3.0303030302883698E-5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input_497104!A$2</f>
        <v>497104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IFERROR(VLOOKUP(B146,input_497104!L:R,7,FALSE),VLOOKUP(tables_497104!C146,input_497104!A:H,8,FALSE))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input_497104!A$2</f>
        <v>497104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IFERROR(VLOOKUP(B147,input_497104!L:R,7,FALSE),VLOOKUP(tables_497104!C147,input_497104!A:H,8,FALSE))</f>
        <v>373280.76922999998</v>
      </c>
      <c r="P147" s="46">
        <f t="shared" ca="1" si="7"/>
        <v>6.0167757773725667E-3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input_497104!A$2</f>
        <v>497104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IFERROR(VLOOKUP(B148,input_497104!L:R,7,FALSE),VLOOKUP(tables_497104!C148,input_497104!A:H,8,FALSE))</f>
        <v>18726.153849999999</v>
      </c>
      <c r="P148" s="46">
        <f t="shared" ca="1" si="7"/>
        <v>3.0184000402819797E-4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input_497104!A$2</f>
        <v>497104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IFERROR(VLOOKUP(B149,input_497104!L:R,7,FALSE),VLOOKUP(tables_497104!C149,input_497104!A:H,8,FALSE))</f>
        <v>68955.71428</v>
      </c>
      <c r="P149" s="46">
        <f t="shared" ca="1" si="7"/>
        <v>1.1114718613743778E-3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input_497104!A$2</f>
        <v>497104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IFERROR(VLOOKUP(B150,input_497104!L:R,7,FALSE),VLOOKUP(tables_497104!C150,input_497104!A:H,8,FALSE))</f>
        <v>1880</v>
      </c>
      <c r="P150" s="46">
        <f t="shared" ca="1" si="7"/>
        <v>3.0303030302883698E-5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input_497104!A$2</f>
        <v>497104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IFERROR(VLOOKUP(B151,input_497104!L:R,7,FALSE),VLOOKUP(tables_497104!C151,input_497104!A:H,8,FALSE))</f>
        <v>68955.71428</v>
      </c>
      <c r="P151" s="46">
        <f t="shared" ca="1" si="7"/>
        <v>1.1114718613743778E-3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input_497104!A$2</f>
        <v>497104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IFERROR(VLOOKUP(B152,input_497104!L:R,7,FALSE),VLOOKUP(tables_497104!C152,input_497104!A:H,8,FALSE))</f>
        <v>1880</v>
      </c>
      <c r="P152" s="46">
        <f t="shared" ca="1" si="7"/>
        <v>3.0303030302883698E-5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input_497104!A$2</f>
        <v>497104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IFERROR(VLOOKUP(B153,input_497104!L:R,7,FALSE),VLOOKUP(tables_497104!C153,input_497104!A:H,8,FALSE))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input_497104!A$2</f>
        <v>497104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IFERROR(VLOOKUP(B154,input_497104!L:R,7,FALSE),VLOOKUP(tables_497104!C154,input_497104!A:H,8,FALSE))</f>
        <v>373280.76922999998</v>
      </c>
      <c r="P154" s="46">
        <f t="shared" ca="1" si="7"/>
        <v>6.0167757773725667E-3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input_497104!A$2</f>
        <v>497104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IFERROR(VLOOKUP(B155,input_497104!L:R,7,FALSE),VLOOKUP(tables_497104!C155,input_497104!A:H,8,FALSE))</f>
        <v>18726.153849999999</v>
      </c>
      <c r="P155" s="46">
        <f t="shared" ca="1" si="7"/>
        <v>3.0184000402819797E-4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input_497104!A$2</f>
        <v>497104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IFERROR(VLOOKUP(B156,input_497104!L:R,7,FALSE),VLOOKUP(tables_497104!C156,input_497104!A:H,8,FALSE))</f>
        <v>68955.71428</v>
      </c>
      <c r="P156" s="46">
        <f t="shared" ca="1" si="7"/>
        <v>1.1114718613743778E-3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input_497104!A$2</f>
        <v>497104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IFERROR(VLOOKUP(B157,input_497104!L:R,7,FALSE),VLOOKUP(tables_497104!C157,input_497104!A:H,8,FALSE))</f>
        <v>1880</v>
      </c>
      <c r="P157" s="46">
        <f t="shared" ca="1" si="7"/>
        <v>3.0303030302883698E-5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input_497104!A$2</f>
        <v>497104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IFERROR(VLOOKUP(B158,input_497104!L:R,7,FALSE),VLOOKUP(tables_497104!C158,input_497104!A:H,8,FALSE))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input_497104!A$2</f>
        <v>497104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IFERROR(VLOOKUP(B159,input_497104!L:R,7,FALSE),VLOOKUP(tables_497104!C159,input_497104!A:H,8,FALSE))</f>
        <v>373280.76922999998</v>
      </c>
      <c r="P159" s="46">
        <f t="shared" ca="1" si="7"/>
        <v>6.0167757773725667E-3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input_497104!A$2</f>
        <v>497104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IFERROR(VLOOKUP(B160,input_497104!L:R,7,FALSE),VLOOKUP(tables_497104!C160,input_497104!A:H,8,FALSE))</f>
        <v>18726.153849999999</v>
      </c>
      <c r="P160" s="46">
        <f t="shared" ca="1" si="7"/>
        <v>3.0184000402819797E-4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input_497104!A$2</f>
        <v>497104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IFERROR(VLOOKUP(B161,input_497104!L:R,7,FALSE),VLOOKUP(tables_497104!C161,input_497104!A:H,8,FALSE))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input_497104!A$2</f>
        <v>497104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IFERROR(VLOOKUP(B162,input_497104!L:R,7,FALSE),VLOOKUP(tables_497104!C162,input_497104!A:H,8,FALSE))</f>
        <v>373280.76922999998</v>
      </c>
      <c r="P162" s="46">
        <f t="shared" ca="1" si="7"/>
        <v>6.0167757773725667E-3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input_497104!A$2</f>
        <v>497104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IFERROR(VLOOKUP(B163,input_497104!L:R,7,FALSE),VLOOKUP(tables_497104!C163,input_497104!A:H,8,FALSE))</f>
        <v>18726.153849999999</v>
      </c>
      <c r="P163" s="46">
        <f t="shared" ca="1" si="7"/>
        <v>3.0184000402819797E-4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input_497104!A$2</f>
        <v>497104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IFERROR(VLOOKUP(B164,input_497104!L:R,7,FALSE),VLOOKUP(tables_497104!C164,input_497104!A:H,8,FALSE))</f>
        <v>68955.71428</v>
      </c>
      <c r="P164" s="46">
        <f t="shared" ca="1" si="7"/>
        <v>1.1114718613743778E-3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input_497104!A$2</f>
        <v>497104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IFERROR(VLOOKUP(B165,input_497104!L:R,7,FALSE),VLOOKUP(tables_497104!C165,input_497104!A:H,8,FALSE))</f>
        <v>1880</v>
      </c>
      <c r="P165" s="46">
        <f t="shared" ca="1" si="7"/>
        <v>3.0303030302883698E-5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input_497104!A$2</f>
        <v>497104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IFERROR(VLOOKUP(B166,input_497104!L:R,7,FALSE),VLOOKUP(tables_497104!C166,input_497104!A:H,8,FALSE))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input_497104!A$2</f>
        <v>497104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IFERROR(VLOOKUP(B167,input_497104!L:R,7,FALSE),VLOOKUP(tables_497104!C167,input_497104!A:H,8,FALSE))</f>
        <v>373280.76922999998</v>
      </c>
      <c r="P167" s="46">
        <f t="shared" ca="1" si="7"/>
        <v>6.0167757773725667E-3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input_497104!A$2</f>
        <v>497104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IFERROR(VLOOKUP(B168,input_497104!L:R,7,FALSE),VLOOKUP(tables_497104!C168,input_497104!A:H,8,FALSE))</f>
        <v>18726.153849999999</v>
      </c>
      <c r="P168" s="46">
        <f t="shared" ca="1" si="7"/>
        <v>3.0184000402819797E-4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input_497104!A$2</f>
        <v>497104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IFERROR(VLOOKUP(B169,input_497104!L:R,7,FALSE),VLOOKUP(tables_497104!C169,input_497104!A:H,8,FALSE))</f>
        <v>68955.71428</v>
      </c>
      <c r="P169" s="46">
        <f t="shared" ca="1" si="7"/>
        <v>1.1114718613743778E-3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input_497104!A$2</f>
        <v>497104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IFERROR(VLOOKUP(B170,input_497104!L:R,7,FALSE),VLOOKUP(tables_497104!C170,input_497104!A:H,8,FALSE))</f>
        <v>1880</v>
      </c>
      <c r="P170" s="46">
        <f t="shared" ca="1" si="7"/>
        <v>3.0303030302883698E-5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input_497104!A$2</f>
        <v>497104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IFERROR(VLOOKUP(B171,input_497104!L:R,7,FALSE),VLOOKUP(tables_497104!C171,input_497104!A:H,8,FALSE))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input_497104!A$2</f>
        <v>497104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IFERROR(VLOOKUP(B172,input_497104!L:R,7,FALSE),VLOOKUP(tables_497104!C172,input_497104!A:H,8,FALSE))</f>
        <v>373280.76922999998</v>
      </c>
      <c r="P172" s="46">
        <f t="shared" ca="1" si="7"/>
        <v>6.0167757773725667E-3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input_497104!A$2</f>
        <v>497104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IFERROR(VLOOKUP(B173,input_497104!L:R,7,FALSE),VLOOKUP(tables_497104!C173,input_497104!A:H,8,FALSE))</f>
        <v>18726.153849999999</v>
      </c>
      <c r="P173" s="46">
        <f t="shared" ca="1" si="7"/>
        <v>3.0184000402819797E-4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input_497104!A$2</f>
        <v>497104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IFERROR(VLOOKUP(B174,input_497104!L:R,7,FALSE),VLOOKUP(tables_497104!C174,input_497104!A:H,8,FALSE))</f>
        <v>68955.71428</v>
      </c>
      <c r="P174" s="46">
        <f t="shared" ca="1" si="7"/>
        <v>1.1114718613743778E-3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input_497104!A$2</f>
        <v>497104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IFERROR(VLOOKUP(B175,input_497104!L:R,7,FALSE),VLOOKUP(tables_497104!C175,input_497104!A:H,8,FALSE))</f>
        <v>1880</v>
      </c>
      <c r="P175" s="46">
        <f t="shared" ca="1" si="7"/>
        <v>3.0303030302883698E-5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input_497104!A$2</f>
        <v>497104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IFERROR(VLOOKUP(B176,input_497104!L:R,7,FALSE),VLOOKUP(tables_497104!C176,input_497104!A:H,8,FALSE))</f>
        <v>68955.71428</v>
      </c>
      <c r="P176" s="46">
        <f t="shared" ca="1" si="7"/>
        <v>1.1114718613743778E-3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input_497104!A$2</f>
        <v>497104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IFERROR(VLOOKUP(B177,input_497104!L:R,7,FALSE),VLOOKUP(tables_497104!C177,input_497104!A:H,8,FALSE))</f>
        <v>1880</v>
      </c>
      <c r="P177" s="46">
        <f t="shared" ca="1" si="7"/>
        <v>3.0303030302883698E-5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input_497104!A$2</f>
        <v>497104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IFERROR(VLOOKUP(B178,input_497104!L:R,7,FALSE),VLOOKUP(tables_497104!C178,input_497104!A:H,8,FALSE))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input_497104!A$2</f>
        <v>497104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IFERROR(VLOOKUP(B179,input_497104!L:R,7,FALSE),VLOOKUP(tables_497104!C179,input_497104!A:H,8,FALSE))</f>
        <v>373280.76922999998</v>
      </c>
      <c r="P179" s="46">
        <f t="shared" ca="1" si="7"/>
        <v>6.0167757773725667E-3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input_497104!A$2</f>
        <v>497104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IFERROR(VLOOKUP(B180,input_497104!L:R,7,FALSE),VLOOKUP(tables_497104!C180,input_497104!A:H,8,FALSE))</f>
        <v>18726.153849999999</v>
      </c>
      <c r="P180" s="46">
        <f t="shared" ca="1" si="7"/>
        <v>3.0184000402819797E-4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input_497104!A$2</f>
        <v>497104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IFERROR(VLOOKUP(B181,input_497104!L:R,7,FALSE),VLOOKUP(tables_497104!C181,input_497104!A:H,8,FALSE))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input_497104!A$2</f>
        <v>497104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IFERROR(VLOOKUP(B182,input_497104!L:R,7,FALSE),VLOOKUP(tables_497104!C182,input_497104!A:H,8,FALSE))</f>
        <v>373280.76922999998</v>
      </c>
      <c r="P182" s="46">
        <f t="shared" ca="1" si="7"/>
        <v>6.0167757773725667E-3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input_497104!A$2</f>
        <v>497104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IFERROR(VLOOKUP(B183,input_497104!L:R,7,FALSE),VLOOKUP(tables_497104!C183,input_497104!A:H,8,FALSE))</f>
        <v>18726.153849999999</v>
      </c>
      <c r="P183" s="46">
        <f t="shared" ca="1" si="7"/>
        <v>3.0184000402819797E-4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input_497104!A$2</f>
        <v>497104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IFERROR(VLOOKUP(B184,input_497104!L:R,7,FALSE),VLOOKUP(tables_497104!C184,input_497104!A:H,8,FALSE))</f>
        <v>68955.71428</v>
      </c>
      <c r="P184" s="46">
        <f t="shared" ca="1" si="7"/>
        <v>1.1114718613743778E-3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input_497104!A$2</f>
        <v>497104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IFERROR(VLOOKUP(B185,input_497104!L:R,7,FALSE),VLOOKUP(tables_497104!C185,input_497104!A:H,8,FALSE))</f>
        <v>1880</v>
      </c>
      <c r="P185" s="46">
        <f t="shared" ca="1" si="7"/>
        <v>3.0303030302883698E-5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input_497104!A$2</f>
        <v>497104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IFERROR(VLOOKUP(B186,input_497104!L:R,7,FALSE),VLOOKUP(tables_497104!C186,input_497104!A:H,8,FALSE))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input_497104!A$2</f>
        <v>497104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IFERROR(VLOOKUP(B187,input_497104!L:R,7,FALSE),VLOOKUP(tables_497104!C187,input_497104!A:H,8,FALSE))</f>
        <v>373280.76922999998</v>
      </c>
      <c r="P187" s="46">
        <f t="shared" ca="1" si="7"/>
        <v>6.0167757773725667E-3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input_497104!A$2</f>
        <v>497104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IFERROR(VLOOKUP(B188,input_497104!L:R,7,FALSE),VLOOKUP(tables_497104!C188,input_497104!A:H,8,FALSE))</f>
        <v>18726.153849999999</v>
      </c>
      <c r="P188" s="46">
        <f t="shared" ca="1" si="7"/>
        <v>3.0184000402819797E-4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input_497104!A$2</f>
        <v>497104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IFERROR(VLOOKUP(B189,input_497104!L:R,7,FALSE),VLOOKUP(tables_497104!C189,input_497104!A:H,8,FALSE))</f>
        <v>68955.71428</v>
      </c>
      <c r="P189" s="46">
        <f t="shared" ca="1" si="7"/>
        <v>1.1114718613743778E-3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input_497104!A$2</f>
        <v>497104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IFERROR(VLOOKUP(B190,input_497104!L:R,7,FALSE),VLOOKUP(tables_497104!C190,input_497104!A:H,8,FALSE))</f>
        <v>1880</v>
      </c>
      <c r="P190" s="46">
        <f t="shared" ca="1" si="7"/>
        <v>3.0303030302883698E-5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input_497104!A$2</f>
        <v>497104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IFERROR(VLOOKUP(B191,input_497104!L:R,7,FALSE),VLOOKUP(tables_497104!C191,input_497104!A:H,8,FALSE))</f>
        <v>68955.71428</v>
      </c>
      <c r="P191" s="46">
        <f t="shared" ca="1" si="7"/>
        <v>1.1114718613743778E-3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input_497104!A$2</f>
        <v>497104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IFERROR(VLOOKUP(B192,input_497104!L:R,7,FALSE),VLOOKUP(tables_497104!C192,input_497104!A:H,8,FALSE))</f>
        <v>1880</v>
      </c>
      <c r="P192" s="46">
        <f t="shared" ca="1" si="7"/>
        <v>3.0303030302883698E-5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input_497104!A$2</f>
        <v>497104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IFERROR(VLOOKUP(B193,input_497104!L:R,7,FALSE),VLOOKUP(tables_497104!C193,input_497104!A:H,8,FALSE))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input_497104!A$2</f>
        <v>497104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IFERROR(VLOOKUP(B194,input_497104!L:R,7,FALSE),VLOOKUP(tables_497104!C194,input_497104!A:H,8,FALSE))</f>
        <v>373280.76922999998</v>
      </c>
      <c r="P194" s="46">
        <f t="shared" ref="P194:P257" ca="1" si="10">O194/SUM(O:O)</f>
        <v>6.0167757773725667E-3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input_497104!A$2</f>
        <v>497104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IFERROR(VLOOKUP(B195,input_497104!L:R,7,FALSE),VLOOKUP(tables_497104!C195,input_497104!A:H,8,FALSE))</f>
        <v>18726.153849999999</v>
      </c>
      <c r="P195" s="46">
        <f t="shared" ca="1" si="10"/>
        <v>3.0184000402819797E-4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input_497104!A$2</f>
        <v>497104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IFERROR(VLOOKUP(B196,input_497104!L:R,7,FALSE),VLOOKUP(tables_497104!C196,input_497104!A:H,8,FALSE))</f>
        <v>68955.71428</v>
      </c>
      <c r="P196" s="46">
        <f t="shared" ca="1" si="10"/>
        <v>1.1114718613743778E-3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input_497104!A$2</f>
        <v>497104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IFERROR(VLOOKUP(B197,input_497104!L:R,7,FALSE),VLOOKUP(tables_497104!C197,input_497104!A:H,8,FALSE))</f>
        <v>1880</v>
      </c>
      <c r="P197" s="46">
        <f t="shared" ca="1" si="10"/>
        <v>3.0303030302883698E-5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input_497104!A$2</f>
        <v>497104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IFERROR(VLOOKUP(B198,input_497104!L:R,7,FALSE),VLOOKUP(tables_497104!C198,input_497104!A:H,8,FALSE))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input_497104!A$2</f>
        <v>497104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IFERROR(VLOOKUP(B199,input_497104!L:R,7,FALSE),VLOOKUP(tables_497104!C199,input_497104!A:H,8,FALSE))</f>
        <v>373280.76922999998</v>
      </c>
      <c r="P199" s="46">
        <f t="shared" ca="1" si="10"/>
        <v>6.0167757773725667E-3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input_497104!A$2</f>
        <v>497104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IFERROR(VLOOKUP(B200,input_497104!L:R,7,FALSE),VLOOKUP(tables_497104!C200,input_497104!A:H,8,FALSE))</f>
        <v>18726.153849999999</v>
      </c>
      <c r="P200" s="46">
        <f t="shared" ca="1" si="10"/>
        <v>3.0184000402819797E-4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input_497104!A$2</f>
        <v>497104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IFERROR(VLOOKUP(B201,input_497104!L:R,7,FALSE),VLOOKUP(tables_497104!C201,input_497104!A:H,8,FALSE))</f>
        <v>68955.71428</v>
      </c>
      <c r="P201" s="46">
        <f t="shared" ca="1" si="10"/>
        <v>1.1114718613743778E-3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input_497104!A$2</f>
        <v>497104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IFERROR(VLOOKUP(B202,input_497104!L:R,7,FALSE),VLOOKUP(tables_497104!C202,input_497104!A:H,8,FALSE))</f>
        <v>1880</v>
      </c>
      <c r="P202" s="46">
        <f t="shared" ca="1" si="10"/>
        <v>3.0303030302883698E-5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input_497104!A$2</f>
        <v>497104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IFERROR(VLOOKUP(B203,input_497104!L:R,7,FALSE),VLOOKUP(tables_497104!C203,input_497104!A:H,8,FALSE))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input_497104!A$2</f>
        <v>497104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IFERROR(VLOOKUP(B204,input_497104!L:R,7,FALSE),VLOOKUP(tables_497104!C204,input_497104!A:H,8,FALSE))</f>
        <v>373280.76922999998</v>
      </c>
      <c r="P204" s="46">
        <f t="shared" ca="1" si="10"/>
        <v>6.0167757773725667E-3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input_497104!A$2</f>
        <v>497104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IFERROR(VLOOKUP(B205,input_497104!L:R,7,FALSE),VLOOKUP(tables_497104!C205,input_497104!A:H,8,FALSE))</f>
        <v>18726.153849999999</v>
      </c>
      <c r="P205" s="46">
        <f t="shared" ca="1" si="10"/>
        <v>3.0184000402819797E-4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input_497104!A$2</f>
        <v>497104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IFERROR(VLOOKUP(B206,input_497104!L:R,7,FALSE),VLOOKUP(tables_497104!C206,input_497104!A:H,8,FALSE))</f>
        <v>68955.71428</v>
      </c>
      <c r="P206" s="46">
        <f t="shared" ca="1" si="10"/>
        <v>1.1114718613743778E-3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input_497104!A$2</f>
        <v>497104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IFERROR(VLOOKUP(B207,input_497104!L:R,7,FALSE),VLOOKUP(tables_497104!C207,input_497104!A:H,8,FALSE))</f>
        <v>1880</v>
      </c>
      <c r="P207" s="46">
        <f t="shared" ca="1" si="10"/>
        <v>3.0303030302883698E-5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input_497104!A$2</f>
        <v>497104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IFERROR(VLOOKUP(B208,input_497104!L:R,7,FALSE),VLOOKUP(tables_497104!C208,input_497104!A:H,8,FALSE))</f>
        <v>68955.71428</v>
      </c>
      <c r="P208" s="46">
        <f t="shared" ca="1" si="10"/>
        <v>1.1114718613743778E-3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input_497104!A$2</f>
        <v>497104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IFERROR(VLOOKUP(B209,input_497104!L:R,7,FALSE),VLOOKUP(tables_497104!C209,input_497104!A:H,8,FALSE))</f>
        <v>1880</v>
      </c>
      <c r="P209" s="46">
        <f t="shared" ca="1" si="10"/>
        <v>3.0303030302883698E-5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input_497104!A$2</f>
        <v>497104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IFERROR(VLOOKUP(B210,input_497104!L:R,7,FALSE),VLOOKUP(tables_497104!C210,input_497104!A:H,8,FALSE))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input_497104!A$2</f>
        <v>497104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IFERROR(VLOOKUP(B211,input_497104!L:R,7,FALSE),VLOOKUP(tables_497104!C211,input_497104!A:H,8,FALSE))</f>
        <v>373280.76922999998</v>
      </c>
      <c r="P211" s="46">
        <f t="shared" ca="1" si="10"/>
        <v>6.0167757773725667E-3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input_497104!A$2</f>
        <v>497104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IFERROR(VLOOKUP(B212,input_497104!L:R,7,FALSE),VLOOKUP(tables_497104!C212,input_497104!A:H,8,FALSE))</f>
        <v>18726.153849999999</v>
      </c>
      <c r="P212" s="46">
        <f t="shared" ca="1" si="10"/>
        <v>3.0184000402819797E-4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input_497104!A$2</f>
        <v>497104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IFERROR(VLOOKUP(B213,input_497104!L:R,7,FALSE),VLOOKUP(tables_497104!C213,input_497104!A:H,8,FALSE))</f>
        <v>68955.71428</v>
      </c>
      <c r="P213" s="46">
        <f t="shared" ca="1" si="10"/>
        <v>1.1114718613743778E-3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input_497104!A$2</f>
        <v>497104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IFERROR(VLOOKUP(B214,input_497104!L:R,7,FALSE),VLOOKUP(tables_497104!C214,input_497104!A:H,8,FALSE))</f>
        <v>1880</v>
      </c>
      <c r="P214" s="46">
        <f t="shared" ca="1" si="10"/>
        <v>3.0303030302883698E-5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input_497104!A$2</f>
        <v>497104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IFERROR(VLOOKUP(B215,input_497104!L:R,7,FALSE),VLOOKUP(tables_497104!C215,input_497104!A:H,8,FALSE))</f>
        <v>10175</v>
      </c>
      <c r="P215" s="46">
        <f t="shared" ca="1" si="10"/>
        <v>1.6400709219778809E-4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input_497104!A$2</f>
        <v>497104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IFERROR(VLOOKUP(B216,input_497104!L:R,7,FALSE),VLOOKUP(tables_497104!C216,input_497104!A:H,8,FALSE))</f>
        <v>10175</v>
      </c>
      <c r="P216" s="46">
        <f t="shared" ca="1" si="10"/>
        <v>1.6400709219778809E-4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input_497104!A$2</f>
        <v>497104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IFERROR(VLOOKUP(B217,input_497104!L:R,7,FALSE),VLOOKUP(tables_497104!C217,input_497104!A:H,8,FALSE))</f>
        <v>10175</v>
      </c>
      <c r="P217" s="46">
        <f t="shared" ca="1" si="10"/>
        <v>1.6400709219778809E-4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input_497104!A$2</f>
        <v>497104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IFERROR(VLOOKUP(B218,input_497104!L:R,7,FALSE),VLOOKUP(tables_497104!C218,input_497104!A:H,8,FALSE))</f>
        <v>10175</v>
      </c>
      <c r="P218" s="46">
        <f t="shared" ca="1" si="10"/>
        <v>1.6400709219778809E-4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input_497104!A$2</f>
        <v>497104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IFERROR(VLOOKUP(B219,input_497104!L:R,7,FALSE),VLOOKUP(tables_497104!C219,input_497104!A:H,8,FALSE))</f>
        <v>10175</v>
      </c>
      <c r="P219" s="46">
        <f t="shared" ca="1" si="10"/>
        <v>1.6400709219778809E-4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input_497104!A$2</f>
        <v>497104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IFERROR(VLOOKUP(B220,input_497104!L:R,7,FALSE),VLOOKUP(tables_497104!C220,input_497104!A:H,8,FALSE))</f>
        <v>10175</v>
      </c>
      <c r="P220" s="46">
        <f t="shared" ca="1" si="10"/>
        <v>1.6400709219778809E-4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input_497104!A$2</f>
        <v>497104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IFERROR(VLOOKUP(B221,input_497104!L:R,7,FALSE),VLOOKUP(tables_497104!C221,input_497104!A:H,8,FALSE))</f>
        <v>68955.71428</v>
      </c>
      <c r="P221" s="46">
        <f t="shared" ca="1" si="10"/>
        <v>1.1114718613743778E-3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input_497104!A$2</f>
        <v>497104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IFERROR(VLOOKUP(B222,input_497104!L:R,7,FALSE),VLOOKUP(tables_497104!C222,input_497104!A:H,8,FALSE))</f>
        <v>1880</v>
      </c>
      <c r="P222" s="46">
        <f t="shared" ca="1" si="10"/>
        <v>3.0303030302883698E-5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input_497104!A$2</f>
        <v>497104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IFERROR(VLOOKUP(B223,input_497104!L:R,7,FALSE),VLOOKUP(tables_497104!C223,input_497104!A:H,8,FALSE))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input_497104!A$2</f>
        <v>497104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IFERROR(VLOOKUP(B224,input_497104!L:R,7,FALSE),VLOOKUP(tables_497104!C224,input_497104!A:H,8,FALSE))</f>
        <v>373280.76922999998</v>
      </c>
      <c r="P224" s="46">
        <f t="shared" ca="1" si="10"/>
        <v>6.0167757773725667E-3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input_497104!A$2</f>
        <v>497104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IFERROR(VLOOKUP(B225,input_497104!L:R,7,FALSE),VLOOKUP(tables_497104!C225,input_497104!A:H,8,FALSE))</f>
        <v>18726.153849999999</v>
      </c>
      <c r="P225" s="46">
        <f t="shared" ca="1" si="10"/>
        <v>3.0184000402819797E-4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input_497104!A$2</f>
        <v>497104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IFERROR(VLOOKUP(B226,input_497104!L:R,7,FALSE),VLOOKUP(tables_497104!C226,input_497104!A:H,8,FALSE))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input_497104!A$2</f>
        <v>497104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IFERROR(VLOOKUP(B227,input_497104!L:R,7,FALSE),VLOOKUP(tables_497104!C227,input_497104!A:H,8,FALSE))</f>
        <v>373280.76922999998</v>
      </c>
      <c r="P227" s="46">
        <f t="shared" ca="1" si="10"/>
        <v>6.0167757773725667E-3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input_497104!A$2</f>
        <v>497104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IFERROR(VLOOKUP(B228,input_497104!L:R,7,FALSE),VLOOKUP(tables_497104!C228,input_497104!A:H,8,FALSE))</f>
        <v>18726.153849999999</v>
      </c>
      <c r="P228" s="46">
        <f t="shared" ca="1" si="10"/>
        <v>3.0184000402819797E-4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input_497104!A$2</f>
        <v>497104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IFERROR(VLOOKUP(B229,input_497104!L:R,7,FALSE),VLOOKUP(tables_497104!C229,input_497104!A:H,8,FALSE))</f>
        <v>68955.71428</v>
      </c>
      <c r="P229" s="46">
        <f t="shared" ca="1" si="10"/>
        <v>1.1114718613743778E-3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input_497104!A$2</f>
        <v>497104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IFERROR(VLOOKUP(B230,input_497104!L:R,7,FALSE),VLOOKUP(tables_497104!C230,input_497104!A:H,8,FALSE))</f>
        <v>1880</v>
      </c>
      <c r="P230" s="46">
        <f t="shared" ca="1" si="10"/>
        <v>3.0303030302883698E-5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input_497104!A$2</f>
        <v>497104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IFERROR(VLOOKUP(B231,input_497104!L:R,7,FALSE),VLOOKUP(tables_497104!C231,input_497104!A:H,8,FALSE))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input_497104!A$2</f>
        <v>497104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IFERROR(VLOOKUP(B232,input_497104!L:R,7,FALSE),VLOOKUP(tables_497104!C232,input_497104!A:H,8,FALSE))</f>
        <v>373280.76922999998</v>
      </c>
      <c r="P232" s="46">
        <f t="shared" ca="1" si="10"/>
        <v>6.0167757773725667E-3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input_497104!A$2</f>
        <v>497104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IFERROR(VLOOKUP(B233,input_497104!L:R,7,FALSE),VLOOKUP(tables_497104!C233,input_497104!A:H,8,FALSE))</f>
        <v>18726.153849999999</v>
      </c>
      <c r="P233" s="46">
        <f t="shared" ca="1" si="10"/>
        <v>3.0184000402819797E-4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input_497104!A$2</f>
        <v>497104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IFERROR(VLOOKUP(B234,input_497104!L:R,7,FALSE),VLOOKUP(tables_497104!C234,input_497104!A:H,8,FALSE))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input_497104!A$2</f>
        <v>497104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IFERROR(VLOOKUP(B235,input_497104!L:R,7,FALSE),VLOOKUP(tables_497104!C235,input_497104!A:H,8,FALSE))</f>
        <v>373280.76922999998</v>
      </c>
      <c r="P235" s="46">
        <f t="shared" ca="1" si="10"/>
        <v>6.0167757773725667E-3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input_497104!A$2</f>
        <v>497104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IFERROR(VLOOKUP(B236,input_497104!L:R,7,FALSE),VLOOKUP(tables_497104!C236,input_497104!A:H,8,FALSE))</f>
        <v>18726.153849999999</v>
      </c>
      <c r="P236" s="46">
        <f t="shared" ca="1" si="10"/>
        <v>3.0184000402819797E-4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input_497104!A$2</f>
        <v>497104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IFERROR(VLOOKUP(B237,input_497104!L:R,7,FALSE),VLOOKUP(tables_497104!C237,input_497104!A:H,8,FALSE))</f>
        <v>68955.71428</v>
      </c>
      <c r="P237" s="46">
        <f t="shared" ca="1" si="10"/>
        <v>1.1114718613743778E-3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input_497104!A$2</f>
        <v>497104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IFERROR(VLOOKUP(B238,input_497104!L:R,7,FALSE),VLOOKUP(tables_497104!C238,input_497104!A:H,8,FALSE))</f>
        <v>1880</v>
      </c>
      <c r="P238" s="46">
        <f t="shared" ca="1" si="10"/>
        <v>3.0303030302883698E-5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input_497104!A$2</f>
        <v>497104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IFERROR(VLOOKUP(B239,input_497104!L:R,7,FALSE),VLOOKUP(tables_497104!C239,input_497104!A:H,8,FALSE))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input_497104!A$2</f>
        <v>497104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IFERROR(VLOOKUP(B240,input_497104!L:R,7,FALSE),VLOOKUP(tables_497104!C240,input_497104!A:H,8,FALSE))</f>
        <v>373280.76922999998</v>
      </c>
      <c r="P240" s="46">
        <f t="shared" ca="1" si="10"/>
        <v>6.0167757773725667E-3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input_497104!A$2</f>
        <v>497104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IFERROR(VLOOKUP(B241,input_497104!L:R,7,FALSE),VLOOKUP(tables_497104!C241,input_497104!A:H,8,FALSE))</f>
        <v>18726.153849999999</v>
      </c>
      <c r="P241" s="46">
        <f t="shared" ca="1" si="10"/>
        <v>3.0184000402819797E-4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input_497104!A$2</f>
        <v>497104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IFERROR(VLOOKUP(B242,input_497104!L:R,7,FALSE),VLOOKUP(tables_497104!C242,input_497104!A:H,8,FALSE))</f>
        <v>68955.71428</v>
      </c>
      <c r="P242" s="46">
        <f t="shared" ca="1" si="10"/>
        <v>1.1114718613743778E-3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input_497104!A$2</f>
        <v>497104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IFERROR(VLOOKUP(B243,input_497104!L:R,7,FALSE),VLOOKUP(tables_497104!C243,input_497104!A:H,8,FALSE))</f>
        <v>1880</v>
      </c>
      <c r="P243" s="46">
        <f t="shared" ca="1" si="10"/>
        <v>3.0303030302883698E-5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input_497104!A$2</f>
        <v>497104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IFERROR(VLOOKUP(B244,input_497104!L:R,7,FALSE),VLOOKUP(tables_497104!C244,input_497104!A:H,8,FALSE))</f>
        <v>68955.71428</v>
      </c>
      <c r="P244" s="46">
        <f t="shared" ca="1" si="10"/>
        <v>1.1114718613743778E-3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input_497104!A$2</f>
        <v>497104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IFERROR(VLOOKUP(B245,input_497104!L:R,7,FALSE),VLOOKUP(tables_497104!C245,input_497104!A:H,8,FALSE))</f>
        <v>1880</v>
      </c>
      <c r="P245" s="46">
        <f t="shared" ca="1" si="10"/>
        <v>3.0303030302883698E-5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input_497104!A$2</f>
        <v>497104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IFERROR(VLOOKUP(B246,input_497104!L:R,7,FALSE),VLOOKUP(tables_497104!C246,input_497104!A:H,8,FALSE))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input_497104!A$2</f>
        <v>497104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IFERROR(VLOOKUP(B247,input_497104!L:R,7,FALSE),VLOOKUP(tables_497104!C247,input_497104!A:H,8,FALSE))</f>
        <v>373280.76922999998</v>
      </c>
      <c r="P247" s="46">
        <f t="shared" ca="1" si="10"/>
        <v>6.0167757773725667E-3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input_497104!A$2</f>
        <v>497104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IFERROR(VLOOKUP(B248,input_497104!L:R,7,FALSE),VLOOKUP(tables_497104!C248,input_497104!A:H,8,FALSE))</f>
        <v>18726.153849999999</v>
      </c>
      <c r="P248" s="46">
        <f t="shared" ca="1" si="10"/>
        <v>3.0184000402819797E-4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input_497104!A$2</f>
        <v>497104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IFERROR(VLOOKUP(B249,input_497104!L:R,7,FALSE),VLOOKUP(tables_497104!C249,input_497104!A:H,8,FALSE))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input_497104!A$2</f>
        <v>497104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IFERROR(VLOOKUP(B250,input_497104!L:R,7,FALSE),VLOOKUP(tables_497104!C250,input_497104!A:H,8,FALSE))</f>
        <v>373280.76922999998</v>
      </c>
      <c r="P250" s="46">
        <f t="shared" ca="1" si="10"/>
        <v>6.0167757773725667E-3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input_497104!A$2</f>
        <v>497104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IFERROR(VLOOKUP(B251,input_497104!L:R,7,FALSE),VLOOKUP(tables_497104!C251,input_497104!A:H,8,FALSE))</f>
        <v>18726.153849999999</v>
      </c>
      <c r="P251" s="46">
        <f t="shared" ca="1" si="10"/>
        <v>3.0184000402819797E-4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input_497104!A$2</f>
        <v>497104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IFERROR(VLOOKUP(B252,input_497104!L:R,7,FALSE),VLOOKUP(tables_497104!C252,input_497104!A:H,8,FALSE))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input_497104!A$2</f>
        <v>497104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IFERROR(VLOOKUP(B253,input_497104!L:R,7,FALSE),VLOOKUP(tables_497104!C253,input_497104!A:H,8,FALSE))</f>
        <v>373280.76922999998</v>
      </c>
      <c r="P253" s="46">
        <f t="shared" ca="1" si="10"/>
        <v>6.0167757773725667E-3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input_497104!A$2</f>
        <v>497104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IFERROR(VLOOKUP(B254,input_497104!L:R,7,FALSE),VLOOKUP(tables_497104!C254,input_497104!A:H,8,FALSE))</f>
        <v>18726.153849999999</v>
      </c>
      <c r="P254" s="46">
        <f t="shared" ca="1" si="10"/>
        <v>3.0184000402819797E-4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input_497104!A$2</f>
        <v>497104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IFERROR(VLOOKUP(B255,input_497104!L:R,7,FALSE),VLOOKUP(tables_497104!C255,input_497104!A:H,8,FALSE))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input_497104!A$2</f>
        <v>497104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IFERROR(VLOOKUP(B256,input_497104!L:R,7,FALSE),VLOOKUP(tables_497104!C256,input_497104!A:H,8,FALSE))</f>
        <v>373280.76922999998</v>
      </c>
      <c r="P256" s="46">
        <f t="shared" ca="1" si="10"/>
        <v>6.0167757773725667E-3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input_497104!A$2</f>
        <v>497104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IFERROR(VLOOKUP(B257,input_497104!L:R,7,FALSE),VLOOKUP(tables_497104!C257,input_497104!A:H,8,FALSE))</f>
        <v>18726.153849999999</v>
      </c>
      <c r="P257" s="46">
        <f t="shared" ca="1" si="10"/>
        <v>3.0184000402819797E-4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input_497104!A$2</f>
        <v>497104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IFERROR(VLOOKUP(B258,input_497104!L:R,7,FALSE),VLOOKUP(tables_497104!C258,input_497104!A:H,8,FALSE))</f>
        <v>68955.71428</v>
      </c>
      <c r="P258" s="46">
        <f t="shared" ref="P258:P321" ca="1" si="13">O258/SUM(O:O)</f>
        <v>1.1114718613743778E-3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input_497104!A$2</f>
        <v>497104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IFERROR(VLOOKUP(B259,input_497104!L:R,7,FALSE),VLOOKUP(tables_497104!C259,input_497104!A:H,8,FALSE))</f>
        <v>1880</v>
      </c>
      <c r="P259" s="46">
        <f t="shared" ca="1" si="13"/>
        <v>3.0303030302883698E-5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input_497104!A$2</f>
        <v>497104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IFERROR(VLOOKUP(B260,input_497104!L:R,7,FALSE),VLOOKUP(tables_497104!C260,input_497104!A:H,8,FALSE))</f>
        <v>68955.71428</v>
      </c>
      <c r="P260" s="46">
        <f t="shared" ca="1" si="13"/>
        <v>1.1114718613743778E-3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input_497104!A$2</f>
        <v>497104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IFERROR(VLOOKUP(B261,input_497104!L:R,7,FALSE),VLOOKUP(tables_497104!C261,input_497104!A:H,8,FALSE))</f>
        <v>1880</v>
      </c>
      <c r="P261" s="46">
        <f t="shared" ca="1" si="13"/>
        <v>3.0303030302883698E-5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input_497104!A$2</f>
        <v>497104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IFERROR(VLOOKUP(B262,input_497104!L:R,7,FALSE),VLOOKUP(tables_497104!C262,input_497104!A:H,8,FALSE))</f>
        <v>448433.33332999999</v>
      </c>
      <c r="P262" s="46">
        <f t="shared" ca="1" si="13"/>
        <v>7.2281323876181571E-3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input_497104!A$2</f>
        <v>497104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IFERROR(VLOOKUP(B263,input_497104!L:R,7,FALSE),VLOOKUP(tables_497104!C263,input_497104!A:H,8,FALSE))</f>
        <v>10175</v>
      </c>
      <c r="P263" s="46">
        <f t="shared" ca="1" si="13"/>
        <v>1.6400709219778809E-4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input_497104!A$2</f>
        <v>497104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IFERROR(VLOOKUP(B264,input_497104!L:R,7,FALSE),VLOOKUP(tables_497104!C264,input_497104!A:H,8,FALSE))</f>
        <v>448433.33332999999</v>
      </c>
      <c r="P264" s="46">
        <f t="shared" ca="1" si="13"/>
        <v>7.2281323876181571E-3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input_497104!A$2</f>
        <v>497104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IFERROR(VLOOKUP(B265,input_497104!L:R,7,FALSE),VLOOKUP(tables_497104!C265,input_497104!A:H,8,FALSE))</f>
        <v>10175</v>
      </c>
      <c r="P265" s="46">
        <f t="shared" ca="1" si="13"/>
        <v>1.6400709219778809E-4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input_497104!A$2</f>
        <v>497104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IFERROR(VLOOKUP(B266,input_497104!L:R,7,FALSE),VLOOKUP(tables_497104!C266,input_497104!A:H,8,FALSE))</f>
        <v>13110.526320000001</v>
      </c>
      <c r="P266" s="46">
        <f t="shared" ca="1" si="13"/>
        <v>2.1132376402218847E-4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input_497104!A$2</f>
        <v>497104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IFERROR(VLOOKUP(B267,input_497104!L:R,7,FALSE),VLOOKUP(tables_497104!C267,input_497104!A:H,8,FALSE))</f>
        <v>13110.526320000001</v>
      </c>
      <c r="P267" s="46">
        <f t="shared" ca="1" si="13"/>
        <v>2.1132376402218847E-4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input_497104!A$2</f>
        <v>497104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IFERROR(VLOOKUP(B268,input_497104!L:R,7,FALSE),VLOOKUP(tables_497104!C268,input_497104!A:H,8,FALSE))</f>
        <v>13110.526320000001</v>
      </c>
      <c r="P268" s="46">
        <f t="shared" ca="1" si="13"/>
        <v>2.1132376402218847E-4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input_497104!A$2</f>
        <v>497104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IFERROR(VLOOKUP(B269,input_497104!L:R,7,FALSE),VLOOKUP(tables_497104!C269,input_497104!A:H,8,FALSE))</f>
        <v>13110.526320000001</v>
      </c>
      <c r="P269" s="46">
        <f t="shared" ca="1" si="13"/>
        <v>2.1132376402218847E-4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input_497104!A$2</f>
        <v>497104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IFERROR(VLOOKUP(B270,input_497104!L:R,7,FALSE),VLOOKUP(tables_497104!C270,input_497104!A:H,8,FALSE))</f>
        <v>448433.33332999999</v>
      </c>
      <c r="P270" s="46">
        <f t="shared" ca="1" si="13"/>
        <v>7.2281323876181571E-3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input_497104!A$2</f>
        <v>497104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IFERROR(VLOOKUP(B271,input_497104!L:R,7,FALSE),VLOOKUP(tables_497104!C271,input_497104!A:H,8,FALSE))</f>
        <v>10175</v>
      </c>
      <c r="P271" s="46">
        <f t="shared" ca="1" si="13"/>
        <v>1.6400709219778809E-4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input_497104!A$2</f>
        <v>497104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IFERROR(VLOOKUP(B272,input_497104!L:R,7,FALSE),VLOOKUP(tables_497104!C272,input_497104!A:H,8,FALSE))</f>
        <v>448433.33332999999</v>
      </c>
      <c r="P272" s="46">
        <f t="shared" ca="1" si="13"/>
        <v>7.2281323876181571E-3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input_497104!A$2</f>
        <v>497104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IFERROR(VLOOKUP(B273,input_497104!L:R,7,FALSE),VLOOKUP(tables_497104!C273,input_497104!A:H,8,FALSE))</f>
        <v>10175</v>
      </c>
      <c r="P273" s="46">
        <f t="shared" ca="1" si="13"/>
        <v>1.6400709219778809E-4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input_497104!A$2</f>
        <v>497104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IFERROR(VLOOKUP(B274,input_497104!L:R,7,FALSE),VLOOKUP(tables_497104!C274,input_497104!A:H,8,FALSE))</f>
        <v>68955.71428</v>
      </c>
      <c r="P274" s="46">
        <f t="shared" ca="1" si="13"/>
        <v>1.1114718613743778E-3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input_497104!A$2</f>
        <v>497104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IFERROR(VLOOKUP(B275,input_497104!L:R,7,FALSE),VLOOKUP(tables_497104!C275,input_497104!A:H,8,FALSE))</f>
        <v>1880</v>
      </c>
      <c r="P275" s="46">
        <f t="shared" ca="1" si="13"/>
        <v>3.0303030302883698E-5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input_497104!A$2</f>
        <v>497104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IFERROR(VLOOKUP(B276,input_497104!L:R,7,FALSE),VLOOKUP(tables_497104!C276,input_497104!A:H,8,FALSE))</f>
        <v>68955.71428</v>
      </c>
      <c r="P276" s="46">
        <f t="shared" ca="1" si="13"/>
        <v>1.1114718613743778E-3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input_497104!A$2</f>
        <v>497104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IFERROR(VLOOKUP(B277,input_497104!L:R,7,FALSE),VLOOKUP(tables_497104!C277,input_497104!A:H,8,FALSE))</f>
        <v>1880</v>
      </c>
      <c r="P277" s="46">
        <f t="shared" ca="1" si="13"/>
        <v>3.0303030302883698E-5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input_497104!A$2</f>
        <v>497104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IFERROR(VLOOKUP(B278,input_497104!L:R,7,FALSE),VLOOKUP(tables_497104!C278,input_497104!A:H,8,FALSE))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input_497104!A$2</f>
        <v>497104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IFERROR(VLOOKUP(B279,input_497104!L:R,7,FALSE),VLOOKUP(tables_497104!C279,input_497104!A:H,8,FALSE))</f>
        <v>373280.76922999998</v>
      </c>
      <c r="P279" s="46">
        <f t="shared" ca="1" si="13"/>
        <v>6.0167757773725667E-3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input_497104!A$2</f>
        <v>497104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IFERROR(VLOOKUP(B280,input_497104!L:R,7,FALSE),VLOOKUP(tables_497104!C280,input_497104!A:H,8,FALSE))</f>
        <v>18726.153849999999</v>
      </c>
      <c r="P280" s="46">
        <f t="shared" ca="1" si="13"/>
        <v>3.0184000402819797E-4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input_497104!A$2</f>
        <v>497104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IFERROR(VLOOKUP(B281,input_497104!L:R,7,FALSE),VLOOKUP(tables_497104!C281,input_497104!A:H,8,FALSE))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input_497104!A$2</f>
        <v>497104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IFERROR(VLOOKUP(B282,input_497104!L:R,7,FALSE),VLOOKUP(tables_497104!C282,input_497104!A:H,8,FALSE))</f>
        <v>373280.76922999998</v>
      </c>
      <c r="P282" s="46">
        <f t="shared" ca="1" si="13"/>
        <v>6.0167757773725667E-3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input_497104!A$2</f>
        <v>497104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IFERROR(VLOOKUP(B283,input_497104!L:R,7,FALSE),VLOOKUP(tables_497104!C283,input_497104!A:H,8,FALSE))</f>
        <v>18726.153849999999</v>
      </c>
      <c r="P283" s="46">
        <f t="shared" ca="1" si="13"/>
        <v>3.0184000402819797E-4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input_497104!A$2</f>
        <v>497104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IFERROR(VLOOKUP(B284,input_497104!L:R,7,FALSE),VLOOKUP(tables_497104!C284,input_497104!A:H,8,FALSE))</f>
        <v>13110.526320000001</v>
      </c>
      <c r="P284" s="46">
        <f t="shared" ca="1" si="13"/>
        <v>2.1132376402218847E-4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input_497104!A$2</f>
        <v>497104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IFERROR(VLOOKUP(B285,input_497104!L:R,7,FALSE),VLOOKUP(tables_497104!C285,input_497104!A:H,8,FALSE))</f>
        <v>13110.526320000001</v>
      </c>
      <c r="P285" s="46">
        <f t="shared" ca="1" si="13"/>
        <v>2.1132376402218847E-4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input_497104!A$2</f>
        <v>497104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IFERROR(VLOOKUP(B286,input_497104!L:R,7,FALSE),VLOOKUP(tables_497104!C286,input_497104!A:H,8,FALSE))</f>
        <v>448433.33332999999</v>
      </c>
      <c r="P286" s="46">
        <f t="shared" ca="1" si="13"/>
        <v>7.2281323876181571E-3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input_497104!A$2</f>
        <v>497104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IFERROR(VLOOKUP(B287,input_497104!L:R,7,FALSE),VLOOKUP(tables_497104!C287,input_497104!A:H,8,FALSE))</f>
        <v>10175</v>
      </c>
      <c r="P287" s="46">
        <f t="shared" ca="1" si="13"/>
        <v>1.6400709219778809E-4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input_497104!A$2</f>
        <v>497104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IFERROR(VLOOKUP(B288,input_497104!L:R,7,FALSE),VLOOKUP(tables_497104!C288,input_497104!A:H,8,FALSE))</f>
        <v>448433.33332999999</v>
      </c>
      <c r="P288" s="46">
        <f t="shared" ca="1" si="13"/>
        <v>7.2281323876181571E-3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input_497104!A$2</f>
        <v>497104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IFERROR(VLOOKUP(B289,input_497104!L:R,7,FALSE),VLOOKUP(tables_497104!C289,input_497104!A:H,8,FALSE))</f>
        <v>10175</v>
      </c>
      <c r="P289" s="46">
        <f t="shared" ca="1" si="13"/>
        <v>1.6400709219778809E-4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input_497104!A$2</f>
        <v>497104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IFERROR(VLOOKUP(B290,input_497104!L:R,7,FALSE),VLOOKUP(tables_497104!C290,input_497104!A:H,8,FALSE))</f>
        <v>448433.33332999999</v>
      </c>
      <c r="P290" s="46">
        <f t="shared" ca="1" si="13"/>
        <v>7.2281323876181571E-3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input_497104!A$2</f>
        <v>497104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IFERROR(VLOOKUP(B291,input_497104!L:R,7,FALSE),VLOOKUP(tables_497104!C291,input_497104!A:H,8,FALSE))</f>
        <v>10175</v>
      </c>
      <c r="P291" s="46">
        <f t="shared" ca="1" si="13"/>
        <v>1.6400709219778809E-4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input_497104!A$2</f>
        <v>497104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IFERROR(VLOOKUP(B292,input_497104!L:R,7,FALSE),VLOOKUP(tables_497104!C292,input_497104!A:H,8,FALSE))</f>
        <v>448433.33332999999</v>
      </c>
      <c r="P292" s="46">
        <f t="shared" ca="1" si="13"/>
        <v>7.2281323876181571E-3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input_497104!A$2</f>
        <v>497104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IFERROR(VLOOKUP(B293,input_497104!L:R,7,FALSE),VLOOKUP(tables_497104!C293,input_497104!A:H,8,FALSE))</f>
        <v>10175</v>
      </c>
      <c r="P293" s="46">
        <f t="shared" ca="1" si="13"/>
        <v>1.6400709219778809E-4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input_497104!A$2</f>
        <v>497104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IFERROR(VLOOKUP(B294,input_497104!L:R,7,FALSE),VLOOKUP(tables_497104!C294,input_497104!A:H,8,FALSE))</f>
        <v>13110.526320000001</v>
      </c>
      <c r="P294" s="46">
        <f t="shared" ca="1" si="13"/>
        <v>2.1132376402218847E-4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input_497104!A$2</f>
        <v>497104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IFERROR(VLOOKUP(B295,input_497104!L:R,7,FALSE),VLOOKUP(tables_497104!C295,input_497104!A:H,8,FALSE))</f>
        <v>13110.526320000001</v>
      </c>
      <c r="P295" s="46">
        <f t="shared" ca="1" si="13"/>
        <v>2.1132376402218847E-4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input_497104!A$2</f>
        <v>497104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IFERROR(VLOOKUP(B296,input_497104!L:R,7,FALSE),VLOOKUP(tables_497104!C296,input_497104!A:H,8,FALSE))</f>
        <v>13110.526320000001</v>
      </c>
      <c r="P296" s="46">
        <f t="shared" ca="1" si="13"/>
        <v>2.1132376402218847E-4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input_497104!A$2</f>
        <v>497104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IFERROR(VLOOKUP(B297,input_497104!L:R,7,FALSE),VLOOKUP(tables_497104!C297,input_497104!A:H,8,FALSE))</f>
        <v>448433.33332999999</v>
      </c>
      <c r="P297" s="46">
        <f t="shared" ca="1" si="13"/>
        <v>7.2281323876181571E-3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input_497104!A$2</f>
        <v>497104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IFERROR(VLOOKUP(B298,input_497104!L:R,7,FALSE),VLOOKUP(tables_497104!C298,input_497104!A:H,8,FALSE))</f>
        <v>10175</v>
      </c>
      <c r="P298" s="46">
        <f t="shared" ca="1" si="13"/>
        <v>1.6400709219778809E-4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input_497104!A$2</f>
        <v>497104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IFERROR(VLOOKUP(B299,input_497104!L:R,7,FALSE),VLOOKUP(tables_497104!C299,input_497104!A:H,8,FALSE))</f>
        <v>13110.526320000001</v>
      </c>
      <c r="P299" s="46">
        <f t="shared" ca="1" si="13"/>
        <v>2.1132376402218847E-4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input_497104!A$2</f>
        <v>497104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IFERROR(VLOOKUP(B300,input_497104!L:R,7,FALSE),VLOOKUP(tables_497104!C300,input_497104!A:H,8,FALSE))</f>
        <v>13110.526320000001</v>
      </c>
      <c r="P300" s="46">
        <f t="shared" ca="1" si="13"/>
        <v>2.1132376402218847E-4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input_497104!A$2</f>
        <v>497104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IFERROR(VLOOKUP(B301,input_497104!L:R,7,FALSE),VLOOKUP(tables_497104!C301,input_497104!A:H,8,FALSE))</f>
        <v>13110.526320000001</v>
      </c>
      <c r="P301" s="46">
        <f t="shared" ca="1" si="13"/>
        <v>2.1132376402218847E-4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input_497104!A$2</f>
        <v>497104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IFERROR(VLOOKUP(B302,input_497104!L:R,7,FALSE),VLOOKUP(tables_497104!C302,input_497104!A:H,8,FALSE))</f>
        <v>13110.526320000001</v>
      </c>
      <c r="P302" s="46">
        <f t="shared" ca="1" si="13"/>
        <v>2.1132376402218847E-4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input_497104!A$2</f>
        <v>497104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IFERROR(VLOOKUP(B303,input_497104!L:R,7,FALSE),VLOOKUP(tables_497104!C303,input_497104!A:H,8,FALSE))</f>
        <v>448433.33332999999</v>
      </c>
      <c r="P303" s="46">
        <f t="shared" ca="1" si="13"/>
        <v>7.2281323876181571E-3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input_497104!A$2</f>
        <v>497104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IFERROR(VLOOKUP(B304,input_497104!L:R,7,FALSE),VLOOKUP(tables_497104!C304,input_497104!A:H,8,FALSE))</f>
        <v>10175</v>
      </c>
      <c r="P304" s="46">
        <f t="shared" ca="1" si="13"/>
        <v>1.6400709219778809E-4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input_497104!A$2</f>
        <v>497104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IFERROR(VLOOKUP(B305,input_497104!L:R,7,FALSE),VLOOKUP(tables_497104!C305,input_497104!A:H,8,FALSE))</f>
        <v>13110.526320000001</v>
      </c>
      <c r="P305" s="46">
        <f t="shared" ca="1" si="13"/>
        <v>2.1132376402218847E-4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input_497104!A$2</f>
        <v>497104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IFERROR(VLOOKUP(B306,input_497104!L:R,7,FALSE),VLOOKUP(tables_497104!C306,input_497104!A:H,8,FALSE))</f>
        <v>448433.33332999999</v>
      </c>
      <c r="P306" s="46">
        <f t="shared" ca="1" si="13"/>
        <v>7.2281323876181571E-3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input_497104!A$2</f>
        <v>497104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IFERROR(VLOOKUP(B307,input_497104!L:R,7,FALSE),VLOOKUP(tables_497104!C307,input_497104!A:H,8,FALSE))</f>
        <v>10175</v>
      </c>
      <c r="P307" s="46">
        <f t="shared" ca="1" si="13"/>
        <v>1.6400709219778809E-4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input_497104!A$2</f>
        <v>497104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IFERROR(VLOOKUP(B308,input_497104!L:R,7,FALSE),VLOOKUP(tables_497104!C308,input_497104!A:H,8,FALSE))</f>
        <v>13110.526320000001</v>
      </c>
      <c r="P308" s="46">
        <f t="shared" ca="1" si="13"/>
        <v>2.1132376402218847E-4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input_497104!A$2</f>
        <v>497104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IFERROR(VLOOKUP(B309,input_497104!L:R,7,FALSE),VLOOKUP(tables_497104!C309,input_497104!A:H,8,FALSE))</f>
        <v>13110.526320000001</v>
      </c>
      <c r="P309" s="46">
        <f t="shared" ca="1" si="13"/>
        <v>2.1132376402218847E-4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input_497104!A$2</f>
        <v>497104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IFERROR(VLOOKUP(B310,input_497104!L:R,7,FALSE),VLOOKUP(tables_497104!C310,input_497104!A:H,8,FALSE))</f>
        <v>13110.526320000001</v>
      </c>
      <c r="P310" s="46">
        <f t="shared" ca="1" si="13"/>
        <v>2.1132376402218847E-4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input_497104!A$2</f>
        <v>497104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IFERROR(VLOOKUP(B311,input_497104!L:R,7,FALSE),VLOOKUP(tables_497104!C311,input_497104!A:H,8,FALSE))</f>
        <v>448433.33332999999</v>
      </c>
      <c r="P311" s="46">
        <f t="shared" ca="1" si="13"/>
        <v>7.2281323876181571E-3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input_497104!A$2</f>
        <v>497104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IFERROR(VLOOKUP(B312,input_497104!L:R,7,FALSE),VLOOKUP(tables_497104!C312,input_497104!A:H,8,FALSE))</f>
        <v>10175</v>
      </c>
      <c r="P312" s="46">
        <f t="shared" ca="1" si="13"/>
        <v>1.6400709219778809E-4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input_497104!A$2</f>
        <v>497104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IFERROR(VLOOKUP(B313,input_497104!L:R,7,FALSE),VLOOKUP(tables_497104!C313,input_497104!A:H,8,FALSE))</f>
        <v>13110.526320000001</v>
      </c>
      <c r="P313" s="46">
        <f t="shared" ca="1" si="13"/>
        <v>2.1132376402218847E-4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input_497104!A$2</f>
        <v>497104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IFERROR(VLOOKUP(B314,input_497104!L:R,7,FALSE),VLOOKUP(tables_497104!C314,input_497104!A:H,8,FALSE))</f>
        <v>13110.526320000001</v>
      </c>
      <c r="P314" s="46">
        <f t="shared" ca="1" si="13"/>
        <v>2.1132376402218847E-4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input_497104!A$2</f>
        <v>497104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IFERROR(VLOOKUP(B315,input_497104!L:R,7,FALSE),VLOOKUP(tables_497104!C315,input_497104!A:H,8,FALSE))</f>
        <v>13110.526320000001</v>
      </c>
      <c r="P315" s="46">
        <f t="shared" ca="1" si="13"/>
        <v>2.1132376402218847E-4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input_497104!A$2</f>
        <v>497104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IFERROR(VLOOKUP(B316,input_497104!L:R,7,FALSE),VLOOKUP(tables_497104!C316,input_497104!A:H,8,FALSE))</f>
        <v>13110.526320000001</v>
      </c>
      <c r="P316" s="46">
        <f t="shared" ca="1" si="13"/>
        <v>2.1132376402218847E-4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input_497104!A$2</f>
        <v>497104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IFERROR(VLOOKUP(B317,input_497104!L:R,7,FALSE),VLOOKUP(tables_497104!C317,input_497104!A:H,8,FALSE))</f>
        <v>13110.526320000001</v>
      </c>
      <c r="P317" s="46">
        <f t="shared" ca="1" si="13"/>
        <v>2.1132376402218847E-4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input_497104!A$2</f>
        <v>497104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IFERROR(VLOOKUP(B318,input_497104!L:R,7,FALSE),VLOOKUP(tables_497104!C318,input_497104!A:H,8,FALSE))</f>
        <v>448433.33332999999</v>
      </c>
      <c r="P318" s="46">
        <f t="shared" ca="1" si="13"/>
        <v>7.2281323876181571E-3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input_497104!A$2</f>
        <v>497104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IFERROR(VLOOKUP(B319,input_497104!L:R,7,FALSE),VLOOKUP(tables_497104!C319,input_497104!A:H,8,FALSE))</f>
        <v>10175</v>
      </c>
      <c r="P319" s="46">
        <f t="shared" ca="1" si="13"/>
        <v>1.6400709219778809E-4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input_497104!A$2</f>
        <v>497104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IFERROR(VLOOKUP(B320,input_497104!L:R,7,FALSE),VLOOKUP(tables_497104!C320,input_497104!A:H,8,FALSE))</f>
        <v>13110.526320000001</v>
      </c>
      <c r="P320" s="46">
        <f t="shared" ca="1" si="13"/>
        <v>2.1132376402218847E-4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input_497104!A$2</f>
        <v>497104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IFERROR(VLOOKUP(B321,input_497104!L:R,7,FALSE),VLOOKUP(tables_497104!C321,input_497104!A:H,8,FALSE))</f>
        <v>13110.526320000001</v>
      </c>
      <c r="P321" s="46">
        <f t="shared" ca="1" si="13"/>
        <v>2.1132376402218847E-4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input_497104!A$2</f>
        <v>497104</v>
      </c>
      <c r="B322" s="5">
        <v>1139</v>
      </c>
      <c r="C322" s="7" t="str">
        <f t="shared" ref="C322:C345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IFERROR(VLOOKUP(B322,input_497104!L:R,7,FALSE),VLOOKUP(tables_497104!C322,input_497104!A:H,8,FALSE))</f>
        <v>13110.526320000001</v>
      </c>
      <c r="P322" s="46">
        <f t="shared" ref="P322:P352" ca="1" si="16">O322/SUM(O:O)</f>
        <v>2.1132376402218847E-4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input_497104!A$2</f>
        <v>497104</v>
      </c>
      <c r="B323" s="5">
        <v>1141</v>
      </c>
      <c r="C323" s="7" t="str">
        <f t="shared" si="15"/>
        <v>PremiumSS5R5only</v>
      </c>
      <c r="D323" s="7" t="str">
        <f t="shared" ref="D323:D345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IFERROR(VLOOKUP(B323,input_497104!L:R,7,FALSE),VLOOKUP(tables_497104!C323,input_497104!A:H,8,FALSE))</f>
        <v>13110.526320000001</v>
      </c>
      <c r="P323" s="46">
        <f t="shared" ca="1" si="16"/>
        <v>2.1132376402218847E-4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input_497104!A$2</f>
        <v>497104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IFERROR(VLOOKUP(B324,input_497104!L:R,7,FALSE),VLOOKUP(tables_497104!C324,input_497104!A:H,8,FALSE))</f>
        <v>448433.33332999999</v>
      </c>
      <c r="P324" s="46">
        <f t="shared" ca="1" si="16"/>
        <v>7.2281323876181571E-3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input_497104!A$2</f>
        <v>497104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IFERROR(VLOOKUP(B325,input_497104!L:R,7,FALSE),VLOOKUP(tables_497104!C325,input_497104!A:H,8,FALSE))</f>
        <v>10175</v>
      </c>
      <c r="P325" s="46">
        <f t="shared" ca="1" si="16"/>
        <v>1.6400709219778809E-4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input_497104!A$2</f>
        <v>497104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IFERROR(VLOOKUP(B326,input_497104!L:R,7,FALSE),VLOOKUP(tables_497104!C326,input_497104!A:H,8,FALSE))</f>
        <v>448433.33332999999</v>
      </c>
      <c r="P326" s="46">
        <f t="shared" ca="1" si="16"/>
        <v>7.2281323876181571E-3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input_497104!A$2</f>
        <v>497104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IFERROR(VLOOKUP(B327,input_497104!L:R,7,FALSE),VLOOKUP(tables_497104!C327,input_497104!A:H,8,FALSE))</f>
        <v>10175</v>
      </c>
      <c r="P327" s="46">
        <f t="shared" ca="1" si="16"/>
        <v>1.6400709219778809E-4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input_497104!A$2</f>
        <v>497104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IFERROR(VLOOKUP(B328,input_497104!L:R,7,FALSE),VLOOKUP(tables_497104!C328,input_497104!A:H,8,FALSE))</f>
        <v>13110.526320000001</v>
      </c>
      <c r="P328" s="46">
        <f t="shared" ca="1" si="16"/>
        <v>2.1132376402218847E-4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input_497104!A$2</f>
        <v>497104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IFERROR(VLOOKUP(B329,input_497104!L:R,7,FALSE),VLOOKUP(tables_497104!C329,input_497104!A:H,8,FALSE))</f>
        <v>13110.526320000001</v>
      </c>
      <c r="P329" s="46">
        <f t="shared" ca="1" si="16"/>
        <v>2.1132376402218847E-4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input_497104!A$2</f>
        <v>497104</v>
      </c>
      <c r="B330" s="2">
        <v>1157</v>
      </c>
      <c r="C330" s="7" t="str">
        <f t="shared" si="15"/>
        <v>PremiumSS5R5only</v>
      </c>
      <c r="D330" s="94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IFERROR(VLOOKUP(B330,input_497104!L:R,7,FALSE),VLOOKUP(tables_497104!C330,input_497104!A:H,8,FALSE))</f>
        <v>13110.526320000001</v>
      </c>
      <c r="P330" s="46">
        <f t="shared" ca="1" si="16"/>
        <v>2.1132376402218847E-4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input_497104!A$2</f>
        <v>497104</v>
      </c>
      <c r="B331" s="60">
        <v>1214</v>
      </c>
      <c r="C331" s="7" t="str">
        <f t="shared" si="15"/>
        <v>PremiumSS5R5only</v>
      </c>
      <c r="D331" s="94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IFERROR(VLOOKUP(B331,input_497104!L:R,7,FALSE),VLOOKUP(tables_497104!C331,input_497104!A:H,8,FALSE))</f>
        <v>13110.526320000001</v>
      </c>
      <c r="P331" s="46">
        <f t="shared" ca="1" si="16"/>
        <v>2.1132376402218847E-4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input_497104!A$2</f>
        <v>497104</v>
      </c>
      <c r="B332" s="60">
        <v>1212</v>
      </c>
      <c r="C332" s="7" t="str">
        <f t="shared" si="15"/>
        <v>PremiumSS5R5only</v>
      </c>
      <c r="D332" s="94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IFERROR(VLOOKUP(B332,input_497104!L:R,7,FALSE),VLOOKUP(tables_497104!C332,input_497104!A:H,8,FALSE))</f>
        <v>13110.526320000001</v>
      </c>
      <c r="P332" s="46">
        <f t="shared" ca="1" si="16"/>
        <v>2.1132376402218847E-4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input_497104!A$2</f>
        <v>497104</v>
      </c>
      <c r="B333" s="60">
        <v>1208</v>
      </c>
      <c r="C333" s="7" t="str">
        <f t="shared" si="15"/>
        <v>PremiumSS5R5only</v>
      </c>
      <c r="D333" s="94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IFERROR(VLOOKUP(B333,input_497104!L:R,7,FALSE),VLOOKUP(tables_497104!C333,input_497104!A:H,8,FALSE))</f>
        <v>13110.526320000001</v>
      </c>
      <c r="P333" s="46">
        <f t="shared" ca="1" si="16"/>
        <v>2.1132376402218847E-4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input_497104!A$2</f>
        <v>497104</v>
      </c>
      <c r="B334" s="90">
        <v>1210</v>
      </c>
      <c r="C334" s="7" t="str">
        <f t="shared" si="15"/>
        <v>Premium4R3less</v>
      </c>
      <c r="D334" s="94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IFERROR(VLOOKUP(B334,input_497104!L:R,7,FALSE),VLOOKUP(tables_497104!C334,input_497104!A:H,8,FALSE))</f>
        <v>448433.33332999999</v>
      </c>
      <c r="P334" s="46">
        <f t="shared" ca="1" si="16"/>
        <v>7.2281323876181571E-3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input_497104!A$2</f>
        <v>497104</v>
      </c>
      <c r="B335" s="60">
        <v>1211</v>
      </c>
      <c r="C335" s="7" t="str">
        <f t="shared" si="15"/>
        <v>Premium5R3less</v>
      </c>
      <c r="D335" s="94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IFERROR(VLOOKUP(B335,input_497104!L:R,7,FALSE),VLOOKUP(tables_497104!C335,input_497104!A:H,8,FALSE))</f>
        <v>10175</v>
      </c>
      <c r="P335" s="46">
        <f t="shared" ca="1" si="16"/>
        <v>1.6400709219778809E-4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input_497104!A$2</f>
        <v>497104</v>
      </c>
      <c r="B336" s="2">
        <v>1224</v>
      </c>
      <c r="C336" s="7" t="str">
        <f t="shared" si="15"/>
        <v>Premium4R3less</v>
      </c>
      <c r="D336" s="94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IFERROR(VLOOKUP(B336,input_497104!L:R,7,FALSE),VLOOKUP(tables_497104!C336,input_497104!A:H,8,FALSE))</f>
        <v>448433.33332999999</v>
      </c>
      <c r="P336" s="46">
        <f t="shared" ca="1" si="16"/>
        <v>7.2281323876181571E-3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input_497104!A$2</f>
        <v>497104</v>
      </c>
      <c r="B337" s="2">
        <v>1225</v>
      </c>
      <c r="C337" s="7" t="str">
        <f t="shared" si="15"/>
        <v>Premium5R3less</v>
      </c>
      <c r="D337" s="94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IFERROR(VLOOKUP(B337,input_497104!L:R,7,FALSE),VLOOKUP(tables_497104!C337,input_497104!A:H,8,FALSE))</f>
        <v>10175</v>
      </c>
      <c r="P337" s="46">
        <f t="shared" ca="1" si="16"/>
        <v>1.6400709219778809E-4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input_497104!A$2</f>
        <v>497104</v>
      </c>
      <c r="B338" s="2">
        <v>1226</v>
      </c>
      <c r="C338" s="7" t="str">
        <f t="shared" si="15"/>
        <v>PremiumSS5R5only</v>
      </c>
      <c r="D338" s="94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IFERROR(VLOOKUP(B338,input_497104!L:R,7,FALSE),VLOOKUP(tables_497104!C338,input_497104!A:H,8,FALSE))</f>
        <v>13110.526320000001</v>
      </c>
      <c r="P338" s="46">
        <f t="shared" ca="1" si="16"/>
        <v>2.1132376402218847E-4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input_497104!A$2</f>
        <v>497104</v>
      </c>
      <c r="B339" s="2">
        <v>1228</v>
      </c>
      <c r="C339" s="7" t="str">
        <f t="shared" si="15"/>
        <v>PremiumSS5R5only</v>
      </c>
      <c r="D339" s="94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IFERROR(VLOOKUP(B339,input_497104!L:R,7,FALSE),VLOOKUP(tables_497104!C339,input_497104!A:H,8,FALSE))</f>
        <v>13110.526320000001</v>
      </c>
      <c r="P339" s="46">
        <f t="shared" ca="1" si="16"/>
        <v>2.1132376402218847E-4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input_497104!A$2</f>
        <v>497104</v>
      </c>
      <c r="B340" s="2">
        <v>1230</v>
      </c>
      <c r="C340" s="7" t="str">
        <f t="shared" si="15"/>
        <v>PremiumSS5R5only</v>
      </c>
      <c r="D340" s="94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IFERROR(VLOOKUP(B340,input_497104!L:R,7,FALSE),VLOOKUP(tables_497104!C340,input_497104!A:H,8,FALSE))</f>
        <v>13110.526320000001</v>
      </c>
      <c r="P340" s="46">
        <f t="shared" ca="1" si="16"/>
        <v>2.1132376402218847E-4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input_497104!A$2</f>
        <v>497104</v>
      </c>
      <c r="B341" s="1">
        <v>1250</v>
      </c>
      <c r="C341" s="7" t="str">
        <f t="shared" si="15"/>
        <v>PremiumSS5R5only</v>
      </c>
      <c r="D341" s="94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IFERROR(VLOOKUP(B341,input_497104!L:R,7,FALSE),VLOOKUP(tables_497104!C341,input_497104!A:H,8,FALSE))</f>
        <v>13110.526320000001</v>
      </c>
      <c r="P341" s="46">
        <f t="shared" ca="1" si="16"/>
        <v>2.1132376402218847E-4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input_497104!A$2</f>
        <v>497104</v>
      </c>
      <c r="B342" s="1">
        <v>1248</v>
      </c>
      <c r="C342" s="7" t="str">
        <f t="shared" si="15"/>
        <v>Premium4R3less</v>
      </c>
      <c r="D342" s="94" t="str">
        <f t="shared" si="17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IFERROR(VLOOKUP(B342,input_497104!L:R,7,FALSE),VLOOKUP(tables_497104!C342,input_497104!A:H,8,FALSE))</f>
        <v>448433.33332999999</v>
      </c>
      <c r="P342" s="46">
        <f t="shared" ca="1" si="16"/>
        <v>7.2281323876181571E-3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input_497104!A$2</f>
        <v>497104</v>
      </c>
      <c r="B343" s="1">
        <v>1249</v>
      </c>
      <c r="C343" s="7" t="str">
        <f t="shared" si="15"/>
        <v>Premium5R3less</v>
      </c>
      <c r="D343" s="94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IFERROR(VLOOKUP(B343,input_497104!L:R,7,FALSE),VLOOKUP(tables_497104!C343,input_497104!A:H,8,FALSE))</f>
        <v>10175</v>
      </c>
      <c r="P343" s="46">
        <f t="shared" ca="1" si="16"/>
        <v>1.6400709219778809E-4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input_497104!A$2</f>
        <v>497104</v>
      </c>
      <c r="B344" s="1">
        <v>1246</v>
      </c>
      <c r="C344" s="7" t="str">
        <f t="shared" si="15"/>
        <v>PremiumSS5R5only</v>
      </c>
      <c r="D344" s="94" t="str">
        <f t="shared" si="17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IFERROR(VLOOKUP(B344,input_497104!L:R,7,FALSE),VLOOKUP(tables_497104!C344,input_497104!A:H,8,FALSE))</f>
        <v>13110.526320000001</v>
      </c>
      <c r="P344" s="46">
        <f t="shared" ca="1" si="16"/>
        <v>2.1132376402218847E-4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input_497104!A$2</f>
        <v>497104</v>
      </c>
      <c r="B345" s="1">
        <v>1244</v>
      </c>
      <c r="C345" s="7" t="str">
        <f t="shared" si="15"/>
        <v>PremiumSS5R5only</v>
      </c>
      <c r="D345" s="94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IFERROR(VLOOKUP(B345,input_497104!L:R,7,FALSE),VLOOKUP(tables_497104!C345,input_497104!A:H,8,FALSE))</f>
        <v>13110.526320000001</v>
      </c>
      <c r="P345" s="46">
        <f t="shared" ca="1" si="16"/>
        <v>2.1132376402218847E-4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input_497104!A$2</f>
        <v>497104</v>
      </c>
      <c r="B346" s="60">
        <v>716</v>
      </c>
      <c r="C346" s="7" t="str">
        <f t="shared" ref="C346:C352" si="18">D346&amp;J346&amp;E346&amp;F346&amp;G346</f>
        <v>PremiumSS5R5only</v>
      </c>
      <c r="D346" s="94" t="str">
        <f t="shared" ref="D346:D352" si="1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平和島静雄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dr</v>
      </c>
      <c r="M346" s="7" t="str">
        <f>VLOOKUP(B346,[1]characters!$A:$M,13,FALSE)</f>
        <v>human</v>
      </c>
      <c r="N346" s="7" t="str">
        <f>VLOOKUP(B346,[1]characters!$A:$G,7,FALSE)</f>
        <v>男性</v>
      </c>
      <c r="O346" s="45">
        <f>IFERROR(VLOOKUP(B346,input_497104!L:R,7,FALSE),VLOOKUP(tables_497104!C346,input_497104!A:H,8,FALSE))</f>
        <v>620400</v>
      </c>
      <c r="P346" s="46">
        <f t="shared" ca="1" si="16"/>
        <v>9.9999999999516205E-3</v>
      </c>
      <c r="Q346" s="224">
        <v>80</v>
      </c>
      <c r="R346" s="30">
        <v>0</v>
      </c>
      <c r="S346" s="30">
        <v>0</v>
      </c>
      <c r="T346" s="30">
        <v>0</v>
      </c>
      <c r="U346" s="30">
        <v>0</v>
      </c>
      <c r="V346" s="224">
        <v>5</v>
      </c>
    </row>
    <row r="347" spans="1:22" ht="21" customHeight="1" x14ac:dyDescent="0.15">
      <c r="A347" s="2" t="str">
        <f ca="1">input_497104!A$2</f>
        <v>497104</v>
      </c>
      <c r="B347" s="60">
        <v>702</v>
      </c>
      <c r="C347" s="7" t="str">
        <f t="shared" si="18"/>
        <v>Premium4R3less</v>
      </c>
      <c r="D347" s="94" t="str">
        <f t="shared" si="19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サイモン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red</v>
      </c>
      <c r="L347" s="7" t="str">
        <f>VLOOKUP(B347,[1]characters!$A:$K,11,FALSE)</f>
        <v>dr</v>
      </c>
      <c r="M347" s="7" t="str">
        <f>VLOOKUP(B347,[1]characters!$A:$M,13,FALSE)</f>
        <v>human</v>
      </c>
      <c r="N347" s="7" t="str">
        <f>VLOOKUP(B347,[1]characters!$A:$G,7,FALSE)</f>
        <v>男性</v>
      </c>
      <c r="O347" s="45">
        <f>IFERROR(VLOOKUP(B347,input_497104!L:R,7,FALSE),VLOOKUP(tables_497104!C347,input_497104!A:H,8,FALSE))</f>
        <v>2481600</v>
      </c>
      <c r="P347" s="46">
        <f t="shared" ca="1" si="16"/>
        <v>3.9999999999806482E-2</v>
      </c>
      <c r="Q347" s="224">
        <v>60</v>
      </c>
      <c r="R347" s="30">
        <v>0</v>
      </c>
      <c r="S347" s="30">
        <v>0</v>
      </c>
      <c r="T347" s="30">
        <v>0</v>
      </c>
      <c r="U347" s="30">
        <v>0</v>
      </c>
      <c r="V347" s="224">
        <v>5</v>
      </c>
    </row>
    <row r="348" spans="1:22" ht="21" customHeight="1" x14ac:dyDescent="0.15">
      <c r="A348" s="2" t="str">
        <f ca="1">input_497104!A$2</f>
        <v>497104</v>
      </c>
      <c r="B348" s="60">
        <v>703</v>
      </c>
      <c r="C348" s="7" t="str">
        <f t="shared" si="18"/>
        <v>Premium5R3less</v>
      </c>
      <c r="D348" s="94" t="str">
        <f t="shared" si="19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豪腕静穏な寿司屋　サイモン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red</v>
      </c>
      <c r="L348" s="7" t="str">
        <f>VLOOKUP(B348,[1]characters!$A:$K,11,FALSE)</f>
        <v>dr</v>
      </c>
      <c r="M348" s="7" t="str">
        <f>VLOOKUP(B348,[1]characters!$A:$M,13,FALSE)</f>
        <v>human</v>
      </c>
      <c r="N348" s="7" t="str">
        <f>VLOOKUP(B348,[1]characters!$A:$G,7,FALSE)</f>
        <v>男性</v>
      </c>
      <c r="O348" s="45">
        <f>IFERROR(VLOOKUP(B348,input_497104!L:R,7,FALSE),VLOOKUP(tables_497104!C348,input_497104!A:H,8,FALSE))</f>
        <v>620400</v>
      </c>
      <c r="P348" s="46">
        <f t="shared" ca="1" si="16"/>
        <v>9.9999999999516205E-3</v>
      </c>
      <c r="Q348" s="224">
        <v>80</v>
      </c>
      <c r="R348" s="30">
        <v>0</v>
      </c>
      <c r="S348" s="30">
        <v>0</v>
      </c>
      <c r="T348" s="30">
        <v>0</v>
      </c>
      <c r="U348" s="30">
        <v>0</v>
      </c>
      <c r="V348" s="224">
        <v>5</v>
      </c>
    </row>
    <row r="349" spans="1:22" ht="21" customHeight="1" x14ac:dyDescent="0.15">
      <c r="A349" s="2" t="str">
        <f ca="1">input_497104!A$2</f>
        <v>497104</v>
      </c>
      <c r="B349" s="90">
        <v>710</v>
      </c>
      <c r="C349" s="7" t="str">
        <f t="shared" si="18"/>
        <v>Premium3R3less</v>
      </c>
      <c r="D349" s="94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田中トム</v>
      </c>
      <c r="I349" s="7" t="str">
        <f>VLOOKUP(B349,[1]characters!$A:$J,10,FALSE)</f>
        <v>PremiumN</v>
      </c>
      <c r="J349" s="7">
        <f>VLOOKUP(B349,[1]characters!$A:$I,9,FALSE)</f>
        <v>3</v>
      </c>
      <c r="K349" s="7" t="str">
        <f>VLOOKUP(B349,[1]characters!$A:$H,8,FALSE)</f>
        <v>green</v>
      </c>
      <c r="L349" s="7" t="str">
        <f>VLOOKUP(B349,[1]characters!$A:$K,11,FALSE)</f>
        <v>dr</v>
      </c>
      <c r="M349" s="7" t="str">
        <f>VLOOKUP(B349,[1]characters!$A:$M,13,FALSE)</f>
        <v>human</v>
      </c>
      <c r="N349" s="7" t="str">
        <f>VLOOKUP(B349,[1]characters!$A:$G,7,FALSE)</f>
        <v>男性</v>
      </c>
      <c r="O349" s="45">
        <f>IFERROR(VLOOKUP(B349,input_497104!L:R,7,FALSE),VLOOKUP(tables_497104!C349,input_497104!A:H,8,FALSE))</f>
        <v>0</v>
      </c>
      <c r="P349" s="46">
        <f t="shared" ca="1" si="16"/>
        <v>0</v>
      </c>
      <c r="Q349" s="224">
        <v>40</v>
      </c>
      <c r="R349" s="30">
        <v>0</v>
      </c>
      <c r="S349" s="30">
        <v>0</v>
      </c>
      <c r="T349" s="30">
        <v>0</v>
      </c>
      <c r="U349" s="30">
        <v>0</v>
      </c>
      <c r="V349" s="224">
        <v>5</v>
      </c>
    </row>
    <row r="350" spans="1:22" ht="21" customHeight="1" x14ac:dyDescent="0.15">
      <c r="A350" s="2" t="str">
        <f ca="1">input_497104!A$2</f>
        <v>497104</v>
      </c>
      <c r="B350" s="60">
        <v>711</v>
      </c>
      <c r="C350" s="7" t="str">
        <f t="shared" si="18"/>
        <v>Premium4R3less</v>
      </c>
      <c r="D350" s="94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平衡調和の取り立て屋　田中トム</v>
      </c>
      <c r="I350" s="7" t="str">
        <f>VLOOKUP(B350,[1]characters!$A:$J,10,FALSE)</f>
        <v>PremiumN</v>
      </c>
      <c r="J350" s="7">
        <f>VLOOKUP(B350,[1]characters!$A:$I,9,FALSE)</f>
        <v>4</v>
      </c>
      <c r="K350" s="7" t="str">
        <f>VLOOKUP(B350,[1]characters!$A:$H,8,FALSE)</f>
        <v>green</v>
      </c>
      <c r="L350" s="7" t="str">
        <f>VLOOKUP(B350,[1]characters!$A:$K,11,FALSE)</f>
        <v>dr</v>
      </c>
      <c r="M350" s="7" t="str">
        <f>VLOOKUP(B350,[1]characters!$A:$M,13,FALSE)</f>
        <v>human</v>
      </c>
      <c r="N350" s="7" t="str">
        <f>VLOOKUP(B350,[1]characters!$A:$G,7,FALSE)</f>
        <v>男性</v>
      </c>
      <c r="O350" s="45">
        <f>IFERROR(VLOOKUP(B350,input_497104!L:R,7,FALSE),VLOOKUP(tables_497104!C350,input_497104!A:H,8,FALSE))</f>
        <v>6204000</v>
      </c>
      <c r="P350" s="46">
        <f t="shared" ca="1" si="16"/>
        <v>9.9999999999516198E-2</v>
      </c>
      <c r="Q350" s="224">
        <v>60</v>
      </c>
      <c r="R350" s="30">
        <v>0</v>
      </c>
      <c r="S350" s="30">
        <v>0</v>
      </c>
      <c r="T350" s="30">
        <v>0</v>
      </c>
      <c r="U350" s="30">
        <v>0</v>
      </c>
      <c r="V350" s="224">
        <v>5</v>
      </c>
    </row>
    <row r="351" spans="1:22" ht="21" customHeight="1" x14ac:dyDescent="0.15">
      <c r="A351" s="2" t="str">
        <f ca="1">input_497104!A$2</f>
        <v>497104</v>
      </c>
      <c r="B351" s="60">
        <v>714</v>
      </c>
      <c r="C351" s="7" t="str">
        <f t="shared" si="18"/>
        <v>Premium3R3less</v>
      </c>
      <c r="D351" s="94" t="str">
        <f t="shared" si="19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粟楠茜</v>
      </c>
      <c r="I351" s="7" t="str">
        <f>VLOOKUP(B351,[1]characters!$A:$J,10,FALSE)</f>
        <v>PremiumN</v>
      </c>
      <c r="J351" s="7">
        <f>VLOOKUP(B351,[1]characters!$A:$I,9,FALSE)</f>
        <v>3</v>
      </c>
      <c r="K351" s="7" t="str">
        <f>VLOOKUP(B351,[1]characters!$A:$H,8,FALSE)</f>
        <v>blue</v>
      </c>
      <c r="L351" s="7" t="str">
        <f>VLOOKUP(B351,[1]characters!$A:$K,11,FALSE)</f>
        <v>dr</v>
      </c>
      <c r="M351" s="7" t="str">
        <f>VLOOKUP(B351,[1]characters!$A:$M,13,FALSE)</f>
        <v>human</v>
      </c>
      <c r="N351" s="7" t="str">
        <f>VLOOKUP(B351,[1]characters!$A:$G,7,FALSE)</f>
        <v>女性</v>
      </c>
      <c r="O351" s="45">
        <f>IFERROR(VLOOKUP(B351,input_497104!L:R,7,FALSE),VLOOKUP(tables_497104!C351,input_497104!A:H,8,FALSE))</f>
        <v>0</v>
      </c>
      <c r="P351" s="46">
        <f t="shared" ca="1" si="16"/>
        <v>0</v>
      </c>
      <c r="Q351" s="224">
        <v>40</v>
      </c>
      <c r="R351" s="30">
        <v>0</v>
      </c>
      <c r="S351" s="30">
        <v>0</v>
      </c>
      <c r="T351" s="30">
        <v>0</v>
      </c>
      <c r="U351" s="30">
        <v>0</v>
      </c>
      <c r="V351" s="224">
        <v>5</v>
      </c>
    </row>
    <row r="352" spans="1:22" ht="21" customHeight="1" x14ac:dyDescent="0.15">
      <c r="A352" s="2" t="str">
        <f ca="1">input_497104!A$2</f>
        <v>497104</v>
      </c>
      <c r="B352" s="88">
        <v>715</v>
      </c>
      <c r="C352" s="7" t="str">
        <f t="shared" si="18"/>
        <v>Premium4R3less</v>
      </c>
      <c r="D352" s="94" t="str">
        <f t="shared" si="1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小さな殺し屋　粟楠茜</v>
      </c>
      <c r="I352" s="7" t="str">
        <f>VLOOKUP(B352,[1]characters!$A:$J,10,FALSE)</f>
        <v>PremiumN</v>
      </c>
      <c r="J352" s="7">
        <f>VLOOKUP(B352,[1]characters!$A:$I,9,FALSE)</f>
        <v>4</v>
      </c>
      <c r="K352" s="7" t="str">
        <f>VLOOKUP(B352,[1]characters!$A:$H,8,FALSE)</f>
        <v>blue</v>
      </c>
      <c r="L352" s="7" t="str">
        <f>VLOOKUP(B352,[1]characters!$A:$K,11,FALSE)</f>
        <v>dr</v>
      </c>
      <c r="M352" s="7" t="str">
        <f>VLOOKUP(B352,[1]characters!$A:$M,13,FALSE)</f>
        <v>human</v>
      </c>
      <c r="N352" s="7" t="str">
        <f>VLOOKUP(B352,[1]characters!$A:$G,7,FALSE)</f>
        <v>女性</v>
      </c>
      <c r="O352" s="45">
        <f>IFERROR(VLOOKUP(B352,input_497104!L:R,7,FALSE),VLOOKUP(tables_497104!C352,input_497104!A:H,8,FALSE))</f>
        <v>6204000</v>
      </c>
      <c r="P352" s="46">
        <f t="shared" ca="1" si="16"/>
        <v>9.9999999999516198E-2</v>
      </c>
      <c r="Q352" s="224">
        <v>60</v>
      </c>
      <c r="R352" s="30">
        <v>0</v>
      </c>
      <c r="S352" s="30">
        <v>0</v>
      </c>
      <c r="T352" s="30">
        <v>0</v>
      </c>
      <c r="U352" s="30">
        <v>0</v>
      </c>
      <c r="V352" s="224">
        <v>5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49"/>
  <sheetViews>
    <sheetView workbookViewId="0">
      <selection activeCell="N6" sqref="N6:N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497105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716</v>
      </c>
      <c r="M3" s="37" t="str">
        <f>VLOOKUP(L3,[1]characters!$A:$C,3,FALSE)</f>
        <v>平和島静雄</v>
      </c>
      <c r="N3" s="63">
        <v>1.4999999999999999E-2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VLOOKUP(L3,tables_497105!B:C,2,FALSE)</f>
        <v>PremiumSS5R5only</v>
      </c>
      <c r="R3" s="62">
        <f t="shared" ref="R3:R20" si="1">N3*A$36</f>
        <v>930600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702</v>
      </c>
      <c r="M4" s="37" t="str">
        <f>VLOOKUP(L4,[1]characters!$A:$C,3,FALSE)</f>
        <v>サイモン</v>
      </c>
      <c r="N4" s="63">
        <v>0.04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VLOOKUP(L4,tables_497105!B:C,2,FALSE)</f>
        <v>Premium4R3less</v>
      </c>
      <c r="R4" s="62">
        <f t="shared" si="1"/>
        <v>2481600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5.3030303030303036E-4</v>
      </c>
      <c r="F5">
        <f>(COUNTIF(tables_497105!C:C,input_497105!A28)+COUNTIF(tables_497105!C:C,input_497105!A29))</f>
        <v>67</v>
      </c>
      <c r="H5" s="84">
        <v>1.4999999999999999E-2</v>
      </c>
      <c r="I5" s="31">
        <v>1</v>
      </c>
      <c r="L5" s="60">
        <v>703</v>
      </c>
      <c r="M5" s="37" t="str">
        <f>VLOOKUP(L5,[1]characters!$A:$C,3,FALSE)</f>
        <v>豪腕静穏な寿司屋　サイモン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VLOOKUP(L5,tables_497105!B:C,2,FALSE)</f>
        <v>Premium5R3less</v>
      </c>
      <c r="R5" s="62">
        <f t="shared" si="1"/>
        <v>620400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7.4468085106382973E-3</v>
      </c>
      <c r="F6">
        <f>(COUNTIF(tables_497105!C:C,input_497105!A25)+COUNTIF(tables_497105!C:C,input_497105!A18)+COUNTIF(tables_497105!C:C,input_497105!A20)+COUNTIF(tables_497105!C:C,input_497105!A22))</f>
        <v>97</v>
      </c>
      <c r="H6" s="89">
        <v>0.25</v>
      </c>
      <c r="I6" s="31">
        <v>3</v>
      </c>
      <c r="L6" s="90">
        <v>710</v>
      </c>
      <c r="M6" s="37" t="str">
        <f>VLOOKUP(L6,[1]characters!$A:$C,3,FALSE)</f>
        <v>田中トム</v>
      </c>
      <c r="N6" s="63">
        <v>0</v>
      </c>
      <c r="O6" s="37">
        <f>VLOOKUP(L6,[1]characters!$A:$I,9,FALSE)</f>
        <v>3</v>
      </c>
      <c r="P6" s="37" t="str">
        <f>VLOOKUP(L6,[1]characters!$A:$J,10,FALSE)</f>
        <v>PremiumN</v>
      </c>
      <c r="Q6" s="37" t="str">
        <f>VLOOKUP(L6,tables_497105!B:C,2,FALSE)</f>
        <v>Premium3R3less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711</v>
      </c>
      <c r="M7" s="37" t="str">
        <f>VLOOKUP(L7,[1]characters!$A:$C,3,FALSE)</f>
        <v>平衡調和の取り立て屋　田中トム</v>
      </c>
      <c r="N7" s="63">
        <v>0.1</v>
      </c>
      <c r="O7" s="37">
        <f>VLOOKUP(L7,[1]characters!$A:$I,9,FALSE)</f>
        <v>4</v>
      </c>
      <c r="P7" s="37" t="str">
        <f>VLOOKUP(L7,[1]characters!$A:$J,10,FALSE)</f>
        <v>PremiumN</v>
      </c>
      <c r="Q7" s="37" t="str">
        <f>VLOOKUP(L7,tables_497105!B:C,2,FALSE)</f>
        <v>Premium4R3less</v>
      </c>
      <c r="R7" s="62">
        <f t="shared" si="1"/>
        <v>6204000</v>
      </c>
      <c r="S7">
        <v>597</v>
      </c>
      <c r="U7" s="33" t="s">
        <v>196</v>
      </c>
      <c r="V7" s="54">
        <f t="shared" si="0"/>
        <v>0.24000000000000002</v>
      </c>
    </row>
    <row r="8" spans="1:22" x14ac:dyDescent="0.15">
      <c r="A8" s="57"/>
      <c r="B8" s="71"/>
      <c r="E8" s="76"/>
      <c r="L8" s="60">
        <v>714</v>
      </c>
      <c r="M8" s="37" t="str">
        <f>VLOOKUP(L8,[1]characters!$A:$C,3,FALSE)</f>
        <v>粟楠茜</v>
      </c>
      <c r="N8" s="63">
        <v>0</v>
      </c>
      <c r="O8" s="37">
        <f>VLOOKUP(L8,[1]characters!$A:$I,9,FALSE)</f>
        <v>3</v>
      </c>
      <c r="P8" s="37" t="str">
        <f>VLOOKUP(L8,[1]characters!$A:$J,10,FALSE)</f>
        <v>PremiumN</v>
      </c>
      <c r="Q8" s="37" t="str">
        <f>VLOOKUP(L8,tables_497105!B:C,2,FALSE)</f>
        <v>Premium3R3less</v>
      </c>
      <c r="R8" s="62">
        <f t="shared" si="1"/>
        <v>0</v>
      </c>
      <c r="S8">
        <v>598</v>
      </c>
      <c r="U8" s="33" t="s">
        <v>197</v>
      </c>
      <c r="V8" s="54">
        <f t="shared" si="0"/>
        <v>0.01</v>
      </c>
    </row>
    <row r="9" spans="1:22" x14ac:dyDescent="0.15">
      <c r="A9" s="35" t="s">
        <v>54</v>
      </c>
      <c r="B9" s="35"/>
      <c r="L9" s="88">
        <v>715</v>
      </c>
      <c r="M9" s="37" t="str">
        <f>VLOOKUP(L9,[1]characters!$A:$C,3,FALSE)</f>
        <v>小さな殺し屋　粟楠茜</v>
      </c>
      <c r="N9" s="63">
        <v>0.1</v>
      </c>
      <c r="O9" s="37">
        <f>VLOOKUP(L9,[1]characters!$A:$I,9,FALSE)</f>
        <v>4</v>
      </c>
      <c r="P9" s="37" t="str">
        <f>VLOOKUP(L9,[1]characters!$A:$J,10,FALSE)</f>
        <v>PremiumN</v>
      </c>
      <c r="Q9" s="37" t="str">
        <f>VLOOKUP(L9,tables_497105!B:C,2,FALSE)</f>
        <v>Premium4R3less</v>
      </c>
      <c r="R9" s="62">
        <f t="shared" si="1"/>
        <v>6204000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VLOOKUP(L10,tables_497105!B:C,2,FALSE)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VLOOKUP(L11,tables_497105!B:C,2,FALSE)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VLOOKUP(L12,tables_497105!B:C,2,FALSE)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VLOOKUP(L13,tables_497105!B:C,2,FALSE)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VLOOKUP(L14,tables_497105!B:C,2,FALSE)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1.4999999999999999E-2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VLOOKUP(L15,tables_497105!B:C,2,FALSE)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VLOOKUP(L16,tables_497105!B:C,2,FALSE)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B$5-B19-B24-E33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COUNTIF(tables_497105!C:C,input_497105!A17)-COUNTIF(Q:Q,A17)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VLOOKUP(L17,tables_497105!B:C,2,FALSE)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0.20961734365344867</v>
      </c>
      <c r="C18" s="85">
        <f t="shared" si="2"/>
        <v>0</v>
      </c>
      <c r="D18" s="74">
        <f t="shared" si="3"/>
        <v>0.20961734365344867</v>
      </c>
      <c r="E18">
        <f>COUNTIF(tables_497105!C:C,input_497105!A18)-COUNTIF(Q:Q,A18)</f>
        <v>20</v>
      </c>
      <c r="F18" s="43">
        <f>IFERROR(B18/E18,0)</f>
        <v>1.0480867182672434E-2</v>
      </c>
      <c r="G18">
        <f t="shared" si="4"/>
        <v>13004660.000259954</v>
      </c>
      <c r="H18">
        <f t="shared" si="5"/>
        <v>650233.00000999996</v>
      </c>
      <c r="I18">
        <f t="shared" si="6"/>
        <v>9.9999597296118736E-6</v>
      </c>
      <c r="J18">
        <f t="shared" si="7"/>
        <v>100000.40270550297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VLOOKUP(L18,tables_497105!B:C,2,FALSE)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COUNTIF(tables_497105!C:C,input_497105!A19)-COUNTIF(Q:Q,A19)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VLOOKUP(L19,tables_497105!B:C,2,FALSE)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E$6*E20*B$6-0.04-G49</f>
        <v>0.31287234042807699</v>
      </c>
      <c r="C20" s="85">
        <f t="shared" si="2"/>
        <v>0</v>
      </c>
      <c r="D20" s="74">
        <f t="shared" si="3"/>
        <v>0.31287234042807699</v>
      </c>
      <c r="E20">
        <f>COUNTIF(tables_497105!C:C,input_497105!A20)-COUNTIF(Q:Q,A20)</f>
        <v>52</v>
      </c>
      <c r="F20" s="43">
        <f t="shared" si="8"/>
        <v>6.0167757774630187E-3</v>
      </c>
      <c r="G20">
        <f t="shared" si="4"/>
        <v>19410600.000157896</v>
      </c>
      <c r="H20">
        <f t="shared" si="5"/>
        <v>373280.76922999998</v>
      </c>
      <c r="I20">
        <f t="shared" si="6"/>
        <v>0.76922999997623265</v>
      </c>
      <c r="J20">
        <f t="shared" si="7"/>
        <v>1.300001300041467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VLOOKUP(L20,tables_497105!B:C,2,FALSE)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1.3680528691166989E-2</v>
      </c>
      <c r="C21" s="85">
        <f t="shared" si="2"/>
        <v>0</v>
      </c>
      <c r="D21" s="74">
        <f t="shared" si="3"/>
        <v>1.3680528691166989E-2</v>
      </c>
      <c r="E21">
        <f>COUNTIF(tables_497105!C:C,input_497105!A21)-COUNTIF(Q:Q,A21)</f>
        <v>52</v>
      </c>
      <c r="F21" s="43">
        <f t="shared" si="8"/>
        <v>2.630870902147498E-4</v>
      </c>
      <c r="G21">
        <f t="shared" si="4"/>
        <v>848740</v>
      </c>
      <c r="H21">
        <f t="shared" si="5"/>
        <v>16321.92308</v>
      </c>
      <c r="I21">
        <f t="shared" si="6"/>
        <v>0.92308000000048196</v>
      </c>
      <c r="J21">
        <f t="shared" si="7"/>
        <v>1.0833297222336935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0.1301063829787234</v>
      </c>
      <c r="C22" s="85">
        <f t="shared" si="2"/>
        <v>0.24000000000000002</v>
      </c>
      <c r="D22" s="74">
        <f t="shared" si="3"/>
        <v>-0.10989361702127662</v>
      </c>
      <c r="E22">
        <f>COUNTIF(tables_497105!C:C,input_497105!A22)-COUNTIF(Q:Q,A22)</f>
        <v>18</v>
      </c>
      <c r="F22" s="43">
        <f t="shared" si="8"/>
        <v>7.2281323877068553E-3</v>
      </c>
      <c r="G22">
        <f t="shared" si="4"/>
        <v>8071800</v>
      </c>
      <c r="H22">
        <f t="shared" si="5"/>
        <v>448433.33332999999</v>
      </c>
      <c r="I22">
        <f t="shared" si="6"/>
        <v>0.33332999999402091</v>
      </c>
      <c r="J22">
        <f t="shared" si="7"/>
        <v>3.0000300003538158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E23*E6*B7-E36-0.005</f>
        <v>3.936170212765956E-3</v>
      </c>
      <c r="C23" s="85">
        <f t="shared" si="2"/>
        <v>0.01</v>
      </c>
      <c r="D23" s="74">
        <f t="shared" si="3"/>
        <v>-6.0638297872340442E-3</v>
      </c>
      <c r="E23">
        <f>COUNTIF(tables_497105!C:C,input_497105!A23)-COUNTIF(Q:Q,A23)</f>
        <v>24</v>
      </c>
      <c r="F23" s="43">
        <f t="shared" si="8"/>
        <v>1.6400709219858151E-4</v>
      </c>
      <c r="G23">
        <f t="shared" si="4"/>
        <v>244199.99999999991</v>
      </c>
      <c r="H23">
        <f t="shared" si="5"/>
        <v>10175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COUNTIF(tables_497105!C:C,input_497105!A24)-COUNTIF(Q:Q,A24)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2.829787234042553E-2</v>
      </c>
      <c r="C25" s="85">
        <f t="shared" si="2"/>
        <v>0</v>
      </c>
      <c r="D25" s="74">
        <f t="shared" si="3"/>
        <v>2.829787234042553E-2</v>
      </c>
      <c r="E25">
        <f>COUNTIF(tables_497105!C:C,input_497105!A25)-COUNTIF(Q:Q,A25)</f>
        <v>4</v>
      </c>
      <c r="F25" s="43">
        <f t="shared" si="8"/>
        <v>7.0744680851063824E-3</v>
      </c>
      <c r="G25">
        <f t="shared" si="4"/>
        <v>1755599.9999999998</v>
      </c>
      <c r="H25">
        <f t="shared" si="5"/>
        <v>438900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1.4893617021276596E-3</v>
      </c>
      <c r="C26" s="85">
        <f t="shared" si="2"/>
        <v>0</v>
      </c>
      <c r="D26" s="74">
        <f t="shared" si="3"/>
        <v>1.4893617021276596E-3</v>
      </c>
      <c r="E26">
        <f>COUNTIF(tables_497105!C:C,input_497105!A26)-COUNTIF(Q:Q,A26)</f>
        <v>4</v>
      </c>
      <c r="F26" s="43">
        <f t="shared" si="8"/>
        <v>3.7234042553191491E-4</v>
      </c>
      <c r="G26">
        <f t="shared" si="4"/>
        <v>92400</v>
      </c>
      <c r="H26">
        <f t="shared" si="5"/>
        <v>23100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2.9106060603515498E-2</v>
      </c>
      <c r="C27" s="85">
        <f t="shared" si="2"/>
        <v>0</v>
      </c>
      <c r="D27" s="74">
        <f t="shared" si="3"/>
        <v>2.9106060603515498E-2</v>
      </c>
      <c r="E27">
        <f>COUNTIF(tables_497105!C:C,input_497105!A27)-COUNTIF(Q:Q,A27)</f>
        <v>28</v>
      </c>
      <c r="F27" s="43">
        <f>IFERROR(B27/E27,0)</f>
        <v>1.0395021644112677E-3</v>
      </c>
      <c r="G27">
        <f t="shared" si="4"/>
        <v>1805739.9998421015</v>
      </c>
      <c r="H27">
        <f t="shared" si="5"/>
        <v>64490.71428</v>
      </c>
      <c r="I27">
        <f t="shared" si="6"/>
        <v>0.71428000000014435</v>
      </c>
      <c r="J27">
        <f t="shared" si="7"/>
        <v>1.4000112000893177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7.4242424242424256E-4</v>
      </c>
      <c r="C28" s="85">
        <f t="shared" si="2"/>
        <v>0</v>
      </c>
      <c r="D28" s="74">
        <f t="shared" si="3"/>
        <v>7.4242424242424256E-4</v>
      </c>
      <c r="E28">
        <f>COUNTIF(tables_497105!C:C,input_497105!A28)-COUNTIF(Q:Q,A28)</f>
        <v>28</v>
      </c>
      <c r="F28" s="43">
        <f t="shared" si="8"/>
        <v>2.6515151515151519E-5</v>
      </c>
      <c r="G28">
        <f t="shared" si="4"/>
        <v>46060.000000000007</v>
      </c>
      <c r="H28">
        <f t="shared" si="5"/>
        <v>1645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E$5*E29-0.015</f>
        <v>5.1515151515151535E-3</v>
      </c>
      <c r="C29" s="85">
        <f t="shared" si="2"/>
        <v>1.4999999999999999E-2</v>
      </c>
      <c r="D29" s="74">
        <f t="shared" si="3"/>
        <v>-9.848484848484846E-3</v>
      </c>
      <c r="E29">
        <f>COUNTIF(tables_497105!C:C,input_497105!A29)-COUNTIF(Q:Q,A29)</f>
        <v>38</v>
      </c>
      <c r="F29" s="43">
        <f t="shared" si="8"/>
        <v>1.3556618819776721E-4</v>
      </c>
      <c r="G29">
        <f t="shared" si="4"/>
        <v>319600.00000000012</v>
      </c>
      <c r="H29">
        <f t="shared" si="5"/>
        <v>8410.5263200000009</v>
      </c>
      <c r="I29">
        <f t="shared" si="6"/>
        <v>0.526320000000851</v>
      </c>
      <c r="J29">
        <f t="shared" si="7"/>
        <v>1.8999848001185269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COUNTIF(tables_497105!C:C,input_497105!A30)-COUNTIF(Q:Q,A30)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COUNTIF(tables_497105!C:C,input_497105!A31)-COUNTIF(Q:Q,A31)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0.73500000000419008</v>
      </c>
      <c r="C32" s="41">
        <f>SUM(C19:C31)</f>
        <v>0.26500000000000001</v>
      </c>
      <c r="D32" s="42">
        <f t="shared" si="3"/>
        <v>0.47000000000419007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2.0681173440682699E-2</v>
      </c>
      <c r="F34" s="55">
        <f ca="1">G41-0.85</f>
        <v>9.999999999903364E-2</v>
      </c>
    </row>
    <row r="35" spans="1:7" x14ac:dyDescent="0.15">
      <c r="A35" t="s">
        <v>73</v>
      </c>
      <c r="E35">
        <v>2.5000000000000001E-2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SUMIF(tables_497105!C:C,input_497105!A40,tables_497105!O:O)</f>
        <v>0</v>
      </c>
      <c r="C40" s="54">
        <f t="shared" ref="C40:C46" ca="1" si="9">B40/B$47</f>
        <v>0</v>
      </c>
      <c r="E40">
        <v>3</v>
      </c>
      <c r="F40">
        <f ca="1">SUMIF(tables_497105!J:J,input_497105!E40,tables_497105!O:O)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SUMIF(tables_497105!C:C,input_497105!A41,tables_497105!O:O)</f>
        <v>19410599.999960016</v>
      </c>
      <c r="C41" s="54">
        <f t="shared" ca="1" si="9"/>
        <v>0.87786518469853292</v>
      </c>
      <c r="E41">
        <v>4</v>
      </c>
      <c r="F41">
        <f ca="1">SUMIF(tables_497105!J:J,input_497105!E41,tables_497105!O:O)</f>
        <v>58937999.999940045</v>
      </c>
      <c r="G41">
        <f ca="1">F41/A36</f>
        <v>0.94999999999903362</v>
      </c>
    </row>
    <row r="42" spans="1:7" x14ac:dyDescent="0.15">
      <c r="A42" s="33" t="s">
        <v>106</v>
      </c>
      <c r="B42">
        <f ca="1">SUMIF(tables_497105!C:C,input_497105!A42,tables_497105!O:O)</f>
        <v>1805739.9998399992</v>
      </c>
      <c r="C42" s="54">
        <f t="shared" ca="1" si="9"/>
        <v>8.16665264587563E-2</v>
      </c>
      <c r="E42">
        <v>5</v>
      </c>
      <c r="F42">
        <f ca="1">SUMIF(tables_497105!J:J,input_497105!E42,tables_497105!O:O)</f>
        <v>3102000.0003199978</v>
      </c>
      <c r="G42">
        <f ca="1">F42/A36</f>
        <v>5.0000000005157925E-2</v>
      </c>
    </row>
    <row r="43" spans="1:7" x14ac:dyDescent="0.15">
      <c r="A43" s="33" t="s">
        <v>109</v>
      </c>
      <c r="B43">
        <f>SUMIF(tables_497105!C:C,input_497105!A43,tables_497105!O:O)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SUMIF(tables_497105!C:C,input_497105!A44,tables_497105!O:O)</f>
        <v>848740.00015999936</v>
      </c>
      <c r="C44" s="54">
        <f t="shared" ca="1" si="9"/>
        <v>3.8385175986472626E-2</v>
      </c>
      <c r="E44" t="s">
        <v>54</v>
      </c>
      <c r="F44" s="55"/>
    </row>
    <row r="45" spans="1:7" x14ac:dyDescent="0.15">
      <c r="A45" s="33" t="s">
        <v>107</v>
      </c>
      <c r="B45">
        <f ca="1">SUMIF(tables_497105!C:C,input_497105!A45,tables_497105!O:O)</f>
        <v>46060</v>
      </c>
      <c r="C45" s="54">
        <f t="shared" ca="1" si="9"/>
        <v>2.0831128562382264E-3</v>
      </c>
      <c r="E45" t="s">
        <v>204</v>
      </c>
      <c r="F45" s="55">
        <f ca="1">SUMIF(tables_497105!I:I,input_497105!E45,tables_497105!P:P)</f>
        <v>0.21060138620479044</v>
      </c>
    </row>
    <row r="46" spans="1:7" x14ac:dyDescent="0.15">
      <c r="A46" s="33" t="s">
        <v>108</v>
      </c>
      <c r="B46">
        <f>SUMIF(tables_497105!C:C,input_497105!A46,tables_497105!O:O)</f>
        <v>0</v>
      </c>
      <c r="C46" s="54">
        <f t="shared" ca="1" si="9"/>
        <v>0</v>
      </c>
      <c r="E46" t="s">
        <v>205</v>
      </c>
      <c r="F46" s="55">
        <f ca="1">SUMIF(tables_497105!I:I,input_497105!E46,tables_497105!P:P)</f>
        <v>0.32909809428085707</v>
      </c>
    </row>
    <row r="47" spans="1:7" x14ac:dyDescent="0.15">
      <c r="A47" s="39" t="s">
        <v>59</v>
      </c>
      <c r="B47">
        <f ca="1">SUM(B40:B46)</f>
        <v>22111139.999960013</v>
      </c>
      <c r="C47" s="55">
        <f ca="1">SUM(C40:C46)</f>
        <v>1</v>
      </c>
      <c r="E47" t="s">
        <v>206</v>
      </c>
      <c r="F47" s="55">
        <f ca="1">SUMIF(tables_497105!I:I,input_497105!E47,tables_497105!P:P)</f>
        <v>0.41030051951455893</v>
      </c>
    </row>
    <row r="48" spans="1:7" x14ac:dyDescent="0.15">
      <c r="E48" t="s">
        <v>207</v>
      </c>
      <c r="F48" s="55">
        <f ca="1">SUMIF(tables_497105!I:I,input_497105!E48,tables_497105!P:P)</f>
        <v>4.9051036681934862E-2</v>
      </c>
    </row>
    <row r="49" spans="5:7" x14ac:dyDescent="0.15">
      <c r="E49" t="s">
        <v>247</v>
      </c>
      <c r="F49" s="55">
        <f ca="1">SUMIF(tables_497105!I:I,input_497105!E49,tables_497105!P:P)</f>
        <v>9.4896331785546595E-4</v>
      </c>
      <c r="G49">
        <v>1.4999999997454888E-2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52"/>
  <sheetViews>
    <sheetView showGridLines="0" zoomScale="75" zoomScaleNormal="75" zoomScalePageLayoutView="75" workbookViewId="0">
      <pane ySplit="1" topLeftCell="A332" activePane="bottomLeft" state="frozen"/>
      <selection activeCell="D34" sqref="D34"/>
      <selection pane="bottomLeft" activeCell="Q346" sqref="Q346:V35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input_497105!A$2</f>
        <v>497105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IFERROR(VLOOKUP(B2,input_497105!L:R,7,FALSE),VLOOKUP(tables_497105!C2,input_497105!A:H,8,FALSE))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input_497105!A$2</f>
        <v>497105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IFERROR(VLOOKUP(B3,input_497105!L:R,7,FALSE),VLOOKUP(tables_497105!C3,input_497105!A:H,8,FALSE))</f>
        <v>650233.00000999996</v>
      </c>
      <c r="P3" s="46">
        <f t="shared" ca="1" si="1"/>
        <v>1.0480867182580159E-2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input_497105!A$2</f>
        <v>497105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IFERROR(VLOOKUP(B4,input_497105!L:R,7,FALSE),VLOOKUP(tables_497105!C4,input_497105!A:H,8,FALSE))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input_497105!A$2</f>
        <v>497105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IFERROR(VLOOKUP(B5,input_497105!L:R,7,FALSE),VLOOKUP(tables_497105!C5,input_497105!A:H,8,FALSE))</f>
        <v>650233.00000999996</v>
      </c>
      <c r="P5" s="46">
        <f t="shared" ca="1" si="1"/>
        <v>1.0480867182580159E-2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input_497105!A$2</f>
        <v>497105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IFERROR(VLOOKUP(B6,input_497105!L:R,7,FALSE),VLOOKUP(tables_497105!C6,input_497105!A:H,8,FALSE))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input_497105!A$2</f>
        <v>497105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IFERROR(VLOOKUP(B7,input_497105!L:R,7,FALSE),VLOOKUP(tables_497105!C7,input_497105!A:H,8,FALSE))</f>
        <v>650233.00000999996</v>
      </c>
      <c r="P7" s="46">
        <f t="shared" ca="1" si="1"/>
        <v>1.0480867182580159E-2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input_497105!A$2</f>
        <v>497105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IFERROR(VLOOKUP(B8,input_497105!L:R,7,FALSE),VLOOKUP(tables_497105!C8,input_497105!A:H,8,FALSE))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input_497105!A$2</f>
        <v>497105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IFERROR(VLOOKUP(B9,input_497105!L:R,7,FALSE),VLOOKUP(tables_497105!C9,input_497105!A:H,8,FALSE))</f>
        <v>650233.00000999996</v>
      </c>
      <c r="P9" s="46">
        <f t="shared" ca="1" si="1"/>
        <v>1.0480867182580159E-2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input_497105!A$2</f>
        <v>497105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IFERROR(VLOOKUP(B10,input_497105!L:R,7,FALSE),VLOOKUP(tables_497105!C10,input_497105!A:H,8,FALSE))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input_497105!A$2</f>
        <v>497105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IFERROR(VLOOKUP(B11,input_497105!L:R,7,FALSE),VLOOKUP(tables_497105!C11,input_497105!A:H,8,FALSE))</f>
        <v>650233.00000999996</v>
      </c>
      <c r="P11" s="46">
        <f t="shared" ca="1" si="1"/>
        <v>1.0480867182580159E-2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input_497105!A$2</f>
        <v>497105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IFERROR(VLOOKUP(B12,input_497105!L:R,7,FALSE),VLOOKUP(tables_497105!C12,input_497105!A:H,8,FALSE))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input_497105!A$2</f>
        <v>497105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IFERROR(VLOOKUP(B13,input_497105!L:R,7,FALSE),VLOOKUP(tables_497105!C13,input_497105!A:H,8,FALSE))</f>
        <v>650233.00000999996</v>
      </c>
      <c r="P13" s="46">
        <f t="shared" ca="1" si="1"/>
        <v>1.0480867182580159E-2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input_497105!A$2</f>
        <v>497105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IFERROR(VLOOKUP(B14,input_497105!L:R,7,FALSE),VLOOKUP(tables_497105!C14,input_497105!A:H,8,FALSE))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input_497105!A$2</f>
        <v>497105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IFERROR(VLOOKUP(B15,input_497105!L:R,7,FALSE),VLOOKUP(tables_497105!C15,input_497105!A:H,8,FALSE))</f>
        <v>650233.00000999996</v>
      </c>
      <c r="P15" s="46">
        <f t="shared" ca="1" si="1"/>
        <v>1.0480867182580159E-2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input_497105!A$2</f>
        <v>497105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IFERROR(VLOOKUP(B16,input_497105!L:R,7,FALSE),VLOOKUP(tables_497105!C16,input_497105!A:H,8,FALSE))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input_497105!A$2</f>
        <v>497105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IFERROR(VLOOKUP(B17,input_497105!L:R,7,FALSE),VLOOKUP(tables_497105!C17,input_497105!A:H,8,FALSE))</f>
        <v>650233.00000999996</v>
      </c>
      <c r="P17" s="46">
        <f t="shared" ca="1" si="1"/>
        <v>1.0480867182580159E-2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input_497105!A$2</f>
        <v>497105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IFERROR(VLOOKUP(B18,input_497105!L:R,7,FALSE),VLOOKUP(tables_497105!C18,input_497105!A:H,8,FALSE))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input_497105!A$2</f>
        <v>497105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IFERROR(VLOOKUP(B19,input_497105!L:R,7,FALSE),VLOOKUP(tables_497105!C19,input_497105!A:H,8,FALSE))</f>
        <v>650233.00000999996</v>
      </c>
      <c r="P19" s="46">
        <f t="shared" ca="1" si="1"/>
        <v>1.0480867182580159E-2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input_497105!A$2</f>
        <v>497105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IFERROR(VLOOKUP(B20,input_497105!L:R,7,FALSE),VLOOKUP(tables_497105!C20,input_497105!A:H,8,FALSE))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input_497105!A$2</f>
        <v>497105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IFERROR(VLOOKUP(B21,input_497105!L:R,7,FALSE),VLOOKUP(tables_497105!C21,input_497105!A:H,8,FALSE))</f>
        <v>650233.00000999996</v>
      </c>
      <c r="P21" s="46">
        <f t="shared" ca="1" si="1"/>
        <v>1.0480867182580159E-2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input_497105!A$2</f>
        <v>497105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IFERROR(VLOOKUP(B22,input_497105!L:R,7,FALSE),VLOOKUP(tables_497105!C22,input_497105!A:H,8,FALSE))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input_497105!A$2</f>
        <v>497105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IFERROR(VLOOKUP(B23,input_497105!L:R,7,FALSE),VLOOKUP(tables_497105!C23,input_497105!A:H,8,FALSE))</f>
        <v>650233.00000999996</v>
      </c>
      <c r="P23" s="46">
        <f t="shared" ca="1" si="1"/>
        <v>1.0480867182580159E-2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input_497105!A$2</f>
        <v>497105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IFERROR(VLOOKUP(B24,input_497105!L:R,7,FALSE),VLOOKUP(tables_497105!C24,input_497105!A:H,8,FALSE))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input_497105!A$2</f>
        <v>497105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IFERROR(VLOOKUP(B25,input_497105!L:R,7,FALSE),VLOOKUP(tables_497105!C25,input_497105!A:H,8,FALSE))</f>
        <v>650233.00000999996</v>
      </c>
      <c r="P25" s="46">
        <f t="shared" ca="1" si="1"/>
        <v>1.0480867182580159E-2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input_497105!A$2</f>
        <v>497105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IFERROR(VLOOKUP(B26,input_497105!L:R,7,FALSE),VLOOKUP(tables_497105!C26,input_497105!A:H,8,FALSE))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input_497105!A$2</f>
        <v>497105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IFERROR(VLOOKUP(B27,input_497105!L:R,7,FALSE),VLOOKUP(tables_497105!C27,input_497105!A:H,8,FALSE))</f>
        <v>650233.00000999996</v>
      </c>
      <c r="P27" s="46">
        <f t="shared" ca="1" si="1"/>
        <v>1.0480867182580159E-2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input_497105!A$2</f>
        <v>497105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IFERROR(VLOOKUP(B28,input_497105!L:R,7,FALSE),VLOOKUP(tables_497105!C28,input_497105!A:H,8,FALSE))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input_497105!A$2</f>
        <v>497105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IFERROR(VLOOKUP(B29,input_497105!L:R,7,FALSE),VLOOKUP(tables_497105!C29,input_497105!A:H,8,FALSE))</f>
        <v>650233.00000999996</v>
      </c>
      <c r="P29" s="46">
        <f t="shared" ca="1" si="1"/>
        <v>1.0480867182580159E-2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input_497105!A$2</f>
        <v>497105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IFERROR(VLOOKUP(B30,input_497105!L:R,7,FALSE),VLOOKUP(tables_497105!C30,input_497105!A:H,8,FALSE))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input_497105!A$2</f>
        <v>497105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IFERROR(VLOOKUP(B31,input_497105!L:R,7,FALSE),VLOOKUP(tables_497105!C31,input_497105!A:H,8,FALSE))</f>
        <v>650233.00000999996</v>
      </c>
      <c r="P31" s="46">
        <f t="shared" ca="1" si="1"/>
        <v>1.0480867182580159E-2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input_497105!A$2</f>
        <v>497105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IFERROR(VLOOKUP(B32,input_497105!L:R,7,FALSE),VLOOKUP(tables_497105!C32,input_497105!A:H,8,FALSE))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input_497105!A$2</f>
        <v>497105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IFERROR(VLOOKUP(B33,input_497105!L:R,7,FALSE),VLOOKUP(tables_497105!C33,input_497105!A:H,8,FALSE))</f>
        <v>650233.00000999996</v>
      </c>
      <c r="P33" s="46">
        <f t="shared" ca="1" si="1"/>
        <v>1.0480867182580159E-2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input_497105!A$2</f>
        <v>497105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IFERROR(VLOOKUP(B34,input_497105!L:R,7,FALSE),VLOOKUP(tables_497105!C34,input_497105!A:H,8,FALSE))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input_497105!A$2</f>
        <v>497105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IFERROR(VLOOKUP(B35,input_497105!L:R,7,FALSE),VLOOKUP(tables_497105!C35,input_497105!A:H,8,FALSE))</f>
        <v>650233.00000999996</v>
      </c>
      <c r="P35" s="46">
        <f t="shared" ca="1" si="1"/>
        <v>1.0480867182580159E-2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input_497105!A$2</f>
        <v>497105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IFERROR(VLOOKUP(B36,input_497105!L:R,7,FALSE),VLOOKUP(tables_497105!C36,input_497105!A:H,8,FALSE))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input_497105!A$2</f>
        <v>497105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IFERROR(VLOOKUP(B37,input_497105!L:R,7,FALSE),VLOOKUP(tables_497105!C37,input_497105!A:H,8,FALSE))</f>
        <v>650233.00000999996</v>
      </c>
      <c r="P37" s="46">
        <f t="shared" ca="1" si="1"/>
        <v>1.0480867182580159E-2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input_497105!A$2</f>
        <v>497105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IFERROR(VLOOKUP(B38,input_497105!L:R,7,FALSE),VLOOKUP(tables_497105!C38,input_497105!A:H,8,FALSE))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input_497105!A$2</f>
        <v>497105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IFERROR(VLOOKUP(B39,input_497105!L:R,7,FALSE),VLOOKUP(tables_497105!C39,input_497105!A:H,8,FALSE))</f>
        <v>650233.00000999996</v>
      </c>
      <c r="P39" s="46">
        <f t="shared" ca="1" si="1"/>
        <v>1.0480867182580159E-2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input_497105!A$2</f>
        <v>497105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IFERROR(VLOOKUP(B40,input_497105!L:R,7,FALSE),VLOOKUP(tables_497105!C40,input_497105!A:H,8,FALSE))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input_497105!A$2</f>
        <v>497105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IFERROR(VLOOKUP(B41,input_497105!L:R,7,FALSE),VLOOKUP(tables_497105!C41,input_497105!A:H,8,FALSE))</f>
        <v>650233.00000999996</v>
      </c>
      <c r="P41" s="46">
        <f t="shared" ca="1" si="1"/>
        <v>1.0480867182580159E-2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input_497105!A$2</f>
        <v>497105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IFERROR(VLOOKUP(B42,input_497105!L:R,7,FALSE),VLOOKUP(tables_497105!C42,input_497105!A:H,8,FALSE))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input_497105!A$2</f>
        <v>497105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IFERROR(VLOOKUP(B43,input_497105!L:R,7,FALSE),VLOOKUP(tables_497105!C43,input_497105!A:H,8,FALSE))</f>
        <v>438900</v>
      </c>
      <c r="P43" s="46">
        <f t="shared" ca="1" si="1"/>
        <v>7.0744680850767152E-3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input_497105!A$2</f>
        <v>497105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IFERROR(VLOOKUP(B44,input_497105!L:R,7,FALSE),VLOOKUP(tables_497105!C44,input_497105!A:H,8,FALSE))</f>
        <v>23100</v>
      </c>
      <c r="P44" s="46">
        <f t="shared" ca="1" si="1"/>
        <v>3.7234042553035344E-4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input_497105!A$2</f>
        <v>497105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IFERROR(VLOOKUP(B45,input_497105!L:R,7,FALSE),VLOOKUP(tables_497105!C45,input_497105!A:H,8,FALSE))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input_497105!A$2</f>
        <v>497105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IFERROR(VLOOKUP(B46,input_497105!L:R,7,FALSE),VLOOKUP(tables_497105!C46,input_497105!A:H,8,FALSE))</f>
        <v>438900</v>
      </c>
      <c r="P46" s="46">
        <f t="shared" ca="1" si="1"/>
        <v>7.0744680850767152E-3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input_497105!A$2</f>
        <v>497105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IFERROR(VLOOKUP(B47,input_497105!L:R,7,FALSE),VLOOKUP(tables_497105!C47,input_497105!A:H,8,FALSE))</f>
        <v>23100</v>
      </c>
      <c r="P47" s="46">
        <f t="shared" ca="1" si="1"/>
        <v>3.7234042553035344E-4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input_497105!A$2</f>
        <v>497105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IFERROR(VLOOKUP(B48,input_497105!L:R,7,FALSE),VLOOKUP(tables_497105!C48,input_497105!A:H,8,FALSE))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input_497105!A$2</f>
        <v>497105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IFERROR(VLOOKUP(B49,input_497105!L:R,7,FALSE),VLOOKUP(tables_497105!C49,input_497105!A:H,8,FALSE))</f>
        <v>438900</v>
      </c>
      <c r="P49" s="46">
        <f t="shared" ca="1" si="1"/>
        <v>7.0744680850767152E-3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input_497105!A$2</f>
        <v>497105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IFERROR(VLOOKUP(B50,input_497105!L:R,7,FALSE),VLOOKUP(tables_497105!C50,input_497105!A:H,8,FALSE))</f>
        <v>23100</v>
      </c>
      <c r="P50" s="46">
        <f t="shared" ca="1" si="1"/>
        <v>3.7234042553035344E-4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input_497105!A$2</f>
        <v>497105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IFERROR(VLOOKUP(B51,input_497105!L:R,7,FALSE),VLOOKUP(tables_497105!C51,input_497105!A:H,8,FALSE))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input_497105!A$2</f>
        <v>497105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IFERROR(VLOOKUP(B52,input_497105!L:R,7,FALSE),VLOOKUP(tables_497105!C52,input_497105!A:H,8,FALSE))</f>
        <v>373280.76922999998</v>
      </c>
      <c r="P52" s="46">
        <f t="shared" ca="1" si="1"/>
        <v>6.0167757773764438E-3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input_497105!A$2</f>
        <v>497105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IFERROR(VLOOKUP(B53,input_497105!L:R,7,FALSE),VLOOKUP(tables_497105!C53,input_497105!A:H,8,FALSE))</f>
        <v>16321.92308</v>
      </c>
      <c r="P53" s="46">
        <f t="shared" ca="1" si="1"/>
        <v>2.6308709026324231E-4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input_497105!A$2</f>
        <v>497105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IFERROR(VLOOKUP(B54,input_497105!L:R,7,FALSE),VLOOKUP(tables_497105!C54,input_497105!A:H,8,FALSE))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input_497105!A$2</f>
        <v>497105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IFERROR(VLOOKUP(B55,input_497105!L:R,7,FALSE),VLOOKUP(tables_497105!C55,input_497105!A:H,8,FALSE))</f>
        <v>373280.76922999998</v>
      </c>
      <c r="P55" s="46">
        <f t="shared" ca="1" si="1"/>
        <v>6.0167757773764438E-3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input_497105!A$2</f>
        <v>497105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IFERROR(VLOOKUP(B56,input_497105!L:R,7,FALSE),VLOOKUP(tables_497105!C56,input_497105!A:H,8,FALSE))</f>
        <v>16321.92308</v>
      </c>
      <c r="P56" s="46">
        <f t="shared" ca="1" si="1"/>
        <v>2.6308709026324231E-4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input_497105!A$2</f>
        <v>497105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IFERROR(VLOOKUP(B57,input_497105!L:R,7,FALSE),VLOOKUP(tables_497105!C57,input_497105!A:H,8,FALSE))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input_497105!A$2</f>
        <v>497105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IFERROR(VLOOKUP(B58,input_497105!L:R,7,FALSE),VLOOKUP(tables_497105!C58,input_497105!A:H,8,FALSE))</f>
        <v>373280.76922999998</v>
      </c>
      <c r="P58" s="46">
        <f t="shared" ca="1" si="1"/>
        <v>6.0167757773764438E-3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input_497105!A$2</f>
        <v>497105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IFERROR(VLOOKUP(B59,input_497105!L:R,7,FALSE),VLOOKUP(tables_497105!C59,input_497105!A:H,8,FALSE))</f>
        <v>16321.92308</v>
      </c>
      <c r="P59" s="46">
        <f t="shared" ca="1" si="1"/>
        <v>2.6308709026324231E-4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input_497105!A$2</f>
        <v>497105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IFERROR(VLOOKUP(B60,input_497105!L:R,7,FALSE),VLOOKUP(tables_497105!C60,input_497105!A:H,8,FALSE))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input_497105!A$2</f>
        <v>497105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IFERROR(VLOOKUP(B61,input_497105!L:R,7,FALSE),VLOOKUP(tables_497105!C61,input_497105!A:H,8,FALSE))</f>
        <v>373280.76922999998</v>
      </c>
      <c r="P61" s="46">
        <f t="shared" ca="1" si="1"/>
        <v>6.0167757773764438E-3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input_497105!A$2</f>
        <v>497105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IFERROR(VLOOKUP(B62,input_497105!L:R,7,FALSE),VLOOKUP(tables_497105!C62,input_497105!A:H,8,FALSE))</f>
        <v>16321.92308</v>
      </c>
      <c r="P62" s="46">
        <f t="shared" ca="1" si="1"/>
        <v>2.6308709026324231E-4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input_497105!A$2</f>
        <v>497105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IFERROR(VLOOKUP(B63,input_497105!L:R,7,FALSE),VLOOKUP(tables_497105!C63,input_497105!A:H,8,FALSE))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input_497105!A$2</f>
        <v>497105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IFERROR(VLOOKUP(B64,input_497105!L:R,7,FALSE),VLOOKUP(tables_497105!C64,input_497105!A:H,8,FALSE))</f>
        <v>373280.76922999998</v>
      </c>
      <c r="P64" s="46">
        <f t="shared" ca="1" si="1"/>
        <v>6.0167757773764438E-3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input_497105!A$2</f>
        <v>497105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IFERROR(VLOOKUP(B65,input_497105!L:R,7,FALSE),VLOOKUP(tables_497105!C65,input_497105!A:H,8,FALSE))</f>
        <v>16321.92308</v>
      </c>
      <c r="P65" s="46">
        <f t="shared" ca="1" si="1"/>
        <v>2.6308709026324231E-4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input_497105!A$2</f>
        <v>497105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IFERROR(VLOOKUP(B66,input_497105!L:R,7,FALSE),VLOOKUP(tables_497105!C66,input_497105!A:H,8,FALSE))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input_497105!A$2</f>
        <v>497105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IFERROR(VLOOKUP(B67,input_497105!L:R,7,FALSE),VLOOKUP(tables_497105!C67,input_497105!A:H,8,FALSE))</f>
        <v>373280.76922999998</v>
      </c>
      <c r="P67" s="46">
        <f t="shared" ca="1" si="4"/>
        <v>6.0167757773764438E-3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input_497105!A$2</f>
        <v>497105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IFERROR(VLOOKUP(B68,input_497105!L:R,7,FALSE),VLOOKUP(tables_497105!C68,input_497105!A:H,8,FALSE))</f>
        <v>16321.92308</v>
      </c>
      <c r="P68" s="46">
        <f t="shared" ca="1" si="4"/>
        <v>2.6308709026324231E-4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input_497105!A$2</f>
        <v>497105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IFERROR(VLOOKUP(B69,input_497105!L:R,7,FALSE),VLOOKUP(tables_497105!C69,input_497105!A:H,8,FALSE))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input_497105!A$2</f>
        <v>497105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IFERROR(VLOOKUP(B70,input_497105!L:R,7,FALSE),VLOOKUP(tables_497105!C70,input_497105!A:H,8,FALSE))</f>
        <v>373280.76922999998</v>
      </c>
      <c r="P70" s="46">
        <f t="shared" ca="1" si="4"/>
        <v>6.0167757773764438E-3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input_497105!A$2</f>
        <v>497105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IFERROR(VLOOKUP(B71,input_497105!L:R,7,FALSE),VLOOKUP(tables_497105!C71,input_497105!A:H,8,FALSE))</f>
        <v>16321.92308</v>
      </c>
      <c r="P71" s="46">
        <f t="shared" ca="1" si="4"/>
        <v>2.6308709026324231E-4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input_497105!A$2</f>
        <v>497105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IFERROR(VLOOKUP(B72,input_497105!L:R,7,FALSE),VLOOKUP(tables_497105!C72,input_497105!A:H,8,FALSE))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input_497105!A$2</f>
        <v>497105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IFERROR(VLOOKUP(B73,input_497105!L:R,7,FALSE),VLOOKUP(tables_497105!C73,input_497105!A:H,8,FALSE))</f>
        <v>373280.76922999998</v>
      </c>
      <c r="P73" s="46">
        <f t="shared" ca="1" si="4"/>
        <v>6.0167757773764438E-3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input_497105!A$2</f>
        <v>497105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IFERROR(VLOOKUP(B74,input_497105!L:R,7,FALSE),VLOOKUP(tables_497105!C74,input_497105!A:H,8,FALSE))</f>
        <v>16321.92308</v>
      </c>
      <c r="P74" s="46">
        <f t="shared" ca="1" si="4"/>
        <v>2.6308709026324231E-4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input_497105!A$2</f>
        <v>497105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IFERROR(VLOOKUP(B75,input_497105!L:R,7,FALSE),VLOOKUP(tables_497105!C75,input_497105!A:H,8,FALSE))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input_497105!A$2</f>
        <v>497105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IFERROR(VLOOKUP(B76,input_497105!L:R,7,FALSE),VLOOKUP(tables_497105!C76,input_497105!A:H,8,FALSE))</f>
        <v>373280.76922999998</v>
      </c>
      <c r="P76" s="46">
        <f t="shared" ca="1" si="4"/>
        <v>6.0167757773764438E-3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input_497105!A$2</f>
        <v>497105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IFERROR(VLOOKUP(B77,input_497105!L:R,7,FALSE),VLOOKUP(tables_497105!C77,input_497105!A:H,8,FALSE))</f>
        <v>16321.92308</v>
      </c>
      <c r="P77" s="46">
        <f t="shared" ca="1" si="4"/>
        <v>2.6308709026324231E-4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input_497105!A$2</f>
        <v>497105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IFERROR(VLOOKUP(B78,input_497105!L:R,7,FALSE),VLOOKUP(tables_497105!C78,input_497105!A:H,8,FALSE))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input_497105!A$2</f>
        <v>497105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IFERROR(VLOOKUP(B79,input_497105!L:R,7,FALSE),VLOOKUP(tables_497105!C79,input_497105!A:H,8,FALSE))</f>
        <v>373280.76922999998</v>
      </c>
      <c r="P79" s="46">
        <f t="shared" ca="1" si="4"/>
        <v>6.0167757773764438E-3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input_497105!A$2</f>
        <v>497105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IFERROR(VLOOKUP(B80,input_497105!L:R,7,FALSE),VLOOKUP(tables_497105!C80,input_497105!A:H,8,FALSE))</f>
        <v>16321.92308</v>
      </c>
      <c r="P80" s="46">
        <f t="shared" ca="1" si="4"/>
        <v>2.6308709026324231E-4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input_497105!A$2</f>
        <v>497105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IFERROR(VLOOKUP(B81,input_497105!L:R,7,FALSE),VLOOKUP(tables_497105!C81,input_497105!A:H,8,FALSE))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input_497105!A$2</f>
        <v>497105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IFERROR(VLOOKUP(B82,input_497105!L:R,7,FALSE),VLOOKUP(tables_497105!C82,input_497105!A:H,8,FALSE))</f>
        <v>373280.76922999998</v>
      </c>
      <c r="P82" s="46">
        <f t="shared" ca="1" si="4"/>
        <v>6.0167757773764438E-3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input_497105!A$2</f>
        <v>497105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IFERROR(VLOOKUP(B83,input_497105!L:R,7,FALSE),VLOOKUP(tables_497105!C83,input_497105!A:H,8,FALSE))</f>
        <v>16321.92308</v>
      </c>
      <c r="P83" s="46">
        <f t="shared" ca="1" si="4"/>
        <v>2.6308709026324231E-4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input_497105!A$2</f>
        <v>497105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IFERROR(VLOOKUP(B84,input_497105!L:R,7,FALSE),VLOOKUP(tables_497105!C84,input_497105!A:H,8,FALSE))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input_497105!A$2</f>
        <v>497105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IFERROR(VLOOKUP(B85,input_497105!L:R,7,FALSE),VLOOKUP(tables_497105!C85,input_497105!A:H,8,FALSE))</f>
        <v>373280.76922999998</v>
      </c>
      <c r="P85" s="46">
        <f t="shared" ca="1" si="4"/>
        <v>6.0167757773764438E-3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input_497105!A$2</f>
        <v>497105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IFERROR(VLOOKUP(B86,input_497105!L:R,7,FALSE),VLOOKUP(tables_497105!C86,input_497105!A:H,8,FALSE))</f>
        <v>16321.92308</v>
      </c>
      <c r="P86" s="46">
        <f t="shared" ca="1" si="4"/>
        <v>2.6308709026324231E-4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input_497105!A$2</f>
        <v>497105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IFERROR(VLOOKUP(B87,input_497105!L:R,7,FALSE),VLOOKUP(tables_497105!C87,input_497105!A:H,8,FALSE))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input_497105!A$2</f>
        <v>497105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IFERROR(VLOOKUP(B88,input_497105!L:R,7,FALSE),VLOOKUP(tables_497105!C88,input_497105!A:H,8,FALSE))</f>
        <v>373280.76922999998</v>
      </c>
      <c r="P88" s="46">
        <f t="shared" ca="1" si="4"/>
        <v>6.0167757773764438E-3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input_497105!A$2</f>
        <v>497105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IFERROR(VLOOKUP(B89,input_497105!L:R,7,FALSE),VLOOKUP(tables_497105!C89,input_497105!A:H,8,FALSE))</f>
        <v>16321.92308</v>
      </c>
      <c r="P89" s="46">
        <f t="shared" ca="1" si="4"/>
        <v>2.6308709026324231E-4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input_497105!A$2</f>
        <v>497105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IFERROR(VLOOKUP(B90,input_497105!L:R,7,FALSE),VLOOKUP(tables_497105!C90,input_497105!A:H,8,FALSE))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input_497105!A$2</f>
        <v>497105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IFERROR(VLOOKUP(B91,input_497105!L:R,7,FALSE),VLOOKUP(tables_497105!C91,input_497105!A:H,8,FALSE))</f>
        <v>373280.76922999998</v>
      </c>
      <c r="P91" s="46">
        <f t="shared" ca="1" si="4"/>
        <v>6.0167757773764438E-3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input_497105!A$2</f>
        <v>497105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IFERROR(VLOOKUP(B92,input_497105!L:R,7,FALSE),VLOOKUP(tables_497105!C92,input_497105!A:H,8,FALSE))</f>
        <v>16321.92308</v>
      </c>
      <c r="P92" s="46">
        <f t="shared" ca="1" si="4"/>
        <v>2.6308709026324231E-4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input_497105!A$2</f>
        <v>497105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IFERROR(VLOOKUP(B93,input_497105!L:R,7,FALSE),VLOOKUP(tables_497105!C93,input_497105!A:H,8,FALSE))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input_497105!A$2</f>
        <v>497105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IFERROR(VLOOKUP(B94,input_497105!L:R,7,FALSE),VLOOKUP(tables_497105!C94,input_497105!A:H,8,FALSE))</f>
        <v>373280.76922999998</v>
      </c>
      <c r="P94" s="46">
        <f t="shared" ca="1" si="4"/>
        <v>6.0167757773764438E-3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input_497105!A$2</f>
        <v>497105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IFERROR(VLOOKUP(B95,input_497105!L:R,7,FALSE),VLOOKUP(tables_497105!C95,input_497105!A:H,8,FALSE))</f>
        <v>16321.92308</v>
      </c>
      <c r="P95" s="46">
        <f t="shared" ca="1" si="4"/>
        <v>2.6308709026324231E-4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input_497105!A$2</f>
        <v>497105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IFERROR(VLOOKUP(B96,input_497105!L:R,7,FALSE),VLOOKUP(tables_497105!C96,input_497105!A:H,8,FALSE))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input_497105!A$2</f>
        <v>497105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IFERROR(VLOOKUP(B97,input_497105!L:R,7,FALSE),VLOOKUP(tables_497105!C97,input_497105!A:H,8,FALSE))</f>
        <v>373280.76922999998</v>
      </c>
      <c r="P97" s="46">
        <f t="shared" ca="1" si="4"/>
        <v>6.0167757773764438E-3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input_497105!A$2</f>
        <v>497105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IFERROR(VLOOKUP(B98,input_497105!L:R,7,FALSE),VLOOKUP(tables_497105!C98,input_497105!A:H,8,FALSE))</f>
        <v>16321.92308</v>
      </c>
      <c r="P98" s="46">
        <f t="shared" ca="1" si="4"/>
        <v>2.6308709026324231E-4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input_497105!A$2</f>
        <v>497105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IFERROR(VLOOKUP(B99,input_497105!L:R,7,FALSE),VLOOKUP(tables_497105!C99,input_497105!A:H,8,FALSE))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input_497105!A$2</f>
        <v>497105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IFERROR(VLOOKUP(B100,input_497105!L:R,7,FALSE),VLOOKUP(tables_497105!C100,input_497105!A:H,8,FALSE))</f>
        <v>373280.76922999998</v>
      </c>
      <c r="P100" s="46">
        <f t="shared" ca="1" si="4"/>
        <v>6.0167757773764438E-3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input_497105!A$2</f>
        <v>497105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IFERROR(VLOOKUP(B101,input_497105!L:R,7,FALSE),VLOOKUP(tables_497105!C101,input_497105!A:H,8,FALSE))</f>
        <v>16321.92308</v>
      </c>
      <c r="P101" s="46">
        <f t="shared" ca="1" si="4"/>
        <v>2.6308709026324231E-4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input_497105!A$2</f>
        <v>497105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IFERROR(VLOOKUP(B102,input_497105!L:R,7,FALSE),VLOOKUP(tables_497105!C102,input_497105!A:H,8,FALSE))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input_497105!A$2</f>
        <v>497105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IFERROR(VLOOKUP(B103,input_497105!L:R,7,FALSE),VLOOKUP(tables_497105!C103,input_497105!A:H,8,FALSE))</f>
        <v>373280.76922999998</v>
      </c>
      <c r="P103" s="46">
        <f t="shared" ca="1" si="4"/>
        <v>6.0167757773764438E-3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input_497105!A$2</f>
        <v>497105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IFERROR(VLOOKUP(B104,input_497105!L:R,7,FALSE),VLOOKUP(tables_497105!C104,input_497105!A:H,8,FALSE))</f>
        <v>16321.92308</v>
      </c>
      <c r="P104" s="46">
        <f t="shared" ca="1" si="4"/>
        <v>2.6308709026324231E-4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input_497105!A$2</f>
        <v>497105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IFERROR(VLOOKUP(B105,input_497105!L:R,7,FALSE),VLOOKUP(tables_497105!C105,input_497105!A:H,8,FALSE))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input_497105!A$2</f>
        <v>497105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IFERROR(VLOOKUP(B106,input_497105!L:R,7,FALSE),VLOOKUP(tables_497105!C106,input_497105!A:H,8,FALSE))</f>
        <v>373280.76922999998</v>
      </c>
      <c r="P106" s="46">
        <f t="shared" ca="1" si="4"/>
        <v>6.0167757773764438E-3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input_497105!A$2</f>
        <v>497105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IFERROR(VLOOKUP(B107,input_497105!L:R,7,FALSE),VLOOKUP(tables_497105!C107,input_497105!A:H,8,FALSE))</f>
        <v>16321.92308</v>
      </c>
      <c r="P107" s="46">
        <f t="shared" ca="1" si="4"/>
        <v>2.6308709026324231E-4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input_497105!A$2</f>
        <v>497105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IFERROR(VLOOKUP(B108,input_497105!L:R,7,FALSE),VLOOKUP(tables_497105!C108,input_497105!A:H,8,FALSE))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input_497105!A$2</f>
        <v>497105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IFERROR(VLOOKUP(B109,input_497105!L:R,7,FALSE),VLOOKUP(tables_497105!C109,input_497105!A:H,8,FALSE))</f>
        <v>373280.76922999998</v>
      </c>
      <c r="P109" s="46">
        <f t="shared" ca="1" si="4"/>
        <v>6.0167757773764438E-3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input_497105!A$2</f>
        <v>497105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IFERROR(VLOOKUP(B110,input_497105!L:R,7,FALSE),VLOOKUP(tables_497105!C110,input_497105!A:H,8,FALSE))</f>
        <v>16321.92308</v>
      </c>
      <c r="P110" s="46">
        <f t="shared" ca="1" si="4"/>
        <v>2.6308709026324231E-4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input_497105!A$2</f>
        <v>497105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IFERROR(VLOOKUP(B111,input_497105!L:R,7,FALSE),VLOOKUP(tables_497105!C111,input_497105!A:H,8,FALSE))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input_497105!A$2</f>
        <v>497105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IFERROR(VLOOKUP(B112,input_497105!L:R,7,FALSE),VLOOKUP(tables_497105!C112,input_497105!A:H,8,FALSE))</f>
        <v>438900</v>
      </c>
      <c r="P112" s="46">
        <f t="shared" ca="1" si="4"/>
        <v>7.0744680850767152E-3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input_497105!A$2</f>
        <v>497105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IFERROR(VLOOKUP(B113,input_497105!L:R,7,FALSE),VLOOKUP(tables_497105!C113,input_497105!A:H,8,FALSE))</f>
        <v>23100</v>
      </c>
      <c r="P113" s="46">
        <f t="shared" ca="1" si="4"/>
        <v>3.7234042553035344E-4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input_497105!A$2</f>
        <v>497105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IFERROR(VLOOKUP(B114,input_497105!L:R,7,FALSE),VLOOKUP(tables_497105!C114,input_497105!A:H,8,FALSE))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input_497105!A$2</f>
        <v>497105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IFERROR(VLOOKUP(B115,input_497105!L:R,7,FALSE),VLOOKUP(tables_497105!C115,input_497105!A:H,8,FALSE))</f>
        <v>373280.76922999998</v>
      </c>
      <c r="P115" s="46">
        <f t="shared" ca="1" si="4"/>
        <v>6.0167757773764438E-3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input_497105!A$2</f>
        <v>497105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IFERROR(VLOOKUP(B116,input_497105!L:R,7,FALSE),VLOOKUP(tables_497105!C116,input_497105!A:H,8,FALSE))</f>
        <v>16321.92308</v>
      </c>
      <c r="P116" s="46">
        <f t="shared" ca="1" si="4"/>
        <v>2.6308709026324231E-4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input_497105!A$2</f>
        <v>497105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IFERROR(VLOOKUP(B117,input_497105!L:R,7,FALSE),VLOOKUP(tables_497105!C117,input_497105!A:H,8,FALSE))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input_497105!A$2</f>
        <v>497105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IFERROR(VLOOKUP(B118,input_497105!L:R,7,FALSE),VLOOKUP(tables_497105!C118,input_497105!A:H,8,FALSE))</f>
        <v>373280.76922999998</v>
      </c>
      <c r="P118" s="46">
        <f t="shared" ca="1" si="4"/>
        <v>6.0167757773764438E-3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input_497105!A$2</f>
        <v>497105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IFERROR(VLOOKUP(B119,input_497105!L:R,7,FALSE),VLOOKUP(tables_497105!C119,input_497105!A:H,8,FALSE))</f>
        <v>16321.92308</v>
      </c>
      <c r="P119" s="46">
        <f t="shared" ca="1" si="4"/>
        <v>2.6308709026324231E-4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input_497105!A$2</f>
        <v>497105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IFERROR(VLOOKUP(B120,input_497105!L:R,7,FALSE),VLOOKUP(tables_497105!C120,input_497105!A:H,8,FALSE))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input_497105!A$2</f>
        <v>497105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IFERROR(VLOOKUP(B121,input_497105!L:R,7,FALSE),VLOOKUP(tables_497105!C121,input_497105!A:H,8,FALSE))</f>
        <v>373280.76922999998</v>
      </c>
      <c r="P121" s="46">
        <f t="shared" ca="1" si="4"/>
        <v>6.0167757773764438E-3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input_497105!A$2</f>
        <v>497105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IFERROR(VLOOKUP(B122,input_497105!L:R,7,FALSE),VLOOKUP(tables_497105!C122,input_497105!A:H,8,FALSE))</f>
        <v>16321.92308</v>
      </c>
      <c r="P122" s="46">
        <f t="shared" ca="1" si="4"/>
        <v>2.6308709026324231E-4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input_497105!A$2</f>
        <v>497105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IFERROR(VLOOKUP(B123,input_497105!L:R,7,FALSE),VLOOKUP(tables_497105!C123,input_497105!A:H,8,FALSE))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input_497105!A$2</f>
        <v>497105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IFERROR(VLOOKUP(B124,input_497105!L:R,7,FALSE),VLOOKUP(tables_497105!C124,input_497105!A:H,8,FALSE))</f>
        <v>373280.76922999998</v>
      </c>
      <c r="P124" s="46">
        <f t="shared" ca="1" si="4"/>
        <v>6.0167757773764438E-3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input_497105!A$2</f>
        <v>497105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IFERROR(VLOOKUP(B125,input_497105!L:R,7,FALSE),VLOOKUP(tables_497105!C125,input_497105!A:H,8,FALSE))</f>
        <v>16321.92308</v>
      </c>
      <c r="P125" s="46">
        <f t="shared" ca="1" si="4"/>
        <v>2.6308709026324231E-4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input_497105!A$2</f>
        <v>497105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IFERROR(VLOOKUP(B126,input_497105!L:R,7,FALSE),VLOOKUP(tables_497105!C126,input_497105!A:H,8,FALSE))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input_497105!A$2</f>
        <v>497105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IFERROR(VLOOKUP(B127,input_497105!L:R,7,FALSE),VLOOKUP(tables_497105!C127,input_497105!A:H,8,FALSE))</f>
        <v>373280.76922999998</v>
      </c>
      <c r="P127" s="46">
        <f t="shared" ca="1" si="4"/>
        <v>6.0167757773764438E-3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input_497105!A$2</f>
        <v>497105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IFERROR(VLOOKUP(B128,input_497105!L:R,7,FALSE),VLOOKUP(tables_497105!C128,input_497105!A:H,8,FALSE))</f>
        <v>16321.92308</v>
      </c>
      <c r="P128" s="46">
        <f t="shared" ca="1" si="4"/>
        <v>2.6308709026324231E-4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input_497105!A$2</f>
        <v>497105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IFERROR(VLOOKUP(B129,input_497105!L:R,7,FALSE),VLOOKUP(tables_497105!C129,input_497105!A:H,8,FALSE))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input_497105!A$2</f>
        <v>497105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IFERROR(VLOOKUP(B130,input_497105!L:R,7,FALSE),VLOOKUP(tables_497105!C130,input_497105!A:H,8,FALSE))</f>
        <v>373280.76922999998</v>
      </c>
      <c r="P130" s="46">
        <f t="shared" ref="P130:P193" ca="1" si="7">O130/SUM(O:O)</f>
        <v>6.0167757773764438E-3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input_497105!A$2</f>
        <v>497105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IFERROR(VLOOKUP(B131,input_497105!L:R,7,FALSE),VLOOKUP(tables_497105!C131,input_497105!A:H,8,FALSE))</f>
        <v>16321.92308</v>
      </c>
      <c r="P131" s="46">
        <f t="shared" ca="1" si="7"/>
        <v>2.6308709026324231E-4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input_497105!A$2</f>
        <v>497105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IFERROR(VLOOKUP(B132,input_497105!L:R,7,FALSE),VLOOKUP(tables_497105!C132,input_497105!A:H,8,FALSE))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input_497105!A$2</f>
        <v>497105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IFERROR(VLOOKUP(B133,input_497105!L:R,7,FALSE),VLOOKUP(tables_497105!C133,input_497105!A:H,8,FALSE))</f>
        <v>373280.76922999998</v>
      </c>
      <c r="P133" s="46">
        <f t="shared" ca="1" si="7"/>
        <v>6.0167757773764438E-3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input_497105!A$2</f>
        <v>497105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IFERROR(VLOOKUP(B134,input_497105!L:R,7,FALSE),VLOOKUP(tables_497105!C134,input_497105!A:H,8,FALSE))</f>
        <v>16321.92308</v>
      </c>
      <c r="P134" s="46">
        <f t="shared" ca="1" si="7"/>
        <v>2.6308709026324231E-4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input_497105!A$2</f>
        <v>497105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IFERROR(VLOOKUP(B135,input_497105!L:R,7,FALSE),VLOOKUP(tables_497105!C135,input_497105!A:H,8,FALSE))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input_497105!A$2</f>
        <v>497105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IFERROR(VLOOKUP(B136,input_497105!L:R,7,FALSE),VLOOKUP(tables_497105!C136,input_497105!A:H,8,FALSE))</f>
        <v>373280.76922999998</v>
      </c>
      <c r="P136" s="46">
        <f t="shared" ca="1" si="7"/>
        <v>6.0167757773764438E-3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input_497105!A$2</f>
        <v>497105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IFERROR(VLOOKUP(B137,input_497105!L:R,7,FALSE),VLOOKUP(tables_497105!C137,input_497105!A:H,8,FALSE))</f>
        <v>16321.92308</v>
      </c>
      <c r="P137" s="46">
        <f t="shared" ca="1" si="7"/>
        <v>2.6308709026324231E-4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input_497105!A$2</f>
        <v>497105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IFERROR(VLOOKUP(B138,input_497105!L:R,7,FALSE),VLOOKUP(tables_497105!C138,input_497105!A:H,8,FALSE))</f>
        <v>64490.71428</v>
      </c>
      <c r="P138" s="46">
        <f t="shared" ca="1" si="7"/>
        <v>1.0395021644056988E-3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input_497105!A$2</f>
        <v>497105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IFERROR(VLOOKUP(B139,input_497105!L:R,7,FALSE),VLOOKUP(tables_497105!C139,input_497105!A:H,8,FALSE))</f>
        <v>1645</v>
      </c>
      <c r="P139" s="46">
        <f t="shared" ca="1" si="7"/>
        <v>2.6515151515040321E-5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input_497105!A$2</f>
        <v>497105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IFERROR(VLOOKUP(B140,input_497105!L:R,7,FALSE),VLOOKUP(tables_497105!C140,input_497105!A:H,8,FALSE))</f>
        <v>64490.71428</v>
      </c>
      <c r="P140" s="46">
        <f t="shared" ca="1" si="7"/>
        <v>1.0395021644056988E-3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input_497105!A$2</f>
        <v>497105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IFERROR(VLOOKUP(B141,input_497105!L:R,7,FALSE),VLOOKUP(tables_497105!C141,input_497105!A:H,8,FALSE))</f>
        <v>1645</v>
      </c>
      <c r="P141" s="46">
        <f t="shared" ca="1" si="7"/>
        <v>2.6515151515040321E-5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input_497105!A$2</f>
        <v>497105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IFERROR(VLOOKUP(B142,input_497105!L:R,7,FALSE),VLOOKUP(tables_497105!C142,input_497105!A:H,8,FALSE))</f>
        <v>64490.71428</v>
      </c>
      <c r="P142" s="46">
        <f t="shared" ca="1" si="7"/>
        <v>1.0395021644056988E-3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input_497105!A$2</f>
        <v>497105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IFERROR(VLOOKUP(B143,input_497105!L:R,7,FALSE),VLOOKUP(tables_497105!C143,input_497105!A:H,8,FALSE))</f>
        <v>1645</v>
      </c>
      <c r="P143" s="46">
        <f t="shared" ca="1" si="7"/>
        <v>2.6515151515040321E-5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input_497105!A$2</f>
        <v>497105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IFERROR(VLOOKUP(B144,input_497105!L:R,7,FALSE),VLOOKUP(tables_497105!C144,input_497105!A:H,8,FALSE))</f>
        <v>64490.71428</v>
      </c>
      <c r="P144" s="46">
        <f t="shared" ca="1" si="7"/>
        <v>1.0395021644056988E-3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input_497105!A$2</f>
        <v>497105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IFERROR(VLOOKUP(B145,input_497105!L:R,7,FALSE),VLOOKUP(tables_497105!C145,input_497105!A:H,8,FALSE))</f>
        <v>1645</v>
      </c>
      <c r="P145" s="46">
        <f t="shared" ca="1" si="7"/>
        <v>2.6515151515040321E-5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input_497105!A$2</f>
        <v>497105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IFERROR(VLOOKUP(B146,input_497105!L:R,7,FALSE),VLOOKUP(tables_497105!C146,input_497105!A:H,8,FALSE))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input_497105!A$2</f>
        <v>497105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IFERROR(VLOOKUP(B147,input_497105!L:R,7,FALSE),VLOOKUP(tables_497105!C147,input_497105!A:H,8,FALSE))</f>
        <v>373280.76922999998</v>
      </c>
      <c r="P147" s="46">
        <f t="shared" ca="1" si="7"/>
        <v>6.0167757773764438E-3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input_497105!A$2</f>
        <v>497105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IFERROR(VLOOKUP(B148,input_497105!L:R,7,FALSE),VLOOKUP(tables_497105!C148,input_497105!A:H,8,FALSE))</f>
        <v>16321.92308</v>
      </c>
      <c r="P148" s="46">
        <f t="shared" ca="1" si="7"/>
        <v>2.6308709026324231E-4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input_497105!A$2</f>
        <v>497105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IFERROR(VLOOKUP(B149,input_497105!L:R,7,FALSE),VLOOKUP(tables_497105!C149,input_497105!A:H,8,FALSE))</f>
        <v>64490.71428</v>
      </c>
      <c r="P149" s="46">
        <f t="shared" ca="1" si="7"/>
        <v>1.0395021644056988E-3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input_497105!A$2</f>
        <v>497105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IFERROR(VLOOKUP(B150,input_497105!L:R,7,FALSE),VLOOKUP(tables_497105!C150,input_497105!A:H,8,FALSE))</f>
        <v>1645</v>
      </c>
      <c r="P150" s="46">
        <f t="shared" ca="1" si="7"/>
        <v>2.6515151515040321E-5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input_497105!A$2</f>
        <v>497105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IFERROR(VLOOKUP(B151,input_497105!L:R,7,FALSE),VLOOKUP(tables_497105!C151,input_497105!A:H,8,FALSE))</f>
        <v>64490.71428</v>
      </c>
      <c r="P151" s="46">
        <f t="shared" ca="1" si="7"/>
        <v>1.0395021644056988E-3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input_497105!A$2</f>
        <v>497105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IFERROR(VLOOKUP(B152,input_497105!L:R,7,FALSE),VLOOKUP(tables_497105!C152,input_497105!A:H,8,FALSE))</f>
        <v>1645</v>
      </c>
      <c r="P152" s="46">
        <f t="shared" ca="1" si="7"/>
        <v>2.6515151515040321E-5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input_497105!A$2</f>
        <v>497105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IFERROR(VLOOKUP(B153,input_497105!L:R,7,FALSE),VLOOKUP(tables_497105!C153,input_497105!A:H,8,FALSE))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input_497105!A$2</f>
        <v>497105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IFERROR(VLOOKUP(B154,input_497105!L:R,7,FALSE),VLOOKUP(tables_497105!C154,input_497105!A:H,8,FALSE))</f>
        <v>373280.76922999998</v>
      </c>
      <c r="P154" s="46">
        <f t="shared" ca="1" si="7"/>
        <v>6.0167757773764438E-3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input_497105!A$2</f>
        <v>497105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IFERROR(VLOOKUP(B155,input_497105!L:R,7,FALSE),VLOOKUP(tables_497105!C155,input_497105!A:H,8,FALSE))</f>
        <v>16321.92308</v>
      </c>
      <c r="P155" s="46">
        <f t="shared" ca="1" si="7"/>
        <v>2.6308709026324231E-4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input_497105!A$2</f>
        <v>497105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IFERROR(VLOOKUP(B156,input_497105!L:R,7,FALSE),VLOOKUP(tables_497105!C156,input_497105!A:H,8,FALSE))</f>
        <v>64490.71428</v>
      </c>
      <c r="P156" s="46">
        <f t="shared" ca="1" si="7"/>
        <v>1.0395021644056988E-3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input_497105!A$2</f>
        <v>497105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IFERROR(VLOOKUP(B157,input_497105!L:R,7,FALSE),VLOOKUP(tables_497105!C157,input_497105!A:H,8,FALSE))</f>
        <v>1645</v>
      </c>
      <c r="P157" s="46">
        <f t="shared" ca="1" si="7"/>
        <v>2.6515151515040321E-5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input_497105!A$2</f>
        <v>497105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IFERROR(VLOOKUP(B158,input_497105!L:R,7,FALSE),VLOOKUP(tables_497105!C158,input_497105!A:H,8,FALSE))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input_497105!A$2</f>
        <v>497105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IFERROR(VLOOKUP(B159,input_497105!L:R,7,FALSE),VLOOKUP(tables_497105!C159,input_497105!A:H,8,FALSE))</f>
        <v>373280.76922999998</v>
      </c>
      <c r="P159" s="46">
        <f t="shared" ca="1" si="7"/>
        <v>6.0167757773764438E-3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input_497105!A$2</f>
        <v>497105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IFERROR(VLOOKUP(B160,input_497105!L:R,7,FALSE),VLOOKUP(tables_497105!C160,input_497105!A:H,8,FALSE))</f>
        <v>16321.92308</v>
      </c>
      <c r="P160" s="46">
        <f t="shared" ca="1" si="7"/>
        <v>2.6308709026324231E-4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input_497105!A$2</f>
        <v>497105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IFERROR(VLOOKUP(B161,input_497105!L:R,7,FALSE),VLOOKUP(tables_497105!C161,input_497105!A:H,8,FALSE))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input_497105!A$2</f>
        <v>497105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IFERROR(VLOOKUP(B162,input_497105!L:R,7,FALSE),VLOOKUP(tables_497105!C162,input_497105!A:H,8,FALSE))</f>
        <v>373280.76922999998</v>
      </c>
      <c r="P162" s="46">
        <f t="shared" ca="1" si="7"/>
        <v>6.0167757773764438E-3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input_497105!A$2</f>
        <v>497105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IFERROR(VLOOKUP(B163,input_497105!L:R,7,FALSE),VLOOKUP(tables_497105!C163,input_497105!A:H,8,FALSE))</f>
        <v>16321.92308</v>
      </c>
      <c r="P163" s="46">
        <f t="shared" ca="1" si="7"/>
        <v>2.6308709026324231E-4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input_497105!A$2</f>
        <v>497105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IFERROR(VLOOKUP(B164,input_497105!L:R,7,FALSE),VLOOKUP(tables_497105!C164,input_497105!A:H,8,FALSE))</f>
        <v>64490.71428</v>
      </c>
      <c r="P164" s="46">
        <f t="shared" ca="1" si="7"/>
        <v>1.0395021644056988E-3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input_497105!A$2</f>
        <v>497105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IFERROR(VLOOKUP(B165,input_497105!L:R,7,FALSE),VLOOKUP(tables_497105!C165,input_497105!A:H,8,FALSE))</f>
        <v>1645</v>
      </c>
      <c r="P165" s="46">
        <f t="shared" ca="1" si="7"/>
        <v>2.6515151515040321E-5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input_497105!A$2</f>
        <v>497105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IFERROR(VLOOKUP(B166,input_497105!L:R,7,FALSE),VLOOKUP(tables_497105!C166,input_497105!A:H,8,FALSE))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input_497105!A$2</f>
        <v>497105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IFERROR(VLOOKUP(B167,input_497105!L:R,7,FALSE),VLOOKUP(tables_497105!C167,input_497105!A:H,8,FALSE))</f>
        <v>373280.76922999998</v>
      </c>
      <c r="P167" s="46">
        <f t="shared" ca="1" si="7"/>
        <v>6.0167757773764438E-3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input_497105!A$2</f>
        <v>497105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IFERROR(VLOOKUP(B168,input_497105!L:R,7,FALSE),VLOOKUP(tables_497105!C168,input_497105!A:H,8,FALSE))</f>
        <v>16321.92308</v>
      </c>
      <c r="P168" s="46">
        <f t="shared" ca="1" si="7"/>
        <v>2.6308709026324231E-4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input_497105!A$2</f>
        <v>497105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IFERROR(VLOOKUP(B169,input_497105!L:R,7,FALSE),VLOOKUP(tables_497105!C169,input_497105!A:H,8,FALSE))</f>
        <v>64490.71428</v>
      </c>
      <c r="P169" s="46">
        <f t="shared" ca="1" si="7"/>
        <v>1.0395021644056988E-3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input_497105!A$2</f>
        <v>497105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IFERROR(VLOOKUP(B170,input_497105!L:R,7,FALSE),VLOOKUP(tables_497105!C170,input_497105!A:H,8,FALSE))</f>
        <v>1645</v>
      </c>
      <c r="P170" s="46">
        <f t="shared" ca="1" si="7"/>
        <v>2.6515151515040321E-5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input_497105!A$2</f>
        <v>497105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IFERROR(VLOOKUP(B171,input_497105!L:R,7,FALSE),VLOOKUP(tables_497105!C171,input_497105!A:H,8,FALSE))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input_497105!A$2</f>
        <v>497105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IFERROR(VLOOKUP(B172,input_497105!L:R,7,FALSE),VLOOKUP(tables_497105!C172,input_497105!A:H,8,FALSE))</f>
        <v>373280.76922999998</v>
      </c>
      <c r="P172" s="46">
        <f t="shared" ca="1" si="7"/>
        <v>6.0167757773764438E-3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input_497105!A$2</f>
        <v>497105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IFERROR(VLOOKUP(B173,input_497105!L:R,7,FALSE),VLOOKUP(tables_497105!C173,input_497105!A:H,8,FALSE))</f>
        <v>16321.92308</v>
      </c>
      <c r="P173" s="46">
        <f t="shared" ca="1" si="7"/>
        <v>2.6308709026324231E-4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input_497105!A$2</f>
        <v>497105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IFERROR(VLOOKUP(B174,input_497105!L:R,7,FALSE),VLOOKUP(tables_497105!C174,input_497105!A:H,8,FALSE))</f>
        <v>64490.71428</v>
      </c>
      <c r="P174" s="46">
        <f t="shared" ca="1" si="7"/>
        <v>1.0395021644056988E-3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input_497105!A$2</f>
        <v>497105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IFERROR(VLOOKUP(B175,input_497105!L:R,7,FALSE),VLOOKUP(tables_497105!C175,input_497105!A:H,8,FALSE))</f>
        <v>1645</v>
      </c>
      <c r="P175" s="46">
        <f t="shared" ca="1" si="7"/>
        <v>2.6515151515040321E-5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input_497105!A$2</f>
        <v>497105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IFERROR(VLOOKUP(B176,input_497105!L:R,7,FALSE),VLOOKUP(tables_497105!C176,input_497105!A:H,8,FALSE))</f>
        <v>64490.71428</v>
      </c>
      <c r="P176" s="46">
        <f t="shared" ca="1" si="7"/>
        <v>1.0395021644056988E-3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input_497105!A$2</f>
        <v>497105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IFERROR(VLOOKUP(B177,input_497105!L:R,7,FALSE),VLOOKUP(tables_497105!C177,input_497105!A:H,8,FALSE))</f>
        <v>1645</v>
      </c>
      <c r="P177" s="46">
        <f t="shared" ca="1" si="7"/>
        <v>2.6515151515040321E-5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input_497105!A$2</f>
        <v>497105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IFERROR(VLOOKUP(B178,input_497105!L:R,7,FALSE),VLOOKUP(tables_497105!C178,input_497105!A:H,8,FALSE))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input_497105!A$2</f>
        <v>497105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IFERROR(VLOOKUP(B179,input_497105!L:R,7,FALSE),VLOOKUP(tables_497105!C179,input_497105!A:H,8,FALSE))</f>
        <v>373280.76922999998</v>
      </c>
      <c r="P179" s="46">
        <f t="shared" ca="1" si="7"/>
        <v>6.0167757773764438E-3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input_497105!A$2</f>
        <v>497105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IFERROR(VLOOKUP(B180,input_497105!L:R,7,FALSE),VLOOKUP(tables_497105!C180,input_497105!A:H,8,FALSE))</f>
        <v>16321.92308</v>
      </c>
      <c r="P180" s="46">
        <f t="shared" ca="1" si="7"/>
        <v>2.6308709026324231E-4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input_497105!A$2</f>
        <v>497105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IFERROR(VLOOKUP(B181,input_497105!L:R,7,FALSE),VLOOKUP(tables_497105!C181,input_497105!A:H,8,FALSE))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input_497105!A$2</f>
        <v>497105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IFERROR(VLOOKUP(B182,input_497105!L:R,7,FALSE),VLOOKUP(tables_497105!C182,input_497105!A:H,8,FALSE))</f>
        <v>373280.76922999998</v>
      </c>
      <c r="P182" s="46">
        <f t="shared" ca="1" si="7"/>
        <v>6.0167757773764438E-3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input_497105!A$2</f>
        <v>497105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IFERROR(VLOOKUP(B183,input_497105!L:R,7,FALSE),VLOOKUP(tables_497105!C183,input_497105!A:H,8,FALSE))</f>
        <v>16321.92308</v>
      </c>
      <c r="P183" s="46">
        <f t="shared" ca="1" si="7"/>
        <v>2.6308709026324231E-4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input_497105!A$2</f>
        <v>497105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IFERROR(VLOOKUP(B184,input_497105!L:R,7,FALSE),VLOOKUP(tables_497105!C184,input_497105!A:H,8,FALSE))</f>
        <v>64490.71428</v>
      </c>
      <c r="P184" s="46">
        <f t="shared" ca="1" si="7"/>
        <v>1.0395021644056988E-3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input_497105!A$2</f>
        <v>497105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IFERROR(VLOOKUP(B185,input_497105!L:R,7,FALSE),VLOOKUP(tables_497105!C185,input_497105!A:H,8,FALSE))</f>
        <v>1645</v>
      </c>
      <c r="P185" s="46">
        <f t="shared" ca="1" si="7"/>
        <v>2.6515151515040321E-5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input_497105!A$2</f>
        <v>497105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IFERROR(VLOOKUP(B186,input_497105!L:R,7,FALSE),VLOOKUP(tables_497105!C186,input_497105!A:H,8,FALSE))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input_497105!A$2</f>
        <v>497105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IFERROR(VLOOKUP(B187,input_497105!L:R,7,FALSE),VLOOKUP(tables_497105!C187,input_497105!A:H,8,FALSE))</f>
        <v>373280.76922999998</v>
      </c>
      <c r="P187" s="46">
        <f t="shared" ca="1" si="7"/>
        <v>6.0167757773764438E-3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input_497105!A$2</f>
        <v>497105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IFERROR(VLOOKUP(B188,input_497105!L:R,7,FALSE),VLOOKUP(tables_497105!C188,input_497105!A:H,8,FALSE))</f>
        <v>16321.92308</v>
      </c>
      <c r="P188" s="46">
        <f t="shared" ca="1" si="7"/>
        <v>2.6308709026324231E-4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input_497105!A$2</f>
        <v>497105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IFERROR(VLOOKUP(B189,input_497105!L:R,7,FALSE),VLOOKUP(tables_497105!C189,input_497105!A:H,8,FALSE))</f>
        <v>64490.71428</v>
      </c>
      <c r="P189" s="46">
        <f t="shared" ca="1" si="7"/>
        <v>1.0395021644056988E-3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input_497105!A$2</f>
        <v>497105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IFERROR(VLOOKUP(B190,input_497105!L:R,7,FALSE),VLOOKUP(tables_497105!C190,input_497105!A:H,8,FALSE))</f>
        <v>1645</v>
      </c>
      <c r="P190" s="46">
        <f t="shared" ca="1" si="7"/>
        <v>2.6515151515040321E-5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input_497105!A$2</f>
        <v>497105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IFERROR(VLOOKUP(B191,input_497105!L:R,7,FALSE),VLOOKUP(tables_497105!C191,input_497105!A:H,8,FALSE))</f>
        <v>64490.71428</v>
      </c>
      <c r="P191" s="46">
        <f t="shared" ca="1" si="7"/>
        <v>1.0395021644056988E-3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input_497105!A$2</f>
        <v>497105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IFERROR(VLOOKUP(B192,input_497105!L:R,7,FALSE),VLOOKUP(tables_497105!C192,input_497105!A:H,8,FALSE))</f>
        <v>1645</v>
      </c>
      <c r="P192" s="46">
        <f t="shared" ca="1" si="7"/>
        <v>2.6515151515040321E-5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input_497105!A$2</f>
        <v>497105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IFERROR(VLOOKUP(B193,input_497105!L:R,7,FALSE),VLOOKUP(tables_497105!C193,input_497105!A:H,8,FALSE))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input_497105!A$2</f>
        <v>497105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IFERROR(VLOOKUP(B194,input_497105!L:R,7,FALSE),VLOOKUP(tables_497105!C194,input_497105!A:H,8,FALSE))</f>
        <v>373280.76922999998</v>
      </c>
      <c r="P194" s="46">
        <f t="shared" ref="P194:P257" ca="1" si="10">O194/SUM(O:O)</f>
        <v>6.0167757773764438E-3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input_497105!A$2</f>
        <v>497105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IFERROR(VLOOKUP(B195,input_497105!L:R,7,FALSE),VLOOKUP(tables_497105!C195,input_497105!A:H,8,FALSE))</f>
        <v>16321.92308</v>
      </c>
      <c r="P195" s="46">
        <f t="shared" ca="1" si="10"/>
        <v>2.6308709026324231E-4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input_497105!A$2</f>
        <v>497105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IFERROR(VLOOKUP(B196,input_497105!L:R,7,FALSE),VLOOKUP(tables_497105!C196,input_497105!A:H,8,FALSE))</f>
        <v>64490.71428</v>
      </c>
      <c r="P196" s="46">
        <f t="shared" ca="1" si="10"/>
        <v>1.0395021644056988E-3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input_497105!A$2</f>
        <v>497105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IFERROR(VLOOKUP(B197,input_497105!L:R,7,FALSE),VLOOKUP(tables_497105!C197,input_497105!A:H,8,FALSE))</f>
        <v>1645</v>
      </c>
      <c r="P197" s="46">
        <f t="shared" ca="1" si="10"/>
        <v>2.6515151515040321E-5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input_497105!A$2</f>
        <v>497105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IFERROR(VLOOKUP(B198,input_497105!L:R,7,FALSE),VLOOKUP(tables_497105!C198,input_497105!A:H,8,FALSE))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input_497105!A$2</f>
        <v>497105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IFERROR(VLOOKUP(B199,input_497105!L:R,7,FALSE),VLOOKUP(tables_497105!C199,input_497105!A:H,8,FALSE))</f>
        <v>373280.76922999998</v>
      </c>
      <c r="P199" s="46">
        <f t="shared" ca="1" si="10"/>
        <v>6.0167757773764438E-3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input_497105!A$2</f>
        <v>497105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IFERROR(VLOOKUP(B200,input_497105!L:R,7,FALSE),VLOOKUP(tables_497105!C200,input_497105!A:H,8,FALSE))</f>
        <v>16321.92308</v>
      </c>
      <c r="P200" s="46">
        <f t="shared" ca="1" si="10"/>
        <v>2.6308709026324231E-4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input_497105!A$2</f>
        <v>497105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IFERROR(VLOOKUP(B201,input_497105!L:R,7,FALSE),VLOOKUP(tables_497105!C201,input_497105!A:H,8,FALSE))</f>
        <v>64490.71428</v>
      </c>
      <c r="P201" s="46">
        <f t="shared" ca="1" si="10"/>
        <v>1.0395021644056988E-3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input_497105!A$2</f>
        <v>497105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IFERROR(VLOOKUP(B202,input_497105!L:R,7,FALSE),VLOOKUP(tables_497105!C202,input_497105!A:H,8,FALSE))</f>
        <v>1645</v>
      </c>
      <c r="P202" s="46">
        <f t="shared" ca="1" si="10"/>
        <v>2.6515151515040321E-5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input_497105!A$2</f>
        <v>497105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IFERROR(VLOOKUP(B203,input_497105!L:R,7,FALSE),VLOOKUP(tables_497105!C203,input_497105!A:H,8,FALSE))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input_497105!A$2</f>
        <v>497105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IFERROR(VLOOKUP(B204,input_497105!L:R,7,FALSE),VLOOKUP(tables_497105!C204,input_497105!A:H,8,FALSE))</f>
        <v>373280.76922999998</v>
      </c>
      <c r="P204" s="46">
        <f t="shared" ca="1" si="10"/>
        <v>6.0167757773764438E-3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input_497105!A$2</f>
        <v>497105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IFERROR(VLOOKUP(B205,input_497105!L:R,7,FALSE),VLOOKUP(tables_497105!C205,input_497105!A:H,8,FALSE))</f>
        <v>16321.92308</v>
      </c>
      <c r="P205" s="46">
        <f t="shared" ca="1" si="10"/>
        <v>2.6308709026324231E-4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input_497105!A$2</f>
        <v>497105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IFERROR(VLOOKUP(B206,input_497105!L:R,7,FALSE),VLOOKUP(tables_497105!C206,input_497105!A:H,8,FALSE))</f>
        <v>64490.71428</v>
      </c>
      <c r="P206" s="46">
        <f t="shared" ca="1" si="10"/>
        <v>1.0395021644056988E-3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input_497105!A$2</f>
        <v>497105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IFERROR(VLOOKUP(B207,input_497105!L:R,7,FALSE),VLOOKUP(tables_497105!C207,input_497105!A:H,8,FALSE))</f>
        <v>1645</v>
      </c>
      <c r="P207" s="46">
        <f t="shared" ca="1" si="10"/>
        <v>2.6515151515040321E-5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input_497105!A$2</f>
        <v>497105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IFERROR(VLOOKUP(B208,input_497105!L:R,7,FALSE),VLOOKUP(tables_497105!C208,input_497105!A:H,8,FALSE))</f>
        <v>64490.71428</v>
      </c>
      <c r="P208" s="46">
        <f t="shared" ca="1" si="10"/>
        <v>1.0395021644056988E-3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input_497105!A$2</f>
        <v>497105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IFERROR(VLOOKUP(B209,input_497105!L:R,7,FALSE),VLOOKUP(tables_497105!C209,input_497105!A:H,8,FALSE))</f>
        <v>1645</v>
      </c>
      <c r="P209" s="46">
        <f t="shared" ca="1" si="10"/>
        <v>2.6515151515040321E-5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input_497105!A$2</f>
        <v>497105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IFERROR(VLOOKUP(B210,input_497105!L:R,7,FALSE),VLOOKUP(tables_497105!C210,input_497105!A:H,8,FALSE))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input_497105!A$2</f>
        <v>497105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IFERROR(VLOOKUP(B211,input_497105!L:R,7,FALSE),VLOOKUP(tables_497105!C211,input_497105!A:H,8,FALSE))</f>
        <v>373280.76922999998</v>
      </c>
      <c r="P211" s="46">
        <f t="shared" ca="1" si="10"/>
        <v>6.0167757773764438E-3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input_497105!A$2</f>
        <v>497105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IFERROR(VLOOKUP(B212,input_497105!L:R,7,FALSE),VLOOKUP(tables_497105!C212,input_497105!A:H,8,FALSE))</f>
        <v>16321.92308</v>
      </c>
      <c r="P212" s="46">
        <f t="shared" ca="1" si="10"/>
        <v>2.6308709026324231E-4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input_497105!A$2</f>
        <v>497105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IFERROR(VLOOKUP(B213,input_497105!L:R,7,FALSE),VLOOKUP(tables_497105!C213,input_497105!A:H,8,FALSE))</f>
        <v>64490.71428</v>
      </c>
      <c r="P213" s="46">
        <f t="shared" ca="1" si="10"/>
        <v>1.0395021644056988E-3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input_497105!A$2</f>
        <v>497105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IFERROR(VLOOKUP(B214,input_497105!L:R,7,FALSE),VLOOKUP(tables_497105!C214,input_497105!A:H,8,FALSE))</f>
        <v>1645</v>
      </c>
      <c r="P214" s="46">
        <f t="shared" ca="1" si="10"/>
        <v>2.6515151515040321E-5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input_497105!A$2</f>
        <v>497105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IFERROR(VLOOKUP(B215,input_497105!L:R,7,FALSE),VLOOKUP(tables_497105!C215,input_497105!A:H,8,FALSE))</f>
        <v>10175</v>
      </c>
      <c r="P215" s="46">
        <f t="shared" ca="1" si="10"/>
        <v>1.6400709219789377E-4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input_497105!A$2</f>
        <v>497105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IFERROR(VLOOKUP(B216,input_497105!L:R,7,FALSE),VLOOKUP(tables_497105!C216,input_497105!A:H,8,FALSE))</f>
        <v>10175</v>
      </c>
      <c r="P216" s="46">
        <f t="shared" ca="1" si="10"/>
        <v>1.6400709219789377E-4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input_497105!A$2</f>
        <v>497105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IFERROR(VLOOKUP(B217,input_497105!L:R,7,FALSE),VLOOKUP(tables_497105!C217,input_497105!A:H,8,FALSE))</f>
        <v>10175</v>
      </c>
      <c r="P217" s="46">
        <f t="shared" ca="1" si="10"/>
        <v>1.6400709219789377E-4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input_497105!A$2</f>
        <v>497105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IFERROR(VLOOKUP(B218,input_497105!L:R,7,FALSE),VLOOKUP(tables_497105!C218,input_497105!A:H,8,FALSE))</f>
        <v>10175</v>
      </c>
      <c r="P218" s="46">
        <f t="shared" ca="1" si="10"/>
        <v>1.6400709219789377E-4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input_497105!A$2</f>
        <v>497105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IFERROR(VLOOKUP(B219,input_497105!L:R,7,FALSE),VLOOKUP(tables_497105!C219,input_497105!A:H,8,FALSE))</f>
        <v>10175</v>
      </c>
      <c r="P219" s="46">
        <f t="shared" ca="1" si="10"/>
        <v>1.6400709219789377E-4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input_497105!A$2</f>
        <v>497105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IFERROR(VLOOKUP(B220,input_497105!L:R,7,FALSE),VLOOKUP(tables_497105!C220,input_497105!A:H,8,FALSE))</f>
        <v>10175</v>
      </c>
      <c r="P220" s="46">
        <f t="shared" ca="1" si="10"/>
        <v>1.6400709219789377E-4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input_497105!A$2</f>
        <v>497105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IFERROR(VLOOKUP(B221,input_497105!L:R,7,FALSE),VLOOKUP(tables_497105!C221,input_497105!A:H,8,FALSE))</f>
        <v>64490.71428</v>
      </c>
      <c r="P221" s="46">
        <f t="shared" ca="1" si="10"/>
        <v>1.0395021644056988E-3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input_497105!A$2</f>
        <v>497105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IFERROR(VLOOKUP(B222,input_497105!L:R,7,FALSE),VLOOKUP(tables_497105!C222,input_497105!A:H,8,FALSE))</f>
        <v>1645</v>
      </c>
      <c r="P222" s="46">
        <f t="shared" ca="1" si="10"/>
        <v>2.6515151515040321E-5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input_497105!A$2</f>
        <v>497105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IFERROR(VLOOKUP(B223,input_497105!L:R,7,FALSE),VLOOKUP(tables_497105!C223,input_497105!A:H,8,FALSE))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input_497105!A$2</f>
        <v>497105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IFERROR(VLOOKUP(B224,input_497105!L:R,7,FALSE),VLOOKUP(tables_497105!C224,input_497105!A:H,8,FALSE))</f>
        <v>373280.76922999998</v>
      </c>
      <c r="P224" s="46">
        <f t="shared" ca="1" si="10"/>
        <v>6.0167757773764438E-3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input_497105!A$2</f>
        <v>497105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IFERROR(VLOOKUP(B225,input_497105!L:R,7,FALSE),VLOOKUP(tables_497105!C225,input_497105!A:H,8,FALSE))</f>
        <v>16321.92308</v>
      </c>
      <c r="P225" s="46">
        <f t="shared" ca="1" si="10"/>
        <v>2.6308709026324231E-4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input_497105!A$2</f>
        <v>497105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IFERROR(VLOOKUP(B226,input_497105!L:R,7,FALSE),VLOOKUP(tables_497105!C226,input_497105!A:H,8,FALSE))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input_497105!A$2</f>
        <v>497105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IFERROR(VLOOKUP(B227,input_497105!L:R,7,FALSE),VLOOKUP(tables_497105!C227,input_497105!A:H,8,FALSE))</f>
        <v>373280.76922999998</v>
      </c>
      <c r="P227" s="46">
        <f t="shared" ca="1" si="10"/>
        <v>6.0167757773764438E-3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input_497105!A$2</f>
        <v>497105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IFERROR(VLOOKUP(B228,input_497105!L:R,7,FALSE),VLOOKUP(tables_497105!C228,input_497105!A:H,8,FALSE))</f>
        <v>16321.92308</v>
      </c>
      <c r="P228" s="46">
        <f t="shared" ca="1" si="10"/>
        <v>2.6308709026324231E-4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input_497105!A$2</f>
        <v>497105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IFERROR(VLOOKUP(B229,input_497105!L:R,7,FALSE),VLOOKUP(tables_497105!C229,input_497105!A:H,8,FALSE))</f>
        <v>64490.71428</v>
      </c>
      <c r="P229" s="46">
        <f t="shared" ca="1" si="10"/>
        <v>1.0395021644056988E-3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input_497105!A$2</f>
        <v>497105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IFERROR(VLOOKUP(B230,input_497105!L:R,7,FALSE),VLOOKUP(tables_497105!C230,input_497105!A:H,8,FALSE))</f>
        <v>1645</v>
      </c>
      <c r="P230" s="46">
        <f t="shared" ca="1" si="10"/>
        <v>2.6515151515040321E-5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input_497105!A$2</f>
        <v>497105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IFERROR(VLOOKUP(B231,input_497105!L:R,7,FALSE),VLOOKUP(tables_497105!C231,input_497105!A:H,8,FALSE))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input_497105!A$2</f>
        <v>497105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IFERROR(VLOOKUP(B232,input_497105!L:R,7,FALSE),VLOOKUP(tables_497105!C232,input_497105!A:H,8,FALSE))</f>
        <v>373280.76922999998</v>
      </c>
      <c r="P232" s="46">
        <f t="shared" ca="1" si="10"/>
        <v>6.0167757773764438E-3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input_497105!A$2</f>
        <v>497105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IFERROR(VLOOKUP(B233,input_497105!L:R,7,FALSE),VLOOKUP(tables_497105!C233,input_497105!A:H,8,FALSE))</f>
        <v>16321.92308</v>
      </c>
      <c r="P233" s="46">
        <f t="shared" ca="1" si="10"/>
        <v>2.6308709026324231E-4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input_497105!A$2</f>
        <v>497105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IFERROR(VLOOKUP(B234,input_497105!L:R,7,FALSE),VLOOKUP(tables_497105!C234,input_497105!A:H,8,FALSE))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input_497105!A$2</f>
        <v>497105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IFERROR(VLOOKUP(B235,input_497105!L:R,7,FALSE),VLOOKUP(tables_497105!C235,input_497105!A:H,8,FALSE))</f>
        <v>373280.76922999998</v>
      </c>
      <c r="P235" s="46">
        <f t="shared" ca="1" si="10"/>
        <v>6.0167757773764438E-3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input_497105!A$2</f>
        <v>497105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IFERROR(VLOOKUP(B236,input_497105!L:R,7,FALSE),VLOOKUP(tables_497105!C236,input_497105!A:H,8,FALSE))</f>
        <v>16321.92308</v>
      </c>
      <c r="P236" s="46">
        <f t="shared" ca="1" si="10"/>
        <v>2.6308709026324231E-4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input_497105!A$2</f>
        <v>497105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IFERROR(VLOOKUP(B237,input_497105!L:R,7,FALSE),VLOOKUP(tables_497105!C237,input_497105!A:H,8,FALSE))</f>
        <v>64490.71428</v>
      </c>
      <c r="P237" s="46">
        <f t="shared" ca="1" si="10"/>
        <v>1.0395021644056988E-3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input_497105!A$2</f>
        <v>497105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IFERROR(VLOOKUP(B238,input_497105!L:R,7,FALSE),VLOOKUP(tables_497105!C238,input_497105!A:H,8,FALSE))</f>
        <v>1645</v>
      </c>
      <c r="P238" s="46">
        <f t="shared" ca="1" si="10"/>
        <v>2.6515151515040321E-5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input_497105!A$2</f>
        <v>497105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IFERROR(VLOOKUP(B239,input_497105!L:R,7,FALSE),VLOOKUP(tables_497105!C239,input_497105!A:H,8,FALSE))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input_497105!A$2</f>
        <v>497105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IFERROR(VLOOKUP(B240,input_497105!L:R,7,FALSE),VLOOKUP(tables_497105!C240,input_497105!A:H,8,FALSE))</f>
        <v>373280.76922999998</v>
      </c>
      <c r="P240" s="46">
        <f t="shared" ca="1" si="10"/>
        <v>6.0167757773764438E-3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input_497105!A$2</f>
        <v>497105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IFERROR(VLOOKUP(B241,input_497105!L:R,7,FALSE),VLOOKUP(tables_497105!C241,input_497105!A:H,8,FALSE))</f>
        <v>16321.92308</v>
      </c>
      <c r="P241" s="46">
        <f t="shared" ca="1" si="10"/>
        <v>2.6308709026324231E-4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input_497105!A$2</f>
        <v>497105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IFERROR(VLOOKUP(B242,input_497105!L:R,7,FALSE),VLOOKUP(tables_497105!C242,input_497105!A:H,8,FALSE))</f>
        <v>64490.71428</v>
      </c>
      <c r="P242" s="46">
        <f t="shared" ca="1" si="10"/>
        <v>1.0395021644056988E-3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input_497105!A$2</f>
        <v>497105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IFERROR(VLOOKUP(B243,input_497105!L:R,7,FALSE),VLOOKUP(tables_497105!C243,input_497105!A:H,8,FALSE))</f>
        <v>1645</v>
      </c>
      <c r="P243" s="46">
        <f t="shared" ca="1" si="10"/>
        <v>2.6515151515040321E-5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input_497105!A$2</f>
        <v>497105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IFERROR(VLOOKUP(B244,input_497105!L:R,7,FALSE),VLOOKUP(tables_497105!C244,input_497105!A:H,8,FALSE))</f>
        <v>64490.71428</v>
      </c>
      <c r="P244" s="46">
        <f t="shared" ca="1" si="10"/>
        <v>1.0395021644056988E-3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input_497105!A$2</f>
        <v>497105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IFERROR(VLOOKUP(B245,input_497105!L:R,7,FALSE),VLOOKUP(tables_497105!C245,input_497105!A:H,8,FALSE))</f>
        <v>1645</v>
      </c>
      <c r="P245" s="46">
        <f t="shared" ca="1" si="10"/>
        <v>2.6515151515040321E-5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input_497105!A$2</f>
        <v>497105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IFERROR(VLOOKUP(B246,input_497105!L:R,7,FALSE),VLOOKUP(tables_497105!C246,input_497105!A:H,8,FALSE))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input_497105!A$2</f>
        <v>497105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IFERROR(VLOOKUP(B247,input_497105!L:R,7,FALSE),VLOOKUP(tables_497105!C247,input_497105!A:H,8,FALSE))</f>
        <v>373280.76922999998</v>
      </c>
      <c r="P247" s="46">
        <f t="shared" ca="1" si="10"/>
        <v>6.0167757773764438E-3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input_497105!A$2</f>
        <v>497105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IFERROR(VLOOKUP(B248,input_497105!L:R,7,FALSE),VLOOKUP(tables_497105!C248,input_497105!A:H,8,FALSE))</f>
        <v>16321.92308</v>
      </c>
      <c r="P248" s="46">
        <f t="shared" ca="1" si="10"/>
        <v>2.6308709026324231E-4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input_497105!A$2</f>
        <v>497105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IFERROR(VLOOKUP(B249,input_497105!L:R,7,FALSE),VLOOKUP(tables_497105!C249,input_497105!A:H,8,FALSE))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input_497105!A$2</f>
        <v>497105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IFERROR(VLOOKUP(B250,input_497105!L:R,7,FALSE),VLOOKUP(tables_497105!C250,input_497105!A:H,8,FALSE))</f>
        <v>373280.76922999998</v>
      </c>
      <c r="P250" s="46">
        <f t="shared" ca="1" si="10"/>
        <v>6.0167757773764438E-3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input_497105!A$2</f>
        <v>497105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IFERROR(VLOOKUP(B251,input_497105!L:R,7,FALSE),VLOOKUP(tables_497105!C251,input_497105!A:H,8,FALSE))</f>
        <v>16321.92308</v>
      </c>
      <c r="P251" s="46">
        <f t="shared" ca="1" si="10"/>
        <v>2.6308709026324231E-4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input_497105!A$2</f>
        <v>497105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IFERROR(VLOOKUP(B252,input_497105!L:R,7,FALSE),VLOOKUP(tables_497105!C252,input_497105!A:H,8,FALSE))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input_497105!A$2</f>
        <v>497105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IFERROR(VLOOKUP(B253,input_497105!L:R,7,FALSE),VLOOKUP(tables_497105!C253,input_497105!A:H,8,FALSE))</f>
        <v>373280.76922999998</v>
      </c>
      <c r="P253" s="46">
        <f t="shared" ca="1" si="10"/>
        <v>6.0167757773764438E-3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input_497105!A$2</f>
        <v>497105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IFERROR(VLOOKUP(B254,input_497105!L:R,7,FALSE),VLOOKUP(tables_497105!C254,input_497105!A:H,8,FALSE))</f>
        <v>16321.92308</v>
      </c>
      <c r="P254" s="46">
        <f t="shared" ca="1" si="10"/>
        <v>2.6308709026324231E-4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input_497105!A$2</f>
        <v>497105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IFERROR(VLOOKUP(B255,input_497105!L:R,7,FALSE),VLOOKUP(tables_497105!C255,input_497105!A:H,8,FALSE))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input_497105!A$2</f>
        <v>497105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IFERROR(VLOOKUP(B256,input_497105!L:R,7,FALSE),VLOOKUP(tables_497105!C256,input_497105!A:H,8,FALSE))</f>
        <v>373280.76922999998</v>
      </c>
      <c r="P256" s="46">
        <f t="shared" ca="1" si="10"/>
        <v>6.0167757773764438E-3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input_497105!A$2</f>
        <v>497105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IFERROR(VLOOKUP(B257,input_497105!L:R,7,FALSE),VLOOKUP(tables_497105!C257,input_497105!A:H,8,FALSE))</f>
        <v>16321.92308</v>
      </c>
      <c r="P257" s="46">
        <f t="shared" ca="1" si="10"/>
        <v>2.6308709026324231E-4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input_497105!A$2</f>
        <v>497105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IFERROR(VLOOKUP(B258,input_497105!L:R,7,FALSE),VLOOKUP(tables_497105!C258,input_497105!A:H,8,FALSE))</f>
        <v>64490.71428</v>
      </c>
      <c r="P258" s="46">
        <f t="shared" ref="P258:P321" ca="1" si="13">O258/SUM(O:O)</f>
        <v>1.0395021644056988E-3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input_497105!A$2</f>
        <v>497105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IFERROR(VLOOKUP(B259,input_497105!L:R,7,FALSE),VLOOKUP(tables_497105!C259,input_497105!A:H,8,FALSE))</f>
        <v>1645</v>
      </c>
      <c r="P259" s="46">
        <f t="shared" ca="1" si="13"/>
        <v>2.6515151515040321E-5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input_497105!A$2</f>
        <v>497105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IFERROR(VLOOKUP(B260,input_497105!L:R,7,FALSE),VLOOKUP(tables_497105!C260,input_497105!A:H,8,FALSE))</f>
        <v>64490.71428</v>
      </c>
      <c r="P260" s="46">
        <f t="shared" ca="1" si="13"/>
        <v>1.0395021644056988E-3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input_497105!A$2</f>
        <v>497105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IFERROR(VLOOKUP(B261,input_497105!L:R,7,FALSE),VLOOKUP(tables_497105!C261,input_497105!A:H,8,FALSE))</f>
        <v>1645</v>
      </c>
      <c r="P261" s="46">
        <f t="shared" ca="1" si="13"/>
        <v>2.6515151515040321E-5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input_497105!A$2</f>
        <v>497105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IFERROR(VLOOKUP(B262,input_497105!L:R,7,FALSE),VLOOKUP(tables_497105!C262,input_497105!A:H,8,FALSE))</f>
        <v>448433.33332999999</v>
      </c>
      <c r="P262" s="46">
        <f t="shared" ca="1" si="13"/>
        <v>7.2281323876228149E-3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input_497105!A$2</f>
        <v>497105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IFERROR(VLOOKUP(B263,input_497105!L:R,7,FALSE),VLOOKUP(tables_497105!C263,input_497105!A:H,8,FALSE))</f>
        <v>10175</v>
      </c>
      <c r="P263" s="46">
        <f t="shared" ca="1" si="13"/>
        <v>1.6400709219789377E-4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input_497105!A$2</f>
        <v>497105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IFERROR(VLOOKUP(B264,input_497105!L:R,7,FALSE),VLOOKUP(tables_497105!C264,input_497105!A:H,8,FALSE))</f>
        <v>448433.33332999999</v>
      </c>
      <c r="P264" s="46">
        <f t="shared" ca="1" si="13"/>
        <v>7.2281323876228149E-3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input_497105!A$2</f>
        <v>497105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IFERROR(VLOOKUP(B265,input_497105!L:R,7,FALSE),VLOOKUP(tables_497105!C265,input_497105!A:H,8,FALSE))</f>
        <v>10175</v>
      </c>
      <c r="P265" s="46">
        <f t="shared" ca="1" si="13"/>
        <v>1.6400709219789377E-4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input_497105!A$2</f>
        <v>497105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IFERROR(VLOOKUP(B266,input_497105!L:R,7,FALSE),VLOOKUP(tables_497105!C266,input_497105!A:H,8,FALSE))</f>
        <v>8410.5263200000009</v>
      </c>
      <c r="P266" s="46">
        <f t="shared" ca="1" si="13"/>
        <v>1.3556618826506656E-4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input_497105!A$2</f>
        <v>497105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IFERROR(VLOOKUP(B267,input_497105!L:R,7,FALSE),VLOOKUP(tables_497105!C267,input_497105!A:H,8,FALSE))</f>
        <v>8410.5263200000009</v>
      </c>
      <c r="P267" s="46">
        <f t="shared" ca="1" si="13"/>
        <v>1.3556618826506656E-4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input_497105!A$2</f>
        <v>497105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IFERROR(VLOOKUP(B268,input_497105!L:R,7,FALSE),VLOOKUP(tables_497105!C268,input_497105!A:H,8,FALSE))</f>
        <v>8410.5263200000009</v>
      </c>
      <c r="P268" s="46">
        <f t="shared" ca="1" si="13"/>
        <v>1.3556618826506656E-4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input_497105!A$2</f>
        <v>497105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IFERROR(VLOOKUP(B269,input_497105!L:R,7,FALSE),VLOOKUP(tables_497105!C269,input_497105!A:H,8,FALSE))</f>
        <v>8410.5263200000009</v>
      </c>
      <c r="P269" s="46">
        <f t="shared" ca="1" si="13"/>
        <v>1.3556618826506656E-4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input_497105!A$2</f>
        <v>497105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IFERROR(VLOOKUP(B270,input_497105!L:R,7,FALSE),VLOOKUP(tables_497105!C270,input_497105!A:H,8,FALSE))</f>
        <v>448433.33332999999</v>
      </c>
      <c r="P270" s="46">
        <f t="shared" ca="1" si="13"/>
        <v>7.2281323876228149E-3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input_497105!A$2</f>
        <v>497105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IFERROR(VLOOKUP(B271,input_497105!L:R,7,FALSE),VLOOKUP(tables_497105!C271,input_497105!A:H,8,FALSE))</f>
        <v>10175</v>
      </c>
      <c r="P271" s="46">
        <f t="shared" ca="1" si="13"/>
        <v>1.6400709219789377E-4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input_497105!A$2</f>
        <v>497105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IFERROR(VLOOKUP(B272,input_497105!L:R,7,FALSE),VLOOKUP(tables_497105!C272,input_497105!A:H,8,FALSE))</f>
        <v>448433.33332999999</v>
      </c>
      <c r="P272" s="46">
        <f t="shared" ca="1" si="13"/>
        <v>7.2281323876228149E-3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input_497105!A$2</f>
        <v>497105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IFERROR(VLOOKUP(B273,input_497105!L:R,7,FALSE),VLOOKUP(tables_497105!C273,input_497105!A:H,8,FALSE))</f>
        <v>10175</v>
      </c>
      <c r="P273" s="46">
        <f t="shared" ca="1" si="13"/>
        <v>1.6400709219789377E-4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input_497105!A$2</f>
        <v>497105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IFERROR(VLOOKUP(B274,input_497105!L:R,7,FALSE),VLOOKUP(tables_497105!C274,input_497105!A:H,8,FALSE))</f>
        <v>64490.71428</v>
      </c>
      <c r="P274" s="46">
        <f t="shared" ca="1" si="13"/>
        <v>1.0395021644056988E-3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input_497105!A$2</f>
        <v>497105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IFERROR(VLOOKUP(B275,input_497105!L:R,7,FALSE),VLOOKUP(tables_497105!C275,input_497105!A:H,8,FALSE))</f>
        <v>1645</v>
      </c>
      <c r="P275" s="46">
        <f t="shared" ca="1" si="13"/>
        <v>2.6515151515040321E-5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input_497105!A$2</f>
        <v>497105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IFERROR(VLOOKUP(B276,input_497105!L:R,7,FALSE),VLOOKUP(tables_497105!C276,input_497105!A:H,8,FALSE))</f>
        <v>64490.71428</v>
      </c>
      <c r="P276" s="46">
        <f t="shared" ca="1" si="13"/>
        <v>1.0395021644056988E-3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input_497105!A$2</f>
        <v>497105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IFERROR(VLOOKUP(B277,input_497105!L:R,7,FALSE),VLOOKUP(tables_497105!C277,input_497105!A:H,8,FALSE))</f>
        <v>1645</v>
      </c>
      <c r="P277" s="46">
        <f t="shared" ca="1" si="13"/>
        <v>2.6515151515040321E-5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input_497105!A$2</f>
        <v>497105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IFERROR(VLOOKUP(B278,input_497105!L:R,7,FALSE),VLOOKUP(tables_497105!C278,input_497105!A:H,8,FALSE))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input_497105!A$2</f>
        <v>497105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IFERROR(VLOOKUP(B279,input_497105!L:R,7,FALSE),VLOOKUP(tables_497105!C279,input_497105!A:H,8,FALSE))</f>
        <v>373280.76922999998</v>
      </c>
      <c r="P279" s="46">
        <f t="shared" ca="1" si="13"/>
        <v>6.0167757773764438E-3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input_497105!A$2</f>
        <v>497105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IFERROR(VLOOKUP(B280,input_497105!L:R,7,FALSE),VLOOKUP(tables_497105!C280,input_497105!A:H,8,FALSE))</f>
        <v>16321.92308</v>
      </c>
      <c r="P280" s="46">
        <f t="shared" ca="1" si="13"/>
        <v>2.6308709026324231E-4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input_497105!A$2</f>
        <v>497105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IFERROR(VLOOKUP(B281,input_497105!L:R,7,FALSE),VLOOKUP(tables_497105!C281,input_497105!A:H,8,FALSE))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input_497105!A$2</f>
        <v>497105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IFERROR(VLOOKUP(B282,input_497105!L:R,7,FALSE),VLOOKUP(tables_497105!C282,input_497105!A:H,8,FALSE))</f>
        <v>373280.76922999998</v>
      </c>
      <c r="P282" s="46">
        <f t="shared" ca="1" si="13"/>
        <v>6.0167757773764438E-3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input_497105!A$2</f>
        <v>497105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IFERROR(VLOOKUP(B283,input_497105!L:R,7,FALSE),VLOOKUP(tables_497105!C283,input_497105!A:H,8,FALSE))</f>
        <v>16321.92308</v>
      </c>
      <c r="P283" s="46">
        <f t="shared" ca="1" si="13"/>
        <v>2.6308709026324231E-4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input_497105!A$2</f>
        <v>497105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IFERROR(VLOOKUP(B284,input_497105!L:R,7,FALSE),VLOOKUP(tables_497105!C284,input_497105!A:H,8,FALSE))</f>
        <v>8410.5263200000009</v>
      </c>
      <c r="P284" s="46">
        <f t="shared" ca="1" si="13"/>
        <v>1.3556618826506656E-4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input_497105!A$2</f>
        <v>497105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IFERROR(VLOOKUP(B285,input_497105!L:R,7,FALSE),VLOOKUP(tables_497105!C285,input_497105!A:H,8,FALSE))</f>
        <v>8410.5263200000009</v>
      </c>
      <c r="P285" s="46">
        <f t="shared" ca="1" si="13"/>
        <v>1.3556618826506656E-4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input_497105!A$2</f>
        <v>497105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IFERROR(VLOOKUP(B286,input_497105!L:R,7,FALSE),VLOOKUP(tables_497105!C286,input_497105!A:H,8,FALSE))</f>
        <v>448433.33332999999</v>
      </c>
      <c r="P286" s="46">
        <f t="shared" ca="1" si="13"/>
        <v>7.2281323876228149E-3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input_497105!A$2</f>
        <v>497105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IFERROR(VLOOKUP(B287,input_497105!L:R,7,FALSE),VLOOKUP(tables_497105!C287,input_497105!A:H,8,FALSE))</f>
        <v>10175</v>
      </c>
      <c r="P287" s="46">
        <f t="shared" ca="1" si="13"/>
        <v>1.6400709219789377E-4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input_497105!A$2</f>
        <v>497105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IFERROR(VLOOKUP(B288,input_497105!L:R,7,FALSE),VLOOKUP(tables_497105!C288,input_497105!A:H,8,FALSE))</f>
        <v>448433.33332999999</v>
      </c>
      <c r="P288" s="46">
        <f t="shared" ca="1" si="13"/>
        <v>7.2281323876228149E-3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input_497105!A$2</f>
        <v>497105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IFERROR(VLOOKUP(B289,input_497105!L:R,7,FALSE),VLOOKUP(tables_497105!C289,input_497105!A:H,8,FALSE))</f>
        <v>10175</v>
      </c>
      <c r="P289" s="46">
        <f t="shared" ca="1" si="13"/>
        <v>1.6400709219789377E-4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input_497105!A$2</f>
        <v>497105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IFERROR(VLOOKUP(B290,input_497105!L:R,7,FALSE),VLOOKUP(tables_497105!C290,input_497105!A:H,8,FALSE))</f>
        <v>448433.33332999999</v>
      </c>
      <c r="P290" s="46">
        <f t="shared" ca="1" si="13"/>
        <v>7.2281323876228149E-3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input_497105!A$2</f>
        <v>497105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IFERROR(VLOOKUP(B291,input_497105!L:R,7,FALSE),VLOOKUP(tables_497105!C291,input_497105!A:H,8,FALSE))</f>
        <v>10175</v>
      </c>
      <c r="P291" s="46">
        <f t="shared" ca="1" si="13"/>
        <v>1.6400709219789377E-4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input_497105!A$2</f>
        <v>497105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IFERROR(VLOOKUP(B292,input_497105!L:R,7,FALSE),VLOOKUP(tables_497105!C292,input_497105!A:H,8,FALSE))</f>
        <v>448433.33332999999</v>
      </c>
      <c r="P292" s="46">
        <f t="shared" ca="1" si="13"/>
        <v>7.2281323876228149E-3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input_497105!A$2</f>
        <v>497105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IFERROR(VLOOKUP(B293,input_497105!L:R,7,FALSE),VLOOKUP(tables_497105!C293,input_497105!A:H,8,FALSE))</f>
        <v>10175</v>
      </c>
      <c r="P293" s="46">
        <f t="shared" ca="1" si="13"/>
        <v>1.6400709219789377E-4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input_497105!A$2</f>
        <v>497105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IFERROR(VLOOKUP(B294,input_497105!L:R,7,FALSE),VLOOKUP(tables_497105!C294,input_497105!A:H,8,FALSE))</f>
        <v>8410.5263200000009</v>
      </c>
      <c r="P294" s="46">
        <f t="shared" ca="1" si="13"/>
        <v>1.3556618826506656E-4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input_497105!A$2</f>
        <v>497105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IFERROR(VLOOKUP(B295,input_497105!L:R,7,FALSE),VLOOKUP(tables_497105!C295,input_497105!A:H,8,FALSE))</f>
        <v>8410.5263200000009</v>
      </c>
      <c r="P295" s="46">
        <f t="shared" ca="1" si="13"/>
        <v>1.3556618826506656E-4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input_497105!A$2</f>
        <v>497105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IFERROR(VLOOKUP(B296,input_497105!L:R,7,FALSE),VLOOKUP(tables_497105!C296,input_497105!A:H,8,FALSE))</f>
        <v>8410.5263200000009</v>
      </c>
      <c r="P296" s="46">
        <f t="shared" ca="1" si="13"/>
        <v>1.3556618826506656E-4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input_497105!A$2</f>
        <v>497105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IFERROR(VLOOKUP(B297,input_497105!L:R,7,FALSE),VLOOKUP(tables_497105!C297,input_497105!A:H,8,FALSE))</f>
        <v>448433.33332999999</v>
      </c>
      <c r="P297" s="46">
        <f t="shared" ca="1" si="13"/>
        <v>7.2281323876228149E-3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input_497105!A$2</f>
        <v>497105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IFERROR(VLOOKUP(B298,input_497105!L:R,7,FALSE),VLOOKUP(tables_497105!C298,input_497105!A:H,8,FALSE))</f>
        <v>10175</v>
      </c>
      <c r="P298" s="46">
        <f t="shared" ca="1" si="13"/>
        <v>1.6400709219789377E-4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input_497105!A$2</f>
        <v>497105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IFERROR(VLOOKUP(B299,input_497105!L:R,7,FALSE),VLOOKUP(tables_497105!C299,input_497105!A:H,8,FALSE))</f>
        <v>8410.5263200000009</v>
      </c>
      <c r="P299" s="46">
        <f t="shared" ca="1" si="13"/>
        <v>1.3556618826506656E-4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input_497105!A$2</f>
        <v>497105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IFERROR(VLOOKUP(B300,input_497105!L:R,7,FALSE),VLOOKUP(tables_497105!C300,input_497105!A:H,8,FALSE))</f>
        <v>8410.5263200000009</v>
      </c>
      <c r="P300" s="46">
        <f t="shared" ca="1" si="13"/>
        <v>1.3556618826506656E-4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input_497105!A$2</f>
        <v>497105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IFERROR(VLOOKUP(B301,input_497105!L:R,7,FALSE),VLOOKUP(tables_497105!C301,input_497105!A:H,8,FALSE))</f>
        <v>8410.5263200000009</v>
      </c>
      <c r="P301" s="46">
        <f t="shared" ca="1" si="13"/>
        <v>1.3556618826506656E-4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input_497105!A$2</f>
        <v>497105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IFERROR(VLOOKUP(B302,input_497105!L:R,7,FALSE),VLOOKUP(tables_497105!C302,input_497105!A:H,8,FALSE))</f>
        <v>8410.5263200000009</v>
      </c>
      <c r="P302" s="46">
        <f t="shared" ca="1" si="13"/>
        <v>1.3556618826506656E-4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input_497105!A$2</f>
        <v>497105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IFERROR(VLOOKUP(B303,input_497105!L:R,7,FALSE),VLOOKUP(tables_497105!C303,input_497105!A:H,8,FALSE))</f>
        <v>448433.33332999999</v>
      </c>
      <c r="P303" s="46">
        <f t="shared" ca="1" si="13"/>
        <v>7.2281323876228149E-3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input_497105!A$2</f>
        <v>497105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IFERROR(VLOOKUP(B304,input_497105!L:R,7,FALSE),VLOOKUP(tables_497105!C304,input_497105!A:H,8,FALSE))</f>
        <v>10175</v>
      </c>
      <c r="P304" s="46">
        <f t="shared" ca="1" si="13"/>
        <v>1.6400709219789377E-4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input_497105!A$2</f>
        <v>497105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IFERROR(VLOOKUP(B305,input_497105!L:R,7,FALSE),VLOOKUP(tables_497105!C305,input_497105!A:H,8,FALSE))</f>
        <v>8410.5263200000009</v>
      </c>
      <c r="P305" s="46">
        <f t="shared" ca="1" si="13"/>
        <v>1.3556618826506656E-4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input_497105!A$2</f>
        <v>497105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IFERROR(VLOOKUP(B306,input_497105!L:R,7,FALSE),VLOOKUP(tables_497105!C306,input_497105!A:H,8,FALSE))</f>
        <v>448433.33332999999</v>
      </c>
      <c r="P306" s="46">
        <f t="shared" ca="1" si="13"/>
        <v>7.2281323876228149E-3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input_497105!A$2</f>
        <v>497105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IFERROR(VLOOKUP(B307,input_497105!L:R,7,FALSE),VLOOKUP(tables_497105!C307,input_497105!A:H,8,FALSE))</f>
        <v>10175</v>
      </c>
      <c r="P307" s="46">
        <f t="shared" ca="1" si="13"/>
        <v>1.6400709219789377E-4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input_497105!A$2</f>
        <v>497105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IFERROR(VLOOKUP(B308,input_497105!L:R,7,FALSE),VLOOKUP(tables_497105!C308,input_497105!A:H,8,FALSE))</f>
        <v>8410.5263200000009</v>
      </c>
      <c r="P308" s="46">
        <f t="shared" ca="1" si="13"/>
        <v>1.3556618826506656E-4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input_497105!A$2</f>
        <v>497105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IFERROR(VLOOKUP(B309,input_497105!L:R,7,FALSE),VLOOKUP(tables_497105!C309,input_497105!A:H,8,FALSE))</f>
        <v>8410.5263200000009</v>
      </c>
      <c r="P309" s="46">
        <f t="shared" ca="1" si="13"/>
        <v>1.3556618826506656E-4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input_497105!A$2</f>
        <v>497105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IFERROR(VLOOKUP(B310,input_497105!L:R,7,FALSE),VLOOKUP(tables_497105!C310,input_497105!A:H,8,FALSE))</f>
        <v>8410.5263200000009</v>
      </c>
      <c r="P310" s="46">
        <f t="shared" ca="1" si="13"/>
        <v>1.3556618826506656E-4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input_497105!A$2</f>
        <v>497105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IFERROR(VLOOKUP(B311,input_497105!L:R,7,FALSE),VLOOKUP(tables_497105!C311,input_497105!A:H,8,FALSE))</f>
        <v>448433.33332999999</v>
      </c>
      <c r="P311" s="46">
        <f t="shared" ca="1" si="13"/>
        <v>7.2281323876228149E-3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input_497105!A$2</f>
        <v>497105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IFERROR(VLOOKUP(B312,input_497105!L:R,7,FALSE),VLOOKUP(tables_497105!C312,input_497105!A:H,8,FALSE))</f>
        <v>10175</v>
      </c>
      <c r="P312" s="46">
        <f t="shared" ca="1" si="13"/>
        <v>1.6400709219789377E-4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input_497105!A$2</f>
        <v>497105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IFERROR(VLOOKUP(B313,input_497105!L:R,7,FALSE),VLOOKUP(tables_497105!C313,input_497105!A:H,8,FALSE))</f>
        <v>8410.5263200000009</v>
      </c>
      <c r="P313" s="46">
        <f t="shared" ca="1" si="13"/>
        <v>1.3556618826506656E-4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input_497105!A$2</f>
        <v>497105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IFERROR(VLOOKUP(B314,input_497105!L:R,7,FALSE),VLOOKUP(tables_497105!C314,input_497105!A:H,8,FALSE))</f>
        <v>8410.5263200000009</v>
      </c>
      <c r="P314" s="46">
        <f t="shared" ca="1" si="13"/>
        <v>1.3556618826506656E-4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input_497105!A$2</f>
        <v>497105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IFERROR(VLOOKUP(B315,input_497105!L:R,7,FALSE),VLOOKUP(tables_497105!C315,input_497105!A:H,8,FALSE))</f>
        <v>8410.5263200000009</v>
      </c>
      <c r="P315" s="46">
        <f t="shared" ca="1" si="13"/>
        <v>1.3556618826506656E-4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input_497105!A$2</f>
        <v>497105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IFERROR(VLOOKUP(B316,input_497105!L:R,7,FALSE),VLOOKUP(tables_497105!C316,input_497105!A:H,8,FALSE))</f>
        <v>8410.5263200000009</v>
      </c>
      <c r="P316" s="46">
        <f t="shared" ca="1" si="13"/>
        <v>1.3556618826506656E-4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input_497105!A$2</f>
        <v>497105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IFERROR(VLOOKUP(B317,input_497105!L:R,7,FALSE),VLOOKUP(tables_497105!C317,input_497105!A:H,8,FALSE))</f>
        <v>8410.5263200000009</v>
      </c>
      <c r="P317" s="46">
        <f t="shared" ca="1" si="13"/>
        <v>1.3556618826506656E-4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input_497105!A$2</f>
        <v>497105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IFERROR(VLOOKUP(B318,input_497105!L:R,7,FALSE),VLOOKUP(tables_497105!C318,input_497105!A:H,8,FALSE))</f>
        <v>448433.33332999999</v>
      </c>
      <c r="P318" s="46">
        <f t="shared" ca="1" si="13"/>
        <v>7.2281323876228149E-3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input_497105!A$2</f>
        <v>497105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IFERROR(VLOOKUP(B319,input_497105!L:R,7,FALSE),VLOOKUP(tables_497105!C319,input_497105!A:H,8,FALSE))</f>
        <v>10175</v>
      </c>
      <c r="P319" s="46">
        <f t="shared" ca="1" si="13"/>
        <v>1.6400709219789377E-4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input_497105!A$2</f>
        <v>497105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IFERROR(VLOOKUP(B320,input_497105!L:R,7,FALSE),VLOOKUP(tables_497105!C320,input_497105!A:H,8,FALSE))</f>
        <v>8410.5263200000009</v>
      </c>
      <c r="P320" s="46">
        <f t="shared" ca="1" si="13"/>
        <v>1.3556618826506656E-4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input_497105!A$2</f>
        <v>497105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IFERROR(VLOOKUP(B321,input_497105!L:R,7,FALSE),VLOOKUP(tables_497105!C321,input_497105!A:H,8,FALSE))</f>
        <v>8410.5263200000009</v>
      </c>
      <c r="P321" s="46">
        <f t="shared" ca="1" si="13"/>
        <v>1.3556618826506656E-4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input_497105!A$2</f>
        <v>497105</v>
      </c>
      <c r="B322" s="5">
        <v>1139</v>
      </c>
      <c r="C322" s="7" t="str">
        <f t="shared" ref="C322:C345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IFERROR(VLOOKUP(B322,input_497105!L:R,7,FALSE),VLOOKUP(tables_497105!C322,input_497105!A:H,8,FALSE))</f>
        <v>8410.5263200000009</v>
      </c>
      <c r="P322" s="46">
        <f t="shared" ref="P322:P352" ca="1" si="16">O322/SUM(O:O)</f>
        <v>1.3556618826506656E-4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input_497105!A$2</f>
        <v>497105</v>
      </c>
      <c r="B323" s="5">
        <v>1141</v>
      </c>
      <c r="C323" s="7" t="str">
        <f t="shared" si="15"/>
        <v>PremiumSS5R5only</v>
      </c>
      <c r="D323" s="7" t="str">
        <f t="shared" ref="D323:D345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IFERROR(VLOOKUP(B323,input_497105!L:R,7,FALSE),VLOOKUP(tables_497105!C323,input_497105!A:H,8,FALSE))</f>
        <v>8410.5263200000009</v>
      </c>
      <c r="P323" s="46">
        <f t="shared" ca="1" si="16"/>
        <v>1.3556618826506656E-4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input_497105!A$2</f>
        <v>497105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IFERROR(VLOOKUP(B324,input_497105!L:R,7,FALSE),VLOOKUP(tables_497105!C324,input_497105!A:H,8,FALSE))</f>
        <v>448433.33332999999</v>
      </c>
      <c r="P324" s="46">
        <f t="shared" ca="1" si="16"/>
        <v>7.2281323876228149E-3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input_497105!A$2</f>
        <v>497105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IFERROR(VLOOKUP(B325,input_497105!L:R,7,FALSE),VLOOKUP(tables_497105!C325,input_497105!A:H,8,FALSE))</f>
        <v>10175</v>
      </c>
      <c r="P325" s="46">
        <f t="shared" ca="1" si="16"/>
        <v>1.6400709219789377E-4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input_497105!A$2</f>
        <v>497105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IFERROR(VLOOKUP(B326,input_497105!L:R,7,FALSE),VLOOKUP(tables_497105!C326,input_497105!A:H,8,FALSE))</f>
        <v>448433.33332999999</v>
      </c>
      <c r="P326" s="46">
        <f t="shared" ca="1" si="16"/>
        <v>7.2281323876228149E-3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input_497105!A$2</f>
        <v>497105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IFERROR(VLOOKUP(B327,input_497105!L:R,7,FALSE),VLOOKUP(tables_497105!C327,input_497105!A:H,8,FALSE))</f>
        <v>10175</v>
      </c>
      <c r="P327" s="46">
        <f t="shared" ca="1" si="16"/>
        <v>1.6400709219789377E-4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input_497105!A$2</f>
        <v>497105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IFERROR(VLOOKUP(B328,input_497105!L:R,7,FALSE),VLOOKUP(tables_497105!C328,input_497105!A:H,8,FALSE))</f>
        <v>8410.5263200000009</v>
      </c>
      <c r="P328" s="46">
        <f t="shared" ca="1" si="16"/>
        <v>1.3556618826506656E-4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input_497105!A$2</f>
        <v>497105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IFERROR(VLOOKUP(B329,input_497105!L:R,7,FALSE),VLOOKUP(tables_497105!C329,input_497105!A:H,8,FALSE))</f>
        <v>8410.5263200000009</v>
      </c>
      <c r="P329" s="46">
        <f t="shared" ca="1" si="16"/>
        <v>1.3556618826506656E-4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input_497105!A$2</f>
        <v>497105</v>
      </c>
      <c r="B330" s="2">
        <v>1157</v>
      </c>
      <c r="C330" s="7" t="str">
        <f t="shared" si="15"/>
        <v>PremiumSS5R5only</v>
      </c>
      <c r="D330" s="94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IFERROR(VLOOKUP(B330,input_497105!L:R,7,FALSE),VLOOKUP(tables_497105!C330,input_497105!A:H,8,FALSE))</f>
        <v>8410.5263200000009</v>
      </c>
      <c r="P330" s="46">
        <f t="shared" ca="1" si="16"/>
        <v>1.3556618826506656E-4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input_497105!A$2</f>
        <v>497105</v>
      </c>
      <c r="B331" s="60">
        <v>1214</v>
      </c>
      <c r="C331" s="7" t="str">
        <f t="shared" si="15"/>
        <v>PremiumSS5R5only</v>
      </c>
      <c r="D331" s="94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IFERROR(VLOOKUP(B331,input_497105!L:R,7,FALSE),VLOOKUP(tables_497105!C331,input_497105!A:H,8,FALSE))</f>
        <v>8410.5263200000009</v>
      </c>
      <c r="P331" s="46">
        <f t="shared" ca="1" si="16"/>
        <v>1.3556618826506656E-4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input_497105!A$2</f>
        <v>497105</v>
      </c>
      <c r="B332" s="60">
        <v>1212</v>
      </c>
      <c r="C332" s="7" t="str">
        <f t="shared" si="15"/>
        <v>PremiumSS5R5only</v>
      </c>
      <c r="D332" s="94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IFERROR(VLOOKUP(B332,input_497105!L:R,7,FALSE),VLOOKUP(tables_497105!C332,input_497105!A:H,8,FALSE))</f>
        <v>8410.5263200000009</v>
      </c>
      <c r="P332" s="46">
        <f t="shared" ca="1" si="16"/>
        <v>1.3556618826506656E-4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input_497105!A$2</f>
        <v>497105</v>
      </c>
      <c r="B333" s="60">
        <v>1208</v>
      </c>
      <c r="C333" s="7" t="str">
        <f t="shared" si="15"/>
        <v>PremiumSS5R5only</v>
      </c>
      <c r="D333" s="94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IFERROR(VLOOKUP(B333,input_497105!L:R,7,FALSE),VLOOKUP(tables_497105!C333,input_497105!A:H,8,FALSE))</f>
        <v>8410.5263200000009</v>
      </c>
      <c r="P333" s="46">
        <f t="shared" ca="1" si="16"/>
        <v>1.3556618826506656E-4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input_497105!A$2</f>
        <v>497105</v>
      </c>
      <c r="B334" s="90">
        <v>1210</v>
      </c>
      <c r="C334" s="7" t="str">
        <f t="shared" si="15"/>
        <v>Premium4R3less</v>
      </c>
      <c r="D334" s="94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IFERROR(VLOOKUP(B334,input_497105!L:R,7,FALSE),VLOOKUP(tables_497105!C334,input_497105!A:H,8,FALSE))</f>
        <v>448433.33332999999</v>
      </c>
      <c r="P334" s="46">
        <f t="shared" ca="1" si="16"/>
        <v>7.2281323876228149E-3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input_497105!A$2</f>
        <v>497105</v>
      </c>
      <c r="B335" s="60">
        <v>1211</v>
      </c>
      <c r="C335" s="7" t="str">
        <f t="shared" si="15"/>
        <v>Premium5R3less</v>
      </c>
      <c r="D335" s="94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IFERROR(VLOOKUP(B335,input_497105!L:R,7,FALSE),VLOOKUP(tables_497105!C335,input_497105!A:H,8,FALSE))</f>
        <v>10175</v>
      </c>
      <c r="P335" s="46">
        <f t="shared" ca="1" si="16"/>
        <v>1.6400709219789377E-4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input_497105!A$2</f>
        <v>497105</v>
      </c>
      <c r="B336" s="2">
        <v>1224</v>
      </c>
      <c r="C336" s="7" t="str">
        <f t="shared" si="15"/>
        <v>Premium4R3less</v>
      </c>
      <c r="D336" s="94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IFERROR(VLOOKUP(B336,input_497105!L:R,7,FALSE),VLOOKUP(tables_497105!C336,input_497105!A:H,8,FALSE))</f>
        <v>448433.33332999999</v>
      </c>
      <c r="P336" s="46">
        <f t="shared" ca="1" si="16"/>
        <v>7.2281323876228149E-3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input_497105!A$2</f>
        <v>497105</v>
      </c>
      <c r="B337" s="2">
        <v>1225</v>
      </c>
      <c r="C337" s="7" t="str">
        <f t="shared" si="15"/>
        <v>Premium5R3less</v>
      </c>
      <c r="D337" s="94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IFERROR(VLOOKUP(B337,input_497105!L:R,7,FALSE),VLOOKUP(tables_497105!C337,input_497105!A:H,8,FALSE))</f>
        <v>10175</v>
      </c>
      <c r="P337" s="46">
        <f t="shared" ca="1" si="16"/>
        <v>1.6400709219789377E-4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input_497105!A$2</f>
        <v>497105</v>
      </c>
      <c r="B338" s="2">
        <v>1226</v>
      </c>
      <c r="C338" s="7" t="str">
        <f t="shared" si="15"/>
        <v>PremiumSS5R5only</v>
      </c>
      <c r="D338" s="94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IFERROR(VLOOKUP(B338,input_497105!L:R,7,FALSE),VLOOKUP(tables_497105!C338,input_497105!A:H,8,FALSE))</f>
        <v>8410.5263200000009</v>
      </c>
      <c r="P338" s="46">
        <f t="shared" ca="1" si="16"/>
        <v>1.3556618826506656E-4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input_497105!A$2</f>
        <v>497105</v>
      </c>
      <c r="B339" s="2">
        <v>1228</v>
      </c>
      <c r="C339" s="7" t="str">
        <f t="shared" si="15"/>
        <v>PremiumSS5R5only</v>
      </c>
      <c r="D339" s="94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IFERROR(VLOOKUP(B339,input_497105!L:R,7,FALSE),VLOOKUP(tables_497105!C339,input_497105!A:H,8,FALSE))</f>
        <v>8410.5263200000009</v>
      </c>
      <c r="P339" s="46">
        <f t="shared" ca="1" si="16"/>
        <v>1.3556618826506656E-4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input_497105!A$2</f>
        <v>497105</v>
      </c>
      <c r="B340" s="2">
        <v>1230</v>
      </c>
      <c r="C340" s="7" t="str">
        <f t="shared" si="15"/>
        <v>PremiumSS5R5only</v>
      </c>
      <c r="D340" s="94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IFERROR(VLOOKUP(B340,input_497105!L:R,7,FALSE),VLOOKUP(tables_497105!C340,input_497105!A:H,8,FALSE))</f>
        <v>8410.5263200000009</v>
      </c>
      <c r="P340" s="46">
        <f t="shared" ca="1" si="16"/>
        <v>1.3556618826506656E-4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input_497105!A$2</f>
        <v>497105</v>
      </c>
      <c r="B341" s="1">
        <v>1250</v>
      </c>
      <c r="C341" s="7" t="str">
        <f t="shared" si="15"/>
        <v>PremiumSS5R5only</v>
      </c>
      <c r="D341" s="94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IFERROR(VLOOKUP(B341,input_497105!L:R,7,FALSE),VLOOKUP(tables_497105!C341,input_497105!A:H,8,FALSE))</f>
        <v>8410.5263200000009</v>
      </c>
      <c r="P341" s="46">
        <f t="shared" ca="1" si="16"/>
        <v>1.3556618826506656E-4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input_497105!A$2</f>
        <v>497105</v>
      </c>
      <c r="B342" s="1">
        <v>1248</v>
      </c>
      <c r="C342" s="7" t="str">
        <f t="shared" si="15"/>
        <v>Premium4R3less</v>
      </c>
      <c r="D342" s="94" t="str">
        <f t="shared" si="17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IFERROR(VLOOKUP(B342,input_497105!L:R,7,FALSE),VLOOKUP(tables_497105!C342,input_497105!A:H,8,FALSE))</f>
        <v>448433.33332999999</v>
      </c>
      <c r="P342" s="46">
        <f t="shared" ca="1" si="16"/>
        <v>7.2281323876228149E-3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input_497105!A$2</f>
        <v>497105</v>
      </c>
      <c r="B343" s="1">
        <v>1249</v>
      </c>
      <c r="C343" s="7" t="str">
        <f t="shared" si="15"/>
        <v>Premium5R3less</v>
      </c>
      <c r="D343" s="94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IFERROR(VLOOKUP(B343,input_497105!L:R,7,FALSE),VLOOKUP(tables_497105!C343,input_497105!A:H,8,FALSE))</f>
        <v>10175</v>
      </c>
      <c r="P343" s="46">
        <f t="shared" ca="1" si="16"/>
        <v>1.6400709219789377E-4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input_497105!A$2</f>
        <v>497105</v>
      </c>
      <c r="B344" s="1">
        <v>1246</v>
      </c>
      <c r="C344" s="7" t="str">
        <f t="shared" si="15"/>
        <v>PremiumSS5R5only</v>
      </c>
      <c r="D344" s="94" t="str">
        <f t="shared" si="17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IFERROR(VLOOKUP(B344,input_497105!L:R,7,FALSE),VLOOKUP(tables_497105!C344,input_497105!A:H,8,FALSE))</f>
        <v>8410.5263200000009</v>
      </c>
      <c r="P344" s="46">
        <f t="shared" ca="1" si="16"/>
        <v>1.3556618826506656E-4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input_497105!A$2</f>
        <v>497105</v>
      </c>
      <c r="B345" s="1">
        <v>1244</v>
      </c>
      <c r="C345" s="7" t="str">
        <f t="shared" si="15"/>
        <v>PremiumSS5R5only</v>
      </c>
      <c r="D345" s="94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IFERROR(VLOOKUP(B345,input_497105!L:R,7,FALSE),VLOOKUP(tables_497105!C345,input_497105!A:H,8,FALSE))</f>
        <v>8410.5263200000009</v>
      </c>
      <c r="P345" s="46">
        <f t="shared" ca="1" si="16"/>
        <v>1.3556618826506656E-4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input_497105!A$2</f>
        <v>497105</v>
      </c>
      <c r="B346" s="60">
        <v>716</v>
      </c>
      <c r="C346" s="7" t="str">
        <f t="shared" ref="C346:C352" si="18">D346&amp;J346&amp;E346&amp;F346&amp;G346</f>
        <v>PremiumSS5R5only</v>
      </c>
      <c r="D346" s="94" t="str">
        <f t="shared" ref="D346:D352" si="1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平和島静雄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dr</v>
      </c>
      <c r="M346" s="7" t="str">
        <f>VLOOKUP(B346,[1]characters!$A:$M,13,FALSE)</f>
        <v>human</v>
      </c>
      <c r="N346" s="7" t="str">
        <f>VLOOKUP(B346,[1]characters!$A:$G,7,FALSE)</f>
        <v>男性</v>
      </c>
      <c r="O346" s="45">
        <f>IFERROR(VLOOKUP(B346,input_497105!L:R,7,FALSE),VLOOKUP(tables_497105!C346,input_497105!A:H,8,FALSE))</f>
        <v>930600</v>
      </c>
      <c r="P346" s="46">
        <f t="shared" ca="1" si="16"/>
        <v>1.4999999999937095E-2</v>
      </c>
      <c r="Q346" s="224">
        <v>80</v>
      </c>
      <c r="R346" s="30">
        <v>0</v>
      </c>
      <c r="S346" s="30">
        <v>0</v>
      </c>
      <c r="T346" s="30">
        <v>0</v>
      </c>
      <c r="U346" s="30">
        <v>0</v>
      </c>
      <c r="V346" s="224">
        <v>5</v>
      </c>
    </row>
    <row r="347" spans="1:22" ht="21" customHeight="1" x14ac:dyDescent="0.15">
      <c r="A347" s="2" t="str">
        <f ca="1">input_497105!A$2</f>
        <v>497105</v>
      </c>
      <c r="B347" s="60">
        <v>702</v>
      </c>
      <c r="C347" s="7" t="str">
        <f t="shared" si="18"/>
        <v>Premium4R3less</v>
      </c>
      <c r="D347" s="94" t="str">
        <f t="shared" si="19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サイモン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red</v>
      </c>
      <c r="L347" s="7" t="str">
        <f>VLOOKUP(B347,[1]characters!$A:$K,11,FALSE)</f>
        <v>dr</v>
      </c>
      <c r="M347" s="7" t="str">
        <f>VLOOKUP(B347,[1]characters!$A:$M,13,FALSE)</f>
        <v>human</v>
      </c>
      <c r="N347" s="7" t="str">
        <f>VLOOKUP(B347,[1]characters!$A:$G,7,FALSE)</f>
        <v>男性</v>
      </c>
      <c r="O347" s="45">
        <f>IFERROR(VLOOKUP(B347,input_497105!L:R,7,FALSE),VLOOKUP(tables_497105!C347,input_497105!A:H,8,FALSE))</f>
        <v>2481600</v>
      </c>
      <c r="P347" s="46">
        <f t="shared" ca="1" si="16"/>
        <v>3.9999999999832253E-2</v>
      </c>
      <c r="Q347" s="224">
        <v>60</v>
      </c>
      <c r="R347" s="30">
        <v>0</v>
      </c>
      <c r="S347" s="30">
        <v>0</v>
      </c>
      <c r="T347" s="30">
        <v>0</v>
      </c>
      <c r="U347" s="30">
        <v>0</v>
      </c>
      <c r="V347" s="224">
        <v>5</v>
      </c>
    </row>
    <row r="348" spans="1:22" ht="21" customHeight="1" x14ac:dyDescent="0.15">
      <c r="A348" s="2" t="str">
        <f ca="1">input_497105!A$2</f>
        <v>497105</v>
      </c>
      <c r="B348" s="60">
        <v>703</v>
      </c>
      <c r="C348" s="7" t="str">
        <f t="shared" si="18"/>
        <v>Premium5R3less</v>
      </c>
      <c r="D348" s="94" t="str">
        <f t="shared" si="19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豪腕静穏な寿司屋　サイモン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red</v>
      </c>
      <c r="L348" s="7" t="str">
        <f>VLOOKUP(B348,[1]characters!$A:$K,11,FALSE)</f>
        <v>dr</v>
      </c>
      <c r="M348" s="7" t="str">
        <f>VLOOKUP(B348,[1]characters!$A:$M,13,FALSE)</f>
        <v>human</v>
      </c>
      <c r="N348" s="7" t="str">
        <f>VLOOKUP(B348,[1]characters!$A:$G,7,FALSE)</f>
        <v>男性</v>
      </c>
      <c r="O348" s="45">
        <f>IFERROR(VLOOKUP(B348,input_497105!L:R,7,FALSE),VLOOKUP(tables_497105!C348,input_497105!A:H,8,FALSE))</f>
        <v>620400</v>
      </c>
      <c r="P348" s="46">
        <f t="shared" ca="1" si="16"/>
        <v>9.9999999999580633E-3</v>
      </c>
      <c r="Q348" s="224">
        <v>80</v>
      </c>
      <c r="R348" s="30">
        <v>0</v>
      </c>
      <c r="S348" s="30">
        <v>0</v>
      </c>
      <c r="T348" s="30">
        <v>0</v>
      </c>
      <c r="U348" s="30">
        <v>0</v>
      </c>
      <c r="V348" s="224">
        <v>5</v>
      </c>
    </row>
    <row r="349" spans="1:22" ht="21" customHeight="1" x14ac:dyDescent="0.15">
      <c r="A349" s="2" t="str">
        <f ca="1">input_497105!A$2</f>
        <v>497105</v>
      </c>
      <c r="B349" s="90">
        <v>710</v>
      </c>
      <c r="C349" s="7" t="str">
        <f t="shared" si="18"/>
        <v>Premium3R3less</v>
      </c>
      <c r="D349" s="94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田中トム</v>
      </c>
      <c r="I349" s="7" t="str">
        <f>VLOOKUP(B349,[1]characters!$A:$J,10,FALSE)</f>
        <v>PremiumN</v>
      </c>
      <c r="J349" s="7">
        <f>VLOOKUP(B349,[1]characters!$A:$I,9,FALSE)</f>
        <v>3</v>
      </c>
      <c r="K349" s="7" t="str">
        <f>VLOOKUP(B349,[1]characters!$A:$H,8,FALSE)</f>
        <v>green</v>
      </c>
      <c r="L349" s="7" t="str">
        <f>VLOOKUP(B349,[1]characters!$A:$K,11,FALSE)</f>
        <v>dr</v>
      </c>
      <c r="M349" s="7" t="str">
        <f>VLOOKUP(B349,[1]characters!$A:$M,13,FALSE)</f>
        <v>human</v>
      </c>
      <c r="N349" s="7" t="str">
        <f>VLOOKUP(B349,[1]characters!$A:$G,7,FALSE)</f>
        <v>男性</v>
      </c>
      <c r="O349" s="45">
        <f>IFERROR(VLOOKUP(B349,input_497105!L:R,7,FALSE),VLOOKUP(tables_497105!C349,input_497105!A:H,8,FALSE))</f>
        <v>0</v>
      </c>
      <c r="P349" s="46">
        <f t="shared" ca="1" si="16"/>
        <v>0</v>
      </c>
      <c r="Q349" s="224">
        <v>40</v>
      </c>
      <c r="R349" s="30">
        <v>0</v>
      </c>
      <c r="S349" s="30">
        <v>0</v>
      </c>
      <c r="T349" s="30">
        <v>0</v>
      </c>
      <c r="U349" s="30">
        <v>0</v>
      </c>
      <c r="V349" s="224">
        <v>5</v>
      </c>
    </row>
    <row r="350" spans="1:22" ht="21" customHeight="1" x14ac:dyDescent="0.15">
      <c r="A350" s="2" t="str">
        <f ca="1">input_497105!A$2</f>
        <v>497105</v>
      </c>
      <c r="B350" s="60">
        <v>711</v>
      </c>
      <c r="C350" s="7" t="str">
        <f t="shared" si="18"/>
        <v>Premium4R3less</v>
      </c>
      <c r="D350" s="94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平衡調和の取り立て屋　田中トム</v>
      </c>
      <c r="I350" s="7" t="str">
        <f>VLOOKUP(B350,[1]characters!$A:$J,10,FALSE)</f>
        <v>PremiumN</v>
      </c>
      <c r="J350" s="7">
        <f>VLOOKUP(B350,[1]characters!$A:$I,9,FALSE)</f>
        <v>4</v>
      </c>
      <c r="K350" s="7" t="str">
        <f>VLOOKUP(B350,[1]characters!$A:$H,8,FALSE)</f>
        <v>green</v>
      </c>
      <c r="L350" s="7" t="str">
        <f>VLOOKUP(B350,[1]characters!$A:$K,11,FALSE)</f>
        <v>dr</v>
      </c>
      <c r="M350" s="7" t="str">
        <f>VLOOKUP(B350,[1]characters!$A:$M,13,FALSE)</f>
        <v>human</v>
      </c>
      <c r="N350" s="7" t="str">
        <f>VLOOKUP(B350,[1]characters!$A:$G,7,FALSE)</f>
        <v>男性</v>
      </c>
      <c r="O350" s="45">
        <f>IFERROR(VLOOKUP(B350,input_497105!L:R,7,FALSE),VLOOKUP(tables_497105!C350,input_497105!A:H,8,FALSE))</f>
        <v>6204000</v>
      </c>
      <c r="P350" s="46">
        <f t="shared" ca="1" si="16"/>
        <v>9.9999999999580633E-2</v>
      </c>
      <c r="Q350" s="224">
        <v>60</v>
      </c>
      <c r="R350" s="30">
        <v>0</v>
      </c>
      <c r="S350" s="30">
        <v>0</v>
      </c>
      <c r="T350" s="30">
        <v>0</v>
      </c>
      <c r="U350" s="30">
        <v>0</v>
      </c>
      <c r="V350" s="224">
        <v>5</v>
      </c>
    </row>
    <row r="351" spans="1:22" ht="21" customHeight="1" x14ac:dyDescent="0.15">
      <c r="A351" s="2" t="str">
        <f ca="1">input_497105!A$2</f>
        <v>497105</v>
      </c>
      <c r="B351" s="60">
        <v>714</v>
      </c>
      <c r="C351" s="7" t="str">
        <f t="shared" si="18"/>
        <v>Premium3R3less</v>
      </c>
      <c r="D351" s="94" t="str">
        <f t="shared" si="19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粟楠茜</v>
      </c>
      <c r="I351" s="7" t="str">
        <f>VLOOKUP(B351,[1]characters!$A:$J,10,FALSE)</f>
        <v>PremiumN</v>
      </c>
      <c r="J351" s="7">
        <f>VLOOKUP(B351,[1]characters!$A:$I,9,FALSE)</f>
        <v>3</v>
      </c>
      <c r="K351" s="7" t="str">
        <f>VLOOKUP(B351,[1]characters!$A:$H,8,FALSE)</f>
        <v>blue</v>
      </c>
      <c r="L351" s="7" t="str">
        <f>VLOOKUP(B351,[1]characters!$A:$K,11,FALSE)</f>
        <v>dr</v>
      </c>
      <c r="M351" s="7" t="str">
        <f>VLOOKUP(B351,[1]characters!$A:$M,13,FALSE)</f>
        <v>human</v>
      </c>
      <c r="N351" s="7" t="str">
        <f>VLOOKUP(B351,[1]characters!$A:$G,7,FALSE)</f>
        <v>女性</v>
      </c>
      <c r="O351" s="45">
        <f>IFERROR(VLOOKUP(B351,input_497105!L:R,7,FALSE),VLOOKUP(tables_497105!C351,input_497105!A:H,8,FALSE))</f>
        <v>0</v>
      </c>
      <c r="P351" s="46">
        <f t="shared" ca="1" si="16"/>
        <v>0</v>
      </c>
      <c r="Q351" s="224">
        <v>40</v>
      </c>
      <c r="R351" s="30">
        <v>0</v>
      </c>
      <c r="S351" s="30">
        <v>0</v>
      </c>
      <c r="T351" s="30">
        <v>0</v>
      </c>
      <c r="U351" s="30">
        <v>0</v>
      </c>
      <c r="V351" s="224">
        <v>5</v>
      </c>
    </row>
    <row r="352" spans="1:22" ht="21" customHeight="1" x14ac:dyDescent="0.15">
      <c r="A352" s="2" t="str">
        <f ca="1">input_497105!A$2</f>
        <v>497105</v>
      </c>
      <c r="B352" s="88">
        <v>715</v>
      </c>
      <c r="C352" s="7" t="str">
        <f t="shared" si="18"/>
        <v>Premium4R3less</v>
      </c>
      <c r="D352" s="94" t="str">
        <f t="shared" si="1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小さな殺し屋　粟楠茜</v>
      </c>
      <c r="I352" s="7" t="str">
        <f>VLOOKUP(B352,[1]characters!$A:$J,10,FALSE)</f>
        <v>PremiumN</v>
      </c>
      <c r="J352" s="7">
        <f>VLOOKUP(B352,[1]characters!$A:$I,9,FALSE)</f>
        <v>4</v>
      </c>
      <c r="K352" s="7" t="str">
        <f>VLOOKUP(B352,[1]characters!$A:$H,8,FALSE)</f>
        <v>blue</v>
      </c>
      <c r="L352" s="7" t="str">
        <f>VLOOKUP(B352,[1]characters!$A:$K,11,FALSE)</f>
        <v>dr</v>
      </c>
      <c r="M352" s="7" t="str">
        <f>VLOOKUP(B352,[1]characters!$A:$M,13,FALSE)</f>
        <v>human</v>
      </c>
      <c r="N352" s="7" t="str">
        <f>VLOOKUP(B352,[1]characters!$A:$G,7,FALSE)</f>
        <v>女性</v>
      </c>
      <c r="O352" s="45">
        <f>IFERROR(VLOOKUP(B352,input_497105!L:R,7,FALSE),VLOOKUP(tables_497105!C352,input_497105!A:H,8,FALSE))</f>
        <v>6204000</v>
      </c>
      <c r="P352" s="46">
        <f t="shared" ca="1" si="16"/>
        <v>9.9999999999580633E-2</v>
      </c>
      <c r="Q352" s="224">
        <v>60</v>
      </c>
      <c r="R352" s="30">
        <v>0</v>
      </c>
      <c r="S352" s="30">
        <v>0</v>
      </c>
      <c r="T352" s="30">
        <v>0</v>
      </c>
      <c r="U352" s="30">
        <v>0</v>
      </c>
      <c r="V352" s="224">
        <v>5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5"/>
  </sheetPr>
  <dimension ref="A1:V49"/>
  <sheetViews>
    <sheetView workbookViewId="0">
      <selection activeCell="N20" sqref="N2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716</v>
      </c>
      <c r="M3" s="37" t="str">
        <f>VLOOKUP(L3,[1]characters!$A:$C,3,FALSE)</f>
        <v>平和島静雄</v>
      </c>
      <c r="N3" s="63">
        <v>2.5000000000000001E-2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VLOOKUP(L3,tables_497100!B:C,2,FALSE)</f>
        <v>PremiumSS5R5only</v>
      </c>
      <c r="R3" s="62">
        <f t="shared" ref="R3:R20" si="1">N3*A$36</f>
        <v>1551000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702</v>
      </c>
      <c r="M4" s="37" t="str">
        <f>VLOOKUP(L4,[1]characters!$A:$C,3,FALSE)</f>
        <v>サイモン</v>
      </c>
      <c r="N4" s="63">
        <v>0.04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VLOOKUP(L4,tables_497100!B:C,2,FALSE)</f>
        <v>Premium4R3less</v>
      </c>
      <c r="R4" s="62">
        <f t="shared" si="1"/>
        <v>2481600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3.7878787878787879E-4</v>
      </c>
      <c r="F5">
        <f>(COUNTIF(tables_497100!C:C,input_497100!A28)+COUNTIF(tables_497100!C:C,input_497100!A29))</f>
        <v>67</v>
      </c>
      <c r="H5" s="84">
        <v>2.5000000000000001E-2</v>
      </c>
      <c r="I5" s="31">
        <v>1</v>
      </c>
      <c r="L5" s="60">
        <v>703</v>
      </c>
      <c r="M5" s="37" t="str">
        <f>VLOOKUP(L5,[1]characters!$A:$C,3,FALSE)</f>
        <v>豪腕静穏な寿司屋　サイモン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VLOOKUP(L5,tables_497100!B:C,2,FALSE)</f>
        <v>Premium5R3less</v>
      </c>
      <c r="R5" s="62">
        <f t="shared" si="1"/>
        <v>620400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7.4468085106382973E-3</v>
      </c>
      <c r="F6">
        <f>(COUNTIF(tables_497100!C:C,input_497100!A25)+COUNTIF(tables_497100!C:C,input_497100!A18)+COUNTIF(tables_497100!C:C,input_497100!A20)+COUNTIF(tables_497100!C:C,input_497100!A22))</f>
        <v>97</v>
      </c>
      <c r="H6" s="89">
        <v>0.25</v>
      </c>
      <c r="I6" s="31">
        <v>3</v>
      </c>
      <c r="L6" s="90">
        <v>710</v>
      </c>
      <c r="M6" s="37" t="str">
        <f>VLOOKUP(L6,[1]characters!$A:$C,3,FALSE)</f>
        <v>田中トム</v>
      </c>
      <c r="N6" s="63">
        <v>0</v>
      </c>
      <c r="O6" s="37">
        <f>VLOOKUP(L6,[1]characters!$A:$I,9,FALSE)</f>
        <v>3</v>
      </c>
      <c r="P6" s="37" t="str">
        <f>VLOOKUP(L6,[1]characters!$A:$J,10,FALSE)</f>
        <v>PremiumN</v>
      </c>
      <c r="Q6" s="37" t="str">
        <f>VLOOKUP(L6,tables_497100!B:C,2,FALSE)</f>
        <v>Premium3R3less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711</v>
      </c>
      <c r="M7" s="37" t="str">
        <f>VLOOKUP(L7,[1]characters!$A:$C,3,FALSE)</f>
        <v>平衡調和の取り立て屋　田中トム</v>
      </c>
      <c r="N7" s="63">
        <v>0.1</v>
      </c>
      <c r="O7" s="37">
        <f>VLOOKUP(L7,[1]characters!$A:$I,9,FALSE)</f>
        <v>4</v>
      </c>
      <c r="P7" s="37" t="str">
        <f>VLOOKUP(L7,[1]characters!$A:$J,10,FALSE)</f>
        <v>PremiumN</v>
      </c>
      <c r="Q7" s="37" t="str">
        <f>VLOOKUP(L7,tables_497100!B:C,2,FALSE)</f>
        <v>Premium4R3less</v>
      </c>
      <c r="R7" s="62">
        <f t="shared" si="1"/>
        <v>6204000</v>
      </c>
      <c r="S7">
        <v>597</v>
      </c>
      <c r="U7" s="33" t="s">
        <v>196</v>
      </c>
      <c r="V7" s="54">
        <f t="shared" si="0"/>
        <v>0.24000000000000002</v>
      </c>
    </row>
    <row r="8" spans="1:22" x14ac:dyDescent="0.15">
      <c r="A8" s="57"/>
      <c r="B8" s="71"/>
      <c r="E8" s="76"/>
      <c r="L8" s="60">
        <v>714</v>
      </c>
      <c r="M8" s="37" t="str">
        <f>VLOOKUP(L8,[1]characters!$A:$C,3,FALSE)</f>
        <v>粟楠茜</v>
      </c>
      <c r="N8" s="63">
        <v>0</v>
      </c>
      <c r="O8" s="37">
        <f>VLOOKUP(L8,[1]characters!$A:$I,9,FALSE)</f>
        <v>3</v>
      </c>
      <c r="P8" s="37" t="str">
        <f>VLOOKUP(L8,[1]characters!$A:$J,10,FALSE)</f>
        <v>PremiumN</v>
      </c>
      <c r="Q8" s="37" t="str">
        <f>VLOOKUP(L8,tables_497100!B:C,2,FALSE)</f>
        <v>Premium3R3less</v>
      </c>
      <c r="R8" s="62">
        <f t="shared" si="1"/>
        <v>0</v>
      </c>
      <c r="S8">
        <v>598</v>
      </c>
      <c r="U8" s="33" t="s">
        <v>197</v>
      </c>
      <c r="V8" s="54">
        <f t="shared" si="0"/>
        <v>0.01</v>
      </c>
    </row>
    <row r="9" spans="1:22" x14ac:dyDescent="0.15">
      <c r="A9" s="35" t="s">
        <v>54</v>
      </c>
      <c r="B9" s="35"/>
      <c r="L9" s="88">
        <v>715</v>
      </c>
      <c r="M9" s="37" t="str">
        <f>VLOOKUP(L9,[1]characters!$A:$C,3,FALSE)</f>
        <v>小さな殺し屋　粟楠茜</v>
      </c>
      <c r="N9" s="63">
        <v>0.1</v>
      </c>
      <c r="O9" s="37">
        <f>VLOOKUP(L9,[1]characters!$A:$I,9,FALSE)</f>
        <v>4</v>
      </c>
      <c r="P9" s="37" t="str">
        <f>VLOOKUP(L9,[1]characters!$A:$J,10,FALSE)</f>
        <v>PremiumN</v>
      </c>
      <c r="Q9" s="37" t="str">
        <f>VLOOKUP(L9,tables_497100!B:C,2,FALSE)</f>
        <v>Premium4R3less</v>
      </c>
      <c r="R9" s="62">
        <f t="shared" si="1"/>
        <v>6204000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2.5000000000000001E-2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COUNTIF(tables_497100!C:C,input_497100!A17)-COUNTIF(Q:Q,A17)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0.19864764668117482</v>
      </c>
      <c r="C18" s="85">
        <f t="shared" si="2"/>
        <v>0</v>
      </c>
      <c r="D18" s="74">
        <f t="shared" si="3"/>
        <v>0.19864764668117482</v>
      </c>
      <c r="E18">
        <f>COUNTIF(tables_497100!C:C,input_497100!A18)-COUNTIF(Q:Q,A18)</f>
        <v>20</v>
      </c>
      <c r="F18" s="43">
        <f>IFERROR(B18/E18,0)</f>
        <v>9.9323823340587408E-3</v>
      </c>
      <c r="G18">
        <f t="shared" si="4"/>
        <v>12324100.000100086</v>
      </c>
      <c r="H18">
        <f t="shared" si="5"/>
        <v>616205.00000999996</v>
      </c>
      <c r="I18">
        <f t="shared" si="6"/>
        <v>9.9999597296118736E-6</v>
      </c>
      <c r="J18">
        <f t="shared" si="7"/>
        <v>100000.40270550297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COUNTIF(tables_497100!C:C,input_497100!A19)-COUNTIF(Q:Q,A19)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E$6*E20*B$6-0.028-G49</f>
        <v>0.32687234042337066</v>
      </c>
      <c r="C20" s="85">
        <f t="shared" si="2"/>
        <v>0</v>
      </c>
      <c r="D20" s="74">
        <f t="shared" si="3"/>
        <v>0.32687234042337066</v>
      </c>
      <c r="E20">
        <f>COUNTIF(tables_497100!C:C,input_497100!A20)-COUNTIF(Q:Q,A20)</f>
        <v>52</v>
      </c>
      <c r="F20" s="43">
        <f t="shared" si="8"/>
        <v>6.286006546603282E-3</v>
      </c>
      <c r="G20">
        <f t="shared" si="4"/>
        <v>20279159.999865916</v>
      </c>
      <c r="H20">
        <f t="shared" si="5"/>
        <v>389983.84615</v>
      </c>
      <c r="I20">
        <f t="shared" si="6"/>
        <v>0.84614999999757856</v>
      </c>
      <c r="J20">
        <f t="shared" si="7"/>
        <v>1.1818235537468083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1.065022566086396E-2</v>
      </c>
      <c r="C21" s="85">
        <f t="shared" si="2"/>
        <v>0</v>
      </c>
      <c r="D21" s="74">
        <f t="shared" si="3"/>
        <v>1.065022566086396E-2</v>
      </c>
      <c r="E21">
        <f>COUNTIF(tables_497100!C:C,input_497100!A21)-COUNTIF(Q:Q,A21)</f>
        <v>52</v>
      </c>
      <c r="F21" s="43">
        <f t="shared" si="8"/>
        <v>2.0481203193969155E-4</v>
      </c>
      <c r="G21">
        <f t="shared" si="4"/>
        <v>660740.00000000012</v>
      </c>
      <c r="H21">
        <f t="shared" si="5"/>
        <v>12706.53846</v>
      </c>
      <c r="I21">
        <f t="shared" si="6"/>
        <v>0.53845999999975902</v>
      </c>
      <c r="J21">
        <f t="shared" si="7"/>
        <v>1.8571481632812976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0.1331063829787234</v>
      </c>
      <c r="C22" s="85">
        <f t="shared" si="2"/>
        <v>0.24000000000000002</v>
      </c>
      <c r="D22" s="74">
        <f t="shared" si="3"/>
        <v>-0.10689361702127662</v>
      </c>
      <c r="E22">
        <f>COUNTIF(tables_497100!C:C,input_497100!A22)-COUNTIF(Q:Q,A22)</f>
        <v>18</v>
      </c>
      <c r="F22" s="43">
        <f t="shared" si="8"/>
        <v>7.3947990543735227E-3</v>
      </c>
      <c r="G22">
        <f t="shared" si="4"/>
        <v>8257920</v>
      </c>
      <c r="H22">
        <f t="shared" si="5"/>
        <v>458773.33332999999</v>
      </c>
      <c r="I22">
        <f t="shared" si="6"/>
        <v>0.33332999999402091</v>
      </c>
      <c r="J22">
        <f t="shared" si="7"/>
        <v>3.0000300003538158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E23*E6*B7-E36-0.008</f>
        <v>9.3617021276595595E-4</v>
      </c>
      <c r="C23" s="85">
        <f t="shared" si="2"/>
        <v>0.01</v>
      </c>
      <c r="D23" s="74">
        <f t="shared" si="3"/>
        <v>-9.0638297872340443E-3</v>
      </c>
      <c r="E23">
        <f>COUNTIF(tables_497100!C:C,input_497100!A23)-COUNTIF(Q:Q,A23)</f>
        <v>24</v>
      </c>
      <c r="F23" s="43">
        <f t="shared" si="8"/>
        <v>3.90070921985815E-5</v>
      </c>
      <c r="G23">
        <f t="shared" si="4"/>
        <v>58079.999999999905</v>
      </c>
      <c r="H23">
        <f t="shared" si="5"/>
        <v>2420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COUNTIF(tables_497100!C:C,input_497100!A24)-COUNTIF(Q:Q,A24)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2.829787234042553E-2</v>
      </c>
      <c r="C25" s="85">
        <f t="shared" si="2"/>
        <v>0</v>
      </c>
      <c r="D25" s="74">
        <f t="shared" si="3"/>
        <v>2.829787234042553E-2</v>
      </c>
      <c r="E25">
        <f>COUNTIF(tables_497100!C:C,input_497100!A25)-COUNTIF(Q:Q,A25)</f>
        <v>4</v>
      </c>
      <c r="F25" s="43">
        <f t="shared" si="8"/>
        <v>7.0744680851063824E-3</v>
      </c>
      <c r="G25">
        <f t="shared" si="4"/>
        <v>1755599.9999999998</v>
      </c>
      <c r="H25">
        <f t="shared" si="5"/>
        <v>438900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1.4893617021276596E-3</v>
      </c>
      <c r="C26" s="85">
        <f t="shared" si="2"/>
        <v>0</v>
      </c>
      <c r="D26" s="74">
        <f t="shared" si="3"/>
        <v>1.4893617021276596E-3</v>
      </c>
      <c r="E26">
        <f>COUNTIF(tables_497100!C:C,input_497100!A26)-COUNTIF(Q:Q,A26)</f>
        <v>4</v>
      </c>
      <c r="F26" s="43">
        <f t="shared" si="8"/>
        <v>3.7234042553191491E-4</v>
      </c>
      <c r="G26">
        <f t="shared" si="4"/>
        <v>92400</v>
      </c>
      <c r="H26">
        <f t="shared" si="5"/>
        <v>23100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2.3075757577918743E-2</v>
      </c>
      <c r="C27" s="85">
        <f t="shared" si="2"/>
        <v>0</v>
      </c>
      <c r="D27" s="74">
        <f t="shared" si="3"/>
        <v>2.3075757577918743E-2</v>
      </c>
      <c r="E27">
        <f>COUNTIF(tables_497100!C:C,input_497100!A27)-COUNTIF(Q:Q,A27)</f>
        <v>28</v>
      </c>
      <c r="F27" s="43">
        <f>IFERROR(B27/E27,0)</f>
        <v>8.2413419921138363E-4</v>
      </c>
      <c r="G27">
        <f t="shared" si="4"/>
        <v>1431620.0001340788</v>
      </c>
      <c r="H27">
        <f t="shared" si="5"/>
        <v>51129.28572</v>
      </c>
      <c r="I27">
        <f t="shared" si="6"/>
        <v>0.28571999999985565</v>
      </c>
      <c r="J27">
        <f t="shared" si="7"/>
        <v>3.4999300014017405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5.3030303030303036E-4</v>
      </c>
      <c r="C28" s="85">
        <f t="shared" si="2"/>
        <v>0</v>
      </c>
      <c r="D28" s="74">
        <f t="shared" si="3"/>
        <v>5.3030303030303036E-4</v>
      </c>
      <c r="E28">
        <f>COUNTIF(tables_497100!C:C,input_497100!A28)-COUNTIF(Q:Q,A28)</f>
        <v>28</v>
      </c>
      <c r="F28" s="43">
        <f t="shared" si="8"/>
        <v>1.8939393939393943E-5</v>
      </c>
      <c r="G28">
        <f t="shared" si="4"/>
        <v>32900</v>
      </c>
      <c r="H28">
        <f t="shared" si="5"/>
        <v>1175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E$5*E29-0.013</f>
        <v>1.3939393939393953E-3</v>
      </c>
      <c r="C29" s="85">
        <f t="shared" si="2"/>
        <v>2.5000000000000001E-2</v>
      </c>
      <c r="D29" s="74">
        <f t="shared" si="3"/>
        <v>-2.3606060606060606E-2</v>
      </c>
      <c r="E29">
        <f>COUNTIF(tables_497100!C:C,input_497100!A29)-COUNTIF(Q:Q,A29)</f>
        <v>38</v>
      </c>
      <c r="F29" s="43">
        <f t="shared" si="8"/>
        <v>3.668261562998409E-5</v>
      </c>
      <c r="G29">
        <f t="shared" si="4"/>
        <v>86480.000000000087</v>
      </c>
      <c r="H29">
        <f t="shared" si="5"/>
        <v>2275.7894700000002</v>
      </c>
      <c r="I29">
        <f t="shared" si="6"/>
        <v>0.78947000000016487</v>
      </c>
      <c r="J29">
        <f t="shared" si="7"/>
        <v>1.2666725778050985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COUNTIF(tables_497100!C:C,input_497100!A30)-COUNTIF(Q:Q,A30)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COUNTIF(tables_497100!C:C,input_497100!A31)-COUNTIF(Q:Q,A31)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0.72500000000161313</v>
      </c>
      <c r="C32" s="41">
        <f>SUM(C19:C31)</f>
        <v>0.27500000000000002</v>
      </c>
      <c r="D32" s="42">
        <f t="shared" si="3"/>
        <v>0.45000000000161311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2.9711476468408882E-2</v>
      </c>
      <c r="F34" s="55">
        <f ca="1">0.85-G41</f>
        <v>-0.10000000000161058</v>
      </c>
    </row>
    <row r="35" spans="1:7" x14ac:dyDescent="0.15">
      <c r="A35" t="s">
        <v>73</v>
      </c>
      <c r="E35">
        <v>3.5000000000000003E-2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SUMIF(tables_497100!C:C,input_497100!A40,tables_497100!O:O)</f>
        <v>0</v>
      </c>
      <c r="C40" s="54">
        <f t="shared" ref="C40:C46" ca="1" si="9">B40/B$47</f>
        <v>0</v>
      </c>
      <c r="E40">
        <v>3</v>
      </c>
      <c r="F40">
        <f ca="1">SUMIF(tables_497100!J:J,input_497100!E40,tables_497100!O:O)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SUMIF(tables_497100!C:C,input_497100!A41,tables_497100!O:O)</f>
        <v>20279159.999799989</v>
      </c>
      <c r="C41" s="54">
        <f t="shared" ca="1" si="9"/>
        <v>0.90514103913016342</v>
      </c>
      <c r="E41">
        <v>4</v>
      </c>
      <c r="F41">
        <f ca="1">SUMIF(tables_497100!J:J,input_497100!E41,tables_497100!O:O)</f>
        <v>58938000.00009992</v>
      </c>
      <c r="G41">
        <f ca="1">F41/A36</f>
        <v>0.95000000000161056</v>
      </c>
    </row>
    <row r="42" spans="1:7" x14ac:dyDescent="0.15">
      <c r="A42" s="33" t="s">
        <v>106</v>
      </c>
      <c r="B42">
        <f ca="1">SUMIF(tables_497100!C:C,input_497100!A42,tables_497100!O:O)</f>
        <v>1431620.0001600005</v>
      </c>
      <c r="C42" s="54">
        <f t="shared" ca="1" si="9"/>
        <v>6.3898998508672353E-2</v>
      </c>
      <c r="E42">
        <v>5</v>
      </c>
      <c r="F42">
        <f ca="1">SUMIF(tables_497100!J:J,input_497100!E42,tables_497100!O:O)</f>
        <v>3101999.9997799979</v>
      </c>
      <c r="G42">
        <f ca="1">F42/A36</f>
        <v>4.9999999996453867E-2</v>
      </c>
    </row>
    <row r="43" spans="1:7" x14ac:dyDescent="0.15">
      <c r="A43" s="33" t="s">
        <v>109</v>
      </c>
      <c r="B43">
        <f>SUMIF(tables_497100!C:C,input_497100!A43,tables_497100!O:O)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SUMIF(tables_497100!C:C,input_497100!A44,tables_497100!O:O)</f>
        <v>660739.99991999974</v>
      </c>
      <c r="C44" s="54">
        <f t="shared" ca="1" si="9"/>
        <v>2.949150211982899E-2</v>
      </c>
      <c r="E44" t="s">
        <v>54</v>
      </c>
      <c r="F44" s="55"/>
    </row>
    <row r="45" spans="1:7" x14ac:dyDescent="0.15">
      <c r="A45" s="33" t="s">
        <v>107</v>
      </c>
      <c r="B45">
        <f ca="1">SUMIF(tables_497100!C:C,input_497100!A45,tables_497100!O:O)</f>
        <v>32900</v>
      </c>
      <c r="C45" s="54">
        <f t="shared" ca="1" si="9"/>
        <v>1.4684602413352467E-3</v>
      </c>
      <c r="E45" t="s">
        <v>204</v>
      </c>
      <c r="F45" s="55">
        <f ca="1">SUMIF(tables_497100!I:I,input_497100!E45,tables_497100!P:P)</f>
        <v>0.19888168923636124</v>
      </c>
    </row>
    <row r="46" spans="1:7" x14ac:dyDescent="0.15">
      <c r="A46" s="33" t="s">
        <v>108</v>
      </c>
      <c r="B46">
        <f>SUMIF(tables_497100!C:C,input_497100!A46,tables_497100!O:O)</f>
        <v>0</v>
      </c>
      <c r="C46" s="54">
        <f t="shared" ca="1" si="9"/>
        <v>0</v>
      </c>
      <c r="E46" t="s">
        <v>205</v>
      </c>
      <c r="F46" s="55">
        <f ca="1">SUMIF(tables_497100!I:I,input_497100!E46,tables_497100!P:P)</f>
        <v>0.33268434136701974</v>
      </c>
    </row>
    <row r="47" spans="1:7" x14ac:dyDescent="0.15">
      <c r="A47" s="39" t="s">
        <v>59</v>
      </c>
      <c r="B47">
        <f ca="1">SUM(B40:B46)</f>
        <v>22404419.99987999</v>
      </c>
      <c r="C47" s="55">
        <f ca="1">SUM(C40:C46)</f>
        <v>1</v>
      </c>
      <c r="E47" t="s">
        <v>206</v>
      </c>
      <c r="F47" s="55">
        <f ca="1">SUMIF(tables_497100!I:I,input_497100!E47,tables_497100!P:P)</f>
        <v>0.41843396939619959</v>
      </c>
    </row>
    <row r="48" spans="1:7" x14ac:dyDescent="0.15">
      <c r="E48" t="s">
        <v>207</v>
      </c>
      <c r="F48" s="55">
        <f ca="1">SUMIF(tables_497100!I:I,input_497100!E48,tables_497100!P:P)</f>
        <v>4.9743221691424359E-2</v>
      </c>
      <c r="G48" s="55">
        <f ca="1">0.05-F48-F49</f>
        <v>-4.1905042803824788E-13</v>
      </c>
    </row>
    <row r="49" spans="5:7" x14ac:dyDescent="0.15">
      <c r="E49" t="s">
        <v>247</v>
      </c>
      <c r="F49" s="55">
        <f ca="1">SUMIF(tables_497100!I:I,input_497100!E49,tables_497100!P:P)</f>
        <v>2.5677830899469381E-4</v>
      </c>
      <c r="G49">
        <v>1.3000000002161168E-2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V352"/>
  <sheetViews>
    <sheetView showGridLines="0" zoomScale="75" zoomScaleNormal="75" zoomScalePageLayoutView="75" workbookViewId="0">
      <pane ySplit="1" topLeftCell="A314" activePane="bottomLeft" state="frozen"/>
      <selection activeCell="D34" sqref="D34"/>
      <selection pane="bottomLeft" activeCell="T355" sqref="T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input_497100!A$2</f>
        <v>497100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IFERROR(VLOOKUP(B2,input_497100!L:R,7,FALSE),VLOOKUP(tables_497100!C2,input_497100!A:H,8,FALSE))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input_497100!A$2</f>
        <v>497100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IFERROR(VLOOKUP(B3,input_497100!L:R,7,FALSE),VLOOKUP(tables_497100!C3,input_497100!A:H,8,FALSE))</f>
        <v>616205.00000999996</v>
      </c>
      <c r="P3" s="46">
        <f t="shared" ca="1" si="1"/>
        <v>9.9323823341584683E-3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input_497100!A$2</f>
        <v>497100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IFERROR(VLOOKUP(B4,input_497100!L:R,7,FALSE),VLOOKUP(tables_497100!C4,input_497100!A:H,8,FALSE))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input_497100!A$2</f>
        <v>497100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IFERROR(VLOOKUP(B5,input_497100!L:R,7,FALSE),VLOOKUP(tables_497100!C5,input_497100!A:H,8,FALSE))</f>
        <v>616205.00000999996</v>
      </c>
      <c r="P5" s="46">
        <f t="shared" ca="1" si="1"/>
        <v>9.9323823341584683E-3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input_497100!A$2</f>
        <v>497100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IFERROR(VLOOKUP(B6,input_497100!L:R,7,FALSE),VLOOKUP(tables_497100!C6,input_497100!A:H,8,FALSE))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input_497100!A$2</f>
        <v>497100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IFERROR(VLOOKUP(B7,input_497100!L:R,7,FALSE),VLOOKUP(tables_497100!C7,input_497100!A:H,8,FALSE))</f>
        <v>616205.00000999996</v>
      </c>
      <c r="P7" s="46">
        <f t="shared" ca="1" si="1"/>
        <v>9.9323823341584683E-3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input_497100!A$2</f>
        <v>497100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IFERROR(VLOOKUP(B8,input_497100!L:R,7,FALSE),VLOOKUP(tables_497100!C8,input_497100!A:H,8,FALSE))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input_497100!A$2</f>
        <v>497100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IFERROR(VLOOKUP(B9,input_497100!L:R,7,FALSE),VLOOKUP(tables_497100!C9,input_497100!A:H,8,FALSE))</f>
        <v>616205.00000999996</v>
      </c>
      <c r="P9" s="46">
        <f t="shared" ca="1" si="1"/>
        <v>9.9323823341584683E-3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input_497100!A$2</f>
        <v>497100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IFERROR(VLOOKUP(B10,input_497100!L:R,7,FALSE),VLOOKUP(tables_497100!C10,input_497100!A:H,8,FALSE))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input_497100!A$2</f>
        <v>497100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IFERROR(VLOOKUP(B11,input_497100!L:R,7,FALSE),VLOOKUP(tables_497100!C11,input_497100!A:H,8,FALSE))</f>
        <v>616205.00000999996</v>
      </c>
      <c r="P11" s="46">
        <f t="shared" ca="1" si="1"/>
        <v>9.9323823341584683E-3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input_497100!A$2</f>
        <v>497100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IFERROR(VLOOKUP(B12,input_497100!L:R,7,FALSE),VLOOKUP(tables_497100!C12,input_497100!A:H,8,FALSE))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input_497100!A$2</f>
        <v>497100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IFERROR(VLOOKUP(B13,input_497100!L:R,7,FALSE),VLOOKUP(tables_497100!C13,input_497100!A:H,8,FALSE))</f>
        <v>616205.00000999996</v>
      </c>
      <c r="P13" s="46">
        <f t="shared" ca="1" si="1"/>
        <v>9.9323823341584683E-3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input_497100!A$2</f>
        <v>497100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IFERROR(VLOOKUP(B14,input_497100!L:R,7,FALSE),VLOOKUP(tables_497100!C14,input_497100!A:H,8,FALSE))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input_497100!A$2</f>
        <v>497100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IFERROR(VLOOKUP(B15,input_497100!L:R,7,FALSE),VLOOKUP(tables_497100!C15,input_497100!A:H,8,FALSE))</f>
        <v>616205.00000999996</v>
      </c>
      <c r="P15" s="46">
        <f t="shared" ca="1" si="1"/>
        <v>9.9323823341584683E-3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input_497100!A$2</f>
        <v>497100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IFERROR(VLOOKUP(B16,input_497100!L:R,7,FALSE),VLOOKUP(tables_497100!C16,input_497100!A:H,8,FALSE))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input_497100!A$2</f>
        <v>497100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IFERROR(VLOOKUP(B17,input_497100!L:R,7,FALSE),VLOOKUP(tables_497100!C17,input_497100!A:H,8,FALSE))</f>
        <v>616205.00000999996</v>
      </c>
      <c r="P17" s="46">
        <f t="shared" ca="1" si="1"/>
        <v>9.9323823341584683E-3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input_497100!A$2</f>
        <v>497100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IFERROR(VLOOKUP(B18,input_497100!L:R,7,FALSE),VLOOKUP(tables_497100!C18,input_497100!A:H,8,FALSE))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input_497100!A$2</f>
        <v>497100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IFERROR(VLOOKUP(B19,input_497100!L:R,7,FALSE),VLOOKUP(tables_497100!C19,input_497100!A:H,8,FALSE))</f>
        <v>616205.00000999996</v>
      </c>
      <c r="P19" s="46">
        <f t="shared" ca="1" si="1"/>
        <v>9.9323823341584683E-3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input_497100!A$2</f>
        <v>497100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IFERROR(VLOOKUP(B20,input_497100!L:R,7,FALSE),VLOOKUP(tables_497100!C20,input_497100!A:H,8,FALSE))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input_497100!A$2</f>
        <v>497100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IFERROR(VLOOKUP(B21,input_497100!L:R,7,FALSE),VLOOKUP(tables_497100!C21,input_497100!A:H,8,FALSE))</f>
        <v>616205.00000999996</v>
      </c>
      <c r="P21" s="46">
        <f t="shared" ca="1" si="1"/>
        <v>9.9323823341584683E-3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input_497100!A$2</f>
        <v>497100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IFERROR(VLOOKUP(B22,input_497100!L:R,7,FALSE),VLOOKUP(tables_497100!C22,input_497100!A:H,8,FALSE))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input_497100!A$2</f>
        <v>497100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IFERROR(VLOOKUP(B23,input_497100!L:R,7,FALSE),VLOOKUP(tables_497100!C23,input_497100!A:H,8,FALSE))</f>
        <v>616205.00000999996</v>
      </c>
      <c r="P23" s="46">
        <f t="shared" ca="1" si="1"/>
        <v>9.9323823341584683E-3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input_497100!A$2</f>
        <v>497100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IFERROR(VLOOKUP(B24,input_497100!L:R,7,FALSE),VLOOKUP(tables_497100!C24,input_497100!A:H,8,FALSE))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input_497100!A$2</f>
        <v>497100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IFERROR(VLOOKUP(B25,input_497100!L:R,7,FALSE),VLOOKUP(tables_497100!C25,input_497100!A:H,8,FALSE))</f>
        <v>616205.00000999996</v>
      </c>
      <c r="P25" s="46">
        <f t="shared" ca="1" si="1"/>
        <v>9.9323823341584683E-3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input_497100!A$2</f>
        <v>497100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IFERROR(VLOOKUP(B26,input_497100!L:R,7,FALSE),VLOOKUP(tables_497100!C26,input_497100!A:H,8,FALSE))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input_497100!A$2</f>
        <v>497100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IFERROR(VLOOKUP(B27,input_497100!L:R,7,FALSE),VLOOKUP(tables_497100!C27,input_497100!A:H,8,FALSE))</f>
        <v>616205.00000999996</v>
      </c>
      <c r="P27" s="46">
        <f t="shared" ca="1" si="1"/>
        <v>9.9323823341584683E-3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input_497100!A$2</f>
        <v>497100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IFERROR(VLOOKUP(B28,input_497100!L:R,7,FALSE),VLOOKUP(tables_497100!C28,input_497100!A:H,8,FALSE))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input_497100!A$2</f>
        <v>497100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IFERROR(VLOOKUP(B29,input_497100!L:R,7,FALSE),VLOOKUP(tables_497100!C29,input_497100!A:H,8,FALSE))</f>
        <v>616205.00000999996</v>
      </c>
      <c r="P29" s="46">
        <f t="shared" ca="1" si="1"/>
        <v>9.9323823341584683E-3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input_497100!A$2</f>
        <v>497100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IFERROR(VLOOKUP(B30,input_497100!L:R,7,FALSE),VLOOKUP(tables_497100!C30,input_497100!A:H,8,FALSE))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input_497100!A$2</f>
        <v>497100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IFERROR(VLOOKUP(B31,input_497100!L:R,7,FALSE),VLOOKUP(tables_497100!C31,input_497100!A:H,8,FALSE))</f>
        <v>616205.00000999996</v>
      </c>
      <c r="P31" s="46">
        <f t="shared" ca="1" si="1"/>
        <v>9.9323823341584683E-3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input_497100!A$2</f>
        <v>497100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IFERROR(VLOOKUP(B32,input_497100!L:R,7,FALSE),VLOOKUP(tables_497100!C32,input_497100!A:H,8,FALSE))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input_497100!A$2</f>
        <v>497100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IFERROR(VLOOKUP(B33,input_497100!L:R,7,FALSE),VLOOKUP(tables_497100!C33,input_497100!A:H,8,FALSE))</f>
        <v>616205.00000999996</v>
      </c>
      <c r="P33" s="46">
        <f t="shared" ca="1" si="1"/>
        <v>9.9323823341584683E-3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input_497100!A$2</f>
        <v>497100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IFERROR(VLOOKUP(B34,input_497100!L:R,7,FALSE),VLOOKUP(tables_497100!C34,input_497100!A:H,8,FALSE))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input_497100!A$2</f>
        <v>497100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IFERROR(VLOOKUP(B35,input_497100!L:R,7,FALSE),VLOOKUP(tables_497100!C35,input_497100!A:H,8,FALSE))</f>
        <v>616205.00000999996</v>
      </c>
      <c r="P35" s="46">
        <f t="shared" ca="1" si="1"/>
        <v>9.9323823341584683E-3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input_497100!A$2</f>
        <v>497100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IFERROR(VLOOKUP(B36,input_497100!L:R,7,FALSE),VLOOKUP(tables_497100!C36,input_497100!A:H,8,FALSE))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input_497100!A$2</f>
        <v>497100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IFERROR(VLOOKUP(B37,input_497100!L:R,7,FALSE),VLOOKUP(tables_497100!C37,input_497100!A:H,8,FALSE))</f>
        <v>616205.00000999996</v>
      </c>
      <c r="P37" s="46">
        <f t="shared" ca="1" si="1"/>
        <v>9.9323823341584683E-3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input_497100!A$2</f>
        <v>497100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IFERROR(VLOOKUP(B38,input_497100!L:R,7,FALSE),VLOOKUP(tables_497100!C38,input_497100!A:H,8,FALSE))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input_497100!A$2</f>
        <v>497100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IFERROR(VLOOKUP(B39,input_497100!L:R,7,FALSE),VLOOKUP(tables_497100!C39,input_497100!A:H,8,FALSE))</f>
        <v>616205.00000999996</v>
      </c>
      <c r="P39" s="46">
        <f t="shared" ca="1" si="1"/>
        <v>9.9323823341584683E-3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input_497100!A$2</f>
        <v>497100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IFERROR(VLOOKUP(B40,input_497100!L:R,7,FALSE),VLOOKUP(tables_497100!C40,input_497100!A:H,8,FALSE))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input_497100!A$2</f>
        <v>497100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IFERROR(VLOOKUP(B41,input_497100!L:R,7,FALSE),VLOOKUP(tables_497100!C41,input_497100!A:H,8,FALSE))</f>
        <v>616205.00000999996</v>
      </c>
      <c r="P41" s="46">
        <f t="shared" ca="1" si="1"/>
        <v>9.9323823341584683E-3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input_497100!A$2</f>
        <v>497100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IFERROR(VLOOKUP(B42,input_497100!L:R,7,FALSE),VLOOKUP(tables_497100!C42,input_497100!A:H,8,FALSE))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input_497100!A$2</f>
        <v>497100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IFERROR(VLOOKUP(B43,input_497100!L:R,7,FALSE),VLOOKUP(tables_497100!C43,input_497100!A:H,8,FALSE))</f>
        <v>438900</v>
      </c>
      <c r="P43" s="46">
        <f t="shared" ca="1" si="1"/>
        <v>7.0744680851200607E-3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input_497100!A$2</f>
        <v>497100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IFERROR(VLOOKUP(B44,input_497100!L:R,7,FALSE),VLOOKUP(tables_497100!C44,input_497100!A:H,8,FALSE))</f>
        <v>23100</v>
      </c>
      <c r="P44" s="46">
        <f t="shared" ca="1" si="1"/>
        <v>3.7234042553263477E-4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input_497100!A$2</f>
        <v>497100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IFERROR(VLOOKUP(B45,input_497100!L:R,7,FALSE),VLOOKUP(tables_497100!C45,input_497100!A:H,8,FALSE))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input_497100!A$2</f>
        <v>497100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IFERROR(VLOOKUP(B46,input_497100!L:R,7,FALSE),VLOOKUP(tables_497100!C46,input_497100!A:H,8,FALSE))</f>
        <v>438900</v>
      </c>
      <c r="P46" s="46">
        <f t="shared" ca="1" si="1"/>
        <v>7.0744680851200607E-3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input_497100!A$2</f>
        <v>497100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IFERROR(VLOOKUP(B47,input_497100!L:R,7,FALSE),VLOOKUP(tables_497100!C47,input_497100!A:H,8,FALSE))</f>
        <v>23100</v>
      </c>
      <c r="P47" s="46">
        <f t="shared" ca="1" si="1"/>
        <v>3.7234042553263477E-4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input_497100!A$2</f>
        <v>497100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IFERROR(VLOOKUP(B48,input_497100!L:R,7,FALSE),VLOOKUP(tables_497100!C48,input_497100!A:H,8,FALSE))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input_497100!A$2</f>
        <v>497100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IFERROR(VLOOKUP(B49,input_497100!L:R,7,FALSE),VLOOKUP(tables_497100!C49,input_497100!A:H,8,FALSE))</f>
        <v>438900</v>
      </c>
      <c r="P49" s="46">
        <f t="shared" ca="1" si="1"/>
        <v>7.0744680851200607E-3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input_497100!A$2</f>
        <v>497100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IFERROR(VLOOKUP(B50,input_497100!L:R,7,FALSE),VLOOKUP(tables_497100!C50,input_497100!A:H,8,FALSE))</f>
        <v>23100</v>
      </c>
      <c r="P50" s="46">
        <f t="shared" ca="1" si="1"/>
        <v>3.7234042553263477E-4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input_497100!A$2</f>
        <v>497100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IFERROR(VLOOKUP(B51,input_497100!L:R,7,FALSE),VLOOKUP(tables_497100!C51,input_497100!A:H,8,FALSE))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input_497100!A$2</f>
        <v>497100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IFERROR(VLOOKUP(B52,input_497100!L:R,7,FALSE),VLOOKUP(tables_497100!C52,input_497100!A:H,8,FALSE))</f>
        <v>389983.84615</v>
      </c>
      <c r="P52" s="46">
        <f t="shared" ca="1" si="1"/>
        <v>6.286006546595003E-3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input_497100!A$2</f>
        <v>497100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IFERROR(VLOOKUP(B53,input_497100!L:R,7,FALSE),VLOOKUP(tables_497100!C53,input_497100!A:H,8,FALSE))</f>
        <v>12706.53846</v>
      </c>
      <c r="P53" s="46">
        <f t="shared" ca="1" si="1"/>
        <v>2.048120319152896E-4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input_497100!A$2</f>
        <v>497100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IFERROR(VLOOKUP(B54,input_497100!L:R,7,FALSE),VLOOKUP(tables_497100!C54,input_497100!A:H,8,FALSE))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input_497100!A$2</f>
        <v>497100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IFERROR(VLOOKUP(B55,input_497100!L:R,7,FALSE),VLOOKUP(tables_497100!C55,input_497100!A:H,8,FALSE))</f>
        <v>389983.84615</v>
      </c>
      <c r="P55" s="46">
        <f t="shared" ca="1" si="1"/>
        <v>6.286006546595003E-3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input_497100!A$2</f>
        <v>497100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IFERROR(VLOOKUP(B56,input_497100!L:R,7,FALSE),VLOOKUP(tables_497100!C56,input_497100!A:H,8,FALSE))</f>
        <v>12706.53846</v>
      </c>
      <c r="P56" s="46">
        <f t="shared" ca="1" si="1"/>
        <v>2.048120319152896E-4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input_497100!A$2</f>
        <v>497100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IFERROR(VLOOKUP(B57,input_497100!L:R,7,FALSE),VLOOKUP(tables_497100!C57,input_497100!A:H,8,FALSE))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input_497100!A$2</f>
        <v>497100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IFERROR(VLOOKUP(B58,input_497100!L:R,7,FALSE),VLOOKUP(tables_497100!C58,input_497100!A:H,8,FALSE))</f>
        <v>389983.84615</v>
      </c>
      <c r="P58" s="46">
        <f t="shared" ca="1" si="1"/>
        <v>6.286006546595003E-3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input_497100!A$2</f>
        <v>497100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IFERROR(VLOOKUP(B59,input_497100!L:R,7,FALSE),VLOOKUP(tables_497100!C59,input_497100!A:H,8,FALSE))</f>
        <v>12706.53846</v>
      </c>
      <c r="P59" s="46">
        <f t="shared" ca="1" si="1"/>
        <v>2.048120319152896E-4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input_497100!A$2</f>
        <v>497100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IFERROR(VLOOKUP(B60,input_497100!L:R,7,FALSE),VLOOKUP(tables_497100!C60,input_497100!A:H,8,FALSE))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input_497100!A$2</f>
        <v>497100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IFERROR(VLOOKUP(B61,input_497100!L:R,7,FALSE),VLOOKUP(tables_497100!C61,input_497100!A:H,8,FALSE))</f>
        <v>389983.84615</v>
      </c>
      <c r="P61" s="46">
        <f t="shared" ca="1" si="1"/>
        <v>6.286006546595003E-3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input_497100!A$2</f>
        <v>497100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IFERROR(VLOOKUP(B62,input_497100!L:R,7,FALSE),VLOOKUP(tables_497100!C62,input_497100!A:H,8,FALSE))</f>
        <v>12706.53846</v>
      </c>
      <c r="P62" s="46">
        <f t="shared" ca="1" si="1"/>
        <v>2.048120319152896E-4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input_497100!A$2</f>
        <v>497100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IFERROR(VLOOKUP(B63,input_497100!L:R,7,FALSE),VLOOKUP(tables_497100!C63,input_497100!A:H,8,FALSE))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input_497100!A$2</f>
        <v>497100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IFERROR(VLOOKUP(B64,input_497100!L:R,7,FALSE),VLOOKUP(tables_497100!C64,input_497100!A:H,8,FALSE))</f>
        <v>389983.84615</v>
      </c>
      <c r="P64" s="46">
        <f t="shared" ca="1" si="1"/>
        <v>6.286006546595003E-3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input_497100!A$2</f>
        <v>497100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IFERROR(VLOOKUP(B65,input_497100!L:R,7,FALSE),VLOOKUP(tables_497100!C65,input_497100!A:H,8,FALSE))</f>
        <v>12706.53846</v>
      </c>
      <c r="P65" s="46">
        <f t="shared" ca="1" si="1"/>
        <v>2.048120319152896E-4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input_497100!A$2</f>
        <v>497100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IFERROR(VLOOKUP(B66,input_497100!L:R,7,FALSE),VLOOKUP(tables_497100!C66,input_497100!A:H,8,FALSE))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input_497100!A$2</f>
        <v>497100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IFERROR(VLOOKUP(B67,input_497100!L:R,7,FALSE),VLOOKUP(tables_497100!C67,input_497100!A:H,8,FALSE))</f>
        <v>389983.84615</v>
      </c>
      <c r="P67" s="46">
        <f t="shared" ca="1" si="4"/>
        <v>6.286006546595003E-3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input_497100!A$2</f>
        <v>497100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IFERROR(VLOOKUP(B68,input_497100!L:R,7,FALSE),VLOOKUP(tables_497100!C68,input_497100!A:H,8,FALSE))</f>
        <v>12706.53846</v>
      </c>
      <c r="P68" s="46">
        <f t="shared" ca="1" si="4"/>
        <v>2.048120319152896E-4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input_497100!A$2</f>
        <v>497100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IFERROR(VLOOKUP(B69,input_497100!L:R,7,FALSE),VLOOKUP(tables_497100!C69,input_497100!A:H,8,FALSE))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input_497100!A$2</f>
        <v>497100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IFERROR(VLOOKUP(B70,input_497100!L:R,7,FALSE),VLOOKUP(tables_497100!C70,input_497100!A:H,8,FALSE))</f>
        <v>389983.84615</v>
      </c>
      <c r="P70" s="46">
        <f t="shared" ca="1" si="4"/>
        <v>6.286006546595003E-3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input_497100!A$2</f>
        <v>497100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IFERROR(VLOOKUP(B71,input_497100!L:R,7,FALSE),VLOOKUP(tables_497100!C71,input_497100!A:H,8,FALSE))</f>
        <v>12706.53846</v>
      </c>
      <c r="P71" s="46">
        <f t="shared" ca="1" si="4"/>
        <v>2.048120319152896E-4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input_497100!A$2</f>
        <v>497100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IFERROR(VLOOKUP(B72,input_497100!L:R,7,FALSE),VLOOKUP(tables_497100!C72,input_497100!A:H,8,FALSE))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input_497100!A$2</f>
        <v>497100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IFERROR(VLOOKUP(B73,input_497100!L:R,7,FALSE),VLOOKUP(tables_497100!C73,input_497100!A:H,8,FALSE))</f>
        <v>389983.84615</v>
      </c>
      <c r="P73" s="46">
        <f t="shared" ca="1" si="4"/>
        <v>6.286006546595003E-3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input_497100!A$2</f>
        <v>497100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IFERROR(VLOOKUP(B74,input_497100!L:R,7,FALSE),VLOOKUP(tables_497100!C74,input_497100!A:H,8,FALSE))</f>
        <v>12706.53846</v>
      </c>
      <c r="P74" s="46">
        <f t="shared" ca="1" si="4"/>
        <v>2.048120319152896E-4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input_497100!A$2</f>
        <v>497100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IFERROR(VLOOKUP(B75,input_497100!L:R,7,FALSE),VLOOKUP(tables_497100!C75,input_497100!A:H,8,FALSE))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input_497100!A$2</f>
        <v>497100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IFERROR(VLOOKUP(B76,input_497100!L:R,7,FALSE),VLOOKUP(tables_497100!C76,input_497100!A:H,8,FALSE))</f>
        <v>389983.84615</v>
      </c>
      <c r="P76" s="46">
        <f t="shared" ca="1" si="4"/>
        <v>6.286006546595003E-3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input_497100!A$2</f>
        <v>497100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IFERROR(VLOOKUP(B77,input_497100!L:R,7,FALSE),VLOOKUP(tables_497100!C77,input_497100!A:H,8,FALSE))</f>
        <v>12706.53846</v>
      </c>
      <c r="P77" s="46">
        <f t="shared" ca="1" si="4"/>
        <v>2.048120319152896E-4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input_497100!A$2</f>
        <v>497100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IFERROR(VLOOKUP(B78,input_497100!L:R,7,FALSE),VLOOKUP(tables_497100!C78,input_497100!A:H,8,FALSE))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input_497100!A$2</f>
        <v>497100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IFERROR(VLOOKUP(B79,input_497100!L:R,7,FALSE),VLOOKUP(tables_497100!C79,input_497100!A:H,8,FALSE))</f>
        <v>389983.84615</v>
      </c>
      <c r="P79" s="46">
        <f t="shared" ca="1" si="4"/>
        <v>6.286006546595003E-3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input_497100!A$2</f>
        <v>497100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IFERROR(VLOOKUP(B80,input_497100!L:R,7,FALSE),VLOOKUP(tables_497100!C80,input_497100!A:H,8,FALSE))</f>
        <v>12706.53846</v>
      </c>
      <c r="P80" s="46">
        <f t="shared" ca="1" si="4"/>
        <v>2.048120319152896E-4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input_497100!A$2</f>
        <v>497100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IFERROR(VLOOKUP(B81,input_497100!L:R,7,FALSE),VLOOKUP(tables_497100!C81,input_497100!A:H,8,FALSE))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input_497100!A$2</f>
        <v>497100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IFERROR(VLOOKUP(B82,input_497100!L:R,7,FALSE),VLOOKUP(tables_497100!C82,input_497100!A:H,8,FALSE))</f>
        <v>389983.84615</v>
      </c>
      <c r="P82" s="46">
        <f t="shared" ca="1" si="4"/>
        <v>6.286006546595003E-3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input_497100!A$2</f>
        <v>497100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IFERROR(VLOOKUP(B83,input_497100!L:R,7,FALSE),VLOOKUP(tables_497100!C83,input_497100!A:H,8,FALSE))</f>
        <v>12706.53846</v>
      </c>
      <c r="P83" s="46">
        <f t="shared" ca="1" si="4"/>
        <v>2.048120319152896E-4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input_497100!A$2</f>
        <v>497100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IFERROR(VLOOKUP(B84,input_497100!L:R,7,FALSE),VLOOKUP(tables_497100!C84,input_497100!A:H,8,FALSE))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input_497100!A$2</f>
        <v>497100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IFERROR(VLOOKUP(B85,input_497100!L:R,7,FALSE),VLOOKUP(tables_497100!C85,input_497100!A:H,8,FALSE))</f>
        <v>389983.84615</v>
      </c>
      <c r="P85" s="46">
        <f t="shared" ca="1" si="4"/>
        <v>6.286006546595003E-3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input_497100!A$2</f>
        <v>497100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IFERROR(VLOOKUP(B86,input_497100!L:R,7,FALSE),VLOOKUP(tables_497100!C86,input_497100!A:H,8,FALSE))</f>
        <v>12706.53846</v>
      </c>
      <c r="P86" s="46">
        <f t="shared" ca="1" si="4"/>
        <v>2.048120319152896E-4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input_497100!A$2</f>
        <v>497100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IFERROR(VLOOKUP(B87,input_497100!L:R,7,FALSE),VLOOKUP(tables_497100!C87,input_497100!A:H,8,FALSE))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input_497100!A$2</f>
        <v>497100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IFERROR(VLOOKUP(B88,input_497100!L:R,7,FALSE),VLOOKUP(tables_497100!C88,input_497100!A:H,8,FALSE))</f>
        <v>389983.84615</v>
      </c>
      <c r="P88" s="46">
        <f t="shared" ca="1" si="4"/>
        <v>6.286006546595003E-3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input_497100!A$2</f>
        <v>497100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IFERROR(VLOOKUP(B89,input_497100!L:R,7,FALSE),VLOOKUP(tables_497100!C89,input_497100!A:H,8,FALSE))</f>
        <v>12706.53846</v>
      </c>
      <c r="P89" s="46">
        <f t="shared" ca="1" si="4"/>
        <v>2.048120319152896E-4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input_497100!A$2</f>
        <v>497100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IFERROR(VLOOKUP(B90,input_497100!L:R,7,FALSE),VLOOKUP(tables_497100!C90,input_497100!A:H,8,FALSE))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input_497100!A$2</f>
        <v>497100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IFERROR(VLOOKUP(B91,input_497100!L:R,7,FALSE),VLOOKUP(tables_497100!C91,input_497100!A:H,8,FALSE))</f>
        <v>389983.84615</v>
      </c>
      <c r="P91" s="46">
        <f t="shared" ca="1" si="4"/>
        <v>6.286006546595003E-3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input_497100!A$2</f>
        <v>497100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IFERROR(VLOOKUP(B92,input_497100!L:R,7,FALSE),VLOOKUP(tables_497100!C92,input_497100!A:H,8,FALSE))</f>
        <v>12706.53846</v>
      </c>
      <c r="P92" s="46">
        <f t="shared" ca="1" si="4"/>
        <v>2.048120319152896E-4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input_497100!A$2</f>
        <v>497100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IFERROR(VLOOKUP(B93,input_497100!L:R,7,FALSE),VLOOKUP(tables_497100!C93,input_497100!A:H,8,FALSE))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input_497100!A$2</f>
        <v>497100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IFERROR(VLOOKUP(B94,input_497100!L:R,7,FALSE),VLOOKUP(tables_497100!C94,input_497100!A:H,8,FALSE))</f>
        <v>389983.84615</v>
      </c>
      <c r="P94" s="46">
        <f t="shared" ca="1" si="4"/>
        <v>6.286006546595003E-3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input_497100!A$2</f>
        <v>497100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IFERROR(VLOOKUP(B95,input_497100!L:R,7,FALSE),VLOOKUP(tables_497100!C95,input_497100!A:H,8,FALSE))</f>
        <v>12706.53846</v>
      </c>
      <c r="P95" s="46">
        <f t="shared" ca="1" si="4"/>
        <v>2.048120319152896E-4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input_497100!A$2</f>
        <v>497100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IFERROR(VLOOKUP(B96,input_497100!L:R,7,FALSE),VLOOKUP(tables_497100!C96,input_497100!A:H,8,FALSE))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input_497100!A$2</f>
        <v>497100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IFERROR(VLOOKUP(B97,input_497100!L:R,7,FALSE),VLOOKUP(tables_497100!C97,input_497100!A:H,8,FALSE))</f>
        <v>389983.84615</v>
      </c>
      <c r="P97" s="46">
        <f t="shared" ca="1" si="4"/>
        <v>6.286006546595003E-3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input_497100!A$2</f>
        <v>497100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IFERROR(VLOOKUP(B98,input_497100!L:R,7,FALSE),VLOOKUP(tables_497100!C98,input_497100!A:H,8,FALSE))</f>
        <v>12706.53846</v>
      </c>
      <c r="P98" s="46">
        <f t="shared" ca="1" si="4"/>
        <v>2.048120319152896E-4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input_497100!A$2</f>
        <v>497100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IFERROR(VLOOKUP(B99,input_497100!L:R,7,FALSE),VLOOKUP(tables_497100!C99,input_497100!A:H,8,FALSE))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input_497100!A$2</f>
        <v>497100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IFERROR(VLOOKUP(B100,input_497100!L:R,7,FALSE),VLOOKUP(tables_497100!C100,input_497100!A:H,8,FALSE))</f>
        <v>389983.84615</v>
      </c>
      <c r="P100" s="46">
        <f t="shared" ca="1" si="4"/>
        <v>6.286006546595003E-3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input_497100!A$2</f>
        <v>497100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IFERROR(VLOOKUP(B101,input_497100!L:R,7,FALSE),VLOOKUP(tables_497100!C101,input_497100!A:H,8,FALSE))</f>
        <v>12706.53846</v>
      </c>
      <c r="P101" s="46">
        <f t="shared" ca="1" si="4"/>
        <v>2.048120319152896E-4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input_497100!A$2</f>
        <v>497100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IFERROR(VLOOKUP(B102,input_497100!L:R,7,FALSE),VLOOKUP(tables_497100!C102,input_497100!A:H,8,FALSE))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input_497100!A$2</f>
        <v>497100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IFERROR(VLOOKUP(B103,input_497100!L:R,7,FALSE),VLOOKUP(tables_497100!C103,input_497100!A:H,8,FALSE))</f>
        <v>389983.84615</v>
      </c>
      <c r="P103" s="46">
        <f t="shared" ca="1" si="4"/>
        <v>6.286006546595003E-3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input_497100!A$2</f>
        <v>497100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IFERROR(VLOOKUP(B104,input_497100!L:R,7,FALSE),VLOOKUP(tables_497100!C104,input_497100!A:H,8,FALSE))</f>
        <v>12706.53846</v>
      </c>
      <c r="P104" s="46">
        <f t="shared" ca="1" si="4"/>
        <v>2.048120319152896E-4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input_497100!A$2</f>
        <v>497100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IFERROR(VLOOKUP(B105,input_497100!L:R,7,FALSE),VLOOKUP(tables_497100!C105,input_497100!A:H,8,FALSE))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input_497100!A$2</f>
        <v>497100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IFERROR(VLOOKUP(B106,input_497100!L:R,7,FALSE),VLOOKUP(tables_497100!C106,input_497100!A:H,8,FALSE))</f>
        <v>389983.84615</v>
      </c>
      <c r="P106" s="46">
        <f t="shared" ca="1" si="4"/>
        <v>6.286006546595003E-3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input_497100!A$2</f>
        <v>497100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IFERROR(VLOOKUP(B107,input_497100!L:R,7,FALSE),VLOOKUP(tables_497100!C107,input_497100!A:H,8,FALSE))</f>
        <v>12706.53846</v>
      </c>
      <c r="P107" s="46">
        <f t="shared" ca="1" si="4"/>
        <v>2.048120319152896E-4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input_497100!A$2</f>
        <v>497100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IFERROR(VLOOKUP(B108,input_497100!L:R,7,FALSE),VLOOKUP(tables_497100!C108,input_497100!A:H,8,FALSE))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input_497100!A$2</f>
        <v>497100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IFERROR(VLOOKUP(B109,input_497100!L:R,7,FALSE),VLOOKUP(tables_497100!C109,input_497100!A:H,8,FALSE))</f>
        <v>389983.84615</v>
      </c>
      <c r="P109" s="46">
        <f t="shared" ca="1" si="4"/>
        <v>6.286006546595003E-3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input_497100!A$2</f>
        <v>497100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IFERROR(VLOOKUP(B110,input_497100!L:R,7,FALSE),VLOOKUP(tables_497100!C110,input_497100!A:H,8,FALSE))</f>
        <v>12706.53846</v>
      </c>
      <c r="P110" s="46">
        <f t="shared" ca="1" si="4"/>
        <v>2.048120319152896E-4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input_497100!A$2</f>
        <v>497100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IFERROR(VLOOKUP(B111,input_497100!L:R,7,FALSE),VLOOKUP(tables_497100!C111,input_497100!A:H,8,FALSE))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input_497100!A$2</f>
        <v>497100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IFERROR(VLOOKUP(B112,input_497100!L:R,7,FALSE),VLOOKUP(tables_497100!C112,input_497100!A:H,8,FALSE))</f>
        <v>438900</v>
      </c>
      <c r="P112" s="46">
        <f t="shared" ca="1" si="4"/>
        <v>7.0744680851200607E-3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input_497100!A$2</f>
        <v>497100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IFERROR(VLOOKUP(B113,input_497100!L:R,7,FALSE),VLOOKUP(tables_497100!C113,input_497100!A:H,8,FALSE))</f>
        <v>23100</v>
      </c>
      <c r="P113" s="46">
        <f t="shared" ca="1" si="4"/>
        <v>3.7234042553263477E-4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input_497100!A$2</f>
        <v>497100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IFERROR(VLOOKUP(B114,input_497100!L:R,7,FALSE),VLOOKUP(tables_497100!C114,input_497100!A:H,8,FALSE))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input_497100!A$2</f>
        <v>497100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IFERROR(VLOOKUP(B115,input_497100!L:R,7,FALSE),VLOOKUP(tables_497100!C115,input_497100!A:H,8,FALSE))</f>
        <v>389983.84615</v>
      </c>
      <c r="P115" s="46">
        <f t="shared" ca="1" si="4"/>
        <v>6.286006546595003E-3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input_497100!A$2</f>
        <v>497100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IFERROR(VLOOKUP(B116,input_497100!L:R,7,FALSE),VLOOKUP(tables_497100!C116,input_497100!A:H,8,FALSE))</f>
        <v>12706.53846</v>
      </c>
      <c r="P116" s="46">
        <f t="shared" ca="1" si="4"/>
        <v>2.048120319152896E-4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input_497100!A$2</f>
        <v>497100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IFERROR(VLOOKUP(B117,input_497100!L:R,7,FALSE),VLOOKUP(tables_497100!C117,input_497100!A:H,8,FALSE))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input_497100!A$2</f>
        <v>497100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IFERROR(VLOOKUP(B118,input_497100!L:R,7,FALSE),VLOOKUP(tables_497100!C118,input_497100!A:H,8,FALSE))</f>
        <v>389983.84615</v>
      </c>
      <c r="P118" s="46">
        <f t="shared" ca="1" si="4"/>
        <v>6.286006546595003E-3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input_497100!A$2</f>
        <v>497100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IFERROR(VLOOKUP(B119,input_497100!L:R,7,FALSE),VLOOKUP(tables_497100!C119,input_497100!A:H,8,FALSE))</f>
        <v>12706.53846</v>
      </c>
      <c r="P119" s="46">
        <f t="shared" ca="1" si="4"/>
        <v>2.048120319152896E-4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input_497100!A$2</f>
        <v>497100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IFERROR(VLOOKUP(B120,input_497100!L:R,7,FALSE),VLOOKUP(tables_497100!C120,input_497100!A:H,8,FALSE))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input_497100!A$2</f>
        <v>497100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IFERROR(VLOOKUP(B121,input_497100!L:R,7,FALSE),VLOOKUP(tables_497100!C121,input_497100!A:H,8,FALSE))</f>
        <v>389983.84615</v>
      </c>
      <c r="P121" s="46">
        <f t="shared" ca="1" si="4"/>
        <v>6.286006546595003E-3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input_497100!A$2</f>
        <v>497100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IFERROR(VLOOKUP(B122,input_497100!L:R,7,FALSE),VLOOKUP(tables_497100!C122,input_497100!A:H,8,FALSE))</f>
        <v>12706.53846</v>
      </c>
      <c r="P122" s="46">
        <f t="shared" ca="1" si="4"/>
        <v>2.048120319152896E-4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input_497100!A$2</f>
        <v>497100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IFERROR(VLOOKUP(B123,input_497100!L:R,7,FALSE),VLOOKUP(tables_497100!C123,input_497100!A:H,8,FALSE))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input_497100!A$2</f>
        <v>497100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IFERROR(VLOOKUP(B124,input_497100!L:R,7,FALSE),VLOOKUP(tables_497100!C124,input_497100!A:H,8,FALSE))</f>
        <v>389983.84615</v>
      </c>
      <c r="P124" s="46">
        <f t="shared" ca="1" si="4"/>
        <v>6.286006546595003E-3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input_497100!A$2</f>
        <v>497100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IFERROR(VLOOKUP(B125,input_497100!L:R,7,FALSE),VLOOKUP(tables_497100!C125,input_497100!A:H,8,FALSE))</f>
        <v>12706.53846</v>
      </c>
      <c r="P125" s="46">
        <f t="shared" ca="1" si="4"/>
        <v>2.048120319152896E-4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input_497100!A$2</f>
        <v>497100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IFERROR(VLOOKUP(B126,input_497100!L:R,7,FALSE),VLOOKUP(tables_497100!C126,input_497100!A:H,8,FALSE))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input_497100!A$2</f>
        <v>497100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IFERROR(VLOOKUP(B127,input_497100!L:R,7,FALSE),VLOOKUP(tables_497100!C127,input_497100!A:H,8,FALSE))</f>
        <v>389983.84615</v>
      </c>
      <c r="P127" s="46">
        <f t="shared" ca="1" si="4"/>
        <v>6.286006546595003E-3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input_497100!A$2</f>
        <v>497100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IFERROR(VLOOKUP(B128,input_497100!L:R,7,FALSE),VLOOKUP(tables_497100!C128,input_497100!A:H,8,FALSE))</f>
        <v>12706.53846</v>
      </c>
      <c r="P128" s="46">
        <f t="shared" ca="1" si="4"/>
        <v>2.048120319152896E-4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input_497100!A$2</f>
        <v>497100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IFERROR(VLOOKUP(B129,input_497100!L:R,7,FALSE),VLOOKUP(tables_497100!C129,input_497100!A:H,8,FALSE))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input_497100!A$2</f>
        <v>497100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IFERROR(VLOOKUP(B130,input_497100!L:R,7,FALSE),VLOOKUP(tables_497100!C130,input_497100!A:H,8,FALSE))</f>
        <v>389983.84615</v>
      </c>
      <c r="P130" s="46">
        <f t="shared" ref="P130:P193" ca="1" si="7">O130/SUM(O:O)</f>
        <v>6.286006546595003E-3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input_497100!A$2</f>
        <v>497100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IFERROR(VLOOKUP(B131,input_497100!L:R,7,FALSE),VLOOKUP(tables_497100!C131,input_497100!A:H,8,FALSE))</f>
        <v>12706.53846</v>
      </c>
      <c r="P131" s="46">
        <f t="shared" ca="1" si="7"/>
        <v>2.048120319152896E-4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input_497100!A$2</f>
        <v>497100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IFERROR(VLOOKUP(B132,input_497100!L:R,7,FALSE),VLOOKUP(tables_497100!C132,input_497100!A:H,8,FALSE))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input_497100!A$2</f>
        <v>497100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IFERROR(VLOOKUP(B133,input_497100!L:R,7,FALSE),VLOOKUP(tables_497100!C133,input_497100!A:H,8,FALSE))</f>
        <v>389983.84615</v>
      </c>
      <c r="P133" s="46">
        <f t="shared" ca="1" si="7"/>
        <v>6.286006546595003E-3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input_497100!A$2</f>
        <v>497100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IFERROR(VLOOKUP(B134,input_497100!L:R,7,FALSE),VLOOKUP(tables_497100!C134,input_497100!A:H,8,FALSE))</f>
        <v>12706.53846</v>
      </c>
      <c r="P134" s="46">
        <f t="shared" ca="1" si="7"/>
        <v>2.048120319152896E-4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input_497100!A$2</f>
        <v>497100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IFERROR(VLOOKUP(B135,input_497100!L:R,7,FALSE),VLOOKUP(tables_497100!C135,input_497100!A:H,8,FALSE))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input_497100!A$2</f>
        <v>497100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IFERROR(VLOOKUP(B136,input_497100!L:R,7,FALSE),VLOOKUP(tables_497100!C136,input_497100!A:H,8,FALSE))</f>
        <v>389983.84615</v>
      </c>
      <c r="P136" s="46">
        <f t="shared" ca="1" si="7"/>
        <v>6.286006546595003E-3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input_497100!A$2</f>
        <v>497100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IFERROR(VLOOKUP(B137,input_497100!L:R,7,FALSE),VLOOKUP(tables_497100!C137,input_497100!A:H,8,FALSE))</f>
        <v>12706.53846</v>
      </c>
      <c r="P137" s="46">
        <f t="shared" ca="1" si="7"/>
        <v>2.048120319152896E-4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input_497100!A$2</f>
        <v>497100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IFERROR(VLOOKUP(B138,input_497100!L:R,7,FALSE),VLOOKUP(tables_497100!C138,input_497100!A:H,8,FALSE))</f>
        <v>51129.28572</v>
      </c>
      <c r="P138" s="46">
        <f t="shared" ca="1" si="7"/>
        <v>8.2413419922789896E-4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input_497100!A$2</f>
        <v>497100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IFERROR(VLOOKUP(B139,input_497100!L:R,7,FALSE),VLOOKUP(tables_497100!C139,input_497100!A:H,8,FALSE))</f>
        <v>1175</v>
      </c>
      <c r="P139" s="46">
        <f t="shared" ca="1" si="7"/>
        <v>1.8939393939430555E-5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input_497100!A$2</f>
        <v>497100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IFERROR(VLOOKUP(B140,input_497100!L:R,7,FALSE),VLOOKUP(tables_497100!C140,input_497100!A:H,8,FALSE))</f>
        <v>51129.28572</v>
      </c>
      <c r="P140" s="46">
        <f t="shared" ca="1" si="7"/>
        <v>8.2413419922789896E-4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input_497100!A$2</f>
        <v>497100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IFERROR(VLOOKUP(B141,input_497100!L:R,7,FALSE),VLOOKUP(tables_497100!C141,input_497100!A:H,8,FALSE))</f>
        <v>1175</v>
      </c>
      <c r="P141" s="46">
        <f t="shared" ca="1" si="7"/>
        <v>1.8939393939430555E-5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input_497100!A$2</f>
        <v>497100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IFERROR(VLOOKUP(B142,input_497100!L:R,7,FALSE),VLOOKUP(tables_497100!C142,input_497100!A:H,8,FALSE))</f>
        <v>51129.28572</v>
      </c>
      <c r="P142" s="46">
        <f t="shared" ca="1" si="7"/>
        <v>8.2413419922789896E-4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input_497100!A$2</f>
        <v>497100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IFERROR(VLOOKUP(B143,input_497100!L:R,7,FALSE),VLOOKUP(tables_497100!C143,input_497100!A:H,8,FALSE))</f>
        <v>1175</v>
      </c>
      <c r="P143" s="46">
        <f t="shared" ca="1" si="7"/>
        <v>1.8939393939430555E-5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input_497100!A$2</f>
        <v>497100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IFERROR(VLOOKUP(B144,input_497100!L:R,7,FALSE),VLOOKUP(tables_497100!C144,input_497100!A:H,8,FALSE))</f>
        <v>51129.28572</v>
      </c>
      <c r="P144" s="46">
        <f t="shared" ca="1" si="7"/>
        <v>8.2413419922789896E-4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input_497100!A$2</f>
        <v>497100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IFERROR(VLOOKUP(B145,input_497100!L:R,7,FALSE),VLOOKUP(tables_497100!C145,input_497100!A:H,8,FALSE))</f>
        <v>1175</v>
      </c>
      <c r="P145" s="46">
        <f t="shared" ca="1" si="7"/>
        <v>1.8939393939430555E-5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input_497100!A$2</f>
        <v>497100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IFERROR(VLOOKUP(B146,input_497100!L:R,7,FALSE),VLOOKUP(tables_497100!C146,input_497100!A:H,8,FALSE))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input_497100!A$2</f>
        <v>497100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IFERROR(VLOOKUP(B147,input_497100!L:R,7,FALSE),VLOOKUP(tables_497100!C147,input_497100!A:H,8,FALSE))</f>
        <v>389983.84615</v>
      </c>
      <c r="P147" s="46">
        <f t="shared" ca="1" si="7"/>
        <v>6.286006546595003E-3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input_497100!A$2</f>
        <v>497100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IFERROR(VLOOKUP(B148,input_497100!L:R,7,FALSE),VLOOKUP(tables_497100!C148,input_497100!A:H,8,FALSE))</f>
        <v>12706.53846</v>
      </c>
      <c r="P148" s="46">
        <f t="shared" ca="1" si="7"/>
        <v>2.048120319152896E-4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input_497100!A$2</f>
        <v>497100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IFERROR(VLOOKUP(B149,input_497100!L:R,7,FALSE),VLOOKUP(tables_497100!C149,input_497100!A:H,8,FALSE))</f>
        <v>51129.28572</v>
      </c>
      <c r="P149" s="46">
        <f t="shared" ca="1" si="7"/>
        <v>8.2413419922789896E-4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input_497100!A$2</f>
        <v>497100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IFERROR(VLOOKUP(B150,input_497100!L:R,7,FALSE),VLOOKUP(tables_497100!C150,input_497100!A:H,8,FALSE))</f>
        <v>1175</v>
      </c>
      <c r="P150" s="46">
        <f t="shared" ca="1" si="7"/>
        <v>1.8939393939430555E-5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input_497100!A$2</f>
        <v>497100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IFERROR(VLOOKUP(B151,input_497100!L:R,7,FALSE),VLOOKUP(tables_497100!C151,input_497100!A:H,8,FALSE))</f>
        <v>51129.28572</v>
      </c>
      <c r="P151" s="46">
        <f t="shared" ca="1" si="7"/>
        <v>8.2413419922789896E-4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input_497100!A$2</f>
        <v>497100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IFERROR(VLOOKUP(B152,input_497100!L:R,7,FALSE),VLOOKUP(tables_497100!C152,input_497100!A:H,8,FALSE))</f>
        <v>1175</v>
      </c>
      <c r="P152" s="46">
        <f t="shared" ca="1" si="7"/>
        <v>1.8939393939430555E-5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input_497100!A$2</f>
        <v>497100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IFERROR(VLOOKUP(B153,input_497100!L:R,7,FALSE),VLOOKUP(tables_497100!C153,input_497100!A:H,8,FALSE))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input_497100!A$2</f>
        <v>497100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IFERROR(VLOOKUP(B154,input_497100!L:R,7,FALSE),VLOOKUP(tables_497100!C154,input_497100!A:H,8,FALSE))</f>
        <v>389983.84615</v>
      </c>
      <c r="P154" s="46">
        <f t="shared" ca="1" si="7"/>
        <v>6.286006546595003E-3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input_497100!A$2</f>
        <v>497100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IFERROR(VLOOKUP(B155,input_497100!L:R,7,FALSE),VLOOKUP(tables_497100!C155,input_497100!A:H,8,FALSE))</f>
        <v>12706.53846</v>
      </c>
      <c r="P155" s="46">
        <f t="shared" ca="1" si="7"/>
        <v>2.048120319152896E-4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input_497100!A$2</f>
        <v>497100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IFERROR(VLOOKUP(B156,input_497100!L:R,7,FALSE),VLOOKUP(tables_497100!C156,input_497100!A:H,8,FALSE))</f>
        <v>51129.28572</v>
      </c>
      <c r="P156" s="46">
        <f t="shared" ca="1" si="7"/>
        <v>8.2413419922789896E-4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input_497100!A$2</f>
        <v>497100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IFERROR(VLOOKUP(B157,input_497100!L:R,7,FALSE),VLOOKUP(tables_497100!C157,input_497100!A:H,8,FALSE))</f>
        <v>1175</v>
      </c>
      <c r="P157" s="46">
        <f t="shared" ca="1" si="7"/>
        <v>1.8939393939430555E-5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input_497100!A$2</f>
        <v>497100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IFERROR(VLOOKUP(B158,input_497100!L:R,7,FALSE),VLOOKUP(tables_497100!C158,input_497100!A:H,8,FALSE))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input_497100!A$2</f>
        <v>497100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IFERROR(VLOOKUP(B159,input_497100!L:R,7,FALSE),VLOOKUP(tables_497100!C159,input_497100!A:H,8,FALSE))</f>
        <v>389983.84615</v>
      </c>
      <c r="P159" s="46">
        <f t="shared" ca="1" si="7"/>
        <v>6.286006546595003E-3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input_497100!A$2</f>
        <v>497100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IFERROR(VLOOKUP(B160,input_497100!L:R,7,FALSE),VLOOKUP(tables_497100!C160,input_497100!A:H,8,FALSE))</f>
        <v>12706.53846</v>
      </c>
      <c r="P160" s="46">
        <f t="shared" ca="1" si="7"/>
        <v>2.048120319152896E-4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input_497100!A$2</f>
        <v>497100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IFERROR(VLOOKUP(B161,input_497100!L:R,7,FALSE),VLOOKUP(tables_497100!C161,input_497100!A:H,8,FALSE))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input_497100!A$2</f>
        <v>497100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IFERROR(VLOOKUP(B162,input_497100!L:R,7,FALSE),VLOOKUP(tables_497100!C162,input_497100!A:H,8,FALSE))</f>
        <v>389983.84615</v>
      </c>
      <c r="P162" s="46">
        <f t="shared" ca="1" si="7"/>
        <v>6.286006546595003E-3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input_497100!A$2</f>
        <v>497100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IFERROR(VLOOKUP(B163,input_497100!L:R,7,FALSE),VLOOKUP(tables_497100!C163,input_497100!A:H,8,FALSE))</f>
        <v>12706.53846</v>
      </c>
      <c r="P163" s="46">
        <f t="shared" ca="1" si="7"/>
        <v>2.048120319152896E-4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input_497100!A$2</f>
        <v>497100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IFERROR(VLOOKUP(B164,input_497100!L:R,7,FALSE),VLOOKUP(tables_497100!C164,input_497100!A:H,8,FALSE))</f>
        <v>51129.28572</v>
      </c>
      <c r="P164" s="46">
        <f t="shared" ca="1" si="7"/>
        <v>8.2413419922789896E-4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input_497100!A$2</f>
        <v>497100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IFERROR(VLOOKUP(B165,input_497100!L:R,7,FALSE),VLOOKUP(tables_497100!C165,input_497100!A:H,8,FALSE))</f>
        <v>1175</v>
      </c>
      <c r="P165" s="46">
        <f t="shared" ca="1" si="7"/>
        <v>1.8939393939430555E-5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input_497100!A$2</f>
        <v>497100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IFERROR(VLOOKUP(B166,input_497100!L:R,7,FALSE),VLOOKUP(tables_497100!C166,input_497100!A:H,8,FALSE))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input_497100!A$2</f>
        <v>497100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IFERROR(VLOOKUP(B167,input_497100!L:R,7,FALSE),VLOOKUP(tables_497100!C167,input_497100!A:H,8,FALSE))</f>
        <v>389983.84615</v>
      </c>
      <c r="P167" s="46">
        <f t="shared" ca="1" si="7"/>
        <v>6.286006546595003E-3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input_497100!A$2</f>
        <v>497100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IFERROR(VLOOKUP(B168,input_497100!L:R,7,FALSE),VLOOKUP(tables_497100!C168,input_497100!A:H,8,FALSE))</f>
        <v>12706.53846</v>
      </c>
      <c r="P168" s="46">
        <f t="shared" ca="1" si="7"/>
        <v>2.048120319152896E-4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input_497100!A$2</f>
        <v>497100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IFERROR(VLOOKUP(B169,input_497100!L:R,7,FALSE),VLOOKUP(tables_497100!C169,input_497100!A:H,8,FALSE))</f>
        <v>51129.28572</v>
      </c>
      <c r="P169" s="46">
        <f t="shared" ca="1" si="7"/>
        <v>8.2413419922789896E-4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input_497100!A$2</f>
        <v>497100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IFERROR(VLOOKUP(B170,input_497100!L:R,7,FALSE),VLOOKUP(tables_497100!C170,input_497100!A:H,8,FALSE))</f>
        <v>1175</v>
      </c>
      <c r="P170" s="46">
        <f t="shared" ca="1" si="7"/>
        <v>1.8939393939430555E-5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input_497100!A$2</f>
        <v>497100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IFERROR(VLOOKUP(B171,input_497100!L:R,7,FALSE),VLOOKUP(tables_497100!C171,input_497100!A:H,8,FALSE))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input_497100!A$2</f>
        <v>497100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IFERROR(VLOOKUP(B172,input_497100!L:R,7,FALSE),VLOOKUP(tables_497100!C172,input_497100!A:H,8,FALSE))</f>
        <v>389983.84615</v>
      </c>
      <c r="P172" s="46">
        <f t="shared" ca="1" si="7"/>
        <v>6.286006546595003E-3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input_497100!A$2</f>
        <v>497100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IFERROR(VLOOKUP(B173,input_497100!L:R,7,FALSE),VLOOKUP(tables_497100!C173,input_497100!A:H,8,FALSE))</f>
        <v>12706.53846</v>
      </c>
      <c r="P173" s="46">
        <f t="shared" ca="1" si="7"/>
        <v>2.048120319152896E-4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input_497100!A$2</f>
        <v>497100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IFERROR(VLOOKUP(B174,input_497100!L:R,7,FALSE),VLOOKUP(tables_497100!C174,input_497100!A:H,8,FALSE))</f>
        <v>51129.28572</v>
      </c>
      <c r="P174" s="46">
        <f t="shared" ca="1" si="7"/>
        <v>8.2413419922789896E-4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input_497100!A$2</f>
        <v>497100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IFERROR(VLOOKUP(B175,input_497100!L:R,7,FALSE),VLOOKUP(tables_497100!C175,input_497100!A:H,8,FALSE))</f>
        <v>1175</v>
      </c>
      <c r="P175" s="46">
        <f t="shared" ca="1" si="7"/>
        <v>1.8939393939430555E-5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input_497100!A$2</f>
        <v>497100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IFERROR(VLOOKUP(B176,input_497100!L:R,7,FALSE),VLOOKUP(tables_497100!C176,input_497100!A:H,8,FALSE))</f>
        <v>51129.28572</v>
      </c>
      <c r="P176" s="46">
        <f t="shared" ca="1" si="7"/>
        <v>8.2413419922789896E-4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input_497100!A$2</f>
        <v>497100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IFERROR(VLOOKUP(B177,input_497100!L:R,7,FALSE),VLOOKUP(tables_497100!C177,input_497100!A:H,8,FALSE))</f>
        <v>1175</v>
      </c>
      <c r="P177" s="46">
        <f t="shared" ca="1" si="7"/>
        <v>1.8939393939430555E-5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input_497100!A$2</f>
        <v>497100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IFERROR(VLOOKUP(B178,input_497100!L:R,7,FALSE),VLOOKUP(tables_497100!C178,input_497100!A:H,8,FALSE))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input_497100!A$2</f>
        <v>497100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IFERROR(VLOOKUP(B179,input_497100!L:R,7,FALSE),VLOOKUP(tables_497100!C179,input_497100!A:H,8,FALSE))</f>
        <v>389983.84615</v>
      </c>
      <c r="P179" s="46">
        <f t="shared" ca="1" si="7"/>
        <v>6.286006546595003E-3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input_497100!A$2</f>
        <v>497100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IFERROR(VLOOKUP(B180,input_497100!L:R,7,FALSE),VLOOKUP(tables_497100!C180,input_497100!A:H,8,FALSE))</f>
        <v>12706.53846</v>
      </c>
      <c r="P180" s="46">
        <f t="shared" ca="1" si="7"/>
        <v>2.048120319152896E-4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input_497100!A$2</f>
        <v>497100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IFERROR(VLOOKUP(B181,input_497100!L:R,7,FALSE),VLOOKUP(tables_497100!C181,input_497100!A:H,8,FALSE))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input_497100!A$2</f>
        <v>497100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IFERROR(VLOOKUP(B182,input_497100!L:R,7,FALSE),VLOOKUP(tables_497100!C182,input_497100!A:H,8,FALSE))</f>
        <v>389983.84615</v>
      </c>
      <c r="P182" s="46">
        <f t="shared" ca="1" si="7"/>
        <v>6.286006546595003E-3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input_497100!A$2</f>
        <v>497100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IFERROR(VLOOKUP(B183,input_497100!L:R,7,FALSE),VLOOKUP(tables_497100!C183,input_497100!A:H,8,FALSE))</f>
        <v>12706.53846</v>
      </c>
      <c r="P183" s="46">
        <f t="shared" ca="1" si="7"/>
        <v>2.048120319152896E-4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input_497100!A$2</f>
        <v>497100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IFERROR(VLOOKUP(B184,input_497100!L:R,7,FALSE),VLOOKUP(tables_497100!C184,input_497100!A:H,8,FALSE))</f>
        <v>51129.28572</v>
      </c>
      <c r="P184" s="46">
        <f t="shared" ca="1" si="7"/>
        <v>8.2413419922789896E-4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input_497100!A$2</f>
        <v>497100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IFERROR(VLOOKUP(B185,input_497100!L:R,7,FALSE),VLOOKUP(tables_497100!C185,input_497100!A:H,8,FALSE))</f>
        <v>1175</v>
      </c>
      <c r="P185" s="46">
        <f t="shared" ca="1" si="7"/>
        <v>1.8939393939430555E-5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input_497100!A$2</f>
        <v>497100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IFERROR(VLOOKUP(B186,input_497100!L:R,7,FALSE),VLOOKUP(tables_497100!C186,input_497100!A:H,8,FALSE))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input_497100!A$2</f>
        <v>497100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IFERROR(VLOOKUP(B187,input_497100!L:R,7,FALSE),VLOOKUP(tables_497100!C187,input_497100!A:H,8,FALSE))</f>
        <v>389983.84615</v>
      </c>
      <c r="P187" s="46">
        <f t="shared" ca="1" si="7"/>
        <v>6.286006546595003E-3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input_497100!A$2</f>
        <v>497100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IFERROR(VLOOKUP(B188,input_497100!L:R,7,FALSE),VLOOKUP(tables_497100!C188,input_497100!A:H,8,FALSE))</f>
        <v>12706.53846</v>
      </c>
      <c r="P188" s="46">
        <f t="shared" ca="1" si="7"/>
        <v>2.048120319152896E-4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input_497100!A$2</f>
        <v>497100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IFERROR(VLOOKUP(B189,input_497100!L:R,7,FALSE),VLOOKUP(tables_497100!C189,input_497100!A:H,8,FALSE))</f>
        <v>51129.28572</v>
      </c>
      <c r="P189" s="46">
        <f t="shared" ca="1" si="7"/>
        <v>8.2413419922789896E-4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input_497100!A$2</f>
        <v>497100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IFERROR(VLOOKUP(B190,input_497100!L:R,7,FALSE),VLOOKUP(tables_497100!C190,input_497100!A:H,8,FALSE))</f>
        <v>1175</v>
      </c>
      <c r="P190" s="46">
        <f t="shared" ca="1" si="7"/>
        <v>1.8939393939430555E-5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input_497100!A$2</f>
        <v>497100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IFERROR(VLOOKUP(B191,input_497100!L:R,7,FALSE),VLOOKUP(tables_497100!C191,input_497100!A:H,8,FALSE))</f>
        <v>51129.28572</v>
      </c>
      <c r="P191" s="46">
        <f t="shared" ca="1" si="7"/>
        <v>8.2413419922789896E-4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input_497100!A$2</f>
        <v>497100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IFERROR(VLOOKUP(B192,input_497100!L:R,7,FALSE),VLOOKUP(tables_497100!C192,input_497100!A:H,8,FALSE))</f>
        <v>1175</v>
      </c>
      <c r="P192" s="46">
        <f t="shared" ca="1" si="7"/>
        <v>1.8939393939430555E-5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input_497100!A$2</f>
        <v>497100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IFERROR(VLOOKUP(B193,input_497100!L:R,7,FALSE),VLOOKUP(tables_497100!C193,input_497100!A:H,8,FALSE))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input_497100!A$2</f>
        <v>497100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IFERROR(VLOOKUP(B194,input_497100!L:R,7,FALSE),VLOOKUP(tables_497100!C194,input_497100!A:H,8,FALSE))</f>
        <v>389983.84615</v>
      </c>
      <c r="P194" s="46">
        <f t="shared" ref="P194:P257" ca="1" si="10">O194/SUM(O:O)</f>
        <v>6.286006546595003E-3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input_497100!A$2</f>
        <v>497100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IFERROR(VLOOKUP(B195,input_497100!L:R,7,FALSE),VLOOKUP(tables_497100!C195,input_497100!A:H,8,FALSE))</f>
        <v>12706.53846</v>
      </c>
      <c r="P195" s="46">
        <f t="shared" ca="1" si="10"/>
        <v>2.048120319152896E-4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input_497100!A$2</f>
        <v>497100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IFERROR(VLOOKUP(B196,input_497100!L:R,7,FALSE),VLOOKUP(tables_497100!C196,input_497100!A:H,8,FALSE))</f>
        <v>51129.28572</v>
      </c>
      <c r="P196" s="46">
        <f t="shared" ca="1" si="10"/>
        <v>8.2413419922789896E-4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input_497100!A$2</f>
        <v>497100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IFERROR(VLOOKUP(B197,input_497100!L:R,7,FALSE),VLOOKUP(tables_497100!C197,input_497100!A:H,8,FALSE))</f>
        <v>1175</v>
      </c>
      <c r="P197" s="46">
        <f t="shared" ca="1" si="10"/>
        <v>1.8939393939430555E-5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input_497100!A$2</f>
        <v>497100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IFERROR(VLOOKUP(B198,input_497100!L:R,7,FALSE),VLOOKUP(tables_497100!C198,input_497100!A:H,8,FALSE))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input_497100!A$2</f>
        <v>497100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IFERROR(VLOOKUP(B199,input_497100!L:R,7,FALSE),VLOOKUP(tables_497100!C199,input_497100!A:H,8,FALSE))</f>
        <v>389983.84615</v>
      </c>
      <c r="P199" s="46">
        <f t="shared" ca="1" si="10"/>
        <v>6.286006546595003E-3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input_497100!A$2</f>
        <v>497100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IFERROR(VLOOKUP(B200,input_497100!L:R,7,FALSE),VLOOKUP(tables_497100!C200,input_497100!A:H,8,FALSE))</f>
        <v>12706.53846</v>
      </c>
      <c r="P200" s="46">
        <f t="shared" ca="1" si="10"/>
        <v>2.048120319152896E-4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input_497100!A$2</f>
        <v>497100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IFERROR(VLOOKUP(B201,input_497100!L:R,7,FALSE),VLOOKUP(tables_497100!C201,input_497100!A:H,8,FALSE))</f>
        <v>51129.28572</v>
      </c>
      <c r="P201" s="46">
        <f t="shared" ca="1" si="10"/>
        <v>8.2413419922789896E-4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input_497100!A$2</f>
        <v>497100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IFERROR(VLOOKUP(B202,input_497100!L:R,7,FALSE),VLOOKUP(tables_497100!C202,input_497100!A:H,8,FALSE))</f>
        <v>1175</v>
      </c>
      <c r="P202" s="46">
        <f t="shared" ca="1" si="10"/>
        <v>1.8939393939430555E-5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input_497100!A$2</f>
        <v>497100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IFERROR(VLOOKUP(B203,input_497100!L:R,7,FALSE),VLOOKUP(tables_497100!C203,input_497100!A:H,8,FALSE))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input_497100!A$2</f>
        <v>497100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IFERROR(VLOOKUP(B204,input_497100!L:R,7,FALSE),VLOOKUP(tables_497100!C204,input_497100!A:H,8,FALSE))</f>
        <v>389983.84615</v>
      </c>
      <c r="P204" s="46">
        <f t="shared" ca="1" si="10"/>
        <v>6.286006546595003E-3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input_497100!A$2</f>
        <v>497100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IFERROR(VLOOKUP(B205,input_497100!L:R,7,FALSE),VLOOKUP(tables_497100!C205,input_497100!A:H,8,FALSE))</f>
        <v>12706.53846</v>
      </c>
      <c r="P205" s="46">
        <f t="shared" ca="1" si="10"/>
        <v>2.048120319152896E-4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input_497100!A$2</f>
        <v>497100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IFERROR(VLOOKUP(B206,input_497100!L:R,7,FALSE),VLOOKUP(tables_497100!C206,input_497100!A:H,8,FALSE))</f>
        <v>51129.28572</v>
      </c>
      <c r="P206" s="46">
        <f t="shared" ca="1" si="10"/>
        <v>8.2413419922789896E-4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input_497100!A$2</f>
        <v>497100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IFERROR(VLOOKUP(B207,input_497100!L:R,7,FALSE),VLOOKUP(tables_497100!C207,input_497100!A:H,8,FALSE))</f>
        <v>1175</v>
      </c>
      <c r="P207" s="46">
        <f t="shared" ca="1" si="10"/>
        <v>1.8939393939430555E-5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input_497100!A$2</f>
        <v>497100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IFERROR(VLOOKUP(B208,input_497100!L:R,7,FALSE),VLOOKUP(tables_497100!C208,input_497100!A:H,8,FALSE))</f>
        <v>51129.28572</v>
      </c>
      <c r="P208" s="46">
        <f t="shared" ca="1" si="10"/>
        <v>8.2413419922789896E-4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input_497100!A$2</f>
        <v>497100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IFERROR(VLOOKUP(B209,input_497100!L:R,7,FALSE),VLOOKUP(tables_497100!C209,input_497100!A:H,8,FALSE))</f>
        <v>1175</v>
      </c>
      <c r="P209" s="46">
        <f t="shared" ca="1" si="10"/>
        <v>1.8939393939430555E-5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input_497100!A$2</f>
        <v>497100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IFERROR(VLOOKUP(B210,input_497100!L:R,7,FALSE),VLOOKUP(tables_497100!C210,input_497100!A:H,8,FALSE))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input_497100!A$2</f>
        <v>497100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IFERROR(VLOOKUP(B211,input_497100!L:R,7,FALSE),VLOOKUP(tables_497100!C211,input_497100!A:H,8,FALSE))</f>
        <v>389983.84615</v>
      </c>
      <c r="P211" s="46">
        <f t="shared" ca="1" si="10"/>
        <v>6.286006546595003E-3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input_497100!A$2</f>
        <v>497100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IFERROR(VLOOKUP(B212,input_497100!L:R,7,FALSE),VLOOKUP(tables_497100!C212,input_497100!A:H,8,FALSE))</f>
        <v>12706.53846</v>
      </c>
      <c r="P212" s="46">
        <f t="shared" ca="1" si="10"/>
        <v>2.048120319152896E-4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input_497100!A$2</f>
        <v>497100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IFERROR(VLOOKUP(B213,input_497100!L:R,7,FALSE),VLOOKUP(tables_497100!C213,input_497100!A:H,8,FALSE))</f>
        <v>51129.28572</v>
      </c>
      <c r="P213" s="46">
        <f t="shared" ca="1" si="10"/>
        <v>8.2413419922789896E-4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input_497100!A$2</f>
        <v>497100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IFERROR(VLOOKUP(B214,input_497100!L:R,7,FALSE),VLOOKUP(tables_497100!C214,input_497100!A:H,8,FALSE))</f>
        <v>1175</v>
      </c>
      <c r="P214" s="46">
        <f t="shared" ca="1" si="10"/>
        <v>1.8939393939430555E-5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input_497100!A$2</f>
        <v>497100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IFERROR(VLOOKUP(B215,input_497100!L:R,7,FALSE),VLOOKUP(tables_497100!C215,input_497100!A:H,8,FALSE))</f>
        <v>2420</v>
      </c>
      <c r="P215" s="46">
        <f t="shared" ca="1" si="10"/>
        <v>3.9007092198656974E-5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input_497100!A$2</f>
        <v>497100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IFERROR(VLOOKUP(B216,input_497100!L:R,7,FALSE),VLOOKUP(tables_497100!C216,input_497100!A:H,8,FALSE))</f>
        <v>2420</v>
      </c>
      <c r="P216" s="46">
        <f t="shared" ca="1" si="10"/>
        <v>3.9007092198656974E-5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input_497100!A$2</f>
        <v>497100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IFERROR(VLOOKUP(B217,input_497100!L:R,7,FALSE),VLOOKUP(tables_497100!C217,input_497100!A:H,8,FALSE))</f>
        <v>2420</v>
      </c>
      <c r="P217" s="46">
        <f t="shared" ca="1" si="10"/>
        <v>3.9007092198656974E-5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input_497100!A$2</f>
        <v>497100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IFERROR(VLOOKUP(B218,input_497100!L:R,7,FALSE),VLOOKUP(tables_497100!C218,input_497100!A:H,8,FALSE))</f>
        <v>2420</v>
      </c>
      <c r="P218" s="46">
        <f t="shared" ca="1" si="10"/>
        <v>3.9007092198656974E-5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input_497100!A$2</f>
        <v>497100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IFERROR(VLOOKUP(B219,input_497100!L:R,7,FALSE),VLOOKUP(tables_497100!C219,input_497100!A:H,8,FALSE))</f>
        <v>2420</v>
      </c>
      <c r="P219" s="46">
        <f t="shared" ca="1" si="10"/>
        <v>3.9007092198656974E-5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input_497100!A$2</f>
        <v>497100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IFERROR(VLOOKUP(B220,input_497100!L:R,7,FALSE),VLOOKUP(tables_497100!C220,input_497100!A:H,8,FALSE))</f>
        <v>2420</v>
      </c>
      <c r="P220" s="46">
        <f t="shared" ca="1" si="10"/>
        <v>3.9007092198656974E-5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input_497100!A$2</f>
        <v>497100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IFERROR(VLOOKUP(B221,input_497100!L:R,7,FALSE),VLOOKUP(tables_497100!C221,input_497100!A:H,8,FALSE))</f>
        <v>51129.28572</v>
      </c>
      <c r="P221" s="46">
        <f t="shared" ca="1" si="10"/>
        <v>8.2413419922789896E-4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input_497100!A$2</f>
        <v>497100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IFERROR(VLOOKUP(B222,input_497100!L:R,7,FALSE),VLOOKUP(tables_497100!C222,input_497100!A:H,8,FALSE))</f>
        <v>1175</v>
      </c>
      <c r="P222" s="46">
        <f t="shared" ca="1" si="10"/>
        <v>1.8939393939430555E-5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input_497100!A$2</f>
        <v>497100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IFERROR(VLOOKUP(B223,input_497100!L:R,7,FALSE),VLOOKUP(tables_497100!C223,input_497100!A:H,8,FALSE))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input_497100!A$2</f>
        <v>497100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IFERROR(VLOOKUP(B224,input_497100!L:R,7,FALSE),VLOOKUP(tables_497100!C224,input_497100!A:H,8,FALSE))</f>
        <v>389983.84615</v>
      </c>
      <c r="P224" s="46">
        <f t="shared" ca="1" si="10"/>
        <v>6.286006546595003E-3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input_497100!A$2</f>
        <v>497100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IFERROR(VLOOKUP(B225,input_497100!L:R,7,FALSE),VLOOKUP(tables_497100!C225,input_497100!A:H,8,FALSE))</f>
        <v>12706.53846</v>
      </c>
      <c r="P225" s="46">
        <f t="shared" ca="1" si="10"/>
        <v>2.048120319152896E-4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input_497100!A$2</f>
        <v>497100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IFERROR(VLOOKUP(B226,input_497100!L:R,7,FALSE),VLOOKUP(tables_497100!C226,input_497100!A:H,8,FALSE))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input_497100!A$2</f>
        <v>497100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IFERROR(VLOOKUP(B227,input_497100!L:R,7,FALSE),VLOOKUP(tables_497100!C227,input_497100!A:H,8,FALSE))</f>
        <v>389983.84615</v>
      </c>
      <c r="P227" s="46">
        <f t="shared" ca="1" si="10"/>
        <v>6.286006546595003E-3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input_497100!A$2</f>
        <v>497100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IFERROR(VLOOKUP(B228,input_497100!L:R,7,FALSE),VLOOKUP(tables_497100!C228,input_497100!A:H,8,FALSE))</f>
        <v>12706.53846</v>
      </c>
      <c r="P228" s="46">
        <f t="shared" ca="1" si="10"/>
        <v>2.048120319152896E-4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input_497100!A$2</f>
        <v>497100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IFERROR(VLOOKUP(B229,input_497100!L:R,7,FALSE),VLOOKUP(tables_497100!C229,input_497100!A:H,8,FALSE))</f>
        <v>51129.28572</v>
      </c>
      <c r="P229" s="46">
        <f t="shared" ca="1" si="10"/>
        <v>8.2413419922789896E-4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input_497100!A$2</f>
        <v>497100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IFERROR(VLOOKUP(B230,input_497100!L:R,7,FALSE),VLOOKUP(tables_497100!C230,input_497100!A:H,8,FALSE))</f>
        <v>1175</v>
      </c>
      <c r="P230" s="46">
        <f t="shared" ca="1" si="10"/>
        <v>1.8939393939430555E-5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input_497100!A$2</f>
        <v>497100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IFERROR(VLOOKUP(B231,input_497100!L:R,7,FALSE),VLOOKUP(tables_497100!C231,input_497100!A:H,8,FALSE))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input_497100!A$2</f>
        <v>497100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IFERROR(VLOOKUP(B232,input_497100!L:R,7,FALSE),VLOOKUP(tables_497100!C232,input_497100!A:H,8,FALSE))</f>
        <v>389983.84615</v>
      </c>
      <c r="P232" s="46">
        <f t="shared" ca="1" si="10"/>
        <v>6.286006546595003E-3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input_497100!A$2</f>
        <v>497100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IFERROR(VLOOKUP(B233,input_497100!L:R,7,FALSE),VLOOKUP(tables_497100!C233,input_497100!A:H,8,FALSE))</f>
        <v>12706.53846</v>
      </c>
      <c r="P233" s="46">
        <f t="shared" ca="1" si="10"/>
        <v>2.048120319152896E-4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input_497100!A$2</f>
        <v>497100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IFERROR(VLOOKUP(B234,input_497100!L:R,7,FALSE),VLOOKUP(tables_497100!C234,input_497100!A:H,8,FALSE))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input_497100!A$2</f>
        <v>497100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IFERROR(VLOOKUP(B235,input_497100!L:R,7,FALSE),VLOOKUP(tables_497100!C235,input_497100!A:H,8,FALSE))</f>
        <v>389983.84615</v>
      </c>
      <c r="P235" s="46">
        <f t="shared" ca="1" si="10"/>
        <v>6.286006546595003E-3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input_497100!A$2</f>
        <v>497100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IFERROR(VLOOKUP(B236,input_497100!L:R,7,FALSE),VLOOKUP(tables_497100!C236,input_497100!A:H,8,FALSE))</f>
        <v>12706.53846</v>
      </c>
      <c r="P236" s="46">
        <f t="shared" ca="1" si="10"/>
        <v>2.048120319152896E-4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input_497100!A$2</f>
        <v>497100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IFERROR(VLOOKUP(B237,input_497100!L:R,7,FALSE),VLOOKUP(tables_497100!C237,input_497100!A:H,8,FALSE))</f>
        <v>51129.28572</v>
      </c>
      <c r="P237" s="46">
        <f t="shared" ca="1" si="10"/>
        <v>8.2413419922789896E-4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input_497100!A$2</f>
        <v>497100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IFERROR(VLOOKUP(B238,input_497100!L:R,7,FALSE),VLOOKUP(tables_497100!C238,input_497100!A:H,8,FALSE))</f>
        <v>1175</v>
      </c>
      <c r="P238" s="46">
        <f t="shared" ca="1" si="10"/>
        <v>1.8939393939430555E-5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input_497100!A$2</f>
        <v>497100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IFERROR(VLOOKUP(B239,input_497100!L:R,7,FALSE),VLOOKUP(tables_497100!C239,input_497100!A:H,8,FALSE))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input_497100!A$2</f>
        <v>497100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IFERROR(VLOOKUP(B240,input_497100!L:R,7,FALSE),VLOOKUP(tables_497100!C240,input_497100!A:H,8,FALSE))</f>
        <v>389983.84615</v>
      </c>
      <c r="P240" s="46">
        <f t="shared" ca="1" si="10"/>
        <v>6.286006546595003E-3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input_497100!A$2</f>
        <v>497100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IFERROR(VLOOKUP(B241,input_497100!L:R,7,FALSE),VLOOKUP(tables_497100!C241,input_497100!A:H,8,FALSE))</f>
        <v>12706.53846</v>
      </c>
      <c r="P241" s="46">
        <f t="shared" ca="1" si="10"/>
        <v>2.048120319152896E-4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input_497100!A$2</f>
        <v>497100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IFERROR(VLOOKUP(B242,input_497100!L:R,7,FALSE),VLOOKUP(tables_497100!C242,input_497100!A:H,8,FALSE))</f>
        <v>51129.28572</v>
      </c>
      <c r="P242" s="46">
        <f t="shared" ca="1" si="10"/>
        <v>8.2413419922789896E-4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input_497100!A$2</f>
        <v>497100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IFERROR(VLOOKUP(B243,input_497100!L:R,7,FALSE),VLOOKUP(tables_497100!C243,input_497100!A:H,8,FALSE))</f>
        <v>1175</v>
      </c>
      <c r="P243" s="46">
        <f t="shared" ca="1" si="10"/>
        <v>1.8939393939430555E-5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input_497100!A$2</f>
        <v>497100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IFERROR(VLOOKUP(B244,input_497100!L:R,7,FALSE),VLOOKUP(tables_497100!C244,input_497100!A:H,8,FALSE))</f>
        <v>51129.28572</v>
      </c>
      <c r="P244" s="46">
        <f t="shared" ca="1" si="10"/>
        <v>8.2413419922789896E-4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input_497100!A$2</f>
        <v>497100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IFERROR(VLOOKUP(B245,input_497100!L:R,7,FALSE),VLOOKUP(tables_497100!C245,input_497100!A:H,8,FALSE))</f>
        <v>1175</v>
      </c>
      <c r="P245" s="46">
        <f t="shared" ca="1" si="10"/>
        <v>1.8939393939430555E-5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input_497100!A$2</f>
        <v>497100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IFERROR(VLOOKUP(B246,input_497100!L:R,7,FALSE),VLOOKUP(tables_497100!C246,input_497100!A:H,8,FALSE))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input_497100!A$2</f>
        <v>497100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IFERROR(VLOOKUP(B247,input_497100!L:R,7,FALSE),VLOOKUP(tables_497100!C247,input_497100!A:H,8,FALSE))</f>
        <v>389983.84615</v>
      </c>
      <c r="P247" s="46">
        <f t="shared" ca="1" si="10"/>
        <v>6.286006546595003E-3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input_497100!A$2</f>
        <v>497100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IFERROR(VLOOKUP(B248,input_497100!L:R,7,FALSE),VLOOKUP(tables_497100!C248,input_497100!A:H,8,FALSE))</f>
        <v>12706.53846</v>
      </c>
      <c r="P248" s="46">
        <f t="shared" ca="1" si="10"/>
        <v>2.048120319152896E-4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input_497100!A$2</f>
        <v>497100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IFERROR(VLOOKUP(B249,input_497100!L:R,7,FALSE),VLOOKUP(tables_497100!C249,input_497100!A:H,8,FALSE))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input_497100!A$2</f>
        <v>497100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IFERROR(VLOOKUP(B250,input_497100!L:R,7,FALSE),VLOOKUP(tables_497100!C250,input_497100!A:H,8,FALSE))</f>
        <v>389983.84615</v>
      </c>
      <c r="P250" s="46">
        <f t="shared" ca="1" si="10"/>
        <v>6.286006546595003E-3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input_497100!A$2</f>
        <v>497100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IFERROR(VLOOKUP(B251,input_497100!L:R,7,FALSE),VLOOKUP(tables_497100!C251,input_497100!A:H,8,FALSE))</f>
        <v>12706.53846</v>
      </c>
      <c r="P251" s="46">
        <f t="shared" ca="1" si="10"/>
        <v>2.048120319152896E-4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input_497100!A$2</f>
        <v>497100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IFERROR(VLOOKUP(B252,input_497100!L:R,7,FALSE),VLOOKUP(tables_497100!C252,input_497100!A:H,8,FALSE))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input_497100!A$2</f>
        <v>497100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IFERROR(VLOOKUP(B253,input_497100!L:R,7,FALSE),VLOOKUP(tables_497100!C253,input_497100!A:H,8,FALSE))</f>
        <v>389983.84615</v>
      </c>
      <c r="P253" s="46">
        <f t="shared" ca="1" si="10"/>
        <v>6.286006546595003E-3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input_497100!A$2</f>
        <v>497100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IFERROR(VLOOKUP(B254,input_497100!L:R,7,FALSE),VLOOKUP(tables_497100!C254,input_497100!A:H,8,FALSE))</f>
        <v>12706.53846</v>
      </c>
      <c r="P254" s="46">
        <f t="shared" ca="1" si="10"/>
        <v>2.048120319152896E-4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input_497100!A$2</f>
        <v>497100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IFERROR(VLOOKUP(B255,input_497100!L:R,7,FALSE),VLOOKUP(tables_497100!C255,input_497100!A:H,8,FALSE))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input_497100!A$2</f>
        <v>497100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IFERROR(VLOOKUP(B256,input_497100!L:R,7,FALSE),VLOOKUP(tables_497100!C256,input_497100!A:H,8,FALSE))</f>
        <v>389983.84615</v>
      </c>
      <c r="P256" s="46">
        <f t="shared" ca="1" si="10"/>
        <v>6.286006546595003E-3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input_497100!A$2</f>
        <v>497100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IFERROR(VLOOKUP(B257,input_497100!L:R,7,FALSE),VLOOKUP(tables_497100!C257,input_497100!A:H,8,FALSE))</f>
        <v>12706.53846</v>
      </c>
      <c r="P257" s="46">
        <f t="shared" ca="1" si="10"/>
        <v>2.048120319152896E-4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input_497100!A$2</f>
        <v>497100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IFERROR(VLOOKUP(B258,input_497100!L:R,7,FALSE),VLOOKUP(tables_497100!C258,input_497100!A:H,8,FALSE))</f>
        <v>51129.28572</v>
      </c>
      <c r="P258" s="46">
        <f t="shared" ref="P258:P321" ca="1" si="13">O258/SUM(O:O)</f>
        <v>8.2413419922789896E-4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input_497100!A$2</f>
        <v>497100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IFERROR(VLOOKUP(B259,input_497100!L:R,7,FALSE),VLOOKUP(tables_497100!C259,input_497100!A:H,8,FALSE))</f>
        <v>1175</v>
      </c>
      <c r="P259" s="46">
        <f t="shared" ca="1" si="13"/>
        <v>1.8939393939430555E-5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input_497100!A$2</f>
        <v>497100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IFERROR(VLOOKUP(B260,input_497100!L:R,7,FALSE),VLOOKUP(tables_497100!C260,input_497100!A:H,8,FALSE))</f>
        <v>51129.28572</v>
      </c>
      <c r="P260" s="46">
        <f t="shared" ca="1" si="13"/>
        <v>8.2413419922789896E-4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input_497100!A$2</f>
        <v>497100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IFERROR(VLOOKUP(B261,input_497100!L:R,7,FALSE),VLOOKUP(tables_497100!C261,input_497100!A:H,8,FALSE))</f>
        <v>1175</v>
      </c>
      <c r="P261" s="46">
        <f t="shared" ca="1" si="13"/>
        <v>1.8939393939430555E-5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input_497100!A$2</f>
        <v>497100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IFERROR(VLOOKUP(B262,input_497100!L:R,7,FALSE),VLOOKUP(tables_497100!C262,input_497100!A:H,8,FALSE))</f>
        <v>458773.33332999999</v>
      </c>
      <c r="P262" s="46">
        <f t="shared" ca="1" si="13"/>
        <v>7.3947990543340907E-3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input_497100!A$2</f>
        <v>497100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IFERROR(VLOOKUP(B263,input_497100!L:R,7,FALSE),VLOOKUP(tables_497100!C263,input_497100!A:H,8,FALSE))</f>
        <v>2420</v>
      </c>
      <c r="P263" s="46">
        <f t="shared" ca="1" si="13"/>
        <v>3.9007092198656974E-5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input_497100!A$2</f>
        <v>497100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IFERROR(VLOOKUP(B264,input_497100!L:R,7,FALSE),VLOOKUP(tables_497100!C264,input_497100!A:H,8,FALSE))</f>
        <v>458773.33332999999</v>
      </c>
      <c r="P264" s="46">
        <f t="shared" ca="1" si="13"/>
        <v>7.3947990543340907E-3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input_497100!A$2</f>
        <v>497100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IFERROR(VLOOKUP(B265,input_497100!L:R,7,FALSE),VLOOKUP(tables_497100!C265,input_497100!A:H,8,FALSE))</f>
        <v>2420</v>
      </c>
      <c r="P265" s="46">
        <f t="shared" ca="1" si="13"/>
        <v>3.9007092198656974E-5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input_497100!A$2</f>
        <v>497100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IFERROR(VLOOKUP(B266,input_497100!L:R,7,FALSE),VLOOKUP(tables_497100!C266,input_497100!A:H,8,FALSE))</f>
        <v>2275.7894700000002</v>
      </c>
      <c r="P266" s="46">
        <f t="shared" ca="1" si="13"/>
        <v>3.668261557067054E-5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input_497100!A$2</f>
        <v>497100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IFERROR(VLOOKUP(B267,input_497100!L:R,7,FALSE),VLOOKUP(tables_497100!C267,input_497100!A:H,8,FALSE))</f>
        <v>2275.7894700000002</v>
      </c>
      <c r="P267" s="46">
        <f t="shared" ca="1" si="13"/>
        <v>3.668261557067054E-5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input_497100!A$2</f>
        <v>497100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IFERROR(VLOOKUP(B268,input_497100!L:R,7,FALSE),VLOOKUP(tables_497100!C268,input_497100!A:H,8,FALSE))</f>
        <v>2275.7894700000002</v>
      </c>
      <c r="P268" s="46">
        <f t="shared" ca="1" si="13"/>
        <v>3.668261557067054E-5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input_497100!A$2</f>
        <v>497100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IFERROR(VLOOKUP(B269,input_497100!L:R,7,FALSE),VLOOKUP(tables_497100!C269,input_497100!A:H,8,FALSE))</f>
        <v>2275.7894700000002</v>
      </c>
      <c r="P269" s="46">
        <f t="shared" ca="1" si="13"/>
        <v>3.668261557067054E-5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input_497100!A$2</f>
        <v>497100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IFERROR(VLOOKUP(B270,input_497100!L:R,7,FALSE),VLOOKUP(tables_497100!C270,input_497100!A:H,8,FALSE))</f>
        <v>458773.33332999999</v>
      </c>
      <c r="P270" s="46">
        <f t="shared" ca="1" si="13"/>
        <v>7.3947990543340907E-3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input_497100!A$2</f>
        <v>497100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IFERROR(VLOOKUP(B271,input_497100!L:R,7,FALSE),VLOOKUP(tables_497100!C271,input_497100!A:H,8,FALSE))</f>
        <v>2420</v>
      </c>
      <c r="P271" s="46">
        <f t="shared" ca="1" si="13"/>
        <v>3.9007092198656974E-5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input_497100!A$2</f>
        <v>497100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IFERROR(VLOOKUP(B272,input_497100!L:R,7,FALSE),VLOOKUP(tables_497100!C272,input_497100!A:H,8,FALSE))</f>
        <v>458773.33332999999</v>
      </c>
      <c r="P272" s="46">
        <f t="shared" ca="1" si="13"/>
        <v>7.3947990543340907E-3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input_497100!A$2</f>
        <v>497100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IFERROR(VLOOKUP(B273,input_497100!L:R,7,FALSE),VLOOKUP(tables_497100!C273,input_497100!A:H,8,FALSE))</f>
        <v>2420</v>
      </c>
      <c r="P273" s="46">
        <f t="shared" ca="1" si="13"/>
        <v>3.9007092198656974E-5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input_497100!A$2</f>
        <v>497100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IFERROR(VLOOKUP(B274,input_497100!L:R,7,FALSE),VLOOKUP(tables_497100!C274,input_497100!A:H,8,FALSE))</f>
        <v>51129.28572</v>
      </c>
      <c r="P274" s="46">
        <f t="shared" ca="1" si="13"/>
        <v>8.2413419922789896E-4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input_497100!A$2</f>
        <v>497100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IFERROR(VLOOKUP(B275,input_497100!L:R,7,FALSE),VLOOKUP(tables_497100!C275,input_497100!A:H,8,FALSE))</f>
        <v>1175</v>
      </c>
      <c r="P275" s="46">
        <f t="shared" ca="1" si="13"/>
        <v>1.8939393939430555E-5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input_497100!A$2</f>
        <v>497100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IFERROR(VLOOKUP(B276,input_497100!L:R,7,FALSE),VLOOKUP(tables_497100!C276,input_497100!A:H,8,FALSE))</f>
        <v>51129.28572</v>
      </c>
      <c r="P276" s="46">
        <f t="shared" ca="1" si="13"/>
        <v>8.2413419922789896E-4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input_497100!A$2</f>
        <v>497100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IFERROR(VLOOKUP(B277,input_497100!L:R,7,FALSE),VLOOKUP(tables_497100!C277,input_497100!A:H,8,FALSE))</f>
        <v>1175</v>
      </c>
      <c r="P277" s="46">
        <f t="shared" ca="1" si="13"/>
        <v>1.8939393939430555E-5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input_497100!A$2</f>
        <v>497100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IFERROR(VLOOKUP(B278,input_497100!L:R,7,FALSE),VLOOKUP(tables_497100!C278,input_497100!A:H,8,FALSE))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input_497100!A$2</f>
        <v>497100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IFERROR(VLOOKUP(B279,input_497100!L:R,7,FALSE),VLOOKUP(tables_497100!C279,input_497100!A:H,8,FALSE))</f>
        <v>389983.84615</v>
      </c>
      <c r="P279" s="46">
        <f t="shared" ca="1" si="13"/>
        <v>6.286006546595003E-3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input_497100!A$2</f>
        <v>497100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IFERROR(VLOOKUP(B280,input_497100!L:R,7,FALSE),VLOOKUP(tables_497100!C280,input_497100!A:H,8,FALSE))</f>
        <v>12706.53846</v>
      </c>
      <c r="P280" s="46">
        <f t="shared" ca="1" si="13"/>
        <v>2.048120319152896E-4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input_497100!A$2</f>
        <v>497100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IFERROR(VLOOKUP(B281,input_497100!L:R,7,FALSE),VLOOKUP(tables_497100!C281,input_497100!A:H,8,FALSE))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input_497100!A$2</f>
        <v>497100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IFERROR(VLOOKUP(B282,input_497100!L:R,7,FALSE),VLOOKUP(tables_497100!C282,input_497100!A:H,8,FALSE))</f>
        <v>389983.84615</v>
      </c>
      <c r="P282" s="46">
        <f t="shared" ca="1" si="13"/>
        <v>6.286006546595003E-3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input_497100!A$2</f>
        <v>497100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IFERROR(VLOOKUP(B283,input_497100!L:R,7,FALSE),VLOOKUP(tables_497100!C283,input_497100!A:H,8,FALSE))</f>
        <v>12706.53846</v>
      </c>
      <c r="P283" s="46">
        <f t="shared" ca="1" si="13"/>
        <v>2.048120319152896E-4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input_497100!A$2</f>
        <v>497100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IFERROR(VLOOKUP(B284,input_497100!L:R,7,FALSE),VLOOKUP(tables_497100!C284,input_497100!A:H,8,FALSE))</f>
        <v>2275.7894700000002</v>
      </c>
      <c r="P284" s="46">
        <f t="shared" ca="1" si="13"/>
        <v>3.668261557067054E-5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input_497100!A$2</f>
        <v>497100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IFERROR(VLOOKUP(B285,input_497100!L:R,7,FALSE),VLOOKUP(tables_497100!C285,input_497100!A:H,8,FALSE))</f>
        <v>2275.7894700000002</v>
      </c>
      <c r="P285" s="46">
        <f t="shared" ca="1" si="13"/>
        <v>3.668261557067054E-5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input_497100!A$2</f>
        <v>497100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IFERROR(VLOOKUP(B286,input_497100!L:R,7,FALSE),VLOOKUP(tables_497100!C286,input_497100!A:H,8,FALSE))</f>
        <v>458773.33332999999</v>
      </c>
      <c r="P286" s="46">
        <f t="shared" ca="1" si="13"/>
        <v>7.3947990543340907E-3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input_497100!A$2</f>
        <v>497100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IFERROR(VLOOKUP(B287,input_497100!L:R,7,FALSE),VLOOKUP(tables_497100!C287,input_497100!A:H,8,FALSE))</f>
        <v>2420</v>
      </c>
      <c r="P287" s="46">
        <f t="shared" ca="1" si="13"/>
        <v>3.9007092198656974E-5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input_497100!A$2</f>
        <v>497100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IFERROR(VLOOKUP(B288,input_497100!L:R,7,FALSE),VLOOKUP(tables_497100!C288,input_497100!A:H,8,FALSE))</f>
        <v>458773.33332999999</v>
      </c>
      <c r="P288" s="46">
        <f t="shared" ca="1" si="13"/>
        <v>7.3947990543340907E-3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input_497100!A$2</f>
        <v>497100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IFERROR(VLOOKUP(B289,input_497100!L:R,7,FALSE),VLOOKUP(tables_497100!C289,input_497100!A:H,8,FALSE))</f>
        <v>2420</v>
      </c>
      <c r="P289" s="46">
        <f t="shared" ca="1" si="13"/>
        <v>3.9007092198656974E-5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input_497100!A$2</f>
        <v>497100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IFERROR(VLOOKUP(B290,input_497100!L:R,7,FALSE),VLOOKUP(tables_497100!C290,input_497100!A:H,8,FALSE))</f>
        <v>458773.33332999999</v>
      </c>
      <c r="P290" s="46">
        <f t="shared" ca="1" si="13"/>
        <v>7.3947990543340907E-3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input_497100!A$2</f>
        <v>497100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IFERROR(VLOOKUP(B291,input_497100!L:R,7,FALSE),VLOOKUP(tables_497100!C291,input_497100!A:H,8,FALSE))</f>
        <v>2420</v>
      </c>
      <c r="P291" s="46">
        <f t="shared" ca="1" si="13"/>
        <v>3.9007092198656974E-5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input_497100!A$2</f>
        <v>497100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IFERROR(VLOOKUP(B292,input_497100!L:R,7,FALSE),VLOOKUP(tables_497100!C292,input_497100!A:H,8,FALSE))</f>
        <v>458773.33332999999</v>
      </c>
      <c r="P292" s="46">
        <f t="shared" ca="1" si="13"/>
        <v>7.3947990543340907E-3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input_497100!A$2</f>
        <v>497100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IFERROR(VLOOKUP(B293,input_497100!L:R,7,FALSE),VLOOKUP(tables_497100!C293,input_497100!A:H,8,FALSE))</f>
        <v>2420</v>
      </c>
      <c r="P293" s="46">
        <f t="shared" ca="1" si="13"/>
        <v>3.9007092198656974E-5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input_497100!A$2</f>
        <v>497100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IFERROR(VLOOKUP(B294,input_497100!L:R,7,FALSE),VLOOKUP(tables_497100!C294,input_497100!A:H,8,FALSE))</f>
        <v>2275.7894700000002</v>
      </c>
      <c r="P294" s="46">
        <f t="shared" ca="1" si="13"/>
        <v>3.668261557067054E-5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input_497100!A$2</f>
        <v>497100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IFERROR(VLOOKUP(B295,input_497100!L:R,7,FALSE),VLOOKUP(tables_497100!C295,input_497100!A:H,8,FALSE))</f>
        <v>2275.7894700000002</v>
      </c>
      <c r="P295" s="46">
        <f t="shared" ca="1" si="13"/>
        <v>3.668261557067054E-5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input_497100!A$2</f>
        <v>497100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IFERROR(VLOOKUP(B296,input_497100!L:R,7,FALSE),VLOOKUP(tables_497100!C296,input_497100!A:H,8,FALSE))</f>
        <v>2275.7894700000002</v>
      </c>
      <c r="P296" s="46">
        <f t="shared" ca="1" si="13"/>
        <v>3.668261557067054E-5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input_497100!A$2</f>
        <v>497100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IFERROR(VLOOKUP(B297,input_497100!L:R,7,FALSE),VLOOKUP(tables_497100!C297,input_497100!A:H,8,FALSE))</f>
        <v>458773.33332999999</v>
      </c>
      <c r="P297" s="46">
        <f t="shared" ca="1" si="13"/>
        <v>7.3947990543340907E-3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input_497100!A$2</f>
        <v>497100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IFERROR(VLOOKUP(B298,input_497100!L:R,7,FALSE),VLOOKUP(tables_497100!C298,input_497100!A:H,8,FALSE))</f>
        <v>2420</v>
      </c>
      <c r="P298" s="46">
        <f t="shared" ca="1" si="13"/>
        <v>3.9007092198656974E-5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input_497100!A$2</f>
        <v>497100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IFERROR(VLOOKUP(B299,input_497100!L:R,7,FALSE),VLOOKUP(tables_497100!C299,input_497100!A:H,8,FALSE))</f>
        <v>2275.7894700000002</v>
      </c>
      <c r="P299" s="46">
        <f t="shared" ca="1" si="13"/>
        <v>3.668261557067054E-5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input_497100!A$2</f>
        <v>497100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IFERROR(VLOOKUP(B300,input_497100!L:R,7,FALSE),VLOOKUP(tables_497100!C300,input_497100!A:H,8,FALSE))</f>
        <v>2275.7894700000002</v>
      </c>
      <c r="P300" s="46">
        <f t="shared" ca="1" si="13"/>
        <v>3.668261557067054E-5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input_497100!A$2</f>
        <v>497100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IFERROR(VLOOKUP(B301,input_497100!L:R,7,FALSE),VLOOKUP(tables_497100!C301,input_497100!A:H,8,FALSE))</f>
        <v>2275.7894700000002</v>
      </c>
      <c r="P301" s="46">
        <f t="shared" ca="1" si="13"/>
        <v>3.668261557067054E-5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input_497100!A$2</f>
        <v>497100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IFERROR(VLOOKUP(B302,input_497100!L:R,7,FALSE),VLOOKUP(tables_497100!C302,input_497100!A:H,8,FALSE))</f>
        <v>2275.7894700000002</v>
      </c>
      <c r="P302" s="46">
        <f t="shared" ca="1" si="13"/>
        <v>3.668261557067054E-5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input_497100!A$2</f>
        <v>497100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IFERROR(VLOOKUP(B303,input_497100!L:R,7,FALSE),VLOOKUP(tables_497100!C303,input_497100!A:H,8,FALSE))</f>
        <v>458773.33332999999</v>
      </c>
      <c r="P303" s="46">
        <f t="shared" ca="1" si="13"/>
        <v>7.3947990543340907E-3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input_497100!A$2</f>
        <v>497100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IFERROR(VLOOKUP(B304,input_497100!L:R,7,FALSE),VLOOKUP(tables_497100!C304,input_497100!A:H,8,FALSE))</f>
        <v>2420</v>
      </c>
      <c r="P304" s="46">
        <f t="shared" ca="1" si="13"/>
        <v>3.9007092198656974E-5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input_497100!A$2</f>
        <v>497100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IFERROR(VLOOKUP(B305,input_497100!L:R,7,FALSE),VLOOKUP(tables_497100!C305,input_497100!A:H,8,FALSE))</f>
        <v>2275.7894700000002</v>
      </c>
      <c r="P305" s="46">
        <f t="shared" ca="1" si="13"/>
        <v>3.668261557067054E-5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input_497100!A$2</f>
        <v>497100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IFERROR(VLOOKUP(B306,input_497100!L:R,7,FALSE),VLOOKUP(tables_497100!C306,input_497100!A:H,8,FALSE))</f>
        <v>458773.33332999999</v>
      </c>
      <c r="P306" s="46">
        <f t="shared" ca="1" si="13"/>
        <v>7.3947990543340907E-3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input_497100!A$2</f>
        <v>497100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IFERROR(VLOOKUP(B307,input_497100!L:R,7,FALSE),VLOOKUP(tables_497100!C307,input_497100!A:H,8,FALSE))</f>
        <v>2420</v>
      </c>
      <c r="P307" s="46">
        <f t="shared" ca="1" si="13"/>
        <v>3.9007092198656974E-5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input_497100!A$2</f>
        <v>497100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IFERROR(VLOOKUP(B308,input_497100!L:R,7,FALSE),VLOOKUP(tables_497100!C308,input_497100!A:H,8,FALSE))</f>
        <v>2275.7894700000002</v>
      </c>
      <c r="P308" s="46">
        <f t="shared" ca="1" si="13"/>
        <v>3.668261557067054E-5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input_497100!A$2</f>
        <v>497100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IFERROR(VLOOKUP(B309,input_497100!L:R,7,FALSE),VLOOKUP(tables_497100!C309,input_497100!A:H,8,FALSE))</f>
        <v>2275.7894700000002</v>
      </c>
      <c r="P309" s="46">
        <f t="shared" ca="1" si="13"/>
        <v>3.668261557067054E-5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input_497100!A$2</f>
        <v>497100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IFERROR(VLOOKUP(B310,input_497100!L:R,7,FALSE),VLOOKUP(tables_497100!C310,input_497100!A:H,8,FALSE))</f>
        <v>2275.7894700000002</v>
      </c>
      <c r="P310" s="46">
        <f t="shared" ca="1" si="13"/>
        <v>3.668261557067054E-5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input_497100!A$2</f>
        <v>497100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IFERROR(VLOOKUP(B311,input_497100!L:R,7,FALSE),VLOOKUP(tables_497100!C311,input_497100!A:H,8,FALSE))</f>
        <v>458773.33332999999</v>
      </c>
      <c r="P311" s="46">
        <f t="shared" ca="1" si="13"/>
        <v>7.3947990543340907E-3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input_497100!A$2</f>
        <v>497100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IFERROR(VLOOKUP(B312,input_497100!L:R,7,FALSE),VLOOKUP(tables_497100!C312,input_497100!A:H,8,FALSE))</f>
        <v>2420</v>
      </c>
      <c r="P312" s="46">
        <f t="shared" ca="1" si="13"/>
        <v>3.9007092198656974E-5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input_497100!A$2</f>
        <v>497100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IFERROR(VLOOKUP(B313,input_497100!L:R,7,FALSE),VLOOKUP(tables_497100!C313,input_497100!A:H,8,FALSE))</f>
        <v>2275.7894700000002</v>
      </c>
      <c r="P313" s="46">
        <f t="shared" ca="1" si="13"/>
        <v>3.668261557067054E-5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input_497100!A$2</f>
        <v>497100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IFERROR(VLOOKUP(B314,input_497100!L:R,7,FALSE),VLOOKUP(tables_497100!C314,input_497100!A:H,8,FALSE))</f>
        <v>2275.7894700000002</v>
      </c>
      <c r="P314" s="46">
        <f t="shared" ca="1" si="13"/>
        <v>3.668261557067054E-5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input_497100!A$2</f>
        <v>497100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IFERROR(VLOOKUP(B315,input_497100!L:R,7,FALSE),VLOOKUP(tables_497100!C315,input_497100!A:H,8,FALSE))</f>
        <v>2275.7894700000002</v>
      </c>
      <c r="P315" s="46">
        <f t="shared" ca="1" si="13"/>
        <v>3.668261557067054E-5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input_497100!A$2</f>
        <v>497100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IFERROR(VLOOKUP(B316,input_497100!L:R,7,FALSE),VLOOKUP(tables_497100!C316,input_497100!A:H,8,FALSE))</f>
        <v>2275.7894700000002</v>
      </c>
      <c r="P316" s="46">
        <f t="shared" ca="1" si="13"/>
        <v>3.668261557067054E-5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input_497100!A$2</f>
        <v>497100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IFERROR(VLOOKUP(B317,input_497100!L:R,7,FALSE),VLOOKUP(tables_497100!C317,input_497100!A:H,8,FALSE))</f>
        <v>2275.7894700000002</v>
      </c>
      <c r="P317" s="46">
        <f t="shared" ca="1" si="13"/>
        <v>3.668261557067054E-5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input_497100!A$2</f>
        <v>497100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IFERROR(VLOOKUP(B318,input_497100!L:R,7,FALSE),VLOOKUP(tables_497100!C318,input_497100!A:H,8,FALSE))</f>
        <v>458773.33332999999</v>
      </c>
      <c r="P318" s="46">
        <f t="shared" ca="1" si="13"/>
        <v>7.3947990543340907E-3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input_497100!A$2</f>
        <v>497100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IFERROR(VLOOKUP(B319,input_497100!L:R,7,FALSE),VLOOKUP(tables_497100!C319,input_497100!A:H,8,FALSE))</f>
        <v>2420</v>
      </c>
      <c r="P319" s="46">
        <f t="shared" ca="1" si="13"/>
        <v>3.9007092198656974E-5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input_497100!A$2</f>
        <v>497100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IFERROR(VLOOKUP(B320,input_497100!L:R,7,FALSE),VLOOKUP(tables_497100!C320,input_497100!A:H,8,FALSE))</f>
        <v>2275.7894700000002</v>
      </c>
      <c r="P320" s="46">
        <f t="shared" ca="1" si="13"/>
        <v>3.668261557067054E-5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input_497100!A$2</f>
        <v>497100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IFERROR(VLOOKUP(B321,input_497100!L:R,7,FALSE),VLOOKUP(tables_497100!C321,input_497100!A:H,8,FALSE))</f>
        <v>2275.7894700000002</v>
      </c>
      <c r="P321" s="46">
        <f t="shared" ca="1" si="13"/>
        <v>3.668261557067054E-5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input_497100!A$2</f>
        <v>497100</v>
      </c>
      <c r="B322" s="5">
        <v>1139</v>
      </c>
      <c r="C322" s="7" t="str">
        <f t="shared" ref="C322:C345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IFERROR(VLOOKUP(B322,input_497100!L:R,7,FALSE),VLOOKUP(tables_497100!C322,input_497100!A:H,8,FALSE))</f>
        <v>2275.7894700000002</v>
      </c>
      <c r="P322" s="46">
        <f t="shared" ref="P322:P352" ca="1" si="16">O322/SUM(O:O)</f>
        <v>3.668261557067054E-5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input_497100!A$2</f>
        <v>497100</v>
      </c>
      <c r="B323" s="5">
        <v>1141</v>
      </c>
      <c r="C323" s="7" t="str">
        <f t="shared" si="15"/>
        <v>PremiumSS5R5only</v>
      </c>
      <c r="D323" s="7" t="str">
        <f t="shared" ref="D323:D345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IFERROR(VLOOKUP(B323,input_497100!L:R,7,FALSE),VLOOKUP(tables_497100!C323,input_497100!A:H,8,FALSE))</f>
        <v>2275.7894700000002</v>
      </c>
      <c r="P323" s="46">
        <f t="shared" ca="1" si="16"/>
        <v>3.668261557067054E-5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input_497100!A$2</f>
        <v>497100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IFERROR(VLOOKUP(B324,input_497100!L:R,7,FALSE),VLOOKUP(tables_497100!C324,input_497100!A:H,8,FALSE))</f>
        <v>458773.33332999999</v>
      </c>
      <c r="P324" s="46">
        <f t="shared" ca="1" si="16"/>
        <v>7.3947990543340907E-3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input_497100!A$2</f>
        <v>497100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IFERROR(VLOOKUP(B325,input_497100!L:R,7,FALSE),VLOOKUP(tables_497100!C325,input_497100!A:H,8,FALSE))</f>
        <v>2420</v>
      </c>
      <c r="P325" s="46">
        <f t="shared" ca="1" si="16"/>
        <v>3.9007092198656974E-5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input_497100!A$2</f>
        <v>497100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IFERROR(VLOOKUP(B326,input_497100!L:R,7,FALSE),VLOOKUP(tables_497100!C326,input_497100!A:H,8,FALSE))</f>
        <v>458773.33332999999</v>
      </c>
      <c r="P326" s="46">
        <f t="shared" ca="1" si="16"/>
        <v>7.3947990543340907E-3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input_497100!A$2</f>
        <v>497100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IFERROR(VLOOKUP(B327,input_497100!L:R,7,FALSE),VLOOKUP(tables_497100!C327,input_497100!A:H,8,FALSE))</f>
        <v>2420</v>
      </c>
      <c r="P327" s="46">
        <f t="shared" ca="1" si="16"/>
        <v>3.9007092198656974E-5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input_497100!A$2</f>
        <v>497100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IFERROR(VLOOKUP(B328,input_497100!L:R,7,FALSE),VLOOKUP(tables_497100!C328,input_497100!A:H,8,FALSE))</f>
        <v>2275.7894700000002</v>
      </c>
      <c r="P328" s="46">
        <f t="shared" ca="1" si="16"/>
        <v>3.668261557067054E-5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input_497100!A$2</f>
        <v>497100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IFERROR(VLOOKUP(B329,input_497100!L:R,7,FALSE),VLOOKUP(tables_497100!C329,input_497100!A:H,8,FALSE))</f>
        <v>2275.7894700000002</v>
      </c>
      <c r="P329" s="46">
        <f t="shared" ca="1" si="16"/>
        <v>3.668261557067054E-5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input_497100!A$2</f>
        <v>497100</v>
      </c>
      <c r="B330" s="2">
        <v>1157</v>
      </c>
      <c r="C330" s="7" t="str">
        <f t="shared" si="15"/>
        <v>PremiumSS5R5only</v>
      </c>
      <c r="D330" s="94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IFERROR(VLOOKUP(B330,input_497100!L:R,7,FALSE),VLOOKUP(tables_497100!C330,input_497100!A:H,8,FALSE))</f>
        <v>2275.7894700000002</v>
      </c>
      <c r="P330" s="46">
        <f t="shared" ca="1" si="16"/>
        <v>3.668261557067054E-5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input_497100!A$2</f>
        <v>497100</v>
      </c>
      <c r="B331" s="60">
        <v>1214</v>
      </c>
      <c r="C331" s="7" t="str">
        <f t="shared" si="15"/>
        <v>PremiumSS5R5only</v>
      </c>
      <c r="D331" s="94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IFERROR(VLOOKUP(B331,input_497100!L:R,7,FALSE),VLOOKUP(tables_497100!C331,input_497100!A:H,8,FALSE))</f>
        <v>2275.7894700000002</v>
      </c>
      <c r="P331" s="46">
        <f t="shared" ca="1" si="16"/>
        <v>3.668261557067054E-5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input_497100!A$2</f>
        <v>497100</v>
      </c>
      <c r="B332" s="60">
        <v>1212</v>
      </c>
      <c r="C332" s="7" t="str">
        <f t="shared" si="15"/>
        <v>PremiumSS5R5only</v>
      </c>
      <c r="D332" s="94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IFERROR(VLOOKUP(B332,input_497100!L:R,7,FALSE),VLOOKUP(tables_497100!C332,input_497100!A:H,8,FALSE))</f>
        <v>2275.7894700000002</v>
      </c>
      <c r="P332" s="46">
        <f t="shared" ca="1" si="16"/>
        <v>3.668261557067054E-5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input_497100!A$2</f>
        <v>497100</v>
      </c>
      <c r="B333" s="60">
        <v>1208</v>
      </c>
      <c r="C333" s="7" t="str">
        <f t="shared" si="15"/>
        <v>PremiumSS5R5only</v>
      </c>
      <c r="D333" s="94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IFERROR(VLOOKUP(B333,input_497100!L:R,7,FALSE),VLOOKUP(tables_497100!C333,input_497100!A:H,8,FALSE))</f>
        <v>2275.7894700000002</v>
      </c>
      <c r="P333" s="46">
        <f t="shared" ca="1" si="16"/>
        <v>3.668261557067054E-5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input_497100!A$2</f>
        <v>497100</v>
      </c>
      <c r="B334" s="90">
        <v>1210</v>
      </c>
      <c r="C334" s="7" t="str">
        <f t="shared" si="15"/>
        <v>Premium4R3less</v>
      </c>
      <c r="D334" s="94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IFERROR(VLOOKUP(B334,input_497100!L:R,7,FALSE),VLOOKUP(tables_497100!C334,input_497100!A:H,8,FALSE))</f>
        <v>458773.33332999999</v>
      </c>
      <c r="P334" s="46">
        <f t="shared" ca="1" si="16"/>
        <v>7.3947990543340907E-3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input_497100!A$2</f>
        <v>497100</v>
      </c>
      <c r="B335" s="60">
        <v>1211</v>
      </c>
      <c r="C335" s="7" t="str">
        <f t="shared" si="15"/>
        <v>Premium5R3less</v>
      </c>
      <c r="D335" s="94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IFERROR(VLOOKUP(B335,input_497100!L:R,7,FALSE),VLOOKUP(tables_497100!C335,input_497100!A:H,8,FALSE))</f>
        <v>2420</v>
      </c>
      <c r="P335" s="46">
        <f t="shared" ca="1" si="16"/>
        <v>3.9007092198656974E-5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input_497100!A$2</f>
        <v>497100</v>
      </c>
      <c r="B336" s="2">
        <v>1224</v>
      </c>
      <c r="C336" s="7" t="str">
        <f t="shared" si="15"/>
        <v>Premium4R3less</v>
      </c>
      <c r="D336" s="94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IFERROR(VLOOKUP(B336,input_497100!L:R,7,FALSE),VLOOKUP(tables_497100!C336,input_497100!A:H,8,FALSE))</f>
        <v>458773.33332999999</v>
      </c>
      <c r="P336" s="46">
        <f t="shared" ca="1" si="16"/>
        <v>7.3947990543340907E-3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input_497100!A$2</f>
        <v>497100</v>
      </c>
      <c r="B337" s="2">
        <v>1225</v>
      </c>
      <c r="C337" s="7" t="str">
        <f t="shared" si="15"/>
        <v>Premium5R3less</v>
      </c>
      <c r="D337" s="94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IFERROR(VLOOKUP(B337,input_497100!L:R,7,FALSE),VLOOKUP(tables_497100!C337,input_497100!A:H,8,FALSE))</f>
        <v>2420</v>
      </c>
      <c r="P337" s="46">
        <f t="shared" ca="1" si="16"/>
        <v>3.9007092198656974E-5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input_497100!A$2</f>
        <v>497100</v>
      </c>
      <c r="B338" s="2">
        <v>1226</v>
      </c>
      <c r="C338" s="7" t="str">
        <f t="shared" si="15"/>
        <v>PremiumSS5R5only</v>
      </c>
      <c r="D338" s="94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IFERROR(VLOOKUP(B338,input_497100!L:R,7,FALSE),VLOOKUP(tables_497100!C338,input_497100!A:H,8,FALSE))</f>
        <v>2275.7894700000002</v>
      </c>
      <c r="P338" s="46">
        <f t="shared" ca="1" si="16"/>
        <v>3.668261557067054E-5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input_497100!A$2</f>
        <v>497100</v>
      </c>
      <c r="B339" s="2">
        <v>1228</v>
      </c>
      <c r="C339" s="7" t="str">
        <f t="shared" si="15"/>
        <v>PremiumSS5R5only</v>
      </c>
      <c r="D339" s="94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IFERROR(VLOOKUP(B339,input_497100!L:R,7,FALSE),VLOOKUP(tables_497100!C339,input_497100!A:H,8,FALSE))</f>
        <v>2275.7894700000002</v>
      </c>
      <c r="P339" s="46">
        <f t="shared" ca="1" si="16"/>
        <v>3.668261557067054E-5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input_497100!A$2</f>
        <v>497100</v>
      </c>
      <c r="B340" s="2">
        <v>1230</v>
      </c>
      <c r="C340" s="7" t="str">
        <f t="shared" si="15"/>
        <v>PremiumSS5R5only</v>
      </c>
      <c r="D340" s="94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IFERROR(VLOOKUP(B340,input_497100!L:R,7,FALSE),VLOOKUP(tables_497100!C340,input_497100!A:H,8,FALSE))</f>
        <v>2275.7894700000002</v>
      </c>
      <c r="P340" s="46">
        <f t="shared" ca="1" si="16"/>
        <v>3.668261557067054E-5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input_497100!A$2</f>
        <v>497100</v>
      </c>
      <c r="B341" s="1">
        <v>1250</v>
      </c>
      <c r="C341" s="7" t="str">
        <f t="shared" si="15"/>
        <v>PremiumSS5R5only</v>
      </c>
      <c r="D341" s="94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IFERROR(VLOOKUP(B341,input_497100!L:R,7,FALSE),VLOOKUP(tables_497100!C341,input_497100!A:H,8,FALSE))</f>
        <v>2275.7894700000002</v>
      </c>
      <c r="P341" s="46">
        <f t="shared" ca="1" si="16"/>
        <v>3.668261557067054E-5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input_497100!A$2</f>
        <v>497100</v>
      </c>
      <c r="B342" s="1">
        <v>1248</v>
      </c>
      <c r="C342" s="7" t="str">
        <f t="shared" si="15"/>
        <v>Premium4R3less</v>
      </c>
      <c r="D342" s="94" t="str">
        <f t="shared" si="17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IFERROR(VLOOKUP(B342,input_497100!L:R,7,FALSE),VLOOKUP(tables_497100!C342,input_497100!A:H,8,FALSE))</f>
        <v>458773.33332999999</v>
      </c>
      <c r="P342" s="46">
        <f t="shared" ca="1" si="16"/>
        <v>7.3947990543340907E-3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input_497100!A$2</f>
        <v>497100</v>
      </c>
      <c r="B343" s="1">
        <v>1249</v>
      </c>
      <c r="C343" s="7" t="str">
        <f t="shared" si="15"/>
        <v>Premium5R3less</v>
      </c>
      <c r="D343" s="94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IFERROR(VLOOKUP(B343,input_497100!L:R,7,FALSE),VLOOKUP(tables_497100!C343,input_497100!A:H,8,FALSE))</f>
        <v>2420</v>
      </c>
      <c r="P343" s="46">
        <f t="shared" ca="1" si="16"/>
        <v>3.9007092198656974E-5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input_497100!A$2</f>
        <v>497100</v>
      </c>
      <c r="B344" s="1">
        <v>1246</v>
      </c>
      <c r="C344" s="7" t="str">
        <f t="shared" si="15"/>
        <v>PremiumSS5R5only</v>
      </c>
      <c r="D344" s="94" t="str">
        <f t="shared" si="17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IFERROR(VLOOKUP(B344,input_497100!L:R,7,FALSE),VLOOKUP(tables_497100!C344,input_497100!A:H,8,FALSE))</f>
        <v>2275.7894700000002</v>
      </c>
      <c r="P344" s="46">
        <f t="shared" ca="1" si="16"/>
        <v>3.668261557067054E-5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input_497100!A$2</f>
        <v>497100</v>
      </c>
      <c r="B345" s="1">
        <v>1244</v>
      </c>
      <c r="C345" s="7" t="str">
        <f t="shared" si="15"/>
        <v>PremiumSS5R5only</v>
      </c>
      <c r="D345" s="94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IFERROR(VLOOKUP(B345,input_497100!L:R,7,FALSE),VLOOKUP(tables_497100!C345,input_497100!A:H,8,FALSE))</f>
        <v>2275.7894700000002</v>
      </c>
      <c r="P345" s="46">
        <f t="shared" ca="1" si="16"/>
        <v>3.668261557067054E-5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input_497100!A$2</f>
        <v>497100</v>
      </c>
      <c r="B346" s="60">
        <v>716</v>
      </c>
      <c r="C346" s="7" t="str">
        <f t="shared" ref="C346:C352" si="18">D346&amp;J346&amp;E346&amp;F346&amp;G346</f>
        <v>PremiumSS5R5only</v>
      </c>
      <c r="D346" s="94" t="str">
        <f t="shared" ref="D346:D352" si="1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平和島静雄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dr</v>
      </c>
      <c r="M346" s="7" t="str">
        <f>VLOOKUP(B346,[1]characters!$A:$M,13,FALSE)</f>
        <v>human</v>
      </c>
      <c r="N346" s="7" t="str">
        <f>VLOOKUP(B346,[1]characters!$A:$G,7,FALSE)</f>
        <v>男性</v>
      </c>
      <c r="O346" s="45">
        <f>IFERROR(VLOOKUP(B346,input_497100!L:R,7,FALSE),VLOOKUP(tables_497100!C346,input_497100!A:H,8,FALSE))</f>
        <v>1551000</v>
      </c>
      <c r="P346" s="46">
        <f t="shared" ca="1" si="16"/>
        <v>2.5000000000048334E-2</v>
      </c>
      <c r="Q346" s="224">
        <v>80</v>
      </c>
      <c r="R346" s="30">
        <v>0</v>
      </c>
      <c r="S346" s="30">
        <v>0</v>
      </c>
      <c r="T346" s="30">
        <v>0</v>
      </c>
      <c r="U346" s="30">
        <v>0</v>
      </c>
      <c r="V346" s="224">
        <v>5</v>
      </c>
    </row>
    <row r="347" spans="1:22" ht="21" customHeight="1" x14ac:dyDescent="0.15">
      <c r="A347" s="2" t="str">
        <f ca="1">input_497100!A$2</f>
        <v>497100</v>
      </c>
      <c r="B347" s="60">
        <v>702</v>
      </c>
      <c r="C347" s="7" t="str">
        <f t="shared" si="18"/>
        <v>Premium4R3less</v>
      </c>
      <c r="D347" s="94" t="str">
        <f t="shared" si="19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サイモン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red</v>
      </c>
      <c r="L347" s="7" t="str">
        <f>VLOOKUP(B347,[1]characters!$A:$K,11,FALSE)</f>
        <v>dr</v>
      </c>
      <c r="M347" s="7" t="str">
        <f>VLOOKUP(B347,[1]characters!$A:$M,13,FALSE)</f>
        <v>human</v>
      </c>
      <c r="N347" s="7" t="str">
        <f>VLOOKUP(B347,[1]characters!$A:$G,7,FALSE)</f>
        <v>男性</v>
      </c>
      <c r="O347" s="45">
        <f>IFERROR(VLOOKUP(B347,input_497100!L:R,7,FALSE),VLOOKUP(tables_497100!C347,input_497100!A:H,8,FALSE))</f>
        <v>2481600</v>
      </c>
      <c r="P347" s="46">
        <f t="shared" ca="1" si="16"/>
        <v>4.0000000000077335E-2</v>
      </c>
      <c r="Q347" s="224">
        <v>60</v>
      </c>
      <c r="R347" s="30">
        <v>0</v>
      </c>
      <c r="S347" s="30">
        <v>0</v>
      </c>
      <c r="T347" s="30">
        <v>0</v>
      </c>
      <c r="U347" s="30">
        <v>0</v>
      </c>
      <c r="V347" s="224">
        <v>5</v>
      </c>
    </row>
    <row r="348" spans="1:22" ht="21" customHeight="1" x14ac:dyDescent="0.15">
      <c r="A348" s="2" t="str">
        <f ca="1">input_497100!A$2</f>
        <v>497100</v>
      </c>
      <c r="B348" s="60">
        <v>703</v>
      </c>
      <c r="C348" s="7" t="str">
        <f t="shared" si="18"/>
        <v>Premium5R3less</v>
      </c>
      <c r="D348" s="94" t="str">
        <f t="shared" si="19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豪腕静穏な寿司屋　サイモン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red</v>
      </c>
      <c r="L348" s="7" t="str">
        <f>VLOOKUP(B348,[1]characters!$A:$K,11,FALSE)</f>
        <v>dr</v>
      </c>
      <c r="M348" s="7" t="str">
        <f>VLOOKUP(B348,[1]characters!$A:$M,13,FALSE)</f>
        <v>human</v>
      </c>
      <c r="N348" s="7" t="str">
        <f>VLOOKUP(B348,[1]characters!$A:$G,7,FALSE)</f>
        <v>男性</v>
      </c>
      <c r="O348" s="45">
        <f>IFERROR(VLOOKUP(B348,input_497100!L:R,7,FALSE),VLOOKUP(tables_497100!C348,input_497100!A:H,8,FALSE))</f>
        <v>620400</v>
      </c>
      <c r="P348" s="46">
        <f t="shared" ca="1" si="16"/>
        <v>1.0000000000019334E-2</v>
      </c>
      <c r="Q348" s="224">
        <v>80</v>
      </c>
      <c r="R348" s="30">
        <v>0</v>
      </c>
      <c r="S348" s="30">
        <v>0</v>
      </c>
      <c r="T348" s="30">
        <v>0</v>
      </c>
      <c r="U348" s="30">
        <v>0</v>
      </c>
      <c r="V348" s="224">
        <v>5</v>
      </c>
    </row>
    <row r="349" spans="1:22" ht="21" customHeight="1" x14ac:dyDescent="0.15">
      <c r="A349" s="2" t="str">
        <f ca="1">input_497100!A$2</f>
        <v>497100</v>
      </c>
      <c r="B349" s="90">
        <v>710</v>
      </c>
      <c r="C349" s="7" t="str">
        <f t="shared" si="18"/>
        <v>Premium3R3less</v>
      </c>
      <c r="D349" s="94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田中トム</v>
      </c>
      <c r="I349" s="7" t="str">
        <f>VLOOKUP(B349,[1]characters!$A:$J,10,FALSE)</f>
        <v>PremiumN</v>
      </c>
      <c r="J349" s="7">
        <f>VLOOKUP(B349,[1]characters!$A:$I,9,FALSE)</f>
        <v>3</v>
      </c>
      <c r="K349" s="7" t="str">
        <f>VLOOKUP(B349,[1]characters!$A:$H,8,FALSE)</f>
        <v>green</v>
      </c>
      <c r="L349" s="7" t="str">
        <f>VLOOKUP(B349,[1]characters!$A:$K,11,FALSE)</f>
        <v>dr</v>
      </c>
      <c r="M349" s="7" t="str">
        <f>VLOOKUP(B349,[1]characters!$A:$M,13,FALSE)</f>
        <v>human</v>
      </c>
      <c r="N349" s="7" t="str">
        <f>VLOOKUP(B349,[1]characters!$A:$G,7,FALSE)</f>
        <v>男性</v>
      </c>
      <c r="O349" s="45">
        <f>IFERROR(VLOOKUP(B349,input_497100!L:R,7,FALSE),VLOOKUP(tables_497100!C349,input_497100!A:H,8,FALSE))</f>
        <v>0</v>
      </c>
      <c r="P349" s="46">
        <f t="shared" ca="1" si="16"/>
        <v>0</v>
      </c>
      <c r="Q349" s="224">
        <v>40</v>
      </c>
      <c r="R349" s="30">
        <v>0</v>
      </c>
      <c r="S349" s="30">
        <v>0</v>
      </c>
      <c r="T349" s="30">
        <v>0</v>
      </c>
      <c r="U349" s="30">
        <v>0</v>
      </c>
      <c r="V349" s="224">
        <v>5</v>
      </c>
    </row>
    <row r="350" spans="1:22" ht="21" customHeight="1" x14ac:dyDescent="0.15">
      <c r="A350" s="2" t="str">
        <f ca="1">input_497100!A$2</f>
        <v>497100</v>
      </c>
      <c r="B350" s="60">
        <v>711</v>
      </c>
      <c r="C350" s="7" t="str">
        <f t="shared" si="18"/>
        <v>Premium4R3less</v>
      </c>
      <c r="D350" s="94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平衡調和の取り立て屋　田中トム</v>
      </c>
      <c r="I350" s="7" t="str">
        <f>VLOOKUP(B350,[1]characters!$A:$J,10,FALSE)</f>
        <v>PremiumN</v>
      </c>
      <c r="J350" s="7">
        <f>VLOOKUP(B350,[1]characters!$A:$I,9,FALSE)</f>
        <v>4</v>
      </c>
      <c r="K350" s="7" t="str">
        <f>VLOOKUP(B350,[1]characters!$A:$H,8,FALSE)</f>
        <v>green</v>
      </c>
      <c r="L350" s="7" t="str">
        <f>VLOOKUP(B350,[1]characters!$A:$K,11,FALSE)</f>
        <v>dr</v>
      </c>
      <c r="M350" s="7" t="str">
        <f>VLOOKUP(B350,[1]characters!$A:$M,13,FALSE)</f>
        <v>human</v>
      </c>
      <c r="N350" s="7" t="str">
        <f>VLOOKUP(B350,[1]characters!$A:$G,7,FALSE)</f>
        <v>男性</v>
      </c>
      <c r="O350" s="45">
        <f>IFERROR(VLOOKUP(B350,input_497100!L:R,7,FALSE),VLOOKUP(tables_497100!C350,input_497100!A:H,8,FALSE))</f>
        <v>6204000</v>
      </c>
      <c r="P350" s="46">
        <f t="shared" ca="1" si="16"/>
        <v>0.10000000000019334</v>
      </c>
      <c r="Q350" s="224">
        <v>60</v>
      </c>
      <c r="R350" s="30">
        <v>0</v>
      </c>
      <c r="S350" s="30">
        <v>0</v>
      </c>
      <c r="T350" s="30">
        <v>0</v>
      </c>
      <c r="U350" s="30">
        <v>0</v>
      </c>
      <c r="V350" s="224">
        <v>5</v>
      </c>
    </row>
    <row r="351" spans="1:22" ht="21" customHeight="1" x14ac:dyDescent="0.15">
      <c r="A351" s="2" t="str">
        <f ca="1">input_497100!A$2</f>
        <v>497100</v>
      </c>
      <c r="B351" s="60">
        <v>714</v>
      </c>
      <c r="C351" s="7" t="str">
        <f t="shared" si="18"/>
        <v>Premium3R3less</v>
      </c>
      <c r="D351" s="94" t="str">
        <f t="shared" si="19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粟楠茜</v>
      </c>
      <c r="I351" s="7" t="str">
        <f>VLOOKUP(B351,[1]characters!$A:$J,10,FALSE)</f>
        <v>PremiumN</v>
      </c>
      <c r="J351" s="7">
        <f>VLOOKUP(B351,[1]characters!$A:$I,9,FALSE)</f>
        <v>3</v>
      </c>
      <c r="K351" s="7" t="str">
        <f>VLOOKUP(B351,[1]characters!$A:$H,8,FALSE)</f>
        <v>blue</v>
      </c>
      <c r="L351" s="7" t="str">
        <f>VLOOKUP(B351,[1]characters!$A:$K,11,FALSE)</f>
        <v>dr</v>
      </c>
      <c r="M351" s="7" t="str">
        <f>VLOOKUP(B351,[1]characters!$A:$M,13,FALSE)</f>
        <v>human</v>
      </c>
      <c r="N351" s="7" t="str">
        <f>VLOOKUP(B351,[1]characters!$A:$G,7,FALSE)</f>
        <v>女性</v>
      </c>
      <c r="O351" s="45">
        <f>IFERROR(VLOOKUP(B351,input_497100!L:R,7,FALSE),VLOOKUP(tables_497100!C351,input_497100!A:H,8,FALSE))</f>
        <v>0</v>
      </c>
      <c r="P351" s="46">
        <f t="shared" ca="1" si="16"/>
        <v>0</v>
      </c>
      <c r="Q351" s="224">
        <v>40</v>
      </c>
      <c r="R351" s="30">
        <v>0</v>
      </c>
      <c r="S351" s="30">
        <v>0</v>
      </c>
      <c r="T351" s="30">
        <v>0</v>
      </c>
      <c r="U351" s="30">
        <v>0</v>
      </c>
      <c r="V351" s="224">
        <v>5</v>
      </c>
    </row>
    <row r="352" spans="1:22" ht="21" customHeight="1" x14ac:dyDescent="0.15">
      <c r="A352" s="2" t="str">
        <f ca="1">input_497100!A$2</f>
        <v>497100</v>
      </c>
      <c r="B352" s="88">
        <v>715</v>
      </c>
      <c r="C352" s="7" t="str">
        <f t="shared" si="18"/>
        <v>Premium4R3less</v>
      </c>
      <c r="D352" s="94" t="str">
        <f t="shared" si="1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小さな殺し屋　粟楠茜</v>
      </c>
      <c r="I352" s="7" t="str">
        <f>VLOOKUP(B352,[1]characters!$A:$J,10,FALSE)</f>
        <v>PremiumN</v>
      </c>
      <c r="J352" s="7">
        <f>VLOOKUP(B352,[1]characters!$A:$I,9,FALSE)</f>
        <v>4</v>
      </c>
      <c r="K352" s="7" t="str">
        <f>VLOOKUP(B352,[1]characters!$A:$H,8,FALSE)</f>
        <v>blue</v>
      </c>
      <c r="L352" s="7" t="str">
        <f>VLOOKUP(B352,[1]characters!$A:$K,11,FALSE)</f>
        <v>dr</v>
      </c>
      <c r="M352" s="7" t="str">
        <f>VLOOKUP(B352,[1]characters!$A:$M,13,FALSE)</f>
        <v>human</v>
      </c>
      <c r="N352" s="7" t="str">
        <f>VLOOKUP(B352,[1]characters!$A:$G,7,FALSE)</f>
        <v>女性</v>
      </c>
      <c r="O352" s="45">
        <f>IFERROR(VLOOKUP(B352,input_497100!L:R,7,FALSE),VLOOKUP(tables_497100!C352,input_497100!A:H,8,FALSE))</f>
        <v>6204000</v>
      </c>
      <c r="P352" s="46">
        <f t="shared" ca="1" si="16"/>
        <v>0.10000000000019334</v>
      </c>
      <c r="Q352" s="224">
        <v>60</v>
      </c>
      <c r="R352" s="30">
        <v>0</v>
      </c>
      <c r="S352" s="30">
        <v>0</v>
      </c>
      <c r="T352" s="30">
        <v>0</v>
      </c>
      <c r="U352" s="30">
        <v>0</v>
      </c>
      <c r="V352" s="224">
        <v>5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characters</vt:lpstr>
      <vt:lpstr>確率の考え方</vt:lpstr>
      <vt:lpstr>Sheet1</vt:lpstr>
      <vt:lpstr>output</vt:lpstr>
      <vt:lpstr>input_497101</vt:lpstr>
      <vt:lpstr>tables_497101</vt:lpstr>
      <vt:lpstr>input_497103</vt:lpstr>
      <vt:lpstr>tables_497103</vt:lpstr>
      <vt:lpstr>tables_settle_497103</vt:lpstr>
      <vt:lpstr>input_497104</vt:lpstr>
      <vt:lpstr>tables_497104</vt:lpstr>
      <vt:lpstr>input_497105</vt:lpstr>
      <vt:lpstr>tables_497105</vt:lpstr>
      <vt:lpstr>input_497100</vt:lpstr>
      <vt:lpstr>tables_497100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2016-12-22T09:00:35Z</dcterms:modified>
</cp:coreProperties>
</file>