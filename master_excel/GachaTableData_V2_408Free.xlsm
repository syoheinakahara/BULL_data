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60" yWindow="460" windowWidth="25140" windowHeight="15540" tabRatio="943" activeTab="5"/>
  </bookViews>
  <sheets>
    <sheet name="確率の考え方" sheetId="110" r:id="rId1"/>
    <sheet name="Sheet1" sheetId="107" r:id="rId2"/>
    <sheet name="output" sheetId="103" r:id="rId3"/>
    <sheet name="input_408010" sheetId="157" r:id="rId4"/>
    <sheet name="tables_408010" sheetId="15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tables_408010!$A$1:$V$294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98" l="1"/>
  <c r="B5" i="98"/>
  <c r="B6" i="98"/>
  <c r="B7" i="98"/>
  <c r="B8" i="98"/>
  <c r="B9" i="98"/>
  <c r="B10" i="98"/>
  <c r="B11" i="98"/>
  <c r="B3" i="98"/>
  <c r="B2" i="98"/>
  <c r="C3" i="103"/>
  <c r="E3" i="103"/>
  <c r="A2" i="157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E6" i="157"/>
  <c r="E19" i="157"/>
  <c r="B19" i="157"/>
  <c r="E24" i="157"/>
  <c r="B24" i="157"/>
  <c r="B17" i="157"/>
  <c r="G17" i="157"/>
  <c r="E17" i="157"/>
  <c r="H17" i="157"/>
  <c r="E18" i="157"/>
  <c r="B18" i="157"/>
  <c r="G18" i="157"/>
  <c r="H18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E20" i="157"/>
  <c r="B20" i="157"/>
  <c r="G20" i="157"/>
  <c r="H20" i="157"/>
  <c r="E23" i="157"/>
  <c r="B23" i="157"/>
  <c r="E28" i="157"/>
  <c r="B28" i="157"/>
  <c r="B21" i="157"/>
  <c r="G21" i="157"/>
  <c r="E21" i="157"/>
  <c r="H21" i="157"/>
  <c r="E27" i="157"/>
  <c r="B27" i="157"/>
  <c r="G27" i="157"/>
  <c r="H27" i="157"/>
  <c r="G28" i="157"/>
  <c r="H28" i="157"/>
  <c r="E22" i="157"/>
  <c r="B22" i="157"/>
  <c r="G22" i="157"/>
  <c r="H22" i="157"/>
  <c r="G23" i="157"/>
  <c r="H23" i="157"/>
  <c r="O138" i="158"/>
  <c r="O2" i="158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F41" i="157"/>
  <c r="G41" i="157"/>
  <c r="F310" i="158"/>
  <c r="H310" i="158"/>
  <c r="K310" i="158"/>
  <c r="L310" i="158"/>
  <c r="M310" i="158"/>
  <c r="N310" i="158"/>
  <c r="F311" i="158"/>
  <c r="F312" i="158"/>
  <c r="F313" i="158"/>
  <c r="F314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5" i="158"/>
  <c r="F305" i="158"/>
  <c r="H305" i="158"/>
  <c r="K305" i="158"/>
  <c r="L305" i="158"/>
  <c r="M305" i="158"/>
  <c r="N305" i="158"/>
  <c r="F306" i="158"/>
  <c r="F307" i="158"/>
  <c r="F308" i="158"/>
  <c r="F309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8"/>
  <c r="F300" i="158"/>
  <c r="H300" i="158"/>
  <c r="K300" i="158"/>
  <c r="L300" i="158"/>
  <c r="M300" i="158"/>
  <c r="N300" i="158"/>
  <c r="F301" i="158"/>
  <c r="F302" i="158"/>
  <c r="F303" i="158"/>
  <c r="F304" i="158"/>
  <c r="R3" i="157"/>
  <c r="R4" i="157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2" i="103"/>
  <c r="E2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6" i="103"/>
  <c r="E5" i="103"/>
  <c r="E4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<sst xmlns="http://schemas.openxmlformats.org/spreadsheetml/2006/main" count="456" uniqueCount="276">
  <si>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</si>
  <si>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</si>
  <si>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</si>
  <si>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</si>
  <si>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</si>
  <si>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</si>
  <si>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</si>
  <si>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</si>
  <si>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</si>
  <si>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</si>
  <si>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</si>
  <si>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</si>
  <si>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</si>
  <si>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</si>
  <si>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</si>
  <si>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</si>
  <si>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</si>
  <si>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</si>
  <si>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</si>
  <si>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</si>
  <si>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</si>
  <si>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</si>
  <si>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</si>
  <si>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</si>
  <si>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</si>
  <si>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</si>
  <si>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</si>
  <si>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</si>
  <si>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</si>
  <si>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</si>
  <si>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</si>
  <si>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</si>
  <si>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</si>
  <si>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</si>
  <si>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</si>
  <si>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</si>
  <si>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</si>
  <si>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</si>
  <si>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</si>
  <si>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</si>
  <si>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</si>
  <si>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</si>
  <si>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</si>
  <si>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</si>
  <si>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</si>
  <si>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</si>
  <si>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</si>
  <si>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</si>
  <si>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</si>
  <si>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</si>
  <si>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</si>
  <si>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</si>
  <si>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</si>
  <si>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</si>
  <si>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</si>
  <si>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</si>
  <si>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</si>
  <si>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</si>
  <si>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</si>
  <si>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</si>
  <si>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</si>
  <si>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</si>
  <si>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</si>
  <si>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</si>
  <si>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</si>
  <si>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</si>
  <si>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</si>
  <si>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</si>
  <si>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</si>
  <si>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</si>
  <si>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</si>
  <si>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</si>
  <si>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</si>
  <si>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</si>
  <si>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</si>
  <si>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</si>
  <si>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</si>
  <si>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</si>
  <si>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</si>
  <si>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</si>
  <si>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</si>
  <si>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</si>
  <si>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</si>
  <si>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</si>
  <si>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</si>
  <si>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</si>
  <si>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</si>
  <si>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</si>
  <si>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</si>
  <si>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</si>
  <si>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</si>
  <si>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</si>
  <si>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</si>
  <si>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</si>
  <si>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</si>
  <si>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</si>
  <si>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</si>
  <si>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</si>
  <si>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</si>
  <si>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</si>
  <si>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</si>
  <si>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</si>
  <si>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</si>
  <si>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</si>
  <si>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</si>
  <si>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</si>
  <si>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</si>
  <si>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</si>
  <si>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</si>
  <si>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PremiumSSS4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</si>
  <si>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</si>
  <si>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</si>
  <si>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</si>
  <si>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</si>
  <si>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</si>
  <si>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</si>
  <si>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</si>
  <si>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</si>
  <si>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</si>
  <si>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</si>
  <si>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</si>
  <si>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</si>
  <si>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</si>
  <si>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</si>
  <si>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</si>
  <si>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</si>
  <si>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</si>
  <si>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</si>
  <si>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</si>
  <si>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</si>
  <si>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</si>
  <si>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</si>
  <si>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</si>
  <si>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</si>
  <si>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</si>
  <si>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</si>
  <si>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</si>
  <si>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</si>
  <si>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</si>
  <si>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</si>
  <si>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</si>
  <si>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</si>
  <si>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</si>
  <si>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</si>
  <si>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</si>
  <si>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</si>
  <si>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</si>
  <si>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</si>
  <si>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</si>
  <si>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</si>
  <si>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</si>
  <si>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</si>
  <si>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</si>
  <si>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</si>
  <si>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</si>
  <si>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</si>
  <si>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</si>
  <si>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</si>
  <si>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</si>
  <si>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</si>
  <si>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</si>
  <si>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</si>
  <si>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</si>
  <si>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</si>
  <si>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</si>
  <si>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</si>
  <si>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</si>
  <si>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</si>
  <si>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</si>
  <si>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</si>
  <si>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</si>
  <si>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</si>
  <si>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</si>
  <si>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</si>
  <si>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</si>
  <si>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</si>
  <si>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</si>
  <si>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</si>
  <si>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</si>
  <si>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</si>
  <si>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</si>
  <si>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</si>
  <si>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</si>
  <si>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</si>
  <si>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</si>
  <si>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</si>
  <si>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</si>
  <si>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</si>
  <si>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</si>
  <si>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</si>
  <si>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</si>
  <si>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</si>
  <si>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</si>
  <si>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</si>
  <si>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</si>
  <si>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</si>
  <si>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</si>
  <si>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</si>
  <si>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</si>
  <si>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</si>
  <si>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</si>
  <si>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</si>
  <si>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</si>
  <si>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</si>
  <si>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</si>
  <si>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</si>
  <si>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</si>
  <si>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</si>
  <si>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</si>
  <si>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</si>
  <si>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</si>
  <si>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</si>
  <si>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</si>
  <si>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</si>
  <si>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</si>
  <si>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</si>
  <si>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</si>
  <si>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</si>
  <si>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</si>
  <si>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</si>
  <si>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</si>
  <si>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</si>
  <si>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</si>
  <si>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</si>
  <si>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</si>
  <si>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</si>
  <si>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</si>
  <si>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</si>
  <si>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</si>
  <si>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</si>
  <si>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</si>
  <si>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</si>
  <si>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</si>
  <si>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</si>
  <si>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</si>
  <si>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</si>
  <si>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</si>
  <si>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</si>
  <si>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</si>
  <si>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PremiumSSS4R3less</t>
    <phoneticPr fontId="19"/>
  </si>
  <si>
    <t>PremiumSSS5R3less</t>
    <phoneticPr fontId="19"/>
  </si>
  <si>
    <t>通常確率</t>
    <phoneticPr fontId="19"/>
  </si>
  <si>
    <t>skip</t>
    <phoneticPr fontId="19"/>
  </si>
  <si>
    <t>ja</t>
  </si>
  <si>
    <t>old</t>
    <phoneticPr fontId="19"/>
  </si>
  <si>
    <t>gacha_settle_tables_</t>
    <phoneticPr fontId="19"/>
  </si>
  <si>
    <t>table_no</t>
    <phoneticPr fontId="19"/>
  </si>
  <si>
    <t>tables_settle_408019</t>
    <phoneticPr fontId="19"/>
  </si>
  <si>
    <t>bit</t>
    <phoneticPr fontId="19"/>
  </si>
  <si>
    <t>unit</t>
    <phoneticPr fontId="19"/>
  </si>
  <si>
    <t>polygon</t>
    <phoneticPr fontId="19"/>
  </si>
  <si>
    <t>polygon</t>
    <phoneticPr fontId="19"/>
  </si>
  <si>
    <t>ポリゴン × 1</t>
    <phoneticPr fontId="19"/>
  </si>
  <si>
    <t>skip</t>
    <phoneticPr fontId="19"/>
  </si>
  <si>
    <t>null</t>
    <phoneticPr fontId="19"/>
  </si>
  <si>
    <t>tables_408100</t>
    <phoneticPr fontId="19"/>
  </si>
  <si>
    <t>300,000 ビット</t>
    <phoneticPr fontId="19"/>
  </si>
  <si>
    <t>5日目特典として
リトルハンプティ1体をプレゼント！</t>
    <phoneticPr fontId="19"/>
  </si>
  <si>
    <t>3日目特典として
300,000 ビットをプレゼント！</t>
    <phoneticPr fontId="19"/>
  </si>
  <si>
    <t>ポリゴン × 5</t>
    <phoneticPr fontId="19"/>
  </si>
  <si>
    <t>ポリゴン × 5</t>
    <phoneticPr fontId="19"/>
  </si>
  <si>
    <t>7日目特典として
ポリゴン5個をプレゼント！</t>
    <phoneticPr fontId="19"/>
  </si>
  <si>
    <t>9日目特典として
ポリゴン5個をプレゼント！</t>
    <phoneticPr fontId="19"/>
  </si>
  <si>
    <t>ja</t>
    <phoneticPr fontId="19"/>
  </si>
  <si>
    <t>1日目特典として
ポリゴン1個をプレゼント！</t>
    <phoneticPr fontId="19"/>
  </si>
  <si>
    <t>秘術の果実 × 1</t>
    <phoneticPr fontId="19"/>
  </si>
  <si>
    <t>2日目特典として
秘術の果実1体をプレゼント！</t>
    <phoneticPr fontId="19"/>
  </si>
  <si>
    <t>item</t>
    <phoneticPr fontId="19"/>
  </si>
  <si>
    <t>経験値キー × 1</t>
    <phoneticPr fontId="19"/>
  </si>
  <si>
    <t>4日目特典として
経験値キー1つをプレゼント！</t>
    <phoneticPr fontId="19"/>
  </si>
  <si>
    <t>6日目特典として
経験値キー1つをプレゼント！</t>
    <phoneticPr fontId="19"/>
  </si>
  <si>
    <t>8日目特典として
経験値キー1つをプレゼント！</t>
    <phoneticPr fontId="19"/>
  </si>
  <si>
    <t>10日目特典として
秘術の果実3体をプレゼント！</t>
    <phoneticPr fontId="19"/>
  </si>
  <si>
    <t>秘術の果実 × 3</t>
    <phoneticPr fontId="19"/>
  </si>
  <si>
    <t>全世界600万DL突破記念無料ガチャ特典</t>
    <phoneticPr fontId="19"/>
  </si>
  <si>
    <t>リトルハンプティ × 1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</si>
</sst>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</cellStyleXfs>
  <cellXfs count="102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6" fillId="32" borderId="1" xfId="0" applyNumberFormat="1" applyFont="1" applyFill="1" applyBorder="1"/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3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25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3036" applyFont="1" applyBorder="1"/>
    <xf numFmtId="0" fontId="4" fillId="4" borderId="1" xfId="2978" applyFont="1" applyFill="1" applyBorder="1"/>
    <xf numFmtId="0" fontId="24" fillId="0" borderId="1" xfId="2" applyFont="1" applyFill="1" applyBorder="1" applyAlignment="1">
      <alignment vertical="center"/>
    </xf>
    <xf numFmtId="0" fontId="4" fillId="0" borderId="1" xfId="2978" applyFont="1" applyBorder="1"/>
    <xf numFmtId="0" fontId="4" fillId="2" borderId="1" xfId="19" applyFont="1" applyFill="1" applyBorder="1"/>
    <xf numFmtId="184" fontId="24" fillId="0" borderId="0" xfId="2" applyNumberFormat="1" applyFont="1" applyAlignment="1">
      <alignment horizontal="left" vertical="center"/>
    </xf>
    <xf numFmtId="0" fontId="24" fillId="0" borderId="0" xfId="2" applyFont="1" applyAlignment="1">
      <alignment horizontal="left" vertical="center"/>
    </xf>
    <xf numFmtId="0" fontId="3" fillId="0" borderId="1" xfId="3036" applyFont="1" applyBorder="1"/>
    <xf numFmtId="0" fontId="2" fillId="4" borderId="1" xfId="2978" applyFont="1" applyFill="1" applyBorder="1"/>
    <xf numFmtId="0" fontId="24" fillId="0" borderId="1" xfId="2" applyFont="1" applyFill="1" applyBorder="1" applyAlignment="1">
      <alignment horizontal="left" vertical="center"/>
    </xf>
    <xf numFmtId="0" fontId="51" fillId="0" borderId="1" xfId="0" applyFont="1" applyFill="1" applyBorder="1" applyAlignment="1">
      <alignment horizontal="left" vertical="center"/>
    </xf>
    <xf numFmtId="0" fontId="15" fillId="4" borderId="1" xfId="19" applyFont="1" applyFill="1" applyBorder="1"/>
    <xf numFmtId="0" fontId="24" fillId="0" borderId="1" xfId="2" applyFont="1" applyFill="1" applyBorder="1" applyAlignment="1">
      <alignment horizontal="right" vertical="center"/>
    </xf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C4" sqref="C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242</v>
      </c>
      <c r="B2" s="61" t="s">
        <v>110</v>
      </c>
      <c r="C2" s="50" t="str">
        <f t="shared" ref="C2" si="0">RIGHT(F2,6)</f>
        <v>408100</v>
      </c>
      <c r="D2" s="19" t="s">
        <v>45</v>
      </c>
      <c r="E2" s="17" t="str">
        <f t="shared" ref="E2" si="1">B2&amp;C2&amp;D2</f>
        <v>gacha_select_tables_408100.tmp</v>
      </c>
      <c r="F2" s="97" t="s">
        <v>255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253</v>
      </c>
      <c r="B3" s="92" t="s">
        <v>245</v>
      </c>
      <c r="C3" s="90" t="str">
        <f t="shared" ref="C3" si="2">RIGHT(F3,6)</f>
        <v>408019</v>
      </c>
      <c r="D3" s="19" t="s">
        <v>45</v>
      </c>
      <c r="E3" s="17" t="str">
        <f t="shared" ref="E3" si="3">B3&amp;C3&amp;D3</f>
        <v>gacha_settle_tables_408019.tmp</v>
      </c>
      <c r="F3" s="90" t="s">
        <v>247</v>
      </c>
      <c r="G3" s="93" t="s">
        <v>246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9" t="s">
        <v>244</v>
      </c>
      <c r="B4" s="27" t="s">
        <v>50</v>
      </c>
      <c r="C4" s="32">
        <v>408</v>
      </c>
      <c r="D4" s="19" t="s">
        <v>46</v>
      </c>
      <c r="E4" s="17" t="str">
        <f t="shared" ref="E4:E6" si="4">B4&amp;C4&amp;D4</f>
        <v>gacha_bonus_tables_408.tmp</v>
      </c>
      <c r="F4" s="19" t="s">
        <v>47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9" t="s">
        <v>244</v>
      </c>
      <c r="B5" s="19" t="s">
        <v>48</v>
      </c>
      <c r="C5" s="32">
        <v>408</v>
      </c>
      <c r="D5" s="19" t="s">
        <v>46</v>
      </c>
      <c r="E5" s="17" t="str">
        <f t="shared" si="4"/>
        <v>gifts_tmp_408.tmp</v>
      </c>
      <c r="F5" s="19" t="s">
        <v>47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1" t="s">
        <v>7</v>
      </c>
      <c r="P5" s="51" t="s">
        <v>9</v>
      </c>
      <c r="Q5" s="51" t="s">
        <v>6</v>
      </c>
      <c r="R5" s="51" t="s">
        <v>86</v>
      </c>
      <c r="S5" s="51" t="s">
        <v>8</v>
      </c>
      <c r="T5" s="51" t="s">
        <v>87</v>
      </c>
      <c r="U5" s="51" t="s">
        <v>5</v>
      </c>
    </row>
    <row r="6" spans="1:21" x14ac:dyDescent="0.15">
      <c r="A6" s="89" t="s">
        <v>244</v>
      </c>
      <c r="B6" s="19" t="s">
        <v>49</v>
      </c>
      <c r="C6" s="32">
        <v>408</v>
      </c>
      <c r="D6" s="19" t="s">
        <v>46</v>
      </c>
      <c r="E6" s="17" t="str">
        <f t="shared" si="4"/>
        <v>gifts_i18n_408.tmp</v>
      </c>
      <c r="F6" s="19" t="s">
        <v>47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B2" sqref="B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VLOOKUP(L3,tables_408010!B:C,2,FALSE)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VLOOKUP(L4,tables_408010!B:C,2,FALSE)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9.8039215686274508E-4</v>
      </c>
      <c r="F5">
        <f>(COUNTIF(tables_408010!C:C,input_408010!A28)+COUNTIF(tables_408010!C:C,input_408010!A29))</f>
        <v>51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VLOOKUP(L5,tables_408010!B:C,2,FALSE)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1.0674157303370785E-2</v>
      </c>
      <c r="F6">
        <f>(COUNTIF(tables_408010!C:C,input_408010!A25)+COUNTIF(tables_408010!C:C,input_408010!A18)+COUNTIF(tables_408010!C:C,input_408010!A20)+COUNTIF(tables_408010!C:C,input_408010!A22))</f>
        <v>89</v>
      </c>
      <c r="H6" s="86">
        <v>0</v>
      </c>
      <c r="I6" s="31">
        <v>0</v>
      </c>
      <c r="L6" s="87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VLOOKUP(L6,tables_408010!B:C,2,FALSE)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VLOOKUP(L7,tables_408010!B:C,2,FALSE)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VLOOKUP(L8,tables_408010!B:C,2,FALSE)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VLOOKUP(L9,tables_408010!B:C,2,FALSE)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5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VLOOKUP(L10,tables_408010!B:C,2,FALSE)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241</v>
      </c>
      <c r="L11" s="85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VLOOKUP(L11,tables_408010!B:C,2,FALSE)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VLOOKUP(L12,tables_408010!B:C,2,FALSE)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VLOOKUP(L13,tables_408010!B:C,2,FALSE)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VLOOKUP(L14,tables_408010!B:C,2,FALSE)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VLOOKUP(L15,tables_408010!B:C,2,FALSE)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0.20112359550561798</v>
      </c>
      <c r="C17" s="84">
        <f t="shared" ref="C17:C31" si="2">SUMIF(Q:Q,A17,N:N)</f>
        <v>0</v>
      </c>
      <c r="D17" s="74">
        <f t="shared" ref="D17:D32" si="3">B17-C17</f>
        <v>0.20112359550561798</v>
      </c>
      <c r="E17">
        <f>COUNTIF(tables_408010!C:C,input_408010!A17)-COUNTIF(Q:Q,A17)</f>
        <v>20</v>
      </c>
      <c r="F17" s="43">
        <f>IFERROR(B17/E17,0)</f>
        <v>1.0056179775280899E-2</v>
      </c>
      <c r="G17">
        <f t="shared" ref="G17:G31" si="4">A$36*B17</f>
        <v>18258000</v>
      </c>
      <c r="H17">
        <f t="shared" ref="H17:H31" si="5">IFERROR(ROUND(G17/E17,5),0)</f>
        <v>912900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1.2359550561797716E-2</v>
      </c>
      <c r="C18" s="84">
        <f t="shared" si="2"/>
        <v>0</v>
      </c>
      <c r="D18" s="74">
        <f t="shared" si="3"/>
        <v>1.2359550561797716E-2</v>
      </c>
      <c r="E18">
        <f>COUNTIF(tables_408010!C:C,input_408010!A18)-COUNTIF(Q:Q,A18)</f>
        <v>20</v>
      </c>
      <c r="F18" s="43">
        <f>IFERROR(B18/E18,0)</f>
        <v>6.1797752808988586E-4</v>
      </c>
      <c r="G18">
        <f t="shared" si="4"/>
        <v>1121999.9999999967</v>
      </c>
      <c r="H18">
        <f t="shared" si="5"/>
        <v>56100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0.27752808988764044</v>
      </c>
      <c r="C19" s="84">
        <f t="shared" si="2"/>
        <v>0</v>
      </c>
      <c r="D19" s="74">
        <f t="shared" si="3"/>
        <v>0.27752808988764044</v>
      </c>
      <c r="E19">
        <f>COUNTIF(tables_408010!C:C,input_408010!A19)-COUNTIF(Q:Q,A19)</f>
        <v>52</v>
      </c>
      <c r="F19" s="43">
        <f t="shared" ref="F19:F31" si="8">IFERROR(B19/E19,0)</f>
        <v>5.3370786516853935E-3</v>
      </c>
      <c r="G19">
        <f t="shared" si="4"/>
        <v>25194000</v>
      </c>
      <c r="H19">
        <f t="shared" si="5"/>
        <v>484500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88">
        <f>E$6*E20*B$6+E34</f>
        <v>0.2605226922229566</v>
      </c>
      <c r="C20" s="84">
        <f t="shared" si="2"/>
        <v>0</v>
      </c>
      <c r="D20" s="74">
        <f t="shared" si="3"/>
        <v>0.2605226922229566</v>
      </c>
      <c r="E20">
        <f>COUNTIF(tables_408010!C:C,input_408010!A20)-COUNTIF(Q:Q,A20)</f>
        <v>52</v>
      </c>
      <c r="F20" s="43">
        <f t="shared" si="8"/>
        <v>5.0100517735183958E-3</v>
      </c>
      <c r="G20">
        <f t="shared" si="4"/>
        <v>23650250</v>
      </c>
      <c r="H20">
        <f t="shared" si="5"/>
        <v>454812.5</v>
      </c>
      <c r="I20">
        <f t="shared" si="6"/>
        <v>0.5</v>
      </c>
      <c r="J20">
        <f t="shared" si="7"/>
        <v>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1.7005397664683859E-2</v>
      </c>
      <c r="C21" s="84">
        <f t="shared" si="2"/>
        <v>0</v>
      </c>
      <c r="D21" s="74">
        <f t="shared" si="3"/>
        <v>1.7005397664683859E-2</v>
      </c>
      <c r="E21">
        <f>COUNTIF(tables_408010!C:C,input_408010!A21)-COUNTIF(Q:Q,A21)</f>
        <v>52</v>
      </c>
      <c r="F21" s="43">
        <f t="shared" si="8"/>
        <v>3.270268781669973E-4</v>
      </c>
      <c r="G21">
        <f t="shared" si="4"/>
        <v>1543750.0000000007</v>
      </c>
      <c r="H21">
        <f t="shared" si="5"/>
        <v>29687.5</v>
      </c>
      <c r="I21">
        <f t="shared" si="6"/>
        <v>0.5</v>
      </c>
      <c r="J21">
        <f t="shared" si="7"/>
        <v>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0.1318258426966292</v>
      </c>
      <c r="C22" s="84">
        <f t="shared" si="2"/>
        <v>0</v>
      </c>
      <c r="D22" s="74">
        <f t="shared" si="3"/>
        <v>0.1318258426966292</v>
      </c>
      <c r="E22">
        <f>COUNTIF(tables_408010!C:C,input_408010!A22)-COUNTIF(Q:Q,A22)</f>
        <v>13</v>
      </c>
      <c r="F22" s="43">
        <f t="shared" si="8"/>
        <v>1.0140449438202246E-2</v>
      </c>
      <c r="G22">
        <f t="shared" si="4"/>
        <v>11967149.999999998</v>
      </c>
      <c r="H22">
        <f t="shared" si="5"/>
        <v>920550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6.9382022471910117E-3</v>
      </c>
      <c r="C23" s="84">
        <f t="shared" si="2"/>
        <v>0</v>
      </c>
      <c r="D23" s="74">
        <f t="shared" si="3"/>
        <v>6.9382022471910117E-3</v>
      </c>
      <c r="E23">
        <f>COUNTIF(tables_408010!C:C,input_408010!A23)-COUNTIF(Q:Q,A23)</f>
        <v>13</v>
      </c>
      <c r="F23" s="43">
        <f t="shared" si="8"/>
        <v>5.3370786516853937E-4</v>
      </c>
      <c r="G23">
        <f t="shared" si="4"/>
        <v>629850</v>
      </c>
      <c r="H23">
        <f t="shared" si="5"/>
        <v>48450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2.134831460674157E-2</v>
      </c>
      <c r="C24" s="84">
        <f t="shared" si="2"/>
        <v>0</v>
      </c>
      <c r="D24" s="74">
        <f t="shared" si="3"/>
        <v>2.134831460674157E-2</v>
      </c>
      <c r="E24">
        <f>COUNTIF(tables_408010!C:C,input_408010!A24)-COUNTIF(Q:Q,A24)</f>
        <v>4</v>
      </c>
      <c r="F24" s="43">
        <f t="shared" si="8"/>
        <v>5.3370786516853926E-3</v>
      </c>
      <c r="G24">
        <f t="shared" si="4"/>
        <v>1937999.9999999998</v>
      </c>
      <c r="H24">
        <f t="shared" si="5"/>
        <v>484500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1.9213483146067415E-2</v>
      </c>
      <c r="C25" s="84">
        <f t="shared" si="2"/>
        <v>0</v>
      </c>
      <c r="D25" s="74">
        <f t="shared" si="3"/>
        <v>1.9213483146067415E-2</v>
      </c>
      <c r="E25">
        <f>COUNTIF(tables_408010!C:C,input_408010!A25)-COUNTIF(Q:Q,A25)</f>
        <v>4</v>
      </c>
      <c r="F25" s="43">
        <f t="shared" si="8"/>
        <v>4.8033707865168538E-3</v>
      </c>
      <c r="G25">
        <f t="shared" si="4"/>
        <v>1744200</v>
      </c>
      <c r="H25">
        <f t="shared" si="5"/>
        <v>436050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2.134831460674157E-3</v>
      </c>
      <c r="C26" s="84">
        <f t="shared" si="2"/>
        <v>0</v>
      </c>
      <c r="D26" s="74">
        <f t="shared" si="3"/>
        <v>2.134831460674157E-3</v>
      </c>
      <c r="E26">
        <f>COUNTIF(tables_408010!C:C,input_408010!A26)-COUNTIF(Q:Q,A26)</f>
        <v>4</v>
      </c>
      <c r="F26" s="43">
        <f t="shared" si="8"/>
        <v>5.3370786516853926E-4</v>
      </c>
      <c r="G26">
        <f t="shared" si="4"/>
        <v>193799.99999999997</v>
      </c>
      <c r="H26">
        <f t="shared" si="5"/>
        <v>48450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2.6078431372549019E-2</v>
      </c>
      <c r="C27" s="84">
        <f t="shared" si="2"/>
        <v>0</v>
      </c>
      <c r="D27" s="74">
        <f t="shared" si="3"/>
        <v>2.6078431372549019E-2</v>
      </c>
      <c r="E27">
        <f>COUNTIF(tables_408010!C:C,input_408010!A27)-COUNTIF(Q:Q,A27)</f>
        <v>28</v>
      </c>
      <c r="F27" s="43">
        <f>IFERROR(B27/E27,0)</f>
        <v>9.3137254901960785E-4</v>
      </c>
      <c r="G27">
        <f t="shared" si="4"/>
        <v>2367400</v>
      </c>
      <c r="H27">
        <f t="shared" si="5"/>
        <v>84550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1.3725490196078432E-3</v>
      </c>
      <c r="C28" s="84">
        <f t="shared" si="2"/>
        <v>0</v>
      </c>
      <c r="D28" s="74">
        <f t="shared" si="3"/>
        <v>1.3725490196078432E-3</v>
      </c>
      <c r="E28">
        <f>COUNTIF(tables_408010!C:C,input_408010!A28)-COUNTIF(Q:Q,A28)</f>
        <v>28</v>
      </c>
      <c r="F28" s="43">
        <f t="shared" si="8"/>
        <v>4.9019607843137253E-5</v>
      </c>
      <c r="G28">
        <f t="shared" si="4"/>
        <v>124600</v>
      </c>
      <c r="H28">
        <f t="shared" si="5"/>
        <v>4450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2.2549019607843137E-2</v>
      </c>
      <c r="C29" s="84">
        <f t="shared" si="2"/>
        <v>0</v>
      </c>
      <c r="D29" s="74">
        <f t="shared" si="3"/>
        <v>2.2549019607843137E-2</v>
      </c>
      <c r="E29">
        <f>COUNTIF(tables_408010!C:C,input_408010!A29)-COUNTIF(Q:Q,A29)</f>
        <v>23</v>
      </c>
      <c r="F29" s="43">
        <f t="shared" si="8"/>
        <v>9.8039215686274508E-4</v>
      </c>
      <c r="G29">
        <f t="shared" si="4"/>
        <v>2047000</v>
      </c>
      <c r="H29">
        <f t="shared" si="5"/>
        <v>89000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COUNTIF(tables_408010!C:C,input_408010!A30)-COUNTIF(Q:Q,A30)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COUNTIF(tables_408010!C:C,input_408010!A31)-COUNTIF(Q:Q,A31)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1.0747411324080192E-2</v>
      </c>
    </row>
    <row r="35" spans="1:7" x14ac:dyDescent="0.15">
      <c r="A35" t="s">
        <v>73</v>
      </c>
    </row>
    <row r="36" spans="1:7" x14ac:dyDescent="0.15">
      <c r="A36" s="31">
        <f>LCM(F5-I5,F6-I6)*1000*2*2*5</f>
        <v>90780000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SUMIF(tables_408010!C:C,input_408010!A40,tables_408010!O:O)</f>
        <v>25194000</v>
      </c>
      <c r="C40" s="54">
        <f t="shared" ref="C40:C46" ca="1" si="9">B40/B$47</f>
        <v>0.47643721633888048</v>
      </c>
      <c r="E40">
        <v>3</v>
      </c>
      <c r="F40">
        <f ca="1">SUMIF(tables_408010!J:J,input_408010!E40,tables_408010!O:O)</f>
        <v>45390000</v>
      </c>
      <c r="G40">
        <f ca="1">F40/A36</f>
        <v>0.5</v>
      </c>
    </row>
    <row r="41" spans="1:7" x14ac:dyDescent="0.15">
      <c r="A41" s="33" t="s">
        <v>104</v>
      </c>
      <c r="B41">
        <f ca="1">SUMIF(tables_408010!C:C,input_408010!A41,tables_408010!O:O)</f>
        <v>23650250</v>
      </c>
      <c r="C41" s="54">
        <f t="shared" ca="1" si="9"/>
        <v>0.44724375945537065</v>
      </c>
      <c r="E41">
        <v>4</v>
      </c>
      <c r="F41">
        <f ca="1">SUMIF(tables_408010!J:J,input_408010!E41,tables_408010!O:O)</f>
        <v>40851000</v>
      </c>
      <c r="G41">
        <f ca="1">F41/A36</f>
        <v>0.45</v>
      </c>
    </row>
    <row r="42" spans="1:7" x14ac:dyDescent="0.15">
      <c r="A42" s="33" t="s">
        <v>106</v>
      </c>
      <c r="B42">
        <f ca="1">SUMIF(tables_408010!C:C,input_408010!A42,tables_408010!O:O)</f>
        <v>2367400</v>
      </c>
      <c r="C42" s="54">
        <f t="shared" ca="1" si="9"/>
        <v>4.4769288956127078E-2</v>
      </c>
      <c r="E42">
        <v>5</v>
      </c>
      <c r="F42">
        <f ca="1">SUMIF(tables_408010!J:J,input_408010!E42,tables_408010!O:O)</f>
        <v>4539000</v>
      </c>
      <c r="G42">
        <f ca="1">F42/A36</f>
        <v>0.05</v>
      </c>
    </row>
    <row r="43" spans="1:7" x14ac:dyDescent="0.15">
      <c r="A43" s="33" t="s">
        <v>109</v>
      </c>
      <c r="B43">
        <f>SUMIF(tables_408010!C:C,input_408010!A43,tables_408010!O:O)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SUMIF(tables_408010!C:C,input_408010!A44,tables_408010!O:O)</f>
        <v>1543750</v>
      </c>
      <c r="C44" s="54">
        <f t="shared" ca="1" si="9"/>
        <v>2.9193456883509834E-2</v>
      </c>
      <c r="E44" t="s">
        <v>54</v>
      </c>
      <c r="F44" s="55"/>
    </row>
    <row r="45" spans="1:7" x14ac:dyDescent="0.15">
      <c r="A45" s="33" t="s">
        <v>107</v>
      </c>
      <c r="B45">
        <f ca="1">SUMIF(tables_408010!C:C,input_408010!A45,tables_408010!O:O)</f>
        <v>124600</v>
      </c>
      <c r="C45" s="54">
        <f t="shared" ca="1" si="9"/>
        <v>2.3562783661119518E-3</v>
      </c>
      <c r="E45" t="s">
        <v>204</v>
      </c>
      <c r="F45" s="55">
        <f ca="1">SUMIF(tables_408010!I:I,input_408010!E45,tables_408010!P:P)</f>
        <v>0.21348314606741572</v>
      </c>
    </row>
    <row r="46" spans="1:7" x14ac:dyDescent="0.15">
      <c r="A46" s="33" t="s">
        <v>108</v>
      </c>
      <c r="B46">
        <f>SUMIF(tables_408010!C:C,input_408010!A46,tables_408010!O:O)</f>
        <v>0</v>
      </c>
      <c r="C46" s="54">
        <f t="shared" ca="1" si="9"/>
        <v>0</v>
      </c>
      <c r="E46" t="s">
        <v>205</v>
      </c>
      <c r="F46" s="55">
        <f ca="1">SUMIF(tables_408010!I:I,input_408010!E46,tables_408010!P:P)</f>
        <v>0.2134831460674157</v>
      </c>
    </row>
    <row r="47" spans="1:7" x14ac:dyDescent="0.15">
      <c r="A47" s="39" t="s">
        <v>59</v>
      </c>
      <c r="B47">
        <f ca="1">SUM(B40:B46)</f>
        <v>52880000</v>
      </c>
      <c r="C47" s="55">
        <f ca="1">SUM(C40:C46)</f>
        <v>1</v>
      </c>
      <c r="E47" t="s">
        <v>206</v>
      </c>
      <c r="F47" s="55">
        <f ca="1">SUMIF(tables_408010!I:I,input_408010!E47,tables_408010!P:P)</f>
        <v>0.52303370786516779</v>
      </c>
    </row>
    <row r="48" spans="1:7" x14ac:dyDescent="0.15">
      <c r="E48" t="s">
        <v>207</v>
      </c>
      <c r="F48" s="55">
        <f ca="1">SUMIF(tables_408010!I:I,input_408010!E48,tables_408010!P:P)</f>
        <v>4.803921568627445E-2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14"/>
  <sheetViews>
    <sheetView showGridLines="0" workbookViewId="0">
      <pane ySplit="1" topLeftCell="A2" activePane="bottomLeft" state="frozen"/>
      <selection activeCell="H276" sqref="H276"/>
      <selection pane="bottomLeft" activeCell="Q2" sqref="Q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input_408010!A$2</f>
        <v>408010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IFERROR(VLOOKUP(B2,input_408010!L:R,7,FALSE),VLOOKUP(tables_408010!C2,input_408010!A:H,8,FALSE))</f>
        <v>912900</v>
      </c>
      <c r="P2" s="46">
        <f t="shared" ref="P2:P65" ca="1" si="1">O2/SUM(O:O)</f>
        <v>1.0056179775280899E-2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input_408010!A$2</f>
        <v>408010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IFERROR(VLOOKUP(B3,input_408010!L:R,7,FALSE),VLOOKUP(tables_408010!C3,input_408010!A:H,8,FALSE))</f>
        <v>56100</v>
      </c>
      <c r="P3" s="46">
        <f t="shared" ca="1" si="1"/>
        <v>6.179775280898876E-4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input_408010!A$2</f>
        <v>408010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IFERROR(VLOOKUP(B4,input_408010!L:R,7,FALSE),VLOOKUP(tables_408010!C4,input_408010!A:H,8,FALSE))</f>
        <v>912900</v>
      </c>
      <c r="P4" s="46">
        <f t="shared" ca="1" si="1"/>
        <v>1.0056179775280899E-2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input_408010!A$2</f>
        <v>408010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IFERROR(VLOOKUP(B5,input_408010!L:R,7,FALSE),VLOOKUP(tables_408010!C5,input_408010!A:H,8,FALSE))</f>
        <v>56100</v>
      </c>
      <c r="P5" s="46">
        <f t="shared" ca="1" si="1"/>
        <v>6.179775280898876E-4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input_408010!A$2</f>
        <v>408010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IFERROR(VLOOKUP(B6,input_408010!L:R,7,FALSE),VLOOKUP(tables_408010!C6,input_408010!A:H,8,FALSE))</f>
        <v>912900</v>
      </c>
      <c r="P6" s="46">
        <f t="shared" ca="1" si="1"/>
        <v>1.0056179775280899E-2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input_408010!A$2</f>
        <v>408010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IFERROR(VLOOKUP(B7,input_408010!L:R,7,FALSE),VLOOKUP(tables_408010!C7,input_408010!A:H,8,FALSE))</f>
        <v>56100</v>
      </c>
      <c r="P7" s="46">
        <f t="shared" ca="1" si="1"/>
        <v>6.179775280898876E-4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input_408010!A$2</f>
        <v>408010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IFERROR(VLOOKUP(B8,input_408010!L:R,7,FALSE),VLOOKUP(tables_408010!C8,input_408010!A:H,8,FALSE))</f>
        <v>912900</v>
      </c>
      <c r="P8" s="46">
        <f t="shared" ca="1" si="1"/>
        <v>1.0056179775280899E-2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input_408010!A$2</f>
        <v>408010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IFERROR(VLOOKUP(B9,input_408010!L:R,7,FALSE),VLOOKUP(tables_408010!C9,input_408010!A:H,8,FALSE))</f>
        <v>56100</v>
      </c>
      <c r="P9" s="46">
        <f t="shared" ca="1" si="1"/>
        <v>6.179775280898876E-4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input_408010!A$2</f>
        <v>408010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IFERROR(VLOOKUP(B10,input_408010!L:R,7,FALSE),VLOOKUP(tables_408010!C10,input_408010!A:H,8,FALSE))</f>
        <v>912900</v>
      </c>
      <c r="P10" s="46">
        <f t="shared" ca="1" si="1"/>
        <v>1.0056179775280899E-2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input_408010!A$2</f>
        <v>408010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IFERROR(VLOOKUP(B11,input_408010!L:R,7,FALSE),VLOOKUP(tables_408010!C11,input_408010!A:H,8,FALSE))</f>
        <v>56100</v>
      </c>
      <c r="P11" s="46">
        <f t="shared" ca="1" si="1"/>
        <v>6.179775280898876E-4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input_408010!A$2</f>
        <v>408010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IFERROR(VLOOKUP(B12,input_408010!L:R,7,FALSE),VLOOKUP(tables_408010!C12,input_408010!A:H,8,FALSE))</f>
        <v>912900</v>
      </c>
      <c r="P12" s="46">
        <f t="shared" ca="1" si="1"/>
        <v>1.0056179775280899E-2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input_408010!A$2</f>
        <v>408010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IFERROR(VLOOKUP(B13,input_408010!L:R,7,FALSE),VLOOKUP(tables_408010!C13,input_408010!A:H,8,FALSE))</f>
        <v>56100</v>
      </c>
      <c r="P13" s="46">
        <f t="shared" ca="1" si="1"/>
        <v>6.179775280898876E-4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input_408010!A$2</f>
        <v>408010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IFERROR(VLOOKUP(B14,input_408010!L:R,7,FALSE),VLOOKUP(tables_408010!C14,input_408010!A:H,8,FALSE))</f>
        <v>912900</v>
      </c>
      <c r="P14" s="46">
        <f t="shared" ca="1" si="1"/>
        <v>1.0056179775280899E-2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input_408010!A$2</f>
        <v>408010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IFERROR(VLOOKUP(B15,input_408010!L:R,7,FALSE),VLOOKUP(tables_408010!C15,input_408010!A:H,8,FALSE))</f>
        <v>56100</v>
      </c>
      <c r="P15" s="46">
        <f t="shared" ca="1" si="1"/>
        <v>6.179775280898876E-4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input_408010!A$2</f>
        <v>408010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IFERROR(VLOOKUP(B16,input_408010!L:R,7,FALSE),VLOOKUP(tables_408010!C16,input_408010!A:H,8,FALSE))</f>
        <v>912900</v>
      </c>
      <c r="P16" s="46">
        <f t="shared" ca="1" si="1"/>
        <v>1.0056179775280899E-2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input_408010!A$2</f>
        <v>408010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IFERROR(VLOOKUP(B17,input_408010!L:R,7,FALSE),VLOOKUP(tables_408010!C17,input_408010!A:H,8,FALSE))</f>
        <v>56100</v>
      </c>
      <c r="P17" s="46">
        <f t="shared" ca="1" si="1"/>
        <v>6.179775280898876E-4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input_408010!A$2</f>
        <v>408010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IFERROR(VLOOKUP(B18,input_408010!L:R,7,FALSE),VLOOKUP(tables_408010!C18,input_408010!A:H,8,FALSE))</f>
        <v>912900</v>
      </c>
      <c r="P18" s="46">
        <f t="shared" ca="1" si="1"/>
        <v>1.0056179775280899E-2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input_408010!A$2</f>
        <v>408010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IFERROR(VLOOKUP(B19,input_408010!L:R,7,FALSE),VLOOKUP(tables_408010!C19,input_408010!A:H,8,FALSE))</f>
        <v>56100</v>
      </c>
      <c r="P19" s="46">
        <f t="shared" ca="1" si="1"/>
        <v>6.179775280898876E-4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input_408010!A$2</f>
        <v>408010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IFERROR(VLOOKUP(B20,input_408010!L:R,7,FALSE),VLOOKUP(tables_408010!C20,input_408010!A:H,8,FALSE))</f>
        <v>912900</v>
      </c>
      <c r="P20" s="46">
        <f t="shared" ca="1" si="1"/>
        <v>1.0056179775280899E-2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input_408010!A$2</f>
        <v>408010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IFERROR(VLOOKUP(B21,input_408010!L:R,7,FALSE),VLOOKUP(tables_408010!C21,input_408010!A:H,8,FALSE))</f>
        <v>56100</v>
      </c>
      <c r="P21" s="46">
        <f t="shared" ca="1" si="1"/>
        <v>6.179775280898876E-4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input_408010!A$2</f>
        <v>408010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IFERROR(VLOOKUP(B22,input_408010!L:R,7,FALSE),VLOOKUP(tables_408010!C22,input_408010!A:H,8,FALSE))</f>
        <v>912900</v>
      </c>
      <c r="P22" s="46">
        <f t="shared" ca="1" si="1"/>
        <v>1.0056179775280899E-2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input_408010!A$2</f>
        <v>408010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IFERROR(VLOOKUP(B23,input_408010!L:R,7,FALSE),VLOOKUP(tables_408010!C23,input_408010!A:H,8,FALSE))</f>
        <v>56100</v>
      </c>
      <c r="P23" s="46">
        <f t="shared" ca="1" si="1"/>
        <v>6.179775280898876E-4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input_408010!A$2</f>
        <v>408010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IFERROR(VLOOKUP(B24,input_408010!L:R,7,FALSE),VLOOKUP(tables_408010!C24,input_408010!A:H,8,FALSE))</f>
        <v>912900</v>
      </c>
      <c r="P24" s="46">
        <f t="shared" ca="1" si="1"/>
        <v>1.0056179775280899E-2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input_408010!A$2</f>
        <v>408010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IFERROR(VLOOKUP(B25,input_408010!L:R,7,FALSE),VLOOKUP(tables_408010!C25,input_408010!A:H,8,FALSE))</f>
        <v>56100</v>
      </c>
      <c r="P25" s="46">
        <f t="shared" ca="1" si="1"/>
        <v>6.179775280898876E-4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input_408010!A$2</f>
        <v>408010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IFERROR(VLOOKUP(B26,input_408010!L:R,7,FALSE),VLOOKUP(tables_408010!C26,input_408010!A:H,8,FALSE))</f>
        <v>912900</v>
      </c>
      <c r="P26" s="46">
        <f t="shared" ca="1" si="1"/>
        <v>1.0056179775280899E-2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input_408010!A$2</f>
        <v>408010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IFERROR(VLOOKUP(B27,input_408010!L:R,7,FALSE),VLOOKUP(tables_408010!C27,input_408010!A:H,8,FALSE))</f>
        <v>56100</v>
      </c>
      <c r="P27" s="46">
        <f t="shared" ca="1" si="1"/>
        <v>6.179775280898876E-4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input_408010!A$2</f>
        <v>408010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IFERROR(VLOOKUP(B28,input_408010!L:R,7,FALSE),VLOOKUP(tables_408010!C28,input_408010!A:H,8,FALSE))</f>
        <v>912900</v>
      </c>
      <c r="P28" s="46">
        <f t="shared" ca="1" si="1"/>
        <v>1.0056179775280899E-2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input_408010!A$2</f>
        <v>408010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IFERROR(VLOOKUP(B29,input_408010!L:R,7,FALSE),VLOOKUP(tables_408010!C29,input_408010!A:H,8,FALSE))</f>
        <v>56100</v>
      </c>
      <c r="P29" s="46">
        <f t="shared" ca="1" si="1"/>
        <v>6.179775280898876E-4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input_408010!A$2</f>
        <v>408010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IFERROR(VLOOKUP(B30,input_408010!L:R,7,FALSE),VLOOKUP(tables_408010!C30,input_408010!A:H,8,FALSE))</f>
        <v>912900</v>
      </c>
      <c r="P30" s="46">
        <f t="shared" ca="1" si="1"/>
        <v>1.0056179775280899E-2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input_408010!A$2</f>
        <v>408010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IFERROR(VLOOKUP(B31,input_408010!L:R,7,FALSE),VLOOKUP(tables_408010!C31,input_408010!A:H,8,FALSE))</f>
        <v>56100</v>
      </c>
      <c r="P31" s="46">
        <f t="shared" ca="1" si="1"/>
        <v>6.179775280898876E-4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input_408010!A$2</f>
        <v>408010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IFERROR(VLOOKUP(B32,input_408010!L:R,7,FALSE),VLOOKUP(tables_408010!C32,input_408010!A:H,8,FALSE))</f>
        <v>912900</v>
      </c>
      <c r="P32" s="46">
        <f t="shared" ca="1" si="1"/>
        <v>1.0056179775280899E-2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input_408010!A$2</f>
        <v>408010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IFERROR(VLOOKUP(B33,input_408010!L:R,7,FALSE),VLOOKUP(tables_408010!C33,input_408010!A:H,8,FALSE))</f>
        <v>56100</v>
      </c>
      <c r="P33" s="46">
        <f t="shared" ca="1" si="1"/>
        <v>6.179775280898876E-4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input_408010!A$2</f>
        <v>408010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IFERROR(VLOOKUP(B34,input_408010!L:R,7,FALSE),VLOOKUP(tables_408010!C34,input_408010!A:H,8,FALSE))</f>
        <v>912900</v>
      </c>
      <c r="P34" s="46">
        <f t="shared" ca="1" si="1"/>
        <v>1.0056179775280899E-2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input_408010!A$2</f>
        <v>408010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IFERROR(VLOOKUP(B35,input_408010!L:R,7,FALSE),VLOOKUP(tables_408010!C35,input_408010!A:H,8,FALSE))</f>
        <v>56100</v>
      </c>
      <c r="P35" s="46">
        <f t="shared" ca="1" si="1"/>
        <v>6.179775280898876E-4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input_408010!A$2</f>
        <v>408010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IFERROR(VLOOKUP(B36,input_408010!L:R,7,FALSE),VLOOKUP(tables_408010!C36,input_408010!A:H,8,FALSE))</f>
        <v>912900</v>
      </c>
      <c r="P36" s="46">
        <f t="shared" ca="1" si="1"/>
        <v>1.0056179775280899E-2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input_408010!A$2</f>
        <v>408010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IFERROR(VLOOKUP(B37,input_408010!L:R,7,FALSE),VLOOKUP(tables_408010!C37,input_408010!A:H,8,FALSE))</f>
        <v>56100</v>
      </c>
      <c r="P37" s="46">
        <f t="shared" ca="1" si="1"/>
        <v>6.179775280898876E-4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input_408010!A$2</f>
        <v>408010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IFERROR(VLOOKUP(B38,input_408010!L:R,7,FALSE),VLOOKUP(tables_408010!C38,input_408010!A:H,8,FALSE))</f>
        <v>912900</v>
      </c>
      <c r="P38" s="46">
        <f t="shared" ca="1" si="1"/>
        <v>1.0056179775280899E-2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input_408010!A$2</f>
        <v>408010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IFERROR(VLOOKUP(B39,input_408010!L:R,7,FALSE),VLOOKUP(tables_408010!C39,input_408010!A:H,8,FALSE))</f>
        <v>56100</v>
      </c>
      <c r="P39" s="46">
        <f t="shared" ca="1" si="1"/>
        <v>6.179775280898876E-4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input_408010!A$2</f>
        <v>408010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IFERROR(VLOOKUP(B40,input_408010!L:R,7,FALSE),VLOOKUP(tables_408010!C40,input_408010!A:H,8,FALSE))</f>
        <v>912900</v>
      </c>
      <c r="P40" s="46">
        <f t="shared" ca="1" si="1"/>
        <v>1.0056179775280899E-2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input_408010!A$2</f>
        <v>408010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IFERROR(VLOOKUP(B41,input_408010!L:R,7,FALSE),VLOOKUP(tables_408010!C41,input_408010!A:H,8,FALSE))</f>
        <v>56100</v>
      </c>
      <c r="P41" s="46">
        <f t="shared" ca="1" si="1"/>
        <v>6.179775280898876E-4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input_408010!A$2</f>
        <v>408010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IFERROR(VLOOKUP(B42,input_408010!L:R,7,FALSE),VLOOKUP(tables_408010!C42,input_408010!A:H,8,FALSE))</f>
        <v>484500</v>
      </c>
      <c r="P42" s="46">
        <f t="shared" ca="1" si="1"/>
        <v>5.3370786516853935E-3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input_408010!A$2</f>
        <v>408010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IFERROR(VLOOKUP(B43,input_408010!L:R,7,FALSE),VLOOKUP(tables_408010!C43,input_408010!A:H,8,FALSE))</f>
        <v>436050</v>
      </c>
      <c r="P43" s="46">
        <f t="shared" ca="1" si="1"/>
        <v>4.8033707865168538E-3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input_408010!A$2</f>
        <v>408010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IFERROR(VLOOKUP(B44,input_408010!L:R,7,FALSE),VLOOKUP(tables_408010!C44,input_408010!A:H,8,FALSE))</f>
        <v>48450</v>
      </c>
      <c r="P44" s="46">
        <f t="shared" ca="1" si="1"/>
        <v>5.3370786516853937E-4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input_408010!A$2</f>
        <v>408010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IFERROR(VLOOKUP(B45,input_408010!L:R,7,FALSE),VLOOKUP(tables_408010!C45,input_408010!A:H,8,FALSE))</f>
        <v>484500</v>
      </c>
      <c r="P45" s="46">
        <f t="shared" ca="1" si="1"/>
        <v>5.3370786516853935E-3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input_408010!A$2</f>
        <v>408010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IFERROR(VLOOKUP(B46,input_408010!L:R,7,FALSE),VLOOKUP(tables_408010!C46,input_408010!A:H,8,FALSE))</f>
        <v>436050</v>
      </c>
      <c r="P46" s="46">
        <f t="shared" ca="1" si="1"/>
        <v>4.8033707865168538E-3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input_408010!A$2</f>
        <v>408010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IFERROR(VLOOKUP(B47,input_408010!L:R,7,FALSE),VLOOKUP(tables_408010!C47,input_408010!A:H,8,FALSE))</f>
        <v>48450</v>
      </c>
      <c r="P47" s="46">
        <f t="shared" ca="1" si="1"/>
        <v>5.3370786516853937E-4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input_408010!A$2</f>
        <v>408010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IFERROR(VLOOKUP(B48,input_408010!L:R,7,FALSE),VLOOKUP(tables_408010!C48,input_408010!A:H,8,FALSE))</f>
        <v>484500</v>
      </c>
      <c r="P48" s="46">
        <f t="shared" ca="1" si="1"/>
        <v>5.3370786516853935E-3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input_408010!A$2</f>
        <v>408010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IFERROR(VLOOKUP(B49,input_408010!L:R,7,FALSE),VLOOKUP(tables_408010!C49,input_408010!A:H,8,FALSE))</f>
        <v>436050</v>
      </c>
      <c r="P49" s="46">
        <f t="shared" ca="1" si="1"/>
        <v>4.8033707865168538E-3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input_408010!A$2</f>
        <v>408010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IFERROR(VLOOKUP(B50,input_408010!L:R,7,FALSE),VLOOKUP(tables_408010!C50,input_408010!A:H,8,FALSE))</f>
        <v>48450</v>
      </c>
      <c r="P50" s="46">
        <f t="shared" ca="1" si="1"/>
        <v>5.3370786516853937E-4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input_408010!A$2</f>
        <v>408010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IFERROR(VLOOKUP(B51,input_408010!L:R,7,FALSE),VLOOKUP(tables_408010!C51,input_408010!A:H,8,FALSE))</f>
        <v>484500</v>
      </c>
      <c r="P51" s="46">
        <f t="shared" ca="1" si="1"/>
        <v>5.3370786516853935E-3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input_408010!A$2</f>
        <v>408010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IFERROR(VLOOKUP(B52,input_408010!L:R,7,FALSE),VLOOKUP(tables_408010!C52,input_408010!A:H,8,FALSE))</f>
        <v>454812.5</v>
      </c>
      <c r="P52" s="46">
        <f t="shared" ca="1" si="1"/>
        <v>5.0100517735183958E-3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input_408010!A$2</f>
        <v>408010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IFERROR(VLOOKUP(B53,input_408010!L:R,7,FALSE),VLOOKUP(tables_408010!C53,input_408010!A:H,8,FALSE))</f>
        <v>29687.5</v>
      </c>
      <c r="P53" s="46">
        <f t="shared" ca="1" si="1"/>
        <v>3.2702687816699714E-4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input_408010!A$2</f>
        <v>408010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IFERROR(VLOOKUP(B54,input_408010!L:R,7,FALSE),VLOOKUP(tables_408010!C54,input_408010!A:H,8,FALSE))</f>
        <v>484500</v>
      </c>
      <c r="P54" s="46">
        <f t="shared" ca="1" si="1"/>
        <v>5.3370786516853935E-3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input_408010!A$2</f>
        <v>408010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IFERROR(VLOOKUP(B55,input_408010!L:R,7,FALSE),VLOOKUP(tables_408010!C55,input_408010!A:H,8,FALSE))</f>
        <v>454812.5</v>
      </c>
      <c r="P55" s="46">
        <f t="shared" ca="1" si="1"/>
        <v>5.0100517735183958E-3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input_408010!A$2</f>
        <v>408010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IFERROR(VLOOKUP(B56,input_408010!L:R,7,FALSE),VLOOKUP(tables_408010!C56,input_408010!A:H,8,FALSE))</f>
        <v>29687.5</v>
      </c>
      <c r="P56" s="46">
        <f t="shared" ca="1" si="1"/>
        <v>3.2702687816699714E-4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input_408010!A$2</f>
        <v>408010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IFERROR(VLOOKUP(B57,input_408010!L:R,7,FALSE),VLOOKUP(tables_408010!C57,input_408010!A:H,8,FALSE))</f>
        <v>484500</v>
      </c>
      <c r="P57" s="46">
        <f t="shared" ca="1" si="1"/>
        <v>5.3370786516853935E-3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input_408010!A$2</f>
        <v>408010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IFERROR(VLOOKUP(B58,input_408010!L:R,7,FALSE),VLOOKUP(tables_408010!C58,input_408010!A:H,8,FALSE))</f>
        <v>454812.5</v>
      </c>
      <c r="P58" s="46">
        <f t="shared" ca="1" si="1"/>
        <v>5.0100517735183958E-3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input_408010!A$2</f>
        <v>408010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IFERROR(VLOOKUP(B59,input_408010!L:R,7,FALSE),VLOOKUP(tables_408010!C59,input_408010!A:H,8,FALSE))</f>
        <v>29687.5</v>
      </c>
      <c r="P59" s="46">
        <f t="shared" ca="1" si="1"/>
        <v>3.2702687816699714E-4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input_408010!A$2</f>
        <v>408010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IFERROR(VLOOKUP(B60,input_408010!L:R,7,FALSE),VLOOKUP(tables_408010!C60,input_408010!A:H,8,FALSE))</f>
        <v>484500</v>
      </c>
      <c r="P60" s="46">
        <f t="shared" ca="1" si="1"/>
        <v>5.3370786516853935E-3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input_408010!A$2</f>
        <v>408010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IFERROR(VLOOKUP(B61,input_408010!L:R,7,FALSE),VLOOKUP(tables_408010!C61,input_408010!A:H,8,FALSE))</f>
        <v>454812.5</v>
      </c>
      <c r="P61" s="46">
        <f t="shared" ca="1" si="1"/>
        <v>5.0100517735183958E-3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input_408010!A$2</f>
        <v>408010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IFERROR(VLOOKUP(B62,input_408010!L:R,7,FALSE),VLOOKUP(tables_408010!C62,input_408010!A:H,8,FALSE))</f>
        <v>29687.5</v>
      </c>
      <c r="P62" s="46">
        <f t="shared" ca="1" si="1"/>
        <v>3.2702687816699714E-4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input_408010!A$2</f>
        <v>408010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IFERROR(VLOOKUP(B63,input_408010!L:R,7,FALSE),VLOOKUP(tables_408010!C63,input_408010!A:H,8,FALSE))</f>
        <v>484500</v>
      </c>
      <c r="P63" s="46">
        <f t="shared" ca="1" si="1"/>
        <v>5.3370786516853935E-3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input_408010!A$2</f>
        <v>408010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IFERROR(VLOOKUP(B64,input_408010!L:R,7,FALSE),VLOOKUP(tables_408010!C64,input_408010!A:H,8,FALSE))</f>
        <v>454812.5</v>
      </c>
      <c r="P64" s="46">
        <f t="shared" ca="1" si="1"/>
        <v>5.0100517735183958E-3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input_408010!A$2</f>
        <v>408010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IFERROR(VLOOKUP(B65,input_408010!L:R,7,FALSE),VLOOKUP(tables_408010!C65,input_408010!A:H,8,FALSE))</f>
        <v>29687.5</v>
      </c>
      <c r="P65" s="46">
        <f t="shared" ca="1" si="1"/>
        <v>3.2702687816699714E-4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input_408010!A$2</f>
        <v>408010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IFERROR(VLOOKUP(B66,input_408010!L:R,7,FALSE),VLOOKUP(tables_408010!C66,input_408010!A:H,8,FALSE))</f>
        <v>484500</v>
      </c>
      <c r="P66" s="46">
        <f t="shared" ref="P66:P129" ca="1" si="4">O66/SUM(O:O)</f>
        <v>5.3370786516853935E-3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input_408010!A$2</f>
        <v>408010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IFERROR(VLOOKUP(B67,input_408010!L:R,7,FALSE),VLOOKUP(tables_408010!C67,input_408010!A:H,8,FALSE))</f>
        <v>454812.5</v>
      </c>
      <c r="P67" s="46">
        <f t="shared" ca="1" si="4"/>
        <v>5.0100517735183958E-3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input_408010!A$2</f>
        <v>408010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IFERROR(VLOOKUP(B68,input_408010!L:R,7,FALSE),VLOOKUP(tables_408010!C68,input_408010!A:H,8,FALSE))</f>
        <v>29687.5</v>
      </c>
      <c r="P68" s="46">
        <f t="shared" ca="1" si="4"/>
        <v>3.2702687816699714E-4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input_408010!A$2</f>
        <v>408010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IFERROR(VLOOKUP(B69,input_408010!L:R,7,FALSE),VLOOKUP(tables_408010!C69,input_408010!A:H,8,FALSE))</f>
        <v>484500</v>
      </c>
      <c r="P69" s="46">
        <f t="shared" ca="1" si="4"/>
        <v>5.3370786516853935E-3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input_408010!A$2</f>
        <v>408010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IFERROR(VLOOKUP(B70,input_408010!L:R,7,FALSE),VLOOKUP(tables_408010!C70,input_408010!A:H,8,FALSE))</f>
        <v>454812.5</v>
      </c>
      <c r="P70" s="46">
        <f t="shared" ca="1" si="4"/>
        <v>5.0100517735183958E-3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input_408010!A$2</f>
        <v>408010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IFERROR(VLOOKUP(B71,input_408010!L:R,7,FALSE),VLOOKUP(tables_408010!C71,input_408010!A:H,8,FALSE))</f>
        <v>29687.5</v>
      </c>
      <c r="P71" s="46">
        <f t="shared" ca="1" si="4"/>
        <v>3.2702687816699714E-4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input_408010!A$2</f>
        <v>408010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IFERROR(VLOOKUP(B72,input_408010!L:R,7,FALSE),VLOOKUP(tables_408010!C72,input_408010!A:H,8,FALSE))</f>
        <v>484500</v>
      </c>
      <c r="P72" s="46">
        <f t="shared" ca="1" si="4"/>
        <v>5.3370786516853935E-3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input_408010!A$2</f>
        <v>408010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IFERROR(VLOOKUP(B73,input_408010!L:R,7,FALSE),VLOOKUP(tables_408010!C73,input_408010!A:H,8,FALSE))</f>
        <v>454812.5</v>
      </c>
      <c r="P73" s="46">
        <f t="shared" ca="1" si="4"/>
        <v>5.0100517735183958E-3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input_408010!A$2</f>
        <v>408010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IFERROR(VLOOKUP(B74,input_408010!L:R,7,FALSE),VLOOKUP(tables_408010!C74,input_408010!A:H,8,FALSE))</f>
        <v>29687.5</v>
      </c>
      <c r="P74" s="46">
        <f t="shared" ca="1" si="4"/>
        <v>3.2702687816699714E-4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input_408010!A$2</f>
        <v>408010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IFERROR(VLOOKUP(B75,input_408010!L:R,7,FALSE),VLOOKUP(tables_408010!C75,input_408010!A:H,8,FALSE))</f>
        <v>484500</v>
      </c>
      <c r="P75" s="46">
        <f t="shared" ca="1" si="4"/>
        <v>5.3370786516853935E-3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input_408010!A$2</f>
        <v>408010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IFERROR(VLOOKUP(B76,input_408010!L:R,7,FALSE),VLOOKUP(tables_408010!C76,input_408010!A:H,8,FALSE))</f>
        <v>454812.5</v>
      </c>
      <c r="P76" s="46">
        <f t="shared" ca="1" si="4"/>
        <v>5.0100517735183958E-3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input_408010!A$2</f>
        <v>408010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IFERROR(VLOOKUP(B77,input_408010!L:R,7,FALSE),VLOOKUP(tables_408010!C77,input_408010!A:H,8,FALSE))</f>
        <v>29687.5</v>
      </c>
      <c r="P77" s="46">
        <f t="shared" ca="1" si="4"/>
        <v>3.2702687816699714E-4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input_408010!A$2</f>
        <v>408010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IFERROR(VLOOKUP(B78,input_408010!L:R,7,FALSE),VLOOKUP(tables_408010!C78,input_408010!A:H,8,FALSE))</f>
        <v>484500</v>
      </c>
      <c r="P78" s="46">
        <f t="shared" ca="1" si="4"/>
        <v>5.3370786516853935E-3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input_408010!A$2</f>
        <v>408010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IFERROR(VLOOKUP(B79,input_408010!L:R,7,FALSE),VLOOKUP(tables_408010!C79,input_408010!A:H,8,FALSE))</f>
        <v>454812.5</v>
      </c>
      <c r="P79" s="46">
        <f t="shared" ca="1" si="4"/>
        <v>5.0100517735183958E-3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input_408010!A$2</f>
        <v>408010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IFERROR(VLOOKUP(B80,input_408010!L:R,7,FALSE),VLOOKUP(tables_408010!C80,input_408010!A:H,8,FALSE))</f>
        <v>29687.5</v>
      </c>
      <c r="P80" s="46">
        <f t="shared" ca="1" si="4"/>
        <v>3.2702687816699714E-4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input_408010!A$2</f>
        <v>408010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IFERROR(VLOOKUP(B81,input_408010!L:R,7,FALSE),VLOOKUP(tables_408010!C81,input_408010!A:H,8,FALSE))</f>
        <v>484500</v>
      </c>
      <c r="P81" s="46">
        <f t="shared" ca="1" si="4"/>
        <v>5.3370786516853935E-3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input_408010!A$2</f>
        <v>408010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IFERROR(VLOOKUP(B82,input_408010!L:R,7,FALSE),VLOOKUP(tables_408010!C82,input_408010!A:H,8,FALSE))</f>
        <v>454812.5</v>
      </c>
      <c r="P82" s="46">
        <f t="shared" ca="1" si="4"/>
        <v>5.0100517735183958E-3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input_408010!A$2</f>
        <v>408010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IFERROR(VLOOKUP(B83,input_408010!L:R,7,FALSE),VLOOKUP(tables_408010!C83,input_408010!A:H,8,FALSE))</f>
        <v>29687.5</v>
      </c>
      <c r="P83" s="46">
        <f t="shared" ca="1" si="4"/>
        <v>3.2702687816699714E-4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input_408010!A$2</f>
        <v>408010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IFERROR(VLOOKUP(B84,input_408010!L:R,7,FALSE),VLOOKUP(tables_408010!C84,input_408010!A:H,8,FALSE))</f>
        <v>484500</v>
      </c>
      <c r="P84" s="46">
        <f t="shared" ca="1" si="4"/>
        <v>5.3370786516853935E-3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input_408010!A$2</f>
        <v>408010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IFERROR(VLOOKUP(B85,input_408010!L:R,7,FALSE),VLOOKUP(tables_408010!C85,input_408010!A:H,8,FALSE))</f>
        <v>454812.5</v>
      </c>
      <c r="P85" s="46">
        <f t="shared" ca="1" si="4"/>
        <v>5.0100517735183958E-3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input_408010!A$2</f>
        <v>408010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IFERROR(VLOOKUP(B86,input_408010!L:R,7,FALSE),VLOOKUP(tables_408010!C86,input_408010!A:H,8,FALSE))</f>
        <v>29687.5</v>
      </c>
      <c r="P86" s="46">
        <f t="shared" ca="1" si="4"/>
        <v>3.2702687816699714E-4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input_408010!A$2</f>
        <v>408010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IFERROR(VLOOKUP(B87,input_408010!L:R,7,FALSE),VLOOKUP(tables_408010!C87,input_408010!A:H,8,FALSE))</f>
        <v>484500</v>
      </c>
      <c r="P87" s="46">
        <f t="shared" ca="1" si="4"/>
        <v>5.3370786516853935E-3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input_408010!A$2</f>
        <v>408010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IFERROR(VLOOKUP(B88,input_408010!L:R,7,FALSE),VLOOKUP(tables_408010!C88,input_408010!A:H,8,FALSE))</f>
        <v>454812.5</v>
      </c>
      <c r="P88" s="46">
        <f t="shared" ca="1" si="4"/>
        <v>5.0100517735183958E-3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input_408010!A$2</f>
        <v>408010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IFERROR(VLOOKUP(B89,input_408010!L:R,7,FALSE),VLOOKUP(tables_408010!C89,input_408010!A:H,8,FALSE))</f>
        <v>29687.5</v>
      </c>
      <c r="P89" s="46">
        <f t="shared" ca="1" si="4"/>
        <v>3.2702687816699714E-4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input_408010!A$2</f>
        <v>408010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IFERROR(VLOOKUP(B90,input_408010!L:R,7,FALSE),VLOOKUP(tables_408010!C90,input_408010!A:H,8,FALSE))</f>
        <v>484500</v>
      </c>
      <c r="P90" s="46">
        <f t="shared" ca="1" si="4"/>
        <v>5.3370786516853935E-3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input_408010!A$2</f>
        <v>408010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IFERROR(VLOOKUP(B91,input_408010!L:R,7,FALSE),VLOOKUP(tables_408010!C91,input_408010!A:H,8,FALSE))</f>
        <v>454812.5</v>
      </c>
      <c r="P91" s="46">
        <f t="shared" ca="1" si="4"/>
        <v>5.0100517735183958E-3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input_408010!A$2</f>
        <v>408010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IFERROR(VLOOKUP(B92,input_408010!L:R,7,FALSE),VLOOKUP(tables_408010!C92,input_408010!A:H,8,FALSE))</f>
        <v>29687.5</v>
      </c>
      <c r="P92" s="46">
        <f t="shared" ca="1" si="4"/>
        <v>3.2702687816699714E-4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input_408010!A$2</f>
        <v>408010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IFERROR(VLOOKUP(B93,input_408010!L:R,7,FALSE),VLOOKUP(tables_408010!C93,input_408010!A:H,8,FALSE))</f>
        <v>484500</v>
      </c>
      <c r="P93" s="46">
        <f t="shared" ca="1" si="4"/>
        <v>5.3370786516853935E-3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input_408010!A$2</f>
        <v>408010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IFERROR(VLOOKUP(B94,input_408010!L:R,7,FALSE),VLOOKUP(tables_408010!C94,input_408010!A:H,8,FALSE))</f>
        <v>454812.5</v>
      </c>
      <c r="P94" s="46">
        <f t="shared" ca="1" si="4"/>
        <v>5.0100517735183958E-3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input_408010!A$2</f>
        <v>408010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IFERROR(VLOOKUP(B95,input_408010!L:R,7,FALSE),VLOOKUP(tables_408010!C95,input_408010!A:H,8,FALSE))</f>
        <v>29687.5</v>
      </c>
      <c r="P95" s="46">
        <f t="shared" ca="1" si="4"/>
        <v>3.2702687816699714E-4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input_408010!A$2</f>
        <v>408010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IFERROR(VLOOKUP(B96,input_408010!L:R,7,FALSE),VLOOKUP(tables_408010!C96,input_408010!A:H,8,FALSE))</f>
        <v>484500</v>
      </c>
      <c r="P96" s="46">
        <f t="shared" ca="1" si="4"/>
        <v>5.3370786516853935E-3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input_408010!A$2</f>
        <v>408010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IFERROR(VLOOKUP(B97,input_408010!L:R,7,FALSE),VLOOKUP(tables_408010!C97,input_408010!A:H,8,FALSE))</f>
        <v>454812.5</v>
      </c>
      <c r="P97" s="46">
        <f t="shared" ca="1" si="4"/>
        <v>5.0100517735183958E-3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input_408010!A$2</f>
        <v>408010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IFERROR(VLOOKUP(B98,input_408010!L:R,7,FALSE),VLOOKUP(tables_408010!C98,input_408010!A:H,8,FALSE))</f>
        <v>29687.5</v>
      </c>
      <c r="P98" s="46">
        <f t="shared" ca="1" si="4"/>
        <v>3.2702687816699714E-4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input_408010!A$2</f>
        <v>408010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IFERROR(VLOOKUP(B99,input_408010!L:R,7,FALSE),VLOOKUP(tables_408010!C99,input_408010!A:H,8,FALSE))</f>
        <v>484500</v>
      </c>
      <c r="P99" s="46">
        <f t="shared" ca="1" si="4"/>
        <v>5.3370786516853935E-3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input_408010!A$2</f>
        <v>408010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IFERROR(VLOOKUP(B100,input_408010!L:R,7,FALSE),VLOOKUP(tables_408010!C100,input_408010!A:H,8,FALSE))</f>
        <v>454812.5</v>
      </c>
      <c r="P100" s="46">
        <f t="shared" ca="1" si="4"/>
        <v>5.0100517735183958E-3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input_408010!A$2</f>
        <v>408010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IFERROR(VLOOKUP(B101,input_408010!L:R,7,FALSE),VLOOKUP(tables_408010!C101,input_408010!A:H,8,FALSE))</f>
        <v>29687.5</v>
      </c>
      <c r="P101" s="46">
        <f t="shared" ca="1" si="4"/>
        <v>3.2702687816699714E-4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input_408010!A$2</f>
        <v>408010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IFERROR(VLOOKUP(B102,input_408010!L:R,7,FALSE),VLOOKUP(tables_408010!C102,input_408010!A:H,8,FALSE))</f>
        <v>484500</v>
      </c>
      <c r="P102" s="46">
        <f t="shared" ca="1" si="4"/>
        <v>5.3370786516853935E-3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input_408010!A$2</f>
        <v>408010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IFERROR(VLOOKUP(B103,input_408010!L:R,7,FALSE),VLOOKUP(tables_408010!C103,input_408010!A:H,8,FALSE))</f>
        <v>454812.5</v>
      </c>
      <c r="P103" s="46">
        <f t="shared" ca="1" si="4"/>
        <v>5.0100517735183958E-3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input_408010!A$2</f>
        <v>408010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IFERROR(VLOOKUP(B104,input_408010!L:R,7,FALSE),VLOOKUP(tables_408010!C104,input_408010!A:H,8,FALSE))</f>
        <v>29687.5</v>
      </c>
      <c r="P104" s="46">
        <f t="shared" ca="1" si="4"/>
        <v>3.2702687816699714E-4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input_408010!A$2</f>
        <v>408010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IFERROR(VLOOKUP(B105,input_408010!L:R,7,FALSE),VLOOKUP(tables_408010!C105,input_408010!A:H,8,FALSE))</f>
        <v>484500</v>
      </c>
      <c r="P105" s="46">
        <f t="shared" ca="1" si="4"/>
        <v>5.3370786516853935E-3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input_408010!A$2</f>
        <v>408010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IFERROR(VLOOKUP(B106,input_408010!L:R,7,FALSE),VLOOKUP(tables_408010!C106,input_408010!A:H,8,FALSE))</f>
        <v>454812.5</v>
      </c>
      <c r="P106" s="46">
        <f t="shared" ca="1" si="4"/>
        <v>5.0100517735183958E-3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input_408010!A$2</f>
        <v>408010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IFERROR(VLOOKUP(B107,input_408010!L:R,7,FALSE),VLOOKUP(tables_408010!C107,input_408010!A:H,8,FALSE))</f>
        <v>29687.5</v>
      </c>
      <c r="P107" s="46">
        <f t="shared" ca="1" si="4"/>
        <v>3.2702687816699714E-4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input_408010!A$2</f>
        <v>408010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IFERROR(VLOOKUP(B108,input_408010!L:R,7,FALSE),VLOOKUP(tables_408010!C108,input_408010!A:H,8,FALSE))</f>
        <v>484500</v>
      </c>
      <c r="P108" s="46">
        <f t="shared" ca="1" si="4"/>
        <v>5.3370786516853935E-3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input_408010!A$2</f>
        <v>408010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IFERROR(VLOOKUP(B109,input_408010!L:R,7,FALSE),VLOOKUP(tables_408010!C109,input_408010!A:H,8,FALSE))</f>
        <v>454812.5</v>
      </c>
      <c r="P109" s="46">
        <f t="shared" ca="1" si="4"/>
        <v>5.0100517735183958E-3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input_408010!A$2</f>
        <v>408010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IFERROR(VLOOKUP(B110,input_408010!L:R,7,FALSE),VLOOKUP(tables_408010!C110,input_408010!A:H,8,FALSE))</f>
        <v>29687.5</v>
      </c>
      <c r="P110" s="46">
        <f t="shared" ca="1" si="4"/>
        <v>3.2702687816699714E-4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input_408010!A$2</f>
        <v>408010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IFERROR(VLOOKUP(B111,input_408010!L:R,7,FALSE),VLOOKUP(tables_408010!C111,input_408010!A:H,8,FALSE))</f>
        <v>484500</v>
      </c>
      <c r="P111" s="46">
        <f t="shared" ca="1" si="4"/>
        <v>5.3370786516853935E-3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input_408010!A$2</f>
        <v>408010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IFERROR(VLOOKUP(B112,input_408010!L:R,7,FALSE),VLOOKUP(tables_408010!C112,input_408010!A:H,8,FALSE))</f>
        <v>436050</v>
      </c>
      <c r="P112" s="46">
        <f t="shared" ca="1" si="4"/>
        <v>4.8033707865168538E-3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input_408010!A$2</f>
        <v>408010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IFERROR(VLOOKUP(B113,input_408010!L:R,7,FALSE),VLOOKUP(tables_408010!C113,input_408010!A:H,8,FALSE))</f>
        <v>48450</v>
      </c>
      <c r="P113" s="46">
        <f t="shared" ca="1" si="4"/>
        <v>5.3370786516853937E-4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input_408010!A$2</f>
        <v>408010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IFERROR(VLOOKUP(B114,input_408010!L:R,7,FALSE),VLOOKUP(tables_408010!C114,input_408010!A:H,8,FALSE))</f>
        <v>484500</v>
      </c>
      <c r="P114" s="46">
        <f t="shared" ca="1" si="4"/>
        <v>5.3370786516853935E-3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input_408010!A$2</f>
        <v>408010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IFERROR(VLOOKUP(B115,input_408010!L:R,7,FALSE),VLOOKUP(tables_408010!C115,input_408010!A:H,8,FALSE))</f>
        <v>454812.5</v>
      </c>
      <c r="P115" s="46">
        <f t="shared" ca="1" si="4"/>
        <v>5.0100517735183958E-3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input_408010!A$2</f>
        <v>408010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IFERROR(VLOOKUP(B116,input_408010!L:R,7,FALSE),VLOOKUP(tables_408010!C116,input_408010!A:H,8,FALSE))</f>
        <v>29687.5</v>
      </c>
      <c r="P116" s="46">
        <f t="shared" ca="1" si="4"/>
        <v>3.2702687816699714E-4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input_408010!A$2</f>
        <v>408010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IFERROR(VLOOKUP(B117,input_408010!L:R,7,FALSE),VLOOKUP(tables_408010!C117,input_408010!A:H,8,FALSE))</f>
        <v>484500</v>
      </c>
      <c r="P117" s="46">
        <f t="shared" ca="1" si="4"/>
        <v>5.3370786516853935E-3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input_408010!A$2</f>
        <v>408010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IFERROR(VLOOKUP(B118,input_408010!L:R,7,FALSE),VLOOKUP(tables_408010!C118,input_408010!A:H,8,FALSE))</f>
        <v>454812.5</v>
      </c>
      <c r="P118" s="46">
        <f t="shared" ca="1" si="4"/>
        <v>5.0100517735183958E-3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input_408010!A$2</f>
        <v>408010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IFERROR(VLOOKUP(B119,input_408010!L:R,7,FALSE),VLOOKUP(tables_408010!C119,input_408010!A:H,8,FALSE))</f>
        <v>29687.5</v>
      </c>
      <c r="P119" s="46">
        <f t="shared" ca="1" si="4"/>
        <v>3.2702687816699714E-4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input_408010!A$2</f>
        <v>408010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IFERROR(VLOOKUP(B120,input_408010!L:R,7,FALSE),VLOOKUP(tables_408010!C120,input_408010!A:H,8,FALSE))</f>
        <v>484500</v>
      </c>
      <c r="P120" s="46">
        <f t="shared" ca="1" si="4"/>
        <v>5.3370786516853935E-3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input_408010!A$2</f>
        <v>408010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IFERROR(VLOOKUP(B121,input_408010!L:R,7,FALSE),VLOOKUP(tables_408010!C121,input_408010!A:H,8,FALSE))</f>
        <v>454812.5</v>
      </c>
      <c r="P121" s="46">
        <f t="shared" ca="1" si="4"/>
        <v>5.0100517735183958E-3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input_408010!A$2</f>
        <v>408010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IFERROR(VLOOKUP(B122,input_408010!L:R,7,FALSE),VLOOKUP(tables_408010!C122,input_408010!A:H,8,FALSE))</f>
        <v>29687.5</v>
      </c>
      <c r="P122" s="46">
        <f t="shared" ca="1" si="4"/>
        <v>3.2702687816699714E-4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input_408010!A$2</f>
        <v>408010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IFERROR(VLOOKUP(B123,input_408010!L:R,7,FALSE),VLOOKUP(tables_408010!C123,input_408010!A:H,8,FALSE))</f>
        <v>484500</v>
      </c>
      <c r="P123" s="46">
        <f t="shared" ca="1" si="4"/>
        <v>5.3370786516853935E-3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input_408010!A$2</f>
        <v>408010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IFERROR(VLOOKUP(B124,input_408010!L:R,7,FALSE),VLOOKUP(tables_408010!C124,input_408010!A:H,8,FALSE))</f>
        <v>454812.5</v>
      </c>
      <c r="P124" s="46">
        <f t="shared" ca="1" si="4"/>
        <v>5.0100517735183958E-3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input_408010!A$2</f>
        <v>408010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IFERROR(VLOOKUP(B125,input_408010!L:R,7,FALSE),VLOOKUP(tables_408010!C125,input_408010!A:H,8,FALSE))</f>
        <v>29687.5</v>
      </c>
      <c r="P125" s="46">
        <f t="shared" ca="1" si="4"/>
        <v>3.2702687816699714E-4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input_408010!A$2</f>
        <v>408010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IFERROR(VLOOKUP(B126,input_408010!L:R,7,FALSE),VLOOKUP(tables_408010!C126,input_408010!A:H,8,FALSE))</f>
        <v>484500</v>
      </c>
      <c r="P126" s="46">
        <f t="shared" ca="1" si="4"/>
        <v>5.3370786516853935E-3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input_408010!A$2</f>
        <v>408010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IFERROR(VLOOKUP(B127,input_408010!L:R,7,FALSE),VLOOKUP(tables_408010!C127,input_408010!A:H,8,FALSE))</f>
        <v>454812.5</v>
      </c>
      <c r="P127" s="46">
        <f t="shared" ca="1" si="4"/>
        <v>5.0100517735183958E-3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input_408010!A$2</f>
        <v>408010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IFERROR(VLOOKUP(B128,input_408010!L:R,7,FALSE),VLOOKUP(tables_408010!C128,input_408010!A:H,8,FALSE))</f>
        <v>29687.5</v>
      </c>
      <c r="P128" s="46">
        <f t="shared" ca="1" si="4"/>
        <v>3.2702687816699714E-4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input_408010!A$2</f>
        <v>408010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IFERROR(VLOOKUP(B129,input_408010!L:R,7,FALSE),VLOOKUP(tables_408010!C129,input_408010!A:H,8,FALSE))</f>
        <v>484500</v>
      </c>
      <c r="P129" s="46">
        <f t="shared" ca="1" si="4"/>
        <v>5.3370786516853935E-3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input_408010!A$2</f>
        <v>408010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IFERROR(VLOOKUP(B130,input_408010!L:R,7,FALSE),VLOOKUP(tables_408010!C130,input_408010!A:H,8,FALSE))</f>
        <v>454812.5</v>
      </c>
      <c r="P130" s="46">
        <f t="shared" ref="P130:P193" ca="1" si="7">O130/SUM(O:O)</f>
        <v>5.0100517735183958E-3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input_408010!A$2</f>
        <v>408010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IFERROR(VLOOKUP(B131,input_408010!L:R,7,FALSE),VLOOKUP(tables_408010!C131,input_408010!A:H,8,FALSE))</f>
        <v>29687.5</v>
      </c>
      <c r="P131" s="46">
        <f t="shared" ca="1" si="7"/>
        <v>3.2702687816699714E-4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input_408010!A$2</f>
        <v>408010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IFERROR(VLOOKUP(B132,input_408010!L:R,7,FALSE),VLOOKUP(tables_408010!C132,input_408010!A:H,8,FALSE))</f>
        <v>484500</v>
      </c>
      <c r="P132" s="46">
        <f t="shared" ca="1" si="7"/>
        <v>5.3370786516853935E-3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input_408010!A$2</f>
        <v>408010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IFERROR(VLOOKUP(B133,input_408010!L:R,7,FALSE),VLOOKUP(tables_408010!C133,input_408010!A:H,8,FALSE))</f>
        <v>454812.5</v>
      </c>
      <c r="P133" s="46">
        <f t="shared" ca="1" si="7"/>
        <v>5.0100517735183958E-3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input_408010!A$2</f>
        <v>408010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IFERROR(VLOOKUP(B134,input_408010!L:R,7,FALSE),VLOOKUP(tables_408010!C134,input_408010!A:H,8,FALSE))</f>
        <v>29687.5</v>
      </c>
      <c r="P134" s="46">
        <f t="shared" ca="1" si="7"/>
        <v>3.2702687816699714E-4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input_408010!A$2</f>
        <v>408010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IFERROR(VLOOKUP(B135,input_408010!L:R,7,FALSE),VLOOKUP(tables_408010!C135,input_408010!A:H,8,FALSE))</f>
        <v>484500</v>
      </c>
      <c r="P135" s="46">
        <f t="shared" ca="1" si="7"/>
        <v>5.3370786516853935E-3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input_408010!A$2</f>
        <v>408010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IFERROR(VLOOKUP(B136,input_408010!L:R,7,FALSE),VLOOKUP(tables_408010!C136,input_408010!A:H,8,FALSE))</f>
        <v>454812.5</v>
      </c>
      <c r="P136" s="46">
        <f t="shared" ca="1" si="7"/>
        <v>5.0100517735183958E-3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input_408010!A$2</f>
        <v>408010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IFERROR(VLOOKUP(B137,input_408010!L:R,7,FALSE),VLOOKUP(tables_408010!C137,input_408010!A:H,8,FALSE))</f>
        <v>29687.5</v>
      </c>
      <c r="P137" s="46">
        <f t="shared" ca="1" si="7"/>
        <v>3.2702687816699714E-4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input_408010!A$2</f>
        <v>408010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IFERROR(VLOOKUP(B138,input_408010!L:R,7,FALSE),VLOOKUP(tables_408010!C138,input_408010!A:H,8,FALSE))</f>
        <v>84550</v>
      </c>
      <c r="P138" s="46">
        <f t="shared" ca="1" si="7"/>
        <v>9.3137254901960785E-4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input_408010!A$2</f>
        <v>408010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IFERROR(VLOOKUP(B139,input_408010!L:R,7,FALSE),VLOOKUP(tables_408010!C139,input_408010!A:H,8,FALSE))</f>
        <v>4450</v>
      </c>
      <c r="P139" s="46">
        <f t="shared" ca="1" si="7"/>
        <v>4.9019607843137253E-5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input_408010!A$2</f>
        <v>408010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IFERROR(VLOOKUP(B140,input_408010!L:R,7,FALSE),VLOOKUP(tables_408010!C140,input_408010!A:H,8,FALSE))</f>
        <v>84550</v>
      </c>
      <c r="P140" s="46">
        <f t="shared" ca="1" si="7"/>
        <v>9.3137254901960785E-4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input_408010!A$2</f>
        <v>408010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IFERROR(VLOOKUP(B141,input_408010!L:R,7,FALSE),VLOOKUP(tables_408010!C141,input_408010!A:H,8,FALSE))</f>
        <v>4450</v>
      </c>
      <c r="P141" s="46">
        <f t="shared" ca="1" si="7"/>
        <v>4.9019607843137253E-5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input_408010!A$2</f>
        <v>408010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IFERROR(VLOOKUP(B142,input_408010!L:R,7,FALSE),VLOOKUP(tables_408010!C142,input_408010!A:H,8,FALSE))</f>
        <v>84550</v>
      </c>
      <c r="P142" s="46">
        <f t="shared" ca="1" si="7"/>
        <v>9.3137254901960785E-4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input_408010!A$2</f>
        <v>408010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IFERROR(VLOOKUP(B143,input_408010!L:R,7,FALSE),VLOOKUP(tables_408010!C143,input_408010!A:H,8,FALSE))</f>
        <v>4450</v>
      </c>
      <c r="P143" s="46">
        <f t="shared" ca="1" si="7"/>
        <v>4.9019607843137253E-5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input_408010!A$2</f>
        <v>408010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IFERROR(VLOOKUP(B144,input_408010!L:R,7,FALSE),VLOOKUP(tables_408010!C144,input_408010!A:H,8,FALSE))</f>
        <v>84550</v>
      </c>
      <c r="P144" s="46">
        <f t="shared" ca="1" si="7"/>
        <v>9.3137254901960785E-4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input_408010!A$2</f>
        <v>408010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IFERROR(VLOOKUP(B145,input_408010!L:R,7,FALSE),VLOOKUP(tables_408010!C145,input_408010!A:H,8,FALSE))</f>
        <v>4450</v>
      </c>
      <c r="P145" s="46">
        <f t="shared" ca="1" si="7"/>
        <v>4.9019607843137253E-5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input_408010!A$2</f>
        <v>408010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IFERROR(VLOOKUP(B146,input_408010!L:R,7,FALSE),VLOOKUP(tables_408010!C146,input_408010!A:H,8,FALSE))</f>
        <v>484500</v>
      </c>
      <c r="P146" s="46">
        <f t="shared" ca="1" si="7"/>
        <v>5.3370786516853935E-3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input_408010!A$2</f>
        <v>408010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IFERROR(VLOOKUP(B147,input_408010!L:R,7,FALSE),VLOOKUP(tables_408010!C147,input_408010!A:H,8,FALSE))</f>
        <v>454812.5</v>
      </c>
      <c r="P147" s="46">
        <f t="shared" ca="1" si="7"/>
        <v>5.0100517735183958E-3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input_408010!A$2</f>
        <v>408010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IFERROR(VLOOKUP(B148,input_408010!L:R,7,FALSE),VLOOKUP(tables_408010!C148,input_408010!A:H,8,FALSE))</f>
        <v>29687.5</v>
      </c>
      <c r="P148" s="46">
        <f t="shared" ca="1" si="7"/>
        <v>3.2702687816699714E-4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input_408010!A$2</f>
        <v>408010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IFERROR(VLOOKUP(B149,input_408010!L:R,7,FALSE),VLOOKUP(tables_408010!C149,input_408010!A:H,8,FALSE))</f>
        <v>84550</v>
      </c>
      <c r="P149" s="46">
        <f t="shared" ca="1" si="7"/>
        <v>9.3137254901960785E-4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input_408010!A$2</f>
        <v>408010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IFERROR(VLOOKUP(B150,input_408010!L:R,7,FALSE),VLOOKUP(tables_408010!C150,input_408010!A:H,8,FALSE))</f>
        <v>4450</v>
      </c>
      <c r="P150" s="46">
        <f t="shared" ca="1" si="7"/>
        <v>4.9019607843137253E-5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input_408010!A$2</f>
        <v>408010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IFERROR(VLOOKUP(B151,input_408010!L:R,7,FALSE),VLOOKUP(tables_408010!C151,input_408010!A:H,8,FALSE))</f>
        <v>84550</v>
      </c>
      <c r="P151" s="46">
        <f t="shared" ca="1" si="7"/>
        <v>9.3137254901960785E-4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input_408010!A$2</f>
        <v>408010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IFERROR(VLOOKUP(B152,input_408010!L:R,7,FALSE),VLOOKUP(tables_408010!C152,input_408010!A:H,8,FALSE))</f>
        <v>4450</v>
      </c>
      <c r="P152" s="46">
        <f t="shared" ca="1" si="7"/>
        <v>4.9019607843137253E-5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input_408010!A$2</f>
        <v>408010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IFERROR(VLOOKUP(B153,input_408010!L:R,7,FALSE),VLOOKUP(tables_408010!C153,input_408010!A:H,8,FALSE))</f>
        <v>484500</v>
      </c>
      <c r="P153" s="46">
        <f t="shared" ca="1" si="7"/>
        <v>5.3370786516853935E-3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input_408010!A$2</f>
        <v>408010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IFERROR(VLOOKUP(B154,input_408010!L:R,7,FALSE),VLOOKUP(tables_408010!C154,input_408010!A:H,8,FALSE))</f>
        <v>454812.5</v>
      </c>
      <c r="P154" s="46">
        <f t="shared" ca="1" si="7"/>
        <v>5.0100517735183958E-3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input_408010!A$2</f>
        <v>408010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IFERROR(VLOOKUP(B155,input_408010!L:R,7,FALSE),VLOOKUP(tables_408010!C155,input_408010!A:H,8,FALSE))</f>
        <v>29687.5</v>
      </c>
      <c r="P155" s="46">
        <f t="shared" ca="1" si="7"/>
        <v>3.2702687816699714E-4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input_408010!A$2</f>
        <v>408010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IFERROR(VLOOKUP(B156,input_408010!L:R,7,FALSE),VLOOKUP(tables_408010!C156,input_408010!A:H,8,FALSE))</f>
        <v>84550</v>
      </c>
      <c r="P156" s="46">
        <f t="shared" ca="1" si="7"/>
        <v>9.3137254901960785E-4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input_408010!A$2</f>
        <v>408010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IFERROR(VLOOKUP(B157,input_408010!L:R,7,FALSE),VLOOKUP(tables_408010!C157,input_408010!A:H,8,FALSE))</f>
        <v>4450</v>
      </c>
      <c r="P157" s="46">
        <f t="shared" ca="1" si="7"/>
        <v>4.9019607843137253E-5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input_408010!A$2</f>
        <v>408010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IFERROR(VLOOKUP(B158,input_408010!L:R,7,FALSE),VLOOKUP(tables_408010!C158,input_408010!A:H,8,FALSE))</f>
        <v>484500</v>
      </c>
      <c r="P158" s="46">
        <f t="shared" ca="1" si="7"/>
        <v>5.3370786516853935E-3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input_408010!A$2</f>
        <v>408010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IFERROR(VLOOKUP(B159,input_408010!L:R,7,FALSE),VLOOKUP(tables_408010!C159,input_408010!A:H,8,FALSE))</f>
        <v>454812.5</v>
      </c>
      <c r="P159" s="46">
        <f t="shared" ca="1" si="7"/>
        <v>5.0100517735183958E-3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input_408010!A$2</f>
        <v>408010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IFERROR(VLOOKUP(B160,input_408010!L:R,7,FALSE),VLOOKUP(tables_408010!C160,input_408010!A:H,8,FALSE))</f>
        <v>29687.5</v>
      </c>
      <c r="P160" s="46">
        <f t="shared" ca="1" si="7"/>
        <v>3.2702687816699714E-4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input_408010!A$2</f>
        <v>408010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IFERROR(VLOOKUP(B161,input_408010!L:R,7,FALSE),VLOOKUP(tables_408010!C161,input_408010!A:H,8,FALSE))</f>
        <v>484500</v>
      </c>
      <c r="P161" s="46">
        <f t="shared" ca="1" si="7"/>
        <v>5.3370786516853935E-3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input_408010!A$2</f>
        <v>408010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IFERROR(VLOOKUP(B162,input_408010!L:R,7,FALSE),VLOOKUP(tables_408010!C162,input_408010!A:H,8,FALSE))</f>
        <v>454812.5</v>
      </c>
      <c r="P162" s="46">
        <f t="shared" ca="1" si="7"/>
        <v>5.0100517735183958E-3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input_408010!A$2</f>
        <v>408010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IFERROR(VLOOKUP(B163,input_408010!L:R,7,FALSE),VLOOKUP(tables_408010!C163,input_408010!A:H,8,FALSE))</f>
        <v>29687.5</v>
      </c>
      <c r="P163" s="46">
        <f t="shared" ca="1" si="7"/>
        <v>3.2702687816699714E-4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input_408010!A$2</f>
        <v>408010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IFERROR(VLOOKUP(B164,input_408010!L:R,7,FALSE),VLOOKUP(tables_408010!C164,input_408010!A:H,8,FALSE))</f>
        <v>84550</v>
      </c>
      <c r="P164" s="46">
        <f t="shared" ca="1" si="7"/>
        <v>9.3137254901960785E-4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input_408010!A$2</f>
        <v>408010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IFERROR(VLOOKUP(B165,input_408010!L:R,7,FALSE),VLOOKUP(tables_408010!C165,input_408010!A:H,8,FALSE))</f>
        <v>4450</v>
      </c>
      <c r="P165" s="46">
        <f t="shared" ca="1" si="7"/>
        <v>4.9019607843137253E-5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input_408010!A$2</f>
        <v>408010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IFERROR(VLOOKUP(B166,input_408010!L:R,7,FALSE),VLOOKUP(tables_408010!C166,input_408010!A:H,8,FALSE))</f>
        <v>484500</v>
      </c>
      <c r="P166" s="46">
        <f t="shared" ca="1" si="7"/>
        <v>5.3370786516853935E-3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input_408010!A$2</f>
        <v>408010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IFERROR(VLOOKUP(B167,input_408010!L:R,7,FALSE),VLOOKUP(tables_408010!C167,input_408010!A:H,8,FALSE))</f>
        <v>454812.5</v>
      </c>
      <c r="P167" s="46">
        <f t="shared" ca="1" si="7"/>
        <v>5.0100517735183958E-3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input_408010!A$2</f>
        <v>408010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IFERROR(VLOOKUP(B168,input_408010!L:R,7,FALSE),VLOOKUP(tables_408010!C168,input_408010!A:H,8,FALSE))</f>
        <v>29687.5</v>
      </c>
      <c r="P168" s="46">
        <f t="shared" ca="1" si="7"/>
        <v>3.2702687816699714E-4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input_408010!A$2</f>
        <v>408010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IFERROR(VLOOKUP(B169,input_408010!L:R,7,FALSE),VLOOKUP(tables_408010!C169,input_408010!A:H,8,FALSE))</f>
        <v>84550</v>
      </c>
      <c r="P169" s="46">
        <f t="shared" ca="1" si="7"/>
        <v>9.3137254901960785E-4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input_408010!A$2</f>
        <v>408010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IFERROR(VLOOKUP(B170,input_408010!L:R,7,FALSE),VLOOKUP(tables_408010!C170,input_408010!A:H,8,FALSE))</f>
        <v>4450</v>
      </c>
      <c r="P170" s="46">
        <f t="shared" ca="1" si="7"/>
        <v>4.9019607843137253E-5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input_408010!A$2</f>
        <v>408010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IFERROR(VLOOKUP(B171,input_408010!L:R,7,FALSE),VLOOKUP(tables_408010!C171,input_408010!A:H,8,FALSE))</f>
        <v>484500</v>
      </c>
      <c r="P171" s="46">
        <f t="shared" ca="1" si="7"/>
        <v>5.3370786516853935E-3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input_408010!A$2</f>
        <v>408010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IFERROR(VLOOKUP(B172,input_408010!L:R,7,FALSE),VLOOKUP(tables_408010!C172,input_408010!A:H,8,FALSE))</f>
        <v>454812.5</v>
      </c>
      <c r="P172" s="46">
        <f t="shared" ca="1" si="7"/>
        <v>5.0100517735183958E-3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input_408010!A$2</f>
        <v>408010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IFERROR(VLOOKUP(B173,input_408010!L:R,7,FALSE),VLOOKUP(tables_408010!C173,input_408010!A:H,8,FALSE))</f>
        <v>29687.5</v>
      </c>
      <c r="P173" s="46">
        <f t="shared" ca="1" si="7"/>
        <v>3.2702687816699714E-4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input_408010!A$2</f>
        <v>408010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IFERROR(VLOOKUP(B174,input_408010!L:R,7,FALSE),VLOOKUP(tables_408010!C174,input_408010!A:H,8,FALSE))</f>
        <v>84550</v>
      </c>
      <c r="P174" s="46">
        <f t="shared" ca="1" si="7"/>
        <v>9.3137254901960785E-4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input_408010!A$2</f>
        <v>408010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IFERROR(VLOOKUP(B175,input_408010!L:R,7,FALSE),VLOOKUP(tables_408010!C175,input_408010!A:H,8,FALSE))</f>
        <v>4450</v>
      </c>
      <c r="P175" s="46">
        <f t="shared" ca="1" si="7"/>
        <v>4.9019607843137253E-5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input_408010!A$2</f>
        <v>408010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IFERROR(VLOOKUP(B176,input_408010!L:R,7,FALSE),VLOOKUP(tables_408010!C176,input_408010!A:H,8,FALSE))</f>
        <v>84550</v>
      </c>
      <c r="P176" s="46">
        <f t="shared" ca="1" si="7"/>
        <v>9.3137254901960785E-4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input_408010!A$2</f>
        <v>408010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IFERROR(VLOOKUP(B177,input_408010!L:R,7,FALSE),VLOOKUP(tables_408010!C177,input_408010!A:H,8,FALSE))</f>
        <v>4450</v>
      </c>
      <c r="P177" s="46">
        <f t="shared" ca="1" si="7"/>
        <v>4.9019607843137253E-5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input_408010!A$2</f>
        <v>408010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IFERROR(VLOOKUP(B178,input_408010!L:R,7,FALSE),VLOOKUP(tables_408010!C178,input_408010!A:H,8,FALSE))</f>
        <v>484500</v>
      </c>
      <c r="P178" s="46">
        <f t="shared" ca="1" si="7"/>
        <v>5.3370786516853935E-3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input_408010!A$2</f>
        <v>408010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IFERROR(VLOOKUP(B179,input_408010!L:R,7,FALSE),VLOOKUP(tables_408010!C179,input_408010!A:H,8,FALSE))</f>
        <v>454812.5</v>
      </c>
      <c r="P179" s="46">
        <f t="shared" ca="1" si="7"/>
        <v>5.0100517735183958E-3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input_408010!A$2</f>
        <v>408010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IFERROR(VLOOKUP(B180,input_408010!L:R,7,FALSE),VLOOKUP(tables_408010!C180,input_408010!A:H,8,FALSE))</f>
        <v>29687.5</v>
      </c>
      <c r="P180" s="46">
        <f t="shared" ca="1" si="7"/>
        <v>3.2702687816699714E-4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input_408010!A$2</f>
        <v>408010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IFERROR(VLOOKUP(B181,input_408010!L:R,7,FALSE),VLOOKUP(tables_408010!C181,input_408010!A:H,8,FALSE))</f>
        <v>484500</v>
      </c>
      <c r="P181" s="46">
        <f t="shared" ca="1" si="7"/>
        <v>5.3370786516853935E-3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input_408010!A$2</f>
        <v>408010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IFERROR(VLOOKUP(B182,input_408010!L:R,7,FALSE),VLOOKUP(tables_408010!C182,input_408010!A:H,8,FALSE))</f>
        <v>454812.5</v>
      </c>
      <c r="P182" s="46">
        <f t="shared" ca="1" si="7"/>
        <v>5.0100517735183958E-3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input_408010!A$2</f>
        <v>408010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IFERROR(VLOOKUP(B183,input_408010!L:R,7,FALSE),VLOOKUP(tables_408010!C183,input_408010!A:H,8,FALSE))</f>
        <v>29687.5</v>
      </c>
      <c r="P183" s="46">
        <f t="shared" ca="1" si="7"/>
        <v>3.2702687816699714E-4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input_408010!A$2</f>
        <v>408010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IFERROR(VLOOKUP(B184,input_408010!L:R,7,FALSE),VLOOKUP(tables_408010!C184,input_408010!A:H,8,FALSE))</f>
        <v>84550</v>
      </c>
      <c r="P184" s="46">
        <f t="shared" ca="1" si="7"/>
        <v>9.3137254901960785E-4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input_408010!A$2</f>
        <v>408010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IFERROR(VLOOKUP(B185,input_408010!L:R,7,FALSE),VLOOKUP(tables_408010!C185,input_408010!A:H,8,FALSE))</f>
        <v>4450</v>
      </c>
      <c r="P185" s="46">
        <f t="shared" ca="1" si="7"/>
        <v>4.9019607843137253E-5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input_408010!A$2</f>
        <v>408010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IFERROR(VLOOKUP(B186,input_408010!L:R,7,FALSE),VLOOKUP(tables_408010!C186,input_408010!A:H,8,FALSE))</f>
        <v>484500</v>
      </c>
      <c r="P186" s="46">
        <f t="shared" ca="1" si="7"/>
        <v>5.3370786516853935E-3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input_408010!A$2</f>
        <v>408010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IFERROR(VLOOKUP(B187,input_408010!L:R,7,FALSE),VLOOKUP(tables_408010!C187,input_408010!A:H,8,FALSE))</f>
        <v>454812.5</v>
      </c>
      <c r="P187" s="46">
        <f t="shared" ca="1" si="7"/>
        <v>5.0100517735183958E-3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input_408010!A$2</f>
        <v>408010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IFERROR(VLOOKUP(B188,input_408010!L:R,7,FALSE),VLOOKUP(tables_408010!C188,input_408010!A:H,8,FALSE))</f>
        <v>29687.5</v>
      </c>
      <c r="P188" s="46">
        <f t="shared" ca="1" si="7"/>
        <v>3.2702687816699714E-4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input_408010!A$2</f>
        <v>408010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IFERROR(VLOOKUP(B189,input_408010!L:R,7,FALSE),VLOOKUP(tables_408010!C189,input_408010!A:H,8,FALSE))</f>
        <v>84550</v>
      </c>
      <c r="P189" s="46">
        <f t="shared" ca="1" si="7"/>
        <v>9.3137254901960785E-4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input_408010!A$2</f>
        <v>408010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IFERROR(VLOOKUP(B190,input_408010!L:R,7,FALSE),VLOOKUP(tables_408010!C190,input_408010!A:H,8,FALSE))</f>
        <v>4450</v>
      </c>
      <c r="P190" s="46">
        <f t="shared" ca="1" si="7"/>
        <v>4.9019607843137253E-5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input_408010!A$2</f>
        <v>408010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IFERROR(VLOOKUP(B191,input_408010!L:R,7,FALSE),VLOOKUP(tables_408010!C191,input_408010!A:H,8,FALSE))</f>
        <v>84550</v>
      </c>
      <c r="P191" s="46">
        <f t="shared" ca="1" si="7"/>
        <v>9.3137254901960785E-4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input_408010!A$2</f>
        <v>408010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IFERROR(VLOOKUP(B192,input_408010!L:R,7,FALSE),VLOOKUP(tables_408010!C192,input_408010!A:H,8,FALSE))</f>
        <v>4450</v>
      </c>
      <c r="P192" s="46">
        <f t="shared" ca="1" si="7"/>
        <v>4.9019607843137253E-5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input_408010!A$2</f>
        <v>408010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IFERROR(VLOOKUP(B193,input_408010!L:R,7,FALSE),VLOOKUP(tables_408010!C193,input_408010!A:H,8,FALSE))</f>
        <v>484500</v>
      </c>
      <c r="P193" s="46">
        <f t="shared" ca="1" si="7"/>
        <v>5.3370786516853935E-3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input_408010!A$2</f>
        <v>408010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IFERROR(VLOOKUP(B194,input_408010!L:R,7,FALSE),VLOOKUP(tables_408010!C194,input_408010!A:H,8,FALSE))</f>
        <v>454812.5</v>
      </c>
      <c r="P194" s="46">
        <f t="shared" ref="P194:P257" ca="1" si="10">O194/SUM(O:O)</f>
        <v>5.0100517735183958E-3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input_408010!A$2</f>
        <v>408010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IFERROR(VLOOKUP(B195,input_408010!L:R,7,FALSE),VLOOKUP(tables_408010!C195,input_408010!A:H,8,FALSE))</f>
        <v>29687.5</v>
      </c>
      <c r="P195" s="46">
        <f t="shared" ca="1" si="10"/>
        <v>3.2702687816699714E-4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input_408010!A$2</f>
        <v>408010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IFERROR(VLOOKUP(B196,input_408010!L:R,7,FALSE),VLOOKUP(tables_408010!C196,input_408010!A:H,8,FALSE))</f>
        <v>84550</v>
      </c>
      <c r="P196" s="46">
        <f t="shared" ca="1" si="10"/>
        <v>9.3137254901960785E-4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input_408010!A$2</f>
        <v>408010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IFERROR(VLOOKUP(B197,input_408010!L:R,7,FALSE),VLOOKUP(tables_408010!C197,input_408010!A:H,8,FALSE))</f>
        <v>4450</v>
      </c>
      <c r="P197" s="46">
        <f t="shared" ca="1" si="10"/>
        <v>4.9019607843137253E-5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input_408010!A$2</f>
        <v>408010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IFERROR(VLOOKUP(B198,input_408010!L:R,7,FALSE),VLOOKUP(tables_408010!C198,input_408010!A:H,8,FALSE))</f>
        <v>484500</v>
      </c>
      <c r="P198" s="46">
        <f t="shared" ca="1" si="10"/>
        <v>5.3370786516853935E-3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input_408010!A$2</f>
        <v>408010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IFERROR(VLOOKUP(B199,input_408010!L:R,7,FALSE),VLOOKUP(tables_408010!C199,input_408010!A:H,8,FALSE))</f>
        <v>454812.5</v>
      </c>
      <c r="P199" s="46">
        <f t="shared" ca="1" si="10"/>
        <v>5.0100517735183958E-3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input_408010!A$2</f>
        <v>408010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IFERROR(VLOOKUP(B200,input_408010!L:R,7,FALSE),VLOOKUP(tables_408010!C200,input_408010!A:H,8,FALSE))</f>
        <v>29687.5</v>
      </c>
      <c r="P200" s="46">
        <f t="shared" ca="1" si="10"/>
        <v>3.2702687816699714E-4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input_408010!A$2</f>
        <v>408010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IFERROR(VLOOKUP(B201,input_408010!L:R,7,FALSE),VLOOKUP(tables_408010!C201,input_408010!A:H,8,FALSE))</f>
        <v>84550</v>
      </c>
      <c r="P201" s="46">
        <f t="shared" ca="1" si="10"/>
        <v>9.3137254901960785E-4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input_408010!A$2</f>
        <v>408010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IFERROR(VLOOKUP(B202,input_408010!L:R,7,FALSE),VLOOKUP(tables_408010!C202,input_408010!A:H,8,FALSE))</f>
        <v>4450</v>
      </c>
      <c r="P202" s="46">
        <f t="shared" ca="1" si="10"/>
        <v>4.9019607843137253E-5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input_408010!A$2</f>
        <v>408010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IFERROR(VLOOKUP(B203,input_408010!L:R,7,FALSE),VLOOKUP(tables_408010!C203,input_408010!A:H,8,FALSE))</f>
        <v>484500</v>
      </c>
      <c r="P203" s="46">
        <f t="shared" ca="1" si="10"/>
        <v>5.3370786516853935E-3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input_408010!A$2</f>
        <v>408010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IFERROR(VLOOKUP(B204,input_408010!L:R,7,FALSE),VLOOKUP(tables_408010!C204,input_408010!A:H,8,FALSE))</f>
        <v>454812.5</v>
      </c>
      <c r="P204" s="46">
        <f t="shared" ca="1" si="10"/>
        <v>5.0100517735183958E-3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input_408010!A$2</f>
        <v>408010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IFERROR(VLOOKUP(B205,input_408010!L:R,7,FALSE),VLOOKUP(tables_408010!C205,input_408010!A:H,8,FALSE))</f>
        <v>29687.5</v>
      </c>
      <c r="P205" s="46">
        <f t="shared" ca="1" si="10"/>
        <v>3.2702687816699714E-4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input_408010!A$2</f>
        <v>408010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IFERROR(VLOOKUP(B206,input_408010!L:R,7,FALSE),VLOOKUP(tables_408010!C206,input_408010!A:H,8,FALSE))</f>
        <v>84550</v>
      </c>
      <c r="P206" s="46">
        <f t="shared" ca="1" si="10"/>
        <v>9.3137254901960785E-4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input_408010!A$2</f>
        <v>408010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IFERROR(VLOOKUP(B207,input_408010!L:R,7,FALSE),VLOOKUP(tables_408010!C207,input_408010!A:H,8,FALSE))</f>
        <v>4450</v>
      </c>
      <c r="P207" s="46">
        <f t="shared" ca="1" si="10"/>
        <v>4.9019607843137253E-5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input_408010!A$2</f>
        <v>408010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IFERROR(VLOOKUP(B208,input_408010!L:R,7,FALSE),VLOOKUP(tables_408010!C208,input_408010!A:H,8,FALSE))</f>
        <v>84550</v>
      </c>
      <c r="P208" s="46">
        <f t="shared" ca="1" si="10"/>
        <v>9.3137254901960785E-4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input_408010!A$2</f>
        <v>408010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IFERROR(VLOOKUP(B209,input_408010!L:R,7,FALSE),VLOOKUP(tables_408010!C209,input_408010!A:H,8,FALSE))</f>
        <v>4450</v>
      </c>
      <c r="P209" s="46">
        <f t="shared" ca="1" si="10"/>
        <v>4.9019607843137253E-5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input_408010!A$2</f>
        <v>408010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IFERROR(VLOOKUP(B210,input_408010!L:R,7,FALSE),VLOOKUP(tables_408010!C210,input_408010!A:H,8,FALSE))</f>
        <v>484500</v>
      </c>
      <c r="P210" s="46">
        <f t="shared" ca="1" si="10"/>
        <v>5.3370786516853935E-3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input_408010!A$2</f>
        <v>408010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IFERROR(VLOOKUP(B211,input_408010!L:R,7,FALSE),VLOOKUP(tables_408010!C211,input_408010!A:H,8,FALSE))</f>
        <v>454812.5</v>
      </c>
      <c r="P211" s="46">
        <f t="shared" ca="1" si="10"/>
        <v>5.0100517735183958E-3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input_408010!A$2</f>
        <v>408010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IFERROR(VLOOKUP(B212,input_408010!L:R,7,FALSE),VLOOKUP(tables_408010!C212,input_408010!A:H,8,FALSE))</f>
        <v>29687.5</v>
      </c>
      <c r="P212" s="46">
        <f t="shared" ca="1" si="10"/>
        <v>3.2702687816699714E-4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input_408010!A$2</f>
        <v>408010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IFERROR(VLOOKUP(B213,input_408010!L:R,7,FALSE),VLOOKUP(tables_408010!C213,input_408010!A:H,8,FALSE))</f>
        <v>84550</v>
      </c>
      <c r="P213" s="46">
        <f t="shared" ca="1" si="10"/>
        <v>9.3137254901960785E-4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input_408010!A$2</f>
        <v>408010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IFERROR(VLOOKUP(B214,input_408010!L:R,7,FALSE),VLOOKUP(tables_408010!C214,input_408010!A:H,8,FALSE))</f>
        <v>4450</v>
      </c>
      <c r="P214" s="46">
        <f t="shared" ca="1" si="10"/>
        <v>4.9019607843137253E-5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input_408010!A$2</f>
        <v>408010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IFERROR(VLOOKUP(B215,input_408010!L:R,7,FALSE),VLOOKUP(tables_408010!C215,input_408010!A:H,8,FALSE))</f>
        <v>84550</v>
      </c>
      <c r="P215" s="46">
        <f t="shared" ca="1" si="10"/>
        <v>9.3137254901960785E-4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input_408010!A$2</f>
        <v>408010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IFERROR(VLOOKUP(B216,input_408010!L:R,7,FALSE),VLOOKUP(tables_408010!C216,input_408010!A:H,8,FALSE))</f>
        <v>4450</v>
      </c>
      <c r="P216" s="46">
        <f t="shared" ca="1" si="10"/>
        <v>4.9019607843137253E-5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input_408010!A$2</f>
        <v>408010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IFERROR(VLOOKUP(B217,input_408010!L:R,7,FALSE),VLOOKUP(tables_408010!C217,input_408010!A:H,8,FALSE))</f>
        <v>484500</v>
      </c>
      <c r="P217" s="46">
        <f t="shared" ca="1" si="10"/>
        <v>5.3370786516853935E-3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input_408010!A$2</f>
        <v>408010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IFERROR(VLOOKUP(B218,input_408010!L:R,7,FALSE),VLOOKUP(tables_408010!C218,input_408010!A:H,8,FALSE))</f>
        <v>454812.5</v>
      </c>
      <c r="P218" s="46">
        <f t="shared" ca="1" si="10"/>
        <v>5.0100517735183958E-3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input_408010!A$2</f>
        <v>408010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IFERROR(VLOOKUP(B219,input_408010!L:R,7,FALSE),VLOOKUP(tables_408010!C219,input_408010!A:H,8,FALSE))</f>
        <v>29687.5</v>
      </c>
      <c r="P219" s="46">
        <f t="shared" ca="1" si="10"/>
        <v>3.2702687816699714E-4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input_408010!A$2</f>
        <v>408010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IFERROR(VLOOKUP(B220,input_408010!L:R,7,FALSE),VLOOKUP(tables_408010!C220,input_408010!A:H,8,FALSE))</f>
        <v>484500</v>
      </c>
      <c r="P220" s="46">
        <f t="shared" ca="1" si="10"/>
        <v>5.3370786516853935E-3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input_408010!A$2</f>
        <v>408010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IFERROR(VLOOKUP(B221,input_408010!L:R,7,FALSE),VLOOKUP(tables_408010!C221,input_408010!A:H,8,FALSE))</f>
        <v>454812.5</v>
      </c>
      <c r="P221" s="46">
        <f t="shared" ca="1" si="10"/>
        <v>5.0100517735183958E-3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input_408010!A$2</f>
        <v>408010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IFERROR(VLOOKUP(B222,input_408010!L:R,7,FALSE),VLOOKUP(tables_408010!C222,input_408010!A:H,8,FALSE))</f>
        <v>29687.5</v>
      </c>
      <c r="P222" s="46">
        <f t="shared" ca="1" si="10"/>
        <v>3.2702687816699714E-4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input_408010!A$2</f>
        <v>408010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IFERROR(VLOOKUP(B223,input_408010!L:R,7,FALSE),VLOOKUP(tables_408010!C223,input_408010!A:H,8,FALSE))</f>
        <v>84550</v>
      </c>
      <c r="P223" s="46">
        <f t="shared" ca="1" si="10"/>
        <v>9.3137254901960785E-4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input_408010!A$2</f>
        <v>408010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IFERROR(VLOOKUP(B224,input_408010!L:R,7,FALSE),VLOOKUP(tables_408010!C224,input_408010!A:H,8,FALSE))</f>
        <v>4450</v>
      </c>
      <c r="P224" s="46">
        <f t="shared" ca="1" si="10"/>
        <v>4.9019607843137253E-5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input_408010!A$2</f>
        <v>408010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IFERROR(VLOOKUP(B225,input_408010!L:R,7,FALSE),VLOOKUP(tables_408010!C225,input_408010!A:H,8,FALSE))</f>
        <v>484500</v>
      </c>
      <c r="P225" s="46">
        <f t="shared" ca="1" si="10"/>
        <v>5.3370786516853935E-3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input_408010!A$2</f>
        <v>408010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IFERROR(VLOOKUP(B226,input_408010!L:R,7,FALSE),VLOOKUP(tables_408010!C226,input_408010!A:H,8,FALSE))</f>
        <v>454812.5</v>
      </c>
      <c r="P226" s="46">
        <f t="shared" ca="1" si="10"/>
        <v>5.0100517735183958E-3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input_408010!A$2</f>
        <v>408010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IFERROR(VLOOKUP(B227,input_408010!L:R,7,FALSE),VLOOKUP(tables_408010!C227,input_408010!A:H,8,FALSE))</f>
        <v>29687.5</v>
      </c>
      <c r="P227" s="46">
        <f t="shared" ca="1" si="10"/>
        <v>3.2702687816699714E-4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input_408010!A$2</f>
        <v>408010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IFERROR(VLOOKUP(B228,input_408010!L:R,7,FALSE),VLOOKUP(tables_408010!C228,input_408010!A:H,8,FALSE))</f>
        <v>484500</v>
      </c>
      <c r="P228" s="46">
        <f t="shared" ca="1" si="10"/>
        <v>5.3370786516853935E-3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input_408010!A$2</f>
        <v>408010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IFERROR(VLOOKUP(B229,input_408010!L:R,7,FALSE),VLOOKUP(tables_408010!C229,input_408010!A:H,8,FALSE))</f>
        <v>454812.5</v>
      </c>
      <c r="P229" s="46">
        <f t="shared" ca="1" si="10"/>
        <v>5.0100517735183958E-3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input_408010!A$2</f>
        <v>408010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IFERROR(VLOOKUP(B230,input_408010!L:R,7,FALSE),VLOOKUP(tables_408010!C230,input_408010!A:H,8,FALSE))</f>
        <v>29687.5</v>
      </c>
      <c r="P230" s="46">
        <f t="shared" ca="1" si="10"/>
        <v>3.2702687816699714E-4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input_408010!A$2</f>
        <v>408010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IFERROR(VLOOKUP(B231,input_408010!L:R,7,FALSE),VLOOKUP(tables_408010!C231,input_408010!A:H,8,FALSE))</f>
        <v>84550</v>
      </c>
      <c r="P231" s="46">
        <f t="shared" ca="1" si="10"/>
        <v>9.3137254901960785E-4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input_408010!A$2</f>
        <v>408010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IFERROR(VLOOKUP(B232,input_408010!L:R,7,FALSE),VLOOKUP(tables_408010!C232,input_408010!A:H,8,FALSE))</f>
        <v>4450</v>
      </c>
      <c r="P232" s="46">
        <f t="shared" ca="1" si="10"/>
        <v>4.9019607843137253E-5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input_408010!A$2</f>
        <v>408010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IFERROR(VLOOKUP(B233,input_408010!L:R,7,FALSE),VLOOKUP(tables_408010!C233,input_408010!A:H,8,FALSE))</f>
        <v>484500</v>
      </c>
      <c r="P233" s="46">
        <f t="shared" ca="1" si="10"/>
        <v>5.3370786516853935E-3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input_408010!A$2</f>
        <v>408010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IFERROR(VLOOKUP(B234,input_408010!L:R,7,FALSE),VLOOKUP(tables_408010!C234,input_408010!A:H,8,FALSE))</f>
        <v>454812.5</v>
      </c>
      <c r="P234" s="46">
        <f t="shared" ca="1" si="10"/>
        <v>5.0100517735183958E-3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input_408010!A$2</f>
        <v>408010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IFERROR(VLOOKUP(B235,input_408010!L:R,7,FALSE),VLOOKUP(tables_408010!C235,input_408010!A:H,8,FALSE))</f>
        <v>29687.5</v>
      </c>
      <c r="P235" s="46">
        <f t="shared" ca="1" si="10"/>
        <v>3.2702687816699714E-4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input_408010!A$2</f>
        <v>408010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IFERROR(VLOOKUP(B236,input_408010!L:R,7,FALSE),VLOOKUP(tables_408010!C236,input_408010!A:H,8,FALSE))</f>
        <v>84550</v>
      </c>
      <c r="P236" s="46">
        <f t="shared" ca="1" si="10"/>
        <v>9.3137254901960785E-4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input_408010!A$2</f>
        <v>408010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IFERROR(VLOOKUP(B237,input_408010!L:R,7,FALSE),VLOOKUP(tables_408010!C237,input_408010!A:H,8,FALSE))</f>
        <v>4450</v>
      </c>
      <c r="P237" s="46">
        <f t="shared" ca="1" si="10"/>
        <v>4.9019607843137253E-5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input_408010!A$2</f>
        <v>408010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IFERROR(VLOOKUP(B238,input_408010!L:R,7,FALSE),VLOOKUP(tables_408010!C238,input_408010!A:H,8,FALSE))</f>
        <v>84550</v>
      </c>
      <c r="P238" s="46">
        <f t="shared" ca="1" si="10"/>
        <v>9.3137254901960785E-4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input_408010!A$2</f>
        <v>408010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IFERROR(VLOOKUP(B239,input_408010!L:R,7,FALSE),VLOOKUP(tables_408010!C239,input_408010!A:H,8,FALSE))</f>
        <v>4450</v>
      </c>
      <c r="P239" s="46">
        <f t="shared" ca="1" si="10"/>
        <v>4.9019607843137253E-5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input_408010!A$2</f>
        <v>408010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IFERROR(VLOOKUP(B240,input_408010!L:R,7,FALSE),VLOOKUP(tables_408010!C240,input_408010!A:H,8,FALSE))</f>
        <v>484500</v>
      </c>
      <c r="P240" s="46">
        <f t="shared" ca="1" si="10"/>
        <v>5.3370786516853935E-3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input_408010!A$2</f>
        <v>408010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IFERROR(VLOOKUP(B241,input_408010!L:R,7,FALSE),VLOOKUP(tables_408010!C241,input_408010!A:H,8,FALSE))</f>
        <v>454812.5</v>
      </c>
      <c r="P241" s="46">
        <f t="shared" ca="1" si="10"/>
        <v>5.0100517735183958E-3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input_408010!A$2</f>
        <v>408010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IFERROR(VLOOKUP(B242,input_408010!L:R,7,FALSE),VLOOKUP(tables_408010!C242,input_408010!A:H,8,FALSE))</f>
        <v>29687.5</v>
      </c>
      <c r="P242" s="46">
        <f t="shared" ca="1" si="10"/>
        <v>3.2702687816699714E-4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input_408010!A$2</f>
        <v>408010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IFERROR(VLOOKUP(B243,input_408010!L:R,7,FALSE),VLOOKUP(tables_408010!C243,input_408010!A:H,8,FALSE))</f>
        <v>484500</v>
      </c>
      <c r="P243" s="46">
        <f t="shared" ca="1" si="10"/>
        <v>5.3370786516853935E-3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input_408010!A$2</f>
        <v>408010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IFERROR(VLOOKUP(B244,input_408010!L:R,7,FALSE),VLOOKUP(tables_408010!C244,input_408010!A:H,8,FALSE))</f>
        <v>454812.5</v>
      </c>
      <c r="P244" s="46">
        <f t="shared" ca="1" si="10"/>
        <v>5.0100517735183958E-3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input_408010!A$2</f>
        <v>408010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IFERROR(VLOOKUP(B245,input_408010!L:R,7,FALSE),VLOOKUP(tables_408010!C245,input_408010!A:H,8,FALSE))</f>
        <v>29687.5</v>
      </c>
      <c r="P245" s="46">
        <f t="shared" ca="1" si="10"/>
        <v>3.2702687816699714E-4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input_408010!A$2</f>
        <v>408010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IFERROR(VLOOKUP(B246,input_408010!L:R,7,FALSE),VLOOKUP(tables_408010!C246,input_408010!A:H,8,FALSE))</f>
        <v>484500</v>
      </c>
      <c r="P246" s="46">
        <f t="shared" ca="1" si="10"/>
        <v>5.3370786516853935E-3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input_408010!A$2</f>
        <v>408010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IFERROR(VLOOKUP(B247,input_408010!L:R,7,FALSE),VLOOKUP(tables_408010!C247,input_408010!A:H,8,FALSE))</f>
        <v>454812.5</v>
      </c>
      <c r="P247" s="46">
        <f t="shared" ca="1" si="10"/>
        <v>5.0100517735183958E-3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input_408010!A$2</f>
        <v>408010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IFERROR(VLOOKUP(B248,input_408010!L:R,7,FALSE),VLOOKUP(tables_408010!C248,input_408010!A:H,8,FALSE))</f>
        <v>29687.5</v>
      </c>
      <c r="P248" s="46">
        <f t="shared" ca="1" si="10"/>
        <v>3.2702687816699714E-4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input_408010!A$2</f>
        <v>408010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IFERROR(VLOOKUP(B249,input_408010!L:R,7,FALSE),VLOOKUP(tables_408010!C249,input_408010!A:H,8,FALSE))</f>
        <v>484500</v>
      </c>
      <c r="P249" s="46">
        <f t="shared" ca="1" si="10"/>
        <v>5.3370786516853935E-3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input_408010!A$2</f>
        <v>408010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IFERROR(VLOOKUP(B250,input_408010!L:R,7,FALSE),VLOOKUP(tables_408010!C250,input_408010!A:H,8,FALSE))</f>
        <v>454812.5</v>
      </c>
      <c r="P250" s="46">
        <f t="shared" ca="1" si="10"/>
        <v>5.0100517735183958E-3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input_408010!A$2</f>
        <v>408010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IFERROR(VLOOKUP(B251,input_408010!L:R,7,FALSE),VLOOKUP(tables_408010!C251,input_408010!A:H,8,FALSE))</f>
        <v>29687.5</v>
      </c>
      <c r="P251" s="46">
        <f t="shared" ca="1" si="10"/>
        <v>3.2702687816699714E-4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input_408010!A$2</f>
        <v>408010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IFERROR(VLOOKUP(B252,input_408010!L:R,7,FALSE),VLOOKUP(tables_408010!C252,input_408010!A:H,8,FALSE))</f>
        <v>84550</v>
      </c>
      <c r="P252" s="46">
        <f t="shared" ca="1" si="10"/>
        <v>9.3137254901960785E-4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input_408010!A$2</f>
        <v>408010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IFERROR(VLOOKUP(B253,input_408010!L:R,7,FALSE),VLOOKUP(tables_408010!C253,input_408010!A:H,8,FALSE))</f>
        <v>4450</v>
      </c>
      <c r="P253" s="46">
        <f t="shared" ca="1" si="10"/>
        <v>4.9019607843137253E-5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input_408010!A$2</f>
        <v>408010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IFERROR(VLOOKUP(B254,input_408010!L:R,7,FALSE),VLOOKUP(tables_408010!C254,input_408010!A:H,8,FALSE))</f>
        <v>84550</v>
      </c>
      <c r="P254" s="46">
        <f t="shared" ca="1" si="10"/>
        <v>9.3137254901960785E-4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input_408010!A$2</f>
        <v>408010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IFERROR(VLOOKUP(B255,input_408010!L:R,7,FALSE),VLOOKUP(tables_408010!C255,input_408010!A:H,8,FALSE))</f>
        <v>4450</v>
      </c>
      <c r="P255" s="46">
        <f t="shared" ca="1" si="10"/>
        <v>4.9019607843137253E-5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input_408010!A$2</f>
        <v>408010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IFERROR(VLOOKUP(B256,input_408010!L:R,7,FALSE),VLOOKUP(tables_408010!C256,input_408010!A:H,8,FALSE))</f>
        <v>920550</v>
      </c>
      <c r="P256" s="46">
        <f t="shared" ca="1" si="10"/>
        <v>1.0140449438202246E-2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input_408010!A$2</f>
        <v>408010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IFERROR(VLOOKUP(B257,input_408010!L:R,7,FALSE),VLOOKUP(tables_408010!C257,input_408010!A:H,8,FALSE))</f>
        <v>48450</v>
      </c>
      <c r="P257" s="46">
        <f t="shared" ca="1" si="10"/>
        <v>5.3370786516853937E-4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input_408010!A$2</f>
        <v>408010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IFERROR(VLOOKUP(B258,input_408010!L:R,7,FALSE),VLOOKUP(tables_408010!C258,input_408010!A:H,8,FALSE))</f>
        <v>920550</v>
      </c>
      <c r="P258" s="46">
        <f t="shared" ref="P258:P294" ca="1" si="13">O258/SUM(O:O)</f>
        <v>1.0140449438202246E-2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input_408010!A$2</f>
        <v>408010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IFERROR(VLOOKUP(B259,input_408010!L:R,7,FALSE),VLOOKUP(tables_408010!C259,input_408010!A:H,8,FALSE))</f>
        <v>48450</v>
      </c>
      <c r="P259" s="46">
        <f t="shared" ca="1" si="13"/>
        <v>5.3370786516853937E-4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input_408010!A$2</f>
        <v>408010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IFERROR(VLOOKUP(B260,input_408010!L:R,7,FALSE),VLOOKUP(tables_408010!C260,input_408010!A:H,8,FALSE))</f>
        <v>89000</v>
      </c>
      <c r="P260" s="46">
        <f t="shared" ca="1" si="13"/>
        <v>9.8039215686274508E-4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input_408010!A$2</f>
        <v>408010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IFERROR(VLOOKUP(B261,input_408010!L:R,7,FALSE),VLOOKUP(tables_408010!C261,input_408010!A:H,8,FALSE))</f>
        <v>89000</v>
      </c>
      <c r="P261" s="46">
        <f t="shared" ca="1" si="13"/>
        <v>9.8039215686274508E-4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input_408010!A$2</f>
        <v>408010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IFERROR(VLOOKUP(B262,input_408010!L:R,7,FALSE),VLOOKUP(tables_408010!C262,input_408010!A:H,8,FALSE))</f>
        <v>84550</v>
      </c>
      <c r="P262" s="46">
        <f t="shared" ca="1" si="13"/>
        <v>9.3137254901960785E-4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input_408010!A$2</f>
        <v>408010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IFERROR(VLOOKUP(B263,input_408010!L:R,7,FALSE),VLOOKUP(tables_408010!C263,input_408010!A:H,8,FALSE))</f>
        <v>4450</v>
      </c>
      <c r="P263" s="46">
        <f t="shared" ca="1" si="13"/>
        <v>4.9019607843137253E-5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input_408010!A$2</f>
        <v>408010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IFERROR(VLOOKUP(B264,input_408010!L:R,7,FALSE),VLOOKUP(tables_408010!C264,input_408010!A:H,8,FALSE))</f>
        <v>84550</v>
      </c>
      <c r="P264" s="46">
        <f t="shared" ca="1" si="13"/>
        <v>9.3137254901960785E-4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input_408010!A$2</f>
        <v>408010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IFERROR(VLOOKUP(B265,input_408010!L:R,7,FALSE),VLOOKUP(tables_408010!C265,input_408010!A:H,8,FALSE))</f>
        <v>4450</v>
      </c>
      <c r="P265" s="46">
        <f t="shared" ca="1" si="13"/>
        <v>4.9019607843137253E-5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input_408010!A$2</f>
        <v>408010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IFERROR(VLOOKUP(B266,input_408010!L:R,7,FALSE),VLOOKUP(tables_408010!C266,input_408010!A:H,8,FALSE))</f>
        <v>484500</v>
      </c>
      <c r="P266" s="46">
        <f t="shared" ca="1" si="13"/>
        <v>5.3370786516853935E-3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input_408010!A$2</f>
        <v>408010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IFERROR(VLOOKUP(B267,input_408010!L:R,7,FALSE),VLOOKUP(tables_408010!C267,input_408010!A:H,8,FALSE))</f>
        <v>454812.5</v>
      </c>
      <c r="P267" s="46">
        <f t="shared" ca="1" si="13"/>
        <v>5.0100517735183958E-3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input_408010!A$2</f>
        <v>408010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IFERROR(VLOOKUP(B268,input_408010!L:R,7,FALSE),VLOOKUP(tables_408010!C268,input_408010!A:H,8,FALSE))</f>
        <v>29687.5</v>
      </c>
      <c r="P268" s="46">
        <f t="shared" ca="1" si="13"/>
        <v>3.2702687816699714E-4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input_408010!A$2</f>
        <v>408010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IFERROR(VLOOKUP(B269,input_408010!L:R,7,FALSE),VLOOKUP(tables_408010!C269,input_408010!A:H,8,FALSE))</f>
        <v>484500</v>
      </c>
      <c r="P269" s="46">
        <f t="shared" ca="1" si="13"/>
        <v>5.3370786516853935E-3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input_408010!A$2</f>
        <v>408010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IFERROR(VLOOKUP(B270,input_408010!L:R,7,FALSE),VLOOKUP(tables_408010!C270,input_408010!A:H,8,FALSE))</f>
        <v>454812.5</v>
      </c>
      <c r="P270" s="46">
        <f t="shared" ca="1" si="13"/>
        <v>5.0100517735183958E-3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input_408010!A$2</f>
        <v>408010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IFERROR(VLOOKUP(B271,input_408010!L:R,7,FALSE),VLOOKUP(tables_408010!C271,input_408010!A:H,8,FALSE))</f>
        <v>29687.5</v>
      </c>
      <c r="P271" s="46">
        <f t="shared" ca="1" si="13"/>
        <v>3.2702687816699714E-4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input_408010!A$2</f>
        <v>408010</v>
      </c>
      <c r="B272" s="80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IFERROR(VLOOKUP(B272,input_408010!L:R,7,FALSE),VLOOKUP(tables_408010!C272,input_408010!A:H,8,FALSE))</f>
        <v>89000</v>
      </c>
      <c r="P272" s="46">
        <f t="shared" ca="1" si="13"/>
        <v>9.8039215686274508E-4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input_408010!A$2</f>
        <v>408010</v>
      </c>
      <c r="B273" s="80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IFERROR(VLOOKUP(B273,input_408010!L:R,7,FALSE),VLOOKUP(tables_408010!C273,input_408010!A:H,8,FALSE))</f>
        <v>89000</v>
      </c>
      <c r="P273" s="46">
        <f t="shared" ca="1" si="13"/>
        <v>9.8039215686274508E-4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input_408010!A$2</f>
        <v>408010</v>
      </c>
      <c r="B274" s="80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IFERROR(VLOOKUP(B274,input_408010!L:R,7,FALSE),VLOOKUP(tables_408010!C274,input_408010!A:H,8,FALSE))</f>
        <v>920550</v>
      </c>
      <c r="P274" s="46">
        <f t="shared" ca="1" si="13"/>
        <v>1.0140449438202246E-2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input_408010!A$2</f>
        <v>408010</v>
      </c>
      <c r="B275" s="80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IFERROR(VLOOKUP(B275,input_408010!L:R,7,FALSE),VLOOKUP(tables_408010!C275,input_408010!A:H,8,FALSE))</f>
        <v>48450</v>
      </c>
      <c r="P275" s="46">
        <f t="shared" ca="1" si="13"/>
        <v>5.3370786516853937E-4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input_408010!A$2</f>
        <v>408010</v>
      </c>
      <c r="B276" s="80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IFERROR(VLOOKUP(B276,input_408010!L:R,7,FALSE),VLOOKUP(tables_408010!C276,input_408010!A:H,8,FALSE))</f>
        <v>920550</v>
      </c>
      <c r="P276" s="46">
        <f t="shared" ca="1" si="13"/>
        <v>1.0140449438202246E-2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input_408010!A$2</f>
        <v>408010</v>
      </c>
      <c r="B277" s="80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IFERROR(VLOOKUP(B277,input_408010!L:R,7,FALSE),VLOOKUP(tables_408010!C277,input_408010!A:H,8,FALSE))</f>
        <v>48450</v>
      </c>
      <c r="P277" s="46">
        <f t="shared" ca="1" si="13"/>
        <v>5.3370786516853937E-4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input_408010!A$2</f>
        <v>408010</v>
      </c>
      <c r="B278" s="80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IFERROR(VLOOKUP(B278,input_408010!L:R,7,FALSE),VLOOKUP(tables_408010!C278,input_408010!A:H,8,FALSE))</f>
        <v>920550</v>
      </c>
      <c r="P278" s="46">
        <f t="shared" ca="1" si="13"/>
        <v>1.0140449438202246E-2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input_408010!A$2</f>
        <v>408010</v>
      </c>
      <c r="B279" s="80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IFERROR(VLOOKUP(B279,input_408010!L:R,7,FALSE),VLOOKUP(tables_408010!C279,input_408010!A:H,8,FALSE))</f>
        <v>48450</v>
      </c>
      <c r="P279" s="46">
        <f t="shared" ca="1" si="13"/>
        <v>5.3370786516853937E-4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input_408010!A$2</f>
        <v>408010</v>
      </c>
      <c r="B280" s="80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IFERROR(VLOOKUP(B280,input_408010!L:R,7,FALSE),VLOOKUP(tables_408010!C280,input_408010!A:H,8,FALSE))</f>
        <v>920550</v>
      </c>
      <c r="P280" s="46">
        <f t="shared" ca="1" si="13"/>
        <v>1.0140449438202246E-2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input_408010!A$2</f>
        <v>408010</v>
      </c>
      <c r="B281" s="80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IFERROR(VLOOKUP(B281,input_408010!L:R,7,FALSE),VLOOKUP(tables_408010!C281,input_408010!A:H,8,FALSE))</f>
        <v>48450</v>
      </c>
      <c r="P281" s="46">
        <f t="shared" ca="1" si="13"/>
        <v>5.3370786516853937E-4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input_408010!A$2</f>
        <v>408010</v>
      </c>
      <c r="B282" s="80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IFERROR(VLOOKUP(B282,input_408010!L:R,7,FALSE),VLOOKUP(tables_408010!C282,input_408010!A:H,8,FALSE))</f>
        <v>89000</v>
      </c>
      <c r="P282" s="46">
        <f t="shared" ca="1" si="13"/>
        <v>9.8039215686274508E-4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input_408010!A$2</f>
        <v>408010</v>
      </c>
      <c r="B283" s="80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IFERROR(VLOOKUP(B283,input_408010!L:R,7,FALSE),VLOOKUP(tables_408010!C283,input_408010!A:H,8,FALSE))</f>
        <v>89000</v>
      </c>
      <c r="P283" s="46">
        <f t="shared" ca="1" si="13"/>
        <v>9.8039215686274508E-4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input_408010!A$2</f>
        <v>408010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IFERROR(VLOOKUP(B284,input_408010!L:R,7,FALSE),VLOOKUP(tables_408010!C284,input_408010!A:H,8,FALSE))</f>
        <v>89000</v>
      </c>
      <c r="P284" s="46">
        <f t="shared" ca="1" si="13"/>
        <v>9.8039215686274508E-4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input_408010!A$2</f>
        <v>408010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IFERROR(VLOOKUP(B285,input_408010!L:R,7,FALSE),VLOOKUP(tables_408010!C285,input_408010!A:H,8,FALSE))</f>
        <v>89000</v>
      </c>
      <c r="P285" s="46">
        <f t="shared" ca="1" si="13"/>
        <v>9.8039215686274508E-4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input_408010!A$2</f>
        <v>408010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IFERROR(VLOOKUP(B286,input_408010!L:R,7,FALSE),VLOOKUP(tables_408010!C286,input_408010!A:H,8,FALSE))</f>
        <v>920550</v>
      </c>
      <c r="P286" s="46">
        <f t="shared" ca="1" si="13"/>
        <v>1.0140449438202246E-2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input_408010!A$2</f>
        <v>408010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IFERROR(VLOOKUP(B287,input_408010!L:R,7,FALSE),VLOOKUP(tables_408010!C287,input_408010!A:H,8,FALSE))</f>
        <v>48450</v>
      </c>
      <c r="P287" s="46">
        <f t="shared" ca="1" si="13"/>
        <v>5.3370786516853937E-4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input_408010!A$2</f>
        <v>408010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IFERROR(VLOOKUP(B288,input_408010!L:R,7,FALSE),VLOOKUP(tables_408010!C288,input_408010!A:H,8,FALSE))</f>
        <v>920550</v>
      </c>
      <c r="P288" s="46">
        <f t="shared" ca="1" si="13"/>
        <v>1.0140449438202246E-2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input_408010!A$2</f>
        <v>408010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IFERROR(VLOOKUP(B289,input_408010!L:R,7,FALSE),VLOOKUP(tables_408010!C289,input_408010!A:H,8,FALSE))</f>
        <v>48450</v>
      </c>
      <c r="P289" s="46">
        <f t="shared" ca="1" si="13"/>
        <v>5.3370786516853937E-4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input_408010!A$2</f>
        <v>408010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IFERROR(VLOOKUP(B290,input_408010!L:R,7,FALSE),VLOOKUP(tables_408010!C290,input_408010!A:H,8,FALSE))</f>
        <v>89000</v>
      </c>
      <c r="P290" s="46">
        <f t="shared" ca="1" si="13"/>
        <v>9.8039215686274508E-4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input_408010!A$2</f>
        <v>408010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IFERROR(VLOOKUP(B291,input_408010!L:R,7,FALSE),VLOOKUP(tables_408010!C291,input_408010!A:H,8,FALSE))</f>
        <v>920550</v>
      </c>
      <c r="P291" s="46">
        <f t="shared" ca="1" si="13"/>
        <v>1.0140449438202246E-2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input_408010!A$2</f>
        <v>408010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IFERROR(VLOOKUP(B292,input_408010!L:R,7,FALSE),VLOOKUP(tables_408010!C292,input_408010!A:H,8,FALSE))</f>
        <v>48450</v>
      </c>
      <c r="P292" s="46">
        <f t="shared" ca="1" si="13"/>
        <v>5.3370786516853937E-4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input_408010!A$2</f>
        <v>408010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IFERROR(VLOOKUP(B293,input_408010!L:R,7,FALSE),VLOOKUP(tables_408010!C293,input_408010!A:H,8,FALSE))</f>
        <v>89000</v>
      </c>
      <c r="P293" s="46">
        <f t="shared" ca="1" si="13"/>
        <v>9.8039215686274508E-4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input_408010!A$2</f>
        <v>408010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IFERROR(VLOOKUP(B294,input_408010!L:R,7,FALSE),VLOOKUP(tables_408010!C294,input_408010!A:H,8,FALSE))</f>
        <v>89000</v>
      </c>
      <c r="P294" s="46">
        <f t="shared" ca="1" si="13"/>
        <v>9.8039215686274508E-4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input_408010!A$2</f>
        <v>408010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IFERROR(VLOOKUP(B295,input_408010!L:R,7,FALSE),VLOOKUP(tables_408010!C295,input_408010!A:H,8,FALSE))</f>
        <v>89000</v>
      </c>
      <c r="P295" s="46">
        <f t="shared" ref="P295:P299" ca="1" si="18">O295/SUM(O:O)</f>
        <v>9.8039215686274508E-4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input_408010!A$2</f>
        <v>408010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IFERROR(VLOOKUP(B296,input_408010!L:R,7,FALSE),VLOOKUP(tables_408010!C296,input_408010!A:H,8,FALSE))</f>
        <v>89000</v>
      </c>
      <c r="P296" s="46">
        <f t="shared" ca="1" si="18"/>
        <v>9.8039215686274508E-4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input_408010!A$2</f>
        <v>408010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IFERROR(VLOOKUP(B297,input_408010!L:R,7,FALSE),VLOOKUP(tables_408010!C297,input_408010!A:H,8,FALSE))</f>
        <v>920550</v>
      </c>
      <c r="P297" s="46">
        <f t="shared" ca="1" si="18"/>
        <v>1.0140449438202246E-2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input_408010!A$2</f>
        <v>408010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IFERROR(VLOOKUP(B298,input_408010!L:R,7,FALSE),VLOOKUP(tables_408010!C298,input_408010!A:H,8,FALSE))</f>
        <v>48450</v>
      </c>
      <c r="P298" s="46">
        <f t="shared" ca="1" si="18"/>
        <v>5.3370786516853937E-4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input_408010!A$2</f>
        <v>408010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IFERROR(VLOOKUP(B299,input_408010!L:R,7,FALSE),VLOOKUP(tables_408010!C299,input_408010!A:H,8,FALSE))</f>
        <v>89000</v>
      </c>
      <c r="P299" s="46">
        <f t="shared" ca="1" si="18"/>
        <v>9.8039215686274508E-4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input_408010!A$2</f>
        <v>408010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IFERROR(VLOOKUP(B300,input_408010!L:R,7,FALSE),VLOOKUP(tables_408010!C300,input_408010!A:H,8,FALSE))</f>
        <v>920550</v>
      </c>
      <c r="P300" s="46">
        <f t="shared" ref="P300:P304" ca="1" si="20">O300/SUM(O:O)</f>
        <v>1.0140449438202246E-2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input_408010!A$2</f>
        <v>408010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IFERROR(VLOOKUP(B301,input_408010!L:R,7,FALSE),VLOOKUP(tables_408010!C301,input_408010!A:H,8,FALSE))</f>
        <v>48450</v>
      </c>
      <c r="P301" s="46">
        <f t="shared" ca="1" si="20"/>
        <v>5.3370786516853937E-4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input_408010!A$2</f>
        <v>408010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IFERROR(VLOOKUP(B302,input_408010!L:R,7,FALSE),VLOOKUP(tables_408010!C302,input_408010!A:H,8,FALSE))</f>
        <v>89000</v>
      </c>
      <c r="P302" s="46">
        <f t="shared" ca="1" si="20"/>
        <v>9.8039215686274508E-4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input_408010!A$2</f>
        <v>408010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IFERROR(VLOOKUP(B303,input_408010!L:R,7,FALSE),VLOOKUP(tables_408010!C303,input_408010!A:H,8,FALSE))</f>
        <v>89000</v>
      </c>
      <c r="P303" s="46">
        <f t="shared" ca="1" si="20"/>
        <v>9.8039215686274508E-4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input_408010!A$2</f>
        <v>408010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IFERROR(VLOOKUP(B304,input_408010!L:R,7,FALSE),VLOOKUP(tables_408010!C304,input_408010!A:H,8,FALSE))</f>
        <v>89000</v>
      </c>
      <c r="P304" s="46">
        <f t="shared" ca="1" si="20"/>
        <v>9.8039215686274508E-4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input_408010!A$2</f>
        <v>408010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IFERROR(VLOOKUP(B305,input_408010!L:R,7,FALSE),VLOOKUP(tables_408010!C305,input_408010!A:H,8,FALSE))</f>
        <v>920550</v>
      </c>
      <c r="P305" s="46">
        <f t="shared" ref="P305:P309" ca="1" si="22">O305/SUM(O:O)</f>
        <v>1.0140449438202246E-2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input_408010!A$2</f>
        <v>408010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IFERROR(VLOOKUP(B306,input_408010!L:R,7,FALSE),VLOOKUP(tables_408010!C306,input_408010!A:H,8,FALSE))</f>
        <v>48450</v>
      </c>
      <c r="P306" s="46">
        <f t="shared" ca="1" si="22"/>
        <v>5.3370786516853937E-4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input_408010!A$2</f>
        <v>408010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IFERROR(VLOOKUP(B307,input_408010!L:R,7,FALSE),VLOOKUP(tables_408010!C307,input_408010!A:H,8,FALSE))</f>
        <v>89000</v>
      </c>
      <c r="P307" s="46">
        <f t="shared" ca="1" si="22"/>
        <v>9.8039215686274508E-4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input_408010!A$2</f>
        <v>408010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IFERROR(VLOOKUP(B308,input_408010!L:R,7,FALSE),VLOOKUP(tables_408010!C308,input_408010!A:H,8,FALSE))</f>
        <v>89000</v>
      </c>
      <c r="P308" s="46">
        <f t="shared" ca="1" si="22"/>
        <v>9.8039215686274508E-4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input_408010!A$2</f>
        <v>408010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IFERROR(VLOOKUP(B309,input_408010!L:R,7,FALSE),VLOOKUP(tables_408010!C309,input_408010!A:H,8,FALSE))</f>
        <v>89000</v>
      </c>
      <c r="P309" s="46">
        <f t="shared" ca="1" si="22"/>
        <v>9.8039215686274508E-4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input_408010!A$2</f>
        <v>408010</v>
      </c>
      <c r="B310" s="5">
        <v>1104</v>
      </c>
      <c r="C310" s="7" t="str">
        <f t="shared" ref="C310:C314" si="23">D310&amp;J310&amp;E310&amp;F310&amp;G310</f>
        <v>Premium4R3less</v>
      </c>
      <c r="D310" s="7" t="str">
        <f t="shared" ref="D310:D314" si="24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IFERROR(VLOOKUP(B310,input_408010!L:R,7,FALSE),VLOOKUP(tables_408010!C310,input_408010!A:H,8,FALSE))</f>
        <v>920550</v>
      </c>
      <c r="P310" s="46">
        <f t="shared" ref="P310:P314" ca="1" si="25">O310/SUM(O:O)</f>
        <v>1.0140449438202246E-2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input_408010!A$2</f>
        <v>408010</v>
      </c>
      <c r="B311" s="5">
        <v>1105</v>
      </c>
      <c r="C311" s="7" t="str">
        <f t="shared" si="23"/>
        <v>Premium5R3less</v>
      </c>
      <c r="D311" s="7" t="str">
        <f t="shared" si="2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IFERROR(VLOOKUP(B311,input_408010!L:R,7,FALSE),VLOOKUP(tables_408010!C311,input_408010!A:H,8,FALSE))</f>
        <v>48450</v>
      </c>
      <c r="P311" s="46">
        <f t="shared" ca="1" si="25"/>
        <v>5.3370786516853937E-4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input_408010!A$2</f>
        <v>408010</v>
      </c>
      <c r="B312" s="5">
        <v>1106</v>
      </c>
      <c r="C312" s="7" t="str">
        <f t="shared" si="23"/>
        <v>PremiumSS5R5only</v>
      </c>
      <c r="D312" s="7" t="str">
        <f t="shared" si="2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IFERROR(VLOOKUP(B312,input_408010!L:R,7,FALSE),VLOOKUP(tables_408010!C312,input_408010!A:H,8,FALSE))</f>
        <v>89000</v>
      </c>
      <c r="P312" s="46">
        <f t="shared" ca="1" si="25"/>
        <v>9.8039215686274508E-4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input_408010!A$2</f>
        <v>408010</v>
      </c>
      <c r="B313" s="5">
        <v>1102</v>
      </c>
      <c r="C313" s="7" t="str">
        <f t="shared" si="23"/>
        <v>PremiumSS5R5only</v>
      </c>
      <c r="D313" s="7" t="str">
        <f t="shared" si="2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IFERROR(VLOOKUP(B313,input_408010!L:R,7,FALSE),VLOOKUP(tables_408010!C313,input_408010!A:H,8,FALSE))</f>
        <v>89000</v>
      </c>
      <c r="P313" s="46">
        <f t="shared" ca="1" si="25"/>
        <v>9.8039215686274508E-4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input_408010!A$2</f>
        <v>408010</v>
      </c>
      <c r="B314" s="5">
        <v>1100</v>
      </c>
      <c r="C314" s="7" t="str">
        <f t="shared" si="23"/>
        <v>PremiumSS5R5only</v>
      </c>
      <c r="D314" s="7" t="str">
        <f t="shared" si="2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IFERROR(VLOOKUP(B314,input_408010!L:R,7,FALSE),VLOOKUP(tables_408010!C314,input_408010!A:H,8,FALSE))</f>
        <v>89000</v>
      </c>
      <c r="P314" s="46">
        <f t="shared" ca="1" si="25"/>
        <v>9.8039215686274508E-4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</sheetData>
  <autoFilter ref="A1:V294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R18"/>
  <sheetViews>
    <sheetView showGridLines="0" tabSelected="1" workbookViewId="0">
      <pane ySplit="1" topLeftCell="A2" activePane="bottomLeft" state="frozen"/>
      <selection activeCell="M24" sqref="M24"/>
      <selection pane="bottomLeft" activeCell="O7" sqref="O7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8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8" ht="21" customHeight="1" x14ac:dyDescent="0.15">
      <c r="A2" s="101">
        <v>411001</v>
      </c>
      <c r="B2" s="100" t="str">
        <f>A2&amp;1</f>
        <v>4110011</v>
      </c>
      <c r="C2" s="2" t="s">
        <v>250</v>
      </c>
      <c r="D2" s="2">
        <v>1</v>
      </c>
      <c r="E2" s="78" t="s">
        <v>254</v>
      </c>
      <c r="F2" s="98">
        <v>1</v>
      </c>
      <c r="G2" s="78" t="s">
        <v>254</v>
      </c>
      <c r="H2" s="78" t="s">
        <v>254</v>
      </c>
      <c r="I2" s="78" t="s">
        <v>254</v>
      </c>
      <c r="J2" s="78" t="s">
        <v>254</v>
      </c>
      <c r="K2" s="78" t="s">
        <v>254</v>
      </c>
      <c r="L2" s="78" t="s">
        <v>254</v>
      </c>
      <c r="M2" s="78" t="s">
        <v>254</v>
      </c>
      <c r="N2" s="98" t="s">
        <v>263</v>
      </c>
      <c r="O2" s="78" t="s">
        <v>252</v>
      </c>
      <c r="P2" s="78" t="s">
        <v>274</v>
      </c>
      <c r="Q2" s="79" t="s">
        <v>264</v>
      </c>
    </row>
    <row r="3" spans="1:18" ht="21" customHeight="1" x14ac:dyDescent="0.15">
      <c r="A3" s="101">
        <v>411002</v>
      </c>
      <c r="B3" s="100" t="str">
        <f>A3&amp;1</f>
        <v>4110021</v>
      </c>
      <c r="C3" s="2" t="s">
        <v>249</v>
      </c>
      <c r="D3" s="99">
        <v>125</v>
      </c>
      <c r="E3" s="99">
        <v>1</v>
      </c>
      <c r="F3" s="98">
        <v>1</v>
      </c>
      <c r="G3" s="91">
        <v>0</v>
      </c>
      <c r="H3" s="91">
        <v>0</v>
      </c>
      <c r="I3" s="91">
        <v>0</v>
      </c>
      <c r="J3" s="91">
        <v>0</v>
      </c>
      <c r="K3" s="91">
        <v>1</v>
      </c>
      <c r="L3" s="91">
        <v>1</v>
      </c>
      <c r="M3" s="91">
        <v>1</v>
      </c>
      <c r="N3" s="98" t="s">
        <v>263</v>
      </c>
      <c r="O3" s="98" t="s">
        <v>265</v>
      </c>
      <c r="P3" s="78" t="s">
        <v>274</v>
      </c>
      <c r="Q3" s="79" t="s">
        <v>266</v>
      </c>
      <c r="R3" s="79"/>
    </row>
    <row r="4" spans="1:18" ht="21" customHeight="1" x14ac:dyDescent="0.15">
      <c r="A4" s="101">
        <v>411003</v>
      </c>
      <c r="B4" s="100" t="str">
        <f t="shared" ref="B4:B11" si="0">A4&amp;1</f>
        <v>4110031</v>
      </c>
      <c r="C4" s="78" t="s">
        <v>248</v>
      </c>
      <c r="D4" s="78">
        <v>300000</v>
      </c>
      <c r="E4" s="78" t="s">
        <v>254</v>
      </c>
      <c r="F4" s="98">
        <v>1</v>
      </c>
      <c r="G4" s="78" t="s">
        <v>254</v>
      </c>
      <c r="H4" s="78" t="s">
        <v>254</v>
      </c>
      <c r="I4" s="78" t="s">
        <v>254</v>
      </c>
      <c r="J4" s="78" t="s">
        <v>254</v>
      </c>
      <c r="K4" s="78" t="s">
        <v>254</v>
      </c>
      <c r="L4" s="78" t="s">
        <v>254</v>
      </c>
      <c r="M4" s="78" t="s">
        <v>254</v>
      </c>
      <c r="N4" s="78" t="s">
        <v>243</v>
      </c>
      <c r="O4" s="78" t="s">
        <v>256</v>
      </c>
      <c r="P4" s="78" t="s">
        <v>274</v>
      </c>
      <c r="Q4" s="79" t="s">
        <v>258</v>
      </c>
    </row>
    <row r="5" spans="1:18" ht="21" customHeight="1" x14ac:dyDescent="0.15">
      <c r="A5" s="101">
        <v>411004</v>
      </c>
      <c r="B5" s="100" t="str">
        <f t="shared" si="0"/>
        <v>4110041</v>
      </c>
      <c r="C5" s="78" t="s">
        <v>267</v>
      </c>
      <c r="D5" s="78">
        <v>2</v>
      </c>
      <c r="E5" s="78">
        <v>1</v>
      </c>
      <c r="F5" s="98">
        <v>1</v>
      </c>
      <c r="G5" s="78" t="s">
        <v>254</v>
      </c>
      <c r="H5" s="78" t="s">
        <v>254</v>
      </c>
      <c r="I5" s="78" t="s">
        <v>254</v>
      </c>
      <c r="J5" s="78" t="s">
        <v>254</v>
      </c>
      <c r="K5" s="78" t="s">
        <v>254</v>
      </c>
      <c r="L5" s="78" t="s">
        <v>254</v>
      </c>
      <c r="M5" s="78" t="s">
        <v>254</v>
      </c>
      <c r="N5" s="78" t="s">
        <v>243</v>
      </c>
      <c r="O5" s="78" t="s">
        <v>268</v>
      </c>
      <c r="P5" s="78" t="s">
        <v>274</v>
      </c>
      <c r="Q5" s="79" t="s">
        <v>269</v>
      </c>
    </row>
    <row r="6" spans="1:18" ht="21" customHeight="1" x14ac:dyDescent="0.15">
      <c r="A6" s="101">
        <v>411005</v>
      </c>
      <c r="B6" s="100" t="str">
        <f t="shared" si="0"/>
        <v>4110051</v>
      </c>
      <c r="C6" s="2" t="s">
        <v>249</v>
      </c>
      <c r="D6" s="2">
        <v>837</v>
      </c>
      <c r="E6" s="2">
        <v>1</v>
      </c>
      <c r="F6" s="98">
        <v>1</v>
      </c>
      <c r="G6" s="91">
        <v>0</v>
      </c>
      <c r="H6" s="91">
        <v>0</v>
      </c>
      <c r="I6" s="91">
        <v>0</v>
      </c>
      <c r="J6" s="91">
        <v>0</v>
      </c>
      <c r="K6" s="91">
        <v>1</v>
      </c>
      <c r="L6" s="91">
        <v>1</v>
      </c>
      <c r="M6" s="91">
        <v>1</v>
      </c>
      <c r="N6" s="78" t="s">
        <v>243</v>
      </c>
      <c r="O6" s="78" t="s">
        <v>275</v>
      </c>
      <c r="P6" s="78" t="s">
        <v>274</v>
      </c>
      <c r="Q6" s="79" t="s">
        <v>257</v>
      </c>
    </row>
    <row r="7" spans="1:18" ht="21" customHeight="1" x14ac:dyDescent="0.15">
      <c r="A7" s="101">
        <v>411006</v>
      </c>
      <c r="B7" s="100" t="str">
        <f t="shared" si="0"/>
        <v>4110061</v>
      </c>
      <c r="C7" s="78" t="s">
        <v>267</v>
      </c>
      <c r="D7" s="78">
        <v>2</v>
      </c>
      <c r="E7" s="78">
        <v>1</v>
      </c>
      <c r="F7" s="98">
        <v>1</v>
      </c>
      <c r="G7" s="78" t="s">
        <v>254</v>
      </c>
      <c r="H7" s="78" t="s">
        <v>254</v>
      </c>
      <c r="I7" s="78" t="s">
        <v>254</v>
      </c>
      <c r="J7" s="78" t="s">
        <v>254</v>
      </c>
      <c r="K7" s="78" t="s">
        <v>254</v>
      </c>
      <c r="L7" s="78" t="s">
        <v>254</v>
      </c>
      <c r="M7" s="78" t="s">
        <v>254</v>
      </c>
      <c r="N7" s="78" t="s">
        <v>243</v>
      </c>
      <c r="O7" s="78" t="s">
        <v>268</v>
      </c>
      <c r="P7" s="78" t="s">
        <v>274</v>
      </c>
      <c r="Q7" s="79" t="s">
        <v>270</v>
      </c>
    </row>
    <row r="8" spans="1:18" ht="21" customHeight="1" x14ac:dyDescent="0.15">
      <c r="A8" s="101">
        <v>411007</v>
      </c>
      <c r="B8" s="100" t="str">
        <f t="shared" si="0"/>
        <v>4110071</v>
      </c>
      <c r="C8" s="2" t="s">
        <v>250</v>
      </c>
      <c r="D8" s="2">
        <v>5</v>
      </c>
      <c r="E8" s="78" t="s">
        <v>254</v>
      </c>
      <c r="F8" s="98">
        <v>1</v>
      </c>
      <c r="G8" s="78" t="s">
        <v>254</v>
      </c>
      <c r="H8" s="78" t="s">
        <v>254</v>
      </c>
      <c r="I8" s="78" t="s">
        <v>254</v>
      </c>
      <c r="J8" s="78" t="s">
        <v>254</v>
      </c>
      <c r="K8" s="78" t="s">
        <v>254</v>
      </c>
      <c r="L8" s="78" t="s">
        <v>254</v>
      </c>
      <c r="M8" s="78" t="s">
        <v>254</v>
      </c>
      <c r="N8" s="78" t="s">
        <v>243</v>
      </c>
      <c r="O8" s="78" t="s">
        <v>259</v>
      </c>
      <c r="P8" s="78" t="s">
        <v>274</v>
      </c>
      <c r="Q8" s="79" t="s">
        <v>261</v>
      </c>
    </row>
    <row r="9" spans="1:18" ht="21" customHeight="1" x14ac:dyDescent="0.15">
      <c r="A9" s="101">
        <v>411008</v>
      </c>
      <c r="B9" s="100" t="str">
        <f t="shared" si="0"/>
        <v>4110081</v>
      </c>
      <c r="C9" s="78" t="s">
        <v>267</v>
      </c>
      <c r="D9" s="78">
        <v>2</v>
      </c>
      <c r="E9" s="78">
        <v>1</v>
      </c>
      <c r="F9" s="98">
        <v>1</v>
      </c>
      <c r="G9" s="78" t="s">
        <v>254</v>
      </c>
      <c r="H9" s="78" t="s">
        <v>254</v>
      </c>
      <c r="I9" s="78" t="s">
        <v>254</v>
      </c>
      <c r="J9" s="78" t="s">
        <v>254</v>
      </c>
      <c r="K9" s="78" t="s">
        <v>254</v>
      </c>
      <c r="L9" s="78" t="s">
        <v>254</v>
      </c>
      <c r="M9" s="78" t="s">
        <v>254</v>
      </c>
      <c r="N9" s="78" t="s">
        <v>243</v>
      </c>
      <c r="O9" s="78" t="s">
        <v>268</v>
      </c>
      <c r="P9" s="78" t="s">
        <v>274</v>
      </c>
      <c r="Q9" s="79" t="s">
        <v>271</v>
      </c>
    </row>
    <row r="10" spans="1:18" ht="21" customHeight="1" x14ac:dyDescent="0.15">
      <c r="A10" s="101">
        <v>411009</v>
      </c>
      <c r="B10" s="100" t="str">
        <f t="shared" si="0"/>
        <v>4110091</v>
      </c>
      <c r="C10" s="2" t="s">
        <v>251</v>
      </c>
      <c r="D10" s="2">
        <v>5</v>
      </c>
      <c r="E10" s="78" t="s">
        <v>254</v>
      </c>
      <c r="F10" s="98">
        <v>1</v>
      </c>
      <c r="G10" s="78" t="s">
        <v>254</v>
      </c>
      <c r="H10" s="78" t="s">
        <v>254</v>
      </c>
      <c r="I10" s="78" t="s">
        <v>254</v>
      </c>
      <c r="J10" s="78" t="s">
        <v>254</v>
      </c>
      <c r="K10" s="78" t="s">
        <v>254</v>
      </c>
      <c r="L10" s="78" t="s">
        <v>254</v>
      </c>
      <c r="M10" s="78" t="s">
        <v>254</v>
      </c>
      <c r="N10" s="78" t="s">
        <v>243</v>
      </c>
      <c r="O10" s="78" t="s">
        <v>260</v>
      </c>
      <c r="P10" s="78" t="s">
        <v>274</v>
      </c>
      <c r="Q10" s="79" t="s">
        <v>262</v>
      </c>
    </row>
    <row r="11" spans="1:18" ht="21" customHeight="1" x14ac:dyDescent="0.15">
      <c r="A11" s="101">
        <v>411010</v>
      </c>
      <c r="B11" s="100" t="str">
        <f t="shared" si="0"/>
        <v>4110101</v>
      </c>
      <c r="C11" s="2" t="s">
        <v>249</v>
      </c>
      <c r="D11" s="99">
        <v>125</v>
      </c>
      <c r="E11" s="99">
        <v>3</v>
      </c>
      <c r="F11" s="98">
        <v>1</v>
      </c>
      <c r="G11" s="78" t="s">
        <v>254</v>
      </c>
      <c r="H11" s="78" t="s">
        <v>254</v>
      </c>
      <c r="I11" s="78" t="s">
        <v>254</v>
      </c>
      <c r="J11" s="78" t="s">
        <v>254</v>
      </c>
      <c r="K11" s="78" t="s">
        <v>254</v>
      </c>
      <c r="L11" s="78" t="s">
        <v>254</v>
      </c>
      <c r="M11" s="78" t="s">
        <v>254</v>
      </c>
      <c r="N11" s="78" t="s">
        <v>243</v>
      </c>
      <c r="O11" s="98" t="s">
        <v>273</v>
      </c>
      <c r="P11" s="78" t="s">
        <v>274</v>
      </c>
      <c r="Q11" s="79" t="s">
        <v>272</v>
      </c>
    </row>
    <row r="12" spans="1:18" ht="21" customHeight="1" x14ac:dyDescent="0.15">
      <c r="A12" s="94"/>
      <c r="B12" s="94"/>
    </row>
    <row r="13" spans="1:18" ht="21" customHeight="1" x14ac:dyDescent="0.15">
      <c r="A13" s="94"/>
      <c r="B13" s="94"/>
    </row>
    <row r="14" spans="1:18" ht="21" customHeight="1" x14ac:dyDescent="0.15">
      <c r="A14" s="94"/>
      <c r="B14" s="94"/>
    </row>
    <row r="15" spans="1:18" ht="21" customHeight="1" x14ac:dyDescent="0.15">
      <c r="A15" s="94"/>
      <c r="B15" s="94"/>
    </row>
    <row r="16" spans="1:18" ht="21" customHeight="1" x14ac:dyDescent="0.15">
      <c r="A16" s="94"/>
      <c r="B16" s="94"/>
    </row>
    <row r="17" spans="1:2" ht="21" customHeight="1" x14ac:dyDescent="0.15">
      <c r="A17" s="94"/>
      <c r="B17" s="94"/>
    </row>
    <row r="18" spans="1:2" ht="21" customHeight="1" x14ac:dyDescent="0.15">
      <c r="A18" s="95"/>
      <c r="B18" s="95"/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input_408010</vt:lpstr>
      <vt:lpstr>tables_408010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2016-09-22T22:41:01Z</dcterms:modified>
</cp:coreProperties>
</file>