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9" r:id="rId1"/>
    <sheet name="floors" sheetId="2" r:id="rId2"/>
    <sheet name="enemy_habitats" sheetId="1" r:id="rId3"/>
    <sheet name="enemy_habitat_S" sheetId="7" r:id="rId4"/>
    <sheet name="floors_multi_3_1.tmp" sheetId="5" r:id="rId5"/>
    <sheet name="enemy_habitats_multi_3_1.tmp" sheetId="6" r:id="rId6"/>
    <sheet name="enemy_habitat_S_multi_3_1.tmp" sheetId="8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3" hidden="1">enemy_habitat_S!$B$1:$Y$1</definedName>
    <definedName name="_xlnm._FilterDatabase" localSheetId="2" hidden="1">enemy_habitats!$B$1:$AH$1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2" i="9"/>
  <c r="E8" i="9"/>
  <c r="E7" i="9"/>
  <c r="E6" i="9"/>
  <c r="E5" i="9"/>
  <c r="E4" i="9"/>
  <c r="E3" i="9"/>
  <c r="E2" i="9"/>
  <c r="C1" i="8"/>
  <c r="A1" i="8"/>
  <c r="B1" i="8"/>
  <c r="A5" i="8"/>
  <c r="M5" i="8"/>
  <c r="L5" i="8"/>
  <c r="K5" i="8"/>
  <c r="J5" i="8"/>
  <c r="Y4" i="7"/>
  <c r="I5" i="8"/>
  <c r="H5" i="8"/>
  <c r="G5" i="8"/>
  <c r="F5" i="8"/>
  <c r="E5" i="8"/>
  <c r="D5" i="8"/>
  <c r="C5" i="8"/>
  <c r="B5" i="8"/>
  <c r="A4" i="8"/>
  <c r="M4" i="8"/>
  <c r="L4" i="8"/>
  <c r="K4" i="8"/>
  <c r="J4" i="8"/>
  <c r="Y3" i="7"/>
  <c r="I4" i="8"/>
  <c r="H4" i="8"/>
  <c r="G4" i="8"/>
  <c r="F4" i="8"/>
  <c r="E4" i="8"/>
  <c r="D4" i="8"/>
  <c r="C4" i="8"/>
  <c r="B4" i="8"/>
  <c r="Y2" i="7"/>
  <c r="N3" i="7"/>
  <c r="O3" i="7"/>
  <c r="P3" i="7"/>
  <c r="Q3" i="7"/>
  <c r="R3" i="7"/>
  <c r="N4" i="7"/>
  <c r="O4" i="7"/>
  <c r="P4" i="7"/>
  <c r="Q4" i="7"/>
  <c r="R4" i="7"/>
  <c r="R2" i="7"/>
  <c r="Q2" i="7"/>
  <c r="P2" i="7"/>
  <c r="O2" i="7"/>
  <c r="N2" i="7"/>
  <c r="AC3" i="1"/>
  <c r="AD3" i="1"/>
  <c r="AE3" i="1"/>
  <c r="AC4" i="1"/>
  <c r="AD4" i="1"/>
  <c r="AE4" i="1"/>
  <c r="AC5" i="1"/>
  <c r="AD5" i="1"/>
  <c r="AE5" i="1"/>
  <c r="AC6" i="1"/>
  <c r="AD6" i="1"/>
  <c r="AE6" i="1"/>
  <c r="AC7" i="1"/>
  <c r="AD7" i="1"/>
  <c r="AE7" i="1"/>
  <c r="AC8" i="1"/>
  <c r="AD8" i="1"/>
  <c r="AE8" i="1"/>
  <c r="AC9" i="1"/>
  <c r="AD9" i="1"/>
  <c r="AE9" i="1"/>
  <c r="AC10" i="1"/>
  <c r="AD10" i="1"/>
  <c r="AE10" i="1"/>
  <c r="AC11" i="1"/>
  <c r="AD11" i="1"/>
  <c r="AE11" i="1"/>
  <c r="AC12" i="1"/>
  <c r="AD12" i="1"/>
  <c r="AE12" i="1"/>
  <c r="AC13" i="1"/>
  <c r="AD13" i="1"/>
  <c r="AE13" i="1"/>
  <c r="AC14" i="1"/>
  <c r="AD14" i="1"/>
  <c r="AE14" i="1"/>
  <c r="AC15" i="1"/>
  <c r="AD15" i="1"/>
  <c r="AE15" i="1"/>
  <c r="AC16" i="1"/>
  <c r="AD16" i="1"/>
  <c r="AE16" i="1"/>
  <c r="AC17" i="1"/>
  <c r="AD17" i="1"/>
  <c r="AE17" i="1"/>
  <c r="AE2" i="1"/>
  <c r="AD2" i="1"/>
  <c r="AC2" i="1"/>
  <c r="AA17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2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M14" i="1"/>
  <c r="N14" i="1"/>
  <c r="O14" i="1"/>
  <c r="P14" i="1"/>
  <c r="Q14" i="1"/>
  <c r="M15" i="1"/>
  <c r="N15" i="1"/>
  <c r="O15" i="1"/>
  <c r="P15" i="1"/>
  <c r="Q15" i="1"/>
  <c r="M16" i="1"/>
  <c r="N16" i="1"/>
  <c r="O16" i="1"/>
  <c r="P16" i="1"/>
  <c r="Q16" i="1"/>
  <c r="M17" i="1"/>
  <c r="N17" i="1"/>
  <c r="O17" i="1"/>
  <c r="P17" i="1"/>
  <c r="Q17" i="1"/>
  <c r="Q2" i="1"/>
  <c r="P2" i="1"/>
  <c r="O2" i="1"/>
  <c r="N2" i="1"/>
  <c r="M2" i="1"/>
  <c r="AB16" i="1"/>
  <c r="AB13" i="1"/>
  <c r="AB12" i="1"/>
  <c r="AB11" i="1"/>
  <c r="AB10" i="1"/>
  <c r="AB15" i="1"/>
  <c r="AB14" i="1"/>
  <c r="C1" i="6"/>
  <c r="A1" i="6"/>
  <c r="A17" i="1"/>
  <c r="A18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B1" i="6"/>
  <c r="X18" i="6"/>
  <c r="W18" i="6"/>
  <c r="V18" i="6"/>
  <c r="U18" i="6"/>
  <c r="T18" i="6"/>
  <c r="S18" i="6"/>
  <c r="R18" i="6"/>
  <c r="AG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X17" i="6"/>
  <c r="W17" i="6"/>
  <c r="V17" i="6"/>
  <c r="U17" i="6"/>
  <c r="T17" i="6"/>
  <c r="S17" i="6"/>
  <c r="R17" i="6"/>
  <c r="AG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X16" i="6"/>
  <c r="W16" i="6"/>
  <c r="V16" i="6"/>
  <c r="U16" i="6"/>
  <c r="T16" i="6"/>
  <c r="S16" i="6"/>
  <c r="R16" i="6"/>
  <c r="AG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X15" i="6"/>
  <c r="W15" i="6"/>
  <c r="V15" i="6"/>
  <c r="U15" i="6"/>
  <c r="T15" i="6"/>
  <c r="S15" i="6"/>
  <c r="R15" i="6"/>
  <c r="AG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X14" i="6"/>
  <c r="W14" i="6"/>
  <c r="V14" i="6"/>
  <c r="U14" i="6"/>
  <c r="T14" i="6"/>
  <c r="S14" i="6"/>
  <c r="R14" i="6"/>
  <c r="AG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X13" i="6"/>
  <c r="W13" i="6"/>
  <c r="V13" i="6"/>
  <c r="U13" i="6"/>
  <c r="T13" i="6"/>
  <c r="S13" i="6"/>
  <c r="R13" i="6"/>
  <c r="AG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X12" i="6"/>
  <c r="W12" i="6"/>
  <c r="V12" i="6"/>
  <c r="U12" i="6"/>
  <c r="T12" i="6"/>
  <c r="S12" i="6"/>
  <c r="R12" i="6"/>
  <c r="AG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X11" i="6"/>
  <c r="W11" i="6"/>
  <c r="V11" i="6"/>
  <c r="U11" i="6"/>
  <c r="T11" i="6"/>
  <c r="S11" i="6"/>
  <c r="R11" i="6"/>
  <c r="AG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X10" i="6"/>
  <c r="W10" i="6"/>
  <c r="V10" i="6"/>
  <c r="U10" i="6"/>
  <c r="T10" i="6"/>
  <c r="S10" i="6"/>
  <c r="R10" i="6"/>
  <c r="AG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X9" i="6"/>
  <c r="W9" i="6"/>
  <c r="V9" i="6"/>
  <c r="U9" i="6"/>
  <c r="T9" i="6"/>
  <c r="S9" i="6"/>
  <c r="R9" i="6"/>
  <c r="AG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X8" i="6"/>
  <c r="W8" i="6"/>
  <c r="V8" i="6"/>
  <c r="U8" i="6"/>
  <c r="T8" i="6"/>
  <c r="S8" i="6"/>
  <c r="R8" i="6"/>
  <c r="AG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X7" i="6"/>
  <c r="W7" i="6"/>
  <c r="V7" i="6"/>
  <c r="U7" i="6"/>
  <c r="T7" i="6"/>
  <c r="S7" i="6"/>
  <c r="R7" i="6"/>
  <c r="AG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X6" i="6"/>
  <c r="W6" i="6"/>
  <c r="V6" i="6"/>
  <c r="U6" i="6"/>
  <c r="T6" i="6"/>
  <c r="S6" i="6"/>
  <c r="R6" i="6"/>
  <c r="AG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X5" i="6"/>
  <c r="W5" i="6"/>
  <c r="V5" i="6"/>
  <c r="U5" i="6"/>
  <c r="T5" i="6"/>
  <c r="S5" i="6"/>
  <c r="R5" i="6"/>
  <c r="AG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X4" i="6"/>
  <c r="W4" i="6"/>
  <c r="V4" i="6"/>
  <c r="U4" i="6"/>
  <c r="T4" i="6"/>
  <c r="S4" i="6"/>
  <c r="R4" i="6"/>
  <c r="AG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E2" i="7"/>
  <c r="D2" i="7"/>
  <c r="F2" i="7"/>
  <c r="E3" i="7"/>
  <c r="D3" i="7"/>
  <c r="F3" i="7"/>
  <c r="E4" i="7"/>
  <c r="D4" i="7"/>
  <c r="F4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3" i="7"/>
  <c r="H4" i="7"/>
  <c r="J4" i="7"/>
  <c r="I3" i="7"/>
  <c r="I4" i="7"/>
  <c r="C1" i="5"/>
  <c r="A1" i="5"/>
  <c r="A10" i="5"/>
  <c r="B1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D10" i="1"/>
  <c r="D11" i="1"/>
  <c r="D12" i="1"/>
  <c r="D13" i="1"/>
  <c r="D14" i="1"/>
  <c r="D15" i="1"/>
  <c r="D16" i="1"/>
  <c r="D17" i="1"/>
  <c r="F10" i="1"/>
  <c r="F11" i="1"/>
  <c r="F12" i="1"/>
  <c r="F13" i="1"/>
  <c r="F14" i="1"/>
  <c r="F15" i="1"/>
  <c r="F16" i="1"/>
  <c r="F17" i="1"/>
  <c r="AG2" i="1"/>
  <c r="E16" i="1"/>
  <c r="J16" i="1"/>
  <c r="I16" i="1"/>
  <c r="W2" i="7"/>
  <c r="W3" i="7"/>
  <c r="W4" i="7"/>
  <c r="H2" i="7"/>
  <c r="I2" i="7"/>
  <c r="J2" i="7"/>
  <c r="A4" i="7"/>
  <c r="A3" i="7"/>
  <c r="A2" i="7"/>
  <c r="E2" i="1"/>
  <c r="D2" i="1"/>
  <c r="F2" i="1"/>
  <c r="E3" i="1"/>
  <c r="D3" i="1"/>
  <c r="F3" i="1"/>
  <c r="E4" i="1"/>
  <c r="D4" i="1"/>
  <c r="F4" i="1"/>
  <c r="E5" i="1"/>
  <c r="D5" i="1"/>
  <c r="F5" i="1"/>
  <c r="E6" i="1"/>
  <c r="D6" i="1"/>
  <c r="F6" i="1"/>
  <c r="E7" i="1"/>
  <c r="D7" i="1"/>
  <c r="F7" i="1"/>
  <c r="E8" i="1"/>
  <c r="D8" i="1"/>
  <c r="F8" i="1"/>
  <c r="E9" i="1"/>
  <c r="D9" i="1"/>
  <c r="F9" i="1"/>
  <c r="E10" i="1"/>
  <c r="E11" i="1"/>
  <c r="E12" i="1"/>
  <c r="E13" i="1"/>
  <c r="E14" i="1"/>
  <c r="E15" i="1"/>
  <c r="E17" i="1"/>
  <c r="I2" i="1"/>
  <c r="J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7" i="1"/>
  <c r="J17" i="1"/>
  <c r="H2" i="2"/>
  <c r="H3" i="2"/>
  <c r="H4" i="2"/>
  <c r="H5" i="2"/>
  <c r="H6" i="2"/>
  <c r="H7" i="2"/>
  <c r="H8" i="2"/>
  <c r="H9" i="2"/>
  <c r="D2" i="2"/>
  <c r="E2" i="2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B2" i="2"/>
  <c r="B3" i="2"/>
  <c r="B4" i="2"/>
  <c r="B5" i="2"/>
  <c r="B6" i="2"/>
  <c r="B7" i="2"/>
  <c r="B8" i="2"/>
  <c r="B9" i="2"/>
  <c r="A3" i="8"/>
  <c r="M3" i="8"/>
  <c r="L3" i="8"/>
  <c r="K3" i="8"/>
  <c r="J3" i="8"/>
  <c r="I3" i="8"/>
  <c r="H3" i="8"/>
  <c r="G3" i="8"/>
  <c r="F3" i="8"/>
  <c r="E3" i="8"/>
  <c r="D3" i="8"/>
  <c r="C3" i="8"/>
  <c r="B3" i="8"/>
  <c r="A3" i="6"/>
  <c r="X3" i="6"/>
  <c r="I3" i="6"/>
  <c r="H3" i="6"/>
  <c r="G3" i="6"/>
  <c r="W3" i="6"/>
  <c r="V3" i="6"/>
  <c r="U3" i="6"/>
  <c r="T3" i="6"/>
  <c r="S3" i="6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sharedStrings.xml><?xml version="1.0" encoding="utf-8"?>
<sst xmlns="http://schemas.openxmlformats.org/spreadsheetml/2006/main" count="227" uniqueCount="113">
  <si>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</si>
  <si>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</si>
  <si>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</si>
  <si>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</si>
  <si>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</si>
  <si>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</si>
  <si>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</si>
  <si>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</si>
  <si>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</si>
  <si>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</si>
  <si>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</si>
  <si>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</si>
  <si>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</si>
  <si>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</si>
  <si>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</si>
  <si>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</si>
  <si>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</si>
  <si>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</si>
  <si>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</si>
  <si>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</si>
  <si>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</si>
  <si>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</si>
  <si>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</si>
  <si>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</si>
  <si>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</si>
  <si>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</si>
  <si>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</si>
  <si>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</si>
  <si>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</si>
  <si>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</si>
  <si>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</si>
  <si>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</si>
  <si>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</si>
  <si>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</si>
  <si>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</si>
  <si>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</si>
  <si>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</si>
  <si>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</si>
  <si>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</si>
  <si>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</si>
  <si>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</si>
  <si>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</si>
  <si>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</si>
  <si>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</si>
  <si>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</si>
  <si>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</si>
  <si>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</si>
  <si>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</si>
  <si>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</si>
  <si>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</si>
  <si>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</si>
  <si>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</si>
  <si>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</si>
  <si>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</si>
  <si>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</si>
  <si>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seq_no</t>
    <phoneticPr fontId="3"/>
  </si>
  <si>
    <t>seq_no</t>
    <phoneticPr fontId="3"/>
  </si>
  <si>
    <t>state_no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</si>
  <si>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</si>
  <si>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</si>
  <si>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</si>
  <si>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</si>
  <si>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</si>
  <si>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</si>
  <si>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hp_coefficient</t>
    <phoneticPr fontId="3"/>
  </si>
  <si>
    <t>attack_coefficient</t>
    <phoneticPr fontId="3"/>
  </si>
  <si>
    <t>defense_correction</t>
    <phoneticPr fontId="3"/>
  </si>
  <si>
    <t>null</t>
    <phoneticPr fontId="3"/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</si>
  <si>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</si>
  <si>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</si>
  <si>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</si>
  <si>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</si>
  <si>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</si>
  <si>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</si>
  <si>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</si>
  <si>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old</t>
    <phoneticPr fontId="3"/>
  </si>
  <si>
    <t>old</t>
    <phoneticPr fontId="3"/>
  </si>
  <si>
    <t>floors_</t>
    <phoneticPr fontId="3"/>
  </si>
  <si>
    <t>.tmp</t>
    <phoneticPr fontId="3"/>
  </si>
  <si>
    <t>floors</t>
    <phoneticPr fontId="3"/>
  </si>
  <si>
    <t>old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</si>
  <si>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</si>
  <si>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</si>
  <si>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</si>
  <si>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</si>
  <si>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</si>
  <si>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</si>
  <si>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skill_id</t>
  </si>
  <si>
    <t>skill_trigger_id</t>
  </si>
  <si>
    <t>enemy_skills_tmp_</t>
    <phoneticPr fontId="3"/>
  </si>
  <si>
    <t>.tmp</t>
    <phoneticPr fontId="3"/>
  </si>
  <si>
    <t>enemy_skills</t>
    <phoneticPr fontId="3"/>
  </si>
  <si>
    <t>enemy_skills</t>
    <phoneticPr fontId="3"/>
  </si>
  <si>
    <t>enemy_skill_id</t>
  </si>
  <si>
    <t>effect_param</t>
    <phoneticPr fontId="3"/>
  </si>
  <si>
    <t>valid_flg</t>
  </si>
  <si>
    <t>enemy_skills_i18n_</t>
    <phoneticPr fontId="3"/>
  </si>
  <si>
    <t>.tmp</t>
    <phoneticPr fontId="3"/>
  </si>
  <si>
    <t>language</t>
  </si>
  <si>
    <t>name</t>
  </si>
  <si>
    <t>comment</t>
  </si>
  <si>
    <t>enemy_skill_triggers_</t>
    <phoneticPr fontId="3"/>
  </si>
  <si>
    <t>enemy_skill_triggers</t>
    <phoneticPr fontId="3"/>
  </si>
  <si>
    <t>first_time</t>
  </si>
  <si>
    <t>invoke_rate</t>
  </si>
  <si>
    <t>hp_threshold</t>
  </si>
  <si>
    <t>hp_termination</t>
    <phoneticPr fontId="3"/>
  </si>
  <si>
    <t>invoke_times</t>
  </si>
  <si>
    <t>invoke_weight</t>
    <phoneticPr fontId="3"/>
  </si>
  <si>
    <t>every_time_count</t>
    <phoneticPr fontId="3"/>
  </si>
  <si>
    <t>neighbor_dead_id</t>
    <phoneticPr fontId="3"/>
  </si>
  <si>
    <t>priority</t>
    <phoneticPr fontId="3"/>
  </si>
  <si>
    <t>skip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</si>
</sst>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2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7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>
      <alignment vertical="center"/>
    </xf>
    <xf numFmtId="0" fontId="16" fillId="0" borderId="0"/>
    <xf numFmtId="38" fontId="17" fillId="0" borderId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7" borderId="0" applyNumberFormat="0" applyBorder="0" applyAlignment="0" applyProtection="0"/>
  </cellStyleXfs>
  <cellXfs count="6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2" xfId="0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4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6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177" fontId="2" fillId="0" borderId="2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178" fontId="6" fillId="0" borderId="3" xfId="0" applyNumberFormat="1" applyFont="1" applyBorder="1" applyAlignment="1">
      <alignment vertical="center"/>
    </xf>
    <xf numFmtId="0" fontId="2" fillId="2" borderId="4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4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2" fillId="9" borderId="4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8" borderId="4" xfId="0" applyFont="1" applyFill="1" applyBorder="1" applyAlignment="1">
      <alignment horizontal="left" vertical="center"/>
    </xf>
    <xf numFmtId="0" fontId="10" fillId="8" borderId="4" xfId="0" applyFont="1" applyFill="1" applyBorder="1" applyAlignment="1">
      <alignment vertical="center"/>
    </xf>
    <xf numFmtId="177" fontId="2" fillId="0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9" fillId="11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6" fillId="10" borderId="4" xfId="0" applyFont="1" applyFill="1" applyBorder="1" applyAlignment="1">
      <alignment vertical="center"/>
    </xf>
    <xf numFmtId="178" fontId="6" fillId="10" borderId="4" xfId="0" applyNumberFormat="1" applyFont="1" applyFill="1" applyBorder="1" applyAlignment="1">
      <alignment vertical="center"/>
    </xf>
    <xf numFmtId="0" fontId="4" fillId="12" borderId="4" xfId="0" applyFont="1" applyFill="1" applyBorder="1" applyAlignment="1">
      <alignment vertical="center"/>
    </xf>
    <xf numFmtId="0" fontId="11" fillId="13" borderId="4" xfId="670" applyFont="1" applyFill="1" applyBorder="1" applyAlignment="1"/>
    <xf numFmtId="0" fontId="11" fillId="13" borderId="4" xfId="0" applyFont="1" applyFill="1" applyBorder="1"/>
    <xf numFmtId="0" fontId="0" fillId="13" borderId="4" xfId="0" applyFill="1" applyBorder="1"/>
    <xf numFmtId="0" fontId="14" fillId="0" borderId="4" xfId="670" applyBorder="1" applyAlignment="1"/>
    <xf numFmtId="0" fontId="0" fillId="0" borderId="4" xfId="0" applyBorder="1"/>
    <xf numFmtId="0" fontId="0" fillId="7" borderId="4" xfId="0" applyFill="1" applyBorder="1"/>
    <xf numFmtId="0" fontId="15" fillId="14" borderId="4" xfId="0" applyFont="1" applyFill="1" applyBorder="1"/>
  </cellXfs>
  <cellStyles count="678">
    <cellStyle name="Excel Built-in Normal" xfId="671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桁区切り 2" xfId="672"/>
    <cellStyle name="標準" xfId="0" builtinId="0"/>
    <cellStyle name="標準 2" xfId="675"/>
    <cellStyle name="標準 2 2" xfId="676"/>
    <cellStyle name="標準 3" xfId="670"/>
    <cellStyle name="標準 4" xfId="11"/>
    <cellStyle name="無題1" xfId="67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赤字強調" xfId="674"/>
    <cellStyle name="青字強調" xfId="6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E29" sqref="E29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55" t="s">
        <v>68</v>
      </c>
      <c r="B1" s="56" t="s">
        <v>69</v>
      </c>
      <c r="C1" s="56" t="s">
        <v>70</v>
      </c>
      <c r="D1" s="56" t="s">
        <v>71</v>
      </c>
      <c r="E1" s="56" t="s">
        <v>72</v>
      </c>
      <c r="F1" s="56" t="s">
        <v>73</v>
      </c>
      <c r="G1" s="56" t="s">
        <v>74</v>
      </c>
      <c r="H1" s="56"/>
      <c r="I1" s="56"/>
      <c r="J1" s="56"/>
      <c r="K1" s="56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x14ac:dyDescent="0.15">
      <c r="A2" s="58" t="s">
        <v>76</v>
      </c>
      <c r="B2" s="59" t="s">
        <v>77</v>
      </c>
      <c r="C2" s="59">
        <f>floors!C$2</f>
        <v>30009</v>
      </c>
      <c r="D2" s="59" t="s">
        <v>78</v>
      </c>
      <c r="E2" s="57" t="str">
        <f>B2&amp;C2&amp;D2</f>
        <v>floors_30009.tmp</v>
      </c>
      <c r="F2" s="59" t="s">
        <v>79</v>
      </c>
      <c r="G2" s="60" t="s">
        <v>0</v>
      </c>
      <c r="H2" s="60" t="s">
        <v>1</v>
      </c>
      <c r="I2" s="60" t="s">
        <v>13</v>
      </c>
      <c r="J2" s="60" t="s">
        <v>14</v>
      </c>
      <c r="K2" s="60" t="s">
        <v>15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</row>
    <row r="3" spans="1:29" x14ac:dyDescent="0.15">
      <c r="A3" s="58" t="s">
        <v>80</v>
      </c>
      <c r="B3" s="59" t="s">
        <v>81</v>
      </c>
      <c r="C3" s="59">
        <f>floors!C$2</f>
        <v>30009</v>
      </c>
      <c r="D3" s="59" t="s">
        <v>78</v>
      </c>
      <c r="E3" s="57" t="str">
        <f>B3&amp;C3&amp;D3</f>
        <v>enemy_habitats_30009.tmp</v>
      </c>
      <c r="F3" s="59" t="s">
        <v>82</v>
      </c>
      <c r="G3" s="60" t="s">
        <v>0</v>
      </c>
      <c r="H3" s="60" t="s">
        <v>1</v>
      </c>
      <c r="I3" s="60" t="s">
        <v>13</v>
      </c>
      <c r="J3" s="60" t="s">
        <v>2</v>
      </c>
      <c r="K3" s="60" t="s">
        <v>3</v>
      </c>
      <c r="L3" s="60" t="s">
        <v>49</v>
      </c>
      <c r="M3" s="60" t="s">
        <v>51</v>
      </c>
      <c r="N3" s="60" t="s">
        <v>53</v>
      </c>
      <c r="O3" s="60" t="s">
        <v>22</v>
      </c>
      <c r="P3" s="60" t="s">
        <v>5</v>
      </c>
      <c r="Q3" s="60" t="s">
        <v>6</v>
      </c>
      <c r="R3" s="60" t="s">
        <v>7</v>
      </c>
      <c r="S3" s="60" t="s">
        <v>8</v>
      </c>
      <c r="T3" s="60" t="s">
        <v>9</v>
      </c>
      <c r="U3" s="60" t="s">
        <v>10</v>
      </c>
      <c r="V3" s="60" t="s">
        <v>11</v>
      </c>
      <c r="W3" s="60" t="s">
        <v>12</v>
      </c>
      <c r="X3" s="60" t="s">
        <v>39</v>
      </c>
      <c r="Y3" s="60" t="s">
        <v>41</v>
      </c>
      <c r="Z3" s="60" t="s">
        <v>43</v>
      </c>
      <c r="AA3" s="60" t="s">
        <v>45</v>
      </c>
      <c r="AB3" s="60" t="s">
        <v>47</v>
      </c>
      <c r="AC3" s="60" t="s">
        <v>55</v>
      </c>
    </row>
    <row r="4" spans="1:29" x14ac:dyDescent="0.15">
      <c r="A4" s="58" t="s">
        <v>75</v>
      </c>
      <c r="B4" s="59" t="s">
        <v>83</v>
      </c>
      <c r="C4" s="59">
        <f>floors!C$2</f>
        <v>30009</v>
      </c>
      <c r="D4" s="59" t="s">
        <v>78</v>
      </c>
      <c r="E4" s="57" t="str">
        <f>B4&amp;C4&amp;D4</f>
        <v>enemy_habitat_S_30009.tmp</v>
      </c>
      <c r="F4" s="59" t="s">
        <v>84</v>
      </c>
      <c r="G4" s="60" t="s">
        <v>0</v>
      </c>
      <c r="H4" s="60" t="s">
        <v>1</v>
      </c>
      <c r="I4" s="60" t="s">
        <v>13</v>
      </c>
      <c r="J4" s="60" t="s">
        <v>55</v>
      </c>
      <c r="K4" s="60" t="s">
        <v>57</v>
      </c>
      <c r="L4" s="60" t="s">
        <v>60</v>
      </c>
      <c r="M4" s="60" t="s">
        <v>61</v>
      </c>
      <c r="N4" s="60" t="s">
        <v>62</v>
      </c>
      <c r="O4" s="60" t="s">
        <v>4</v>
      </c>
      <c r="P4" s="60" t="s">
        <v>50</v>
      </c>
      <c r="Q4" s="60" t="s">
        <v>52</v>
      </c>
      <c r="R4" s="60" t="s">
        <v>54</v>
      </c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</row>
    <row r="5" spans="1:29" x14ac:dyDescent="0.15">
      <c r="A5" s="58" t="s">
        <v>112</v>
      </c>
      <c r="B5" s="59" t="s">
        <v>85</v>
      </c>
      <c r="C5" s="59">
        <f>floors!C$2</f>
        <v>30009</v>
      </c>
      <c r="D5" s="59" t="s">
        <v>78</v>
      </c>
      <c r="E5" s="57" t="str">
        <f>B5&amp;C5&amp;D5</f>
        <v>enemy_skill_sets_30009.tmp</v>
      </c>
      <c r="F5" s="59" t="s">
        <v>86</v>
      </c>
      <c r="G5" s="61" t="s">
        <v>22</v>
      </c>
      <c r="H5" s="61" t="s">
        <v>87</v>
      </c>
      <c r="I5" s="61" t="s">
        <v>88</v>
      </c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</row>
    <row r="6" spans="1:29" x14ac:dyDescent="0.15">
      <c r="A6" s="58" t="s">
        <v>112</v>
      </c>
      <c r="B6" s="59" t="s">
        <v>89</v>
      </c>
      <c r="C6" s="59">
        <f>floors!C$2</f>
        <v>30009</v>
      </c>
      <c r="D6" s="59" t="s">
        <v>90</v>
      </c>
      <c r="E6" s="57" t="str">
        <f t="shared" ref="E6:E8" si="0">B6&amp;C6&amp;D6</f>
        <v>enemy_skills_tmp_30009.tmp</v>
      </c>
      <c r="F6" s="59" t="s">
        <v>92</v>
      </c>
      <c r="G6" s="60" t="s">
        <v>93</v>
      </c>
      <c r="H6" s="60" t="s">
        <v>94</v>
      </c>
      <c r="I6" s="60" t="s">
        <v>95</v>
      </c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</row>
    <row r="7" spans="1:29" x14ac:dyDescent="0.15">
      <c r="A7" s="58" t="s">
        <v>112</v>
      </c>
      <c r="B7" s="59" t="s">
        <v>96</v>
      </c>
      <c r="C7" s="59">
        <f>floors!C$2</f>
        <v>30009</v>
      </c>
      <c r="D7" s="59" t="s">
        <v>97</v>
      </c>
      <c r="E7" s="57" t="str">
        <f>B7&amp;C7&amp;D7</f>
        <v>enemy_skills_i18n_30009.tmp</v>
      </c>
      <c r="F7" s="59" t="s">
        <v>91</v>
      </c>
      <c r="G7" s="60" t="s">
        <v>93</v>
      </c>
      <c r="H7" s="60" t="s">
        <v>98</v>
      </c>
      <c r="I7" s="60" t="s">
        <v>99</v>
      </c>
      <c r="J7" s="60" t="s">
        <v>100</v>
      </c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</row>
    <row r="8" spans="1:29" x14ac:dyDescent="0.15">
      <c r="A8" s="58" t="s">
        <v>112</v>
      </c>
      <c r="B8" s="59" t="s">
        <v>101</v>
      </c>
      <c r="C8" s="59">
        <f>floors!C$2</f>
        <v>30009</v>
      </c>
      <c r="D8" s="59" t="s">
        <v>78</v>
      </c>
      <c r="E8" s="57" t="str">
        <f t="shared" si="0"/>
        <v>enemy_skill_triggers_30009.tmp</v>
      </c>
      <c r="F8" s="59" t="s">
        <v>102</v>
      </c>
      <c r="G8" s="60" t="s">
        <v>88</v>
      </c>
      <c r="H8" s="60" t="s">
        <v>103</v>
      </c>
      <c r="I8" s="60" t="s">
        <v>104</v>
      </c>
      <c r="J8" s="60" t="s">
        <v>105</v>
      </c>
      <c r="K8" s="60" t="s">
        <v>106</v>
      </c>
      <c r="L8" s="60" t="s">
        <v>107</v>
      </c>
      <c r="M8" s="60" t="s">
        <v>108</v>
      </c>
      <c r="N8" s="60" t="s">
        <v>109</v>
      </c>
      <c r="O8" s="60" t="s">
        <v>110</v>
      </c>
      <c r="P8" s="60" t="s">
        <v>111</v>
      </c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13" sqref="L13"/>
    </sheetView>
  </sheetViews>
  <sheetFormatPr baseColWidth="12" defaultColWidth="13" defaultRowHeight="21" customHeight="1" outlineLevelCol="1" x14ac:dyDescent="0.15"/>
  <cols>
    <col min="1" max="1" width="8.83203125" style="22" bestFit="1" customWidth="1"/>
    <col min="2" max="2" width="5" style="22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2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31</v>
      </c>
      <c r="B1" s="16" t="s">
        <v>38</v>
      </c>
      <c r="C1" s="1" t="s">
        <v>0</v>
      </c>
      <c r="D1" s="2" t="s">
        <v>18</v>
      </c>
      <c r="E1" s="15" t="s">
        <v>35</v>
      </c>
      <c r="F1" s="1" t="s">
        <v>1</v>
      </c>
      <c r="G1" s="24" t="s">
        <v>34</v>
      </c>
      <c r="H1" s="15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30009_1-1</v>
      </c>
      <c r="B2" s="16" t="str">
        <f>IF(COUNTIF(enemy_habitats!$H:$H,A2),"OK","NG")</f>
        <v>OK</v>
      </c>
      <c r="C2" s="39">
        <v>30009</v>
      </c>
      <c r="D2" s="8" t="str">
        <f ca="1">VLOOKUP($C2,OFFSET([1]quests!$A$1,0,0,COUNTA([1]quests!$A:$A),MATCH(D$1,[1]quests!$1:$1,0)-MATCH($C$1,[1]quests!$1:$1,0)+1),MATCH(D$1,[1]quests!$1:$1,0)-MATCH($C$1,[1]quests!$1:$1,0)+1,FALSE)</f>
        <v>復活の捕食者</v>
      </c>
      <c r="E2" s="21" t="str">
        <f ca="1">VLOOKUP($C2,OFFSET([1]quests!$A$1,0,0,COUNTA([1]quests!$A:$A),MATCH(E$1,[1]quests!$1:$1,0)-MATCH($C$1,[1]quests!$1:$1,0)+1),MATCH(E$1,[1]quests!$1:$1,0)-MATCH($C$1,[1]quests!$1:$1,0)+1,FALSE)</f>
        <v>ドロップイベント3（マルチ専用）</v>
      </c>
      <c r="F2" s="38">
        <v>1</v>
      </c>
      <c r="G2" s="24" t="str">
        <f t="shared" ref="G2:G9" si="1">C2&amp;"_"&amp;F2</f>
        <v>30009_1</v>
      </c>
      <c r="H2" s="15" t="str">
        <f ca="1">VLOOKUP($G2,OFFSET([1]stages!$A$1,0,0,COUNTA([1]stages!$A:$A),MATCH(H$1,[1]stages!$2:$2,0)-MATCH($G$1,[1]stages!$2:$2,0)+1),MATCH(H$1,[1]stages!$2:$2,0)-MATCH($G$1,[1]stages!$2:$2,0)+1,FALSE)</f>
        <v>【超級】復活の捕食者</v>
      </c>
      <c r="I2" s="38">
        <v>1</v>
      </c>
      <c r="J2" s="37">
        <v>15</v>
      </c>
      <c r="K2" s="37">
        <v>15</v>
      </c>
    </row>
    <row r="3" spans="1:11" ht="21" customHeight="1" x14ac:dyDescent="0.15">
      <c r="A3" s="16" t="str">
        <f t="shared" si="0"/>
        <v>30009_1-2</v>
      </c>
      <c r="B3" s="16" t="str">
        <f>IF(COUNTIF(enemy_habitats!$H:$H,A3),"OK","NG")</f>
        <v>OK</v>
      </c>
      <c r="C3" s="39">
        <v>30009</v>
      </c>
      <c r="D3" s="8" t="str">
        <f ca="1">VLOOKUP($C3,OFFSET([1]quests!$A$1,0,0,COUNTA([1]quests!$A:$A),MATCH(D$1,[1]quests!$1:$1,0)-MATCH($C$1,[1]quests!$1:$1,0)+1),MATCH(D$1,[1]quests!$1:$1,0)-MATCH($C$1,[1]quests!$1:$1,0)+1,FALSE)</f>
        <v>復活の捕食者</v>
      </c>
      <c r="E3" s="21" t="str">
        <f ca="1">VLOOKUP($C3,OFFSET([1]quests!$A$1,0,0,COUNTA([1]quests!$A:$A),MATCH(E$1,[1]quests!$1:$1,0)-MATCH($C$1,[1]quests!$1:$1,0)+1),MATCH(E$1,[1]quests!$1:$1,0)-MATCH($C$1,[1]quests!$1:$1,0)+1,FALSE)</f>
        <v>ドロップイベント3（マルチ専用）</v>
      </c>
      <c r="F3" s="38">
        <v>1</v>
      </c>
      <c r="G3" s="24" t="str">
        <f t="shared" si="1"/>
        <v>30009_1</v>
      </c>
      <c r="H3" s="15" t="str">
        <f ca="1">VLOOKUP($G3,OFFSET([1]stages!$A$1,0,0,COUNTA([1]stages!$A:$A),MATCH(H$1,[1]stages!$2:$2,0)-MATCH($G$1,[1]stages!$2:$2,0)+1),MATCH(H$1,[1]stages!$2:$2,0)-MATCH($G$1,[1]stages!$2:$2,0)+1,FALSE)</f>
        <v>【超級】復活の捕食者</v>
      </c>
      <c r="I3" s="38">
        <v>2</v>
      </c>
      <c r="J3" s="37">
        <v>30</v>
      </c>
      <c r="K3" s="37">
        <v>30</v>
      </c>
    </row>
    <row r="4" spans="1:11" ht="21" customHeight="1" x14ac:dyDescent="0.15">
      <c r="A4" s="16" t="str">
        <f t="shared" si="0"/>
        <v>30009_1-3</v>
      </c>
      <c r="B4" s="16" t="str">
        <f>IF(COUNTIF(enemy_habitats!$H:$H,A4),"OK","NG")</f>
        <v>OK</v>
      </c>
      <c r="C4" s="39">
        <v>30009</v>
      </c>
      <c r="D4" s="8" t="str">
        <f ca="1">VLOOKUP($C4,OFFSET([1]quests!$A$1,0,0,COUNTA([1]quests!$A:$A),MATCH(D$1,[1]quests!$1:$1,0)-MATCH($C$1,[1]quests!$1:$1,0)+1),MATCH(D$1,[1]quests!$1:$1,0)-MATCH($C$1,[1]quests!$1:$1,0)+1,FALSE)</f>
        <v>復活の捕食者</v>
      </c>
      <c r="E4" s="21" t="str">
        <f ca="1">VLOOKUP($C4,OFFSET([1]quests!$A$1,0,0,COUNTA([1]quests!$A:$A),MATCH(E$1,[1]quests!$1:$1,0)-MATCH($C$1,[1]quests!$1:$1,0)+1),MATCH(E$1,[1]quests!$1:$1,0)-MATCH($C$1,[1]quests!$1:$1,0)+1,FALSE)</f>
        <v>ドロップイベント3（マルチ専用）</v>
      </c>
      <c r="F4" s="38">
        <v>1</v>
      </c>
      <c r="G4" s="24" t="str">
        <f t="shared" si="1"/>
        <v>30009_1</v>
      </c>
      <c r="H4" s="15" t="str">
        <f ca="1">VLOOKUP($G4,OFFSET([1]stages!$A$1,0,0,COUNTA([1]stages!$A:$A),MATCH(H$1,[1]stages!$2:$2,0)-MATCH($G$1,[1]stages!$2:$2,0)+1),MATCH(H$1,[1]stages!$2:$2,0)-MATCH($G$1,[1]stages!$2:$2,0)+1,FALSE)</f>
        <v>【超級】復活の捕食者</v>
      </c>
      <c r="I4" s="38">
        <v>3</v>
      </c>
      <c r="J4" s="37">
        <v>45</v>
      </c>
      <c r="K4" s="37">
        <v>45</v>
      </c>
    </row>
    <row r="5" spans="1:11" ht="21" customHeight="1" x14ac:dyDescent="0.15">
      <c r="A5" s="16" t="str">
        <f t="shared" si="0"/>
        <v>30009_1-4</v>
      </c>
      <c r="B5" s="16" t="str">
        <f>IF(COUNTIF(enemy_habitats!$H:$H,A5),"OK","NG")</f>
        <v>OK</v>
      </c>
      <c r="C5" s="39">
        <v>30009</v>
      </c>
      <c r="D5" s="8" t="str">
        <f ca="1">VLOOKUP($C5,OFFSET([1]quests!$A$1,0,0,COUNTA([1]quests!$A:$A),MATCH(D$1,[1]quests!$1:$1,0)-MATCH($C$1,[1]quests!$1:$1,0)+1),MATCH(D$1,[1]quests!$1:$1,0)-MATCH($C$1,[1]quests!$1:$1,0)+1,FALSE)</f>
        <v>復活の捕食者</v>
      </c>
      <c r="E5" s="21" t="str">
        <f ca="1">VLOOKUP($C5,OFFSET([1]quests!$A$1,0,0,COUNTA([1]quests!$A:$A),MATCH(E$1,[1]quests!$1:$1,0)-MATCH($C$1,[1]quests!$1:$1,0)+1),MATCH(E$1,[1]quests!$1:$1,0)-MATCH($C$1,[1]quests!$1:$1,0)+1,FALSE)</f>
        <v>ドロップイベント3（マルチ専用）</v>
      </c>
      <c r="F5" s="38">
        <v>1</v>
      </c>
      <c r="G5" s="24" t="str">
        <f t="shared" si="1"/>
        <v>30009_1</v>
      </c>
      <c r="H5" s="15" t="str">
        <f ca="1">VLOOKUP($G5,OFFSET([1]stages!$A$1,0,0,COUNTA([1]stages!$A:$A),MATCH(H$1,[1]stages!$2:$2,0)-MATCH($G$1,[1]stages!$2:$2,0)+1),MATCH(H$1,[1]stages!$2:$2,0)-MATCH($G$1,[1]stages!$2:$2,0)+1,FALSE)</f>
        <v>【超級】復活の捕食者</v>
      </c>
      <c r="I5" s="38">
        <v>4</v>
      </c>
      <c r="J5" s="37">
        <v>60</v>
      </c>
      <c r="K5" s="37">
        <v>60</v>
      </c>
    </row>
    <row r="6" spans="1:11" ht="21" customHeight="1" x14ac:dyDescent="0.15">
      <c r="A6" s="16" t="str">
        <f t="shared" si="0"/>
        <v>30009_2-1</v>
      </c>
      <c r="B6" s="16" t="str">
        <f>IF(COUNTIF(enemy_habitats!$H:$H,A6),"OK","NG")</f>
        <v>OK</v>
      </c>
      <c r="C6" s="39">
        <v>30009</v>
      </c>
      <c r="D6" s="8" t="str">
        <f ca="1">VLOOKUP($C6,OFFSET([1]quests!$A$1,0,0,COUNTA([1]quests!$A:$A),MATCH(D$1,[1]quests!$1:$1,0)-MATCH($C$1,[1]quests!$1:$1,0)+1),MATCH(D$1,[1]quests!$1:$1,0)-MATCH($C$1,[1]quests!$1:$1,0)+1,FALSE)</f>
        <v>復活の捕食者</v>
      </c>
      <c r="E6" s="21" t="str">
        <f ca="1">VLOOKUP($C6,OFFSET([1]quests!$A$1,0,0,COUNTA([1]quests!$A:$A),MATCH(E$1,[1]quests!$1:$1,0)-MATCH($C$1,[1]quests!$1:$1,0)+1),MATCH(E$1,[1]quests!$1:$1,0)-MATCH($C$1,[1]quests!$1:$1,0)+1,FALSE)</f>
        <v>ドロップイベント3（マルチ専用）</v>
      </c>
      <c r="F6" s="38">
        <v>2</v>
      </c>
      <c r="G6" s="24" t="str">
        <f t="shared" si="1"/>
        <v>30009_2</v>
      </c>
      <c r="H6" s="15" t="str">
        <f ca="1">VLOOKUP($G6,OFFSET([1]stages!$A$1,0,0,COUNTA([1]stages!$A:$A),MATCH(H$1,[1]stages!$2:$2,0)-MATCH($G$1,[1]stages!$2:$2,0)+1),MATCH(H$1,[1]stages!$2:$2,0)-MATCH($G$1,[1]stages!$2:$2,0)+1,FALSE)</f>
        <v>【超絶級】復活の捕食者</v>
      </c>
      <c r="I6" s="38">
        <v>1</v>
      </c>
      <c r="J6" s="37">
        <v>15</v>
      </c>
      <c r="K6" s="37">
        <v>15</v>
      </c>
    </row>
    <row r="7" spans="1:11" ht="21" customHeight="1" x14ac:dyDescent="0.15">
      <c r="A7" s="16" t="str">
        <f t="shared" si="0"/>
        <v>30009_2-2</v>
      </c>
      <c r="B7" s="16" t="str">
        <f>IF(COUNTIF(enemy_habitats!$H:$H,A7),"OK","NG")</f>
        <v>OK</v>
      </c>
      <c r="C7" s="39">
        <v>30009</v>
      </c>
      <c r="D7" s="8" t="str">
        <f ca="1">VLOOKUP($C7,OFFSET([1]quests!$A$1,0,0,COUNTA([1]quests!$A:$A),MATCH(D$1,[1]quests!$1:$1,0)-MATCH($C$1,[1]quests!$1:$1,0)+1),MATCH(D$1,[1]quests!$1:$1,0)-MATCH($C$1,[1]quests!$1:$1,0)+1,FALSE)</f>
        <v>復活の捕食者</v>
      </c>
      <c r="E7" s="21" t="str">
        <f ca="1">VLOOKUP($C7,OFFSET([1]quests!$A$1,0,0,COUNTA([1]quests!$A:$A),MATCH(E$1,[1]quests!$1:$1,0)-MATCH($C$1,[1]quests!$1:$1,0)+1),MATCH(E$1,[1]quests!$1:$1,0)-MATCH($C$1,[1]quests!$1:$1,0)+1,FALSE)</f>
        <v>ドロップイベント3（マルチ専用）</v>
      </c>
      <c r="F7" s="38">
        <v>2</v>
      </c>
      <c r="G7" s="24" t="str">
        <f t="shared" si="1"/>
        <v>30009_2</v>
      </c>
      <c r="H7" s="15" t="str">
        <f ca="1">VLOOKUP($G7,OFFSET([1]stages!$A$1,0,0,COUNTA([1]stages!$A:$A),MATCH(H$1,[1]stages!$2:$2,0)-MATCH($G$1,[1]stages!$2:$2,0)+1),MATCH(H$1,[1]stages!$2:$2,0)-MATCH($G$1,[1]stages!$2:$2,0)+1,FALSE)</f>
        <v>【超絶級】復活の捕食者</v>
      </c>
      <c r="I7" s="38">
        <v>2</v>
      </c>
      <c r="J7" s="37">
        <v>30</v>
      </c>
      <c r="K7" s="37">
        <v>35</v>
      </c>
    </row>
    <row r="8" spans="1:11" ht="21" customHeight="1" x14ac:dyDescent="0.15">
      <c r="A8" s="16" t="str">
        <f t="shared" si="0"/>
        <v>30009_2-3</v>
      </c>
      <c r="B8" s="16" t="str">
        <f>IF(COUNTIF(enemy_habitats!$H:$H,A8),"OK","NG")</f>
        <v>OK</v>
      </c>
      <c r="C8" s="39">
        <v>30009</v>
      </c>
      <c r="D8" s="8" t="str">
        <f ca="1">VLOOKUP($C8,OFFSET([1]quests!$A$1,0,0,COUNTA([1]quests!$A:$A),MATCH(D$1,[1]quests!$1:$1,0)-MATCH($C$1,[1]quests!$1:$1,0)+1),MATCH(D$1,[1]quests!$1:$1,0)-MATCH($C$1,[1]quests!$1:$1,0)+1,FALSE)</f>
        <v>復活の捕食者</v>
      </c>
      <c r="E8" s="21" t="str">
        <f ca="1">VLOOKUP($C8,OFFSET([1]quests!$A$1,0,0,COUNTA([1]quests!$A:$A),MATCH(E$1,[1]quests!$1:$1,0)-MATCH($C$1,[1]quests!$1:$1,0)+1),MATCH(E$1,[1]quests!$1:$1,0)-MATCH($C$1,[1]quests!$1:$1,0)+1,FALSE)</f>
        <v>ドロップイベント3（マルチ専用）</v>
      </c>
      <c r="F8" s="38">
        <v>2</v>
      </c>
      <c r="G8" s="24" t="str">
        <f t="shared" si="1"/>
        <v>30009_2</v>
      </c>
      <c r="H8" s="15" t="str">
        <f ca="1">VLOOKUP($G8,OFFSET([1]stages!$A$1,0,0,COUNTA([1]stages!$A:$A),MATCH(H$1,[1]stages!$2:$2,0)-MATCH($G$1,[1]stages!$2:$2,0)+1),MATCH(H$1,[1]stages!$2:$2,0)-MATCH($G$1,[1]stages!$2:$2,0)+1,FALSE)</f>
        <v>【超絶級】復活の捕食者</v>
      </c>
      <c r="I8" s="38">
        <v>3</v>
      </c>
      <c r="J8" s="37">
        <v>60</v>
      </c>
      <c r="K8" s="37">
        <v>60</v>
      </c>
    </row>
    <row r="9" spans="1:11" ht="21" customHeight="1" x14ac:dyDescent="0.15">
      <c r="A9" s="16" t="str">
        <f t="shared" si="0"/>
        <v>30009_2-4</v>
      </c>
      <c r="B9" s="16" t="str">
        <f>IF(COUNTIF(enemy_habitats!$H:$H,A9),"OK","NG")</f>
        <v>OK</v>
      </c>
      <c r="C9" s="39">
        <v>30009</v>
      </c>
      <c r="D9" s="8" t="str">
        <f ca="1">VLOOKUP($C9,OFFSET([1]quests!$A$1,0,0,COUNTA([1]quests!$A:$A),MATCH(D$1,[1]quests!$1:$1,0)-MATCH($C$1,[1]quests!$1:$1,0)+1),MATCH(D$1,[1]quests!$1:$1,0)-MATCH($C$1,[1]quests!$1:$1,0)+1,FALSE)</f>
        <v>復活の捕食者</v>
      </c>
      <c r="E9" s="21" t="str">
        <f ca="1">VLOOKUP($C9,OFFSET([1]quests!$A$1,0,0,COUNTA([1]quests!$A:$A),MATCH(E$1,[1]quests!$1:$1,0)-MATCH($C$1,[1]quests!$1:$1,0)+1),MATCH(E$1,[1]quests!$1:$1,0)-MATCH($C$1,[1]quests!$1:$1,0)+1,FALSE)</f>
        <v>ドロップイベント3（マルチ専用）</v>
      </c>
      <c r="F9" s="38">
        <v>2</v>
      </c>
      <c r="G9" s="24" t="str">
        <f t="shared" si="1"/>
        <v>30009_2</v>
      </c>
      <c r="H9" s="15" t="str">
        <f ca="1">VLOOKUP($G9,OFFSET([1]stages!$A$1,0,0,COUNTA([1]stages!$A:$A),MATCH(H$1,[1]stages!$2:$2,0)-MATCH($G$1,[1]stages!$2:$2,0)+1),MATCH(H$1,[1]stages!$2:$2,0)-MATCH($G$1,[1]stages!$2:$2,0)+1,FALSE)</f>
        <v>【超絶級】復活の捕食者</v>
      </c>
      <c r="I9" s="38">
        <v>4</v>
      </c>
      <c r="J9" s="37">
        <v>60</v>
      </c>
      <c r="K9" s="37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7"/>
  <sheetViews>
    <sheetView showGridLines="0" tabSelected="1" zoomScale="75" zoomScaleNormal="75" zoomScalePageLayoutView="75" workbookViewId="0">
      <pane xSplit="17" ySplit="1" topLeftCell="AF2" activePane="bottomRight" state="frozen"/>
      <selection pane="topRight" activeCell="N1" sqref="N1"/>
      <selection pane="bottomLeft" activeCell="A2" sqref="A2"/>
      <selection pane="bottomRight" activeCell="AF21" sqref="AF21"/>
    </sheetView>
  </sheetViews>
  <sheetFormatPr baseColWidth="12" defaultColWidth="13" defaultRowHeight="21" customHeight="1" outlineLevelCol="1" x14ac:dyDescent="0.15"/>
  <cols>
    <col min="1" max="1" width="15.83203125" style="22" bestFit="1" customWidth="1"/>
    <col min="2" max="2" width="10.83203125" style="3" bestFit="1" customWidth="1"/>
    <col min="3" max="3" width="10.6640625" style="3" bestFit="1" customWidth="1"/>
    <col min="4" max="4" width="13" style="10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6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bestFit="1" customWidth="1"/>
    <col min="23" max="23" width="12.1640625" style="3" bestFit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9" bestFit="1" customWidth="1" outlineLevel="1"/>
    <col min="30" max="30" width="8" style="10" bestFit="1" customWidth="1" outlineLevel="1"/>
    <col min="31" max="31" width="12" style="10" bestFit="1" customWidth="1" outlineLevel="1"/>
    <col min="32" max="32" width="15" style="7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4" customFormat="1" ht="21" customHeight="1" x14ac:dyDescent="0.15">
      <c r="A1" s="43" t="s">
        <v>29</v>
      </c>
      <c r="B1" s="26" t="s">
        <v>0</v>
      </c>
      <c r="C1" s="26" t="s">
        <v>1</v>
      </c>
      <c r="D1" s="29" t="s">
        <v>28</v>
      </c>
      <c r="E1" s="29" t="s">
        <v>20</v>
      </c>
      <c r="F1" s="29" t="s">
        <v>20</v>
      </c>
      <c r="G1" s="26" t="s">
        <v>19</v>
      </c>
      <c r="H1" s="29" t="s">
        <v>37</v>
      </c>
      <c r="I1" s="29" t="s">
        <v>14</v>
      </c>
      <c r="J1" s="29" t="s">
        <v>15</v>
      </c>
      <c r="K1" s="35" t="s">
        <v>55</v>
      </c>
      <c r="L1" s="35" t="s">
        <v>2</v>
      </c>
      <c r="M1" s="29" t="s">
        <v>21</v>
      </c>
      <c r="N1" s="29" t="s">
        <v>24</v>
      </c>
      <c r="O1" s="29" t="s">
        <v>23</v>
      </c>
      <c r="P1" s="29" t="s">
        <v>26</v>
      </c>
      <c r="Q1" s="29" t="s">
        <v>25</v>
      </c>
      <c r="R1" s="26" t="s">
        <v>3</v>
      </c>
      <c r="S1" s="26" t="s">
        <v>50</v>
      </c>
      <c r="T1" s="26" t="s">
        <v>52</v>
      </c>
      <c r="U1" s="26" t="s">
        <v>54</v>
      </c>
      <c r="V1" s="29" t="s">
        <v>33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26" t="s">
        <v>9</v>
      </c>
      <c r="AC1" s="33" t="s">
        <v>16</v>
      </c>
      <c r="AD1" s="33" t="s">
        <v>17</v>
      </c>
      <c r="AE1" s="33" t="s">
        <v>27</v>
      </c>
      <c r="AF1" s="26" t="s">
        <v>10</v>
      </c>
      <c r="AG1" s="26" t="s">
        <v>11</v>
      </c>
      <c r="AH1" s="26" t="s">
        <v>12</v>
      </c>
      <c r="AI1" s="26" t="s">
        <v>40</v>
      </c>
      <c r="AJ1" s="26" t="s">
        <v>42</v>
      </c>
      <c r="AK1" s="26" t="s">
        <v>44</v>
      </c>
      <c r="AL1" s="26" t="s">
        <v>46</v>
      </c>
      <c r="AM1" s="26" t="s">
        <v>48</v>
      </c>
    </row>
    <row r="2" spans="1:39" ht="21" customHeight="1" x14ac:dyDescent="0.15">
      <c r="A2" s="44" t="str">
        <f t="shared" ref="A2:A17" ca="1" si="0">B2&amp;"_"&amp;C2&amp;"-"&amp;G2&amp;"/"&amp;L2&amp;"&lt;lv"&amp;R2&amp;"&gt;s"&amp;AA2</f>
        <v>30009_1-1/13&lt;lv45&gt;s2</v>
      </c>
      <c r="B2" s="45">
        <v>30009</v>
      </c>
      <c r="C2" s="38">
        <v>1</v>
      </c>
      <c r="D2" s="15" t="str">
        <f t="shared" ref="D2:D17" si="1">B2&amp;"_"&amp;C2</f>
        <v>30009_1</v>
      </c>
      <c r="E2" s="21" t="str">
        <f ca="1">VLOOKUP($B2,OFFSET([1]quests!$A$1,0,0,COUNTA([1]quests!$A:$A),MATCH(E$1,[1]quests!$1:$1,0)-MATCH($B$1,[1]quests!$1:$1,0)+1),MATCH(E$1,[1]quests!$1:$1,0)-MATCH($B$1,[1]quests!$1:$1,0)+1,FALSE)</f>
        <v>復活の捕食者</v>
      </c>
      <c r="F2" s="21" t="str">
        <f ca="1">VLOOKUP($D2,OFFSET([1]stages!$A$1,0,0,COUNTA([1]stages!$A:$A),MATCH(F$1,[1]stages!$2:$2,0)-MATCH($D$1,[1]stages!$2:$2,0)+1),MATCH(F$1,[1]stages!$2:$2,0)-MATCH($D$1,[1]stages!$2:$2,0)+1,FALSE)</f>
        <v>【超級】復活の捕食者</v>
      </c>
      <c r="G2" s="40">
        <v>1</v>
      </c>
      <c r="H2" s="15" t="str">
        <f t="shared" ref="H2:H17" si="2">B2&amp;"_"&amp;C2&amp;"-"&amp;G2</f>
        <v>30009_1-1</v>
      </c>
      <c r="I2" s="21">
        <f ca="1">VLOOKUP($H2,OFFSET(floors!$A$1,0,0,COUNTA(floors!$A:$A),MATCH(I$1,floors!$1:$1,0)-MATCH($H$1,floors!$1:$1,0)+1),MATCH(I$1,floors!$1:$1,0)-MATCH($H$1,floors!$1:$1,0)+1,FALSE)</f>
        <v>15</v>
      </c>
      <c r="J2" s="21">
        <f ca="1">VLOOKUP($H2,OFFSET(floors!$A$1,0,0,COUNTA(floors!$A:$A),MATCH(J$1,floors!$1:$1,0)-MATCH($H$1,floors!$1:$1,0)+1),MATCH(J$1,floors!$1:$1,0)-MATCH($H$1,floors!$1:$1,0)+1,FALSE)</f>
        <v>15</v>
      </c>
      <c r="K2" s="37" t="s">
        <v>67</v>
      </c>
      <c r="L2" s="40">
        <v>13</v>
      </c>
      <c r="M2" s="19" t="str">
        <f ca="1">VLOOKUP(L2,[2]enemies!$A:$B,2,FALSE)</f>
        <v>ミミ</v>
      </c>
      <c r="N2" s="21" t="str">
        <f ca="1">VLOOKUP(L2,[2]enemies!$A:$D,4,FALSE)</f>
        <v>yellow</v>
      </c>
      <c r="O2" s="21" t="str">
        <f>VLOOKUP(L2,[3]characters!$A:$J,10,FALSE)</f>
        <v>Drop1W</v>
      </c>
      <c r="P2" s="20" t="str">
        <f>VLOOKUP(L2,[3]characters!$A:$M,13,FALSE)</f>
        <v>animal</v>
      </c>
      <c r="Q2" s="4">
        <f ca="1">VLOOKUP(L2,[2]enemies!$A:$X,24,FALSE)</f>
        <v>15</v>
      </c>
      <c r="R2" s="46">
        <v>45</v>
      </c>
      <c r="S2" s="47">
        <v>1</v>
      </c>
      <c r="T2" s="47">
        <v>1.1000000000000001</v>
      </c>
      <c r="U2" s="46">
        <v>0</v>
      </c>
      <c r="V2" s="21" t="str">
        <f ca="1">VLOOKUP($W2,OFFSET([4]enemy_skill_sets!$B$1,0,0,COUNTA([4]enemy_skill_sets!$B:$B),MATCH(M$1,[4]enemy_skill_sets!$1:$1,0)-MATCH($W$1,[4]enemy_skill_sets!$1:$1,0)+2),MATCH(M$1,[4]enemy_skill_sets!$1:$1,0)-MATCH($W$1,[4]enemy_skill_sets!$1:$1,0)+2,FALSE)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2" s="48">
        <v>1301</v>
      </c>
      <c r="X2" s="49">
        <v>1</v>
      </c>
      <c r="Y2" s="49">
        <v>100</v>
      </c>
      <c r="Z2" s="49">
        <v>0</v>
      </c>
      <c r="AA2" s="4">
        <f ca="1">VLOOKUP(L2,[2]enemies!$A:$V,22,FALSE)</f>
        <v>2</v>
      </c>
      <c r="AB2" s="40">
        <v>13</v>
      </c>
      <c r="AC2" s="4" t="str">
        <f ca="1">VLOOKUP(L2,[2]enemies!$A:$B,2,FALSE)</f>
        <v>ミミ</v>
      </c>
      <c r="AD2" s="4">
        <f ca="1">VLOOKUP(L2,[2]enemies!$A:$E,3,FALSE)</f>
        <v>1</v>
      </c>
      <c r="AE2" s="4" t="str">
        <f>VLOOKUP(L2,[3]characters!$A:$J,10,FALSE)</f>
        <v>Drop1W</v>
      </c>
      <c r="AF2" s="50">
        <v>9</v>
      </c>
      <c r="AG2" s="51">
        <f t="shared" ref="AG2:AG17" ca="1" si="3">AD2</f>
        <v>1</v>
      </c>
      <c r="AH2" s="49">
        <v>15</v>
      </c>
      <c r="AI2" s="50">
        <v>0</v>
      </c>
      <c r="AJ2" s="50">
        <v>0</v>
      </c>
      <c r="AK2" s="50">
        <v>0</v>
      </c>
      <c r="AL2" s="50">
        <v>0</v>
      </c>
      <c r="AM2" s="50">
        <v>1</v>
      </c>
    </row>
    <row r="3" spans="1:39" ht="21" customHeight="1" x14ac:dyDescent="0.15">
      <c r="A3" s="44" t="str">
        <f t="shared" ca="1" si="0"/>
        <v>30009_1-2/33&lt;lv45&gt;s2</v>
      </c>
      <c r="B3" s="45">
        <v>30009</v>
      </c>
      <c r="C3" s="38">
        <v>1</v>
      </c>
      <c r="D3" s="15" t="str">
        <f t="shared" si="1"/>
        <v>30009_1</v>
      </c>
      <c r="E3" s="21" t="str">
        <f ca="1">VLOOKUP($B3,OFFSET([1]quests!$A$1,0,0,COUNTA([1]quests!$A:$A),MATCH(E$1,[1]quests!$1:$1,0)-MATCH($B$1,[1]quests!$1:$1,0)+1),MATCH(E$1,[1]quests!$1:$1,0)-MATCH($B$1,[1]quests!$1:$1,0)+1,FALSE)</f>
        <v>復活の捕食者</v>
      </c>
      <c r="F3" s="21" t="str">
        <f ca="1">VLOOKUP($D3,OFFSET([1]stages!$A$1,0,0,COUNTA([1]stages!$A:$A),MATCH(F$1,[1]stages!$2:$2,0)-MATCH($D$1,[1]stages!$2:$2,0)+1),MATCH(F$1,[1]stages!$2:$2,0)-MATCH($D$1,[1]stages!$2:$2,0)+1,FALSE)</f>
        <v>【超級】復活の捕食者</v>
      </c>
      <c r="G3" s="40">
        <v>2</v>
      </c>
      <c r="H3" s="15" t="str">
        <f t="shared" si="2"/>
        <v>30009_1-2</v>
      </c>
      <c r="I3" s="21">
        <f ca="1">VLOOKUP($H3,OFFSET(floors!$A$1,0,0,COUNTA(floors!$A:$A),MATCH(I$1,floors!$1:$1,0)-MATCH($H$1,floors!$1:$1,0)+1),MATCH(I$1,floors!$1:$1,0)-MATCH($H$1,floors!$1:$1,0)+1,FALSE)</f>
        <v>30</v>
      </c>
      <c r="J3" s="21">
        <f ca="1">VLOOKUP($H3,OFFSET(floors!$A$1,0,0,COUNTA(floors!$A:$A),MATCH(J$1,floors!$1:$1,0)-MATCH($H$1,floors!$1:$1,0)+1),MATCH(J$1,floors!$1:$1,0)-MATCH($H$1,floors!$1:$1,0)+1,FALSE)</f>
        <v>30</v>
      </c>
      <c r="K3" s="37" t="s">
        <v>67</v>
      </c>
      <c r="L3" s="40">
        <v>33</v>
      </c>
      <c r="M3" s="19" t="str">
        <f ca="1">VLOOKUP(L3,[2]enemies!$A:$B,2,FALSE)</f>
        <v>ゴクウ</v>
      </c>
      <c r="N3" s="21" t="str">
        <f ca="1">VLOOKUP(L3,[2]enemies!$A:$D,4,FALSE)</f>
        <v>red</v>
      </c>
      <c r="O3" s="21" t="str">
        <f>VLOOKUP(L3,[3]characters!$A:$J,10,FALSE)</f>
        <v>Drop1S</v>
      </c>
      <c r="P3" s="20" t="str">
        <f>VLOOKUP(L3,[3]characters!$A:$M,13,FALSE)</f>
        <v>animal</v>
      </c>
      <c r="Q3" s="4">
        <f ca="1">VLOOKUP(L3,[2]enemies!$A:$X,24,FALSE)</f>
        <v>15</v>
      </c>
      <c r="R3" s="46">
        <v>45</v>
      </c>
      <c r="S3" s="47">
        <v>0.9</v>
      </c>
      <c r="T3" s="47">
        <v>0.8</v>
      </c>
      <c r="U3" s="46">
        <v>0</v>
      </c>
      <c r="V3" s="21" t="str">
        <f ca="1">VLOOKUP($W3,OFFSET([4]enemy_skill_sets!$B$1,0,0,COUNTA([4]enemy_skill_sets!$B:$B),MATCH(M$1,[4]enemy_skill_sets!$1:$1,0)-MATCH($W$1,[4]enemy_skill_sets!$1:$1,0)+2),MATCH(M$1,[4]enemy_skill_sets!$1:$1,0)-MATCH($W$1,[4]enemy_skill_sets!$1:$1,0)+2,FALSE)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3" s="48">
        <v>3302</v>
      </c>
      <c r="X3" s="49">
        <v>1</v>
      </c>
      <c r="Y3" s="49">
        <v>100</v>
      </c>
      <c r="Z3" s="49">
        <v>0</v>
      </c>
      <c r="AA3" s="4">
        <f ca="1">VLOOKUP(L3,[2]enemies!$A:$V,22,FALSE)</f>
        <v>2</v>
      </c>
      <c r="AB3" s="40">
        <v>33</v>
      </c>
      <c r="AC3" s="4" t="str">
        <f ca="1">VLOOKUP(L3,[2]enemies!$A:$B,2,FALSE)</f>
        <v>ゴクウ</v>
      </c>
      <c r="AD3" s="4">
        <f ca="1">VLOOKUP(L3,[2]enemies!$A:$E,3,FALSE)</f>
        <v>2</v>
      </c>
      <c r="AE3" s="4" t="str">
        <f>VLOOKUP(L3,[3]characters!$A:$J,10,FALSE)</f>
        <v>Drop1S</v>
      </c>
      <c r="AF3" s="50">
        <v>1</v>
      </c>
      <c r="AG3" s="51">
        <f t="shared" ca="1" si="3"/>
        <v>2</v>
      </c>
      <c r="AH3" s="49">
        <v>15</v>
      </c>
      <c r="AI3" s="50">
        <v>0</v>
      </c>
      <c r="AJ3" s="50">
        <v>0</v>
      </c>
      <c r="AK3" s="50">
        <v>0</v>
      </c>
      <c r="AL3" s="50">
        <v>0</v>
      </c>
      <c r="AM3" s="50">
        <v>1</v>
      </c>
    </row>
    <row r="4" spans="1:39" ht="21" customHeight="1" x14ac:dyDescent="0.15">
      <c r="A4" s="44" t="str">
        <f t="shared" ca="1" si="0"/>
        <v>30009_1-2/47&lt;lv50&gt;s1</v>
      </c>
      <c r="B4" s="45">
        <v>30009</v>
      </c>
      <c r="C4" s="38">
        <v>1</v>
      </c>
      <c r="D4" s="15" t="str">
        <f t="shared" si="1"/>
        <v>30009_1</v>
      </c>
      <c r="E4" s="21" t="str">
        <f ca="1">VLOOKUP($B4,OFFSET([1]quests!$A$1,0,0,COUNTA([1]quests!$A:$A),MATCH(E$1,[1]quests!$1:$1,0)-MATCH($B$1,[1]quests!$1:$1,0)+1),MATCH(E$1,[1]quests!$1:$1,0)-MATCH($B$1,[1]quests!$1:$1,0)+1,FALSE)</f>
        <v>復活の捕食者</v>
      </c>
      <c r="F4" s="21" t="str">
        <f ca="1">VLOOKUP($D4,OFFSET([1]stages!$A$1,0,0,COUNTA([1]stages!$A:$A),MATCH(F$1,[1]stages!$2:$2,0)-MATCH($D$1,[1]stages!$2:$2,0)+1),MATCH(F$1,[1]stages!$2:$2,0)-MATCH($D$1,[1]stages!$2:$2,0)+1,FALSE)</f>
        <v>【超級】復活の捕食者</v>
      </c>
      <c r="G4" s="40">
        <v>2</v>
      </c>
      <c r="H4" s="15" t="str">
        <f t="shared" si="2"/>
        <v>30009_1-2</v>
      </c>
      <c r="I4" s="21">
        <f ca="1">VLOOKUP($H4,OFFSET(floors!$A$1,0,0,COUNTA(floors!$A:$A),MATCH(I$1,floors!$1:$1,0)-MATCH($H$1,floors!$1:$1,0)+1),MATCH(I$1,floors!$1:$1,0)-MATCH($H$1,floors!$1:$1,0)+1,FALSE)</f>
        <v>30</v>
      </c>
      <c r="J4" s="21">
        <f ca="1">VLOOKUP($H4,OFFSET(floors!$A$1,0,0,COUNTA(floors!$A:$A),MATCH(J$1,floors!$1:$1,0)-MATCH($H$1,floors!$1:$1,0)+1),MATCH(J$1,floors!$1:$1,0)-MATCH($H$1,floors!$1:$1,0)+1,FALSE)</f>
        <v>30</v>
      </c>
      <c r="K4" s="37" t="s">
        <v>67</v>
      </c>
      <c r="L4" s="40">
        <v>47</v>
      </c>
      <c r="M4" s="19" t="str">
        <f ca="1">VLOOKUP(L4,[2]enemies!$A:$B,2,FALSE)</f>
        <v>ヒロ</v>
      </c>
      <c r="N4" s="21" t="str">
        <f ca="1">VLOOKUP(L4,[2]enemies!$A:$D,4,FALSE)</f>
        <v>yellow</v>
      </c>
      <c r="O4" s="21" t="str">
        <f>VLOOKUP(L4,[3]characters!$A:$J,10,FALSE)</f>
        <v>Drop1N</v>
      </c>
      <c r="P4" s="20" t="str">
        <f>VLOOKUP(L4,[3]characters!$A:$M,13,FALSE)</f>
        <v>animal</v>
      </c>
      <c r="Q4" s="4">
        <f ca="1">VLOOKUP(L4,[2]enemies!$A:$X,24,FALSE)</f>
        <v>15</v>
      </c>
      <c r="R4" s="46">
        <v>50</v>
      </c>
      <c r="S4" s="47">
        <v>1</v>
      </c>
      <c r="T4" s="47">
        <v>1</v>
      </c>
      <c r="U4" s="46">
        <v>0</v>
      </c>
      <c r="V4" s="21" t="str">
        <f ca="1">VLOOKUP($W4,OFFSET([4]enemy_skill_sets!$B$1,0,0,COUNTA([4]enemy_skill_sets!$B:$B),MATCH(M$1,[4]enemy_skill_sets!$1:$1,0)-MATCH($W$1,[4]enemy_skill_sets!$1:$1,0)+2),MATCH(M$1,[4]enemy_skill_sets!$1:$1,0)-MATCH($W$1,[4]enemy_skill_sets!$1:$1,0)+2,FALSE)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4" s="48">
        <v>4701</v>
      </c>
      <c r="X4" s="49">
        <v>1</v>
      </c>
      <c r="Y4" s="49">
        <v>100</v>
      </c>
      <c r="Z4" s="49">
        <v>0</v>
      </c>
      <c r="AA4" s="4">
        <f ca="1">VLOOKUP(L4,[2]enemies!$A:$V,22,FALSE)</f>
        <v>1</v>
      </c>
      <c r="AB4" s="40">
        <v>47</v>
      </c>
      <c r="AC4" s="4" t="str">
        <f ca="1">VLOOKUP(L4,[2]enemies!$A:$B,2,FALSE)</f>
        <v>ヒロ</v>
      </c>
      <c r="AD4" s="4">
        <f ca="1">VLOOKUP(L4,[2]enemies!$A:$E,3,FALSE)</f>
        <v>2</v>
      </c>
      <c r="AE4" s="4" t="str">
        <f>VLOOKUP(L4,[3]characters!$A:$J,10,FALSE)</f>
        <v>Drop1N</v>
      </c>
      <c r="AF4" s="50">
        <v>7</v>
      </c>
      <c r="AG4" s="51">
        <f t="shared" ca="1" si="3"/>
        <v>2</v>
      </c>
      <c r="AH4" s="49">
        <v>15</v>
      </c>
      <c r="AI4" s="50">
        <v>0</v>
      </c>
      <c r="AJ4" s="50">
        <v>0</v>
      </c>
      <c r="AK4" s="50">
        <v>0</v>
      </c>
      <c r="AL4" s="50">
        <v>0</v>
      </c>
      <c r="AM4" s="50">
        <v>1</v>
      </c>
    </row>
    <row r="5" spans="1:39" ht="21" customHeight="1" x14ac:dyDescent="0.15">
      <c r="A5" s="44" t="str">
        <f t="shared" ca="1" si="0"/>
        <v>30009_1-3/57&lt;lv43&gt;s2</v>
      </c>
      <c r="B5" s="45">
        <v>30009</v>
      </c>
      <c r="C5" s="38">
        <v>1</v>
      </c>
      <c r="D5" s="15" t="str">
        <f t="shared" si="1"/>
        <v>30009_1</v>
      </c>
      <c r="E5" s="21" t="str">
        <f ca="1">VLOOKUP($B5,OFFSET([1]quests!$A$1,0,0,COUNTA([1]quests!$A:$A),MATCH(E$1,[1]quests!$1:$1,0)-MATCH($B$1,[1]quests!$1:$1,0)+1),MATCH(E$1,[1]quests!$1:$1,0)-MATCH($B$1,[1]quests!$1:$1,0)+1,FALSE)</f>
        <v>復活の捕食者</v>
      </c>
      <c r="F5" s="21" t="str">
        <f ca="1">VLOOKUP($D5,OFFSET([1]stages!$A$1,0,0,COUNTA([1]stages!$A:$A),MATCH(F$1,[1]stages!$2:$2,0)-MATCH($D$1,[1]stages!$2:$2,0)+1),MATCH(F$1,[1]stages!$2:$2,0)-MATCH($D$1,[1]stages!$2:$2,0)+1,FALSE)</f>
        <v>【超級】復活の捕食者</v>
      </c>
      <c r="G5" s="40">
        <v>3</v>
      </c>
      <c r="H5" s="15" t="str">
        <f t="shared" si="2"/>
        <v>30009_1-3</v>
      </c>
      <c r="I5" s="21">
        <f ca="1">VLOOKUP($H5,OFFSET(floors!$A$1,0,0,COUNTA(floors!$A:$A),MATCH(I$1,floors!$1:$1,0)-MATCH($H$1,floors!$1:$1,0)+1),MATCH(I$1,floors!$1:$1,0)-MATCH($H$1,floors!$1:$1,0)+1,FALSE)</f>
        <v>45</v>
      </c>
      <c r="J5" s="21">
        <f ca="1">VLOOKUP($H5,OFFSET(floors!$A$1,0,0,COUNTA(floors!$A:$A),MATCH(J$1,floors!$1:$1,0)-MATCH($H$1,floors!$1:$1,0)+1),MATCH(J$1,floors!$1:$1,0)-MATCH($H$1,floors!$1:$1,0)+1,FALSE)</f>
        <v>45</v>
      </c>
      <c r="K5" s="37" t="s">
        <v>67</v>
      </c>
      <c r="L5" s="40">
        <v>57</v>
      </c>
      <c r="M5" s="19" t="str">
        <f ca="1">VLOOKUP(L5,[2]enemies!$A:$B,2,FALSE)</f>
        <v>チェン・リー</v>
      </c>
      <c r="N5" s="21" t="str">
        <f ca="1">VLOOKUP(L5,[2]enemies!$A:$D,4,FALSE)</f>
        <v>red</v>
      </c>
      <c r="O5" s="21" t="str">
        <f>VLOOKUP(L5,[3]characters!$A:$J,10,FALSE)</f>
        <v>Drop1N</v>
      </c>
      <c r="P5" s="20" t="str">
        <f>VLOOKUP(L5,[3]characters!$A:$M,13,FALSE)</f>
        <v>animal</v>
      </c>
      <c r="Q5" s="4">
        <f ca="1">VLOOKUP(L5,[2]enemies!$A:$X,24,FALSE)</f>
        <v>15</v>
      </c>
      <c r="R5" s="46">
        <v>43</v>
      </c>
      <c r="S5" s="47">
        <v>0.9</v>
      </c>
      <c r="T5" s="47">
        <v>0.8</v>
      </c>
      <c r="U5" s="46">
        <v>0</v>
      </c>
      <c r="V5" s="21" t="str">
        <f ca="1">VLOOKUP($W5,OFFSET([4]enemy_skill_sets!$B$1,0,0,COUNTA([4]enemy_skill_sets!$B:$B),MATCH(M$1,[4]enemy_skill_sets!$1:$1,0)-MATCH($W$1,[4]enemy_skill_sets!$1:$1,0)+2),MATCH(M$1,[4]enemy_skill_sets!$1:$1,0)-MATCH($W$1,[4]enemy_skill_sets!$1:$1,0)+2,FALSE)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5" s="48">
        <v>5701</v>
      </c>
      <c r="X5" s="49">
        <v>1</v>
      </c>
      <c r="Y5" s="49">
        <v>100</v>
      </c>
      <c r="Z5" s="49">
        <v>0</v>
      </c>
      <c r="AA5" s="4">
        <f ca="1">VLOOKUP(L5,[2]enemies!$A:$V,22,FALSE)</f>
        <v>2</v>
      </c>
      <c r="AB5" s="40">
        <v>57</v>
      </c>
      <c r="AC5" s="4" t="str">
        <f ca="1">VLOOKUP(L5,[2]enemies!$A:$B,2,FALSE)</f>
        <v>チェン・リー</v>
      </c>
      <c r="AD5" s="4">
        <f ca="1">VLOOKUP(L5,[2]enemies!$A:$E,3,FALSE)</f>
        <v>2</v>
      </c>
      <c r="AE5" s="4" t="str">
        <f>VLOOKUP(L5,[3]characters!$A:$J,10,FALSE)</f>
        <v>Drop1N</v>
      </c>
      <c r="AF5" s="50">
        <v>7</v>
      </c>
      <c r="AG5" s="51">
        <f t="shared" ca="1" si="3"/>
        <v>2</v>
      </c>
      <c r="AH5" s="49">
        <v>15</v>
      </c>
      <c r="AI5" s="50">
        <v>0</v>
      </c>
      <c r="AJ5" s="50">
        <v>0</v>
      </c>
      <c r="AK5" s="50">
        <v>0</v>
      </c>
      <c r="AL5" s="50">
        <v>0</v>
      </c>
      <c r="AM5" s="50">
        <v>1</v>
      </c>
    </row>
    <row r="6" spans="1:39" ht="21" customHeight="1" x14ac:dyDescent="0.15">
      <c r="A6" s="44" t="str">
        <f t="shared" ca="1" si="0"/>
        <v>30009_1-3/13&lt;lv47&gt;s2</v>
      </c>
      <c r="B6" s="45">
        <v>30009</v>
      </c>
      <c r="C6" s="38">
        <v>1</v>
      </c>
      <c r="D6" s="15" t="str">
        <f t="shared" si="1"/>
        <v>30009_1</v>
      </c>
      <c r="E6" s="21" t="str">
        <f ca="1">VLOOKUP($B6,OFFSET([1]quests!$A$1,0,0,COUNTA([1]quests!$A:$A),MATCH(E$1,[1]quests!$1:$1,0)-MATCH($B$1,[1]quests!$1:$1,0)+1),MATCH(E$1,[1]quests!$1:$1,0)-MATCH($B$1,[1]quests!$1:$1,0)+1,FALSE)</f>
        <v>復活の捕食者</v>
      </c>
      <c r="F6" s="21" t="str">
        <f ca="1">VLOOKUP($D6,OFFSET([1]stages!$A$1,0,0,COUNTA([1]stages!$A:$A),MATCH(F$1,[1]stages!$2:$2,0)-MATCH($D$1,[1]stages!$2:$2,0)+1),MATCH(F$1,[1]stages!$2:$2,0)-MATCH($D$1,[1]stages!$2:$2,0)+1,FALSE)</f>
        <v>【超級】復活の捕食者</v>
      </c>
      <c r="G6" s="40">
        <v>3</v>
      </c>
      <c r="H6" s="15" t="str">
        <f t="shared" si="2"/>
        <v>30009_1-3</v>
      </c>
      <c r="I6" s="21">
        <f ca="1">VLOOKUP($H6,OFFSET(floors!$A$1,0,0,COUNTA(floors!$A:$A),MATCH(I$1,floors!$1:$1,0)-MATCH($H$1,floors!$1:$1,0)+1),MATCH(I$1,floors!$1:$1,0)-MATCH($H$1,floors!$1:$1,0)+1,FALSE)</f>
        <v>45</v>
      </c>
      <c r="J6" s="21">
        <f ca="1">VLOOKUP($H6,OFFSET(floors!$A$1,0,0,COUNTA(floors!$A:$A),MATCH(J$1,floors!$1:$1,0)-MATCH($H$1,floors!$1:$1,0)+1),MATCH(J$1,floors!$1:$1,0)-MATCH($H$1,floors!$1:$1,0)+1,FALSE)</f>
        <v>45</v>
      </c>
      <c r="K6" s="37" t="s">
        <v>67</v>
      </c>
      <c r="L6" s="40">
        <v>13</v>
      </c>
      <c r="M6" s="19" t="str">
        <f ca="1">VLOOKUP(L6,[2]enemies!$A:$B,2,FALSE)</f>
        <v>ミミ</v>
      </c>
      <c r="N6" s="21" t="str">
        <f ca="1">VLOOKUP(L6,[2]enemies!$A:$D,4,FALSE)</f>
        <v>yellow</v>
      </c>
      <c r="O6" s="21" t="str">
        <f>VLOOKUP(L6,[3]characters!$A:$J,10,FALSE)</f>
        <v>Drop1W</v>
      </c>
      <c r="P6" s="20" t="str">
        <f>VLOOKUP(L6,[3]characters!$A:$M,13,FALSE)</f>
        <v>animal</v>
      </c>
      <c r="Q6" s="4">
        <f ca="1">VLOOKUP(L6,[2]enemies!$A:$X,24,FALSE)</f>
        <v>15</v>
      </c>
      <c r="R6" s="46">
        <v>47</v>
      </c>
      <c r="S6" s="47">
        <v>1</v>
      </c>
      <c r="T6" s="47">
        <v>0.9</v>
      </c>
      <c r="U6" s="46">
        <v>0</v>
      </c>
      <c r="V6" s="21" t="str">
        <f ca="1">VLOOKUP($W6,OFFSET([4]enemy_skill_sets!$B$1,0,0,COUNTA([4]enemy_skill_sets!$B:$B),MATCH(M$1,[4]enemy_skill_sets!$1:$1,0)-MATCH($W$1,[4]enemy_skill_sets!$1:$1,0)+2),MATCH(M$1,[4]enemy_skill_sets!$1:$1,0)-MATCH($W$1,[4]enemy_skill_sets!$1:$1,0)+2,FALSE)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6" s="48">
        <v>1301</v>
      </c>
      <c r="X6" s="49">
        <v>1</v>
      </c>
      <c r="Y6" s="49">
        <v>100</v>
      </c>
      <c r="Z6" s="49">
        <v>0</v>
      </c>
      <c r="AA6" s="4">
        <f ca="1">VLOOKUP(L6,[2]enemies!$A:$V,22,FALSE)</f>
        <v>2</v>
      </c>
      <c r="AB6" s="40">
        <v>13</v>
      </c>
      <c r="AC6" s="4" t="str">
        <f ca="1">VLOOKUP(L6,[2]enemies!$A:$B,2,FALSE)</f>
        <v>ミミ</v>
      </c>
      <c r="AD6" s="4">
        <f ca="1">VLOOKUP(L6,[2]enemies!$A:$E,3,FALSE)</f>
        <v>1</v>
      </c>
      <c r="AE6" s="4" t="str">
        <f>VLOOKUP(L6,[3]characters!$A:$J,10,FALSE)</f>
        <v>Drop1W</v>
      </c>
      <c r="AF6" s="50">
        <v>9</v>
      </c>
      <c r="AG6" s="51">
        <f t="shared" ca="1" si="3"/>
        <v>1</v>
      </c>
      <c r="AH6" s="49">
        <v>15</v>
      </c>
      <c r="AI6" s="50">
        <v>0</v>
      </c>
      <c r="AJ6" s="50">
        <v>0</v>
      </c>
      <c r="AK6" s="50">
        <v>0</v>
      </c>
      <c r="AL6" s="50">
        <v>0</v>
      </c>
      <c r="AM6" s="50">
        <v>1</v>
      </c>
    </row>
    <row r="7" spans="1:39" ht="21" customHeight="1" x14ac:dyDescent="0.15">
      <c r="A7" s="44" t="str">
        <f t="shared" ca="1" si="0"/>
        <v>30009_1-3/47&lt;lv47&gt;s1</v>
      </c>
      <c r="B7" s="45">
        <v>30009</v>
      </c>
      <c r="C7" s="38">
        <v>1</v>
      </c>
      <c r="D7" s="15" t="str">
        <f t="shared" si="1"/>
        <v>30009_1</v>
      </c>
      <c r="E7" s="21" t="str">
        <f ca="1">VLOOKUP($B7,OFFSET([1]quests!$A$1,0,0,COUNTA([1]quests!$A:$A),MATCH(E$1,[1]quests!$1:$1,0)-MATCH($B$1,[1]quests!$1:$1,0)+1),MATCH(E$1,[1]quests!$1:$1,0)-MATCH($B$1,[1]quests!$1:$1,0)+1,FALSE)</f>
        <v>復活の捕食者</v>
      </c>
      <c r="F7" s="21" t="str">
        <f ca="1">VLOOKUP($D7,OFFSET([1]stages!$A$1,0,0,COUNTA([1]stages!$A:$A),MATCH(F$1,[1]stages!$2:$2,0)-MATCH($D$1,[1]stages!$2:$2,0)+1),MATCH(F$1,[1]stages!$2:$2,0)-MATCH($D$1,[1]stages!$2:$2,0)+1,FALSE)</f>
        <v>【超級】復活の捕食者</v>
      </c>
      <c r="G7" s="40">
        <v>3</v>
      </c>
      <c r="H7" s="15" t="str">
        <f t="shared" si="2"/>
        <v>30009_1-3</v>
      </c>
      <c r="I7" s="21">
        <f ca="1">VLOOKUP($H7,OFFSET(floors!$A$1,0,0,COUNTA(floors!$A:$A),MATCH(I$1,floors!$1:$1,0)-MATCH($H$1,floors!$1:$1,0)+1),MATCH(I$1,floors!$1:$1,0)-MATCH($H$1,floors!$1:$1,0)+1,FALSE)</f>
        <v>45</v>
      </c>
      <c r="J7" s="21">
        <f ca="1">VLOOKUP($H7,OFFSET(floors!$A$1,0,0,COUNTA(floors!$A:$A),MATCH(J$1,floors!$1:$1,0)-MATCH($H$1,floors!$1:$1,0)+1),MATCH(J$1,floors!$1:$1,0)-MATCH($H$1,floors!$1:$1,0)+1,FALSE)</f>
        <v>45</v>
      </c>
      <c r="K7" s="37" t="s">
        <v>67</v>
      </c>
      <c r="L7" s="40">
        <v>47</v>
      </c>
      <c r="M7" s="19" t="str">
        <f ca="1">VLOOKUP(L7,[2]enemies!$A:$B,2,FALSE)</f>
        <v>ヒロ</v>
      </c>
      <c r="N7" s="21" t="str">
        <f ca="1">VLOOKUP(L7,[2]enemies!$A:$D,4,FALSE)</f>
        <v>yellow</v>
      </c>
      <c r="O7" s="21" t="str">
        <f>VLOOKUP(L7,[3]characters!$A:$J,10,FALSE)</f>
        <v>Drop1N</v>
      </c>
      <c r="P7" s="20" t="str">
        <f>VLOOKUP(L7,[3]characters!$A:$M,13,FALSE)</f>
        <v>animal</v>
      </c>
      <c r="Q7" s="4">
        <f ca="1">VLOOKUP(L7,[2]enemies!$A:$X,24,FALSE)</f>
        <v>15</v>
      </c>
      <c r="R7" s="46">
        <v>47</v>
      </c>
      <c r="S7" s="47">
        <v>1</v>
      </c>
      <c r="T7" s="47">
        <v>1</v>
      </c>
      <c r="U7" s="46">
        <v>0</v>
      </c>
      <c r="V7" s="21" t="str">
        <f ca="1">VLOOKUP($W7,OFFSET([4]enemy_skill_sets!$B$1,0,0,COUNTA([4]enemy_skill_sets!$B:$B),MATCH(M$1,[4]enemy_skill_sets!$1:$1,0)-MATCH($W$1,[4]enemy_skill_sets!$1:$1,0)+2),MATCH(M$1,[4]enemy_skill_sets!$1:$1,0)-MATCH($W$1,[4]enemy_skill_sets!$1:$1,0)+2,FALSE)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7" s="48">
        <v>4701</v>
      </c>
      <c r="X7" s="49">
        <v>2</v>
      </c>
      <c r="Y7" s="49">
        <v>100</v>
      </c>
      <c r="Z7" s="49">
        <v>0</v>
      </c>
      <c r="AA7" s="4">
        <f ca="1">VLOOKUP(L7,[2]enemies!$A:$V,22,FALSE)</f>
        <v>1</v>
      </c>
      <c r="AB7" s="40">
        <v>47</v>
      </c>
      <c r="AC7" s="4" t="str">
        <f ca="1">VLOOKUP(L7,[2]enemies!$A:$B,2,FALSE)</f>
        <v>ヒロ</v>
      </c>
      <c r="AD7" s="4">
        <f ca="1">VLOOKUP(L7,[2]enemies!$A:$E,3,FALSE)</f>
        <v>2</v>
      </c>
      <c r="AE7" s="4" t="str">
        <f>VLOOKUP(L7,[3]characters!$A:$J,10,FALSE)</f>
        <v>Drop1N</v>
      </c>
      <c r="AF7" s="50">
        <v>7</v>
      </c>
      <c r="AG7" s="51">
        <f t="shared" ca="1" si="3"/>
        <v>2</v>
      </c>
      <c r="AH7" s="49">
        <v>15</v>
      </c>
      <c r="AI7" s="50">
        <v>0</v>
      </c>
      <c r="AJ7" s="50">
        <v>0</v>
      </c>
      <c r="AK7" s="50">
        <v>0</v>
      </c>
      <c r="AL7" s="50">
        <v>0</v>
      </c>
      <c r="AM7" s="50">
        <v>1</v>
      </c>
    </row>
    <row r="8" spans="1:39" ht="21" customHeight="1" x14ac:dyDescent="0.15">
      <c r="A8" s="44" t="str">
        <f t="shared" ca="1" si="0"/>
        <v>30009_1-4/63&lt;lv47&gt;s2</v>
      </c>
      <c r="B8" s="45">
        <v>30009</v>
      </c>
      <c r="C8" s="38">
        <v>1</v>
      </c>
      <c r="D8" s="15" t="str">
        <f t="shared" si="1"/>
        <v>30009_1</v>
      </c>
      <c r="E8" s="21" t="str">
        <f ca="1">VLOOKUP($B8,OFFSET([1]quests!$A$1,0,0,COUNTA([1]quests!$A:$A),MATCH(E$1,[1]quests!$1:$1,0)-MATCH($B$1,[1]quests!$1:$1,0)+1),MATCH(E$1,[1]quests!$1:$1,0)-MATCH($B$1,[1]quests!$1:$1,0)+1,FALSE)</f>
        <v>復活の捕食者</v>
      </c>
      <c r="F8" s="21" t="str">
        <f ca="1">VLOOKUP($D8,OFFSET([1]stages!$A$1,0,0,COUNTA([1]stages!$A:$A),MATCH(F$1,[1]stages!$2:$2,0)-MATCH($D$1,[1]stages!$2:$2,0)+1),MATCH(F$1,[1]stages!$2:$2,0)-MATCH($D$1,[1]stages!$2:$2,0)+1,FALSE)</f>
        <v>【超級】復活の捕食者</v>
      </c>
      <c r="G8" s="40">
        <v>4</v>
      </c>
      <c r="H8" s="15" t="str">
        <f t="shared" si="2"/>
        <v>30009_1-4</v>
      </c>
      <c r="I8" s="21">
        <f ca="1">VLOOKUP($H8,OFFSET(floors!$A$1,0,0,COUNTA(floors!$A:$A),MATCH(I$1,floors!$1:$1,0)-MATCH($H$1,floors!$1:$1,0)+1),MATCH(I$1,floors!$1:$1,0)-MATCH($H$1,floors!$1:$1,0)+1,FALSE)</f>
        <v>60</v>
      </c>
      <c r="J8" s="21">
        <f ca="1">VLOOKUP($H8,OFFSET(floors!$A$1,0,0,COUNTA(floors!$A:$A),MATCH(J$1,floors!$1:$1,0)-MATCH($H$1,floors!$1:$1,0)+1),MATCH(J$1,floors!$1:$1,0)-MATCH($H$1,floors!$1:$1,0)+1,FALSE)</f>
        <v>60</v>
      </c>
      <c r="K8" s="37" t="s">
        <v>67</v>
      </c>
      <c r="L8" s="40">
        <v>63</v>
      </c>
      <c r="M8" s="19" t="str">
        <f ca="1">VLOOKUP(L8,[2]enemies!$A:$B,2,FALSE)</f>
        <v>トニー</v>
      </c>
      <c r="N8" s="21" t="str">
        <f ca="1">VLOOKUP(L8,[2]enemies!$A:$D,4,FALSE)</f>
        <v>yellow</v>
      </c>
      <c r="O8" s="21" t="str">
        <f>VLOOKUP(L8,[3]characters!$A:$J,10,FALSE)</f>
        <v>Drop1N</v>
      </c>
      <c r="P8" s="20" t="str">
        <f>VLOOKUP(L8,[3]characters!$A:$M,13,FALSE)</f>
        <v>animal</v>
      </c>
      <c r="Q8" s="4">
        <f ca="1">VLOOKUP(L8,[2]enemies!$A:$X,24,FALSE)</f>
        <v>15</v>
      </c>
      <c r="R8" s="46">
        <v>47</v>
      </c>
      <c r="S8" s="47">
        <v>2</v>
      </c>
      <c r="T8" s="47">
        <v>1</v>
      </c>
      <c r="U8" s="46">
        <v>0</v>
      </c>
      <c r="V8" s="21" t="str">
        <f ca="1">VLOOKUP($W8,OFFSET([4]enemy_skill_sets!$B$1,0,0,COUNTA([4]enemy_skill_sets!$B:$B),MATCH(M$1,[4]enemy_skill_sets!$1:$1,0)-MATCH($W$1,[4]enemy_skill_sets!$1:$1,0)+2),MATCH(M$1,[4]enemy_skill_sets!$1:$1,0)-MATCH($W$1,[4]enemy_skill_sets!$1:$1,0)+2,FALSE)</f>
        <v>アノマロカリスが捕食した！</v>
      </c>
      <c r="W8" s="48">
        <v>6302</v>
      </c>
      <c r="X8" s="49">
        <v>1</v>
      </c>
      <c r="Y8" s="49">
        <v>100</v>
      </c>
      <c r="Z8" s="49">
        <v>2</v>
      </c>
      <c r="AA8" s="4">
        <f ca="1">VLOOKUP(L8,[2]enemies!$A:$V,22,FALSE)</f>
        <v>2</v>
      </c>
      <c r="AB8" s="40">
        <v>63</v>
      </c>
      <c r="AC8" s="4" t="str">
        <f ca="1">VLOOKUP(L8,[2]enemies!$A:$B,2,FALSE)</f>
        <v>トニー</v>
      </c>
      <c r="AD8" s="4">
        <f ca="1">VLOOKUP(L8,[2]enemies!$A:$E,3,FALSE)</f>
        <v>2</v>
      </c>
      <c r="AE8" s="4" t="str">
        <f>VLOOKUP(L8,[3]characters!$A:$J,10,FALSE)</f>
        <v>Drop1N</v>
      </c>
      <c r="AF8" s="50">
        <v>7</v>
      </c>
      <c r="AG8" s="51">
        <f t="shared" ca="1" si="3"/>
        <v>2</v>
      </c>
      <c r="AH8" s="49">
        <v>0</v>
      </c>
      <c r="AI8" s="50">
        <v>0</v>
      </c>
      <c r="AJ8" s="50">
        <v>0</v>
      </c>
      <c r="AK8" s="50">
        <v>0</v>
      </c>
      <c r="AL8" s="50">
        <v>0</v>
      </c>
      <c r="AM8" s="50">
        <v>1</v>
      </c>
    </row>
    <row r="9" spans="1:39" ht="21" customHeight="1" x14ac:dyDescent="0.15">
      <c r="A9" s="44" t="str">
        <f t="shared" ca="1" si="0"/>
        <v>30009_1-4/312&lt;lv60&gt;s2</v>
      </c>
      <c r="B9" s="45">
        <v>30009</v>
      </c>
      <c r="C9" s="38">
        <v>1</v>
      </c>
      <c r="D9" s="15" t="str">
        <f t="shared" si="1"/>
        <v>30009_1</v>
      </c>
      <c r="E9" s="21" t="str">
        <f ca="1">VLOOKUP($B9,OFFSET([1]quests!$A$1,0,0,COUNTA([1]quests!$A:$A),MATCH(E$1,[1]quests!$1:$1,0)-MATCH($B$1,[1]quests!$1:$1,0)+1),MATCH(E$1,[1]quests!$1:$1,0)-MATCH($B$1,[1]quests!$1:$1,0)+1,FALSE)</f>
        <v>復活の捕食者</v>
      </c>
      <c r="F9" s="21" t="str">
        <f ca="1">VLOOKUP($D9,OFFSET([1]stages!$A$1,0,0,COUNTA([1]stages!$A:$A),MATCH(F$1,[1]stages!$2:$2,0)-MATCH($D$1,[1]stages!$2:$2,0)+1),MATCH(F$1,[1]stages!$2:$2,0)-MATCH($D$1,[1]stages!$2:$2,0)+1,FALSE)</f>
        <v>【超級】復活の捕食者</v>
      </c>
      <c r="G9" s="40">
        <v>4</v>
      </c>
      <c r="H9" s="15" t="str">
        <f t="shared" si="2"/>
        <v>30009_1-4</v>
      </c>
      <c r="I9" s="21">
        <f ca="1">VLOOKUP($H9,OFFSET(floors!$A$1,0,0,COUNTA(floors!$A:$A),MATCH(I$1,floors!$1:$1,0)-MATCH($H$1,floors!$1:$1,0)+1),MATCH(I$1,floors!$1:$1,0)-MATCH($H$1,floors!$1:$1,0)+1,FALSE)</f>
        <v>60</v>
      </c>
      <c r="J9" s="21">
        <f ca="1">VLOOKUP($H9,OFFSET(floors!$A$1,0,0,COUNTA(floors!$A:$A),MATCH(J$1,floors!$1:$1,0)-MATCH($H$1,floors!$1:$1,0)+1),MATCH(J$1,floors!$1:$1,0)-MATCH($H$1,floors!$1:$1,0)+1,FALSE)</f>
        <v>60</v>
      </c>
      <c r="K9" s="37">
        <v>2</v>
      </c>
      <c r="L9" s="40">
        <v>312</v>
      </c>
      <c r="M9" s="19" t="str">
        <f ca="1">VLOOKUP(L9,[2]enemies!$A:$B,2,FALSE)</f>
        <v>アノマロカリス</v>
      </c>
      <c r="N9" s="21" t="str">
        <f ca="1">VLOOKUP(L9,[2]enemies!$A:$D,4,FALSE)</f>
        <v>yellow</v>
      </c>
      <c r="O9" s="21" t="str">
        <f>VLOOKUP(L9,[3]characters!$A:$J,10,FALSE)</f>
        <v>Drop2N</v>
      </c>
      <c r="P9" s="20" t="str">
        <f>VLOOKUP(L9,[3]characters!$A:$M,13,FALSE)</f>
        <v>animal</v>
      </c>
      <c r="Q9" s="4">
        <f ca="1">VLOOKUP(L9,[2]enemies!$A:$X,24,FALSE)</f>
        <v>30</v>
      </c>
      <c r="R9" s="46">
        <v>60</v>
      </c>
      <c r="S9" s="47">
        <v>1</v>
      </c>
      <c r="T9" s="47">
        <v>1.5</v>
      </c>
      <c r="U9" s="46">
        <v>0</v>
      </c>
      <c r="V9" s="21" t="str">
        <f ca="1">VLOOKUP($W9,OFFSET([4]enemy_skill_sets!$B$1,0,0,COUNTA([4]enemy_skill_sets!$B:$B),MATCH(M$1,[4]enemy_skill_sets!$1:$1,0)-MATCH($W$1,[4]enemy_skill_sets!$1:$1,0)+2),MATCH(M$1,[4]enemy_skill_sets!$1:$1,0)-MATCH($W$1,[4]enemy_skill_sets!$1:$1,0)+2,FALSE)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9" s="48">
        <v>31202</v>
      </c>
      <c r="X9" s="49">
        <v>1</v>
      </c>
      <c r="Y9" s="49">
        <v>100</v>
      </c>
      <c r="Z9" s="49">
        <v>1</v>
      </c>
      <c r="AA9" s="4">
        <f ca="1">VLOOKUP(L9,[2]enemies!$A:$V,22,FALSE)</f>
        <v>2</v>
      </c>
      <c r="AB9" s="40">
        <v>312</v>
      </c>
      <c r="AC9" s="4" t="str">
        <f ca="1">VLOOKUP(L9,[2]enemies!$A:$B,2,FALSE)</f>
        <v>アノマロカリス</v>
      </c>
      <c r="AD9" s="4">
        <f ca="1">VLOOKUP(L9,[2]enemies!$A:$E,3,FALSE)</f>
        <v>4</v>
      </c>
      <c r="AE9" s="4" t="str">
        <f>VLOOKUP(L9,[3]characters!$A:$J,10,FALSE)</f>
        <v>Drop2N</v>
      </c>
      <c r="AF9" s="50">
        <v>1</v>
      </c>
      <c r="AG9" s="51">
        <f t="shared" ca="1" si="3"/>
        <v>4</v>
      </c>
      <c r="AH9" s="49">
        <v>50</v>
      </c>
      <c r="AI9" s="50">
        <v>0</v>
      </c>
      <c r="AJ9" s="50">
        <v>0</v>
      </c>
      <c r="AK9" s="50">
        <v>0</v>
      </c>
      <c r="AL9" s="50">
        <v>0</v>
      </c>
      <c r="AM9" s="50">
        <v>1</v>
      </c>
    </row>
    <row r="10" spans="1:39" ht="21" customHeight="1" x14ac:dyDescent="0.15">
      <c r="A10" s="44" t="str">
        <f t="shared" ca="1" si="0"/>
        <v>30009_2-1/366&lt;lv57&gt;s3</v>
      </c>
      <c r="B10" s="45">
        <v>30009</v>
      </c>
      <c r="C10" s="41">
        <v>2</v>
      </c>
      <c r="D10" s="15" t="str">
        <f t="shared" si="1"/>
        <v>30009_2</v>
      </c>
      <c r="E10" s="21" t="str">
        <f ca="1">VLOOKUP($B10,OFFSET([1]quests!$A$1,0,0,COUNTA([1]quests!$A:$A),MATCH(E$1,[1]quests!$1:$1,0)-MATCH($B$1,[1]quests!$1:$1,0)+1),MATCH(E$1,[1]quests!$1:$1,0)-MATCH($B$1,[1]quests!$1:$1,0)+1,FALSE)</f>
        <v>復活の捕食者</v>
      </c>
      <c r="F10" s="21" t="str">
        <f ca="1">VLOOKUP($D10,OFFSET([1]stages!$A$1,0,0,COUNTA([1]stages!$A:$A),MATCH(F$1,[1]stages!$2:$2,0)-MATCH($D$1,[1]stages!$2:$2,0)+1),MATCH(F$1,[1]stages!$2:$2,0)-MATCH($D$1,[1]stages!$2:$2,0)+1,FALSE)</f>
        <v>【超絶級】復活の捕食者</v>
      </c>
      <c r="G10" s="41">
        <v>1</v>
      </c>
      <c r="H10" s="15" t="str">
        <f t="shared" si="2"/>
        <v>30009_2-1</v>
      </c>
      <c r="I10" s="21">
        <f ca="1">VLOOKUP($H10,OFFSET(floors!$A$1,0,0,COUNTA(floors!$A:$A),MATCH(I$1,floors!$1:$1,0)-MATCH($H$1,floors!$1:$1,0)+1),MATCH(I$1,floors!$1:$1,0)-MATCH($H$1,floors!$1:$1,0)+1,FALSE)</f>
        <v>15</v>
      </c>
      <c r="J10" s="21">
        <f ca="1">VLOOKUP($H10,OFFSET(floors!$A$1,0,0,COUNTA(floors!$A:$A),MATCH(J$1,floors!$1:$1,0)-MATCH($H$1,floors!$1:$1,0)+1),MATCH(J$1,floors!$1:$1,0)-MATCH($H$1,floors!$1:$1,0)+1,FALSE)</f>
        <v>15</v>
      </c>
      <c r="K10" s="37" t="s">
        <v>67</v>
      </c>
      <c r="L10" s="41">
        <v>366</v>
      </c>
      <c r="M10" s="19" t="str">
        <f ca="1">VLOOKUP(L10,[2]enemies!$A:$B,2,FALSE)</f>
        <v>トト</v>
      </c>
      <c r="N10" s="21" t="str">
        <f ca="1">VLOOKUP(L10,[2]enemies!$A:$D,4,FALSE)</f>
        <v>yellow</v>
      </c>
      <c r="O10" s="21" t="str">
        <f>VLOOKUP(L10,[3]characters!$A:$J,10,FALSE)</f>
        <v>Drop1S</v>
      </c>
      <c r="P10" s="20" t="str">
        <f>VLOOKUP(L10,[3]characters!$A:$M,13,FALSE)</f>
        <v>animal</v>
      </c>
      <c r="Q10" s="4">
        <f ca="1">VLOOKUP(L10,[2]enemies!$A:$X,24,FALSE)</f>
        <v>15</v>
      </c>
      <c r="R10" s="52">
        <v>57</v>
      </c>
      <c r="S10" s="53">
        <v>1</v>
      </c>
      <c r="T10" s="53">
        <v>1</v>
      </c>
      <c r="U10" s="52">
        <v>0</v>
      </c>
      <c r="V10" s="21" t="str">
        <f ca="1">VLOOKUP($W10,OFFSET([4]enemy_skill_sets!$B$1,0,0,COUNTA([4]enemy_skill_sets!$B:$B),MATCH(M$1,[4]enemy_skill_sets!$1:$1,0)-MATCH($W$1,[4]enemy_skill_sets!$1:$1,0)+2),MATCH(M$1,[4]enemy_skill_sets!$1:$1,0)-MATCH($W$1,[4]enemy_skill_sets!$1:$1,0)+2,FALSE)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10" s="48">
        <v>366</v>
      </c>
      <c r="X10" s="49">
        <v>1</v>
      </c>
      <c r="Y10" s="49">
        <v>100</v>
      </c>
      <c r="Z10" s="49">
        <v>0</v>
      </c>
      <c r="AA10" s="4">
        <f ca="1">VLOOKUP(L10,[2]enemies!$A:$V,22,FALSE)</f>
        <v>3</v>
      </c>
      <c r="AB10" s="15">
        <f t="shared" ref="AB10:AB13" si="4">L10</f>
        <v>366</v>
      </c>
      <c r="AC10" s="4" t="str">
        <f ca="1">VLOOKUP(L10,[2]enemies!$A:$B,2,FALSE)</f>
        <v>トト</v>
      </c>
      <c r="AD10" s="4">
        <f ca="1">VLOOKUP(L10,[2]enemies!$A:$E,3,FALSE)</f>
        <v>2</v>
      </c>
      <c r="AE10" s="4" t="str">
        <f>VLOOKUP(L10,[3]characters!$A:$J,10,FALSE)</f>
        <v>Drop1S</v>
      </c>
      <c r="AF10" s="50">
        <v>1</v>
      </c>
      <c r="AG10" s="51">
        <f t="shared" ca="1" si="3"/>
        <v>2</v>
      </c>
      <c r="AH10" s="49">
        <v>15</v>
      </c>
      <c r="AI10" s="50">
        <v>0</v>
      </c>
      <c r="AJ10" s="50">
        <v>0</v>
      </c>
      <c r="AK10" s="50">
        <v>0</v>
      </c>
      <c r="AL10" s="50">
        <v>0</v>
      </c>
      <c r="AM10" s="50">
        <v>1</v>
      </c>
    </row>
    <row r="11" spans="1:39" ht="21" customHeight="1" x14ac:dyDescent="0.15">
      <c r="A11" s="44" t="str">
        <f t="shared" ca="1" si="0"/>
        <v>30009_2-2/360&lt;lv57&gt;s3</v>
      </c>
      <c r="B11" s="45">
        <v>30009</v>
      </c>
      <c r="C11" s="41">
        <v>2</v>
      </c>
      <c r="D11" s="15" t="str">
        <f t="shared" si="1"/>
        <v>30009_2</v>
      </c>
      <c r="E11" s="21" t="str">
        <f ca="1">VLOOKUP($B11,OFFSET([1]quests!$A$1,0,0,COUNTA([1]quests!$A:$A),MATCH(E$1,[1]quests!$1:$1,0)-MATCH($B$1,[1]quests!$1:$1,0)+1),MATCH(E$1,[1]quests!$1:$1,0)-MATCH($B$1,[1]quests!$1:$1,0)+1,FALSE)</f>
        <v>復活の捕食者</v>
      </c>
      <c r="F11" s="21" t="str">
        <f ca="1">VLOOKUP($D11,OFFSET([1]stages!$A$1,0,0,COUNTA([1]stages!$A:$A),MATCH(F$1,[1]stages!$2:$2,0)-MATCH($D$1,[1]stages!$2:$2,0)+1),MATCH(F$1,[1]stages!$2:$2,0)-MATCH($D$1,[1]stages!$2:$2,0)+1,FALSE)</f>
        <v>【超絶級】復活の捕食者</v>
      </c>
      <c r="G11" s="41">
        <v>2</v>
      </c>
      <c r="H11" s="15" t="str">
        <f t="shared" si="2"/>
        <v>30009_2-2</v>
      </c>
      <c r="I11" s="21">
        <f ca="1">VLOOKUP($H11,OFFSET(floors!$A$1,0,0,COUNTA(floors!$A:$A),MATCH(I$1,floors!$1:$1,0)-MATCH($H$1,floors!$1:$1,0)+1),MATCH(I$1,floors!$1:$1,0)-MATCH($H$1,floors!$1:$1,0)+1,FALSE)</f>
        <v>30</v>
      </c>
      <c r="J11" s="21">
        <f ca="1">VLOOKUP($H11,OFFSET(floors!$A$1,0,0,COUNTA(floors!$A:$A),MATCH(J$1,floors!$1:$1,0)-MATCH($H$1,floors!$1:$1,0)+1),MATCH(J$1,floors!$1:$1,0)-MATCH($H$1,floors!$1:$1,0)+1,FALSE)</f>
        <v>35</v>
      </c>
      <c r="K11" s="37" t="s">
        <v>67</v>
      </c>
      <c r="L11" s="41">
        <v>360</v>
      </c>
      <c r="M11" s="19" t="str">
        <f ca="1">VLOOKUP(L11,[2]enemies!$A:$B,2,FALSE)</f>
        <v>ガンテツ</v>
      </c>
      <c r="N11" s="21" t="str">
        <f ca="1">VLOOKUP(L11,[2]enemies!$A:$D,4,FALSE)</f>
        <v>red</v>
      </c>
      <c r="O11" s="21" t="str">
        <f>VLOOKUP(L11,[3]characters!$A:$J,10,FALSE)</f>
        <v>Drop1S</v>
      </c>
      <c r="P11" s="20" t="str">
        <f>VLOOKUP(L11,[3]characters!$A:$M,13,FALSE)</f>
        <v>animal</v>
      </c>
      <c r="Q11" s="4">
        <f ca="1">VLOOKUP(L11,[2]enemies!$A:$X,24,FALSE)</f>
        <v>15</v>
      </c>
      <c r="R11" s="52">
        <v>57</v>
      </c>
      <c r="S11" s="53">
        <v>0.9</v>
      </c>
      <c r="T11" s="53">
        <v>0.8</v>
      </c>
      <c r="U11" s="52">
        <v>0</v>
      </c>
      <c r="V11" s="21" t="str">
        <f ca="1">VLOOKUP($W11,OFFSET([4]enemy_skill_sets!$B$1,0,0,COUNTA([4]enemy_skill_sets!$B:$B),MATCH(M$1,[4]enemy_skill_sets!$1:$1,0)-MATCH($W$1,[4]enemy_skill_sets!$1:$1,0)+2),MATCH(M$1,[4]enemy_skill_sets!$1:$1,0)-MATCH($W$1,[4]enemy_skill_sets!$1:$1,0)+2,FALSE)</f>
        <v>2ターンパネルの色が分からなくなる！</v>
      </c>
      <c r="W11" s="48">
        <v>360</v>
      </c>
      <c r="X11" s="49">
        <v>1</v>
      </c>
      <c r="Y11" s="49">
        <v>100</v>
      </c>
      <c r="Z11" s="49">
        <v>0</v>
      </c>
      <c r="AA11" s="4">
        <f ca="1">VLOOKUP(L11,[2]enemies!$A:$V,22,FALSE)</f>
        <v>3</v>
      </c>
      <c r="AB11" s="15">
        <f t="shared" si="4"/>
        <v>360</v>
      </c>
      <c r="AC11" s="4" t="str">
        <f ca="1">VLOOKUP(L11,[2]enemies!$A:$B,2,FALSE)</f>
        <v>ガンテツ</v>
      </c>
      <c r="AD11" s="4">
        <f ca="1">VLOOKUP(L11,[2]enemies!$A:$E,3,FALSE)</f>
        <v>2</v>
      </c>
      <c r="AE11" s="4" t="str">
        <f>VLOOKUP(L11,[3]characters!$A:$J,10,FALSE)</f>
        <v>Drop1S</v>
      </c>
      <c r="AF11" s="50">
        <v>1</v>
      </c>
      <c r="AG11" s="51">
        <f t="shared" ca="1" si="3"/>
        <v>2</v>
      </c>
      <c r="AH11" s="49">
        <v>15</v>
      </c>
      <c r="AI11" s="50">
        <v>0</v>
      </c>
      <c r="AJ11" s="50">
        <v>0</v>
      </c>
      <c r="AK11" s="50">
        <v>0</v>
      </c>
      <c r="AL11" s="50">
        <v>0</v>
      </c>
      <c r="AM11" s="50">
        <v>1</v>
      </c>
    </row>
    <row r="12" spans="1:39" ht="21" customHeight="1" x14ac:dyDescent="0.15">
      <c r="A12" s="44" t="str">
        <f t="shared" ca="1" si="0"/>
        <v>30009_2-2/48&lt;lv60&gt;s1</v>
      </c>
      <c r="B12" s="45">
        <v>30009</v>
      </c>
      <c r="C12" s="41">
        <v>2</v>
      </c>
      <c r="D12" s="15" t="str">
        <f t="shared" si="1"/>
        <v>30009_2</v>
      </c>
      <c r="E12" s="21" t="str">
        <f ca="1">VLOOKUP($B12,OFFSET([1]quests!$A$1,0,0,COUNTA([1]quests!$A:$A),MATCH(E$1,[1]quests!$1:$1,0)-MATCH($B$1,[1]quests!$1:$1,0)+1),MATCH(E$1,[1]quests!$1:$1,0)-MATCH($B$1,[1]quests!$1:$1,0)+1,FALSE)</f>
        <v>復活の捕食者</v>
      </c>
      <c r="F12" s="21" t="str">
        <f ca="1">VLOOKUP($D12,OFFSET([1]stages!$A$1,0,0,COUNTA([1]stages!$A:$A),MATCH(F$1,[1]stages!$2:$2,0)-MATCH($D$1,[1]stages!$2:$2,0)+1),MATCH(F$1,[1]stages!$2:$2,0)-MATCH($D$1,[1]stages!$2:$2,0)+1,FALSE)</f>
        <v>【超絶級】復活の捕食者</v>
      </c>
      <c r="G12" s="41">
        <v>2</v>
      </c>
      <c r="H12" s="15" t="str">
        <f t="shared" si="2"/>
        <v>30009_2-2</v>
      </c>
      <c r="I12" s="21">
        <f ca="1">VLOOKUP($H12,OFFSET(floors!$A$1,0,0,COUNTA(floors!$A:$A),MATCH(I$1,floors!$1:$1,0)-MATCH($H$1,floors!$1:$1,0)+1),MATCH(I$1,floors!$1:$1,0)-MATCH($H$1,floors!$1:$1,0)+1,FALSE)</f>
        <v>30</v>
      </c>
      <c r="J12" s="21">
        <f ca="1">VLOOKUP($H12,OFFSET(floors!$A$1,0,0,COUNTA(floors!$A:$A),MATCH(J$1,floors!$1:$1,0)-MATCH($H$1,floors!$1:$1,0)+1),MATCH(J$1,floors!$1:$1,0)-MATCH($H$1,floors!$1:$1,0)+1,FALSE)</f>
        <v>35</v>
      </c>
      <c r="K12" s="37" t="s">
        <v>67</v>
      </c>
      <c r="L12" s="41">
        <v>48</v>
      </c>
      <c r="M12" s="19" t="str">
        <f ca="1">VLOOKUP(L12,[2]enemies!$A:$B,2,FALSE)</f>
        <v>サンダーステップのヒロ</v>
      </c>
      <c r="N12" s="21" t="str">
        <f ca="1">VLOOKUP(L12,[2]enemies!$A:$D,4,FALSE)</f>
        <v>yellow</v>
      </c>
      <c r="O12" s="21" t="str">
        <f>VLOOKUP(L12,[3]characters!$A:$J,10,FALSE)</f>
        <v>Drop1N</v>
      </c>
      <c r="P12" s="20" t="str">
        <f>VLOOKUP(L12,[3]characters!$A:$M,13,FALSE)</f>
        <v>animal</v>
      </c>
      <c r="Q12" s="4">
        <f ca="1">VLOOKUP(L12,[2]enemies!$A:$X,24,FALSE)</f>
        <v>20</v>
      </c>
      <c r="R12" s="52">
        <v>60</v>
      </c>
      <c r="S12" s="53">
        <v>1</v>
      </c>
      <c r="T12" s="53">
        <v>1</v>
      </c>
      <c r="U12" s="52">
        <v>0</v>
      </c>
      <c r="V12" s="21" t="str">
        <f ca="1">VLOOKUP($W12,OFFSET([4]enemy_skill_sets!$B$1,0,0,COUNTA([4]enemy_skill_sets!$B:$B),MATCH(M$1,[4]enemy_skill_sets!$1:$1,0)-MATCH($W$1,[4]enemy_skill_sets!$1:$1,0)+2),MATCH(M$1,[4]enemy_skill_sets!$1:$1,0)-MATCH($W$1,[4]enemy_skill_sets!$1:$1,0)+2,FALSE)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12" s="48">
        <v>4701</v>
      </c>
      <c r="X12" s="49">
        <v>1</v>
      </c>
      <c r="Y12" s="49">
        <v>100</v>
      </c>
      <c r="Z12" s="49">
        <v>0</v>
      </c>
      <c r="AA12" s="4">
        <f ca="1">VLOOKUP(L12,[2]enemies!$A:$V,22,FALSE)</f>
        <v>1</v>
      </c>
      <c r="AB12" s="15">
        <f t="shared" si="4"/>
        <v>48</v>
      </c>
      <c r="AC12" s="4" t="str">
        <f ca="1">VLOOKUP(L12,[2]enemies!$A:$B,2,FALSE)</f>
        <v>サンダーステップのヒロ</v>
      </c>
      <c r="AD12" s="4">
        <f ca="1">VLOOKUP(L12,[2]enemies!$A:$E,3,FALSE)</f>
        <v>3</v>
      </c>
      <c r="AE12" s="4" t="str">
        <f>VLOOKUP(L12,[3]characters!$A:$J,10,FALSE)</f>
        <v>Drop1N</v>
      </c>
      <c r="AF12" s="50">
        <v>8</v>
      </c>
      <c r="AG12" s="51">
        <f t="shared" ca="1" si="3"/>
        <v>3</v>
      </c>
      <c r="AH12" s="49">
        <v>15</v>
      </c>
      <c r="AI12" s="50">
        <v>0</v>
      </c>
      <c r="AJ12" s="50">
        <v>0</v>
      </c>
      <c r="AK12" s="50">
        <v>0</v>
      </c>
      <c r="AL12" s="50">
        <v>0</v>
      </c>
      <c r="AM12" s="50">
        <v>1</v>
      </c>
    </row>
    <row r="13" spans="1:39" ht="21" customHeight="1" x14ac:dyDescent="0.15">
      <c r="A13" s="44" t="str">
        <f t="shared" ca="1" si="0"/>
        <v>30009_2-3/57&lt;lv57&gt;s2</v>
      </c>
      <c r="B13" s="45">
        <v>30009</v>
      </c>
      <c r="C13" s="41">
        <v>2</v>
      </c>
      <c r="D13" s="15" t="str">
        <f t="shared" si="1"/>
        <v>30009_2</v>
      </c>
      <c r="E13" s="21" t="str">
        <f ca="1">VLOOKUP($B13,OFFSET([1]quests!$A$1,0,0,COUNTA([1]quests!$A:$A),MATCH(E$1,[1]quests!$1:$1,0)-MATCH($B$1,[1]quests!$1:$1,0)+1),MATCH(E$1,[1]quests!$1:$1,0)-MATCH($B$1,[1]quests!$1:$1,0)+1,FALSE)</f>
        <v>復活の捕食者</v>
      </c>
      <c r="F13" s="21" t="str">
        <f ca="1">VLOOKUP($D13,OFFSET([1]stages!$A$1,0,0,COUNTA([1]stages!$A:$A),MATCH(F$1,[1]stages!$2:$2,0)-MATCH($D$1,[1]stages!$2:$2,0)+1),MATCH(F$1,[1]stages!$2:$2,0)-MATCH($D$1,[1]stages!$2:$2,0)+1,FALSE)</f>
        <v>【超絶級】復活の捕食者</v>
      </c>
      <c r="G13" s="41">
        <v>3</v>
      </c>
      <c r="H13" s="15" t="str">
        <f t="shared" si="2"/>
        <v>30009_2-3</v>
      </c>
      <c r="I13" s="21">
        <f ca="1">VLOOKUP($H13,OFFSET(floors!$A$1,0,0,COUNTA(floors!$A:$A),MATCH(I$1,floors!$1:$1,0)-MATCH($H$1,floors!$1:$1,0)+1),MATCH(I$1,floors!$1:$1,0)-MATCH($H$1,floors!$1:$1,0)+1,FALSE)</f>
        <v>60</v>
      </c>
      <c r="J13" s="21">
        <f ca="1">VLOOKUP($H13,OFFSET(floors!$A$1,0,0,COUNTA(floors!$A:$A),MATCH(J$1,floors!$1:$1,0)-MATCH($H$1,floors!$1:$1,0)+1),MATCH(J$1,floors!$1:$1,0)-MATCH($H$1,floors!$1:$1,0)+1,FALSE)</f>
        <v>60</v>
      </c>
      <c r="K13" s="37" t="s">
        <v>67</v>
      </c>
      <c r="L13" s="41">
        <v>57</v>
      </c>
      <c r="M13" s="19" t="str">
        <f ca="1">VLOOKUP(L13,[2]enemies!$A:$B,2,FALSE)</f>
        <v>チェン・リー</v>
      </c>
      <c r="N13" s="21" t="str">
        <f ca="1">VLOOKUP(L13,[2]enemies!$A:$D,4,FALSE)</f>
        <v>red</v>
      </c>
      <c r="O13" s="21" t="str">
        <f>VLOOKUP(L13,[3]characters!$A:$J,10,FALSE)</f>
        <v>Drop1N</v>
      </c>
      <c r="P13" s="20" t="str">
        <f>VLOOKUP(L13,[3]characters!$A:$M,13,FALSE)</f>
        <v>animal</v>
      </c>
      <c r="Q13" s="4">
        <f ca="1">VLOOKUP(L13,[2]enemies!$A:$X,24,FALSE)</f>
        <v>15</v>
      </c>
      <c r="R13" s="52">
        <v>57</v>
      </c>
      <c r="S13" s="53">
        <v>0.9</v>
      </c>
      <c r="T13" s="53">
        <v>0.8</v>
      </c>
      <c r="U13" s="52">
        <v>0</v>
      </c>
      <c r="V13" s="21" t="str">
        <f ca="1">VLOOKUP($W13,OFFSET([4]enemy_skill_sets!$B$1,0,0,COUNTA([4]enemy_skill_sets!$B:$B),MATCH(M$1,[4]enemy_skill_sets!$1:$1,0)-MATCH($W$1,[4]enemy_skill_sets!$1:$1,0)+2),MATCH(M$1,[4]enemy_skill_sets!$1:$1,0)-MATCH($W$1,[4]enemy_skill_sets!$1:$1,0)+2,FALSE)</f>
        <v>3ターン攻撃力小UP</v>
      </c>
      <c r="W13" s="48">
        <v>5701</v>
      </c>
      <c r="X13" s="49">
        <v>1</v>
      </c>
      <c r="Y13" s="49">
        <v>100</v>
      </c>
      <c r="Z13" s="49">
        <v>0</v>
      </c>
      <c r="AA13" s="4">
        <f ca="1">VLOOKUP(L13,[2]enemies!$A:$V,22,FALSE)</f>
        <v>2</v>
      </c>
      <c r="AB13" s="15">
        <f t="shared" si="4"/>
        <v>57</v>
      </c>
      <c r="AC13" s="4" t="str">
        <f ca="1">VLOOKUP(L13,[2]enemies!$A:$B,2,FALSE)</f>
        <v>チェン・リー</v>
      </c>
      <c r="AD13" s="4">
        <f ca="1">VLOOKUP(L13,[2]enemies!$A:$E,3,FALSE)</f>
        <v>2</v>
      </c>
      <c r="AE13" s="4" t="str">
        <f>VLOOKUP(L13,[3]characters!$A:$J,10,FALSE)</f>
        <v>Drop1N</v>
      </c>
      <c r="AF13" s="50">
        <v>8</v>
      </c>
      <c r="AG13" s="51">
        <f t="shared" ca="1" si="3"/>
        <v>2</v>
      </c>
      <c r="AH13" s="49">
        <v>15</v>
      </c>
      <c r="AI13" s="50">
        <v>0</v>
      </c>
      <c r="AJ13" s="50">
        <v>0</v>
      </c>
      <c r="AK13" s="50">
        <v>0</v>
      </c>
      <c r="AL13" s="50">
        <v>0</v>
      </c>
      <c r="AM13" s="50">
        <v>1</v>
      </c>
    </row>
    <row r="14" spans="1:39" ht="21" customHeight="1" x14ac:dyDescent="0.15">
      <c r="A14" s="44" t="str">
        <f t="shared" ca="1" si="0"/>
        <v>30009_2-3/366&lt;lv58&gt;s3</v>
      </c>
      <c r="B14" s="45">
        <v>30009</v>
      </c>
      <c r="C14" s="41">
        <v>2</v>
      </c>
      <c r="D14" s="15" t="str">
        <f t="shared" si="1"/>
        <v>30009_2</v>
      </c>
      <c r="E14" s="21" t="str">
        <f ca="1">VLOOKUP($B14,OFFSET([1]quests!$A$1,0,0,COUNTA([1]quests!$A:$A),MATCH(E$1,[1]quests!$1:$1,0)-MATCH($B$1,[1]quests!$1:$1,0)+1),MATCH(E$1,[1]quests!$1:$1,0)-MATCH($B$1,[1]quests!$1:$1,0)+1,FALSE)</f>
        <v>復活の捕食者</v>
      </c>
      <c r="F14" s="21" t="str">
        <f ca="1">VLOOKUP($D14,OFFSET([1]stages!$A$1,0,0,COUNTA([1]stages!$A:$A),MATCH(F$1,[1]stages!$2:$2,0)-MATCH($D$1,[1]stages!$2:$2,0)+1),MATCH(F$1,[1]stages!$2:$2,0)-MATCH($D$1,[1]stages!$2:$2,0)+1,FALSE)</f>
        <v>【超絶級】復活の捕食者</v>
      </c>
      <c r="G14" s="41">
        <v>3</v>
      </c>
      <c r="H14" s="15" t="str">
        <f t="shared" si="2"/>
        <v>30009_2-3</v>
      </c>
      <c r="I14" s="21">
        <f ca="1">VLOOKUP($H14,OFFSET(floors!$A$1,0,0,COUNTA(floors!$A:$A),MATCH(I$1,floors!$1:$1,0)-MATCH($H$1,floors!$1:$1,0)+1),MATCH(I$1,floors!$1:$1,0)-MATCH($H$1,floors!$1:$1,0)+1,FALSE)</f>
        <v>60</v>
      </c>
      <c r="J14" s="21">
        <f ca="1">VLOOKUP($H14,OFFSET(floors!$A$1,0,0,COUNTA(floors!$A:$A),MATCH(J$1,floors!$1:$1,0)-MATCH($H$1,floors!$1:$1,0)+1),MATCH(J$1,floors!$1:$1,0)-MATCH($H$1,floors!$1:$1,0)+1,FALSE)</f>
        <v>60</v>
      </c>
      <c r="K14" s="37" t="s">
        <v>67</v>
      </c>
      <c r="L14" s="41">
        <v>366</v>
      </c>
      <c r="M14" s="19" t="str">
        <f ca="1">VLOOKUP(L14,[2]enemies!$A:$B,2,FALSE)</f>
        <v>トト</v>
      </c>
      <c r="N14" s="21" t="str">
        <f ca="1">VLOOKUP(L14,[2]enemies!$A:$D,4,FALSE)</f>
        <v>yellow</v>
      </c>
      <c r="O14" s="21" t="str">
        <f>VLOOKUP(L14,[3]characters!$A:$J,10,FALSE)</f>
        <v>Drop1S</v>
      </c>
      <c r="P14" s="20" t="str">
        <f>VLOOKUP(L14,[3]characters!$A:$M,13,FALSE)</f>
        <v>animal</v>
      </c>
      <c r="Q14" s="4">
        <f ca="1">VLOOKUP(L14,[2]enemies!$A:$X,24,FALSE)</f>
        <v>15</v>
      </c>
      <c r="R14" s="52">
        <v>58</v>
      </c>
      <c r="S14" s="53">
        <v>1</v>
      </c>
      <c r="T14" s="53">
        <v>0.9</v>
      </c>
      <c r="U14" s="52">
        <v>0</v>
      </c>
      <c r="V14" s="21" t="str">
        <f ca="1">VLOOKUP($W14,OFFSET([4]enemy_skill_sets!$B$1,0,0,COUNTA([4]enemy_skill_sets!$B:$B),MATCH(M$1,[4]enemy_skill_sets!$1:$1,0)-MATCH($W$1,[4]enemy_skill_sets!$1:$1,0)+2),MATCH(M$1,[4]enemy_skill_sets!$1:$1,0)-MATCH($W$1,[4]enemy_skill_sets!$1:$1,0)+2,FALSE)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14" s="48">
        <v>1301</v>
      </c>
      <c r="X14" s="49">
        <v>2</v>
      </c>
      <c r="Y14" s="49">
        <v>100</v>
      </c>
      <c r="Z14" s="49">
        <v>0</v>
      </c>
      <c r="AA14" s="4">
        <f ca="1">VLOOKUP(L14,[2]enemies!$A:$V,22,FALSE)</f>
        <v>3</v>
      </c>
      <c r="AB14" s="15">
        <f>L14</f>
        <v>366</v>
      </c>
      <c r="AC14" s="4" t="str">
        <f ca="1">VLOOKUP(L14,[2]enemies!$A:$B,2,FALSE)</f>
        <v>トト</v>
      </c>
      <c r="AD14" s="4">
        <f ca="1">VLOOKUP(L14,[2]enemies!$A:$E,3,FALSE)</f>
        <v>2</v>
      </c>
      <c r="AE14" s="4" t="str">
        <f>VLOOKUP(L14,[3]characters!$A:$J,10,FALSE)</f>
        <v>Drop1S</v>
      </c>
      <c r="AF14" s="50">
        <v>1</v>
      </c>
      <c r="AG14" s="51">
        <f t="shared" ca="1" si="3"/>
        <v>2</v>
      </c>
      <c r="AH14" s="49">
        <v>15</v>
      </c>
      <c r="AI14" s="50">
        <v>0</v>
      </c>
      <c r="AJ14" s="50">
        <v>0</v>
      </c>
      <c r="AK14" s="50">
        <v>0</v>
      </c>
      <c r="AL14" s="50">
        <v>0</v>
      </c>
      <c r="AM14" s="50">
        <v>1</v>
      </c>
    </row>
    <row r="15" spans="1:39" ht="21" customHeight="1" x14ac:dyDescent="0.15">
      <c r="A15" s="44" t="str">
        <f t="shared" ca="1" si="0"/>
        <v>30009_2-3/13&lt;lv58&gt;s2</v>
      </c>
      <c r="B15" s="45">
        <v>30009</v>
      </c>
      <c r="C15" s="41">
        <v>2</v>
      </c>
      <c r="D15" s="15" t="str">
        <f t="shared" si="1"/>
        <v>30009_2</v>
      </c>
      <c r="E15" s="21" t="str">
        <f ca="1">VLOOKUP($B15,OFFSET([1]quests!$A$1,0,0,COUNTA([1]quests!$A:$A),MATCH(E$1,[1]quests!$1:$1,0)-MATCH($B$1,[1]quests!$1:$1,0)+1),MATCH(E$1,[1]quests!$1:$1,0)-MATCH($B$1,[1]quests!$1:$1,0)+1,FALSE)</f>
        <v>復活の捕食者</v>
      </c>
      <c r="F15" s="21" t="str">
        <f ca="1">VLOOKUP($D15,OFFSET([1]stages!$A$1,0,0,COUNTA([1]stages!$A:$A),MATCH(F$1,[1]stages!$2:$2,0)-MATCH($D$1,[1]stages!$2:$2,0)+1),MATCH(F$1,[1]stages!$2:$2,0)-MATCH($D$1,[1]stages!$2:$2,0)+1,FALSE)</f>
        <v>【超絶級】復活の捕食者</v>
      </c>
      <c r="G15" s="41">
        <v>3</v>
      </c>
      <c r="H15" s="15" t="str">
        <f t="shared" si="2"/>
        <v>30009_2-3</v>
      </c>
      <c r="I15" s="21">
        <f ca="1">VLOOKUP($H15,OFFSET(floors!$A$1,0,0,COUNTA(floors!$A:$A),MATCH(I$1,floors!$1:$1,0)-MATCH($H$1,floors!$1:$1,0)+1),MATCH(I$1,floors!$1:$1,0)-MATCH($H$1,floors!$1:$1,0)+1,FALSE)</f>
        <v>60</v>
      </c>
      <c r="J15" s="21">
        <f ca="1">VLOOKUP($H15,OFFSET(floors!$A$1,0,0,COUNTA(floors!$A:$A),MATCH(J$1,floors!$1:$1,0)-MATCH($H$1,floors!$1:$1,0)+1),MATCH(J$1,floors!$1:$1,0)-MATCH($H$1,floors!$1:$1,0)+1,FALSE)</f>
        <v>60</v>
      </c>
      <c r="K15" s="37" t="s">
        <v>67</v>
      </c>
      <c r="L15" s="41">
        <v>13</v>
      </c>
      <c r="M15" s="19" t="str">
        <f ca="1">VLOOKUP(L15,[2]enemies!$A:$B,2,FALSE)</f>
        <v>ミミ</v>
      </c>
      <c r="N15" s="21" t="str">
        <f ca="1">VLOOKUP(L15,[2]enemies!$A:$D,4,FALSE)</f>
        <v>yellow</v>
      </c>
      <c r="O15" s="21" t="str">
        <f>VLOOKUP(L15,[3]characters!$A:$J,10,FALSE)</f>
        <v>Drop1W</v>
      </c>
      <c r="P15" s="20" t="str">
        <f>VLOOKUP(L15,[3]characters!$A:$M,13,FALSE)</f>
        <v>animal</v>
      </c>
      <c r="Q15" s="4">
        <f ca="1">VLOOKUP(L15,[2]enemies!$A:$X,24,FALSE)</f>
        <v>15</v>
      </c>
      <c r="R15" s="52">
        <v>58</v>
      </c>
      <c r="S15" s="53">
        <v>1</v>
      </c>
      <c r="T15" s="53">
        <v>1</v>
      </c>
      <c r="U15" s="52">
        <v>0</v>
      </c>
      <c r="V15" s="21" t="str">
        <f ca="1">VLOOKUP($W15,OFFSET([4]enemy_skill_sets!$B$1,0,0,COUNTA([4]enemy_skill_sets!$B:$B),MATCH(M$1,[4]enemy_skill_sets!$1:$1,0)-MATCH($W$1,[4]enemy_skill_sets!$1:$1,0)+2),MATCH(M$1,[4]enemy_skill_sets!$1:$1,0)-MATCH($W$1,[4]enemy_skill_sets!$1:$1,0)+2,FALSE)</f>
        <v>何かに怯えているようだ…</v>
      </c>
      <c r="W15" s="48">
        <v>1301</v>
      </c>
      <c r="X15" s="49">
        <v>1</v>
      </c>
      <c r="Y15" s="49">
        <v>100</v>
      </c>
      <c r="Z15" s="49">
        <v>0</v>
      </c>
      <c r="AA15" s="4">
        <f ca="1">VLOOKUP(L15,[2]enemies!$A:$V,22,FALSE)</f>
        <v>2</v>
      </c>
      <c r="AB15" s="15">
        <f>L15</f>
        <v>13</v>
      </c>
      <c r="AC15" s="4" t="str">
        <f ca="1">VLOOKUP(L15,[2]enemies!$A:$B,2,FALSE)</f>
        <v>ミミ</v>
      </c>
      <c r="AD15" s="4">
        <f ca="1">VLOOKUP(L15,[2]enemies!$A:$E,3,FALSE)</f>
        <v>1</v>
      </c>
      <c r="AE15" s="4" t="str">
        <f>VLOOKUP(L15,[3]characters!$A:$J,10,FALSE)</f>
        <v>Drop1W</v>
      </c>
      <c r="AF15" s="50">
        <v>10</v>
      </c>
      <c r="AG15" s="51">
        <f t="shared" ca="1" si="3"/>
        <v>1</v>
      </c>
      <c r="AH15" s="49">
        <v>15</v>
      </c>
      <c r="AI15" s="50">
        <v>0</v>
      </c>
      <c r="AJ15" s="50">
        <v>0</v>
      </c>
      <c r="AK15" s="50">
        <v>0</v>
      </c>
      <c r="AL15" s="50">
        <v>0</v>
      </c>
      <c r="AM15" s="50">
        <v>1</v>
      </c>
    </row>
    <row r="16" spans="1:39" ht="21" customHeight="1" x14ac:dyDescent="0.15">
      <c r="A16" s="44" t="str">
        <f t="shared" si="0"/>
        <v>30009_2-4/63&lt;lv60&gt;s2</v>
      </c>
      <c r="B16" s="45">
        <v>30009</v>
      </c>
      <c r="C16" s="41">
        <v>2</v>
      </c>
      <c r="D16" s="15" t="str">
        <f t="shared" si="1"/>
        <v>30009_2</v>
      </c>
      <c r="E16" s="21" t="str">
        <f ca="1">VLOOKUP($B16,OFFSET([1]quests!$A$1,0,0,COUNTA([1]quests!$A:$A),MATCH(E$1,[1]quests!$1:$1,0)-MATCH($B$1,[1]quests!$1:$1,0)+1),MATCH(E$1,[1]quests!$1:$1,0)-MATCH($B$1,[1]quests!$1:$1,0)+1,FALSE)</f>
        <v>復活の捕食者</v>
      </c>
      <c r="F16" s="21" t="str">
        <f ca="1">VLOOKUP($D16,OFFSET([1]stages!$A$1,0,0,COUNTA([1]stages!$A:$A),MATCH(F$1,[1]stages!$2:$2,0)-MATCH($D$1,[1]stages!$2:$2,0)+1),MATCH(F$1,[1]stages!$2:$2,0)-MATCH($D$1,[1]stages!$2:$2,0)+1,FALSE)</f>
        <v>【超絶級】復活の捕食者</v>
      </c>
      <c r="G16" s="41">
        <v>4</v>
      </c>
      <c r="H16" s="15" t="str">
        <f t="shared" si="2"/>
        <v>30009_2-4</v>
      </c>
      <c r="I16" s="21">
        <f ca="1">VLOOKUP($H16,OFFSET(floors!$A$1,0,0,COUNTA(floors!$A:$A),MATCH(I$1,floors!$1:$1,0)-MATCH($H$1,floors!$1:$1,0)+1),MATCH(I$1,floors!$1:$1,0)-MATCH($H$1,floors!$1:$1,0)+1,FALSE)</f>
        <v>60</v>
      </c>
      <c r="J16" s="21">
        <f ca="1">VLOOKUP($H16,OFFSET(floors!$A$1,0,0,COUNTA(floors!$A:$A),MATCH(J$1,floors!$1:$1,0)-MATCH($H$1,floors!$1:$1,0)+1),MATCH(J$1,floors!$1:$1,0)-MATCH($H$1,floors!$1:$1,0)+1,FALSE)</f>
        <v>60</v>
      </c>
      <c r="K16" s="37" t="s">
        <v>67</v>
      </c>
      <c r="L16" s="41">
        <v>63</v>
      </c>
      <c r="M16" s="19" t="str">
        <f ca="1">VLOOKUP(L16,[2]enemies!$A:$B,2,FALSE)</f>
        <v>トニー</v>
      </c>
      <c r="N16" s="21" t="str">
        <f ca="1">VLOOKUP(L16,[2]enemies!$A:$D,4,FALSE)</f>
        <v>yellow</v>
      </c>
      <c r="O16" s="21" t="str">
        <f>VLOOKUP(L16,[3]characters!$A:$J,10,FALSE)</f>
        <v>Drop1N</v>
      </c>
      <c r="P16" s="20" t="str">
        <f>VLOOKUP(L16,[3]characters!$A:$M,13,FALSE)</f>
        <v>animal</v>
      </c>
      <c r="Q16" s="4">
        <f ca="1">VLOOKUP(L16,[2]enemies!$A:$X,24,FALSE)</f>
        <v>15</v>
      </c>
      <c r="R16" s="52">
        <v>60</v>
      </c>
      <c r="S16" s="53">
        <v>2</v>
      </c>
      <c r="T16" s="53">
        <v>1</v>
      </c>
      <c r="U16" s="52">
        <v>0</v>
      </c>
      <c r="V16" s="21" t="str">
        <f ca="1">VLOOKUP($W16,OFFSET([4]enemy_skill_sets!$B$1,0,0,COUNTA([4]enemy_skill_sets!$B:$B),MATCH(M$1,[4]enemy_skill_sets!$1:$1,0)-MATCH($W$1,[4]enemy_skill_sets!$1:$1,0)+2),MATCH(M$1,[4]enemy_skill_sets!$1:$1,0)-MATCH($W$1,[4]enemy_skill_sets!$1:$1,0)+2,FALSE)</f>
        <v>アノマロカリスが捕食した！</v>
      </c>
      <c r="W16" s="48">
        <v>6302</v>
      </c>
      <c r="X16" s="49">
        <v>1</v>
      </c>
      <c r="Y16" s="49">
        <v>100</v>
      </c>
      <c r="Z16" s="49">
        <v>2</v>
      </c>
      <c r="AA16" s="54">
        <v>2</v>
      </c>
      <c r="AB16" s="15">
        <f>L16</f>
        <v>63</v>
      </c>
      <c r="AC16" s="4" t="str">
        <f ca="1">VLOOKUP(L16,[2]enemies!$A:$B,2,FALSE)</f>
        <v>トニー</v>
      </c>
      <c r="AD16" s="4">
        <f ca="1">VLOOKUP(L16,[2]enemies!$A:$E,3,FALSE)</f>
        <v>2</v>
      </c>
      <c r="AE16" s="4" t="str">
        <f>VLOOKUP(L16,[3]characters!$A:$J,10,FALSE)</f>
        <v>Drop1N</v>
      </c>
      <c r="AF16" s="50">
        <v>8</v>
      </c>
      <c r="AG16" s="51">
        <f t="shared" ref="AG16" ca="1" si="5">AD16</f>
        <v>2</v>
      </c>
      <c r="AH16" s="49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1</v>
      </c>
    </row>
    <row r="17" spans="1:39" ht="21" customHeight="1" x14ac:dyDescent="0.15">
      <c r="A17" s="44" t="str">
        <f t="shared" ca="1" si="0"/>
        <v>30009_2-4/312&lt;lv78&gt;s2</v>
      </c>
      <c r="B17" s="45">
        <v>30009</v>
      </c>
      <c r="C17" s="41">
        <v>2</v>
      </c>
      <c r="D17" s="15" t="str">
        <f t="shared" si="1"/>
        <v>30009_2</v>
      </c>
      <c r="E17" s="21" t="str">
        <f ca="1">VLOOKUP($B17,OFFSET([1]quests!$A$1,0,0,COUNTA([1]quests!$A:$A),MATCH(E$1,[1]quests!$1:$1,0)-MATCH($B$1,[1]quests!$1:$1,0)+1),MATCH(E$1,[1]quests!$1:$1,0)-MATCH($B$1,[1]quests!$1:$1,0)+1,FALSE)</f>
        <v>復活の捕食者</v>
      </c>
      <c r="F17" s="21" t="str">
        <f ca="1">VLOOKUP($D17,OFFSET([1]stages!$A$1,0,0,COUNTA([1]stages!$A:$A),MATCH(F$1,[1]stages!$2:$2,0)-MATCH($D$1,[1]stages!$2:$2,0)+1),MATCH(F$1,[1]stages!$2:$2,0)-MATCH($D$1,[1]stages!$2:$2,0)+1,FALSE)</f>
        <v>【超絶級】復活の捕食者</v>
      </c>
      <c r="G17" s="41">
        <v>4</v>
      </c>
      <c r="H17" s="15" t="str">
        <f t="shared" si="2"/>
        <v>30009_2-4</v>
      </c>
      <c r="I17" s="21">
        <f ca="1">VLOOKUP($H17,OFFSET(floors!$A$1,0,0,COUNTA(floors!$A:$A),MATCH(I$1,floors!$1:$1,0)-MATCH($H$1,floors!$1:$1,0)+1),MATCH(I$1,floors!$1:$1,0)-MATCH($H$1,floors!$1:$1,0)+1,FALSE)</f>
        <v>60</v>
      </c>
      <c r="J17" s="21">
        <f ca="1">VLOOKUP($H17,OFFSET(floors!$A$1,0,0,COUNTA(floors!$A:$A),MATCH(J$1,floors!$1:$1,0)-MATCH($H$1,floors!$1:$1,0)+1),MATCH(J$1,floors!$1:$1,0)-MATCH($H$1,floors!$1:$1,0)+1,FALSE)</f>
        <v>60</v>
      </c>
      <c r="K17" s="37">
        <v>3</v>
      </c>
      <c r="L17" s="41">
        <v>312</v>
      </c>
      <c r="M17" s="19" t="str">
        <f ca="1">VLOOKUP(L17,[2]enemies!$A:$B,2,FALSE)</f>
        <v>アノマロカリス</v>
      </c>
      <c r="N17" s="21" t="str">
        <f ca="1">VLOOKUP(L17,[2]enemies!$A:$D,4,FALSE)</f>
        <v>yellow</v>
      </c>
      <c r="O17" s="21" t="str">
        <f>VLOOKUP(L17,[3]characters!$A:$J,10,FALSE)</f>
        <v>Drop2N</v>
      </c>
      <c r="P17" s="20" t="str">
        <f>VLOOKUP(L17,[3]characters!$A:$M,13,FALSE)</f>
        <v>animal</v>
      </c>
      <c r="Q17" s="4">
        <f ca="1">VLOOKUP(L17,[2]enemies!$A:$X,24,FALSE)</f>
        <v>30</v>
      </c>
      <c r="R17" s="52">
        <v>78</v>
      </c>
      <c r="S17" s="53">
        <v>1</v>
      </c>
      <c r="T17" s="53">
        <v>1.3</v>
      </c>
      <c r="U17" s="52">
        <v>0</v>
      </c>
      <c r="V17" s="21" t="str">
        <f ca="1">VLOOKUP($W17,OFFSET([4]enemy_skill_sets!$B$1,0,0,COUNTA([4]enemy_skill_sets!$B:$B),MATCH(M$1,[4]enemy_skill_sets!$1:$1,0)-MATCH($W$1,[4]enemy_skill_sets!$1:$1,0)+2),MATCH(M$1,[4]enemy_skill_sets!$1:$1,0)-MATCH($W$1,[4]enemy_skill_sets!$1:$1,0)+2,FALSE)</f>
        <v>時限式ダメージパネル出現</v>
      </c>
      <c r="W17" s="48">
        <v>31202</v>
      </c>
      <c r="X17" s="49">
        <v>1</v>
      </c>
      <c r="Y17" s="49">
        <v>100</v>
      </c>
      <c r="Z17" s="49">
        <v>1</v>
      </c>
      <c r="AA17" s="4">
        <f ca="1">VLOOKUP(L17,[2]enemies!$A:$V,22,FALSE)</f>
        <v>2</v>
      </c>
      <c r="AB17" s="41">
        <v>312</v>
      </c>
      <c r="AC17" s="4" t="str">
        <f ca="1">VLOOKUP(L17,[2]enemies!$A:$B,2,FALSE)</f>
        <v>アノマロカリス</v>
      </c>
      <c r="AD17" s="4">
        <f ca="1">VLOOKUP(L17,[2]enemies!$A:$E,3,FALSE)</f>
        <v>4</v>
      </c>
      <c r="AE17" s="4" t="str">
        <f>VLOOKUP(L17,[3]characters!$A:$J,10,FALSE)</f>
        <v>Drop2N</v>
      </c>
      <c r="AF17" s="50">
        <v>1</v>
      </c>
      <c r="AG17" s="51">
        <f t="shared" ca="1" si="3"/>
        <v>4</v>
      </c>
      <c r="AH17" s="49">
        <v>100</v>
      </c>
      <c r="AI17" s="50">
        <v>0</v>
      </c>
      <c r="AJ17" s="50">
        <v>0</v>
      </c>
      <c r="AK17" s="50">
        <v>0</v>
      </c>
      <c r="AL17" s="50">
        <v>0</v>
      </c>
      <c r="AM17" s="50">
        <v>1</v>
      </c>
    </row>
  </sheetData>
  <sheetProtection selectLockedCells="1" selectUnlockedCells="1"/>
  <autoFilter ref="B1:AH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W2" activePane="bottomRight" state="frozen"/>
      <selection pane="topRight" activeCell="N1" sqref="N1"/>
      <selection pane="bottomLeft" activeCell="A2" sqref="A2"/>
      <selection pane="bottomRight" activeCell="A5" sqref="A5:XFD7"/>
    </sheetView>
  </sheetViews>
  <sheetFormatPr baseColWidth="12" defaultColWidth="13" defaultRowHeight="21" customHeight="1" outlineLevelCol="1" x14ac:dyDescent="0.15"/>
  <cols>
    <col min="1" max="1" width="17" style="22" bestFit="1" customWidth="1"/>
    <col min="2" max="2" width="10.83203125" style="3" bestFit="1" customWidth="1"/>
    <col min="3" max="3" width="10.6640625" style="3" bestFit="1" customWidth="1"/>
    <col min="4" max="4" width="13" style="10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6" bestFit="1" customWidth="1"/>
    <col min="14" max="14" width="8.832031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31</v>
      </c>
      <c r="I1" s="29" t="s">
        <v>14</v>
      </c>
      <c r="J1" s="29" t="s">
        <v>15</v>
      </c>
      <c r="K1" s="35" t="s">
        <v>55</v>
      </c>
      <c r="L1" s="35" t="s">
        <v>57</v>
      </c>
      <c r="M1" s="36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50</v>
      </c>
      <c r="U1" s="26" t="s">
        <v>52</v>
      </c>
      <c r="V1" s="26" t="s">
        <v>54</v>
      </c>
      <c r="W1" s="29" t="s">
        <v>33</v>
      </c>
      <c r="X1" s="28" t="s">
        <v>4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30009_1-4/312&lt;lv60&gt;sq2st2</v>
      </c>
      <c r="B2" s="23">
        <v>30009</v>
      </c>
      <c r="C2" s="38">
        <v>1</v>
      </c>
      <c r="D2" s="15" t="str">
        <f t="shared" ref="D2:D4" si="0">B2&amp;"_"&amp;C2</f>
        <v>30009_1</v>
      </c>
      <c r="E2" s="4" t="str">
        <f ca="1">VLOOKUP($B2,OFFSET([1]quests!$A$1,0,0,COUNTA([1]quests!$A:$A),MATCH(E$1,[1]quests!$1:$1,0)-MATCH($B$1,[1]quests!$1:$1,0)+1),MATCH(E$1,[1]quests!$1:$1,0)-MATCH($B$1,[1]quests!$1:$1,0)+1,FALSE)</f>
        <v>復活の捕食者</v>
      </c>
      <c r="F2" s="4" t="str">
        <f ca="1">VLOOKUP($D2,OFFSET([1]stages!$A$1,0,0,COUNTA([1]stages!$A:$A),MATCH(F$1,[1]stages!$2:$2,0)-MATCH($D$1,[1]stages!$2:$2,0)+1),MATCH(F$1,[1]stages!$2:$2,0)-MATCH($D$1,[1]stages!$2:$2,0)+1,FALSE)</f>
        <v>【超級】復活の捕食者</v>
      </c>
      <c r="G2" s="38">
        <v>4</v>
      </c>
      <c r="H2" s="15" t="str">
        <f>B2&amp;"_"&amp;C2&amp;"-"&amp;G2</f>
        <v>30009_1-4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2</v>
      </c>
      <c r="L2" s="37">
        <v>2</v>
      </c>
      <c r="M2" s="42">
        <v>312</v>
      </c>
      <c r="N2" s="19" t="str">
        <f ca="1">VLOOKUP(M2,[2]enemies!$A:$B,2,FALSE)</f>
        <v>アノマロカリス</v>
      </c>
      <c r="O2" s="21" t="str">
        <f ca="1">VLOOKUP(M2,[2]enemies!$A:$D,4,FALSE)</f>
        <v>yellow</v>
      </c>
      <c r="P2" s="21" t="str">
        <f>VLOOKUP(M2,[3]characters!$A:$J,10,FALSE)</f>
        <v>Drop2N</v>
      </c>
      <c r="Q2" s="20" t="str">
        <f>VLOOKUP(M2,[3]characters!$A:$M,13,FALSE)</f>
        <v>animal</v>
      </c>
      <c r="R2" s="4">
        <f ca="1">VLOOKUP(M2,[2]enemies!$A:$X,24,FALSE)</f>
        <v>30</v>
      </c>
      <c r="S2" s="5">
        <v>60</v>
      </c>
      <c r="T2" s="25">
        <v>1.1000000000000001</v>
      </c>
      <c r="U2" s="25">
        <v>1.5</v>
      </c>
      <c r="V2" s="5">
        <v>0</v>
      </c>
      <c r="W2" s="4" t="str">
        <f ca="1">VLOOKUP($X2,OFFSET([4]enemy_skill_sets!$B$1,0,0,COUNTA([4]enemy_skill_sets!$B:$B),MATCH(N$1,[4]enemy_skill_sets!$1:$1,0)-MATCH($X$1,[4]enemy_skill_sets!$1:$1,0)+2),MATCH(N$1,[4]enemy_skill_sets!$1:$1,0)-MATCH($X$1,[4]enemy_skill_sets!$1:$1,0)+2,FALSE)</f>
        <v>時限式ダメージパネル出現</v>
      </c>
      <c r="X2" s="4">
        <v>31203</v>
      </c>
      <c r="Y2" s="4">
        <f ca="1">VLOOKUP(M2,[2]enemies!$A:$V,22,FALSE)</f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30009_2-4/312&lt;lv70&gt;sq3st2</v>
      </c>
      <c r="B3" s="23">
        <v>30009</v>
      </c>
      <c r="C3" s="38">
        <v>2</v>
      </c>
      <c r="D3" s="15" t="str">
        <f t="shared" si="0"/>
        <v>30009_2</v>
      </c>
      <c r="E3" s="4" t="str">
        <f ca="1">VLOOKUP($B3,OFFSET([1]quests!$A$1,0,0,COUNTA([1]quests!$A:$A),MATCH(E$1,[1]quests!$1:$1,0)-MATCH($B$1,[1]quests!$1:$1,0)+1),MATCH(E$1,[1]quests!$1:$1,0)-MATCH($B$1,[1]quests!$1:$1,0)+1,FALSE)</f>
        <v>復活の捕食者</v>
      </c>
      <c r="F3" s="4" t="str">
        <f ca="1">VLOOKUP($D3,OFFSET([1]stages!$A$1,0,0,COUNTA([1]stages!$A:$A),MATCH(F$1,[1]stages!$2:$2,0)-MATCH($D$1,[1]stages!$2:$2,0)+1),MATCH(F$1,[1]stages!$2:$2,0)-MATCH($D$1,[1]stages!$2:$2,0)+1,FALSE)</f>
        <v>【超絶級】復活の捕食者</v>
      </c>
      <c r="G3" s="38">
        <v>4</v>
      </c>
      <c r="H3" s="15" t="str">
        <f>B3&amp;"_"&amp;C3&amp;"-"&amp;G3</f>
        <v>30009_2-4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3</v>
      </c>
      <c r="L3" s="37">
        <v>2</v>
      </c>
      <c r="M3" s="42">
        <v>312</v>
      </c>
      <c r="N3" s="19" t="str">
        <f ca="1">VLOOKUP(M3,[2]enemies!$A:$B,2,FALSE)</f>
        <v>アノマロカリス</v>
      </c>
      <c r="O3" s="21" t="str">
        <f ca="1">VLOOKUP(M3,[2]enemies!$A:$D,4,FALSE)</f>
        <v>yellow</v>
      </c>
      <c r="P3" s="21" t="str">
        <f>VLOOKUP(M3,[3]characters!$A:$J,10,FALSE)</f>
        <v>Drop2N</v>
      </c>
      <c r="Q3" s="20" t="str">
        <f>VLOOKUP(M3,[3]characters!$A:$M,13,FALSE)</f>
        <v>animal</v>
      </c>
      <c r="R3" s="4">
        <f ca="1">VLOOKUP(M3,[2]enemies!$A:$X,24,FALSE)</f>
        <v>30</v>
      </c>
      <c r="S3" s="5">
        <v>70</v>
      </c>
      <c r="T3" s="25">
        <v>1.1000000000000001</v>
      </c>
      <c r="U3" s="25">
        <v>1.5</v>
      </c>
      <c r="V3" s="5">
        <v>0</v>
      </c>
      <c r="W3" s="4" t="str">
        <f ca="1">VLOOKUP($X3,OFFSET([4]enemy_skill_sets!$B$1,0,0,COUNTA([4]enemy_skill_sets!$B:$B),MATCH(N$1,[4]enemy_skill_sets!$1:$1,0)-MATCH($X$1,[4]enemy_skill_sets!$1:$1,0)+2),MATCH(N$1,[4]enemy_skill_sets!$1:$1,0)-MATCH($X$1,[4]enemy_skill_sets!$1:$1,0)+2,FALSE)</f>
        <v>時限式ダメージパネル出現</v>
      </c>
      <c r="X3" s="4">
        <v>31203</v>
      </c>
      <c r="Y3" s="4">
        <f ca="1">VLOOKUP(M3,[2]enemies!$A:$V,22,FALSE)</f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30009_2-4/312&lt;lv70&gt;sq3st3</v>
      </c>
      <c r="B4" s="23">
        <v>30009</v>
      </c>
      <c r="C4" s="38">
        <v>2</v>
      </c>
      <c r="D4" s="15" t="str">
        <f t="shared" si="0"/>
        <v>30009_2</v>
      </c>
      <c r="E4" s="4" t="str">
        <f ca="1">VLOOKUP($B4,OFFSET([1]quests!$A$1,0,0,COUNTA([1]quests!$A:$A),MATCH(E$1,[1]quests!$1:$1,0)-MATCH($B$1,[1]quests!$1:$1,0)+1),MATCH(E$1,[1]quests!$1:$1,0)-MATCH($B$1,[1]quests!$1:$1,0)+1,FALSE)</f>
        <v>復活の捕食者</v>
      </c>
      <c r="F4" s="4" t="str">
        <f ca="1">VLOOKUP($D4,OFFSET([1]stages!$A$1,0,0,COUNTA([1]stages!$A:$A),MATCH(F$1,[1]stages!$2:$2,0)-MATCH($D$1,[1]stages!$2:$2,0)+1),MATCH(F$1,[1]stages!$2:$2,0)-MATCH($D$1,[1]stages!$2:$2,0)+1,FALSE)</f>
        <v>【超絶級】復活の捕食者</v>
      </c>
      <c r="G4" s="38">
        <v>4</v>
      </c>
      <c r="H4" s="15" t="str">
        <f>B4&amp;"_"&amp;C4&amp;"-"&amp;G4</f>
        <v>30009_2-4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3</v>
      </c>
      <c r="M4" s="42">
        <v>312</v>
      </c>
      <c r="N4" s="19" t="str">
        <f ca="1">VLOOKUP(M4,[2]enemies!$A:$B,2,FALSE)</f>
        <v>アノマロカリス</v>
      </c>
      <c r="O4" s="21" t="str">
        <f ca="1">VLOOKUP(M4,[2]enemies!$A:$D,4,FALSE)</f>
        <v>yellow</v>
      </c>
      <c r="P4" s="21" t="str">
        <f>VLOOKUP(M4,[3]characters!$A:$J,10,FALSE)</f>
        <v>Drop2N</v>
      </c>
      <c r="Q4" s="20" t="str">
        <f>VLOOKUP(M4,[3]characters!$A:$M,13,FALSE)</f>
        <v>animal</v>
      </c>
      <c r="R4" s="4">
        <f ca="1">VLOOKUP(M4,[2]enemies!$A:$X,24,FALSE)</f>
        <v>30</v>
      </c>
      <c r="S4" s="5">
        <v>70</v>
      </c>
      <c r="T4" s="25">
        <v>1.3</v>
      </c>
      <c r="U4" s="25">
        <v>1.5</v>
      </c>
      <c r="V4" s="5">
        <v>0</v>
      </c>
      <c r="W4" s="4" t="str">
        <f ca="1">VLOOKUP($X4,OFFSET([4]enemy_skill_sets!$B$1,0,0,COUNTA([4]enemy_skill_sets!$B:$B),MATCH(N$1,[4]enemy_skill_sets!$1:$1,0)-MATCH($X$1,[4]enemy_skill_sets!$1:$1,0)+2),MATCH(N$1,[4]enemy_skill_sets!$1:$1,0)-MATCH($X$1,[4]enemy_skill_sets!$1:$1,0)+2,FALSE)</f>
        <v>2ターン攻撃頻度が1ターンにUP</v>
      </c>
      <c r="X4" s="4">
        <v>31204</v>
      </c>
      <c r="Y4" s="4">
        <f ca="1">VLOOKUP(M4,[2]enemies!$A:$V,22,FALSE)</f>
        <v>2</v>
      </c>
    </row>
  </sheetData>
  <sheetProtection selectLockedCells="1" selectUnlockedCells="1"/>
  <autoFilter ref="B1:Y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0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2" sqref="A11:XFD22"/>
    </sheetView>
  </sheetViews>
  <sheetFormatPr baseColWidth="12" defaultRowHeight="15" x14ac:dyDescent="0.15"/>
  <cols>
    <col min="1" max="1" width="10.1640625" style="17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1" customFormat="1" x14ac:dyDescent="0.15">
      <c r="A1" s="11" t="e">
        <f>MATCH(A2,INDIRECT(C1&amp;"!A:A"),0)-2</f>
        <v>#REF!</v>
      </c>
      <c r="B1" s="12" t="e">
        <f>"$"&amp;2+$A$1&amp;":$"&amp;2+$A$1</f>
        <v>#REF!</v>
      </c>
      <c r="C1" s="11" t="str">
        <f>SUBSTITUTE(RIGHT(CELL("filename",$C$1),LEN(CELL("filename",$C$1))-FIND("]",CELL("filename",$C$1))),".tmp","")</f>
        <v>floors_multi_3_1</v>
      </c>
    </row>
    <row r="2" spans="1:6" s="13" customFormat="1" x14ac:dyDescent="0.15">
      <c r="A2" s="17" t="s">
        <v>32</v>
      </c>
      <c r="B2" s="13" t="s">
        <v>0</v>
      </c>
      <c r="C2" s="13" t="s">
        <v>1</v>
      </c>
      <c r="D2" s="13" t="s">
        <v>13</v>
      </c>
      <c r="E2" s="13" t="s">
        <v>14</v>
      </c>
      <c r="F2" s="13" t="s">
        <v>15</v>
      </c>
    </row>
    <row r="3" spans="1:6" x14ac:dyDescent="0.15">
      <c r="A3" s="18" t="e">
        <f t="shared" ref="A3:A10" si="0">INDIRECT(ADDRESS(ROW()+$A$1,COLUMN(),1,TRUE,$C$1))</f>
        <v>#REF!</v>
      </c>
      <c r="B3" s="14" t="e">
        <f t="shared" ref="B3:F10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4" t="e">
        <f t="shared" si="1"/>
        <v>#REF!</v>
      </c>
      <c r="D3" s="14" t="e">
        <f t="shared" si="1"/>
        <v>#REF!</v>
      </c>
      <c r="E3" s="14" t="e">
        <f t="shared" si="1"/>
        <v>#REF!</v>
      </c>
      <c r="F3" s="14" t="e">
        <f t="shared" si="1"/>
        <v>#REF!</v>
      </c>
    </row>
    <row r="4" spans="1:6" x14ac:dyDescent="0.15">
      <c r="A4" s="18" t="e">
        <f t="shared" si="0"/>
        <v>#REF!</v>
      </c>
      <c r="B4" s="14" t="e">
        <f t="shared" si="1"/>
        <v>#REF!</v>
      </c>
      <c r="C4" s="14" t="e">
        <f t="shared" si="1"/>
        <v>#REF!</v>
      </c>
      <c r="D4" s="14" t="e">
        <f t="shared" si="1"/>
        <v>#REF!</v>
      </c>
      <c r="E4" s="14" t="e">
        <f t="shared" si="1"/>
        <v>#REF!</v>
      </c>
      <c r="F4" s="14" t="e">
        <f t="shared" si="1"/>
        <v>#REF!</v>
      </c>
    </row>
    <row r="5" spans="1:6" x14ac:dyDescent="0.15">
      <c r="A5" s="18" t="e">
        <f t="shared" si="0"/>
        <v>#REF!</v>
      </c>
      <c r="B5" s="14" t="e">
        <f t="shared" si="1"/>
        <v>#REF!</v>
      </c>
      <c r="C5" s="14" t="e">
        <f t="shared" si="1"/>
        <v>#REF!</v>
      </c>
      <c r="D5" s="14" t="e">
        <f t="shared" si="1"/>
        <v>#REF!</v>
      </c>
      <c r="E5" s="14" t="e">
        <f t="shared" si="1"/>
        <v>#REF!</v>
      </c>
      <c r="F5" s="14" t="e">
        <f t="shared" si="1"/>
        <v>#REF!</v>
      </c>
    </row>
    <row r="6" spans="1:6" x14ac:dyDescent="0.15">
      <c r="A6" s="18" t="e">
        <f t="shared" si="0"/>
        <v>#REF!</v>
      </c>
      <c r="B6" s="14" t="e">
        <f t="shared" si="1"/>
        <v>#REF!</v>
      </c>
      <c r="C6" s="14" t="e">
        <f t="shared" si="1"/>
        <v>#REF!</v>
      </c>
      <c r="D6" s="14" t="e">
        <f t="shared" si="1"/>
        <v>#REF!</v>
      </c>
      <c r="E6" s="14" t="e">
        <f t="shared" si="1"/>
        <v>#REF!</v>
      </c>
      <c r="F6" s="14" t="e">
        <f t="shared" si="1"/>
        <v>#REF!</v>
      </c>
    </row>
    <row r="7" spans="1:6" x14ac:dyDescent="0.15">
      <c r="A7" s="18" t="e">
        <f t="shared" si="0"/>
        <v>#REF!</v>
      </c>
      <c r="B7" s="14" t="e">
        <f t="shared" si="1"/>
        <v>#REF!</v>
      </c>
      <c r="C7" s="14" t="e">
        <f t="shared" si="1"/>
        <v>#REF!</v>
      </c>
      <c r="D7" s="14" t="e">
        <f t="shared" si="1"/>
        <v>#REF!</v>
      </c>
      <c r="E7" s="14" t="e">
        <f t="shared" si="1"/>
        <v>#REF!</v>
      </c>
      <c r="F7" s="14" t="e">
        <f t="shared" si="1"/>
        <v>#REF!</v>
      </c>
    </row>
    <row r="8" spans="1:6" x14ac:dyDescent="0.15">
      <c r="A8" s="18" t="e">
        <f t="shared" si="0"/>
        <v>#REF!</v>
      </c>
      <c r="B8" s="14" t="e">
        <f t="shared" si="1"/>
        <v>#REF!</v>
      </c>
      <c r="C8" s="14" t="e">
        <f t="shared" si="1"/>
        <v>#REF!</v>
      </c>
      <c r="D8" s="14" t="e">
        <f t="shared" si="1"/>
        <v>#REF!</v>
      </c>
      <c r="E8" s="14" t="e">
        <f t="shared" si="1"/>
        <v>#REF!</v>
      </c>
      <c r="F8" s="14" t="e">
        <f t="shared" si="1"/>
        <v>#REF!</v>
      </c>
    </row>
    <row r="9" spans="1:6" x14ac:dyDescent="0.15">
      <c r="A9" s="18" t="e">
        <f t="shared" si="0"/>
        <v>#REF!</v>
      </c>
      <c r="B9" s="14" t="e">
        <f t="shared" si="1"/>
        <v>#REF!</v>
      </c>
      <c r="C9" s="14" t="e">
        <f t="shared" si="1"/>
        <v>#REF!</v>
      </c>
      <c r="D9" s="14" t="e">
        <f t="shared" si="1"/>
        <v>#REF!</v>
      </c>
      <c r="E9" s="14" t="e">
        <f t="shared" si="1"/>
        <v>#REF!</v>
      </c>
      <c r="F9" s="14" t="e">
        <f t="shared" si="1"/>
        <v>#REF!</v>
      </c>
    </row>
    <row r="10" spans="1:6" x14ac:dyDescent="0.15">
      <c r="A10" s="18" t="e">
        <f t="shared" si="0"/>
        <v>#REF!</v>
      </c>
      <c r="B10" s="14" t="e">
        <f t="shared" si="1"/>
        <v>#REF!</v>
      </c>
      <c r="C10" s="14" t="e">
        <f t="shared" si="1"/>
        <v>#REF!</v>
      </c>
      <c r="D10" s="14" t="e">
        <f t="shared" si="1"/>
        <v>#REF!</v>
      </c>
      <c r="E10" s="14" t="e">
        <f t="shared" si="1"/>
        <v>#REF!</v>
      </c>
      <c r="F10" s="14" t="e">
        <f t="shared" si="1"/>
        <v>#REF!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37"/>
  <sheetViews>
    <sheetView zoomScale="75" zoomScaleNormal="75" zoomScalePageLayoutView="75"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G11" sqref="G11"/>
    </sheetView>
  </sheetViews>
  <sheetFormatPr baseColWidth="12" defaultRowHeight="15" x14ac:dyDescent="0.15"/>
  <cols>
    <col min="1" max="1" width="13.5" style="17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  <col min="24" max="24" width="7.5" bestFit="1" customWidth="1"/>
  </cols>
  <sheetData>
    <row r="1" spans="1:24" s="11" customFormat="1" x14ac:dyDescent="0.15">
      <c r="A1" s="11" t="e">
        <f>MATCH(A2,INDIRECT(C1&amp;"!A:A"),0)-2</f>
        <v>#REF!</v>
      </c>
      <c r="B1" s="12" t="e">
        <f>"$"&amp;2+$A$1&amp;":$"&amp;2+$A$1</f>
        <v>#REF!</v>
      </c>
      <c r="C1" s="11" t="str">
        <f>SUBSTITUTE(RIGHT(CELL("filename",$C$1),LEN(CELL("filename",$C$1))-FIND("]",CELL("filename",$C$1))),".tmp","")</f>
        <v>enemy_habitats_multi_3_1</v>
      </c>
    </row>
    <row r="2" spans="1:24" s="13" customFormat="1" x14ac:dyDescent="0.15">
      <c r="A2" s="17" t="s">
        <v>30</v>
      </c>
      <c r="B2" s="13" t="s">
        <v>0</v>
      </c>
      <c r="C2" s="13" t="s">
        <v>1</v>
      </c>
      <c r="D2" s="13" t="s">
        <v>13</v>
      </c>
      <c r="E2" s="13" t="s">
        <v>2</v>
      </c>
      <c r="F2" s="13" t="s">
        <v>3</v>
      </c>
      <c r="G2" s="13" t="s">
        <v>49</v>
      </c>
      <c r="H2" s="13" t="s">
        <v>51</v>
      </c>
      <c r="I2" s="13" t="s">
        <v>53</v>
      </c>
      <c r="J2" s="13" t="s">
        <v>22</v>
      </c>
      <c r="K2" s="13" t="s">
        <v>5</v>
      </c>
      <c r="L2" s="13" t="s">
        <v>6</v>
      </c>
      <c r="M2" s="13" t="s">
        <v>7</v>
      </c>
      <c r="N2" s="13" t="s">
        <v>8</v>
      </c>
      <c r="O2" s="13" t="s">
        <v>9</v>
      </c>
      <c r="P2" s="13" t="s">
        <v>10</v>
      </c>
      <c r="Q2" s="13" t="s">
        <v>11</v>
      </c>
      <c r="R2" s="13" t="s">
        <v>12</v>
      </c>
      <c r="S2" s="13" t="s">
        <v>39</v>
      </c>
      <c r="T2" s="13" t="s">
        <v>41</v>
      </c>
      <c r="U2" s="13" t="s">
        <v>43</v>
      </c>
      <c r="V2" s="13" t="s">
        <v>45</v>
      </c>
      <c r="W2" s="13" t="s">
        <v>47</v>
      </c>
      <c r="X2" s="13" t="s">
        <v>56</v>
      </c>
    </row>
    <row r="3" spans="1:24" x14ac:dyDescent="0.15">
      <c r="A3" s="18" t="e">
        <f>INDIRECT(ADDRESS(ROW()+$A$1,COLUMN(),1,TRUE,$C$1))</f>
        <v>#REF!</v>
      </c>
      <c r="B3" s="14" t="e">
        <f t="shared" ref="B3:X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4" t="e">
        <f t="shared" si="0"/>
        <v>#REF!</v>
      </c>
      <c r="D3" s="14" t="e">
        <f t="shared" si="0"/>
        <v>#REF!</v>
      </c>
      <c r="E3" s="14" t="e">
        <f t="shared" si="0"/>
        <v>#REF!</v>
      </c>
      <c r="F3" s="14" t="e">
        <f t="shared" si="0"/>
        <v>#REF!</v>
      </c>
      <c r="G3" s="14" t="e">
        <f t="shared" si="0"/>
        <v>#REF!</v>
      </c>
      <c r="H3" s="14" t="e">
        <f t="shared" si="0"/>
        <v>#REF!</v>
      </c>
      <c r="I3" s="14" t="e">
        <f t="shared" si="0"/>
        <v>#REF!</v>
      </c>
      <c r="J3" s="14" t="e">
        <f t="shared" si="0"/>
        <v>#REF!</v>
      </c>
      <c r="K3" s="14" t="e">
        <f t="shared" si="0"/>
        <v>#REF!</v>
      </c>
      <c r="L3" s="14" t="e">
        <f t="shared" si="0"/>
        <v>#REF!</v>
      </c>
      <c r="M3" s="14" t="e">
        <f t="shared" si="0"/>
        <v>#REF!</v>
      </c>
      <c r="N3" s="14" t="e">
        <f t="shared" si="0"/>
        <v>#REF!</v>
      </c>
      <c r="O3" s="14" t="e">
        <f t="shared" si="0"/>
        <v>#REF!</v>
      </c>
      <c r="P3" s="14" t="e">
        <f t="shared" si="0"/>
        <v>#REF!</v>
      </c>
      <c r="Q3" s="14" t="e">
        <f t="shared" si="0"/>
        <v>#REF!</v>
      </c>
      <c r="R3" s="14" t="e">
        <f t="shared" si="0"/>
        <v>#REF!</v>
      </c>
      <c r="S3" s="14" t="e">
        <f t="shared" si="0"/>
        <v>#REF!</v>
      </c>
      <c r="T3" s="14" t="e">
        <f t="shared" si="0"/>
        <v>#REF!</v>
      </c>
      <c r="U3" s="14" t="e">
        <f t="shared" si="0"/>
        <v>#REF!</v>
      </c>
      <c r="V3" s="14" t="e">
        <f t="shared" si="0"/>
        <v>#REF!</v>
      </c>
      <c r="W3" s="14" t="e">
        <f t="shared" si="0"/>
        <v>#REF!</v>
      </c>
      <c r="X3" s="14" t="e">
        <f t="shared" si="0"/>
        <v>#REF!</v>
      </c>
    </row>
    <row r="4" spans="1:24" x14ac:dyDescent="0.15">
      <c r="A4" s="18" t="e">
        <f t="shared" ref="A4:A18" si="1">INDIRECT(ADDRESS(ROW()+$A$1,COLUMN(),1,TRUE,$C$1))</f>
        <v>#REF!</v>
      </c>
      <c r="B4" s="14" t="e">
        <f t="shared" si="0"/>
        <v>#REF!</v>
      </c>
      <c r="C4" s="14" t="e">
        <f t="shared" si="0"/>
        <v>#REF!</v>
      </c>
      <c r="D4" s="14" t="e">
        <f t="shared" si="0"/>
        <v>#REF!</v>
      </c>
      <c r="E4" s="14" t="e">
        <f t="shared" si="0"/>
        <v>#REF!</v>
      </c>
      <c r="F4" s="14" t="e">
        <f t="shared" si="0"/>
        <v>#REF!</v>
      </c>
      <c r="G4" s="14" t="e">
        <f t="shared" si="0"/>
        <v>#REF!</v>
      </c>
      <c r="H4" s="14" t="e">
        <f t="shared" si="0"/>
        <v>#REF!</v>
      </c>
      <c r="I4" s="14" t="e">
        <f t="shared" si="0"/>
        <v>#REF!</v>
      </c>
      <c r="J4" s="14" t="e">
        <f t="shared" si="0"/>
        <v>#REF!</v>
      </c>
      <c r="K4" s="14" t="e">
        <f t="shared" si="0"/>
        <v>#REF!</v>
      </c>
      <c r="L4" s="14" t="e">
        <f t="shared" si="0"/>
        <v>#REF!</v>
      </c>
      <c r="M4" s="14" t="e">
        <f t="shared" si="0"/>
        <v>#REF!</v>
      </c>
      <c r="N4" s="14" t="e">
        <f t="shared" si="0"/>
        <v>#REF!</v>
      </c>
      <c r="O4" s="14" t="e">
        <f t="shared" si="0"/>
        <v>#REF!</v>
      </c>
      <c r="P4" s="14" t="e">
        <f t="shared" si="0"/>
        <v>#REF!</v>
      </c>
      <c r="Q4" s="14" t="e">
        <f t="shared" si="0"/>
        <v>#REF!</v>
      </c>
      <c r="R4" s="14" t="e">
        <f t="shared" si="0"/>
        <v>#REF!</v>
      </c>
      <c r="S4" s="14" t="e">
        <f t="shared" si="0"/>
        <v>#REF!</v>
      </c>
      <c r="T4" s="14" t="e">
        <f t="shared" si="0"/>
        <v>#REF!</v>
      </c>
      <c r="U4" s="14" t="e">
        <f t="shared" si="0"/>
        <v>#REF!</v>
      </c>
      <c r="V4" s="14" t="e">
        <f t="shared" si="0"/>
        <v>#REF!</v>
      </c>
      <c r="W4" s="14" t="e">
        <f t="shared" si="0"/>
        <v>#REF!</v>
      </c>
      <c r="X4" s="14" t="e">
        <f t="shared" si="0"/>
        <v>#REF!</v>
      </c>
    </row>
    <row r="5" spans="1:24" x14ac:dyDescent="0.15">
      <c r="A5" s="18" t="e">
        <f t="shared" si="1"/>
        <v>#REF!</v>
      </c>
      <c r="B5" s="14" t="e">
        <f t="shared" si="0"/>
        <v>#REF!</v>
      </c>
      <c r="C5" s="14" t="e">
        <f t="shared" si="0"/>
        <v>#REF!</v>
      </c>
      <c r="D5" s="14" t="e">
        <f t="shared" si="0"/>
        <v>#REF!</v>
      </c>
      <c r="E5" s="14" t="e">
        <f t="shared" si="0"/>
        <v>#REF!</v>
      </c>
      <c r="F5" s="14" t="e">
        <f t="shared" si="0"/>
        <v>#REF!</v>
      </c>
      <c r="G5" s="14" t="e">
        <f t="shared" si="0"/>
        <v>#REF!</v>
      </c>
      <c r="H5" s="14" t="e">
        <f t="shared" si="0"/>
        <v>#REF!</v>
      </c>
      <c r="I5" s="14" t="e">
        <f t="shared" si="0"/>
        <v>#REF!</v>
      </c>
      <c r="J5" s="14" t="e">
        <f t="shared" si="0"/>
        <v>#REF!</v>
      </c>
      <c r="K5" s="14" t="e">
        <f t="shared" si="0"/>
        <v>#REF!</v>
      </c>
      <c r="L5" s="14" t="e">
        <f t="shared" si="0"/>
        <v>#REF!</v>
      </c>
      <c r="M5" s="14" t="e">
        <f t="shared" si="0"/>
        <v>#REF!</v>
      </c>
      <c r="N5" s="14" t="e">
        <f t="shared" si="0"/>
        <v>#REF!</v>
      </c>
      <c r="O5" s="14" t="e">
        <f t="shared" si="0"/>
        <v>#REF!</v>
      </c>
      <c r="P5" s="14" t="e">
        <f t="shared" si="0"/>
        <v>#REF!</v>
      </c>
      <c r="Q5" s="14" t="e">
        <f t="shared" si="0"/>
        <v>#REF!</v>
      </c>
      <c r="R5" s="14" t="e">
        <f t="shared" si="0"/>
        <v>#REF!</v>
      </c>
      <c r="S5" s="14" t="e">
        <f t="shared" si="0"/>
        <v>#REF!</v>
      </c>
      <c r="T5" s="14" t="e">
        <f t="shared" si="0"/>
        <v>#REF!</v>
      </c>
      <c r="U5" s="14" t="e">
        <f t="shared" si="0"/>
        <v>#REF!</v>
      </c>
      <c r="V5" s="14" t="e">
        <f t="shared" si="0"/>
        <v>#REF!</v>
      </c>
      <c r="W5" s="14" t="e">
        <f t="shared" si="0"/>
        <v>#REF!</v>
      </c>
      <c r="X5" s="14" t="e">
        <f t="shared" si="0"/>
        <v>#REF!</v>
      </c>
    </row>
    <row r="6" spans="1:24" x14ac:dyDescent="0.15">
      <c r="A6" s="18" t="e">
        <f t="shared" si="1"/>
        <v>#REF!</v>
      </c>
      <c r="B6" s="14" t="e">
        <f t="shared" si="0"/>
        <v>#REF!</v>
      </c>
      <c r="C6" s="14" t="e">
        <f t="shared" si="0"/>
        <v>#REF!</v>
      </c>
      <c r="D6" s="14" t="e">
        <f t="shared" si="0"/>
        <v>#REF!</v>
      </c>
      <c r="E6" s="14" t="e">
        <f t="shared" si="0"/>
        <v>#REF!</v>
      </c>
      <c r="F6" s="14" t="e">
        <f t="shared" si="0"/>
        <v>#REF!</v>
      </c>
      <c r="G6" s="14" t="e">
        <f t="shared" si="0"/>
        <v>#REF!</v>
      </c>
      <c r="H6" s="14" t="e">
        <f t="shared" si="0"/>
        <v>#REF!</v>
      </c>
      <c r="I6" s="14" t="e">
        <f t="shared" si="0"/>
        <v>#REF!</v>
      </c>
      <c r="J6" s="14" t="e">
        <f t="shared" si="0"/>
        <v>#REF!</v>
      </c>
      <c r="K6" s="14" t="e">
        <f t="shared" si="0"/>
        <v>#REF!</v>
      </c>
      <c r="L6" s="14" t="e">
        <f t="shared" si="0"/>
        <v>#REF!</v>
      </c>
      <c r="M6" s="14" t="e">
        <f t="shared" si="0"/>
        <v>#REF!</v>
      </c>
      <c r="N6" s="14" t="e">
        <f t="shared" si="0"/>
        <v>#REF!</v>
      </c>
      <c r="O6" s="14" t="e">
        <f t="shared" si="0"/>
        <v>#REF!</v>
      </c>
      <c r="P6" s="14" t="e">
        <f t="shared" si="0"/>
        <v>#REF!</v>
      </c>
      <c r="Q6" s="14" t="e">
        <f t="shared" si="0"/>
        <v>#REF!</v>
      </c>
      <c r="R6" s="14" t="e">
        <f t="shared" si="0"/>
        <v>#REF!</v>
      </c>
      <c r="S6" s="14" t="e">
        <f t="shared" si="0"/>
        <v>#REF!</v>
      </c>
      <c r="T6" s="14" t="e">
        <f t="shared" si="0"/>
        <v>#REF!</v>
      </c>
      <c r="U6" s="14" t="e">
        <f t="shared" si="0"/>
        <v>#REF!</v>
      </c>
      <c r="V6" s="14" t="e">
        <f t="shared" si="0"/>
        <v>#REF!</v>
      </c>
      <c r="W6" s="14" t="e">
        <f t="shared" si="0"/>
        <v>#REF!</v>
      </c>
      <c r="X6" s="14" t="e">
        <f t="shared" si="0"/>
        <v>#REF!</v>
      </c>
    </row>
    <row r="7" spans="1:24" x14ac:dyDescent="0.15">
      <c r="A7" s="18" t="e">
        <f t="shared" si="1"/>
        <v>#REF!</v>
      </c>
      <c r="B7" s="14" t="e">
        <f t="shared" si="0"/>
        <v>#REF!</v>
      </c>
      <c r="C7" s="14" t="e">
        <f t="shared" si="0"/>
        <v>#REF!</v>
      </c>
      <c r="D7" s="14" t="e">
        <f t="shared" si="0"/>
        <v>#REF!</v>
      </c>
      <c r="E7" s="14" t="e">
        <f t="shared" si="0"/>
        <v>#REF!</v>
      </c>
      <c r="F7" s="14" t="e">
        <f t="shared" si="0"/>
        <v>#REF!</v>
      </c>
      <c r="G7" s="14" t="e">
        <f t="shared" si="0"/>
        <v>#REF!</v>
      </c>
      <c r="H7" s="14" t="e">
        <f t="shared" si="0"/>
        <v>#REF!</v>
      </c>
      <c r="I7" s="14" t="e">
        <f t="shared" si="0"/>
        <v>#REF!</v>
      </c>
      <c r="J7" s="14" t="e">
        <f t="shared" si="0"/>
        <v>#REF!</v>
      </c>
      <c r="K7" s="14" t="e">
        <f t="shared" si="0"/>
        <v>#REF!</v>
      </c>
      <c r="L7" s="14" t="e">
        <f t="shared" si="0"/>
        <v>#REF!</v>
      </c>
      <c r="M7" s="14" t="e">
        <f t="shared" si="0"/>
        <v>#REF!</v>
      </c>
      <c r="N7" s="14" t="e">
        <f t="shared" si="0"/>
        <v>#REF!</v>
      </c>
      <c r="O7" s="14" t="e">
        <f t="shared" si="0"/>
        <v>#REF!</v>
      </c>
      <c r="P7" s="14" t="e">
        <f t="shared" si="0"/>
        <v>#REF!</v>
      </c>
      <c r="Q7" s="14" t="e">
        <f t="shared" si="0"/>
        <v>#REF!</v>
      </c>
      <c r="R7" s="14" t="e">
        <f t="shared" si="0"/>
        <v>#REF!</v>
      </c>
      <c r="S7" s="14" t="e">
        <f t="shared" si="0"/>
        <v>#REF!</v>
      </c>
      <c r="T7" s="14" t="e">
        <f t="shared" si="0"/>
        <v>#REF!</v>
      </c>
      <c r="U7" s="14" t="e">
        <f t="shared" si="0"/>
        <v>#REF!</v>
      </c>
      <c r="V7" s="14" t="e">
        <f t="shared" si="0"/>
        <v>#REF!</v>
      </c>
      <c r="W7" s="14" t="e">
        <f t="shared" si="0"/>
        <v>#REF!</v>
      </c>
      <c r="X7" s="14" t="e">
        <f t="shared" si="0"/>
        <v>#REF!</v>
      </c>
    </row>
    <row r="8" spans="1:24" x14ac:dyDescent="0.15">
      <c r="A8" s="18" t="e">
        <f t="shared" si="1"/>
        <v>#REF!</v>
      </c>
      <c r="B8" s="14" t="e">
        <f t="shared" si="0"/>
        <v>#REF!</v>
      </c>
      <c r="C8" s="14" t="e">
        <f t="shared" si="0"/>
        <v>#REF!</v>
      </c>
      <c r="D8" s="14" t="e">
        <f t="shared" si="0"/>
        <v>#REF!</v>
      </c>
      <c r="E8" s="14" t="e">
        <f t="shared" si="0"/>
        <v>#REF!</v>
      </c>
      <c r="F8" s="14" t="e">
        <f t="shared" si="0"/>
        <v>#REF!</v>
      </c>
      <c r="G8" s="14" t="e">
        <f t="shared" si="0"/>
        <v>#REF!</v>
      </c>
      <c r="H8" s="14" t="e">
        <f t="shared" si="0"/>
        <v>#REF!</v>
      </c>
      <c r="I8" s="14" t="e">
        <f t="shared" si="0"/>
        <v>#REF!</v>
      </c>
      <c r="J8" s="14" t="e">
        <f t="shared" si="0"/>
        <v>#REF!</v>
      </c>
      <c r="K8" s="14" t="e">
        <f t="shared" si="0"/>
        <v>#REF!</v>
      </c>
      <c r="L8" s="14" t="e">
        <f t="shared" si="0"/>
        <v>#REF!</v>
      </c>
      <c r="M8" s="14" t="e">
        <f t="shared" si="0"/>
        <v>#REF!</v>
      </c>
      <c r="N8" s="14" t="e">
        <f t="shared" si="0"/>
        <v>#REF!</v>
      </c>
      <c r="O8" s="14" t="e">
        <f t="shared" si="0"/>
        <v>#REF!</v>
      </c>
      <c r="P8" s="14" t="e">
        <f t="shared" si="0"/>
        <v>#REF!</v>
      </c>
      <c r="Q8" s="14" t="e">
        <f t="shared" si="0"/>
        <v>#REF!</v>
      </c>
      <c r="R8" s="14" t="e">
        <f t="shared" si="0"/>
        <v>#REF!</v>
      </c>
      <c r="S8" s="14" t="e">
        <f t="shared" si="0"/>
        <v>#REF!</v>
      </c>
      <c r="T8" s="14" t="e">
        <f t="shared" si="0"/>
        <v>#REF!</v>
      </c>
      <c r="U8" s="14" t="e">
        <f t="shared" si="0"/>
        <v>#REF!</v>
      </c>
      <c r="V8" s="14" t="e">
        <f t="shared" si="0"/>
        <v>#REF!</v>
      </c>
      <c r="W8" s="14" t="e">
        <f t="shared" si="0"/>
        <v>#REF!</v>
      </c>
      <c r="X8" s="14" t="e">
        <f t="shared" si="0"/>
        <v>#REF!</v>
      </c>
    </row>
    <row r="9" spans="1:24" x14ac:dyDescent="0.15">
      <c r="A9" s="18" t="e">
        <f t="shared" si="1"/>
        <v>#REF!</v>
      </c>
      <c r="B9" s="14" t="e">
        <f t="shared" si="0"/>
        <v>#REF!</v>
      </c>
      <c r="C9" s="14" t="e">
        <f t="shared" si="0"/>
        <v>#REF!</v>
      </c>
      <c r="D9" s="14" t="e">
        <f t="shared" si="0"/>
        <v>#REF!</v>
      </c>
      <c r="E9" s="14" t="e">
        <f t="shared" si="0"/>
        <v>#REF!</v>
      </c>
      <c r="F9" s="14" t="e">
        <f t="shared" si="0"/>
        <v>#REF!</v>
      </c>
      <c r="G9" s="14" t="e">
        <f t="shared" si="0"/>
        <v>#REF!</v>
      </c>
      <c r="H9" s="14" t="e">
        <f t="shared" si="0"/>
        <v>#REF!</v>
      </c>
      <c r="I9" s="14" t="e">
        <f t="shared" si="0"/>
        <v>#REF!</v>
      </c>
      <c r="J9" s="14" t="e">
        <f t="shared" si="0"/>
        <v>#REF!</v>
      </c>
      <c r="K9" s="14" t="e">
        <f t="shared" si="0"/>
        <v>#REF!</v>
      </c>
      <c r="L9" s="14" t="e">
        <f t="shared" si="0"/>
        <v>#REF!</v>
      </c>
      <c r="M9" s="14" t="e">
        <f t="shared" si="0"/>
        <v>#REF!</v>
      </c>
      <c r="N9" s="14" t="e">
        <f t="shared" si="0"/>
        <v>#REF!</v>
      </c>
      <c r="O9" s="14" t="e">
        <f t="shared" si="0"/>
        <v>#REF!</v>
      </c>
      <c r="P9" s="14" t="e">
        <f t="shared" si="0"/>
        <v>#REF!</v>
      </c>
      <c r="Q9" s="14" t="e">
        <f t="shared" si="0"/>
        <v>#REF!</v>
      </c>
      <c r="R9" s="14" t="e">
        <f t="shared" si="0"/>
        <v>#REF!</v>
      </c>
      <c r="S9" s="14" t="e">
        <f t="shared" si="0"/>
        <v>#REF!</v>
      </c>
      <c r="T9" s="14" t="e">
        <f t="shared" si="0"/>
        <v>#REF!</v>
      </c>
      <c r="U9" s="14" t="e">
        <f t="shared" si="0"/>
        <v>#REF!</v>
      </c>
      <c r="V9" s="14" t="e">
        <f t="shared" si="0"/>
        <v>#REF!</v>
      </c>
      <c r="W9" s="14" t="e">
        <f t="shared" si="0"/>
        <v>#REF!</v>
      </c>
      <c r="X9" s="14" t="e">
        <f t="shared" si="0"/>
        <v>#REF!</v>
      </c>
    </row>
    <row r="10" spans="1:24" x14ac:dyDescent="0.15">
      <c r="A10" s="18" t="e">
        <f t="shared" si="1"/>
        <v>#REF!</v>
      </c>
      <c r="B10" s="14" t="e">
        <f t="shared" si="0"/>
        <v>#REF!</v>
      </c>
      <c r="C10" s="14" t="e">
        <f t="shared" si="0"/>
        <v>#REF!</v>
      </c>
      <c r="D10" s="14" t="e">
        <f t="shared" si="0"/>
        <v>#REF!</v>
      </c>
      <c r="E10" s="14" t="e">
        <f t="shared" si="0"/>
        <v>#REF!</v>
      </c>
      <c r="F10" s="14" t="e">
        <f t="shared" si="0"/>
        <v>#REF!</v>
      </c>
      <c r="G10" s="14" t="e">
        <f t="shared" si="0"/>
        <v>#REF!</v>
      </c>
      <c r="H10" s="14" t="e">
        <f t="shared" si="0"/>
        <v>#REF!</v>
      </c>
      <c r="I10" s="14" t="e">
        <f t="shared" si="0"/>
        <v>#REF!</v>
      </c>
      <c r="J10" s="14" t="e">
        <f t="shared" si="0"/>
        <v>#REF!</v>
      </c>
      <c r="K10" s="14" t="e">
        <f t="shared" si="0"/>
        <v>#REF!</v>
      </c>
      <c r="L10" s="14" t="e">
        <f t="shared" si="0"/>
        <v>#REF!</v>
      </c>
      <c r="M10" s="14" t="e">
        <f t="shared" si="0"/>
        <v>#REF!</v>
      </c>
      <c r="N10" s="14" t="e">
        <f t="shared" si="0"/>
        <v>#REF!</v>
      </c>
      <c r="O10" s="14" t="e">
        <f t="shared" si="0"/>
        <v>#REF!</v>
      </c>
      <c r="P10" s="14" t="e">
        <f t="shared" si="0"/>
        <v>#REF!</v>
      </c>
      <c r="Q10" s="14" t="e">
        <f t="shared" si="0"/>
        <v>#REF!</v>
      </c>
      <c r="R10" s="14" t="e">
        <f t="shared" si="0"/>
        <v>#REF!</v>
      </c>
      <c r="S10" s="14" t="e">
        <f t="shared" si="0"/>
        <v>#REF!</v>
      </c>
      <c r="T10" s="14" t="e">
        <f t="shared" si="0"/>
        <v>#REF!</v>
      </c>
      <c r="U10" s="14" t="e">
        <f t="shared" si="0"/>
        <v>#REF!</v>
      </c>
      <c r="V10" s="14" t="e">
        <f t="shared" si="0"/>
        <v>#REF!</v>
      </c>
      <c r="W10" s="14" t="e">
        <f t="shared" si="0"/>
        <v>#REF!</v>
      </c>
      <c r="X10" s="14" t="e">
        <f t="shared" si="0"/>
        <v>#REF!</v>
      </c>
    </row>
    <row r="11" spans="1:24" x14ac:dyDescent="0.15">
      <c r="A11" s="18" t="e">
        <f t="shared" si="1"/>
        <v>#REF!</v>
      </c>
      <c r="B11" s="14" t="e">
        <f t="shared" si="0"/>
        <v>#REF!</v>
      </c>
      <c r="C11" s="14" t="e">
        <f t="shared" si="0"/>
        <v>#REF!</v>
      </c>
      <c r="D11" s="14" t="e">
        <f t="shared" si="0"/>
        <v>#REF!</v>
      </c>
      <c r="E11" s="14" t="e">
        <f t="shared" si="0"/>
        <v>#REF!</v>
      </c>
      <c r="F11" s="14" t="e">
        <f t="shared" si="0"/>
        <v>#REF!</v>
      </c>
      <c r="G11" s="14" t="e">
        <f t="shared" si="0"/>
        <v>#REF!</v>
      </c>
      <c r="H11" s="14" t="e">
        <f t="shared" si="0"/>
        <v>#REF!</v>
      </c>
      <c r="I11" s="14" t="e">
        <f t="shared" si="0"/>
        <v>#REF!</v>
      </c>
      <c r="J11" s="14" t="e">
        <f t="shared" si="0"/>
        <v>#REF!</v>
      </c>
      <c r="K11" s="14" t="e">
        <f t="shared" si="0"/>
        <v>#REF!</v>
      </c>
      <c r="L11" s="14" t="e">
        <f t="shared" si="0"/>
        <v>#REF!</v>
      </c>
      <c r="M11" s="14" t="e">
        <f t="shared" si="0"/>
        <v>#REF!</v>
      </c>
      <c r="N11" s="14" t="e">
        <f t="shared" si="0"/>
        <v>#REF!</v>
      </c>
      <c r="O11" s="14" t="e">
        <f t="shared" si="0"/>
        <v>#REF!</v>
      </c>
      <c r="P11" s="14" t="e">
        <f t="shared" si="0"/>
        <v>#REF!</v>
      </c>
      <c r="Q11" s="14" t="e">
        <f t="shared" si="0"/>
        <v>#REF!</v>
      </c>
      <c r="R11" s="14" t="e">
        <f t="shared" si="0"/>
        <v>#REF!</v>
      </c>
      <c r="S11" s="14" t="e">
        <f t="shared" si="0"/>
        <v>#REF!</v>
      </c>
      <c r="T11" s="14" t="e">
        <f t="shared" si="0"/>
        <v>#REF!</v>
      </c>
      <c r="U11" s="14" t="e">
        <f t="shared" si="0"/>
        <v>#REF!</v>
      </c>
      <c r="V11" s="14" t="e">
        <f t="shared" si="0"/>
        <v>#REF!</v>
      </c>
      <c r="W11" s="14" t="e">
        <f t="shared" si="0"/>
        <v>#REF!</v>
      </c>
      <c r="X11" s="14" t="e">
        <f t="shared" si="0"/>
        <v>#REF!</v>
      </c>
    </row>
    <row r="12" spans="1:24" x14ac:dyDescent="0.15">
      <c r="A12" s="18" t="e">
        <f t="shared" si="1"/>
        <v>#REF!</v>
      </c>
      <c r="B12" s="14" t="e">
        <f t="shared" si="0"/>
        <v>#REF!</v>
      </c>
      <c r="C12" s="14" t="e">
        <f t="shared" si="0"/>
        <v>#REF!</v>
      </c>
      <c r="D12" s="14" t="e">
        <f t="shared" si="0"/>
        <v>#REF!</v>
      </c>
      <c r="E12" s="14" t="e">
        <f t="shared" si="0"/>
        <v>#REF!</v>
      </c>
      <c r="F12" s="14" t="e">
        <f t="shared" si="0"/>
        <v>#REF!</v>
      </c>
      <c r="G12" s="14" t="e">
        <f t="shared" si="0"/>
        <v>#REF!</v>
      </c>
      <c r="H12" s="14" t="e">
        <f t="shared" si="0"/>
        <v>#REF!</v>
      </c>
      <c r="I12" s="14" t="e">
        <f t="shared" si="0"/>
        <v>#REF!</v>
      </c>
      <c r="J12" s="14" t="e">
        <f t="shared" si="0"/>
        <v>#REF!</v>
      </c>
      <c r="K12" s="14" t="e">
        <f t="shared" si="0"/>
        <v>#REF!</v>
      </c>
      <c r="L12" s="14" t="e">
        <f t="shared" si="0"/>
        <v>#REF!</v>
      </c>
      <c r="M12" s="14" t="e">
        <f t="shared" si="0"/>
        <v>#REF!</v>
      </c>
      <c r="N12" s="14" t="e">
        <f t="shared" si="0"/>
        <v>#REF!</v>
      </c>
      <c r="O12" s="14" t="e">
        <f t="shared" si="0"/>
        <v>#REF!</v>
      </c>
      <c r="P12" s="14" t="e">
        <f t="shared" si="0"/>
        <v>#REF!</v>
      </c>
      <c r="Q12" s="14" t="e">
        <f t="shared" si="0"/>
        <v>#REF!</v>
      </c>
      <c r="R12" s="14" t="e">
        <f t="shared" si="0"/>
        <v>#REF!</v>
      </c>
      <c r="S12" s="14" t="e">
        <f t="shared" si="0"/>
        <v>#REF!</v>
      </c>
      <c r="T12" s="14" t="e">
        <f t="shared" si="0"/>
        <v>#REF!</v>
      </c>
      <c r="U12" s="14" t="e">
        <f t="shared" si="0"/>
        <v>#REF!</v>
      </c>
      <c r="V12" s="14" t="e">
        <f t="shared" si="0"/>
        <v>#REF!</v>
      </c>
      <c r="W12" s="14" t="e">
        <f t="shared" si="0"/>
        <v>#REF!</v>
      </c>
      <c r="X12" s="14" t="e">
        <f t="shared" si="0"/>
        <v>#REF!</v>
      </c>
    </row>
    <row r="13" spans="1:24" x14ac:dyDescent="0.15">
      <c r="A13" s="18" t="e">
        <f t="shared" si="1"/>
        <v>#REF!</v>
      </c>
      <c r="B13" s="14" t="e">
        <f t="shared" si="0"/>
        <v>#REF!</v>
      </c>
      <c r="C13" s="14" t="e">
        <f t="shared" si="0"/>
        <v>#REF!</v>
      </c>
      <c r="D13" s="14" t="e">
        <f t="shared" si="0"/>
        <v>#REF!</v>
      </c>
      <c r="E13" s="14" t="e">
        <f t="shared" si="0"/>
        <v>#REF!</v>
      </c>
      <c r="F13" s="14" t="e">
        <f t="shared" si="0"/>
        <v>#REF!</v>
      </c>
      <c r="G13" s="14" t="e">
        <f t="shared" si="0"/>
        <v>#REF!</v>
      </c>
      <c r="H13" s="14" t="e">
        <f t="shared" si="0"/>
        <v>#REF!</v>
      </c>
      <c r="I13" s="14" t="e">
        <f t="shared" si="0"/>
        <v>#REF!</v>
      </c>
      <c r="J13" s="14" t="e">
        <f t="shared" si="0"/>
        <v>#REF!</v>
      </c>
      <c r="K13" s="14" t="e">
        <f t="shared" si="0"/>
        <v>#REF!</v>
      </c>
      <c r="L13" s="14" t="e">
        <f t="shared" si="0"/>
        <v>#REF!</v>
      </c>
      <c r="M13" s="14" t="e">
        <f t="shared" si="0"/>
        <v>#REF!</v>
      </c>
      <c r="N13" s="14" t="e">
        <f t="shared" si="0"/>
        <v>#REF!</v>
      </c>
      <c r="O13" s="14" t="e">
        <f t="shared" si="0"/>
        <v>#REF!</v>
      </c>
      <c r="P13" s="14" t="e">
        <f t="shared" si="0"/>
        <v>#REF!</v>
      </c>
      <c r="Q13" s="14" t="e">
        <f t="shared" si="0"/>
        <v>#REF!</v>
      </c>
      <c r="R13" s="14" t="e">
        <f t="shared" si="0"/>
        <v>#REF!</v>
      </c>
      <c r="S13" s="14" t="e">
        <f t="shared" si="0"/>
        <v>#REF!</v>
      </c>
      <c r="T13" s="14" t="e">
        <f t="shared" si="0"/>
        <v>#REF!</v>
      </c>
      <c r="U13" s="14" t="e">
        <f t="shared" si="0"/>
        <v>#REF!</v>
      </c>
      <c r="V13" s="14" t="e">
        <f t="shared" si="0"/>
        <v>#REF!</v>
      </c>
      <c r="W13" s="14" t="e">
        <f t="shared" si="0"/>
        <v>#REF!</v>
      </c>
      <c r="X13" s="14" t="e">
        <f t="shared" si="0"/>
        <v>#REF!</v>
      </c>
    </row>
    <row r="14" spans="1:24" x14ac:dyDescent="0.15">
      <c r="A14" s="18" t="e">
        <f t="shared" si="1"/>
        <v>#REF!</v>
      </c>
      <c r="B14" s="14" t="e">
        <f t="shared" si="0"/>
        <v>#REF!</v>
      </c>
      <c r="C14" s="14" t="e">
        <f t="shared" si="0"/>
        <v>#REF!</v>
      </c>
      <c r="D14" s="14" t="e">
        <f t="shared" ref="D14:S18" si="2">VLOOKUP($A14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#REF!</v>
      </c>
      <c r="E14" s="14" t="e">
        <f t="shared" si="2"/>
        <v>#REF!</v>
      </c>
      <c r="F14" s="14" t="e">
        <f t="shared" si="2"/>
        <v>#REF!</v>
      </c>
      <c r="G14" s="14" t="e">
        <f t="shared" si="2"/>
        <v>#REF!</v>
      </c>
      <c r="H14" s="14" t="e">
        <f t="shared" si="2"/>
        <v>#REF!</v>
      </c>
      <c r="I14" s="14" t="e">
        <f t="shared" si="2"/>
        <v>#REF!</v>
      </c>
      <c r="J14" s="14" t="e">
        <f t="shared" si="2"/>
        <v>#REF!</v>
      </c>
      <c r="K14" s="14" t="e">
        <f t="shared" si="2"/>
        <v>#REF!</v>
      </c>
      <c r="L14" s="14" t="e">
        <f t="shared" si="2"/>
        <v>#REF!</v>
      </c>
      <c r="M14" s="14" t="e">
        <f t="shared" si="2"/>
        <v>#REF!</v>
      </c>
      <c r="N14" s="14" t="e">
        <f t="shared" si="2"/>
        <v>#REF!</v>
      </c>
      <c r="O14" s="14" t="e">
        <f t="shared" si="2"/>
        <v>#REF!</v>
      </c>
      <c r="P14" s="14" t="e">
        <f t="shared" si="2"/>
        <v>#REF!</v>
      </c>
      <c r="Q14" s="14" t="e">
        <f t="shared" si="2"/>
        <v>#REF!</v>
      </c>
      <c r="R14" s="14" t="e">
        <f t="shared" si="2"/>
        <v>#REF!</v>
      </c>
      <c r="S14" s="14" t="e">
        <f t="shared" si="2"/>
        <v>#REF!</v>
      </c>
      <c r="T14" s="14" t="e">
        <f t="shared" ref="T14:X18" si="3">VLOOKUP($A14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#REF!</v>
      </c>
      <c r="U14" s="14" t="e">
        <f t="shared" si="3"/>
        <v>#REF!</v>
      </c>
      <c r="V14" s="14" t="e">
        <f t="shared" si="3"/>
        <v>#REF!</v>
      </c>
      <c r="W14" s="14" t="e">
        <f t="shared" si="3"/>
        <v>#REF!</v>
      </c>
      <c r="X14" s="14" t="e">
        <f t="shared" si="3"/>
        <v>#REF!</v>
      </c>
    </row>
    <row r="15" spans="1:24" x14ac:dyDescent="0.15">
      <c r="A15" s="18" t="e">
        <f t="shared" si="1"/>
        <v>#REF!</v>
      </c>
      <c r="B15" s="14" t="e">
        <f t="shared" ref="B15:Q18" si="4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15" s="14" t="e">
        <f t="shared" si="4"/>
        <v>#REF!</v>
      </c>
      <c r="D15" s="14" t="e">
        <f t="shared" si="4"/>
        <v>#REF!</v>
      </c>
      <c r="E15" s="14" t="e">
        <f t="shared" si="4"/>
        <v>#REF!</v>
      </c>
      <c r="F15" s="14" t="e">
        <f t="shared" si="4"/>
        <v>#REF!</v>
      </c>
      <c r="G15" s="14" t="e">
        <f t="shared" si="4"/>
        <v>#REF!</v>
      </c>
      <c r="H15" s="14" t="e">
        <f t="shared" si="4"/>
        <v>#REF!</v>
      </c>
      <c r="I15" s="14" t="e">
        <f t="shared" si="4"/>
        <v>#REF!</v>
      </c>
      <c r="J15" s="14" t="e">
        <f t="shared" si="4"/>
        <v>#REF!</v>
      </c>
      <c r="K15" s="14" t="e">
        <f t="shared" si="4"/>
        <v>#REF!</v>
      </c>
      <c r="L15" s="14" t="e">
        <f t="shared" si="4"/>
        <v>#REF!</v>
      </c>
      <c r="M15" s="14" t="e">
        <f t="shared" si="4"/>
        <v>#REF!</v>
      </c>
      <c r="N15" s="14" t="e">
        <f t="shared" si="4"/>
        <v>#REF!</v>
      </c>
      <c r="O15" s="14" t="e">
        <f t="shared" si="4"/>
        <v>#REF!</v>
      </c>
      <c r="P15" s="14" t="e">
        <f t="shared" si="4"/>
        <v>#REF!</v>
      </c>
      <c r="Q15" s="14" t="e">
        <f t="shared" si="4"/>
        <v>#REF!</v>
      </c>
      <c r="R15" s="14" t="e">
        <f t="shared" si="2"/>
        <v>#REF!</v>
      </c>
      <c r="S15" s="14" t="e">
        <f t="shared" si="2"/>
        <v>#REF!</v>
      </c>
      <c r="T15" s="14" t="e">
        <f t="shared" si="3"/>
        <v>#REF!</v>
      </c>
      <c r="U15" s="14" t="e">
        <f t="shared" si="3"/>
        <v>#REF!</v>
      </c>
      <c r="V15" s="14" t="e">
        <f t="shared" si="3"/>
        <v>#REF!</v>
      </c>
      <c r="W15" s="14" t="e">
        <f t="shared" si="3"/>
        <v>#REF!</v>
      </c>
      <c r="X15" s="14" t="e">
        <f t="shared" si="3"/>
        <v>#REF!</v>
      </c>
    </row>
    <row r="16" spans="1:24" x14ac:dyDescent="0.15">
      <c r="A16" s="18" t="e">
        <f t="shared" si="1"/>
        <v>#REF!</v>
      </c>
      <c r="B16" s="14" t="e">
        <f t="shared" si="4"/>
        <v>#REF!</v>
      </c>
      <c r="C16" s="14" t="e">
        <f t="shared" si="4"/>
        <v>#REF!</v>
      </c>
      <c r="D16" s="14" t="e">
        <f t="shared" si="4"/>
        <v>#REF!</v>
      </c>
      <c r="E16" s="14" t="e">
        <f t="shared" si="4"/>
        <v>#REF!</v>
      </c>
      <c r="F16" s="14" t="e">
        <f t="shared" si="4"/>
        <v>#REF!</v>
      </c>
      <c r="G16" s="14" t="e">
        <f t="shared" si="4"/>
        <v>#REF!</v>
      </c>
      <c r="H16" s="14" t="e">
        <f t="shared" si="4"/>
        <v>#REF!</v>
      </c>
      <c r="I16" s="14" t="e">
        <f t="shared" si="4"/>
        <v>#REF!</v>
      </c>
      <c r="J16" s="14" t="e">
        <f t="shared" si="4"/>
        <v>#REF!</v>
      </c>
      <c r="K16" s="14" t="e">
        <f t="shared" si="4"/>
        <v>#REF!</v>
      </c>
      <c r="L16" s="14" t="e">
        <f t="shared" si="4"/>
        <v>#REF!</v>
      </c>
      <c r="M16" s="14" t="e">
        <f t="shared" si="4"/>
        <v>#REF!</v>
      </c>
      <c r="N16" s="14" t="e">
        <f t="shared" si="4"/>
        <v>#REF!</v>
      </c>
      <c r="O16" s="14" t="e">
        <f t="shared" si="4"/>
        <v>#REF!</v>
      </c>
      <c r="P16" s="14" t="e">
        <f t="shared" si="4"/>
        <v>#REF!</v>
      </c>
      <c r="Q16" s="14" t="e">
        <f t="shared" si="4"/>
        <v>#REF!</v>
      </c>
      <c r="R16" s="14" t="e">
        <f t="shared" si="2"/>
        <v>#REF!</v>
      </c>
      <c r="S16" s="14" t="e">
        <f t="shared" si="2"/>
        <v>#REF!</v>
      </c>
      <c r="T16" s="14" t="e">
        <f t="shared" si="3"/>
        <v>#REF!</v>
      </c>
      <c r="U16" s="14" t="e">
        <f t="shared" si="3"/>
        <v>#REF!</v>
      </c>
      <c r="V16" s="14" t="e">
        <f t="shared" si="3"/>
        <v>#REF!</v>
      </c>
      <c r="W16" s="14" t="e">
        <f t="shared" si="3"/>
        <v>#REF!</v>
      </c>
      <c r="X16" s="14" t="e">
        <f t="shared" si="3"/>
        <v>#REF!</v>
      </c>
    </row>
    <row r="17" spans="1:24" x14ac:dyDescent="0.15">
      <c r="A17" s="18" t="e">
        <f t="shared" si="1"/>
        <v>#REF!</v>
      </c>
      <c r="B17" s="14" t="e">
        <f t="shared" si="4"/>
        <v>#REF!</v>
      </c>
      <c r="C17" s="14" t="e">
        <f t="shared" si="4"/>
        <v>#REF!</v>
      </c>
      <c r="D17" s="14" t="e">
        <f t="shared" si="4"/>
        <v>#REF!</v>
      </c>
      <c r="E17" s="14" t="e">
        <f t="shared" si="4"/>
        <v>#REF!</v>
      </c>
      <c r="F17" s="14" t="e">
        <f t="shared" si="4"/>
        <v>#REF!</v>
      </c>
      <c r="G17" s="14" t="e">
        <f t="shared" si="4"/>
        <v>#REF!</v>
      </c>
      <c r="H17" s="14" t="e">
        <f t="shared" si="4"/>
        <v>#REF!</v>
      </c>
      <c r="I17" s="14" t="e">
        <f t="shared" si="4"/>
        <v>#REF!</v>
      </c>
      <c r="J17" s="14" t="e">
        <f t="shared" si="4"/>
        <v>#REF!</v>
      </c>
      <c r="K17" s="14" t="e">
        <f t="shared" si="4"/>
        <v>#REF!</v>
      </c>
      <c r="L17" s="14" t="e">
        <f t="shared" si="4"/>
        <v>#REF!</v>
      </c>
      <c r="M17" s="14" t="e">
        <f t="shared" si="4"/>
        <v>#REF!</v>
      </c>
      <c r="N17" s="14" t="e">
        <f t="shared" si="4"/>
        <v>#REF!</v>
      </c>
      <c r="O17" s="14" t="e">
        <f t="shared" si="4"/>
        <v>#REF!</v>
      </c>
      <c r="P17" s="14" t="e">
        <f t="shared" si="4"/>
        <v>#REF!</v>
      </c>
      <c r="Q17" s="14" t="e">
        <f t="shared" si="4"/>
        <v>#REF!</v>
      </c>
      <c r="R17" s="14" t="e">
        <f t="shared" si="2"/>
        <v>#REF!</v>
      </c>
      <c r="S17" s="14" t="e">
        <f t="shared" si="2"/>
        <v>#REF!</v>
      </c>
      <c r="T17" s="14" t="e">
        <f t="shared" si="3"/>
        <v>#REF!</v>
      </c>
      <c r="U17" s="14" t="e">
        <f t="shared" si="3"/>
        <v>#REF!</v>
      </c>
      <c r="V17" s="14" t="e">
        <f t="shared" si="3"/>
        <v>#REF!</v>
      </c>
      <c r="W17" s="14" t="e">
        <f t="shared" si="3"/>
        <v>#REF!</v>
      </c>
      <c r="X17" s="14" t="e">
        <f t="shared" si="3"/>
        <v>#REF!</v>
      </c>
    </row>
    <row r="18" spans="1:24" x14ac:dyDescent="0.15">
      <c r="A18" s="18" t="e">
        <f t="shared" si="1"/>
        <v>#REF!</v>
      </c>
      <c r="B18" s="14" t="e">
        <f t="shared" si="4"/>
        <v>#REF!</v>
      </c>
      <c r="C18" s="14" t="e">
        <f t="shared" si="4"/>
        <v>#REF!</v>
      </c>
      <c r="D18" s="14" t="e">
        <f t="shared" si="4"/>
        <v>#REF!</v>
      </c>
      <c r="E18" s="14" t="e">
        <f t="shared" si="4"/>
        <v>#REF!</v>
      </c>
      <c r="F18" s="14" t="e">
        <f t="shared" si="4"/>
        <v>#REF!</v>
      </c>
      <c r="G18" s="14" t="e">
        <f t="shared" si="4"/>
        <v>#REF!</v>
      </c>
      <c r="H18" s="14" t="e">
        <f t="shared" si="4"/>
        <v>#REF!</v>
      </c>
      <c r="I18" s="14" t="e">
        <f t="shared" si="4"/>
        <v>#REF!</v>
      </c>
      <c r="J18" s="14" t="e">
        <f t="shared" si="4"/>
        <v>#REF!</v>
      </c>
      <c r="K18" s="14" t="e">
        <f t="shared" si="4"/>
        <v>#REF!</v>
      </c>
      <c r="L18" s="14" t="e">
        <f t="shared" si="4"/>
        <v>#REF!</v>
      </c>
      <c r="M18" s="14" t="e">
        <f t="shared" si="4"/>
        <v>#REF!</v>
      </c>
      <c r="N18" s="14" t="e">
        <f t="shared" si="4"/>
        <v>#REF!</v>
      </c>
      <c r="O18" s="14" t="e">
        <f t="shared" si="4"/>
        <v>#REF!</v>
      </c>
      <c r="P18" s="14" t="e">
        <f t="shared" si="4"/>
        <v>#REF!</v>
      </c>
      <c r="Q18" s="14" t="e">
        <f t="shared" si="4"/>
        <v>#REF!</v>
      </c>
      <c r="R18" s="14" t="e">
        <f t="shared" si="2"/>
        <v>#REF!</v>
      </c>
      <c r="S18" s="14" t="e">
        <f t="shared" si="2"/>
        <v>#REF!</v>
      </c>
      <c r="T18" s="14" t="e">
        <f t="shared" si="3"/>
        <v>#REF!</v>
      </c>
      <c r="U18" s="14" t="e">
        <f t="shared" si="3"/>
        <v>#REF!</v>
      </c>
      <c r="V18" s="14" t="e">
        <f t="shared" si="3"/>
        <v>#REF!</v>
      </c>
      <c r="W18" s="14" t="e">
        <f t="shared" si="3"/>
        <v>#REF!</v>
      </c>
      <c r="X18" s="14" t="e">
        <f t="shared" si="3"/>
        <v>#REF!</v>
      </c>
    </row>
    <row r="19" spans="1:24" x14ac:dyDescent="0.15">
      <c r="A19"/>
    </row>
    <row r="20" spans="1:24" x14ac:dyDescent="0.15">
      <c r="A20"/>
    </row>
    <row r="21" spans="1:24" x14ac:dyDescent="0.15">
      <c r="A21"/>
    </row>
    <row r="22" spans="1:24" x14ac:dyDescent="0.15">
      <c r="A22"/>
    </row>
    <row r="23" spans="1:24" x14ac:dyDescent="0.15">
      <c r="A23"/>
    </row>
    <row r="24" spans="1:24" x14ac:dyDescent="0.15">
      <c r="A24"/>
    </row>
    <row r="25" spans="1:24" x14ac:dyDescent="0.15">
      <c r="A25"/>
    </row>
    <row r="26" spans="1:24" x14ac:dyDescent="0.15">
      <c r="A26"/>
    </row>
    <row r="27" spans="1:24" x14ac:dyDescent="0.15">
      <c r="A27"/>
    </row>
    <row r="28" spans="1:24" x14ac:dyDescent="0.15">
      <c r="A28"/>
    </row>
    <row r="29" spans="1:24" x14ac:dyDescent="0.15">
      <c r="A29"/>
    </row>
    <row r="30" spans="1:24" x14ac:dyDescent="0.15">
      <c r="A30"/>
    </row>
    <row r="31" spans="1:24" x14ac:dyDescent="0.15">
      <c r="A31"/>
    </row>
    <row r="32" spans="1:24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5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3" sqref="G23"/>
    </sheetView>
  </sheetViews>
  <sheetFormatPr baseColWidth="12" defaultRowHeight="15" x14ac:dyDescent="0.15"/>
  <cols>
    <col min="1" max="1" width="15.5" style="17" bestFit="1" customWidth="1"/>
    <col min="2" max="2" width="8.6640625" bestFit="1" customWidth="1"/>
    <col min="3" max="3" width="20.1640625" bestFit="1" customWidth="1"/>
    <col min="4" max="4" width="8" bestFit="1" customWidth="1"/>
    <col min="5" max="5" width="7.5" bestFit="1" customWidth="1"/>
    <col min="6" max="6" width="8.83203125" bestFit="1" customWidth="1"/>
    <col min="7" max="7" width="12.1640625" bestFit="1" customWidth="1"/>
    <col min="8" max="8" width="6" bestFit="1" customWidth="1"/>
    <col min="9" max="9" width="7" bestFit="1" customWidth="1"/>
    <col min="10" max="10" width="10.33203125" bestFit="1" customWidth="1"/>
    <col min="11" max="11" width="13.5" bestFit="1" customWidth="1"/>
    <col min="12" max="12" width="16.6640625" bestFit="1" customWidth="1"/>
    <col min="13" max="13" width="17.6640625" bestFit="1" customWidth="1"/>
  </cols>
  <sheetData>
    <row r="1" spans="1:13" s="11" customFormat="1" x14ac:dyDescent="0.15">
      <c r="A1" s="11" t="e">
        <f>MATCH(A2,INDIRECT(C1&amp;"!A:A"),0)-2</f>
        <v>#REF!</v>
      </c>
      <c r="B1" s="12" t="e">
        <f>"$"&amp;2+$A$1&amp;":$"&amp;2+$A$1</f>
        <v>#REF!</v>
      </c>
      <c r="C1" s="11" t="str">
        <f>SUBSTITUTE(RIGHT(CELL("filename",$C$1),LEN(CELL("filename",$C$1))-FIND("]",CELL("filename",$C$1))),".tmp","")</f>
        <v>enemy_habitat_S_multi_3_1</v>
      </c>
    </row>
    <row r="2" spans="1:13" s="13" customFormat="1" x14ac:dyDescent="0.15">
      <c r="A2" s="17" t="s">
        <v>29</v>
      </c>
      <c r="B2" s="13" t="s">
        <v>0</v>
      </c>
      <c r="C2" s="13" t="s">
        <v>1</v>
      </c>
      <c r="D2" s="13" t="s">
        <v>13</v>
      </c>
      <c r="E2" s="13" t="s">
        <v>58</v>
      </c>
      <c r="F2" s="13" t="s">
        <v>59</v>
      </c>
      <c r="G2" s="13" t="s">
        <v>60</v>
      </c>
      <c r="H2" s="13" t="s">
        <v>61</v>
      </c>
      <c r="I2" s="13" t="s">
        <v>62</v>
      </c>
      <c r="J2" s="13" t="s">
        <v>63</v>
      </c>
      <c r="K2" s="13" t="s">
        <v>64</v>
      </c>
      <c r="L2" s="13" t="s">
        <v>65</v>
      </c>
      <c r="M2" s="13" t="s">
        <v>66</v>
      </c>
    </row>
    <row r="3" spans="1:13" x14ac:dyDescent="0.15">
      <c r="A3" s="18" t="e">
        <f>INDIRECT(ADDRESS(ROW()+$A$1,COLUMN(),1,TRUE,$C$1))</f>
        <v>#REF!</v>
      </c>
      <c r="B3" s="14" t="e">
        <f t="shared" ref="B3:M5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4" t="e">
        <f t="shared" si="0"/>
        <v>#REF!</v>
      </c>
      <c r="D3" s="14" t="e">
        <f t="shared" si="0"/>
        <v>#REF!</v>
      </c>
      <c r="E3" s="14" t="e">
        <f t="shared" si="0"/>
        <v>#REF!</v>
      </c>
      <c r="F3" s="14" t="e">
        <f t="shared" si="0"/>
        <v>#REF!</v>
      </c>
      <c r="G3" s="14" t="e">
        <f t="shared" si="0"/>
        <v>#REF!</v>
      </c>
      <c r="H3" s="14" t="e">
        <f t="shared" si="0"/>
        <v>#REF!</v>
      </c>
      <c r="I3" s="14" t="e">
        <f t="shared" si="0"/>
        <v>#REF!</v>
      </c>
      <c r="J3" s="14" t="e">
        <f t="shared" si="0"/>
        <v>#REF!</v>
      </c>
      <c r="K3" s="14" t="e">
        <f t="shared" si="0"/>
        <v>#REF!</v>
      </c>
      <c r="L3" s="14" t="e">
        <f t="shared" si="0"/>
        <v>#REF!</v>
      </c>
      <c r="M3" s="14" t="e">
        <f t="shared" si="0"/>
        <v>#REF!</v>
      </c>
    </row>
    <row r="4" spans="1:13" x14ac:dyDescent="0.15">
      <c r="A4" s="18" t="e">
        <f t="shared" ref="A4:A5" si="1">INDIRECT(ADDRESS(ROW()+$A$1,COLUMN(),1,TRUE,$C$1))</f>
        <v>#REF!</v>
      </c>
      <c r="B4" s="14" t="e">
        <f t="shared" si="0"/>
        <v>#REF!</v>
      </c>
      <c r="C4" s="14" t="e">
        <f t="shared" si="0"/>
        <v>#REF!</v>
      </c>
      <c r="D4" s="14" t="e">
        <f t="shared" si="0"/>
        <v>#REF!</v>
      </c>
      <c r="E4" s="14" t="e">
        <f t="shared" si="0"/>
        <v>#REF!</v>
      </c>
      <c r="F4" s="14" t="e">
        <f t="shared" si="0"/>
        <v>#REF!</v>
      </c>
      <c r="G4" s="14" t="e">
        <f t="shared" si="0"/>
        <v>#REF!</v>
      </c>
      <c r="H4" s="14" t="e">
        <f t="shared" si="0"/>
        <v>#REF!</v>
      </c>
      <c r="I4" s="14" t="e">
        <f t="shared" si="0"/>
        <v>#REF!</v>
      </c>
      <c r="J4" s="14" t="e">
        <f t="shared" si="0"/>
        <v>#REF!</v>
      </c>
      <c r="K4" s="14" t="e">
        <f t="shared" si="0"/>
        <v>#REF!</v>
      </c>
      <c r="L4" s="14" t="e">
        <f t="shared" si="0"/>
        <v>#REF!</v>
      </c>
      <c r="M4" s="14" t="e">
        <f t="shared" si="0"/>
        <v>#REF!</v>
      </c>
    </row>
    <row r="5" spans="1:13" x14ac:dyDescent="0.15">
      <c r="A5" s="18" t="e">
        <f t="shared" si="1"/>
        <v>#REF!</v>
      </c>
      <c r="B5" s="14" t="e">
        <f t="shared" si="0"/>
        <v>#REF!</v>
      </c>
      <c r="C5" s="14" t="e">
        <f t="shared" si="0"/>
        <v>#REF!</v>
      </c>
      <c r="D5" s="14" t="e">
        <f t="shared" si="0"/>
        <v>#REF!</v>
      </c>
      <c r="E5" s="14" t="e">
        <f t="shared" si="0"/>
        <v>#REF!</v>
      </c>
      <c r="F5" s="14" t="e">
        <f t="shared" si="0"/>
        <v>#REF!</v>
      </c>
      <c r="G5" s="14" t="e">
        <f t="shared" si="0"/>
        <v>#REF!</v>
      </c>
      <c r="H5" s="14" t="e">
        <f t="shared" si="0"/>
        <v>#REF!</v>
      </c>
      <c r="I5" s="14" t="e">
        <f t="shared" si="0"/>
        <v>#REF!</v>
      </c>
      <c r="J5" s="14" t="e">
        <f t="shared" si="0"/>
        <v>#REF!</v>
      </c>
      <c r="K5" s="14" t="e">
        <f t="shared" si="0"/>
        <v>#REF!</v>
      </c>
      <c r="L5" s="14" t="e">
        <f t="shared" si="0"/>
        <v>#REF!</v>
      </c>
      <c r="M5" s="14" t="e">
        <f t="shared" si="0"/>
        <v>#REF!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floors_multi_3_1.tmp</vt:lpstr>
      <vt:lpstr>enemy_habitats_multi_3_1.tmp</vt:lpstr>
      <vt:lpstr>enemy_habitat_S_multi_3_1.tmp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2017-03-08T03:18:55Z</dcterms:modified>
</cp:coreProperties>
</file>