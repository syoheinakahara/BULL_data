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120" yWindow="960" windowWidth="28800" windowHeight="1926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enemy_habitat_S!$B$1:$Y$2</definedName>
    <definedName name="_xlnm._FilterDatabase" localSheetId="2" hidden="1">enemy_habitats!$B$1:$AH$61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36" i="1" l="1"/>
  <c r="AD36" i="1"/>
  <c r="AG36" i="1"/>
  <c r="AE36" i="1"/>
  <c r="AC36" i="1"/>
  <c r="AA36" i="1"/>
  <c r="E29" i="9"/>
  <c r="V36" i="1"/>
  <c r="Q36" i="1"/>
  <c r="P36" i="1"/>
  <c r="O36" i="1"/>
  <c r="N36" i="1"/>
  <c r="M36" i="1"/>
  <c r="H36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G14" i="2"/>
  <c r="A14" i="2"/>
  <c r="G15" i="2"/>
  <c r="A15" i="2"/>
  <c r="G16" i="2"/>
  <c r="A16" i="2"/>
  <c r="G17" i="2"/>
  <c r="A17" i="2"/>
  <c r="G18" i="2"/>
  <c r="A18" i="2"/>
  <c r="G19" i="2"/>
  <c r="A19" i="2"/>
  <c r="J36" i="1"/>
  <c r="I36" i="1"/>
  <c r="D36" i="1"/>
  <c r="F36" i="1"/>
  <c r="E36" i="1"/>
  <c r="A36" i="1"/>
  <c r="AB35" i="1"/>
  <c r="AD35" i="1"/>
  <c r="AG35" i="1"/>
  <c r="AE35" i="1"/>
  <c r="AC35" i="1"/>
  <c r="AA35" i="1"/>
  <c r="V35" i="1"/>
  <c r="Q35" i="1"/>
  <c r="P35" i="1"/>
  <c r="O35" i="1"/>
  <c r="N35" i="1"/>
  <c r="M35" i="1"/>
  <c r="H35" i="1"/>
  <c r="J35" i="1"/>
  <c r="I35" i="1"/>
  <c r="D35" i="1"/>
  <c r="F35" i="1"/>
  <c r="E35" i="1"/>
  <c r="A35" i="1"/>
  <c r="AB32" i="1"/>
  <c r="AD32" i="1"/>
  <c r="AG32" i="1"/>
  <c r="AE32" i="1"/>
  <c r="AC32" i="1"/>
  <c r="AA32" i="1"/>
  <c r="E27" i="9"/>
  <c r="V32" i="1"/>
  <c r="Q32" i="1"/>
  <c r="P32" i="1"/>
  <c r="O32" i="1"/>
  <c r="N32" i="1"/>
  <c r="M32" i="1"/>
  <c r="H32" i="1"/>
  <c r="J32" i="1"/>
  <c r="I32" i="1"/>
  <c r="D32" i="1"/>
  <c r="F32" i="1"/>
  <c r="E32" i="1"/>
  <c r="A32" i="1"/>
  <c r="AB31" i="1"/>
  <c r="AD31" i="1"/>
  <c r="AG31" i="1"/>
  <c r="AE31" i="1"/>
  <c r="AC31" i="1"/>
  <c r="AA31" i="1"/>
  <c r="V31" i="1"/>
  <c r="Q31" i="1"/>
  <c r="P31" i="1"/>
  <c r="O31" i="1"/>
  <c r="N31" i="1"/>
  <c r="M31" i="1"/>
  <c r="H31" i="1"/>
  <c r="J31" i="1"/>
  <c r="I31" i="1"/>
  <c r="D31" i="1"/>
  <c r="F31" i="1"/>
  <c r="E31" i="1"/>
  <c r="A31" i="1"/>
  <c r="AB23" i="1"/>
  <c r="AD23" i="1"/>
  <c r="AG23" i="1"/>
  <c r="AE23" i="1"/>
  <c r="AC23" i="1"/>
  <c r="AA23" i="1"/>
  <c r="E17" i="9"/>
  <c r="V23" i="1"/>
  <c r="Q23" i="1"/>
  <c r="P23" i="1"/>
  <c r="O23" i="1"/>
  <c r="N23" i="1"/>
  <c r="M23" i="1"/>
  <c r="H23" i="1"/>
  <c r="J23" i="1"/>
  <c r="I23" i="1"/>
  <c r="D23" i="1"/>
  <c r="F23" i="1"/>
  <c r="E23" i="1"/>
  <c r="A23" i="1"/>
  <c r="AB22" i="1"/>
  <c r="AD22" i="1"/>
  <c r="AG22" i="1"/>
  <c r="AE22" i="1"/>
  <c r="AC22" i="1"/>
  <c r="AA22" i="1"/>
  <c r="V22" i="1"/>
  <c r="Q22" i="1"/>
  <c r="P22" i="1"/>
  <c r="O22" i="1"/>
  <c r="N22" i="1"/>
  <c r="M22" i="1"/>
  <c r="H22" i="1"/>
  <c r="J22" i="1"/>
  <c r="I22" i="1"/>
  <c r="D22" i="1"/>
  <c r="F22" i="1"/>
  <c r="E22" i="1"/>
  <c r="A22" i="1"/>
  <c r="AB19" i="1"/>
  <c r="AD19" i="1"/>
  <c r="AG19" i="1"/>
  <c r="AE19" i="1"/>
  <c r="AC19" i="1"/>
  <c r="E19" i="9"/>
  <c r="V19" i="1"/>
  <c r="Q19" i="1"/>
  <c r="P19" i="1"/>
  <c r="O19" i="1"/>
  <c r="N19" i="1"/>
  <c r="M19" i="1"/>
  <c r="H19" i="1"/>
  <c r="J19" i="1"/>
  <c r="I19" i="1"/>
  <c r="D19" i="1"/>
  <c r="F19" i="1"/>
  <c r="E19" i="1"/>
  <c r="A19" i="1"/>
  <c r="AB18" i="1"/>
  <c r="AD18" i="1"/>
  <c r="AG18" i="1"/>
  <c r="AE18" i="1"/>
  <c r="AC18" i="1"/>
  <c r="V18" i="1"/>
  <c r="Q18" i="1"/>
  <c r="P18" i="1"/>
  <c r="O18" i="1"/>
  <c r="N18" i="1"/>
  <c r="M18" i="1"/>
  <c r="H18" i="1"/>
  <c r="J18" i="1"/>
  <c r="I18" i="1"/>
  <c r="D18" i="1"/>
  <c r="F18" i="1"/>
  <c r="E18" i="1"/>
  <c r="A18" i="1"/>
  <c r="E10" i="9"/>
  <c r="AB9" i="1"/>
  <c r="AD9" i="1"/>
  <c r="AG9" i="1"/>
  <c r="AE9" i="1"/>
  <c r="AC9" i="1"/>
  <c r="AA9" i="1"/>
  <c r="E5" i="9"/>
  <c r="V9" i="1"/>
  <c r="Q9" i="1"/>
  <c r="P9" i="1"/>
  <c r="O9" i="1"/>
  <c r="N9" i="1"/>
  <c r="M9" i="1"/>
  <c r="H9" i="1"/>
  <c r="J9" i="1"/>
  <c r="I9" i="1"/>
  <c r="D9" i="1"/>
  <c r="F9" i="1"/>
  <c r="E9" i="1"/>
  <c r="A9" i="1"/>
  <c r="AB8" i="1"/>
  <c r="AD8" i="1"/>
  <c r="AG8" i="1"/>
  <c r="AE8" i="1"/>
  <c r="AC8" i="1"/>
  <c r="AA8" i="1"/>
  <c r="V8" i="1"/>
  <c r="Q8" i="1"/>
  <c r="P8" i="1"/>
  <c r="O8" i="1"/>
  <c r="N8" i="1"/>
  <c r="M8" i="1"/>
  <c r="H8" i="1"/>
  <c r="J8" i="1"/>
  <c r="I8" i="1"/>
  <c r="D8" i="1"/>
  <c r="F8" i="1"/>
  <c r="E8" i="1"/>
  <c r="A8" i="1"/>
  <c r="AB5" i="1"/>
  <c r="AD5" i="1"/>
  <c r="AG5" i="1"/>
  <c r="AE5" i="1"/>
  <c r="AC5" i="1"/>
  <c r="AA5" i="1"/>
  <c r="E3" i="9"/>
  <c r="V5" i="1"/>
  <c r="Q5" i="1"/>
  <c r="P5" i="1"/>
  <c r="O5" i="1"/>
  <c r="N5" i="1"/>
  <c r="M5" i="1"/>
  <c r="H5" i="1"/>
  <c r="J5" i="1"/>
  <c r="I5" i="1"/>
  <c r="D5" i="1"/>
  <c r="F5" i="1"/>
  <c r="E5" i="1"/>
  <c r="A5" i="1"/>
  <c r="AB4" i="1"/>
  <c r="AD4" i="1"/>
  <c r="AG4" i="1"/>
  <c r="AE4" i="1"/>
  <c r="AC4" i="1"/>
  <c r="AA4" i="1"/>
  <c r="V4" i="1"/>
  <c r="Q4" i="1"/>
  <c r="P4" i="1"/>
  <c r="O4" i="1"/>
  <c r="N4" i="1"/>
  <c r="M4" i="1"/>
  <c r="H4" i="1"/>
  <c r="J4" i="1"/>
  <c r="I4" i="1"/>
  <c r="D4" i="1"/>
  <c r="F4" i="1"/>
  <c r="E4" i="1"/>
  <c r="A4" i="1"/>
  <c r="AA6" i="1"/>
  <c r="A6" i="1"/>
  <c r="D6" i="1"/>
  <c r="E6" i="1"/>
  <c r="F6" i="1"/>
  <c r="H6" i="1"/>
  <c r="I6" i="1"/>
  <c r="J6" i="1"/>
  <c r="M6" i="1"/>
  <c r="N6" i="1"/>
  <c r="O6" i="1"/>
  <c r="P6" i="1"/>
  <c r="Q6" i="1"/>
  <c r="E4" i="9"/>
  <c r="V6" i="1"/>
  <c r="AB6" i="1"/>
  <c r="AC6" i="1"/>
  <c r="AD6" i="1"/>
  <c r="AE6" i="1"/>
  <c r="AG6" i="1"/>
  <c r="AA7" i="1"/>
  <c r="A7" i="1"/>
  <c r="D7" i="1"/>
  <c r="E7" i="1"/>
  <c r="F7" i="1"/>
  <c r="H7" i="1"/>
  <c r="I7" i="1"/>
  <c r="J7" i="1"/>
  <c r="M7" i="1"/>
  <c r="N7" i="1"/>
  <c r="O7" i="1"/>
  <c r="P7" i="1"/>
  <c r="Q7" i="1"/>
  <c r="V7" i="1"/>
  <c r="AB7" i="1"/>
  <c r="AC7" i="1"/>
  <c r="AD7" i="1"/>
  <c r="AE7" i="1"/>
  <c r="AG7" i="1"/>
  <c r="C40" i="18"/>
  <c r="D40" i="18"/>
  <c r="C39" i="18"/>
  <c r="D39" i="18"/>
  <c r="C30" i="18"/>
  <c r="D30" i="18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38" i="18"/>
  <c r="D38" i="18"/>
  <c r="C37" i="18"/>
  <c r="D37" i="18"/>
  <c r="C36" i="18"/>
  <c r="D36" i="18"/>
  <c r="C35" i="18"/>
  <c r="D35" i="18"/>
  <c r="C34" i="18"/>
  <c r="D34" i="18"/>
  <c r="C33" i="18"/>
  <c r="D33" i="18"/>
  <c r="C32" i="18"/>
  <c r="D32" i="18"/>
  <c r="C31" i="18"/>
  <c r="D31" i="18"/>
  <c r="C4" i="18"/>
  <c r="D4" i="18"/>
  <c r="C3" i="18"/>
  <c r="D3" i="18"/>
  <c r="C2" i="18"/>
  <c r="D2" i="18"/>
  <c r="J46" i="11"/>
  <c r="O46" i="9"/>
  <c r="N46" i="9"/>
  <c r="M46" i="9"/>
  <c r="L46" i="9"/>
  <c r="K46" i="9"/>
  <c r="J46" i="9"/>
  <c r="I46" i="9"/>
  <c r="H46" i="9"/>
  <c r="G46" i="9"/>
  <c r="E46" i="9"/>
  <c r="D46" i="9"/>
  <c r="A46" i="9"/>
  <c r="D50" i="9"/>
  <c r="J50" i="11"/>
  <c r="O50" i="9"/>
  <c r="N50" i="9"/>
  <c r="M50" i="9"/>
  <c r="L50" i="9"/>
  <c r="K50" i="9"/>
  <c r="J50" i="9"/>
  <c r="I50" i="9"/>
  <c r="H50" i="9"/>
  <c r="G50" i="9"/>
  <c r="E50" i="9"/>
  <c r="A50" i="9"/>
  <c r="E42" i="9"/>
  <c r="E41" i="9"/>
  <c r="E39" i="9"/>
  <c r="E38" i="9"/>
  <c r="E37" i="9"/>
  <c r="E34" i="9"/>
  <c r="E33" i="9"/>
  <c r="E30" i="9"/>
  <c r="E32" i="9"/>
  <c r="E28" i="9"/>
  <c r="E26" i="9"/>
  <c r="E24" i="9"/>
  <c r="E23" i="9"/>
  <c r="E22" i="9"/>
  <c r="E18" i="9"/>
  <c r="E16" i="9"/>
  <c r="E12" i="9"/>
  <c r="E11" i="9"/>
  <c r="E8" i="9"/>
  <c r="E2" i="9"/>
  <c r="AB38" i="1"/>
  <c r="AD38" i="1"/>
  <c r="AG38" i="1"/>
  <c r="AE38" i="1"/>
  <c r="AC38" i="1"/>
  <c r="AA38" i="1"/>
  <c r="V38" i="1"/>
  <c r="Q38" i="1"/>
  <c r="P38" i="1"/>
  <c r="O38" i="1"/>
  <c r="N38" i="1"/>
  <c r="M38" i="1"/>
  <c r="H38" i="1"/>
  <c r="J38" i="1"/>
  <c r="I38" i="1"/>
  <c r="D38" i="1"/>
  <c r="F38" i="1"/>
  <c r="E38" i="1"/>
  <c r="A38" i="1"/>
  <c r="AB37" i="1"/>
  <c r="AD37" i="1"/>
  <c r="AG37" i="1"/>
  <c r="AE37" i="1"/>
  <c r="AC37" i="1"/>
  <c r="AA37" i="1"/>
  <c r="V37" i="1"/>
  <c r="Q37" i="1"/>
  <c r="P37" i="1"/>
  <c r="O37" i="1"/>
  <c r="N37" i="1"/>
  <c r="M37" i="1"/>
  <c r="H37" i="1"/>
  <c r="J37" i="1"/>
  <c r="I37" i="1"/>
  <c r="D37" i="1"/>
  <c r="F37" i="1"/>
  <c r="E37" i="1"/>
  <c r="A37" i="1"/>
  <c r="J40" i="11"/>
  <c r="O40" i="9"/>
  <c r="N40" i="9"/>
  <c r="M40" i="9"/>
  <c r="L40" i="9"/>
  <c r="K40" i="9"/>
  <c r="J40" i="9"/>
  <c r="I40" i="9"/>
  <c r="H40" i="9"/>
  <c r="G40" i="9"/>
  <c r="E40" i="9"/>
  <c r="D40" i="9"/>
  <c r="A40" i="9"/>
  <c r="J31" i="11"/>
  <c r="O31" i="9"/>
  <c r="N31" i="9"/>
  <c r="M31" i="9"/>
  <c r="L31" i="9"/>
  <c r="K31" i="9"/>
  <c r="J31" i="9"/>
  <c r="I31" i="9"/>
  <c r="H31" i="9"/>
  <c r="G31" i="9"/>
  <c r="E31" i="9"/>
  <c r="D31" i="9"/>
  <c r="A31" i="9"/>
  <c r="AB21" i="1"/>
  <c r="AD21" i="1"/>
  <c r="AG21" i="1"/>
  <c r="AE21" i="1"/>
  <c r="AC21" i="1"/>
  <c r="AA21" i="1"/>
  <c r="V21" i="1"/>
  <c r="Q21" i="1"/>
  <c r="P21" i="1"/>
  <c r="O21" i="1"/>
  <c r="N21" i="1"/>
  <c r="M21" i="1"/>
  <c r="H21" i="1"/>
  <c r="J21" i="1"/>
  <c r="I21" i="1"/>
  <c r="D21" i="1"/>
  <c r="F21" i="1"/>
  <c r="E21" i="1"/>
  <c r="A21" i="1"/>
  <c r="AB17" i="1"/>
  <c r="AD17" i="1"/>
  <c r="AG17" i="1"/>
  <c r="AE17" i="1"/>
  <c r="AC17" i="1"/>
  <c r="V17" i="1"/>
  <c r="Q17" i="1"/>
  <c r="P17" i="1"/>
  <c r="O17" i="1"/>
  <c r="N17" i="1"/>
  <c r="M17" i="1"/>
  <c r="H17" i="1"/>
  <c r="J17" i="1"/>
  <c r="I17" i="1"/>
  <c r="D17" i="1"/>
  <c r="F17" i="1"/>
  <c r="E17" i="1"/>
  <c r="A17" i="1"/>
  <c r="J9" i="11"/>
  <c r="O9" i="9"/>
  <c r="N9" i="9"/>
  <c r="M9" i="9"/>
  <c r="L9" i="9"/>
  <c r="K9" i="9"/>
  <c r="J9" i="9"/>
  <c r="I9" i="9"/>
  <c r="H9" i="9"/>
  <c r="G9" i="9"/>
  <c r="E9" i="9"/>
  <c r="D9" i="9"/>
  <c r="A9" i="9"/>
  <c r="J10" i="11"/>
  <c r="I8" i="21"/>
  <c r="J8" i="21"/>
  <c r="G8" i="21"/>
  <c r="F8" i="21"/>
  <c r="D8" i="21"/>
  <c r="C8" i="21"/>
  <c r="I7" i="21"/>
  <c r="J7" i="21"/>
  <c r="G7" i="21"/>
  <c r="F7" i="21"/>
  <c r="D7" i="21"/>
  <c r="C7" i="21"/>
  <c r="I6" i="21"/>
  <c r="J6" i="21"/>
  <c r="G6" i="21"/>
  <c r="F6" i="21"/>
  <c r="D6" i="21"/>
  <c r="C6" i="21"/>
  <c r="I3" i="21"/>
  <c r="J3" i="21"/>
  <c r="G3" i="21"/>
  <c r="F3" i="21"/>
  <c r="D3" i="21"/>
  <c r="C3" i="21"/>
  <c r="M14" i="1"/>
  <c r="I5" i="21"/>
  <c r="J5" i="21"/>
  <c r="G5" i="21"/>
  <c r="F5" i="21"/>
  <c r="D5" i="21"/>
  <c r="C5" i="21"/>
  <c r="I4" i="21"/>
  <c r="J4" i="21"/>
  <c r="G4" i="21"/>
  <c r="F4" i="21"/>
  <c r="D4" i="21"/>
  <c r="C4" i="21"/>
  <c r="I2" i="21"/>
  <c r="J2" i="21"/>
  <c r="G2" i="21"/>
  <c r="F2" i="21"/>
  <c r="D2" i="21"/>
  <c r="C2" i="21"/>
  <c r="C2" i="19"/>
  <c r="D2" i="19"/>
  <c r="F2" i="19"/>
  <c r="G2" i="19"/>
  <c r="C3" i="19"/>
  <c r="D3" i="19"/>
  <c r="F3" i="19"/>
  <c r="G3" i="19"/>
  <c r="C4" i="19"/>
  <c r="D4" i="19"/>
  <c r="F4" i="19"/>
  <c r="G4" i="19"/>
  <c r="C5" i="19"/>
  <c r="D5" i="19"/>
  <c r="F5" i="19"/>
  <c r="G5" i="19"/>
  <c r="C6" i="19"/>
  <c r="D6" i="19"/>
  <c r="F6" i="19"/>
  <c r="G6" i="19"/>
  <c r="C7" i="19"/>
  <c r="D7" i="19"/>
  <c r="F7" i="19"/>
  <c r="G7" i="19"/>
  <c r="C8" i="19"/>
  <c r="D8" i="19"/>
  <c r="F8" i="19"/>
  <c r="G8" i="19"/>
  <c r="C9" i="19"/>
  <c r="D9" i="19"/>
  <c r="F9" i="19"/>
  <c r="G9" i="19"/>
  <c r="C10" i="19"/>
  <c r="D10" i="19"/>
  <c r="F10" i="19"/>
  <c r="G10" i="19"/>
  <c r="C11" i="19"/>
  <c r="D11" i="19"/>
  <c r="F11" i="19"/>
  <c r="G11" i="19"/>
  <c r="C12" i="19"/>
  <c r="D12" i="19"/>
  <c r="F12" i="19"/>
  <c r="G12" i="19"/>
  <c r="C13" i="19"/>
  <c r="D13" i="19"/>
  <c r="F13" i="19"/>
  <c r="G13" i="19"/>
  <c r="C14" i="19"/>
  <c r="D14" i="19"/>
  <c r="F14" i="19"/>
  <c r="G14" i="19"/>
  <c r="C15" i="19"/>
  <c r="D15" i="19"/>
  <c r="F15" i="19"/>
  <c r="G15" i="19"/>
  <c r="C16" i="19"/>
  <c r="D16" i="19"/>
  <c r="F16" i="19"/>
  <c r="G16" i="19"/>
  <c r="C17" i="19"/>
  <c r="D17" i="19"/>
  <c r="F17" i="19"/>
  <c r="G17" i="19"/>
  <c r="C18" i="19"/>
  <c r="D18" i="19"/>
  <c r="F18" i="19"/>
  <c r="G18" i="19"/>
  <c r="C19" i="19"/>
  <c r="D19" i="19"/>
  <c r="F19" i="19"/>
  <c r="G19" i="19"/>
  <c r="C20" i="19"/>
  <c r="D20" i="19"/>
  <c r="F20" i="19"/>
  <c r="G20" i="19"/>
  <c r="C21" i="19"/>
  <c r="D21" i="19"/>
  <c r="F21" i="19"/>
  <c r="G21" i="19"/>
  <c r="C22" i="19"/>
  <c r="D22" i="19"/>
  <c r="F22" i="19"/>
  <c r="G22" i="19"/>
  <c r="C23" i="19"/>
  <c r="D23" i="19"/>
  <c r="F23" i="19"/>
  <c r="G23" i="19"/>
  <c r="C24" i="19"/>
  <c r="D24" i="19"/>
  <c r="F24" i="19"/>
  <c r="G24" i="19"/>
  <c r="C25" i="19"/>
  <c r="D25" i="19"/>
  <c r="F25" i="19"/>
  <c r="G25" i="19"/>
  <c r="C26" i="19"/>
  <c r="D26" i="19"/>
  <c r="F26" i="19"/>
  <c r="G26" i="19"/>
  <c r="C27" i="19"/>
  <c r="D27" i="19"/>
  <c r="F27" i="19"/>
  <c r="G27" i="19"/>
  <c r="C28" i="19"/>
  <c r="D28" i="19"/>
  <c r="F28" i="19"/>
  <c r="G28" i="19"/>
  <c r="C29" i="19"/>
  <c r="D29" i="19"/>
  <c r="F29" i="19"/>
  <c r="G29" i="19"/>
  <c r="C30" i="19"/>
  <c r="D30" i="19"/>
  <c r="F30" i="19"/>
  <c r="G30" i="19"/>
  <c r="C31" i="19"/>
  <c r="D31" i="19"/>
  <c r="F31" i="19"/>
  <c r="G31" i="19"/>
  <c r="C32" i="19"/>
  <c r="D32" i="19"/>
  <c r="F32" i="19"/>
  <c r="G32" i="19"/>
  <c r="C33" i="19"/>
  <c r="D33" i="19"/>
  <c r="F33" i="19"/>
  <c r="G33" i="19"/>
  <c r="C34" i="19"/>
  <c r="D34" i="19"/>
  <c r="F34" i="19"/>
  <c r="G34" i="19"/>
  <c r="C35" i="19"/>
  <c r="D35" i="19"/>
  <c r="F35" i="19"/>
  <c r="G35" i="19"/>
  <c r="C36" i="19"/>
  <c r="D36" i="19"/>
  <c r="F36" i="19"/>
  <c r="G36" i="19"/>
  <c r="C37" i="19"/>
  <c r="D37" i="19"/>
  <c r="F37" i="19"/>
  <c r="G37" i="19"/>
  <c r="G82" i="19"/>
  <c r="F82" i="19"/>
  <c r="D82" i="19"/>
  <c r="C82" i="19"/>
  <c r="G81" i="19"/>
  <c r="F81" i="19"/>
  <c r="D81" i="19"/>
  <c r="C81" i="19"/>
  <c r="G80" i="19"/>
  <c r="F80" i="19"/>
  <c r="D80" i="19"/>
  <c r="C80" i="19"/>
  <c r="G79" i="19"/>
  <c r="F79" i="19"/>
  <c r="D79" i="19"/>
  <c r="C79" i="19"/>
  <c r="G78" i="19"/>
  <c r="F78" i="19"/>
  <c r="D78" i="19"/>
  <c r="C78" i="19"/>
  <c r="G77" i="19"/>
  <c r="F77" i="19"/>
  <c r="D77" i="19"/>
  <c r="C77" i="19"/>
  <c r="G76" i="19"/>
  <c r="F76" i="19"/>
  <c r="D76" i="19"/>
  <c r="C76" i="19"/>
  <c r="G75" i="19"/>
  <c r="F75" i="19"/>
  <c r="D75" i="19"/>
  <c r="C75" i="19"/>
  <c r="G74" i="19"/>
  <c r="F74" i="19"/>
  <c r="D74" i="19"/>
  <c r="C74" i="19"/>
  <c r="G73" i="19"/>
  <c r="F73" i="19"/>
  <c r="D73" i="19"/>
  <c r="C73" i="19"/>
  <c r="G72" i="19"/>
  <c r="F72" i="19"/>
  <c r="D72" i="19"/>
  <c r="C72" i="19"/>
  <c r="G71" i="19"/>
  <c r="F71" i="19"/>
  <c r="D71" i="19"/>
  <c r="C71" i="19"/>
  <c r="G70" i="19"/>
  <c r="F70" i="19"/>
  <c r="D70" i="19"/>
  <c r="C70" i="19"/>
  <c r="G69" i="19"/>
  <c r="F69" i="19"/>
  <c r="D69" i="19"/>
  <c r="C69" i="19"/>
  <c r="G68" i="19"/>
  <c r="F68" i="19"/>
  <c r="D68" i="19"/>
  <c r="C68" i="19"/>
  <c r="G67" i="19"/>
  <c r="F67" i="19"/>
  <c r="D67" i="19"/>
  <c r="C67" i="19"/>
  <c r="G66" i="19"/>
  <c r="F66" i="19"/>
  <c r="D66" i="19"/>
  <c r="C66" i="19"/>
  <c r="G65" i="19"/>
  <c r="F65" i="19"/>
  <c r="D65" i="19"/>
  <c r="C65" i="19"/>
  <c r="G64" i="19"/>
  <c r="F64" i="19"/>
  <c r="D64" i="19"/>
  <c r="C64" i="19"/>
  <c r="G63" i="19"/>
  <c r="F63" i="19"/>
  <c r="D63" i="19"/>
  <c r="C63" i="19"/>
  <c r="G62" i="19"/>
  <c r="F62" i="19"/>
  <c r="D62" i="19"/>
  <c r="C62" i="19"/>
  <c r="G61" i="19"/>
  <c r="F61" i="19"/>
  <c r="D61" i="19"/>
  <c r="C61" i="19"/>
  <c r="G60" i="19"/>
  <c r="F60" i="19"/>
  <c r="D60" i="19"/>
  <c r="C60" i="19"/>
  <c r="G59" i="19"/>
  <c r="F59" i="19"/>
  <c r="D59" i="19"/>
  <c r="C59" i="19"/>
  <c r="G58" i="19"/>
  <c r="F58" i="19"/>
  <c r="D58" i="19"/>
  <c r="C58" i="19"/>
  <c r="G57" i="19"/>
  <c r="F57" i="19"/>
  <c r="D57" i="19"/>
  <c r="C57" i="19"/>
  <c r="G56" i="19"/>
  <c r="F56" i="19"/>
  <c r="D56" i="19"/>
  <c r="C56" i="19"/>
  <c r="G55" i="19"/>
  <c r="F55" i="19"/>
  <c r="D55" i="19"/>
  <c r="C55" i="19"/>
  <c r="G54" i="19"/>
  <c r="F54" i="19"/>
  <c r="D54" i="19"/>
  <c r="C54" i="19"/>
  <c r="G53" i="19"/>
  <c r="F53" i="19"/>
  <c r="D53" i="19"/>
  <c r="C53" i="19"/>
  <c r="G52" i="19"/>
  <c r="F52" i="19"/>
  <c r="D52" i="19"/>
  <c r="C52" i="19"/>
  <c r="G51" i="19"/>
  <c r="F51" i="19"/>
  <c r="D51" i="19"/>
  <c r="C51" i="19"/>
  <c r="G50" i="19"/>
  <c r="F50" i="19"/>
  <c r="D50" i="19"/>
  <c r="C50" i="19"/>
  <c r="G49" i="19"/>
  <c r="F49" i="19"/>
  <c r="D49" i="19"/>
  <c r="C49" i="19"/>
  <c r="G48" i="19"/>
  <c r="F48" i="19"/>
  <c r="D48" i="19"/>
  <c r="C48" i="19"/>
  <c r="G47" i="19"/>
  <c r="F47" i="19"/>
  <c r="D47" i="19"/>
  <c r="C47" i="19"/>
  <c r="G46" i="19"/>
  <c r="F46" i="19"/>
  <c r="D46" i="19"/>
  <c r="C46" i="19"/>
  <c r="G45" i="19"/>
  <c r="F45" i="19"/>
  <c r="D45" i="19"/>
  <c r="C45" i="19"/>
  <c r="G44" i="19"/>
  <c r="F44" i="19"/>
  <c r="D44" i="19"/>
  <c r="C44" i="19"/>
  <c r="G43" i="19"/>
  <c r="F43" i="19"/>
  <c r="D43" i="19"/>
  <c r="C43" i="19"/>
  <c r="G42" i="19"/>
  <c r="F42" i="19"/>
  <c r="D42" i="19"/>
  <c r="C42" i="19"/>
  <c r="G41" i="19"/>
  <c r="F41" i="19"/>
  <c r="D41" i="19"/>
  <c r="C41" i="19"/>
  <c r="G40" i="19"/>
  <c r="F40" i="19"/>
  <c r="D40" i="19"/>
  <c r="C40" i="19"/>
  <c r="G39" i="19"/>
  <c r="F39" i="19"/>
  <c r="D39" i="19"/>
  <c r="C39" i="19"/>
  <c r="G38" i="19"/>
  <c r="F38" i="19"/>
  <c r="D38" i="19"/>
  <c r="C38" i="19"/>
  <c r="M47" i="1"/>
  <c r="D47" i="9"/>
  <c r="J49" i="11"/>
  <c r="O49" i="9"/>
  <c r="N49" i="9"/>
  <c r="M49" i="9"/>
  <c r="L49" i="9"/>
  <c r="K49" i="9"/>
  <c r="J49" i="9"/>
  <c r="I49" i="9"/>
  <c r="H49" i="9"/>
  <c r="G49" i="9"/>
  <c r="E49" i="9"/>
  <c r="D49" i="9"/>
  <c r="A49" i="9"/>
  <c r="J48" i="11"/>
  <c r="O48" i="9"/>
  <c r="N48" i="9"/>
  <c r="M48" i="9"/>
  <c r="L48" i="9"/>
  <c r="K48" i="9"/>
  <c r="J48" i="9"/>
  <c r="I48" i="9"/>
  <c r="H48" i="9"/>
  <c r="G48" i="9"/>
  <c r="E48" i="9"/>
  <c r="D48" i="9"/>
  <c r="A48" i="9"/>
  <c r="J47" i="11"/>
  <c r="O47" i="9"/>
  <c r="N47" i="9"/>
  <c r="M47" i="9"/>
  <c r="L47" i="9"/>
  <c r="K47" i="9"/>
  <c r="J47" i="9"/>
  <c r="I47" i="9"/>
  <c r="H47" i="9"/>
  <c r="G47" i="9"/>
  <c r="E47" i="9"/>
  <c r="A47" i="9"/>
  <c r="J45" i="11"/>
  <c r="O45" i="9"/>
  <c r="N45" i="9"/>
  <c r="M45" i="9"/>
  <c r="L45" i="9"/>
  <c r="K45" i="9"/>
  <c r="J45" i="9"/>
  <c r="I45" i="9"/>
  <c r="H45" i="9"/>
  <c r="G45" i="9"/>
  <c r="E45" i="9"/>
  <c r="D45" i="9"/>
  <c r="A45" i="9"/>
  <c r="J44" i="11"/>
  <c r="O44" i="9"/>
  <c r="N44" i="9"/>
  <c r="M44" i="9"/>
  <c r="L44" i="9"/>
  <c r="K44" i="9"/>
  <c r="J44" i="9"/>
  <c r="I44" i="9"/>
  <c r="H44" i="9"/>
  <c r="G44" i="9"/>
  <c r="E44" i="9"/>
  <c r="D44" i="9"/>
  <c r="A44" i="9"/>
  <c r="J43" i="11"/>
  <c r="O43" i="9"/>
  <c r="N43" i="9"/>
  <c r="M43" i="9"/>
  <c r="L43" i="9"/>
  <c r="K43" i="9"/>
  <c r="J43" i="9"/>
  <c r="I43" i="9"/>
  <c r="H43" i="9"/>
  <c r="G43" i="9"/>
  <c r="E43" i="9"/>
  <c r="D43" i="9"/>
  <c r="A43" i="9"/>
  <c r="J42" i="11"/>
  <c r="O42" i="9"/>
  <c r="N42" i="9"/>
  <c r="M42" i="9"/>
  <c r="L42" i="9"/>
  <c r="K42" i="9"/>
  <c r="J42" i="9"/>
  <c r="I42" i="9"/>
  <c r="H42" i="9"/>
  <c r="G42" i="9"/>
  <c r="D42" i="9"/>
  <c r="A42" i="9"/>
  <c r="J41" i="11"/>
  <c r="O41" i="9"/>
  <c r="N41" i="9"/>
  <c r="M41" i="9"/>
  <c r="L41" i="9"/>
  <c r="K41" i="9"/>
  <c r="J41" i="9"/>
  <c r="I41" i="9"/>
  <c r="H41" i="9"/>
  <c r="G41" i="9"/>
  <c r="D41" i="9"/>
  <c r="A41" i="9"/>
  <c r="J39" i="11"/>
  <c r="O39" i="9"/>
  <c r="N39" i="9"/>
  <c r="M39" i="9"/>
  <c r="L39" i="9"/>
  <c r="K39" i="9"/>
  <c r="J39" i="9"/>
  <c r="I39" i="9"/>
  <c r="H39" i="9"/>
  <c r="G39" i="9"/>
  <c r="D39" i="9"/>
  <c r="A39" i="9"/>
  <c r="J38" i="11"/>
  <c r="O38" i="9"/>
  <c r="N38" i="9"/>
  <c r="M38" i="9"/>
  <c r="L38" i="9"/>
  <c r="K38" i="9"/>
  <c r="J38" i="9"/>
  <c r="I38" i="9"/>
  <c r="H38" i="9"/>
  <c r="G38" i="9"/>
  <c r="D38" i="9"/>
  <c r="A38" i="9"/>
  <c r="J37" i="11"/>
  <c r="O37" i="9"/>
  <c r="N37" i="9"/>
  <c r="M37" i="9"/>
  <c r="L37" i="9"/>
  <c r="K37" i="9"/>
  <c r="J37" i="9"/>
  <c r="I37" i="9"/>
  <c r="H37" i="9"/>
  <c r="G37" i="9"/>
  <c r="D37" i="9"/>
  <c r="A37" i="9"/>
  <c r="J36" i="11"/>
  <c r="O36" i="9"/>
  <c r="N36" i="9"/>
  <c r="M36" i="9"/>
  <c r="L36" i="9"/>
  <c r="K36" i="9"/>
  <c r="J36" i="9"/>
  <c r="I36" i="9"/>
  <c r="H36" i="9"/>
  <c r="G36" i="9"/>
  <c r="E36" i="9"/>
  <c r="D36" i="9"/>
  <c r="A36" i="9"/>
  <c r="J35" i="11"/>
  <c r="O35" i="9"/>
  <c r="N35" i="9"/>
  <c r="M35" i="9"/>
  <c r="L35" i="9"/>
  <c r="K35" i="9"/>
  <c r="J35" i="9"/>
  <c r="I35" i="9"/>
  <c r="H35" i="9"/>
  <c r="G35" i="9"/>
  <c r="E35" i="9"/>
  <c r="D35" i="9"/>
  <c r="A35" i="9"/>
  <c r="J34" i="11"/>
  <c r="O34" i="9"/>
  <c r="N34" i="9"/>
  <c r="M34" i="9"/>
  <c r="L34" i="9"/>
  <c r="K34" i="9"/>
  <c r="J34" i="9"/>
  <c r="I34" i="9"/>
  <c r="H34" i="9"/>
  <c r="G34" i="9"/>
  <c r="D34" i="9"/>
  <c r="A34" i="9"/>
  <c r="J33" i="11"/>
  <c r="O33" i="9"/>
  <c r="N33" i="9"/>
  <c r="M33" i="9"/>
  <c r="L33" i="9"/>
  <c r="K33" i="9"/>
  <c r="J33" i="9"/>
  <c r="I33" i="9"/>
  <c r="H33" i="9"/>
  <c r="G33" i="9"/>
  <c r="D33" i="9"/>
  <c r="A33" i="9"/>
  <c r="J32" i="11"/>
  <c r="O32" i="9"/>
  <c r="N32" i="9"/>
  <c r="M32" i="9"/>
  <c r="L32" i="9"/>
  <c r="K32" i="9"/>
  <c r="J32" i="9"/>
  <c r="I32" i="9"/>
  <c r="H32" i="9"/>
  <c r="G32" i="9"/>
  <c r="D32" i="9"/>
  <c r="A32" i="9"/>
  <c r="J30" i="11"/>
  <c r="O30" i="9"/>
  <c r="N30" i="9"/>
  <c r="M30" i="9"/>
  <c r="L30" i="9"/>
  <c r="K30" i="9"/>
  <c r="J30" i="9"/>
  <c r="I30" i="9"/>
  <c r="H30" i="9"/>
  <c r="G30" i="9"/>
  <c r="D30" i="9"/>
  <c r="A30" i="9"/>
  <c r="J29" i="11"/>
  <c r="O29" i="9"/>
  <c r="N29" i="9"/>
  <c r="M29" i="9"/>
  <c r="L29" i="9"/>
  <c r="K29" i="9"/>
  <c r="J29" i="9"/>
  <c r="I29" i="9"/>
  <c r="H29" i="9"/>
  <c r="G29" i="9"/>
  <c r="D29" i="9"/>
  <c r="A29" i="9"/>
  <c r="J28" i="11"/>
  <c r="O28" i="9"/>
  <c r="N28" i="9"/>
  <c r="M28" i="9"/>
  <c r="L28" i="9"/>
  <c r="K28" i="9"/>
  <c r="J28" i="9"/>
  <c r="I28" i="9"/>
  <c r="H28" i="9"/>
  <c r="G28" i="9"/>
  <c r="D28" i="9"/>
  <c r="A28" i="9"/>
  <c r="J27" i="11"/>
  <c r="O27" i="9"/>
  <c r="N27" i="9"/>
  <c r="M27" i="9"/>
  <c r="L27" i="9"/>
  <c r="K27" i="9"/>
  <c r="J27" i="9"/>
  <c r="I27" i="9"/>
  <c r="H27" i="9"/>
  <c r="G27" i="9"/>
  <c r="D27" i="9"/>
  <c r="A27" i="9"/>
  <c r="J26" i="11"/>
  <c r="O26" i="9"/>
  <c r="N26" i="9"/>
  <c r="M26" i="9"/>
  <c r="L26" i="9"/>
  <c r="K26" i="9"/>
  <c r="J26" i="9"/>
  <c r="I26" i="9"/>
  <c r="H26" i="9"/>
  <c r="G26" i="9"/>
  <c r="D26" i="9"/>
  <c r="A26" i="9"/>
  <c r="J25" i="11"/>
  <c r="O25" i="9"/>
  <c r="N25" i="9"/>
  <c r="M25" i="9"/>
  <c r="L25" i="9"/>
  <c r="K25" i="9"/>
  <c r="J25" i="9"/>
  <c r="I25" i="9"/>
  <c r="H25" i="9"/>
  <c r="G25" i="9"/>
  <c r="E25" i="9"/>
  <c r="D25" i="9"/>
  <c r="A25" i="9"/>
  <c r="J24" i="11"/>
  <c r="O24" i="9"/>
  <c r="N24" i="9"/>
  <c r="M24" i="9"/>
  <c r="L24" i="9"/>
  <c r="K24" i="9"/>
  <c r="J24" i="9"/>
  <c r="I24" i="9"/>
  <c r="H24" i="9"/>
  <c r="G24" i="9"/>
  <c r="D24" i="9"/>
  <c r="A24" i="9"/>
  <c r="J23" i="11"/>
  <c r="O23" i="9"/>
  <c r="N23" i="9"/>
  <c r="M23" i="9"/>
  <c r="L23" i="9"/>
  <c r="K23" i="9"/>
  <c r="J23" i="9"/>
  <c r="I23" i="9"/>
  <c r="H23" i="9"/>
  <c r="G23" i="9"/>
  <c r="D23" i="9"/>
  <c r="A23" i="9"/>
  <c r="J22" i="11"/>
  <c r="O22" i="9"/>
  <c r="N22" i="9"/>
  <c r="M22" i="9"/>
  <c r="L22" i="9"/>
  <c r="K22" i="9"/>
  <c r="J22" i="9"/>
  <c r="I22" i="9"/>
  <c r="H22" i="9"/>
  <c r="G22" i="9"/>
  <c r="D22" i="9"/>
  <c r="A22" i="9"/>
  <c r="J21" i="11"/>
  <c r="O21" i="9"/>
  <c r="N21" i="9"/>
  <c r="M21" i="9"/>
  <c r="L21" i="9"/>
  <c r="K21" i="9"/>
  <c r="J21" i="9"/>
  <c r="I21" i="9"/>
  <c r="H21" i="9"/>
  <c r="G21" i="9"/>
  <c r="E21" i="9"/>
  <c r="D21" i="9"/>
  <c r="A21" i="9"/>
  <c r="J20" i="11"/>
  <c r="O20" i="9"/>
  <c r="N20" i="9"/>
  <c r="M20" i="9"/>
  <c r="L20" i="9"/>
  <c r="K20" i="9"/>
  <c r="J20" i="9"/>
  <c r="I20" i="9"/>
  <c r="H20" i="9"/>
  <c r="G20" i="9"/>
  <c r="E20" i="9"/>
  <c r="D20" i="9"/>
  <c r="A20" i="9"/>
  <c r="J19" i="11"/>
  <c r="O19" i="9"/>
  <c r="N19" i="9"/>
  <c r="M19" i="9"/>
  <c r="L19" i="9"/>
  <c r="K19" i="9"/>
  <c r="J19" i="9"/>
  <c r="I19" i="9"/>
  <c r="H19" i="9"/>
  <c r="G19" i="9"/>
  <c r="D19" i="9"/>
  <c r="A19" i="9"/>
  <c r="J18" i="11"/>
  <c r="O18" i="9"/>
  <c r="N18" i="9"/>
  <c r="M18" i="9"/>
  <c r="L18" i="9"/>
  <c r="K18" i="9"/>
  <c r="J18" i="9"/>
  <c r="I18" i="9"/>
  <c r="H18" i="9"/>
  <c r="G18" i="9"/>
  <c r="D18" i="9"/>
  <c r="A18" i="9"/>
  <c r="J17" i="11"/>
  <c r="O17" i="9"/>
  <c r="N17" i="9"/>
  <c r="M17" i="9"/>
  <c r="L17" i="9"/>
  <c r="K17" i="9"/>
  <c r="J17" i="9"/>
  <c r="I17" i="9"/>
  <c r="H17" i="9"/>
  <c r="G17" i="9"/>
  <c r="D17" i="9"/>
  <c r="A17" i="9"/>
  <c r="J16" i="11"/>
  <c r="O16" i="9"/>
  <c r="N16" i="9"/>
  <c r="M16" i="9"/>
  <c r="L16" i="9"/>
  <c r="K16" i="9"/>
  <c r="J16" i="9"/>
  <c r="I16" i="9"/>
  <c r="H16" i="9"/>
  <c r="G16" i="9"/>
  <c r="D16" i="9"/>
  <c r="A16" i="9"/>
  <c r="J15" i="11"/>
  <c r="O15" i="9"/>
  <c r="N15" i="9"/>
  <c r="M15" i="9"/>
  <c r="L15" i="9"/>
  <c r="K15" i="9"/>
  <c r="J15" i="9"/>
  <c r="I15" i="9"/>
  <c r="H15" i="9"/>
  <c r="G15" i="9"/>
  <c r="E15" i="9"/>
  <c r="D15" i="9"/>
  <c r="A15" i="9"/>
  <c r="J14" i="11"/>
  <c r="O14" i="9"/>
  <c r="N14" i="9"/>
  <c r="M14" i="9"/>
  <c r="L14" i="9"/>
  <c r="K14" i="9"/>
  <c r="J14" i="9"/>
  <c r="I14" i="9"/>
  <c r="H14" i="9"/>
  <c r="G14" i="9"/>
  <c r="E14" i="9"/>
  <c r="D14" i="9"/>
  <c r="A14" i="9"/>
  <c r="J13" i="11"/>
  <c r="O13" i="9"/>
  <c r="N13" i="9"/>
  <c r="M13" i="9"/>
  <c r="L13" i="9"/>
  <c r="K13" i="9"/>
  <c r="J13" i="9"/>
  <c r="I13" i="9"/>
  <c r="H13" i="9"/>
  <c r="G13" i="9"/>
  <c r="E13" i="9"/>
  <c r="D13" i="9"/>
  <c r="A13" i="9"/>
  <c r="J12" i="11"/>
  <c r="O12" i="9"/>
  <c r="N12" i="9"/>
  <c r="M12" i="9"/>
  <c r="L12" i="9"/>
  <c r="K12" i="9"/>
  <c r="J12" i="9"/>
  <c r="I12" i="9"/>
  <c r="H12" i="9"/>
  <c r="G12" i="9"/>
  <c r="D12" i="9"/>
  <c r="A12" i="9"/>
  <c r="J11" i="11"/>
  <c r="O11" i="9"/>
  <c r="N11" i="9"/>
  <c r="M11" i="9"/>
  <c r="L11" i="9"/>
  <c r="K11" i="9"/>
  <c r="J11" i="9"/>
  <c r="I11" i="9"/>
  <c r="H11" i="9"/>
  <c r="G11" i="9"/>
  <c r="D11" i="9"/>
  <c r="A11" i="9"/>
  <c r="O10" i="9"/>
  <c r="N10" i="9"/>
  <c r="M10" i="9"/>
  <c r="L10" i="9"/>
  <c r="K10" i="9"/>
  <c r="J10" i="9"/>
  <c r="I10" i="9"/>
  <c r="H10" i="9"/>
  <c r="G10" i="9"/>
  <c r="D10" i="9"/>
  <c r="A10" i="9"/>
  <c r="J8" i="11"/>
  <c r="O8" i="9"/>
  <c r="N8" i="9"/>
  <c r="M8" i="9"/>
  <c r="L8" i="9"/>
  <c r="K8" i="9"/>
  <c r="J8" i="9"/>
  <c r="I8" i="9"/>
  <c r="H8" i="9"/>
  <c r="G8" i="9"/>
  <c r="D8" i="9"/>
  <c r="A8" i="9"/>
  <c r="J7" i="11"/>
  <c r="O7" i="9"/>
  <c r="N7" i="9"/>
  <c r="M7" i="9"/>
  <c r="L7" i="9"/>
  <c r="K7" i="9"/>
  <c r="J7" i="9"/>
  <c r="I7" i="9"/>
  <c r="H7" i="9"/>
  <c r="G7" i="9"/>
  <c r="E7" i="9"/>
  <c r="D7" i="9"/>
  <c r="A7" i="9"/>
  <c r="J6" i="11"/>
  <c r="O6" i="9"/>
  <c r="N6" i="9"/>
  <c r="M6" i="9"/>
  <c r="L6" i="9"/>
  <c r="K6" i="9"/>
  <c r="J6" i="9"/>
  <c r="I6" i="9"/>
  <c r="H6" i="9"/>
  <c r="G6" i="9"/>
  <c r="E6" i="9"/>
  <c r="D6" i="9"/>
  <c r="A6" i="9"/>
  <c r="J5" i="11"/>
  <c r="O5" i="9"/>
  <c r="N5" i="9"/>
  <c r="M5" i="9"/>
  <c r="L5" i="9"/>
  <c r="K5" i="9"/>
  <c r="J5" i="9"/>
  <c r="I5" i="9"/>
  <c r="H5" i="9"/>
  <c r="G5" i="9"/>
  <c r="D5" i="9"/>
  <c r="A5" i="9"/>
  <c r="J4" i="11"/>
  <c r="O4" i="9"/>
  <c r="N4" i="9"/>
  <c r="M4" i="9"/>
  <c r="L4" i="9"/>
  <c r="K4" i="9"/>
  <c r="J4" i="9"/>
  <c r="I4" i="9"/>
  <c r="H4" i="9"/>
  <c r="G4" i="9"/>
  <c r="D4" i="9"/>
  <c r="A4" i="9"/>
  <c r="J3" i="11"/>
  <c r="O3" i="9"/>
  <c r="N3" i="9"/>
  <c r="M3" i="9"/>
  <c r="L3" i="9"/>
  <c r="K3" i="9"/>
  <c r="J3" i="9"/>
  <c r="I3" i="9"/>
  <c r="H3" i="9"/>
  <c r="G3" i="9"/>
  <c r="D3" i="9"/>
  <c r="A3" i="9"/>
  <c r="M46" i="1"/>
  <c r="AB46" i="1"/>
  <c r="AD46" i="1"/>
  <c r="AG46" i="1"/>
  <c r="AE46" i="1"/>
  <c r="AC46" i="1"/>
  <c r="V46" i="1"/>
  <c r="Q46" i="1"/>
  <c r="P46" i="1"/>
  <c r="O46" i="1"/>
  <c r="N46" i="1"/>
  <c r="H46" i="1"/>
  <c r="J46" i="1"/>
  <c r="I46" i="1"/>
  <c r="D46" i="1"/>
  <c r="F46" i="1"/>
  <c r="E46" i="1"/>
  <c r="A46" i="1"/>
  <c r="AB45" i="1"/>
  <c r="AD45" i="1"/>
  <c r="AG45" i="1"/>
  <c r="AE45" i="1"/>
  <c r="AC45" i="1"/>
  <c r="AA45" i="1"/>
  <c r="V45" i="1"/>
  <c r="Q45" i="1"/>
  <c r="P45" i="1"/>
  <c r="O45" i="1"/>
  <c r="N45" i="1"/>
  <c r="M45" i="1"/>
  <c r="H45" i="1"/>
  <c r="J45" i="1"/>
  <c r="I45" i="1"/>
  <c r="D45" i="1"/>
  <c r="F45" i="1"/>
  <c r="E45" i="1"/>
  <c r="A45" i="1"/>
  <c r="AB44" i="1"/>
  <c r="AD44" i="1"/>
  <c r="AG44" i="1"/>
  <c r="AE44" i="1"/>
  <c r="AC44" i="1"/>
  <c r="V44" i="1"/>
  <c r="Q44" i="1"/>
  <c r="P44" i="1"/>
  <c r="O44" i="1"/>
  <c r="N44" i="1"/>
  <c r="M44" i="1"/>
  <c r="H44" i="1"/>
  <c r="J44" i="1"/>
  <c r="I44" i="1"/>
  <c r="D44" i="1"/>
  <c r="F44" i="1"/>
  <c r="E44" i="1"/>
  <c r="A44" i="1"/>
  <c r="AB25" i="1"/>
  <c r="AD25" i="1"/>
  <c r="AG25" i="1"/>
  <c r="AE25" i="1"/>
  <c r="AC25" i="1"/>
  <c r="AA25" i="1"/>
  <c r="V25" i="1"/>
  <c r="Q25" i="1"/>
  <c r="P25" i="1"/>
  <c r="O25" i="1"/>
  <c r="N25" i="1"/>
  <c r="M25" i="1"/>
  <c r="H25" i="1"/>
  <c r="J25" i="1"/>
  <c r="I25" i="1"/>
  <c r="D25" i="1"/>
  <c r="F25" i="1"/>
  <c r="E25" i="1"/>
  <c r="A25" i="1"/>
  <c r="AB11" i="1"/>
  <c r="AD11" i="1"/>
  <c r="AG11" i="1"/>
  <c r="AE11" i="1"/>
  <c r="AC11" i="1"/>
  <c r="AA11" i="1"/>
  <c r="V11" i="1"/>
  <c r="Q11" i="1"/>
  <c r="P11" i="1"/>
  <c r="O11" i="1"/>
  <c r="N11" i="1"/>
  <c r="M11" i="1"/>
  <c r="H11" i="1"/>
  <c r="J11" i="1"/>
  <c r="I11" i="1"/>
  <c r="D11" i="1"/>
  <c r="F11" i="1"/>
  <c r="E11" i="1"/>
  <c r="A11" i="1"/>
  <c r="AA10" i="1"/>
  <c r="A10" i="1"/>
  <c r="D10" i="1"/>
  <c r="E10" i="1"/>
  <c r="F10" i="1"/>
  <c r="H10" i="1"/>
  <c r="I10" i="1"/>
  <c r="J10" i="1"/>
  <c r="M10" i="1"/>
  <c r="N10" i="1"/>
  <c r="O10" i="1"/>
  <c r="P10" i="1"/>
  <c r="Q10" i="1"/>
  <c r="V10" i="1"/>
  <c r="AB10" i="1"/>
  <c r="AC10" i="1"/>
  <c r="AD10" i="1"/>
  <c r="AE10" i="1"/>
  <c r="AG10" i="1"/>
  <c r="M186" i="10"/>
  <c r="T186" i="10"/>
  <c r="W186" i="10"/>
  <c r="V186" i="10"/>
  <c r="X186" i="10"/>
  <c r="U186" i="10"/>
  <c r="Y186" i="10"/>
  <c r="M263" i="10"/>
  <c r="N263" i="10"/>
  <c r="Q263" i="10"/>
  <c r="P263" i="10"/>
  <c r="R263" i="10"/>
  <c r="O263" i="10"/>
  <c r="S263" i="10"/>
  <c r="M253" i="10"/>
  <c r="N253" i="10"/>
  <c r="Q253" i="10"/>
  <c r="P253" i="10"/>
  <c r="R253" i="10"/>
  <c r="O253" i="10"/>
  <c r="S253" i="10"/>
  <c r="M243" i="10"/>
  <c r="N243" i="10"/>
  <c r="Q243" i="10"/>
  <c r="P243" i="10"/>
  <c r="R243" i="10"/>
  <c r="O243" i="10"/>
  <c r="S243" i="10"/>
  <c r="M233" i="10"/>
  <c r="N233" i="10"/>
  <c r="Q233" i="10"/>
  <c r="P233" i="10"/>
  <c r="R233" i="10"/>
  <c r="O233" i="10"/>
  <c r="S233" i="10"/>
  <c r="M223" i="10"/>
  <c r="N223" i="10"/>
  <c r="Q223" i="10"/>
  <c r="P223" i="10"/>
  <c r="R223" i="10"/>
  <c r="O223" i="10"/>
  <c r="S223" i="10"/>
  <c r="M213" i="10"/>
  <c r="N213" i="10"/>
  <c r="Q213" i="10"/>
  <c r="P213" i="10"/>
  <c r="R213" i="10"/>
  <c r="O213" i="10"/>
  <c r="S213" i="10"/>
  <c r="M206" i="10"/>
  <c r="N206" i="10"/>
  <c r="Q206" i="10"/>
  <c r="P206" i="10"/>
  <c r="R206" i="10"/>
  <c r="O206" i="10"/>
  <c r="S206" i="10"/>
  <c r="N186" i="10"/>
  <c r="Q186" i="10"/>
  <c r="P186" i="10"/>
  <c r="R186" i="10"/>
  <c r="O186" i="10"/>
  <c r="S186" i="10"/>
  <c r="G186" i="10"/>
  <c r="J186" i="10"/>
  <c r="I186" i="10"/>
  <c r="K186" i="10"/>
  <c r="H186" i="10"/>
  <c r="L186" i="10"/>
  <c r="M185" i="10"/>
  <c r="T185" i="10"/>
  <c r="W185" i="10"/>
  <c r="V185" i="10"/>
  <c r="X185" i="10"/>
  <c r="U185" i="10"/>
  <c r="Y185" i="10"/>
  <c r="M262" i="10"/>
  <c r="N262" i="10"/>
  <c r="Q262" i="10"/>
  <c r="P262" i="10"/>
  <c r="R262" i="10"/>
  <c r="O262" i="10"/>
  <c r="S262" i="10"/>
  <c r="M252" i="10"/>
  <c r="N252" i="10"/>
  <c r="Q252" i="10"/>
  <c r="P252" i="10"/>
  <c r="R252" i="10"/>
  <c r="O252" i="10"/>
  <c r="S252" i="10"/>
  <c r="M242" i="10"/>
  <c r="N242" i="10"/>
  <c r="Q242" i="10"/>
  <c r="P242" i="10"/>
  <c r="R242" i="10"/>
  <c r="O242" i="10"/>
  <c r="S242" i="10"/>
  <c r="M232" i="10"/>
  <c r="N232" i="10"/>
  <c r="Q232" i="10"/>
  <c r="P232" i="10"/>
  <c r="R232" i="10"/>
  <c r="O232" i="10"/>
  <c r="S232" i="10"/>
  <c r="M222" i="10"/>
  <c r="N222" i="10"/>
  <c r="Q222" i="10"/>
  <c r="P222" i="10"/>
  <c r="R222" i="10"/>
  <c r="O222" i="10"/>
  <c r="S222" i="10"/>
  <c r="M212" i="10"/>
  <c r="N212" i="10"/>
  <c r="Q212" i="10"/>
  <c r="P212" i="10"/>
  <c r="R212" i="10"/>
  <c r="O212" i="10"/>
  <c r="S212" i="10"/>
  <c r="M205" i="10"/>
  <c r="N205" i="10"/>
  <c r="Q205" i="10"/>
  <c r="P205" i="10"/>
  <c r="R205" i="10"/>
  <c r="O205" i="10"/>
  <c r="S205" i="10"/>
  <c r="N185" i="10"/>
  <c r="Q185" i="10"/>
  <c r="P185" i="10"/>
  <c r="R185" i="10"/>
  <c r="O185" i="10"/>
  <c r="S185" i="10"/>
  <c r="G185" i="10"/>
  <c r="J185" i="10"/>
  <c r="I185" i="10"/>
  <c r="K185" i="10"/>
  <c r="H185" i="10"/>
  <c r="L185" i="10"/>
  <c r="M184" i="10"/>
  <c r="T184" i="10"/>
  <c r="W184" i="10"/>
  <c r="V184" i="10"/>
  <c r="X184" i="10"/>
  <c r="U184" i="10"/>
  <c r="Y184" i="10"/>
  <c r="M271" i="10"/>
  <c r="N271" i="10"/>
  <c r="Q271" i="10"/>
  <c r="P271" i="10"/>
  <c r="R271" i="10"/>
  <c r="O271" i="10"/>
  <c r="S271" i="10"/>
  <c r="M261" i="10"/>
  <c r="N261" i="10"/>
  <c r="Q261" i="10"/>
  <c r="P261" i="10"/>
  <c r="R261" i="10"/>
  <c r="O261" i="10"/>
  <c r="S261" i="10"/>
  <c r="M251" i="10"/>
  <c r="N251" i="10"/>
  <c r="Q251" i="10"/>
  <c r="P251" i="10"/>
  <c r="R251" i="10"/>
  <c r="O251" i="10"/>
  <c r="S251" i="10"/>
  <c r="M241" i="10"/>
  <c r="N241" i="10"/>
  <c r="Q241" i="10"/>
  <c r="P241" i="10"/>
  <c r="R241" i="10"/>
  <c r="O241" i="10"/>
  <c r="S241" i="10"/>
  <c r="M231" i="10"/>
  <c r="N231" i="10"/>
  <c r="Q231" i="10"/>
  <c r="P231" i="10"/>
  <c r="R231" i="10"/>
  <c r="O231" i="10"/>
  <c r="S231" i="10"/>
  <c r="M221" i="10"/>
  <c r="N221" i="10"/>
  <c r="Q221" i="10"/>
  <c r="P221" i="10"/>
  <c r="R221" i="10"/>
  <c r="O221" i="10"/>
  <c r="S221" i="10"/>
  <c r="M211" i="10"/>
  <c r="N211" i="10"/>
  <c r="Q211" i="10"/>
  <c r="P211" i="10"/>
  <c r="R211" i="10"/>
  <c r="O211" i="10"/>
  <c r="S211" i="10"/>
  <c r="M204" i="10"/>
  <c r="N204" i="10"/>
  <c r="Q204" i="10"/>
  <c r="P204" i="10"/>
  <c r="R204" i="10"/>
  <c r="O204" i="10"/>
  <c r="S204" i="10"/>
  <c r="N184" i="10"/>
  <c r="Q184" i="10"/>
  <c r="P184" i="10"/>
  <c r="R184" i="10"/>
  <c r="O184" i="10"/>
  <c r="S184" i="10"/>
  <c r="G184" i="10"/>
  <c r="J184" i="10"/>
  <c r="I184" i="10"/>
  <c r="K184" i="10"/>
  <c r="H184" i="10"/>
  <c r="L184" i="10"/>
  <c r="M183" i="10"/>
  <c r="T183" i="10"/>
  <c r="W183" i="10"/>
  <c r="V183" i="10"/>
  <c r="X183" i="10"/>
  <c r="U183" i="10"/>
  <c r="Y183" i="10"/>
  <c r="M270" i="10"/>
  <c r="N270" i="10"/>
  <c r="Q270" i="10"/>
  <c r="P270" i="10"/>
  <c r="R270" i="10"/>
  <c r="O270" i="10"/>
  <c r="S270" i="10"/>
  <c r="M260" i="10"/>
  <c r="N260" i="10"/>
  <c r="Q260" i="10"/>
  <c r="P260" i="10"/>
  <c r="R260" i="10"/>
  <c r="O260" i="10"/>
  <c r="S260" i="10"/>
  <c r="M250" i="10"/>
  <c r="N250" i="10"/>
  <c r="Q250" i="10"/>
  <c r="P250" i="10"/>
  <c r="R250" i="10"/>
  <c r="O250" i="10"/>
  <c r="S250" i="10"/>
  <c r="M240" i="10"/>
  <c r="N240" i="10"/>
  <c r="Q240" i="10"/>
  <c r="P240" i="10"/>
  <c r="R240" i="10"/>
  <c r="O240" i="10"/>
  <c r="S240" i="10"/>
  <c r="M230" i="10"/>
  <c r="N230" i="10"/>
  <c r="Q230" i="10"/>
  <c r="P230" i="10"/>
  <c r="R230" i="10"/>
  <c r="O230" i="10"/>
  <c r="S230" i="10"/>
  <c r="M220" i="10"/>
  <c r="N220" i="10"/>
  <c r="Q220" i="10"/>
  <c r="P220" i="10"/>
  <c r="R220" i="10"/>
  <c r="O220" i="10"/>
  <c r="S220" i="10"/>
  <c r="M210" i="10"/>
  <c r="N210" i="10"/>
  <c r="Q210" i="10"/>
  <c r="P210" i="10"/>
  <c r="R210" i="10"/>
  <c r="O210" i="10"/>
  <c r="S210" i="10"/>
  <c r="M203" i="10"/>
  <c r="N203" i="10"/>
  <c r="Q203" i="10"/>
  <c r="P203" i="10"/>
  <c r="R203" i="10"/>
  <c r="O203" i="10"/>
  <c r="S203" i="10"/>
  <c r="N183" i="10"/>
  <c r="Q183" i="10"/>
  <c r="P183" i="10"/>
  <c r="R183" i="10"/>
  <c r="O183" i="10"/>
  <c r="S183" i="10"/>
  <c r="G183" i="10"/>
  <c r="J183" i="10"/>
  <c r="I183" i="10"/>
  <c r="K183" i="10"/>
  <c r="H183" i="10"/>
  <c r="L183" i="10"/>
  <c r="M182" i="10"/>
  <c r="T182" i="10"/>
  <c r="W182" i="10"/>
  <c r="V182" i="10"/>
  <c r="X182" i="10"/>
  <c r="U182" i="10"/>
  <c r="Y182" i="10"/>
  <c r="M269" i="10"/>
  <c r="N269" i="10"/>
  <c r="Q269" i="10"/>
  <c r="P269" i="10"/>
  <c r="R269" i="10"/>
  <c r="O269" i="10"/>
  <c r="S269" i="10"/>
  <c r="M259" i="10"/>
  <c r="N259" i="10"/>
  <c r="Q259" i="10"/>
  <c r="P259" i="10"/>
  <c r="R259" i="10"/>
  <c r="O259" i="10"/>
  <c r="S259" i="10"/>
  <c r="M249" i="10"/>
  <c r="N249" i="10"/>
  <c r="Q249" i="10"/>
  <c r="P249" i="10"/>
  <c r="R249" i="10"/>
  <c r="O249" i="10"/>
  <c r="S249" i="10"/>
  <c r="M239" i="10"/>
  <c r="N239" i="10"/>
  <c r="Q239" i="10"/>
  <c r="P239" i="10"/>
  <c r="R239" i="10"/>
  <c r="O239" i="10"/>
  <c r="S239" i="10"/>
  <c r="M229" i="10"/>
  <c r="N229" i="10"/>
  <c r="Q229" i="10"/>
  <c r="P229" i="10"/>
  <c r="R229" i="10"/>
  <c r="O229" i="10"/>
  <c r="S229" i="10"/>
  <c r="M219" i="10"/>
  <c r="N219" i="10"/>
  <c r="Q219" i="10"/>
  <c r="P219" i="10"/>
  <c r="R219" i="10"/>
  <c r="O219" i="10"/>
  <c r="S219" i="10"/>
  <c r="M209" i="10"/>
  <c r="N209" i="10"/>
  <c r="Q209" i="10"/>
  <c r="P209" i="10"/>
  <c r="R209" i="10"/>
  <c r="O209" i="10"/>
  <c r="S209" i="10"/>
  <c r="M202" i="10"/>
  <c r="N202" i="10"/>
  <c r="Q202" i="10"/>
  <c r="P202" i="10"/>
  <c r="R202" i="10"/>
  <c r="O202" i="10"/>
  <c r="S202" i="10"/>
  <c r="N182" i="10"/>
  <c r="Q182" i="10"/>
  <c r="P182" i="10"/>
  <c r="R182" i="10"/>
  <c r="O182" i="10"/>
  <c r="S182" i="10"/>
  <c r="G182" i="10"/>
  <c r="J182" i="10"/>
  <c r="I182" i="10"/>
  <c r="K182" i="10"/>
  <c r="H182" i="10"/>
  <c r="L182" i="10"/>
  <c r="M181" i="10"/>
  <c r="T181" i="10"/>
  <c r="W181" i="10"/>
  <c r="V181" i="10"/>
  <c r="X181" i="10"/>
  <c r="U181" i="10"/>
  <c r="Y181" i="10"/>
  <c r="M201" i="10"/>
  <c r="M268" i="10"/>
  <c r="N268" i="10"/>
  <c r="Q268" i="10"/>
  <c r="P268" i="10"/>
  <c r="R268" i="10"/>
  <c r="O268" i="10"/>
  <c r="S268" i="10"/>
  <c r="M258" i="10"/>
  <c r="N258" i="10"/>
  <c r="Q258" i="10"/>
  <c r="P258" i="10"/>
  <c r="R258" i="10"/>
  <c r="O258" i="10"/>
  <c r="S258" i="10"/>
  <c r="M248" i="10"/>
  <c r="N248" i="10"/>
  <c r="Q248" i="10"/>
  <c r="P248" i="10"/>
  <c r="R248" i="10"/>
  <c r="O248" i="10"/>
  <c r="S248" i="10"/>
  <c r="M238" i="10"/>
  <c r="N238" i="10"/>
  <c r="Q238" i="10"/>
  <c r="P238" i="10"/>
  <c r="R238" i="10"/>
  <c r="O238" i="10"/>
  <c r="S238" i="10"/>
  <c r="M228" i="10"/>
  <c r="N228" i="10"/>
  <c r="Q228" i="10"/>
  <c r="P228" i="10"/>
  <c r="R228" i="10"/>
  <c r="O228" i="10"/>
  <c r="S228" i="10"/>
  <c r="M218" i="10"/>
  <c r="N218" i="10"/>
  <c r="Q218" i="10"/>
  <c r="P218" i="10"/>
  <c r="R218" i="10"/>
  <c r="O218" i="10"/>
  <c r="S218" i="10"/>
  <c r="M208" i="10"/>
  <c r="N208" i="10"/>
  <c r="Q208" i="10"/>
  <c r="P208" i="10"/>
  <c r="R208" i="10"/>
  <c r="O208" i="10"/>
  <c r="S208" i="10"/>
  <c r="N201" i="10"/>
  <c r="Q201" i="10"/>
  <c r="P201" i="10"/>
  <c r="R201" i="10"/>
  <c r="O201" i="10"/>
  <c r="S201" i="10"/>
  <c r="N181" i="10"/>
  <c r="Q181" i="10"/>
  <c r="P181" i="10"/>
  <c r="R181" i="10"/>
  <c r="O181" i="10"/>
  <c r="S181" i="10"/>
  <c r="G181" i="10"/>
  <c r="J181" i="10"/>
  <c r="I181" i="10"/>
  <c r="K181" i="10"/>
  <c r="H181" i="10"/>
  <c r="L181" i="10"/>
  <c r="M180" i="10"/>
  <c r="T180" i="10"/>
  <c r="W180" i="10"/>
  <c r="V180" i="10"/>
  <c r="X180" i="10"/>
  <c r="U180" i="10"/>
  <c r="Y180" i="10"/>
  <c r="M200" i="10"/>
  <c r="M267" i="10"/>
  <c r="N267" i="10"/>
  <c r="Q267" i="10"/>
  <c r="P267" i="10"/>
  <c r="R267" i="10"/>
  <c r="O267" i="10"/>
  <c r="S267" i="10"/>
  <c r="M257" i="10"/>
  <c r="N257" i="10"/>
  <c r="Q257" i="10"/>
  <c r="P257" i="10"/>
  <c r="R257" i="10"/>
  <c r="O257" i="10"/>
  <c r="S257" i="10"/>
  <c r="M247" i="10"/>
  <c r="N247" i="10"/>
  <c r="Q247" i="10"/>
  <c r="P247" i="10"/>
  <c r="R247" i="10"/>
  <c r="O247" i="10"/>
  <c r="S247" i="10"/>
  <c r="M237" i="10"/>
  <c r="N237" i="10"/>
  <c r="Q237" i="10"/>
  <c r="P237" i="10"/>
  <c r="R237" i="10"/>
  <c r="O237" i="10"/>
  <c r="S237" i="10"/>
  <c r="M227" i="10"/>
  <c r="N227" i="10"/>
  <c r="Q227" i="10"/>
  <c r="P227" i="10"/>
  <c r="R227" i="10"/>
  <c r="O227" i="10"/>
  <c r="S227" i="10"/>
  <c r="M217" i="10"/>
  <c r="N217" i="10"/>
  <c r="Q217" i="10"/>
  <c r="P217" i="10"/>
  <c r="R217" i="10"/>
  <c r="O217" i="10"/>
  <c r="S217" i="10"/>
  <c r="M207" i="10"/>
  <c r="N207" i="10"/>
  <c r="Q207" i="10"/>
  <c r="P207" i="10"/>
  <c r="R207" i="10"/>
  <c r="O207" i="10"/>
  <c r="S207" i="10"/>
  <c r="N200" i="10"/>
  <c r="Q200" i="10"/>
  <c r="P200" i="10"/>
  <c r="R200" i="10"/>
  <c r="O200" i="10"/>
  <c r="S200" i="10"/>
  <c r="N180" i="10"/>
  <c r="Q180" i="10"/>
  <c r="P180" i="10"/>
  <c r="R180" i="10"/>
  <c r="O180" i="10"/>
  <c r="S180" i="10"/>
  <c r="G180" i="10"/>
  <c r="J180" i="10"/>
  <c r="I180" i="10"/>
  <c r="K180" i="10"/>
  <c r="H180" i="10"/>
  <c r="L180" i="10"/>
  <c r="M179" i="10"/>
  <c r="T179" i="10"/>
  <c r="W179" i="10"/>
  <c r="V179" i="10"/>
  <c r="X179" i="10"/>
  <c r="U179" i="10"/>
  <c r="Y179" i="10"/>
  <c r="M199" i="10"/>
  <c r="M266" i="10"/>
  <c r="N266" i="10"/>
  <c r="Q266" i="10"/>
  <c r="P266" i="10"/>
  <c r="R266" i="10"/>
  <c r="O266" i="10"/>
  <c r="S266" i="10"/>
  <c r="M256" i="10"/>
  <c r="N256" i="10"/>
  <c r="Q256" i="10"/>
  <c r="P256" i="10"/>
  <c r="R256" i="10"/>
  <c r="O256" i="10"/>
  <c r="S256" i="10"/>
  <c r="M246" i="10"/>
  <c r="N246" i="10"/>
  <c r="Q246" i="10"/>
  <c r="P246" i="10"/>
  <c r="R246" i="10"/>
  <c r="O246" i="10"/>
  <c r="S246" i="10"/>
  <c r="M236" i="10"/>
  <c r="N236" i="10"/>
  <c r="Q236" i="10"/>
  <c r="P236" i="10"/>
  <c r="R236" i="10"/>
  <c r="O236" i="10"/>
  <c r="S236" i="10"/>
  <c r="M226" i="10"/>
  <c r="N226" i="10"/>
  <c r="Q226" i="10"/>
  <c r="P226" i="10"/>
  <c r="R226" i="10"/>
  <c r="O226" i="10"/>
  <c r="S226" i="10"/>
  <c r="M216" i="10"/>
  <c r="N216" i="10"/>
  <c r="Q216" i="10"/>
  <c r="P216" i="10"/>
  <c r="R216" i="10"/>
  <c r="O216" i="10"/>
  <c r="S216" i="10"/>
  <c r="N199" i="10"/>
  <c r="Q199" i="10"/>
  <c r="P199" i="10"/>
  <c r="R199" i="10"/>
  <c r="O199" i="10"/>
  <c r="S199" i="10"/>
  <c r="N179" i="10"/>
  <c r="Q179" i="10"/>
  <c r="P179" i="10"/>
  <c r="R179" i="10"/>
  <c r="O179" i="10"/>
  <c r="S179" i="10"/>
  <c r="G179" i="10"/>
  <c r="J179" i="10"/>
  <c r="I179" i="10"/>
  <c r="K179" i="10"/>
  <c r="H179" i="10"/>
  <c r="L179" i="10"/>
  <c r="M178" i="10"/>
  <c r="T178" i="10"/>
  <c r="W178" i="10"/>
  <c r="V178" i="10"/>
  <c r="X178" i="10"/>
  <c r="U178" i="10"/>
  <c r="Y178" i="10"/>
  <c r="M198" i="10"/>
  <c r="M265" i="10"/>
  <c r="N265" i="10"/>
  <c r="Q265" i="10"/>
  <c r="P265" i="10"/>
  <c r="R265" i="10"/>
  <c r="O265" i="10"/>
  <c r="S265" i="10"/>
  <c r="M255" i="10"/>
  <c r="N255" i="10"/>
  <c r="Q255" i="10"/>
  <c r="P255" i="10"/>
  <c r="R255" i="10"/>
  <c r="O255" i="10"/>
  <c r="S255" i="10"/>
  <c r="M245" i="10"/>
  <c r="N245" i="10"/>
  <c r="Q245" i="10"/>
  <c r="P245" i="10"/>
  <c r="R245" i="10"/>
  <c r="O245" i="10"/>
  <c r="S245" i="10"/>
  <c r="M235" i="10"/>
  <c r="N235" i="10"/>
  <c r="Q235" i="10"/>
  <c r="P235" i="10"/>
  <c r="R235" i="10"/>
  <c r="O235" i="10"/>
  <c r="S235" i="10"/>
  <c r="M225" i="10"/>
  <c r="N225" i="10"/>
  <c r="Q225" i="10"/>
  <c r="P225" i="10"/>
  <c r="R225" i="10"/>
  <c r="O225" i="10"/>
  <c r="S225" i="10"/>
  <c r="M215" i="10"/>
  <c r="N215" i="10"/>
  <c r="Q215" i="10"/>
  <c r="P215" i="10"/>
  <c r="R215" i="10"/>
  <c r="O215" i="10"/>
  <c r="S215" i="10"/>
  <c r="N198" i="10"/>
  <c r="Q198" i="10"/>
  <c r="P198" i="10"/>
  <c r="R198" i="10"/>
  <c r="O198" i="10"/>
  <c r="S198" i="10"/>
  <c r="N178" i="10"/>
  <c r="Q178" i="10"/>
  <c r="P178" i="10"/>
  <c r="R178" i="10"/>
  <c r="O178" i="10"/>
  <c r="S178" i="10"/>
  <c r="G178" i="10"/>
  <c r="J178" i="10"/>
  <c r="I178" i="10"/>
  <c r="K178" i="10"/>
  <c r="H178" i="10"/>
  <c r="L178" i="10"/>
  <c r="M177" i="10"/>
  <c r="T177" i="10"/>
  <c r="W177" i="10"/>
  <c r="V177" i="10"/>
  <c r="X177" i="10"/>
  <c r="U177" i="10"/>
  <c r="Y177" i="10"/>
  <c r="M197" i="10"/>
  <c r="M264" i="10"/>
  <c r="N264" i="10"/>
  <c r="Q264" i="10"/>
  <c r="P264" i="10"/>
  <c r="R264" i="10"/>
  <c r="O264" i="10"/>
  <c r="S264" i="10"/>
  <c r="M254" i="10"/>
  <c r="N254" i="10"/>
  <c r="Q254" i="10"/>
  <c r="P254" i="10"/>
  <c r="R254" i="10"/>
  <c r="O254" i="10"/>
  <c r="S254" i="10"/>
  <c r="M244" i="10"/>
  <c r="N244" i="10"/>
  <c r="Q244" i="10"/>
  <c r="P244" i="10"/>
  <c r="R244" i="10"/>
  <c r="O244" i="10"/>
  <c r="S244" i="10"/>
  <c r="M234" i="10"/>
  <c r="N234" i="10"/>
  <c r="Q234" i="10"/>
  <c r="P234" i="10"/>
  <c r="R234" i="10"/>
  <c r="O234" i="10"/>
  <c r="S234" i="10"/>
  <c r="M224" i="10"/>
  <c r="N224" i="10"/>
  <c r="Q224" i="10"/>
  <c r="P224" i="10"/>
  <c r="R224" i="10"/>
  <c r="O224" i="10"/>
  <c r="S224" i="10"/>
  <c r="M214" i="10"/>
  <c r="N214" i="10"/>
  <c r="Q214" i="10"/>
  <c r="P214" i="10"/>
  <c r="R214" i="10"/>
  <c r="O214" i="10"/>
  <c r="S214" i="10"/>
  <c r="N197" i="10"/>
  <c r="Q197" i="10"/>
  <c r="P197" i="10"/>
  <c r="R197" i="10"/>
  <c r="O197" i="10"/>
  <c r="S197" i="10"/>
  <c r="N177" i="10"/>
  <c r="Q177" i="10"/>
  <c r="P177" i="10"/>
  <c r="R177" i="10"/>
  <c r="O177" i="10"/>
  <c r="S177" i="10"/>
  <c r="G177" i="10"/>
  <c r="J177" i="10"/>
  <c r="I177" i="10"/>
  <c r="K177" i="10"/>
  <c r="H177" i="10"/>
  <c r="L177" i="10"/>
  <c r="G3" i="10"/>
  <c r="H3" i="10"/>
  <c r="I3" i="10"/>
  <c r="J3" i="10"/>
  <c r="K3" i="10"/>
  <c r="L3" i="10"/>
  <c r="M3" i="10"/>
  <c r="M13" i="10"/>
  <c r="M23" i="10"/>
  <c r="M33" i="10"/>
  <c r="M48" i="10"/>
  <c r="M58" i="10"/>
  <c r="M63" i="10"/>
  <c r="M73" i="10"/>
  <c r="M83" i="10"/>
  <c r="M93" i="10"/>
  <c r="M103" i="10"/>
  <c r="M113" i="10"/>
  <c r="M123" i="10"/>
  <c r="M133" i="10"/>
  <c r="M143" i="10"/>
  <c r="M153" i="10"/>
  <c r="M163" i="10"/>
  <c r="M188" i="10"/>
  <c r="N188" i="10"/>
  <c r="Q188" i="10"/>
  <c r="P188" i="10"/>
  <c r="R188" i="10"/>
  <c r="O188" i="10"/>
  <c r="S188" i="10"/>
  <c r="N163" i="10"/>
  <c r="Q163" i="10"/>
  <c r="P163" i="10"/>
  <c r="R163" i="10"/>
  <c r="O163" i="10"/>
  <c r="S163" i="10"/>
  <c r="N153" i="10"/>
  <c r="Q153" i="10"/>
  <c r="P153" i="10"/>
  <c r="R153" i="10"/>
  <c r="O153" i="10"/>
  <c r="S153" i="10"/>
  <c r="N143" i="10"/>
  <c r="Q143" i="10"/>
  <c r="P143" i="10"/>
  <c r="R143" i="10"/>
  <c r="O143" i="10"/>
  <c r="S143" i="10"/>
  <c r="N133" i="10"/>
  <c r="Q133" i="10"/>
  <c r="P133" i="10"/>
  <c r="R133" i="10"/>
  <c r="O133" i="10"/>
  <c r="S133" i="10"/>
  <c r="N123" i="10"/>
  <c r="Q123" i="10"/>
  <c r="P123" i="10"/>
  <c r="R123" i="10"/>
  <c r="O123" i="10"/>
  <c r="S123" i="10"/>
  <c r="N113" i="10"/>
  <c r="Q113" i="10"/>
  <c r="P113" i="10"/>
  <c r="R113" i="10"/>
  <c r="O113" i="10"/>
  <c r="S113" i="10"/>
  <c r="N103" i="10"/>
  <c r="Q103" i="10"/>
  <c r="P103" i="10"/>
  <c r="R103" i="10"/>
  <c r="O103" i="10"/>
  <c r="S103" i="10"/>
  <c r="N93" i="10"/>
  <c r="Q93" i="10"/>
  <c r="P93" i="10"/>
  <c r="R93" i="10"/>
  <c r="O93" i="10"/>
  <c r="S93" i="10"/>
  <c r="N83" i="10"/>
  <c r="Q83" i="10"/>
  <c r="P83" i="10"/>
  <c r="R83" i="10"/>
  <c r="O83" i="10"/>
  <c r="S83" i="10"/>
  <c r="N73" i="10"/>
  <c r="Q73" i="10"/>
  <c r="P73" i="10"/>
  <c r="R73" i="10"/>
  <c r="O73" i="10"/>
  <c r="S73" i="10"/>
  <c r="N63" i="10"/>
  <c r="Q63" i="10"/>
  <c r="P63" i="10"/>
  <c r="R63" i="10"/>
  <c r="O63" i="10"/>
  <c r="S63" i="10"/>
  <c r="N58" i="10"/>
  <c r="Q58" i="10"/>
  <c r="P58" i="10"/>
  <c r="R58" i="10"/>
  <c r="O58" i="10"/>
  <c r="S58" i="10"/>
  <c r="N48" i="10"/>
  <c r="Q48" i="10"/>
  <c r="P48" i="10"/>
  <c r="R48" i="10"/>
  <c r="O48" i="10"/>
  <c r="S48" i="10"/>
  <c r="N33" i="10"/>
  <c r="Q33" i="10"/>
  <c r="P33" i="10"/>
  <c r="R33" i="10"/>
  <c r="O33" i="10"/>
  <c r="S33" i="10"/>
  <c r="N23" i="10"/>
  <c r="Q23" i="10"/>
  <c r="P23" i="10"/>
  <c r="R23" i="10"/>
  <c r="O23" i="10"/>
  <c r="S23" i="10"/>
  <c r="N13" i="10"/>
  <c r="Q13" i="10"/>
  <c r="P13" i="10"/>
  <c r="R13" i="10"/>
  <c r="O13" i="10"/>
  <c r="S13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14" i="10"/>
  <c r="M24" i="10"/>
  <c r="M34" i="10"/>
  <c r="M49" i="10"/>
  <c r="M59" i="10"/>
  <c r="M64" i="10"/>
  <c r="M74" i="10"/>
  <c r="M84" i="10"/>
  <c r="M94" i="10"/>
  <c r="M104" i="10"/>
  <c r="M114" i="10"/>
  <c r="M124" i="10"/>
  <c r="M134" i="10"/>
  <c r="M144" i="10"/>
  <c r="M154" i="10"/>
  <c r="M164" i="10"/>
  <c r="M189" i="10"/>
  <c r="N189" i="10"/>
  <c r="Q189" i="10"/>
  <c r="P189" i="10"/>
  <c r="R189" i="10"/>
  <c r="O189" i="10"/>
  <c r="S189" i="10"/>
  <c r="N164" i="10"/>
  <c r="Q164" i="10"/>
  <c r="P164" i="10"/>
  <c r="R164" i="10"/>
  <c r="O164" i="10"/>
  <c r="S164" i="10"/>
  <c r="N154" i="10"/>
  <c r="Q154" i="10"/>
  <c r="P154" i="10"/>
  <c r="R154" i="10"/>
  <c r="O154" i="10"/>
  <c r="S154" i="10"/>
  <c r="N144" i="10"/>
  <c r="Q144" i="10"/>
  <c r="P144" i="10"/>
  <c r="R144" i="10"/>
  <c r="O144" i="10"/>
  <c r="S144" i="10"/>
  <c r="N134" i="10"/>
  <c r="Q134" i="10"/>
  <c r="P134" i="10"/>
  <c r="R134" i="10"/>
  <c r="O134" i="10"/>
  <c r="S134" i="10"/>
  <c r="N124" i="10"/>
  <c r="Q124" i="10"/>
  <c r="P124" i="10"/>
  <c r="R124" i="10"/>
  <c r="O124" i="10"/>
  <c r="S124" i="10"/>
  <c r="N114" i="10"/>
  <c r="Q114" i="10"/>
  <c r="P114" i="10"/>
  <c r="R114" i="10"/>
  <c r="O114" i="10"/>
  <c r="S114" i="10"/>
  <c r="N104" i="10"/>
  <c r="Q104" i="10"/>
  <c r="P104" i="10"/>
  <c r="R104" i="10"/>
  <c r="O104" i="10"/>
  <c r="S104" i="10"/>
  <c r="N94" i="10"/>
  <c r="Q94" i="10"/>
  <c r="P94" i="10"/>
  <c r="R94" i="10"/>
  <c r="O94" i="10"/>
  <c r="S94" i="10"/>
  <c r="N84" i="10"/>
  <c r="Q84" i="10"/>
  <c r="P84" i="10"/>
  <c r="R84" i="10"/>
  <c r="O84" i="10"/>
  <c r="S84" i="10"/>
  <c r="N74" i="10"/>
  <c r="Q74" i="10"/>
  <c r="P74" i="10"/>
  <c r="R74" i="10"/>
  <c r="O74" i="10"/>
  <c r="S74" i="10"/>
  <c r="N64" i="10"/>
  <c r="Q64" i="10"/>
  <c r="P64" i="10"/>
  <c r="R64" i="10"/>
  <c r="O64" i="10"/>
  <c r="S64" i="10"/>
  <c r="N59" i="10"/>
  <c r="Q59" i="10"/>
  <c r="P59" i="10"/>
  <c r="R59" i="10"/>
  <c r="O59" i="10"/>
  <c r="S59" i="10"/>
  <c r="N49" i="10"/>
  <c r="Q49" i="10"/>
  <c r="P49" i="10"/>
  <c r="R49" i="10"/>
  <c r="O49" i="10"/>
  <c r="S49" i="10"/>
  <c r="N34" i="10"/>
  <c r="Q34" i="10"/>
  <c r="P34" i="10"/>
  <c r="R34" i="10"/>
  <c r="O34" i="10"/>
  <c r="S34" i="10"/>
  <c r="N24" i="10"/>
  <c r="Q24" i="10"/>
  <c r="P24" i="10"/>
  <c r="R24" i="10"/>
  <c r="O24" i="10"/>
  <c r="S24" i="10"/>
  <c r="N14" i="10"/>
  <c r="Q14" i="10"/>
  <c r="P14" i="10"/>
  <c r="R14" i="10"/>
  <c r="O14" i="10"/>
  <c r="S1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M15" i="10"/>
  <c r="M25" i="10"/>
  <c r="M35" i="10"/>
  <c r="M50" i="10"/>
  <c r="M60" i="10"/>
  <c r="M65" i="10"/>
  <c r="M75" i="10"/>
  <c r="M85" i="10"/>
  <c r="M95" i="10"/>
  <c r="M105" i="10"/>
  <c r="M115" i="10"/>
  <c r="M125" i="10"/>
  <c r="M135" i="10"/>
  <c r="M145" i="10"/>
  <c r="M155" i="10"/>
  <c r="M165" i="10"/>
  <c r="M190" i="10"/>
  <c r="N190" i="10"/>
  <c r="Q190" i="10"/>
  <c r="P190" i="10"/>
  <c r="R190" i="10"/>
  <c r="O190" i="10"/>
  <c r="S190" i="10"/>
  <c r="N165" i="10"/>
  <c r="Q165" i="10"/>
  <c r="P165" i="10"/>
  <c r="R165" i="10"/>
  <c r="O165" i="10"/>
  <c r="S165" i="10"/>
  <c r="N155" i="10"/>
  <c r="Q155" i="10"/>
  <c r="P155" i="10"/>
  <c r="R155" i="10"/>
  <c r="O155" i="10"/>
  <c r="S155" i="10"/>
  <c r="N145" i="10"/>
  <c r="Q145" i="10"/>
  <c r="P145" i="10"/>
  <c r="R145" i="10"/>
  <c r="O145" i="10"/>
  <c r="S145" i="10"/>
  <c r="N135" i="10"/>
  <c r="Q135" i="10"/>
  <c r="P135" i="10"/>
  <c r="R135" i="10"/>
  <c r="O135" i="10"/>
  <c r="S135" i="10"/>
  <c r="N125" i="10"/>
  <c r="Q125" i="10"/>
  <c r="P125" i="10"/>
  <c r="R125" i="10"/>
  <c r="O125" i="10"/>
  <c r="S125" i="10"/>
  <c r="N115" i="10"/>
  <c r="Q115" i="10"/>
  <c r="P115" i="10"/>
  <c r="R115" i="10"/>
  <c r="O115" i="10"/>
  <c r="S115" i="10"/>
  <c r="N105" i="10"/>
  <c r="Q105" i="10"/>
  <c r="P105" i="10"/>
  <c r="R105" i="10"/>
  <c r="O105" i="10"/>
  <c r="S105" i="10"/>
  <c r="N95" i="10"/>
  <c r="Q95" i="10"/>
  <c r="P95" i="10"/>
  <c r="R95" i="10"/>
  <c r="O95" i="10"/>
  <c r="S95" i="10"/>
  <c r="N85" i="10"/>
  <c r="Q85" i="10"/>
  <c r="P85" i="10"/>
  <c r="R85" i="10"/>
  <c r="O85" i="10"/>
  <c r="S85" i="10"/>
  <c r="N75" i="10"/>
  <c r="Q75" i="10"/>
  <c r="P75" i="10"/>
  <c r="R75" i="10"/>
  <c r="O75" i="10"/>
  <c r="S75" i="10"/>
  <c r="N65" i="10"/>
  <c r="Q65" i="10"/>
  <c r="P65" i="10"/>
  <c r="R65" i="10"/>
  <c r="O65" i="10"/>
  <c r="S65" i="10"/>
  <c r="N60" i="10"/>
  <c r="Q60" i="10"/>
  <c r="P60" i="10"/>
  <c r="R60" i="10"/>
  <c r="O60" i="10"/>
  <c r="S60" i="10"/>
  <c r="N50" i="10"/>
  <c r="Q50" i="10"/>
  <c r="P50" i="10"/>
  <c r="R50" i="10"/>
  <c r="O50" i="10"/>
  <c r="S50" i="10"/>
  <c r="N35" i="10"/>
  <c r="Q35" i="10"/>
  <c r="P35" i="10"/>
  <c r="R35" i="10"/>
  <c r="O35" i="10"/>
  <c r="S35" i="10"/>
  <c r="N25" i="10"/>
  <c r="Q25" i="10"/>
  <c r="P25" i="10"/>
  <c r="R25" i="10"/>
  <c r="O25" i="10"/>
  <c r="S25" i="10"/>
  <c r="N15" i="10"/>
  <c r="Q15" i="10"/>
  <c r="P15" i="10"/>
  <c r="R15" i="10"/>
  <c r="O15" i="10"/>
  <c r="S15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M16" i="10"/>
  <c r="M26" i="10"/>
  <c r="M36" i="10"/>
  <c r="M51" i="10"/>
  <c r="M61" i="10"/>
  <c r="M66" i="10"/>
  <c r="M76" i="10"/>
  <c r="M86" i="10"/>
  <c r="M96" i="10"/>
  <c r="M106" i="10"/>
  <c r="M116" i="10"/>
  <c r="M126" i="10"/>
  <c r="M136" i="10"/>
  <c r="M146" i="10"/>
  <c r="M156" i="10"/>
  <c r="M166" i="10"/>
  <c r="M191" i="10"/>
  <c r="N191" i="10"/>
  <c r="Q191" i="10"/>
  <c r="P191" i="10"/>
  <c r="R191" i="10"/>
  <c r="O191" i="10"/>
  <c r="S191" i="10"/>
  <c r="N166" i="10"/>
  <c r="Q166" i="10"/>
  <c r="P166" i="10"/>
  <c r="R166" i="10"/>
  <c r="O166" i="10"/>
  <c r="S166" i="10"/>
  <c r="N156" i="10"/>
  <c r="Q156" i="10"/>
  <c r="P156" i="10"/>
  <c r="R156" i="10"/>
  <c r="O156" i="10"/>
  <c r="S156" i="10"/>
  <c r="N146" i="10"/>
  <c r="Q146" i="10"/>
  <c r="P146" i="10"/>
  <c r="R146" i="10"/>
  <c r="O146" i="10"/>
  <c r="S146" i="10"/>
  <c r="N136" i="10"/>
  <c r="Q136" i="10"/>
  <c r="P136" i="10"/>
  <c r="R136" i="10"/>
  <c r="O136" i="10"/>
  <c r="S136" i="10"/>
  <c r="N126" i="10"/>
  <c r="Q126" i="10"/>
  <c r="P126" i="10"/>
  <c r="R126" i="10"/>
  <c r="O126" i="10"/>
  <c r="S126" i="10"/>
  <c r="N116" i="10"/>
  <c r="Q116" i="10"/>
  <c r="P116" i="10"/>
  <c r="R116" i="10"/>
  <c r="O116" i="10"/>
  <c r="S116" i="10"/>
  <c r="N106" i="10"/>
  <c r="Q106" i="10"/>
  <c r="P106" i="10"/>
  <c r="R106" i="10"/>
  <c r="O106" i="10"/>
  <c r="S106" i="10"/>
  <c r="N96" i="10"/>
  <c r="Q96" i="10"/>
  <c r="P96" i="10"/>
  <c r="R96" i="10"/>
  <c r="O96" i="10"/>
  <c r="S96" i="10"/>
  <c r="N86" i="10"/>
  <c r="Q86" i="10"/>
  <c r="P86" i="10"/>
  <c r="R86" i="10"/>
  <c r="O86" i="10"/>
  <c r="S86" i="10"/>
  <c r="N76" i="10"/>
  <c r="Q76" i="10"/>
  <c r="P76" i="10"/>
  <c r="R76" i="10"/>
  <c r="O76" i="10"/>
  <c r="S76" i="10"/>
  <c r="N66" i="10"/>
  <c r="Q66" i="10"/>
  <c r="P66" i="10"/>
  <c r="R66" i="10"/>
  <c r="O66" i="10"/>
  <c r="S66" i="10"/>
  <c r="N61" i="10"/>
  <c r="Q61" i="10"/>
  <c r="P61" i="10"/>
  <c r="R61" i="10"/>
  <c r="O61" i="10"/>
  <c r="S61" i="10"/>
  <c r="N51" i="10"/>
  <c r="Q51" i="10"/>
  <c r="P51" i="10"/>
  <c r="R51" i="10"/>
  <c r="O51" i="10"/>
  <c r="S51" i="10"/>
  <c r="N36" i="10"/>
  <c r="Q36" i="10"/>
  <c r="P36" i="10"/>
  <c r="R36" i="10"/>
  <c r="O36" i="10"/>
  <c r="S36" i="10"/>
  <c r="N26" i="10"/>
  <c r="Q26" i="10"/>
  <c r="P26" i="10"/>
  <c r="R26" i="10"/>
  <c r="O26" i="10"/>
  <c r="S26" i="10"/>
  <c r="N16" i="10"/>
  <c r="Q16" i="10"/>
  <c r="P16" i="10"/>
  <c r="R16" i="10"/>
  <c r="O16" i="10"/>
  <c r="S1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M17" i="10"/>
  <c r="M27" i="10"/>
  <c r="M37" i="10"/>
  <c r="M42" i="10"/>
  <c r="M52" i="10"/>
  <c r="M67" i="10"/>
  <c r="M77" i="10"/>
  <c r="M87" i="10"/>
  <c r="M97" i="10"/>
  <c r="M107" i="10"/>
  <c r="M117" i="10"/>
  <c r="M127" i="10"/>
  <c r="M137" i="10"/>
  <c r="M147" i="10"/>
  <c r="M157" i="10"/>
  <c r="M167" i="10"/>
  <c r="M172" i="10"/>
  <c r="M192" i="10"/>
  <c r="N192" i="10"/>
  <c r="Q192" i="10"/>
  <c r="P192" i="10"/>
  <c r="R192" i="10"/>
  <c r="O192" i="10"/>
  <c r="S192" i="10"/>
  <c r="N172" i="10"/>
  <c r="Q172" i="10"/>
  <c r="P172" i="10"/>
  <c r="R172" i="10"/>
  <c r="O172" i="10"/>
  <c r="S172" i="10"/>
  <c r="N167" i="10"/>
  <c r="Q167" i="10"/>
  <c r="P167" i="10"/>
  <c r="R167" i="10"/>
  <c r="O167" i="10"/>
  <c r="S167" i="10"/>
  <c r="N157" i="10"/>
  <c r="Q157" i="10"/>
  <c r="P157" i="10"/>
  <c r="R157" i="10"/>
  <c r="O157" i="10"/>
  <c r="S157" i="10"/>
  <c r="N147" i="10"/>
  <c r="Q147" i="10"/>
  <c r="P147" i="10"/>
  <c r="R147" i="10"/>
  <c r="O147" i="10"/>
  <c r="S147" i="10"/>
  <c r="N137" i="10"/>
  <c r="Q137" i="10"/>
  <c r="P137" i="10"/>
  <c r="R137" i="10"/>
  <c r="O137" i="10"/>
  <c r="S137" i="10"/>
  <c r="N127" i="10"/>
  <c r="Q127" i="10"/>
  <c r="P127" i="10"/>
  <c r="R127" i="10"/>
  <c r="O127" i="10"/>
  <c r="S127" i="10"/>
  <c r="N117" i="10"/>
  <c r="Q117" i="10"/>
  <c r="P117" i="10"/>
  <c r="R117" i="10"/>
  <c r="O117" i="10"/>
  <c r="S117" i="10"/>
  <c r="N107" i="10"/>
  <c r="Q107" i="10"/>
  <c r="P107" i="10"/>
  <c r="R107" i="10"/>
  <c r="O107" i="10"/>
  <c r="S107" i="10"/>
  <c r="N97" i="10"/>
  <c r="Q97" i="10"/>
  <c r="P97" i="10"/>
  <c r="R97" i="10"/>
  <c r="O97" i="10"/>
  <c r="S97" i="10"/>
  <c r="N87" i="10"/>
  <c r="Q87" i="10"/>
  <c r="P87" i="10"/>
  <c r="R87" i="10"/>
  <c r="O87" i="10"/>
  <c r="S87" i="10"/>
  <c r="N77" i="10"/>
  <c r="Q77" i="10"/>
  <c r="P77" i="10"/>
  <c r="R77" i="10"/>
  <c r="O77" i="10"/>
  <c r="S77" i="10"/>
  <c r="N67" i="10"/>
  <c r="Q67" i="10"/>
  <c r="P67" i="10"/>
  <c r="R67" i="10"/>
  <c r="O67" i="10"/>
  <c r="S67" i="10"/>
  <c r="N52" i="10"/>
  <c r="Q52" i="10"/>
  <c r="P52" i="10"/>
  <c r="R52" i="10"/>
  <c r="O52" i="10"/>
  <c r="S52" i="10"/>
  <c r="N42" i="10"/>
  <c r="Q42" i="10"/>
  <c r="P42" i="10"/>
  <c r="R42" i="10"/>
  <c r="O42" i="10"/>
  <c r="S42" i="10"/>
  <c r="N37" i="10"/>
  <c r="Q37" i="10"/>
  <c r="P37" i="10"/>
  <c r="R37" i="10"/>
  <c r="O37" i="10"/>
  <c r="S37" i="10"/>
  <c r="N27" i="10"/>
  <c r="Q27" i="10"/>
  <c r="P27" i="10"/>
  <c r="R27" i="10"/>
  <c r="O27" i="10"/>
  <c r="S27" i="10"/>
  <c r="N17" i="10"/>
  <c r="Q17" i="10"/>
  <c r="P17" i="10"/>
  <c r="R17" i="10"/>
  <c r="O17" i="10"/>
  <c r="S17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M18" i="10"/>
  <c r="M28" i="10"/>
  <c r="M38" i="10"/>
  <c r="M43" i="10"/>
  <c r="M53" i="10"/>
  <c r="M68" i="10"/>
  <c r="M78" i="10"/>
  <c r="M88" i="10"/>
  <c r="M98" i="10"/>
  <c r="M108" i="10"/>
  <c r="M118" i="10"/>
  <c r="M128" i="10"/>
  <c r="M138" i="10"/>
  <c r="M148" i="10"/>
  <c r="M158" i="10"/>
  <c r="M168" i="10"/>
  <c r="M173" i="10"/>
  <c r="M193" i="10"/>
  <c r="N193" i="10"/>
  <c r="Q193" i="10"/>
  <c r="P193" i="10"/>
  <c r="R193" i="10"/>
  <c r="O193" i="10"/>
  <c r="S193" i="10"/>
  <c r="N173" i="10"/>
  <c r="Q173" i="10"/>
  <c r="P173" i="10"/>
  <c r="R173" i="10"/>
  <c r="O173" i="10"/>
  <c r="S173" i="10"/>
  <c r="N168" i="10"/>
  <c r="Q168" i="10"/>
  <c r="P168" i="10"/>
  <c r="R168" i="10"/>
  <c r="O168" i="10"/>
  <c r="S168" i="10"/>
  <c r="N158" i="10"/>
  <c r="Q158" i="10"/>
  <c r="P158" i="10"/>
  <c r="R158" i="10"/>
  <c r="O158" i="10"/>
  <c r="S158" i="10"/>
  <c r="N148" i="10"/>
  <c r="Q148" i="10"/>
  <c r="P148" i="10"/>
  <c r="R148" i="10"/>
  <c r="O148" i="10"/>
  <c r="S148" i="10"/>
  <c r="N138" i="10"/>
  <c r="Q138" i="10"/>
  <c r="P138" i="10"/>
  <c r="R138" i="10"/>
  <c r="O138" i="10"/>
  <c r="S138" i="10"/>
  <c r="N128" i="10"/>
  <c r="Q128" i="10"/>
  <c r="P128" i="10"/>
  <c r="R128" i="10"/>
  <c r="O128" i="10"/>
  <c r="S128" i="10"/>
  <c r="N118" i="10"/>
  <c r="Q118" i="10"/>
  <c r="P118" i="10"/>
  <c r="R118" i="10"/>
  <c r="O118" i="10"/>
  <c r="S118" i="10"/>
  <c r="N108" i="10"/>
  <c r="Q108" i="10"/>
  <c r="P108" i="10"/>
  <c r="R108" i="10"/>
  <c r="O108" i="10"/>
  <c r="S108" i="10"/>
  <c r="N98" i="10"/>
  <c r="Q98" i="10"/>
  <c r="P98" i="10"/>
  <c r="R98" i="10"/>
  <c r="O98" i="10"/>
  <c r="S98" i="10"/>
  <c r="N88" i="10"/>
  <c r="Q88" i="10"/>
  <c r="P88" i="10"/>
  <c r="R88" i="10"/>
  <c r="O88" i="10"/>
  <c r="S88" i="10"/>
  <c r="N78" i="10"/>
  <c r="Q78" i="10"/>
  <c r="P78" i="10"/>
  <c r="R78" i="10"/>
  <c r="O78" i="10"/>
  <c r="S78" i="10"/>
  <c r="N68" i="10"/>
  <c r="Q68" i="10"/>
  <c r="P68" i="10"/>
  <c r="R68" i="10"/>
  <c r="O68" i="10"/>
  <c r="S68" i="10"/>
  <c r="N53" i="10"/>
  <c r="Q53" i="10"/>
  <c r="P53" i="10"/>
  <c r="R53" i="10"/>
  <c r="O53" i="10"/>
  <c r="S53" i="10"/>
  <c r="N43" i="10"/>
  <c r="Q43" i="10"/>
  <c r="P43" i="10"/>
  <c r="R43" i="10"/>
  <c r="O43" i="10"/>
  <c r="S43" i="10"/>
  <c r="N38" i="10"/>
  <c r="Q38" i="10"/>
  <c r="P38" i="10"/>
  <c r="R38" i="10"/>
  <c r="O38" i="10"/>
  <c r="S38" i="10"/>
  <c r="N28" i="10"/>
  <c r="Q28" i="10"/>
  <c r="P28" i="10"/>
  <c r="R28" i="10"/>
  <c r="O28" i="10"/>
  <c r="S28" i="10"/>
  <c r="N18" i="10"/>
  <c r="Q18" i="10"/>
  <c r="P18" i="10"/>
  <c r="R18" i="10"/>
  <c r="O18" i="10"/>
  <c r="S18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M19" i="10"/>
  <c r="M29" i="10"/>
  <c r="M39" i="10"/>
  <c r="M44" i="10"/>
  <c r="M54" i="10"/>
  <c r="M69" i="10"/>
  <c r="M79" i="10"/>
  <c r="M89" i="10"/>
  <c r="M99" i="10"/>
  <c r="M109" i="10"/>
  <c r="M119" i="10"/>
  <c r="M129" i="10"/>
  <c r="M139" i="10"/>
  <c r="M149" i="10"/>
  <c r="M159" i="10"/>
  <c r="M169" i="10"/>
  <c r="M174" i="10"/>
  <c r="M194" i="10"/>
  <c r="N194" i="10"/>
  <c r="Q194" i="10"/>
  <c r="P194" i="10"/>
  <c r="R194" i="10"/>
  <c r="O194" i="10"/>
  <c r="S194" i="10"/>
  <c r="N174" i="10"/>
  <c r="Q174" i="10"/>
  <c r="P174" i="10"/>
  <c r="R174" i="10"/>
  <c r="O174" i="10"/>
  <c r="S174" i="10"/>
  <c r="N169" i="10"/>
  <c r="Q169" i="10"/>
  <c r="P169" i="10"/>
  <c r="R169" i="10"/>
  <c r="O169" i="10"/>
  <c r="S169" i="10"/>
  <c r="N159" i="10"/>
  <c r="Q159" i="10"/>
  <c r="P159" i="10"/>
  <c r="R159" i="10"/>
  <c r="O159" i="10"/>
  <c r="S159" i="10"/>
  <c r="N149" i="10"/>
  <c r="Q149" i="10"/>
  <c r="P149" i="10"/>
  <c r="R149" i="10"/>
  <c r="O149" i="10"/>
  <c r="S149" i="10"/>
  <c r="N139" i="10"/>
  <c r="Q139" i="10"/>
  <c r="P139" i="10"/>
  <c r="R139" i="10"/>
  <c r="O139" i="10"/>
  <c r="S139" i="10"/>
  <c r="N129" i="10"/>
  <c r="Q129" i="10"/>
  <c r="P129" i="10"/>
  <c r="R129" i="10"/>
  <c r="O129" i="10"/>
  <c r="S129" i="10"/>
  <c r="N119" i="10"/>
  <c r="Q119" i="10"/>
  <c r="P119" i="10"/>
  <c r="R119" i="10"/>
  <c r="O119" i="10"/>
  <c r="S119" i="10"/>
  <c r="N109" i="10"/>
  <c r="Q109" i="10"/>
  <c r="P109" i="10"/>
  <c r="R109" i="10"/>
  <c r="O109" i="10"/>
  <c r="S109" i="10"/>
  <c r="N99" i="10"/>
  <c r="Q99" i="10"/>
  <c r="P99" i="10"/>
  <c r="R99" i="10"/>
  <c r="O99" i="10"/>
  <c r="S99" i="10"/>
  <c r="N89" i="10"/>
  <c r="Q89" i="10"/>
  <c r="P89" i="10"/>
  <c r="R89" i="10"/>
  <c r="O89" i="10"/>
  <c r="S89" i="10"/>
  <c r="N79" i="10"/>
  <c r="Q79" i="10"/>
  <c r="P79" i="10"/>
  <c r="R79" i="10"/>
  <c r="O79" i="10"/>
  <c r="S79" i="10"/>
  <c r="N69" i="10"/>
  <c r="Q69" i="10"/>
  <c r="P69" i="10"/>
  <c r="R69" i="10"/>
  <c r="O69" i="10"/>
  <c r="S69" i="10"/>
  <c r="N54" i="10"/>
  <c r="Q54" i="10"/>
  <c r="P54" i="10"/>
  <c r="R54" i="10"/>
  <c r="O54" i="10"/>
  <c r="S54" i="10"/>
  <c r="N44" i="10"/>
  <c r="Q44" i="10"/>
  <c r="P44" i="10"/>
  <c r="R44" i="10"/>
  <c r="O44" i="10"/>
  <c r="S44" i="10"/>
  <c r="N39" i="10"/>
  <c r="Q39" i="10"/>
  <c r="P39" i="10"/>
  <c r="R39" i="10"/>
  <c r="O39" i="10"/>
  <c r="S39" i="10"/>
  <c r="N29" i="10"/>
  <c r="Q29" i="10"/>
  <c r="P29" i="10"/>
  <c r="R29" i="10"/>
  <c r="O29" i="10"/>
  <c r="S29" i="10"/>
  <c r="N19" i="10"/>
  <c r="Q19" i="10"/>
  <c r="P19" i="10"/>
  <c r="R19" i="10"/>
  <c r="O19" i="10"/>
  <c r="S19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M20" i="10"/>
  <c r="M30" i="10"/>
  <c r="M40" i="10"/>
  <c r="M45" i="10"/>
  <c r="M55" i="10"/>
  <c r="M70" i="10"/>
  <c r="M80" i="10"/>
  <c r="M90" i="10"/>
  <c r="M100" i="10"/>
  <c r="M110" i="10"/>
  <c r="M120" i="10"/>
  <c r="M130" i="10"/>
  <c r="M140" i="10"/>
  <c r="M150" i="10"/>
  <c r="M160" i="10"/>
  <c r="M170" i="10"/>
  <c r="M175" i="10"/>
  <c r="M195" i="10"/>
  <c r="N195" i="10"/>
  <c r="Q195" i="10"/>
  <c r="P195" i="10"/>
  <c r="R195" i="10"/>
  <c r="O195" i="10"/>
  <c r="S195" i="10"/>
  <c r="N175" i="10"/>
  <c r="Q175" i="10"/>
  <c r="P175" i="10"/>
  <c r="R175" i="10"/>
  <c r="O175" i="10"/>
  <c r="S175" i="10"/>
  <c r="N170" i="10"/>
  <c r="Q170" i="10"/>
  <c r="P170" i="10"/>
  <c r="R170" i="10"/>
  <c r="O170" i="10"/>
  <c r="S170" i="10"/>
  <c r="N160" i="10"/>
  <c r="Q160" i="10"/>
  <c r="P160" i="10"/>
  <c r="R160" i="10"/>
  <c r="O160" i="10"/>
  <c r="S160" i="10"/>
  <c r="N150" i="10"/>
  <c r="Q150" i="10"/>
  <c r="P150" i="10"/>
  <c r="R150" i="10"/>
  <c r="O150" i="10"/>
  <c r="S150" i="10"/>
  <c r="N140" i="10"/>
  <c r="Q140" i="10"/>
  <c r="P140" i="10"/>
  <c r="R140" i="10"/>
  <c r="O140" i="10"/>
  <c r="S140" i="10"/>
  <c r="N130" i="10"/>
  <c r="Q130" i="10"/>
  <c r="P130" i="10"/>
  <c r="R130" i="10"/>
  <c r="O130" i="10"/>
  <c r="S130" i="10"/>
  <c r="N120" i="10"/>
  <c r="Q120" i="10"/>
  <c r="P120" i="10"/>
  <c r="R120" i="10"/>
  <c r="O120" i="10"/>
  <c r="S120" i="10"/>
  <c r="N110" i="10"/>
  <c r="Q110" i="10"/>
  <c r="P110" i="10"/>
  <c r="R110" i="10"/>
  <c r="O110" i="10"/>
  <c r="S110" i="10"/>
  <c r="N100" i="10"/>
  <c r="Q100" i="10"/>
  <c r="P100" i="10"/>
  <c r="R100" i="10"/>
  <c r="O100" i="10"/>
  <c r="S100" i="10"/>
  <c r="N90" i="10"/>
  <c r="Q90" i="10"/>
  <c r="P90" i="10"/>
  <c r="R90" i="10"/>
  <c r="O90" i="10"/>
  <c r="S90" i="10"/>
  <c r="N80" i="10"/>
  <c r="Q80" i="10"/>
  <c r="P80" i="10"/>
  <c r="R80" i="10"/>
  <c r="O80" i="10"/>
  <c r="S80" i="10"/>
  <c r="N70" i="10"/>
  <c r="Q70" i="10"/>
  <c r="P70" i="10"/>
  <c r="R70" i="10"/>
  <c r="O70" i="10"/>
  <c r="S70" i="10"/>
  <c r="N55" i="10"/>
  <c r="Q55" i="10"/>
  <c r="P55" i="10"/>
  <c r="R55" i="10"/>
  <c r="O55" i="10"/>
  <c r="S55" i="10"/>
  <c r="N45" i="10"/>
  <c r="Q45" i="10"/>
  <c r="P45" i="10"/>
  <c r="R45" i="10"/>
  <c r="O45" i="10"/>
  <c r="S45" i="10"/>
  <c r="N40" i="10"/>
  <c r="Q40" i="10"/>
  <c r="P40" i="10"/>
  <c r="R40" i="10"/>
  <c r="O40" i="10"/>
  <c r="S40" i="10"/>
  <c r="N30" i="10"/>
  <c r="Q30" i="10"/>
  <c r="P30" i="10"/>
  <c r="R30" i="10"/>
  <c r="O30" i="10"/>
  <c r="S30" i="10"/>
  <c r="N20" i="10"/>
  <c r="Q20" i="10"/>
  <c r="P20" i="10"/>
  <c r="R20" i="10"/>
  <c r="O20" i="10"/>
  <c r="S2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M21" i="10"/>
  <c r="M31" i="10"/>
  <c r="M41" i="10"/>
  <c r="M46" i="10"/>
  <c r="M56" i="10"/>
  <c r="M71" i="10"/>
  <c r="M81" i="10"/>
  <c r="M91" i="10"/>
  <c r="M101" i="10"/>
  <c r="M111" i="10"/>
  <c r="M121" i="10"/>
  <c r="M131" i="10"/>
  <c r="M141" i="10"/>
  <c r="M151" i="10"/>
  <c r="M161" i="10"/>
  <c r="M171" i="10"/>
  <c r="M176" i="10"/>
  <c r="M196" i="10"/>
  <c r="N196" i="10"/>
  <c r="Q196" i="10"/>
  <c r="P196" i="10"/>
  <c r="R196" i="10"/>
  <c r="O196" i="10"/>
  <c r="S196" i="10"/>
  <c r="N176" i="10"/>
  <c r="Q176" i="10"/>
  <c r="P176" i="10"/>
  <c r="R176" i="10"/>
  <c r="O176" i="10"/>
  <c r="S176" i="10"/>
  <c r="N171" i="10"/>
  <c r="Q171" i="10"/>
  <c r="P171" i="10"/>
  <c r="R171" i="10"/>
  <c r="O171" i="10"/>
  <c r="S171" i="10"/>
  <c r="N161" i="10"/>
  <c r="Q161" i="10"/>
  <c r="P161" i="10"/>
  <c r="R161" i="10"/>
  <c r="O161" i="10"/>
  <c r="S161" i="10"/>
  <c r="N151" i="10"/>
  <c r="Q151" i="10"/>
  <c r="P151" i="10"/>
  <c r="R151" i="10"/>
  <c r="O151" i="10"/>
  <c r="S151" i="10"/>
  <c r="N141" i="10"/>
  <c r="Q141" i="10"/>
  <c r="P141" i="10"/>
  <c r="R141" i="10"/>
  <c r="O141" i="10"/>
  <c r="S141" i="10"/>
  <c r="N131" i="10"/>
  <c r="Q131" i="10"/>
  <c r="P131" i="10"/>
  <c r="R131" i="10"/>
  <c r="O131" i="10"/>
  <c r="S131" i="10"/>
  <c r="N121" i="10"/>
  <c r="Q121" i="10"/>
  <c r="P121" i="10"/>
  <c r="R121" i="10"/>
  <c r="O121" i="10"/>
  <c r="S121" i="10"/>
  <c r="N111" i="10"/>
  <c r="Q111" i="10"/>
  <c r="P111" i="10"/>
  <c r="R111" i="10"/>
  <c r="O111" i="10"/>
  <c r="S111" i="10"/>
  <c r="N101" i="10"/>
  <c r="Q101" i="10"/>
  <c r="P101" i="10"/>
  <c r="R101" i="10"/>
  <c r="O101" i="10"/>
  <c r="S101" i="10"/>
  <c r="N91" i="10"/>
  <c r="Q91" i="10"/>
  <c r="P91" i="10"/>
  <c r="R91" i="10"/>
  <c r="O91" i="10"/>
  <c r="S91" i="10"/>
  <c r="N81" i="10"/>
  <c r="Q81" i="10"/>
  <c r="P81" i="10"/>
  <c r="R81" i="10"/>
  <c r="O81" i="10"/>
  <c r="S81" i="10"/>
  <c r="N71" i="10"/>
  <c r="Q71" i="10"/>
  <c r="P71" i="10"/>
  <c r="R71" i="10"/>
  <c r="O71" i="10"/>
  <c r="S71" i="10"/>
  <c r="N56" i="10"/>
  <c r="Q56" i="10"/>
  <c r="P56" i="10"/>
  <c r="R56" i="10"/>
  <c r="O56" i="10"/>
  <c r="S56" i="10"/>
  <c r="N46" i="10"/>
  <c r="Q46" i="10"/>
  <c r="P46" i="10"/>
  <c r="R46" i="10"/>
  <c r="O46" i="10"/>
  <c r="S46" i="10"/>
  <c r="N41" i="10"/>
  <c r="Q41" i="10"/>
  <c r="P41" i="10"/>
  <c r="R41" i="10"/>
  <c r="O41" i="10"/>
  <c r="S41" i="10"/>
  <c r="N31" i="10"/>
  <c r="Q31" i="10"/>
  <c r="P31" i="10"/>
  <c r="R31" i="10"/>
  <c r="O31" i="10"/>
  <c r="S31" i="10"/>
  <c r="N21" i="10"/>
  <c r="Q21" i="10"/>
  <c r="P21" i="10"/>
  <c r="R21" i="10"/>
  <c r="O21" i="10"/>
  <c r="S2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M22" i="10"/>
  <c r="M32" i="10"/>
  <c r="M47" i="10"/>
  <c r="M57" i="10"/>
  <c r="M62" i="10"/>
  <c r="M72" i="10"/>
  <c r="M82" i="10"/>
  <c r="M92" i="10"/>
  <c r="M102" i="10"/>
  <c r="M112" i="10"/>
  <c r="M122" i="10"/>
  <c r="M132" i="10"/>
  <c r="M142" i="10"/>
  <c r="M152" i="10"/>
  <c r="M162" i="10"/>
  <c r="M187" i="10"/>
  <c r="N187" i="10"/>
  <c r="Q187" i="10"/>
  <c r="P187" i="10"/>
  <c r="R187" i="10"/>
  <c r="O187" i="10"/>
  <c r="S187" i="10"/>
  <c r="N162" i="10"/>
  <c r="Q162" i="10"/>
  <c r="P162" i="10"/>
  <c r="R162" i="10"/>
  <c r="O162" i="10"/>
  <c r="S162" i="10"/>
  <c r="N152" i="10"/>
  <c r="Q152" i="10"/>
  <c r="P152" i="10"/>
  <c r="R152" i="10"/>
  <c r="O152" i="10"/>
  <c r="S152" i="10"/>
  <c r="N142" i="10"/>
  <c r="Q142" i="10"/>
  <c r="P142" i="10"/>
  <c r="R142" i="10"/>
  <c r="O142" i="10"/>
  <c r="S142" i="10"/>
  <c r="N132" i="10"/>
  <c r="Q132" i="10"/>
  <c r="P132" i="10"/>
  <c r="R132" i="10"/>
  <c r="O132" i="10"/>
  <c r="S132" i="10"/>
  <c r="N122" i="10"/>
  <c r="Q122" i="10"/>
  <c r="P122" i="10"/>
  <c r="R122" i="10"/>
  <c r="O122" i="10"/>
  <c r="S122" i="10"/>
  <c r="N112" i="10"/>
  <c r="Q112" i="10"/>
  <c r="P112" i="10"/>
  <c r="R112" i="10"/>
  <c r="O112" i="10"/>
  <c r="S112" i="10"/>
  <c r="N102" i="10"/>
  <c r="Q102" i="10"/>
  <c r="P102" i="10"/>
  <c r="R102" i="10"/>
  <c r="O102" i="10"/>
  <c r="S102" i="10"/>
  <c r="N92" i="10"/>
  <c r="Q92" i="10"/>
  <c r="P92" i="10"/>
  <c r="R92" i="10"/>
  <c r="O92" i="10"/>
  <c r="S92" i="10"/>
  <c r="N82" i="10"/>
  <c r="Q82" i="10"/>
  <c r="P82" i="10"/>
  <c r="R82" i="10"/>
  <c r="O82" i="10"/>
  <c r="S82" i="10"/>
  <c r="N72" i="10"/>
  <c r="Q72" i="10"/>
  <c r="P72" i="10"/>
  <c r="R72" i="10"/>
  <c r="O72" i="10"/>
  <c r="S72" i="10"/>
  <c r="N62" i="10"/>
  <c r="Q62" i="10"/>
  <c r="P62" i="10"/>
  <c r="R62" i="10"/>
  <c r="O62" i="10"/>
  <c r="S62" i="10"/>
  <c r="N57" i="10"/>
  <c r="Q57" i="10"/>
  <c r="P57" i="10"/>
  <c r="R57" i="10"/>
  <c r="O57" i="10"/>
  <c r="S57" i="10"/>
  <c r="N47" i="10"/>
  <c r="Q47" i="10"/>
  <c r="P47" i="10"/>
  <c r="R47" i="10"/>
  <c r="O47" i="10"/>
  <c r="S47" i="10"/>
  <c r="N32" i="10"/>
  <c r="Q32" i="10"/>
  <c r="P32" i="10"/>
  <c r="R32" i="10"/>
  <c r="O32" i="10"/>
  <c r="S32" i="10"/>
  <c r="N22" i="10"/>
  <c r="Q22" i="10"/>
  <c r="P22" i="10"/>
  <c r="R22" i="10"/>
  <c r="O22" i="10"/>
  <c r="S2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T27" i="10"/>
  <c r="U27" i="10"/>
  <c r="V27" i="10"/>
  <c r="W27" i="10"/>
  <c r="X27" i="10"/>
  <c r="Y27" i="10"/>
  <c r="G28" i="10"/>
  <c r="H28" i="10"/>
  <c r="I28" i="10"/>
  <c r="J28" i="10"/>
  <c r="K28" i="10"/>
  <c r="L28" i="10"/>
  <c r="T28" i="10"/>
  <c r="U28" i="10"/>
  <c r="V28" i="10"/>
  <c r="W28" i="10"/>
  <c r="X28" i="10"/>
  <c r="Y28" i="10"/>
  <c r="G29" i="10"/>
  <c r="H29" i="10"/>
  <c r="I29" i="10"/>
  <c r="J29" i="10"/>
  <c r="K29" i="10"/>
  <c r="L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T30" i="10"/>
  <c r="U30" i="10"/>
  <c r="V30" i="10"/>
  <c r="W30" i="10"/>
  <c r="X30" i="10"/>
  <c r="Y30" i="10"/>
  <c r="G31" i="10"/>
  <c r="H31" i="10"/>
  <c r="I31" i="10"/>
  <c r="J31" i="10"/>
  <c r="K31" i="10"/>
  <c r="L31" i="10"/>
  <c r="T31" i="10"/>
  <c r="U31" i="10"/>
  <c r="V31" i="10"/>
  <c r="W31" i="10"/>
  <c r="X31" i="10"/>
  <c r="Y31" i="10"/>
  <c r="G32" i="10"/>
  <c r="H32" i="10"/>
  <c r="I32" i="10"/>
  <c r="J32" i="10"/>
  <c r="K32" i="10"/>
  <c r="L32" i="10"/>
  <c r="T32" i="10"/>
  <c r="U32" i="10"/>
  <c r="V32" i="10"/>
  <c r="W32" i="10"/>
  <c r="X32" i="10"/>
  <c r="Y32" i="10"/>
  <c r="G33" i="10"/>
  <c r="H33" i="10"/>
  <c r="I33" i="10"/>
  <c r="J33" i="10"/>
  <c r="K33" i="10"/>
  <c r="L33" i="10"/>
  <c r="T33" i="10"/>
  <c r="U33" i="10"/>
  <c r="V33" i="10"/>
  <c r="W33" i="10"/>
  <c r="X33" i="10"/>
  <c r="Y33" i="10"/>
  <c r="G34" i="10"/>
  <c r="H34" i="10"/>
  <c r="I34" i="10"/>
  <c r="J34" i="10"/>
  <c r="K34" i="10"/>
  <c r="L34" i="10"/>
  <c r="T34" i="10"/>
  <c r="U34" i="10"/>
  <c r="V34" i="10"/>
  <c r="W34" i="10"/>
  <c r="X34" i="10"/>
  <c r="Y34" i="10"/>
  <c r="G35" i="10"/>
  <c r="H35" i="10"/>
  <c r="I35" i="10"/>
  <c r="J35" i="10"/>
  <c r="K35" i="10"/>
  <c r="L35" i="10"/>
  <c r="T35" i="10"/>
  <c r="U35" i="10"/>
  <c r="V35" i="10"/>
  <c r="W35" i="10"/>
  <c r="X35" i="10"/>
  <c r="Y35" i="10"/>
  <c r="G36" i="10"/>
  <c r="H36" i="10"/>
  <c r="I36" i="10"/>
  <c r="J36" i="10"/>
  <c r="K36" i="10"/>
  <c r="L36" i="10"/>
  <c r="T36" i="10"/>
  <c r="U36" i="10"/>
  <c r="V36" i="10"/>
  <c r="W36" i="10"/>
  <c r="X36" i="10"/>
  <c r="Y36" i="10"/>
  <c r="G37" i="10"/>
  <c r="H37" i="10"/>
  <c r="I37" i="10"/>
  <c r="J37" i="10"/>
  <c r="K37" i="10"/>
  <c r="L37" i="10"/>
  <c r="T37" i="10"/>
  <c r="U37" i="10"/>
  <c r="V37" i="10"/>
  <c r="W37" i="10"/>
  <c r="X37" i="10"/>
  <c r="Y37" i="10"/>
  <c r="G38" i="10"/>
  <c r="H38" i="10"/>
  <c r="I38" i="10"/>
  <c r="J38" i="10"/>
  <c r="K38" i="10"/>
  <c r="L38" i="10"/>
  <c r="T38" i="10"/>
  <c r="U38" i="10"/>
  <c r="V38" i="10"/>
  <c r="W38" i="10"/>
  <c r="X38" i="10"/>
  <c r="Y38" i="10"/>
  <c r="G39" i="10"/>
  <c r="H39" i="10"/>
  <c r="I39" i="10"/>
  <c r="J39" i="10"/>
  <c r="K39" i="10"/>
  <c r="L39" i="10"/>
  <c r="T39" i="10"/>
  <c r="U39" i="10"/>
  <c r="V39" i="10"/>
  <c r="W39" i="10"/>
  <c r="X39" i="10"/>
  <c r="Y39" i="10"/>
  <c r="G40" i="10"/>
  <c r="H40" i="10"/>
  <c r="I40" i="10"/>
  <c r="J40" i="10"/>
  <c r="K40" i="10"/>
  <c r="L40" i="10"/>
  <c r="T40" i="10"/>
  <c r="U40" i="10"/>
  <c r="V40" i="10"/>
  <c r="W40" i="10"/>
  <c r="X40" i="10"/>
  <c r="Y40" i="10"/>
  <c r="G41" i="10"/>
  <c r="H41" i="10"/>
  <c r="I41" i="10"/>
  <c r="J41" i="10"/>
  <c r="K41" i="10"/>
  <c r="L41" i="10"/>
  <c r="T41" i="10"/>
  <c r="U41" i="10"/>
  <c r="V41" i="10"/>
  <c r="W41" i="10"/>
  <c r="X41" i="10"/>
  <c r="Y41" i="10"/>
  <c r="G42" i="10"/>
  <c r="H42" i="10"/>
  <c r="I42" i="10"/>
  <c r="J42" i="10"/>
  <c r="K42" i="10"/>
  <c r="L42" i="10"/>
  <c r="T42" i="10"/>
  <c r="U42" i="10"/>
  <c r="V42" i="10"/>
  <c r="W42" i="10"/>
  <c r="X42" i="10"/>
  <c r="Y42" i="10"/>
  <c r="G43" i="10"/>
  <c r="H43" i="10"/>
  <c r="I43" i="10"/>
  <c r="J43" i="10"/>
  <c r="K43" i="10"/>
  <c r="L43" i="10"/>
  <c r="T43" i="10"/>
  <c r="U43" i="10"/>
  <c r="V43" i="10"/>
  <c r="W43" i="10"/>
  <c r="X43" i="10"/>
  <c r="Y43" i="10"/>
  <c r="G44" i="10"/>
  <c r="H44" i="10"/>
  <c r="I44" i="10"/>
  <c r="J44" i="10"/>
  <c r="K44" i="10"/>
  <c r="L44" i="10"/>
  <c r="T44" i="10"/>
  <c r="U44" i="10"/>
  <c r="V44" i="10"/>
  <c r="W44" i="10"/>
  <c r="X44" i="10"/>
  <c r="Y44" i="10"/>
  <c r="G45" i="10"/>
  <c r="H45" i="10"/>
  <c r="I45" i="10"/>
  <c r="J45" i="10"/>
  <c r="K45" i="10"/>
  <c r="L45" i="10"/>
  <c r="T45" i="10"/>
  <c r="U45" i="10"/>
  <c r="V45" i="10"/>
  <c r="W45" i="10"/>
  <c r="X45" i="10"/>
  <c r="Y45" i="10"/>
  <c r="G46" i="10"/>
  <c r="H46" i="10"/>
  <c r="I46" i="10"/>
  <c r="J46" i="10"/>
  <c r="K46" i="10"/>
  <c r="L46" i="10"/>
  <c r="T46" i="10"/>
  <c r="U46" i="10"/>
  <c r="V46" i="10"/>
  <c r="W46" i="10"/>
  <c r="X46" i="10"/>
  <c r="Y46" i="10"/>
  <c r="G47" i="10"/>
  <c r="H47" i="10"/>
  <c r="I47" i="10"/>
  <c r="J47" i="10"/>
  <c r="K47" i="10"/>
  <c r="L47" i="10"/>
  <c r="T47" i="10"/>
  <c r="U47" i="10"/>
  <c r="V47" i="10"/>
  <c r="W47" i="10"/>
  <c r="X47" i="10"/>
  <c r="Y47" i="10"/>
  <c r="G48" i="10"/>
  <c r="H48" i="10"/>
  <c r="I48" i="10"/>
  <c r="J48" i="10"/>
  <c r="K48" i="10"/>
  <c r="L48" i="10"/>
  <c r="T48" i="10"/>
  <c r="U48" i="10"/>
  <c r="V48" i="10"/>
  <c r="W48" i="10"/>
  <c r="X48" i="10"/>
  <c r="Y48" i="10"/>
  <c r="G49" i="10"/>
  <c r="H49" i="10"/>
  <c r="I49" i="10"/>
  <c r="J49" i="10"/>
  <c r="K49" i="10"/>
  <c r="L49" i="10"/>
  <c r="T49" i="10"/>
  <c r="U49" i="10"/>
  <c r="V49" i="10"/>
  <c r="W49" i="10"/>
  <c r="X49" i="10"/>
  <c r="Y49" i="10"/>
  <c r="G50" i="10"/>
  <c r="H50" i="10"/>
  <c r="I50" i="10"/>
  <c r="J50" i="10"/>
  <c r="K50" i="10"/>
  <c r="L50" i="10"/>
  <c r="T50" i="10"/>
  <c r="U50" i="10"/>
  <c r="V50" i="10"/>
  <c r="W50" i="10"/>
  <c r="X50" i="10"/>
  <c r="Y50" i="10"/>
  <c r="G51" i="10"/>
  <c r="H51" i="10"/>
  <c r="I51" i="10"/>
  <c r="J51" i="10"/>
  <c r="K51" i="10"/>
  <c r="L51" i="10"/>
  <c r="T51" i="10"/>
  <c r="U51" i="10"/>
  <c r="V51" i="10"/>
  <c r="W51" i="10"/>
  <c r="X51" i="10"/>
  <c r="Y51" i="10"/>
  <c r="G52" i="10"/>
  <c r="H52" i="10"/>
  <c r="I52" i="10"/>
  <c r="J52" i="10"/>
  <c r="K52" i="10"/>
  <c r="L52" i="10"/>
  <c r="T52" i="10"/>
  <c r="U52" i="10"/>
  <c r="V52" i="10"/>
  <c r="W52" i="10"/>
  <c r="X52" i="10"/>
  <c r="Y52" i="10"/>
  <c r="G53" i="10"/>
  <c r="H53" i="10"/>
  <c r="I53" i="10"/>
  <c r="J53" i="10"/>
  <c r="K53" i="10"/>
  <c r="L53" i="10"/>
  <c r="T53" i="10"/>
  <c r="U53" i="10"/>
  <c r="V53" i="10"/>
  <c r="W53" i="10"/>
  <c r="X53" i="10"/>
  <c r="Y53" i="10"/>
  <c r="G54" i="10"/>
  <c r="H54" i="10"/>
  <c r="I54" i="10"/>
  <c r="J54" i="10"/>
  <c r="K54" i="10"/>
  <c r="L54" i="10"/>
  <c r="T54" i="10"/>
  <c r="U54" i="10"/>
  <c r="V54" i="10"/>
  <c r="W54" i="10"/>
  <c r="X54" i="10"/>
  <c r="Y54" i="10"/>
  <c r="G55" i="10"/>
  <c r="H55" i="10"/>
  <c r="I55" i="10"/>
  <c r="J55" i="10"/>
  <c r="K55" i="10"/>
  <c r="L55" i="10"/>
  <c r="T55" i="10"/>
  <c r="U55" i="10"/>
  <c r="V55" i="10"/>
  <c r="W55" i="10"/>
  <c r="X55" i="10"/>
  <c r="Y55" i="10"/>
  <c r="G56" i="10"/>
  <c r="H56" i="10"/>
  <c r="I56" i="10"/>
  <c r="J56" i="10"/>
  <c r="K56" i="10"/>
  <c r="L56" i="10"/>
  <c r="T56" i="10"/>
  <c r="U56" i="10"/>
  <c r="V56" i="10"/>
  <c r="W56" i="10"/>
  <c r="X56" i="10"/>
  <c r="Y56" i="10"/>
  <c r="G57" i="10"/>
  <c r="H57" i="10"/>
  <c r="I57" i="10"/>
  <c r="J57" i="10"/>
  <c r="K57" i="10"/>
  <c r="L57" i="10"/>
  <c r="T57" i="10"/>
  <c r="U57" i="10"/>
  <c r="V57" i="10"/>
  <c r="W57" i="10"/>
  <c r="X57" i="10"/>
  <c r="Y57" i="10"/>
  <c r="G58" i="10"/>
  <c r="H58" i="10"/>
  <c r="I58" i="10"/>
  <c r="J58" i="10"/>
  <c r="K58" i="10"/>
  <c r="L58" i="10"/>
  <c r="T58" i="10"/>
  <c r="U58" i="10"/>
  <c r="V58" i="10"/>
  <c r="W58" i="10"/>
  <c r="X58" i="10"/>
  <c r="Y58" i="10"/>
  <c r="G59" i="10"/>
  <c r="H59" i="10"/>
  <c r="I59" i="10"/>
  <c r="J59" i="10"/>
  <c r="K59" i="10"/>
  <c r="L59" i="10"/>
  <c r="T59" i="10"/>
  <c r="U59" i="10"/>
  <c r="V59" i="10"/>
  <c r="W59" i="10"/>
  <c r="X59" i="10"/>
  <c r="Y59" i="10"/>
  <c r="G60" i="10"/>
  <c r="H60" i="10"/>
  <c r="I60" i="10"/>
  <c r="J60" i="10"/>
  <c r="K60" i="10"/>
  <c r="L60" i="10"/>
  <c r="T60" i="10"/>
  <c r="U60" i="10"/>
  <c r="V60" i="10"/>
  <c r="W60" i="10"/>
  <c r="X60" i="10"/>
  <c r="Y60" i="10"/>
  <c r="G61" i="10"/>
  <c r="H61" i="10"/>
  <c r="I61" i="10"/>
  <c r="J61" i="10"/>
  <c r="K61" i="10"/>
  <c r="L61" i="10"/>
  <c r="T61" i="10"/>
  <c r="U61" i="10"/>
  <c r="V61" i="10"/>
  <c r="W61" i="10"/>
  <c r="X61" i="10"/>
  <c r="Y61" i="10"/>
  <c r="G62" i="10"/>
  <c r="H62" i="10"/>
  <c r="I62" i="10"/>
  <c r="J62" i="10"/>
  <c r="K62" i="10"/>
  <c r="L62" i="10"/>
  <c r="T62" i="10"/>
  <c r="U62" i="10"/>
  <c r="V62" i="10"/>
  <c r="W62" i="10"/>
  <c r="X62" i="10"/>
  <c r="Y62" i="10"/>
  <c r="G63" i="10"/>
  <c r="H63" i="10"/>
  <c r="I63" i="10"/>
  <c r="J63" i="10"/>
  <c r="K63" i="10"/>
  <c r="L63" i="10"/>
  <c r="T63" i="10"/>
  <c r="U63" i="10"/>
  <c r="V63" i="10"/>
  <c r="W63" i="10"/>
  <c r="X63" i="10"/>
  <c r="Y63" i="10"/>
  <c r="G64" i="10"/>
  <c r="H64" i="10"/>
  <c r="I64" i="10"/>
  <c r="J64" i="10"/>
  <c r="K64" i="10"/>
  <c r="L64" i="10"/>
  <c r="T64" i="10"/>
  <c r="U64" i="10"/>
  <c r="V64" i="10"/>
  <c r="W64" i="10"/>
  <c r="X64" i="10"/>
  <c r="Y64" i="10"/>
  <c r="G65" i="10"/>
  <c r="H65" i="10"/>
  <c r="I65" i="10"/>
  <c r="J65" i="10"/>
  <c r="K65" i="10"/>
  <c r="L65" i="10"/>
  <c r="T65" i="10"/>
  <c r="U65" i="10"/>
  <c r="V65" i="10"/>
  <c r="W65" i="10"/>
  <c r="X65" i="10"/>
  <c r="Y65" i="10"/>
  <c r="G66" i="10"/>
  <c r="H66" i="10"/>
  <c r="I66" i="10"/>
  <c r="J66" i="10"/>
  <c r="K66" i="10"/>
  <c r="L66" i="10"/>
  <c r="T66" i="10"/>
  <c r="U66" i="10"/>
  <c r="V66" i="10"/>
  <c r="W66" i="10"/>
  <c r="X66" i="10"/>
  <c r="Y66" i="10"/>
  <c r="G67" i="10"/>
  <c r="H67" i="10"/>
  <c r="I67" i="10"/>
  <c r="J67" i="10"/>
  <c r="K67" i="10"/>
  <c r="L67" i="10"/>
  <c r="T67" i="10"/>
  <c r="U67" i="10"/>
  <c r="V67" i="10"/>
  <c r="W67" i="10"/>
  <c r="X67" i="10"/>
  <c r="Y67" i="10"/>
  <c r="G68" i="10"/>
  <c r="H68" i="10"/>
  <c r="I68" i="10"/>
  <c r="J68" i="10"/>
  <c r="K68" i="10"/>
  <c r="L68" i="10"/>
  <c r="T68" i="10"/>
  <c r="U68" i="10"/>
  <c r="V68" i="10"/>
  <c r="W68" i="10"/>
  <c r="X68" i="10"/>
  <c r="Y68" i="10"/>
  <c r="G69" i="10"/>
  <c r="H69" i="10"/>
  <c r="I69" i="10"/>
  <c r="J69" i="10"/>
  <c r="K69" i="10"/>
  <c r="L69" i="10"/>
  <c r="T69" i="10"/>
  <c r="U69" i="10"/>
  <c r="V69" i="10"/>
  <c r="W69" i="10"/>
  <c r="X69" i="10"/>
  <c r="Y69" i="10"/>
  <c r="G70" i="10"/>
  <c r="H70" i="10"/>
  <c r="I70" i="10"/>
  <c r="J70" i="10"/>
  <c r="K70" i="10"/>
  <c r="L70" i="10"/>
  <c r="T70" i="10"/>
  <c r="U70" i="10"/>
  <c r="V70" i="10"/>
  <c r="W70" i="10"/>
  <c r="X70" i="10"/>
  <c r="Y70" i="10"/>
  <c r="G71" i="10"/>
  <c r="H71" i="10"/>
  <c r="I71" i="10"/>
  <c r="J71" i="10"/>
  <c r="K71" i="10"/>
  <c r="L71" i="10"/>
  <c r="T71" i="10"/>
  <c r="U71" i="10"/>
  <c r="V71" i="10"/>
  <c r="W71" i="10"/>
  <c r="X71" i="10"/>
  <c r="Y71" i="10"/>
  <c r="G72" i="10"/>
  <c r="H72" i="10"/>
  <c r="I72" i="10"/>
  <c r="J72" i="10"/>
  <c r="K72" i="10"/>
  <c r="L72" i="10"/>
  <c r="T72" i="10"/>
  <c r="U72" i="10"/>
  <c r="V72" i="10"/>
  <c r="W72" i="10"/>
  <c r="X72" i="10"/>
  <c r="Y72" i="10"/>
  <c r="G73" i="10"/>
  <c r="H73" i="10"/>
  <c r="I73" i="10"/>
  <c r="J73" i="10"/>
  <c r="K73" i="10"/>
  <c r="L73" i="10"/>
  <c r="T73" i="10"/>
  <c r="U73" i="10"/>
  <c r="V73" i="10"/>
  <c r="W73" i="10"/>
  <c r="X73" i="10"/>
  <c r="Y73" i="10"/>
  <c r="G74" i="10"/>
  <c r="H74" i="10"/>
  <c r="I74" i="10"/>
  <c r="J74" i="10"/>
  <c r="K74" i="10"/>
  <c r="L74" i="10"/>
  <c r="T74" i="10"/>
  <c r="U74" i="10"/>
  <c r="V74" i="10"/>
  <c r="W74" i="10"/>
  <c r="X74" i="10"/>
  <c r="Y74" i="10"/>
  <c r="G75" i="10"/>
  <c r="H75" i="10"/>
  <c r="I75" i="10"/>
  <c r="J75" i="10"/>
  <c r="K75" i="10"/>
  <c r="L75" i="10"/>
  <c r="T75" i="10"/>
  <c r="U75" i="10"/>
  <c r="V75" i="10"/>
  <c r="W75" i="10"/>
  <c r="X75" i="10"/>
  <c r="Y75" i="10"/>
  <c r="G76" i="10"/>
  <c r="H76" i="10"/>
  <c r="I76" i="10"/>
  <c r="J76" i="10"/>
  <c r="K76" i="10"/>
  <c r="L76" i="10"/>
  <c r="T76" i="10"/>
  <c r="U76" i="10"/>
  <c r="V76" i="10"/>
  <c r="W76" i="10"/>
  <c r="X76" i="10"/>
  <c r="Y76" i="10"/>
  <c r="G77" i="10"/>
  <c r="H77" i="10"/>
  <c r="I77" i="10"/>
  <c r="J77" i="10"/>
  <c r="K77" i="10"/>
  <c r="L77" i="10"/>
  <c r="T77" i="10"/>
  <c r="U77" i="10"/>
  <c r="V77" i="10"/>
  <c r="W77" i="10"/>
  <c r="X77" i="10"/>
  <c r="Y77" i="10"/>
  <c r="G78" i="10"/>
  <c r="H78" i="10"/>
  <c r="I78" i="10"/>
  <c r="J78" i="10"/>
  <c r="K78" i="10"/>
  <c r="L78" i="10"/>
  <c r="T78" i="10"/>
  <c r="U78" i="10"/>
  <c r="V78" i="10"/>
  <c r="W78" i="10"/>
  <c r="X78" i="10"/>
  <c r="Y78" i="10"/>
  <c r="G79" i="10"/>
  <c r="H79" i="10"/>
  <c r="I79" i="10"/>
  <c r="J79" i="10"/>
  <c r="K79" i="10"/>
  <c r="L79" i="10"/>
  <c r="T79" i="10"/>
  <c r="U79" i="10"/>
  <c r="V79" i="10"/>
  <c r="W79" i="10"/>
  <c r="X79" i="10"/>
  <c r="Y79" i="10"/>
  <c r="G80" i="10"/>
  <c r="H80" i="10"/>
  <c r="I80" i="10"/>
  <c r="J80" i="10"/>
  <c r="K80" i="10"/>
  <c r="L80" i="10"/>
  <c r="T80" i="10"/>
  <c r="U80" i="10"/>
  <c r="V80" i="10"/>
  <c r="W80" i="10"/>
  <c r="X80" i="10"/>
  <c r="Y80" i="10"/>
  <c r="G81" i="10"/>
  <c r="H81" i="10"/>
  <c r="I81" i="10"/>
  <c r="J81" i="10"/>
  <c r="K81" i="10"/>
  <c r="L81" i="10"/>
  <c r="T81" i="10"/>
  <c r="U81" i="10"/>
  <c r="V81" i="10"/>
  <c r="W81" i="10"/>
  <c r="X81" i="10"/>
  <c r="Y81" i="10"/>
  <c r="G82" i="10"/>
  <c r="H82" i="10"/>
  <c r="I82" i="10"/>
  <c r="J82" i="10"/>
  <c r="K82" i="10"/>
  <c r="L82" i="10"/>
  <c r="T82" i="10"/>
  <c r="U82" i="10"/>
  <c r="V82" i="10"/>
  <c r="W82" i="10"/>
  <c r="X82" i="10"/>
  <c r="Y82" i="10"/>
  <c r="G83" i="10"/>
  <c r="H83" i="10"/>
  <c r="I83" i="10"/>
  <c r="J83" i="10"/>
  <c r="K83" i="10"/>
  <c r="L83" i="10"/>
  <c r="T83" i="10"/>
  <c r="U83" i="10"/>
  <c r="V83" i="10"/>
  <c r="W83" i="10"/>
  <c r="X83" i="10"/>
  <c r="Y83" i="10"/>
  <c r="G84" i="10"/>
  <c r="H84" i="10"/>
  <c r="I84" i="10"/>
  <c r="J84" i="10"/>
  <c r="K84" i="10"/>
  <c r="L84" i="10"/>
  <c r="T84" i="10"/>
  <c r="U84" i="10"/>
  <c r="V84" i="10"/>
  <c r="W84" i="10"/>
  <c r="X84" i="10"/>
  <c r="Y84" i="10"/>
  <c r="G85" i="10"/>
  <c r="H85" i="10"/>
  <c r="I85" i="10"/>
  <c r="J85" i="10"/>
  <c r="K85" i="10"/>
  <c r="L85" i="10"/>
  <c r="T85" i="10"/>
  <c r="U85" i="10"/>
  <c r="V85" i="10"/>
  <c r="W85" i="10"/>
  <c r="X85" i="10"/>
  <c r="Y85" i="10"/>
  <c r="G86" i="10"/>
  <c r="H86" i="10"/>
  <c r="I86" i="10"/>
  <c r="J86" i="10"/>
  <c r="K86" i="10"/>
  <c r="L86" i="10"/>
  <c r="T86" i="10"/>
  <c r="U86" i="10"/>
  <c r="V86" i="10"/>
  <c r="W86" i="10"/>
  <c r="X86" i="10"/>
  <c r="Y86" i="10"/>
  <c r="G87" i="10"/>
  <c r="H87" i="10"/>
  <c r="I87" i="10"/>
  <c r="J87" i="10"/>
  <c r="K87" i="10"/>
  <c r="L87" i="10"/>
  <c r="T87" i="10"/>
  <c r="U87" i="10"/>
  <c r="V87" i="10"/>
  <c r="W87" i="10"/>
  <c r="X87" i="10"/>
  <c r="Y87" i="10"/>
  <c r="G88" i="10"/>
  <c r="H88" i="10"/>
  <c r="I88" i="10"/>
  <c r="J88" i="10"/>
  <c r="K88" i="10"/>
  <c r="L88" i="10"/>
  <c r="T88" i="10"/>
  <c r="U88" i="10"/>
  <c r="V88" i="10"/>
  <c r="W88" i="10"/>
  <c r="X88" i="10"/>
  <c r="Y88" i="10"/>
  <c r="G89" i="10"/>
  <c r="H89" i="10"/>
  <c r="I89" i="10"/>
  <c r="J89" i="10"/>
  <c r="K89" i="10"/>
  <c r="L89" i="10"/>
  <c r="T89" i="10"/>
  <c r="U89" i="10"/>
  <c r="V89" i="10"/>
  <c r="W89" i="10"/>
  <c r="X89" i="10"/>
  <c r="Y89" i="10"/>
  <c r="G90" i="10"/>
  <c r="H90" i="10"/>
  <c r="I90" i="10"/>
  <c r="J90" i="10"/>
  <c r="K90" i="10"/>
  <c r="L90" i="10"/>
  <c r="T90" i="10"/>
  <c r="U90" i="10"/>
  <c r="V90" i="10"/>
  <c r="W90" i="10"/>
  <c r="X90" i="10"/>
  <c r="Y90" i="10"/>
  <c r="G91" i="10"/>
  <c r="H91" i="10"/>
  <c r="I91" i="10"/>
  <c r="J91" i="10"/>
  <c r="K91" i="10"/>
  <c r="L91" i="10"/>
  <c r="T91" i="10"/>
  <c r="U91" i="10"/>
  <c r="V91" i="10"/>
  <c r="W91" i="10"/>
  <c r="X91" i="10"/>
  <c r="Y91" i="10"/>
  <c r="G92" i="10"/>
  <c r="H92" i="10"/>
  <c r="I92" i="10"/>
  <c r="J92" i="10"/>
  <c r="K92" i="10"/>
  <c r="L92" i="10"/>
  <c r="T92" i="10"/>
  <c r="U92" i="10"/>
  <c r="V92" i="10"/>
  <c r="W92" i="10"/>
  <c r="X92" i="10"/>
  <c r="Y92" i="10"/>
  <c r="G93" i="10"/>
  <c r="H93" i="10"/>
  <c r="I93" i="10"/>
  <c r="J93" i="10"/>
  <c r="K93" i="10"/>
  <c r="L93" i="10"/>
  <c r="T93" i="10"/>
  <c r="U93" i="10"/>
  <c r="V93" i="10"/>
  <c r="W93" i="10"/>
  <c r="X93" i="10"/>
  <c r="Y93" i="10"/>
  <c r="G94" i="10"/>
  <c r="H94" i="10"/>
  <c r="I94" i="10"/>
  <c r="J94" i="10"/>
  <c r="K94" i="10"/>
  <c r="L94" i="10"/>
  <c r="T94" i="10"/>
  <c r="U94" i="10"/>
  <c r="V94" i="10"/>
  <c r="W94" i="10"/>
  <c r="X94" i="10"/>
  <c r="Y94" i="10"/>
  <c r="G95" i="10"/>
  <c r="H95" i="10"/>
  <c r="I95" i="10"/>
  <c r="J95" i="10"/>
  <c r="K95" i="10"/>
  <c r="L95" i="10"/>
  <c r="T95" i="10"/>
  <c r="U95" i="10"/>
  <c r="V95" i="10"/>
  <c r="W95" i="10"/>
  <c r="X95" i="10"/>
  <c r="Y95" i="10"/>
  <c r="G96" i="10"/>
  <c r="H96" i="10"/>
  <c r="I96" i="10"/>
  <c r="J96" i="10"/>
  <c r="K96" i="10"/>
  <c r="L96" i="10"/>
  <c r="T96" i="10"/>
  <c r="U96" i="10"/>
  <c r="V96" i="10"/>
  <c r="W96" i="10"/>
  <c r="X96" i="10"/>
  <c r="Y96" i="10"/>
  <c r="G97" i="10"/>
  <c r="H97" i="10"/>
  <c r="I97" i="10"/>
  <c r="J97" i="10"/>
  <c r="K97" i="10"/>
  <c r="L97" i="10"/>
  <c r="T97" i="10"/>
  <c r="U97" i="10"/>
  <c r="V97" i="10"/>
  <c r="W97" i="10"/>
  <c r="X97" i="10"/>
  <c r="Y97" i="10"/>
  <c r="G98" i="10"/>
  <c r="H98" i="10"/>
  <c r="I98" i="10"/>
  <c r="J98" i="10"/>
  <c r="K98" i="10"/>
  <c r="L98" i="10"/>
  <c r="T98" i="10"/>
  <c r="U98" i="10"/>
  <c r="V98" i="10"/>
  <c r="W98" i="10"/>
  <c r="X98" i="10"/>
  <c r="Y98" i="10"/>
  <c r="G99" i="10"/>
  <c r="H99" i="10"/>
  <c r="I99" i="10"/>
  <c r="J99" i="10"/>
  <c r="K99" i="10"/>
  <c r="L99" i="10"/>
  <c r="T99" i="10"/>
  <c r="U99" i="10"/>
  <c r="V99" i="10"/>
  <c r="W99" i="10"/>
  <c r="X99" i="10"/>
  <c r="Y99" i="10"/>
  <c r="G100" i="10"/>
  <c r="H100" i="10"/>
  <c r="I100" i="10"/>
  <c r="J100" i="10"/>
  <c r="K100" i="10"/>
  <c r="L100" i="10"/>
  <c r="T100" i="10"/>
  <c r="U100" i="10"/>
  <c r="V100" i="10"/>
  <c r="W100" i="10"/>
  <c r="X100" i="10"/>
  <c r="Y100" i="10"/>
  <c r="G101" i="10"/>
  <c r="H101" i="10"/>
  <c r="I101" i="10"/>
  <c r="J101" i="10"/>
  <c r="K101" i="10"/>
  <c r="L101" i="10"/>
  <c r="T101" i="10"/>
  <c r="U101" i="10"/>
  <c r="V101" i="10"/>
  <c r="W101" i="10"/>
  <c r="X101" i="10"/>
  <c r="Y101" i="10"/>
  <c r="G102" i="10"/>
  <c r="H102" i="10"/>
  <c r="I102" i="10"/>
  <c r="J102" i="10"/>
  <c r="K102" i="10"/>
  <c r="L102" i="10"/>
  <c r="T102" i="10"/>
  <c r="U102" i="10"/>
  <c r="V102" i="10"/>
  <c r="W102" i="10"/>
  <c r="X102" i="10"/>
  <c r="Y102" i="10"/>
  <c r="G103" i="10"/>
  <c r="H103" i="10"/>
  <c r="I103" i="10"/>
  <c r="J103" i="10"/>
  <c r="K103" i="10"/>
  <c r="L103" i="10"/>
  <c r="T103" i="10"/>
  <c r="U103" i="10"/>
  <c r="V103" i="10"/>
  <c r="W103" i="10"/>
  <c r="X103" i="10"/>
  <c r="Y103" i="10"/>
  <c r="G104" i="10"/>
  <c r="H104" i="10"/>
  <c r="I104" i="10"/>
  <c r="J104" i="10"/>
  <c r="K104" i="10"/>
  <c r="L104" i="10"/>
  <c r="T104" i="10"/>
  <c r="U104" i="10"/>
  <c r="V104" i="10"/>
  <c r="W104" i="10"/>
  <c r="X104" i="10"/>
  <c r="Y104" i="10"/>
  <c r="G105" i="10"/>
  <c r="H105" i="10"/>
  <c r="I105" i="10"/>
  <c r="J105" i="10"/>
  <c r="K105" i="10"/>
  <c r="L105" i="10"/>
  <c r="T105" i="10"/>
  <c r="U105" i="10"/>
  <c r="V105" i="10"/>
  <c r="W105" i="10"/>
  <c r="X105" i="10"/>
  <c r="Y105" i="10"/>
  <c r="G106" i="10"/>
  <c r="H106" i="10"/>
  <c r="I106" i="10"/>
  <c r="J106" i="10"/>
  <c r="K106" i="10"/>
  <c r="L106" i="10"/>
  <c r="T106" i="10"/>
  <c r="U106" i="10"/>
  <c r="V106" i="10"/>
  <c r="W106" i="10"/>
  <c r="X106" i="10"/>
  <c r="Y106" i="10"/>
  <c r="G107" i="10"/>
  <c r="H107" i="10"/>
  <c r="I107" i="10"/>
  <c r="J107" i="10"/>
  <c r="K107" i="10"/>
  <c r="L107" i="10"/>
  <c r="T107" i="10"/>
  <c r="U107" i="10"/>
  <c r="V107" i="10"/>
  <c r="W107" i="10"/>
  <c r="X107" i="10"/>
  <c r="Y107" i="10"/>
  <c r="G108" i="10"/>
  <c r="H108" i="10"/>
  <c r="I108" i="10"/>
  <c r="J108" i="10"/>
  <c r="K108" i="10"/>
  <c r="L108" i="10"/>
  <c r="T108" i="10"/>
  <c r="U108" i="10"/>
  <c r="V108" i="10"/>
  <c r="W108" i="10"/>
  <c r="X108" i="10"/>
  <c r="Y108" i="10"/>
  <c r="G109" i="10"/>
  <c r="H109" i="10"/>
  <c r="I109" i="10"/>
  <c r="J109" i="10"/>
  <c r="K109" i="10"/>
  <c r="L109" i="10"/>
  <c r="T109" i="10"/>
  <c r="U109" i="10"/>
  <c r="V109" i="10"/>
  <c r="W109" i="10"/>
  <c r="X109" i="10"/>
  <c r="Y109" i="10"/>
  <c r="G110" i="10"/>
  <c r="H110" i="10"/>
  <c r="I110" i="10"/>
  <c r="J110" i="10"/>
  <c r="K110" i="10"/>
  <c r="L110" i="10"/>
  <c r="T110" i="10"/>
  <c r="U110" i="10"/>
  <c r="V110" i="10"/>
  <c r="W110" i="10"/>
  <c r="X110" i="10"/>
  <c r="Y110" i="10"/>
  <c r="G111" i="10"/>
  <c r="H111" i="10"/>
  <c r="I111" i="10"/>
  <c r="J111" i="10"/>
  <c r="K111" i="10"/>
  <c r="L111" i="10"/>
  <c r="T111" i="10"/>
  <c r="U111" i="10"/>
  <c r="V111" i="10"/>
  <c r="W111" i="10"/>
  <c r="X111" i="10"/>
  <c r="Y111" i="10"/>
  <c r="G112" i="10"/>
  <c r="H112" i="10"/>
  <c r="I112" i="10"/>
  <c r="J112" i="10"/>
  <c r="K112" i="10"/>
  <c r="L112" i="10"/>
  <c r="T112" i="10"/>
  <c r="U112" i="10"/>
  <c r="V112" i="10"/>
  <c r="W112" i="10"/>
  <c r="X112" i="10"/>
  <c r="Y112" i="10"/>
  <c r="G113" i="10"/>
  <c r="H113" i="10"/>
  <c r="I113" i="10"/>
  <c r="J113" i="10"/>
  <c r="K113" i="10"/>
  <c r="L113" i="10"/>
  <c r="T113" i="10"/>
  <c r="U113" i="10"/>
  <c r="V113" i="10"/>
  <c r="W113" i="10"/>
  <c r="X113" i="10"/>
  <c r="Y113" i="10"/>
  <c r="G114" i="10"/>
  <c r="H114" i="10"/>
  <c r="I114" i="10"/>
  <c r="J114" i="10"/>
  <c r="K114" i="10"/>
  <c r="L114" i="10"/>
  <c r="T114" i="10"/>
  <c r="U114" i="10"/>
  <c r="V114" i="10"/>
  <c r="W114" i="10"/>
  <c r="X114" i="10"/>
  <c r="Y114" i="10"/>
  <c r="G115" i="10"/>
  <c r="H115" i="10"/>
  <c r="I115" i="10"/>
  <c r="J115" i="10"/>
  <c r="K115" i="10"/>
  <c r="L115" i="10"/>
  <c r="T115" i="10"/>
  <c r="U115" i="10"/>
  <c r="V115" i="10"/>
  <c r="W115" i="10"/>
  <c r="X115" i="10"/>
  <c r="Y115" i="10"/>
  <c r="G116" i="10"/>
  <c r="H116" i="10"/>
  <c r="I116" i="10"/>
  <c r="J116" i="10"/>
  <c r="K116" i="10"/>
  <c r="L116" i="10"/>
  <c r="T116" i="10"/>
  <c r="U116" i="10"/>
  <c r="V116" i="10"/>
  <c r="W116" i="10"/>
  <c r="X116" i="10"/>
  <c r="Y116" i="10"/>
  <c r="G117" i="10"/>
  <c r="H117" i="10"/>
  <c r="I117" i="10"/>
  <c r="J117" i="10"/>
  <c r="K117" i="10"/>
  <c r="L117" i="10"/>
  <c r="T117" i="10"/>
  <c r="U117" i="10"/>
  <c r="V117" i="10"/>
  <c r="W117" i="10"/>
  <c r="X117" i="10"/>
  <c r="Y117" i="10"/>
  <c r="G118" i="10"/>
  <c r="H118" i="10"/>
  <c r="I118" i="10"/>
  <c r="J118" i="10"/>
  <c r="K118" i="10"/>
  <c r="L118" i="10"/>
  <c r="T118" i="10"/>
  <c r="U118" i="10"/>
  <c r="V118" i="10"/>
  <c r="W118" i="10"/>
  <c r="X118" i="10"/>
  <c r="Y118" i="10"/>
  <c r="G119" i="10"/>
  <c r="H119" i="10"/>
  <c r="I119" i="10"/>
  <c r="J119" i="10"/>
  <c r="K119" i="10"/>
  <c r="L119" i="10"/>
  <c r="T119" i="10"/>
  <c r="U119" i="10"/>
  <c r="V119" i="10"/>
  <c r="W119" i="10"/>
  <c r="X119" i="10"/>
  <c r="Y119" i="10"/>
  <c r="G120" i="10"/>
  <c r="H120" i="10"/>
  <c r="I120" i="10"/>
  <c r="J120" i="10"/>
  <c r="K120" i="10"/>
  <c r="L120" i="10"/>
  <c r="T120" i="10"/>
  <c r="U120" i="10"/>
  <c r="V120" i="10"/>
  <c r="W120" i="10"/>
  <c r="X120" i="10"/>
  <c r="Y120" i="10"/>
  <c r="G121" i="10"/>
  <c r="H121" i="10"/>
  <c r="I121" i="10"/>
  <c r="J121" i="10"/>
  <c r="K121" i="10"/>
  <c r="L121" i="10"/>
  <c r="T121" i="10"/>
  <c r="U121" i="10"/>
  <c r="V121" i="10"/>
  <c r="W121" i="10"/>
  <c r="X121" i="10"/>
  <c r="Y121" i="10"/>
  <c r="G122" i="10"/>
  <c r="H122" i="10"/>
  <c r="I122" i="10"/>
  <c r="J122" i="10"/>
  <c r="K122" i="10"/>
  <c r="L122" i="10"/>
  <c r="T122" i="10"/>
  <c r="U122" i="10"/>
  <c r="V122" i="10"/>
  <c r="W122" i="10"/>
  <c r="X122" i="10"/>
  <c r="Y122" i="10"/>
  <c r="G123" i="10"/>
  <c r="H123" i="10"/>
  <c r="I123" i="10"/>
  <c r="J123" i="10"/>
  <c r="K123" i="10"/>
  <c r="L123" i="10"/>
  <c r="T123" i="10"/>
  <c r="U123" i="10"/>
  <c r="V123" i="10"/>
  <c r="W123" i="10"/>
  <c r="X123" i="10"/>
  <c r="Y123" i="10"/>
  <c r="G124" i="10"/>
  <c r="H124" i="10"/>
  <c r="I124" i="10"/>
  <c r="J124" i="10"/>
  <c r="K124" i="10"/>
  <c r="L124" i="10"/>
  <c r="T124" i="10"/>
  <c r="U124" i="10"/>
  <c r="V124" i="10"/>
  <c r="W124" i="10"/>
  <c r="X124" i="10"/>
  <c r="Y124" i="10"/>
  <c r="G125" i="10"/>
  <c r="H125" i="10"/>
  <c r="I125" i="10"/>
  <c r="J125" i="10"/>
  <c r="K125" i="10"/>
  <c r="L125" i="10"/>
  <c r="T125" i="10"/>
  <c r="U125" i="10"/>
  <c r="V125" i="10"/>
  <c r="W125" i="10"/>
  <c r="X125" i="10"/>
  <c r="Y125" i="10"/>
  <c r="G126" i="10"/>
  <c r="H126" i="10"/>
  <c r="I126" i="10"/>
  <c r="J126" i="10"/>
  <c r="K126" i="10"/>
  <c r="L126" i="10"/>
  <c r="T126" i="10"/>
  <c r="U126" i="10"/>
  <c r="V126" i="10"/>
  <c r="W126" i="10"/>
  <c r="X126" i="10"/>
  <c r="Y126" i="10"/>
  <c r="G127" i="10"/>
  <c r="H127" i="10"/>
  <c r="I127" i="10"/>
  <c r="J127" i="10"/>
  <c r="K127" i="10"/>
  <c r="L127" i="10"/>
  <c r="T127" i="10"/>
  <c r="U127" i="10"/>
  <c r="V127" i="10"/>
  <c r="W127" i="10"/>
  <c r="X127" i="10"/>
  <c r="Y127" i="10"/>
  <c r="G128" i="10"/>
  <c r="H128" i="10"/>
  <c r="I128" i="10"/>
  <c r="J128" i="10"/>
  <c r="K128" i="10"/>
  <c r="L128" i="10"/>
  <c r="T128" i="10"/>
  <c r="U128" i="10"/>
  <c r="V128" i="10"/>
  <c r="W128" i="10"/>
  <c r="X128" i="10"/>
  <c r="Y128" i="10"/>
  <c r="G129" i="10"/>
  <c r="H129" i="10"/>
  <c r="I129" i="10"/>
  <c r="J129" i="10"/>
  <c r="K129" i="10"/>
  <c r="L129" i="10"/>
  <c r="T129" i="10"/>
  <c r="U129" i="10"/>
  <c r="V129" i="10"/>
  <c r="W129" i="10"/>
  <c r="X129" i="10"/>
  <c r="Y129" i="10"/>
  <c r="G130" i="10"/>
  <c r="H130" i="10"/>
  <c r="I130" i="10"/>
  <c r="J130" i="10"/>
  <c r="K130" i="10"/>
  <c r="L130" i="10"/>
  <c r="T130" i="10"/>
  <c r="U130" i="10"/>
  <c r="V130" i="10"/>
  <c r="W130" i="10"/>
  <c r="X130" i="10"/>
  <c r="Y130" i="10"/>
  <c r="G131" i="10"/>
  <c r="H131" i="10"/>
  <c r="I131" i="10"/>
  <c r="J131" i="10"/>
  <c r="K131" i="10"/>
  <c r="L131" i="10"/>
  <c r="T131" i="10"/>
  <c r="U131" i="10"/>
  <c r="V131" i="10"/>
  <c r="W131" i="10"/>
  <c r="X131" i="10"/>
  <c r="Y131" i="10"/>
  <c r="G132" i="10"/>
  <c r="H132" i="10"/>
  <c r="I132" i="10"/>
  <c r="J132" i="10"/>
  <c r="K132" i="10"/>
  <c r="L132" i="10"/>
  <c r="T132" i="10"/>
  <c r="U132" i="10"/>
  <c r="V132" i="10"/>
  <c r="W132" i="10"/>
  <c r="X132" i="10"/>
  <c r="Y132" i="10"/>
  <c r="G133" i="10"/>
  <c r="H133" i="10"/>
  <c r="I133" i="10"/>
  <c r="J133" i="10"/>
  <c r="K133" i="10"/>
  <c r="L133" i="10"/>
  <c r="T133" i="10"/>
  <c r="U133" i="10"/>
  <c r="V133" i="10"/>
  <c r="W133" i="10"/>
  <c r="X133" i="10"/>
  <c r="Y133" i="10"/>
  <c r="G134" i="10"/>
  <c r="H134" i="10"/>
  <c r="I134" i="10"/>
  <c r="J134" i="10"/>
  <c r="K134" i="10"/>
  <c r="L134" i="10"/>
  <c r="T134" i="10"/>
  <c r="U134" i="10"/>
  <c r="V134" i="10"/>
  <c r="W134" i="10"/>
  <c r="X134" i="10"/>
  <c r="Y134" i="10"/>
  <c r="G135" i="10"/>
  <c r="H135" i="10"/>
  <c r="I135" i="10"/>
  <c r="J135" i="10"/>
  <c r="K135" i="10"/>
  <c r="L135" i="10"/>
  <c r="T135" i="10"/>
  <c r="U135" i="10"/>
  <c r="V135" i="10"/>
  <c r="W135" i="10"/>
  <c r="X135" i="10"/>
  <c r="Y135" i="10"/>
  <c r="G136" i="10"/>
  <c r="H136" i="10"/>
  <c r="I136" i="10"/>
  <c r="J136" i="10"/>
  <c r="K136" i="10"/>
  <c r="L136" i="10"/>
  <c r="T136" i="10"/>
  <c r="U136" i="10"/>
  <c r="V136" i="10"/>
  <c r="W136" i="10"/>
  <c r="X136" i="10"/>
  <c r="Y136" i="10"/>
  <c r="G137" i="10"/>
  <c r="H137" i="10"/>
  <c r="I137" i="10"/>
  <c r="J137" i="10"/>
  <c r="K137" i="10"/>
  <c r="L137" i="10"/>
  <c r="T137" i="10"/>
  <c r="U137" i="10"/>
  <c r="V137" i="10"/>
  <c r="W137" i="10"/>
  <c r="X137" i="10"/>
  <c r="Y137" i="10"/>
  <c r="G138" i="10"/>
  <c r="H138" i="10"/>
  <c r="I138" i="10"/>
  <c r="J138" i="10"/>
  <c r="K138" i="10"/>
  <c r="L138" i="10"/>
  <c r="T138" i="10"/>
  <c r="U138" i="10"/>
  <c r="V138" i="10"/>
  <c r="W138" i="10"/>
  <c r="X138" i="10"/>
  <c r="Y138" i="10"/>
  <c r="G139" i="10"/>
  <c r="H139" i="10"/>
  <c r="I139" i="10"/>
  <c r="J139" i="10"/>
  <c r="K139" i="10"/>
  <c r="L139" i="10"/>
  <c r="T139" i="10"/>
  <c r="U139" i="10"/>
  <c r="V139" i="10"/>
  <c r="W139" i="10"/>
  <c r="X139" i="10"/>
  <c r="Y139" i="10"/>
  <c r="G140" i="10"/>
  <c r="H140" i="10"/>
  <c r="I140" i="10"/>
  <c r="J140" i="10"/>
  <c r="K140" i="10"/>
  <c r="L140" i="10"/>
  <c r="T140" i="10"/>
  <c r="U140" i="10"/>
  <c r="V140" i="10"/>
  <c r="W140" i="10"/>
  <c r="X140" i="10"/>
  <c r="Y140" i="10"/>
  <c r="G141" i="10"/>
  <c r="H141" i="10"/>
  <c r="I141" i="10"/>
  <c r="J141" i="10"/>
  <c r="K141" i="10"/>
  <c r="L141" i="10"/>
  <c r="T141" i="10"/>
  <c r="U141" i="10"/>
  <c r="V141" i="10"/>
  <c r="W141" i="10"/>
  <c r="X141" i="10"/>
  <c r="Y141" i="10"/>
  <c r="G142" i="10"/>
  <c r="H142" i="10"/>
  <c r="I142" i="10"/>
  <c r="J142" i="10"/>
  <c r="K142" i="10"/>
  <c r="L142" i="10"/>
  <c r="T142" i="10"/>
  <c r="U142" i="10"/>
  <c r="V142" i="10"/>
  <c r="W142" i="10"/>
  <c r="X142" i="10"/>
  <c r="Y142" i="10"/>
  <c r="G143" i="10"/>
  <c r="H143" i="10"/>
  <c r="I143" i="10"/>
  <c r="J143" i="10"/>
  <c r="K143" i="10"/>
  <c r="L143" i="10"/>
  <c r="T143" i="10"/>
  <c r="U143" i="10"/>
  <c r="V143" i="10"/>
  <c r="W143" i="10"/>
  <c r="X143" i="10"/>
  <c r="Y143" i="10"/>
  <c r="G144" i="10"/>
  <c r="H144" i="10"/>
  <c r="I144" i="10"/>
  <c r="J144" i="10"/>
  <c r="K144" i="10"/>
  <c r="L144" i="10"/>
  <c r="T144" i="10"/>
  <c r="U144" i="10"/>
  <c r="V144" i="10"/>
  <c r="W144" i="10"/>
  <c r="X144" i="10"/>
  <c r="Y144" i="10"/>
  <c r="G145" i="10"/>
  <c r="H145" i="10"/>
  <c r="I145" i="10"/>
  <c r="J145" i="10"/>
  <c r="K145" i="10"/>
  <c r="L145" i="10"/>
  <c r="T145" i="10"/>
  <c r="U145" i="10"/>
  <c r="V145" i="10"/>
  <c r="W145" i="10"/>
  <c r="X145" i="10"/>
  <c r="Y145" i="10"/>
  <c r="G146" i="10"/>
  <c r="H146" i="10"/>
  <c r="I146" i="10"/>
  <c r="J146" i="10"/>
  <c r="K146" i="10"/>
  <c r="L146" i="10"/>
  <c r="T146" i="10"/>
  <c r="U146" i="10"/>
  <c r="V146" i="10"/>
  <c r="W146" i="10"/>
  <c r="X146" i="10"/>
  <c r="Y146" i="10"/>
  <c r="G147" i="10"/>
  <c r="H147" i="10"/>
  <c r="I147" i="10"/>
  <c r="J147" i="10"/>
  <c r="K147" i="10"/>
  <c r="L147" i="10"/>
  <c r="T147" i="10"/>
  <c r="U147" i="10"/>
  <c r="V147" i="10"/>
  <c r="W147" i="10"/>
  <c r="X147" i="10"/>
  <c r="Y147" i="10"/>
  <c r="G148" i="10"/>
  <c r="H148" i="10"/>
  <c r="I148" i="10"/>
  <c r="J148" i="10"/>
  <c r="K148" i="10"/>
  <c r="L148" i="10"/>
  <c r="T148" i="10"/>
  <c r="U148" i="10"/>
  <c r="V148" i="10"/>
  <c r="W148" i="10"/>
  <c r="X148" i="10"/>
  <c r="Y148" i="10"/>
  <c r="G149" i="10"/>
  <c r="H149" i="10"/>
  <c r="I149" i="10"/>
  <c r="J149" i="10"/>
  <c r="K149" i="10"/>
  <c r="L149" i="10"/>
  <c r="T149" i="10"/>
  <c r="U149" i="10"/>
  <c r="V149" i="10"/>
  <c r="W149" i="10"/>
  <c r="X149" i="10"/>
  <c r="Y149" i="10"/>
  <c r="G150" i="10"/>
  <c r="H150" i="10"/>
  <c r="I150" i="10"/>
  <c r="J150" i="10"/>
  <c r="K150" i="10"/>
  <c r="L150" i="10"/>
  <c r="T150" i="10"/>
  <c r="U150" i="10"/>
  <c r="V150" i="10"/>
  <c r="W150" i="10"/>
  <c r="X150" i="10"/>
  <c r="Y150" i="10"/>
  <c r="G151" i="10"/>
  <c r="H151" i="10"/>
  <c r="I151" i="10"/>
  <c r="J151" i="10"/>
  <c r="K151" i="10"/>
  <c r="L151" i="10"/>
  <c r="T151" i="10"/>
  <c r="U151" i="10"/>
  <c r="V151" i="10"/>
  <c r="W151" i="10"/>
  <c r="X151" i="10"/>
  <c r="Y151" i="10"/>
  <c r="G152" i="10"/>
  <c r="H152" i="10"/>
  <c r="I152" i="10"/>
  <c r="J152" i="10"/>
  <c r="K152" i="10"/>
  <c r="L152" i="10"/>
  <c r="T152" i="10"/>
  <c r="U152" i="10"/>
  <c r="V152" i="10"/>
  <c r="W152" i="10"/>
  <c r="X152" i="10"/>
  <c r="Y152" i="10"/>
  <c r="G153" i="10"/>
  <c r="H153" i="10"/>
  <c r="I153" i="10"/>
  <c r="J153" i="10"/>
  <c r="K153" i="10"/>
  <c r="L153" i="10"/>
  <c r="T153" i="10"/>
  <c r="U153" i="10"/>
  <c r="V153" i="10"/>
  <c r="W153" i="10"/>
  <c r="X153" i="10"/>
  <c r="Y153" i="10"/>
  <c r="G154" i="10"/>
  <c r="H154" i="10"/>
  <c r="I154" i="10"/>
  <c r="J154" i="10"/>
  <c r="K154" i="10"/>
  <c r="L154" i="10"/>
  <c r="T154" i="10"/>
  <c r="U154" i="10"/>
  <c r="V154" i="10"/>
  <c r="W154" i="10"/>
  <c r="X154" i="10"/>
  <c r="Y154" i="10"/>
  <c r="G155" i="10"/>
  <c r="H155" i="10"/>
  <c r="I155" i="10"/>
  <c r="J155" i="10"/>
  <c r="K155" i="10"/>
  <c r="L155" i="10"/>
  <c r="T155" i="10"/>
  <c r="U155" i="10"/>
  <c r="V155" i="10"/>
  <c r="W155" i="10"/>
  <c r="X155" i="10"/>
  <c r="Y155" i="10"/>
  <c r="G156" i="10"/>
  <c r="H156" i="10"/>
  <c r="I156" i="10"/>
  <c r="J156" i="10"/>
  <c r="K156" i="10"/>
  <c r="L156" i="10"/>
  <c r="T156" i="10"/>
  <c r="U156" i="10"/>
  <c r="V156" i="10"/>
  <c r="W156" i="10"/>
  <c r="X156" i="10"/>
  <c r="Y156" i="10"/>
  <c r="G157" i="10"/>
  <c r="H157" i="10"/>
  <c r="I157" i="10"/>
  <c r="J157" i="10"/>
  <c r="K157" i="10"/>
  <c r="L157" i="10"/>
  <c r="T157" i="10"/>
  <c r="U157" i="10"/>
  <c r="V157" i="10"/>
  <c r="W157" i="10"/>
  <c r="X157" i="10"/>
  <c r="Y157" i="10"/>
  <c r="G158" i="10"/>
  <c r="H158" i="10"/>
  <c r="I158" i="10"/>
  <c r="J158" i="10"/>
  <c r="K158" i="10"/>
  <c r="L158" i="10"/>
  <c r="T158" i="10"/>
  <c r="U158" i="10"/>
  <c r="V158" i="10"/>
  <c r="W158" i="10"/>
  <c r="X158" i="10"/>
  <c r="Y158" i="10"/>
  <c r="G159" i="10"/>
  <c r="H159" i="10"/>
  <c r="I159" i="10"/>
  <c r="J159" i="10"/>
  <c r="K159" i="10"/>
  <c r="L159" i="10"/>
  <c r="T159" i="10"/>
  <c r="U159" i="10"/>
  <c r="V159" i="10"/>
  <c r="W159" i="10"/>
  <c r="X159" i="10"/>
  <c r="Y159" i="10"/>
  <c r="G160" i="10"/>
  <c r="H160" i="10"/>
  <c r="I160" i="10"/>
  <c r="J160" i="10"/>
  <c r="K160" i="10"/>
  <c r="L160" i="10"/>
  <c r="T160" i="10"/>
  <c r="U160" i="10"/>
  <c r="V160" i="10"/>
  <c r="W160" i="10"/>
  <c r="X160" i="10"/>
  <c r="Y160" i="10"/>
  <c r="G161" i="10"/>
  <c r="H161" i="10"/>
  <c r="I161" i="10"/>
  <c r="J161" i="10"/>
  <c r="K161" i="10"/>
  <c r="L161" i="10"/>
  <c r="T161" i="10"/>
  <c r="U161" i="10"/>
  <c r="V161" i="10"/>
  <c r="W161" i="10"/>
  <c r="X161" i="10"/>
  <c r="Y161" i="10"/>
  <c r="G162" i="10"/>
  <c r="H162" i="10"/>
  <c r="I162" i="10"/>
  <c r="J162" i="10"/>
  <c r="K162" i="10"/>
  <c r="L162" i="10"/>
  <c r="T162" i="10"/>
  <c r="U162" i="10"/>
  <c r="V162" i="10"/>
  <c r="W162" i="10"/>
  <c r="X162" i="10"/>
  <c r="Y162" i="10"/>
  <c r="G163" i="10"/>
  <c r="H163" i="10"/>
  <c r="I163" i="10"/>
  <c r="J163" i="10"/>
  <c r="K163" i="10"/>
  <c r="L163" i="10"/>
  <c r="T163" i="10"/>
  <c r="U163" i="10"/>
  <c r="V163" i="10"/>
  <c r="W163" i="10"/>
  <c r="X163" i="10"/>
  <c r="Y163" i="10"/>
  <c r="G164" i="10"/>
  <c r="H164" i="10"/>
  <c r="I164" i="10"/>
  <c r="J164" i="10"/>
  <c r="K164" i="10"/>
  <c r="L164" i="10"/>
  <c r="T164" i="10"/>
  <c r="U164" i="10"/>
  <c r="V164" i="10"/>
  <c r="W164" i="10"/>
  <c r="X164" i="10"/>
  <c r="Y164" i="10"/>
  <c r="G165" i="10"/>
  <c r="H165" i="10"/>
  <c r="I165" i="10"/>
  <c r="J165" i="10"/>
  <c r="K165" i="10"/>
  <c r="L165" i="10"/>
  <c r="T165" i="10"/>
  <c r="U165" i="10"/>
  <c r="V165" i="10"/>
  <c r="W165" i="10"/>
  <c r="X165" i="10"/>
  <c r="Y165" i="10"/>
  <c r="G166" i="10"/>
  <c r="H166" i="10"/>
  <c r="I166" i="10"/>
  <c r="J166" i="10"/>
  <c r="K166" i="10"/>
  <c r="L166" i="10"/>
  <c r="T166" i="10"/>
  <c r="U166" i="10"/>
  <c r="V166" i="10"/>
  <c r="W166" i="10"/>
  <c r="X166" i="10"/>
  <c r="Y166" i="10"/>
  <c r="G167" i="10"/>
  <c r="H167" i="10"/>
  <c r="I167" i="10"/>
  <c r="J167" i="10"/>
  <c r="K167" i="10"/>
  <c r="L167" i="10"/>
  <c r="T167" i="10"/>
  <c r="U167" i="10"/>
  <c r="V167" i="10"/>
  <c r="W167" i="10"/>
  <c r="X167" i="10"/>
  <c r="Y167" i="10"/>
  <c r="G168" i="10"/>
  <c r="H168" i="10"/>
  <c r="I168" i="10"/>
  <c r="J168" i="10"/>
  <c r="K168" i="10"/>
  <c r="L168" i="10"/>
  <c r="T168" i="10"/>
  <c r="U168" i="10"/>
  <c r="V168" i="10"/>
  <c r="W168" i="10"/>
  <c r="X168" i="10"/>
  <c r="Y168" i="10"/>
  <c r="G169" i="10"/>
  <c r="H169" i="10"/>
  <c r="I169" i="10"/>
  <c r="J169" i="10"/>
  <c r="K169" i="10"/>
  <c r="L169" i="10"/>
  <c r="T169" i="10"/>
  <c r="U169" i="10"/>
  <c r="V169" i="10"/>
  <c r="W169" i="10"/>
  <c r="X169" i="10"/>
  <c r="Y169" i="10"/>
  <c r="G170" i="10"/>
  <c r="H170" i="10"/>
  <c r="I170" i="10"/>
  <c r="J170" i="10"/>
  <c r="K170" i="10"/>
  <c r="L170" i="10"/>
  <c r="T170" i="10"/>
  <c r="U170" i="10"/>
  <c r="V170" i="10"/>
  <c r="W170" i="10"/>
  <c r="X170" i="10"/>
  <c r="Y170" i="10"/>
  <c r="G171" i="10"/>
  <c r="H171" i="10"/>
  <c r="I171" i="10"/>
  <c r="J171" i="10"/>
  <c r="K171" i="10"/>
  <c r="L171" i="10"/>
  <c r="T171" i="10"/>
  <c r="U171" i="10"/>
  <c r="V171" i="10"/>
  <c r="W171" i="10"/>
  <c r="X171" i="10"/>
  <c r="Y171" i="10"/>
  <c r="G172" i="10"/>
  <c r="H172" i="10"/>
  <c r="I172" i="10"/>
  <c r="J172" i="10"/>
  <c r="K172" i="10"/>
  <c r="L172" i="10"/>
  <c r="T172" i="10"/>
  <c r="U172" i="10"/>
  <c r="V172" i="10"/>
  <c r="W172" i="10"/>
  <c r="X172" i="10"/>
  <c r="Y172" i="10"/>
  <c r="G173" i="10"/>
  <c r="H173" i="10"/>
  <c r="I173" i="10"/>
  <c r="J173" i="10"/>
  <c r="K173" i="10"/>
  <c r="L173" i="10"/>
  <c r="T173" i="10"/>
  <c r="U173" i="10"/>
  <c r="V173" i="10"/>
  <c r="W173" i="10"/>
  <c r="X173" i="10"/>
  <c r="Y173" i="10"/>
  <c r="G174" i="10"/>
  <c r="H174" i="10"/>
  <c r="I174" i="10"/>
  <c r="J174" i="10"/>
  <c r="K174" i="10"/>
  <c r="L174" i="10"/>
  <c r="T174" i="10"/>
  <c r="U174" i="10"/>
  <c r="V174" i="10"/>
  <c r="W174" i="10"/>
  <c r="X174" i="10"/>
  <c r="Y174" i="10"/>
  <c r="G175" i="10"/>
  <c r="H175" i="10"/>
  <c r="I175" i="10"/>
  <c r="J175" i="10"/>
  <c r="K175" i="10"/>
  <c r="L175" i="10"/>
  <c r="T175" i="10"/>
  <c r="U175" i="10"/>
  <c r="V175" i="10"/>
  <c r="W175" i="10"/>
  <c r="X175" i="10"/>
  <c r="Y175" i="10"/>
  <c r="G176" i="10"/>
  <c r="H176" i="10"/>
  <c r="I176" i="10"/>
  <c r="J176" i="10"/>
  <c r="K176" i="10"/>
  <c r="L176" i="10"/>
  <c r="T176" i="10"/>
  <c r="U176" i="10"/>
  <c r="V176" i="10"/>
  <c r="W176" i="10"/>
  <c r="X176" i="10"/>
  <c r="Y176" i="10"/>
  <c r="G187" i="10"/>
  <c r="H187" i="10"/>
  <c r="I187" i="10"/>
  <c r="J187" i="10"/>
  <c r="K187" i="10"/>
  <c r="L187" i="10"/>
  <c r="T187" i="10"/>
  <c r="U187" i="10"/>
  <c r="V187" i="10"/>
  <c r="W187" i="10"/>
  <c r="X187" i="10"/>
  <c r="Y187" i="10"/>
  <c r="G188" i="10"/>
  <c r="H188" i="10"/>
  <c r="I188" i="10"/>
  <c r="J188" i="10"/>
  <c r="K188" i="10"/>
  <c r="L188" i="10"/>
  <c r="T188" i="10"/>
  <c r="U188" i="10"/>
  <c r="V188" i="10"/>
  <c r="W188" i="10"/>
  <c r="X188" i="10"/>
  <c r="Y188" i="10"/>
  <c r="G189" i="10"/>
  <c r="H189" i="10"/>
  <c r="I189" i="10"/>
  <c r="J189" i="10"/>
  <c r="K189" i="10"/>
  <c r="L189" i="10"/>
  <c r="T189" i="10"/>
  <c r="U189" i="10"/>
  <c r="V189" i="10"/>
  <c r="W189" i="10"/>
  <c r="X189" i="10"/>
  <c r="Y189" i="10"/>
  <c r="G190" i="10"/>
  <c r="H190" i="10"/>
  <c r="I190" i="10"/>
  <c r="J190" i="10"/>
  <c r="K190" i="10"/>
  <c r="L190" i="10"/>
  <c r="T190" i="10"/>
  <c r="U190" i="10"/>
  <c r="V190" i="10"/>
  <c r="W190" i="10"/>
  <c r="X190" i="10"/>
  <c r="Y190" i="10"/>
  <c r="G191" i="10"/>
  <c r="H191" i="10"/>
  <c r="I191" i="10"/>
  <c r="J191" i="10"/>
  <c r="K191" i="10"/>
  <c r="L191" i="10"/>
  <c r="T191" i="10"/>
  <c r="U191" i="10"/>
  <c r="V191" i="10"/>
  <c r="W191" i="10"/>
  <c r="X191" i="10"/>
  <c r="Y191" i="10"/>
  <c r="G192" i="10"/>
  <c r="H192" i="10"/>
  <c r="I192" i="10"/>
  <c r="J192" i="10"/>
  <c r="K192" i="10"/>
  <c r="L192" i="10"/>
  <c r="T192" i="10"/>
  <c r="U192" i="10"/>
  <c r="V192" i="10"/>
  <c r="W192" i="10"/>
  <c r="X192" i="10"/>
  <c r="Y192" i="10"/>
  <c r="G193" i="10"/>
  <c r="H193" i="10"/>
  <c r="I193" i="10"/>
  <c r="J193" i="10"/>
  <c r="K193" i="10"/>
  <c r="L193" i="10"/>
  <c r="T193" i="10"/>
  <c r="U193" i="10"/>
  <c r="V193" i="10"/>
  <c r="W193" i="10"/>
  <c r="X193" i="10"/>
  <c r="Y193" i="10"/>
  <c r="G194" i="10"/>
  <c r="H194" i="10"/>
  <c r="I194" i="10"/>
  <c r="J194" i="10"/>
  <c r="K194" i="10"/>
  <c r="L194" i="10"/>
  <c r="T194" i="10"/>
  <c r="U194" i="10"/>
  <c r="V194" i="10"/>
  <c r="W194" i="10"/>
  <c r="X194" i="10"/>
  <c r="Y194" i="10"/>
  <c r="G195" i="10"/>
  <c r="H195" i="10"/>
  <c r="I195" i="10"/>
  <c r="J195" i="10"/>
  <c r="K195" i="10"/>
  <c r="L195" i="10"/>
  <c r="T195" i="10"/>
  <c r="U195" i="10"/>
  <c r="V195" i="10"/>
  <c r="W195" i="10"/>
  <c r="X195" i="10"/>
  <c r="Y195" i="10"/>
  <c r="G196" i="10"/>
  <c r="H196" i="10"/>
  <c r="I196" i="10"/>
  <c r="J196" i="10"/>
  <c r="K196" i="10"/>
  <c r="L196" i="10"/>
  <c r="T196" i="10"/>
  <c r="U196" i="10"/>
  <c r="V196" i="10"/>
  <c r="W196" i="10"/>
  <c r="X196" i="10"/>
  <c r="Y196" i="10"/>
  <c r="G197" i="10"/>
  <c r="H197" i="10"/>
  <c r="I197" i="10"/>
  <c r="J197" i="10"/>
  <c r="K197" i="10"/>
  <c r="L197" i="10"/>
  <c r="T197" i="10"/>
  <c r="U197" i="10"/>
  <c r="V197" i="10"/>
  <c r="W197" i="10"/>
  <c r="X197" i="10"/>
  <c r="Y197" i="10"/>
  <c r="G198" i="10"/>
  <c r="H198" i="10"/>
  <c r="I198" i="10"/>
  <c r="J198" i="10"/>
  <c r="K198" i="10"/>
  <c r="L198" i="10"/>
  <c r="T198" i="10"/>
  <c r="U198" i="10"/>
  <c r="V198" i="10"/>
  <c r="W198" i="10"/>
  <c r="X198" i="10"/>
  <c r="Y198" i="10"/>
  <c r="G199" i="10"/>
  <c r="H199" i="10"/>
  <c r="I199" i="10"/>
  <c r="J199" i="10"/>
  <c r="K199" i="10"/>
  <c r="L199" i="10"/>
  <c r="T199" i="10"/>
  <c r="U199" i="10"/>
  <c r="V199" i="10"/>
  <c r="W199" i="10"/>
  <c r="X199" i="10"/>
  <c r="Y199" i="10"/>
  <c r="G200" i="10"/>
  <c r="H200" i="10"/>
  <c r="I200" i="10"/>
  <c r="J200" i="10"/>
  <c r="K200" i="10"/>
  <c r="L200" i="10"/>
  <c r="T200" i="10"/>
  <c r="U200" i="10"/>
  <c r="V200" i="10"/>
  <c r="W200" i="10"/>
  <c r="X200" i="10"/>
  <c r="Y200" i="10"/>
  <c r="G201" i="10"/>
  <c r="H201" i="10"/>
  <c r="I201" i="10"/>
  <c r="J201" i="10"/>
  <c r="K201" i="10"/>
  <c r="L201" i="10"/>
  <c r="T201" i="10"/>
  <c r="U201" i="10"/>
  <c r="V201" i="10"/>
  <c r="W201" i="10"/>
  <c r="X201" i="10"/>
  <c r="Y201" i="10"/>
  <c r="G202" i="10"/>
  <c r="H202" i="10"/>
  <c r="I202" i="10"/>
  <c r="J202" i="10"/>
  <c r="K202" i="10"/>
  <c r="L202" i="10"/>
  <c r="T202" i="10"/>
  <c r="U202" i="10"/>
  <c r="V202" i="10"/>
  <c r="W202" i="10"/>
  <c r="X202" i="10"/>
  <c r="Y202" i="10"/>
  <c r="G203" i="10"/>
  <c r="H203" i="10"/>
  <c r="I203" i="10"/>
  <c r="J203" i="10"/>
  <c r="K203" i="10"/>
  <c r="L203" i="10"/>
  <c r="T203" i="10"/>
  <c r="U203" i="10"/>
  <c r="V203" i="10"/>
  <c r="W203" i="10"/>
  <c r="X203" i="10"/>
  <c r="Y203" i="10"/>
  <c r="G204" i="10"/>
  <c r="H204" i="10"/>
  <c r="I204" i="10"/>
  <c r="J204" i="10"/>
  <c r="K204" i="10"/>
  <c r="L204" i="10"/>
  <c r="T204" i="10"/>
  <c r="U204" i="10"/>
  <c r="V204" i="10"/>
  <c r="W204" i="10"/>
  <c r="X204" i="10"/>
  <c r="Y204" i="10"/>
  <c r="G205" i="10"/>
  <c r="H205" i="10"/>
  <c r="I205" i="10"/>
  <c r="J205" i="10"/>
  <c r="K205" i="10"/>
  <c r="L205" i="10"/>
  <c r="T205" i="10"/>
  <c r="U205" i="10"/>
  <c r="V205" i="10"/>
  <c r="W205" i="10"/>
  <c r="X205" i="10"/>
  <c r="Y205" i="10"/>
  <c r="G206" i="10"/>
  <c r="H206" i="10"/>
  <c r="I206" i="10"/>
  <c r="J206" i="10"/>
  <c r="K206" i="10"/>
  <c r="L206" i="10"/>
  <c r="T206" i="10"/>
  <c r="U206" i="10"/>
  <c r="V206" i="10"/>
  <c r="W206" i="10"/>
  <c r="X206" i="10"/>
  <c r="Y206" i="10"/>
  <c r="G207" i="10"/>
  <c r="H207" i="10"/>
  <c r="I207" i="10"/>
  <c r="J207" i="10"/>
  <c r="K207" i="10"/>
  <c r="L207" i="10"/>
  <c r="T207" i="10"/>
  <c r="U207" i="10"/>
  <c r="V207" i="10"/>
  <c r="W207" i="10"/>
  <c r="X207" i="10"/>
  <c r="Y207" i="10"/>
  <c r="G208" i="10"/>
  <c r="H208" i="10"/>
  <c r="I208" i="10"/>
  <c r="J208" i="10"/>
  <c r="K208" i="10"/>
  <c r="L208" i="10"/>
  <c r="T208" i="10"/>
  <c r="U208" i="10"/>
  <c r="V208" i="10"/>
  <c r="W208" i="10"/>
  <c r="X208" i="10"/>
  <c r="Y208" i="10"/>
  <c r="G209" i="10"/>
  <c r="H209" i="10"/>
  <c r="I209" i="10"/>
  <c r="J209" i="10"/>
  <c r="K209" i="10"/>
  <c r="L209" i="10"/>
  <c r="T209" i="10"/>
  <c r="U209" i="10"/>
  <c r="V209" i="10"/>
  <c r="W209" i="10"/>
  <c r="X209" i="10"/>
  <c r="Y209" i="10"/>
  <c r="G210" i="10"/>
  <c r="H210" i="10"/>
  <c r="I210" i="10"/>
  <c r="J210" i="10"/>
  <c r="K210" i="10"/>
  <c r="L210" i="10"/>
  <c r="T210" i="10"/>
  <c r="U210" i="10"/>
  <c r="V210" i="10"/>
  <c r="W210" i="10"/>
  <c r="X210" i="10"/>
  <c r="Y210" i="10"/>
  <c r="G211" i="10"/>
  <c r="H211" i="10"/>
  <c r="I211" i="10"/>
  <c r="J211" i="10"/>
  <c r="K211" i="10"/>
  <c r="L211" i="10"/>
  <c r="T211" i="10"/>
  <c r="U211" i="10"/>
  <c r="V211" i="10"/>
  <c r="W211" i="10"/>
  <c r="X211" i="10"/>
  <c r="Y211" i="10"/>
  <c r="G212" i="10"/>
  <c r="H212" i="10"/>
  <c r="I212" i="10"/>
  <c r="J212" i="10"/>
  <c r="K212" i="10"/>
  <c r="L212" i="10"/>
  <c r="T212" i="10"/>
  <c r="U212" i="10"/>
  <c r="V212" i="10"/>
  <c r="W212" i="10"/>
  <c r="X212" i="10"/>
  <c r="Y212" i="10"/>
  <c r="G213" i="10"/>
  <c r="H213" i="10"/>
  <c r="I213" i="10"/>
  <c r="J213" i="10"/>
  <c r="K213" i="10"/>
  <c r="L213" i="10"/>
  <c r="T213" i="10"/>
  <c r="U213" i="10"/>
  <c r="V213" i="10"/>
  <c r="W213" i="10"/>
  <c r="X213" i="10"/>
  <c r="Y213" i="10"/>
  <c r="G214" i="10"/>
  <c r="H214" i="10"/>
  <c r="I214" i="10"/>
  <c r="J214" i="10"/>
  <c r="K214" i="10"/>
  <c r="L214" i="10"/>
  <c r="T214" i="10"/>
  <c r="U214" i="10"/>
  <c r="V214" i="10"/>
  <c r="W214" i="10"/>
  <c r="X214" i="10"/>
  <c r="Y214" i="10"/>
  <c r="G215" i="10"/>
  <c r="H215" i="10"/>
  <c r="I215" i="10"/>
  <c r="J215" i="10"/>
  <c r="K215" i="10"/>
  <c r="L215" i="10"/>
  <c r="T215" i="10"/>
  <c r="U215" i="10"/>
  <c r="V215" i="10"/>
  <c r="W215" i="10"/>
  <c r="X215" i="10"/>
  <c r="Y215" i="10"/>
  <c r="G216" i="10"/>
  <c r="H216" i="10"/>
  <c r="I216" i="10"/>
  <c r="J216" i="10"/>
  <c r="K216" i="10"/>
  <c r="L216" i="10"/>
  <c r="T216" i="10"/>
  <c r="U216" i="10"/>
  <c r="V216" i="10"/>
  <c r="W216" i="10"/>
  <c r="X216" i="10"/>
  <c r="Y216" i="10"/>
  <c r="G217" i="10"/>
  <c r="H217" i="10"/>
  <c r="I217" i="10"/>
  <c r="J217" i="10"/>
  <c r="K217" i="10"/>
  <c r="L217" i="10"/>
  <c r="T217" i="10"/>
  <c r="U217" i="10"/>
  <c r="V217" i="10"/>
  <c r="W217" i="10"/>
  <c r="X217" i="10"/>
  <c r="Y217" i="10"/>
  <c r="G218" i="10"/>
  <c r="H218" i="10"/>
  <c r="I218" i="10"/>
  <c r="J218" i="10"/>
  <c r="K218" i="10"/>
  <c r="L218" i="10"/>
  <c r="T218" i="10"/>
  <c r="U218" i="10"/>
  <c r="V218" i="10"/>
  <c r="W218" i="10"/>
  <c r="X218" i="10"/>
  <c r="Y218" i="10"/>
  <c r="G219" i="10"/>
  <c r="H219" i="10"/>
  <c r="I219" i="10"/>
  <c r="J219" i="10"/>
  <c r="K219" i="10"/>
  <c r="L219" i="10"/>
  <c r="T219" i="10"/>
  <c r="U219" i="10"/>
  <c r="V219" i="10"/>
  <c r="W219" i="10"/>
  <c r="X219" i="10"/>
  <c r="Y219" i="10"/>
  <c r="G220" i="10"/>
  <c r="H220" i="10"/>
  <c r="I220" i="10"/>
  <c r="J220" i="10"/>
  <c r="K220" i="10"/>
  <c r="L220" i="10"/>
  <c r="T220" i="10"/>
  <c r="U220" i="10"/>
  <c r="V220" i="10"/>
  <c r="W220" i="10"/>
  <c r="X220" i="10"/>
  <c r="Y220" i="10"/>
  <c r="G221" i="10"/>
  <c r="H221" i="10"/>
  <c r="I221" i="10"/>
  <c r="J221" i="10"/>
  <c r="K221" i="10"/>
  <c r="L221" i="10"/>
  <c r="T221" i="10"/>
  <c r="U221" i="10"/>
  <c r="V221" i="10"/>
  <c r="W221" i="10"/>
  <c r="X221" i="10"/>
  <c r="Y221" i="10"/>
  <c r="G222" i="10"/>
  <c r="H222" i="10"/>
  <c r="I222" i="10"/>
  <c r="J222" i="10"/>
  <c r="K222" i="10"/>
  <c r="L222" i="10"/>
  <c r="T222" i="10"/>
  <c r="U222" i="10"/>
  <c r="V222" i="10"/>
  <c r="W222" i="10"/>
  <c r="X222" i="10"/>
  <c r="Y222" i="10"/>
  <c r="G223" i="10"/>
  <c r="H223" i="10"/>
  <c r="I223" i="10"/>
  <c r="J223" i="10"/>
  <c r="K223" i="10"/>
  <c r="L223" i="10"/>
  <c r="T223" i="10"/>
  <c r="U223" i="10"/>
  <c r="V223" i="10"/>
  <c r="W223" i="10"/>
  <c r="X223" i="10"/>
  <c r="Y223" i="10"/>
  <c r="G224" i="10"/>
  <c r="H224" i="10"/>
  <c r="I224" i="10"/>
  <c r="J224" i="10"/>
  <c r="K224" i="10"/>
  <c r="L224" i="10"/>
  <c r="T224" i="10"/>
  <c r="U224" i="10"/>
  <c r="V224" i="10"/>
  <c r="W224" i="10"/>
  <c r="X224" i="10"/>
  <c r="Y224" i="10"/>
  <c r="G225" i="10"/>
  <c r="H225" i="10"/>
  <c r="I225" i="10"/>
  <c r="J225" i="10"/>
  <c r="K225" i="10"/>
  <c r="L225" i="10"/>
  <c r="T225" i="10"/>
  <c r="U225" i="10"/>
  <c r="V225" i="10"/>
  <c r="W225" i="10"/>
  <c r="X225" i="10"/>
  <c r="Y225" i="10"/>
  <c r="G226" i="10"/>
  <c r="H226" i="10"/>
  <c r="I226" i="10"/>
  <c r="J226" i="10"/>
  <c r="K226" i="10"/>
  <c r="L226" i="10"/>
  <c r="T226" i="10"/>
  <c r="U226" i="10"/>
  <c r="V226" i="10"/>
  <c r="W226" i="10"/>
  <c r="X226" i="10"/>
  <c r="Y226" i="10"/>
  <c r="G227" i="10"/>
  <c r="H227" i="10"/>
  <c r="I227" i="10"/>
  <c r="J227" i="10"/>
  <c r="K227" i="10"/>
  <c r="L227" i="10"/>
  <c r="T227" i="10"/>
  <c r="U227" i="10"/>
  <c r="V227" i="10"/>
  <c r="W227" i="10"/>
  <c r="X227" i="10"/>
  <c r="Y227" i="10"/>
  <c r="G228" i="10"/>
  <c r="H228" i="10"/>
  <c r="I228" i="10"/>
  <c r="J228" i="10"/>
  <c r="K228" i="10"/>
  <c r="L228" i="10"/>
  <c r="T228" i="10"/>
  <c r="U228" i="10"/>
  <c r="V228" i="10"/>
  <c r="W228" i="10"/>
  <c r="X228" i="10"/>
  <c r="Y228" i="10"/>
  <c r="G229" i="10"/>
  <c r="H229" i="10"/>
  <c r="I229" i="10"/>
  <c r="J229" i="10"/>
  <c r="K229" i="10"/>
  <c r="L229" i="10"/>
  <c r="T229" i="10"/>
  <c r="U229" i="10"/>
  <c r="V229" i="10"/>
  <c r="W229" i="10"/>
  <c r="X229" i="10"/>
  <c r="Y229" i="10"/>
  <c r="G230" i="10"/>
  <c r="H230" i="10"/>
  <c r="I230" i="10"/>
  <c r="J230" i="10"/>
  <c r="K230" i="10"/>
  <c r="L230" i="10"/>
  <c r="T230" i="10"/>
  <c r="U230" i="10"/>
  <c r="V230" i="10"/>
  <c r="W230" i="10"/>
  <c r="X230" i="10"/>
  <c r="Y230" i="10"/>
  <c r="G231" i="10"/>
  <c r="H231" i="10"/>
  <c r="I231" i="10"/>
  <c r="J231" i="10"/>
  <c r="K231" i="10"/>
  <c r="L231" i="10"/>
  <c r="T231" i="10"/>
  <c r="U231" i="10"/>
  <c r="V231" i="10"/>
  <c r="W231" i="10"/>
  <c r="X231" i="10"/>
  <c r="Y231" i="10"/>
  <c r="G232" i="10"/>
  <c r="H232" i="10"/>
  <c r="I232" i="10"/>
  <c r="J232" i="10"/>
  <c r="K232" i="10"/>
  <c r="L232" i="10"/>
  <c r="T232" i="10"/>
  <c r="U232" i="10"/>
  <c r="V232" i="10"/>
  <c r="W232" i="10"/>
  <c r="X232" i="10"/>
  <c r="Y232" i="10"/>
  <c r="G233" i="10"/>
  <c r="H233" i="10"/>
  <c r="I233" i="10"/>
  <c r="J233" i="10"/>
  <c r="K233" i="10"/>
  <c r="L233" i="10"/>
  <c r="T233" i="10"/>
  <c r="U233" i="10"/>
  <c r="V233" i="10"/>
  <c r="W233" i="10"/>
  <c r="X233" i="10"/>
  <c r="Y233" i="10"/>
  <c r="G234" i="10"/>
  <c r="H234" i="10"/>
  <c r="I234" i="10"/>
  <c r="J234" i="10"/>
  <c r="K234" i="10"/>
  <c r="L234" i="10"/>
  <c r="T234" i="10"/>
  <c r="U234" i="10"/>
  <c r="V234" i="10"/>
  <c r="W234" i="10"/>
  <c r="X234" i="10"/>
  <c r="Y234" i="10"/>
  <c r="G235" i="10"/>
  <c r="H235" i="10"/>
  <c r="I235" i="10"/>
  <c r="J235" i="10"/>
  <c r="K235" i="10"/>
  <c r="L235" i="10"/>
  <c r="T235" i="10"/>
  <c r="U235" i="10"/>
  <c r="V235" i="10"/>
  <c r="W235" i="10"/>
  <c r="X235" i="10"/>
  <c r="Y235" i="10"/>
  <c r="G236" i="10"/>
  <c r="H236" i="10"/>
  <c r="I236" i="10"/>
  <c r="J236" i="10"/>
  <c r="K236" i="10"/>
  <c r="L236" i="10"/>
  <c r="T236" i="10"/>
  <c r="U236" i="10"/>
  <c r="V236" i="10"/>
  <c r="W236" i="10"/>
  <c r="X236" i="10"/>
  <c r="Y236" i="10"/>
  <c r="G237" i="10"/>
  <c r="H237" i="10"/>
  <c r="I237" i="10"/>
  <c r="J237" i="10"/>
  <c r="K237" i="10"/>
  <c r="L237" i="10"/>
  <c r="T237" i="10"/>
  <c r="U237" i="10"/>
  <c r="V237" i="10"/>
  <c r="W237" i="10"/>
  <c r="X237" i="10"/>
  <c r="Y237" i="10"/>
  <c r="G238" i="10"/>
  <c r="H238" i="10"/>
  <c r="I238" i="10"/>
  <c r="J238" i="10"/>
  <c r="K238" i="10"/>
  <c r="L238" i="10"/>
  <c r="T238" i="10"/>
  <c r="U238" i="10"/>
  <c r="V238" i="10"/>
  <c r="W238" i="10"/>
  <c r="X238" i="10"/>
  <c r="Y238" i="10"/>
  <c r="G239" i="10"/>
  <c r="H239" i="10"/>
  <c r="I239" i="10"/>
  <c r="J239" i="10"/>
  <c r="K239" i="10"/>
  <c r="L239" i="10"/>
  <c r="T239" i="10"/>
  <c r="U239" i="10"/>
  <c r="V239" i="10"/>
  <c r="W239" i="10"/>
  <c r="X239" i="10"/>
  <c r="Y239" i="10"/>
  <c r="G240" i="10"/>
  <c r="H240" i="10"/>
  <c r="I240" i="10"/>
  <c r="J240" i="10"/>
  <c r="K240" i="10"/>
  <c r="L240" i="10"/>
  <c r="T240" i="10"/>
  <c r="U240" i="10"/>
  <c r="V240" i="10"/>
  <c r="W240" i="10"/>
  <c r="X240" i="10"/>
  <c r="Y240" i="10"/>
  <c r="G241" i="10"/>
  <c r="H241" i="10"/>
  <c r="I241" i="10"/>
  <c r="J241" i="10"/>
  <c r="K241" i="10"/>
  <c r="L241" i="10"/>
  <c r="T241" i="10"/>
  <c r="U241" i="10"/>
  <c r="V241" i="10"/>
  <c r="W241" i="10"/>
  <c r="X241" i="10"/>
  <c r="Y241" i="10"/>
  <c r="G242" i="10"/>
  <c r="H242" i="10"/>
  <c r="I242" i="10"/>
  <c r="J242" i="10"/>
  <c r="K242" i="10"/>
  <c r="L242" i="10"/>
  <c r="T242" i="10"/>
  <c r="U242" i="10"/>
  <c r="V242" i="10"/>
  <c r="W242" i="10"/>
  <c r="X242" i="10"/>
  <c r="Y242" i="10"/>
  <c r="G243" i="10"/>
  <c r="H243" i="10"/>
  <c r="I243" i="10"/>
  <c r="J243" i="10"/>
  <c r="K243" i="10"/>
  <c r="L243" i="10"/>
  <c r="T243" i="10"/>
  <c r="U243" i="10"/>
  <c r="V243" i="10"/>
  <c r="W243" i="10"/>
  <c r="X243" i="10"/>
  <c r="Y243" i="10"/>
  <c r="G244" i="10"/>
  <c r="H244" i="10"/>
  <c r="I244" i="10"/>
  <c r="J244" i="10"/>
  <c r="K244" i="10"/>
  <c r="L244" i="10"/>
  <c r="T244" i="10"/>
  <c r="U244" i="10"/>
  <c r="V244" i="10"/>
  <c r="W244" i="10"/>
  <c r="X244" i="10"/>
  <c r="Y244" i="10"/>
  <c r="G245" i="10"/>
  <c r="H245" i="10"/>
  <c r="I245" i="10"/>
  <c r="J245" i="10"/>
  <c r="K245" i="10"/>
  <c r="L245" i="10"/>
  <c r="T245" i="10"/>
  <c r="U245" i="10"/>
  <c r="V245" i="10"/>
  <c r="W245" i="10"/>
  <c r="X245" i="10"/>
  <c r="Y245" i="10"/>
  <c r="G246" i="10"/>
  <c r="H246" i="10"/>
  <c r="I246" i="10"/>
  <c r="J246" i="10"/>
  <c r="K246" i="10"/>
  <c r="L246" i="10"/>
  <c r="T246" i="10"/>
  <c r="U246" i="10"/>
  <c r="V246" i="10"/>
  <c r="W246" i="10"/>
  <c r="X246" i="10"/>
  <c r="Y246" i="10"/>
  <c r="G247" i="10"/>
  <c r="H247" i="10"/>
  <c r="I247" i="10"/>
  <c r="J247" i="10"/>
  <c r="K247" i="10"/>
  <c r="L247" i="10"/>
  <c r="T247" i="10"/>
  <c r="U247" i="10"/>
  <c r="V247" i="10"/>
  <c r="W247" i="10"/>
  <c r="X247" i="10"/>
  <c r="Y247" i="10"/>
  <c r="G248" i="10"/>
  <c r="H248" i="10"/>
  <c r="I248" i="10"/>
  <c r="J248" i="10"/>
  <c r="K248" i="10"/>
  <c r="L248" i="10"/>
  <c r="T248" i="10"/>
  <c r="U248" i="10"/>
  <c r="V248" i="10"/>
  <c r="W248" i="10"/>
  <c r="X248" i="10"/>
  <c r="Y248" i="10"/>
  <c r="G249" i="10"/>
  <c r="H249" i="10"/>
  <c r="I249" i="10"/>
  <c r="J249" i="10"/>
  <c r="K249" i="10"/>
  <c r="L249" i="10"/>
  <c r="T249" i="10"/>
  <c r="U249" i="10"/>
  <c r="V249" i="10"/>
  <c r="W249" i="10"/>
  <c r="X249" i="10"/>
  <c r="Y249" i="10"/>
  <c r="G250" i="10"/>
  <c r="H250" i="10"/>
  <c r="I250" i="10"/>
  <c r="J250" i="10"/>
  <c r="K250" i="10"/>
  <c r="L250" i="10"/>
  <c r="T250" i="10"/>
  <c r="U250" i="10"/>
  <c r="V250" i="10"/>
  <c r="W250" i="10"/>
  <c r="X250" i="10"/>
  <c r="Y250" i="10"/>
  <c r="G251" i="10"/>
  <c r="H251" i="10"/>
  <c r="I251" i="10"/>
  <c r="J251" i="10"/>
  <c r="K251" i="10"/>
  <c r="L251" i="10"/>
  <c r="T251" i="10"/>
  <c r="U251" i="10"/>
  <c r="V251" i="10"/>
  <c r="W251" i="10"/>
  <c r="X251" i="10"/>
  <c r="Y251" i="10"/>
  <c r="G252" i="10"/>
  <c r="H252" i="10"/>
  <c r="I252" i="10"/>
  <c r="J252" i="10"/>
  <c r="K252" i="10"/>
  <c r="L252" i="10"/>
  <c r="T252" i="10"/>
  <c r="U252" i="10"/>
  <c r="V252" i="10"/>
  <c r="W252" i="10"/>
  <c r="X252" i="10"/>
  <c r="Y252" i="10"/>
  <c r="G253" i="10"/>
  <c r="H253" i="10"/>
  <c r="I253" i="10"/>
  <c r="J253" i="10"/>
  <c r="K253" i="10"/>
  <c r="L253" i="10"/>
  <c r="T253" i="10"/>
  <c r="U253" i="10"/>
  <c r="V253" i="10"/>
  <c r="W253" i="10"/>
  <c r="X253" i="10"/>
  <c r="Y253" i="10"/>
  <c r="G254" i="10"/>
  <c r="H254" i="10"/>
  <c r="I254" i="10"/>
  <c r="J254" i="10"/>
  <c r="K254" i="10"/>
  <c r="L254" i="10"/>
  <c r="T254" i="10"/>
  <c r="U254" i="10"/>
  <c r="V254" i="10"/>
  <c r="W254" i="10"/>
  <c r="X254" i="10"/>
  <c r="Y254" i="10"/>
  <c r="G255" i="10"/>
  <c r="H255" i="10"/>
  <c r="I255" i="10"/>
  <c r="J255" i="10"/>
  <c r="K255" i="10"/>
  <c r="L255" i="10"/>
  <c r="T255" i="10"/>
  <c r="U255" i="10"/>
  <c r="V255" i="10"/>
  <c r="W255" i="10"/>
  <c r="X255" i="10"/>
  <c r="Y255" i="10"/>
  <c r="G256" i="10"/>
  <c r="H256" i="10"/>
  <c r="I256" i="10"/>
  <c r="J256" i="10"/>
  <c r="K256" i="10"/>
  <c r="L256" i="10"/>
  <c r="T256" i="10"/>
  <c r="U256" i="10"/>
  <c r="V256" i="10"/>
  <c r="W256" i="10"/>
  <c r="X256" i="10"/>
  <c r="Y256" i="10"/>
  <c r="G257" i="10"/>
  <c r="H257" i="10"/>
  <c r="I257" i="10"/>
  <c r="J257" i="10"/>
  <c r="K257" i="10"/>
  <c r="L257" i="10"/>
  <c r="T257" i="10"/>
  <c r="U257" i="10"/>
  <c r="V257" i="10"/>
  <c r="W257" i="10"/>
  <c r="X257" i="10"/>
  <c r="Y257" i="10"/>
  <c r="G258" i="10"/>
  <c r="H258" i="10"/>
  <c r="I258" i="10"/>
  <c r="J258" i="10"/>
  <c r="K258" i="10"/>
  <c r="L258" i="10"/>
  <c r="T258" i="10"/>
  <c r="U258" i="10"/>
  <c r="V258" i="10"/>
  <c r="W258" i="10"/>
  <c r="X258" i="10"/>
  <c r="Y258" i="10"/>
  <c r="G259" i="10"/>
  <c r="H259" i="10"/>
  <c r="I259" i="10"/>
  <c r="J259" i="10"/>
  <c r="K259" i="10"/>
  <c r="L259" i="10"/>
  <c r="T259" i="10"/>
  <c r="U259" i="10"/>
  <c r="V259" i="10"/>
  <c r="W259" i="10"/>
  <c r="X259" i="10"/>
  <c r="Y259" i="10"/>
  <c r="G260" i="10"/>
  <c r="H260" i="10"/>
  <c r="I260" i="10"/>
  <c r="J260" i="10"/>
  <c r="K260" i="10"/>
  <c r="L260" i="10"/>
  <c r="T260" i="10"/>
  <c r="U260" i="10"/>
  <c r="V260" i="10"/>
  <c r="W260" i="10"/>
  <c r="X260" i="10"/>
  <c r="Y260" i="10"/>
  <c r="G261" i="10"/>
  <c r="H261" i="10"/>
  <c r="I261" i="10"/>
  <c r="J261" i="10"/>
  <c r="K261" i="10"/>
  <c r="L261" i="10"/>
  <c r="T261" i="10"/>
  <c r="U261" i="10"/>
  <c r="V261" i="10"/>
  <c r="W261" i="10"/>
  <c r="X261" i="10"/>
  <c r="Y261" i="10"/>
  <c r="G262" i="10"/>
  <c r="H262" i="10"/>
  <c r="I262" i="10"/>
  <c r="J262" i="10"/>
  <c r="K262" i="10"/>
  <c r="L262" i="10"/>
  <c r="T262" i="10"/>
  <c r="U262" i="10"/>
  <c r="V262" i="10"/>
  <c r="W262" i="10"/>
  <c r="X262" i="10"/>
  <c r="Y262" i="10"/>
  <c r="G263" i="10"/>
  <c r="H263" i="10"/>
  <c r="I263" i="10"/>
  <c r="J263" i="10"/>
  <c r="K263" i="10"/>
  <c r="L263" i="10"/>
  <c r="T263" i="10"/>
  <c r="U263" i="10"/>
  <c r="V263" i="10"/>
  <c r="W263" i="10"/>
  <c r="X263" i="10"/>
  <c r="Y263" i="10"/>
  <c r="G264" i="10"/>
  <c r="H264" i="10"/>
  <c r="I264" i="10"/>
  <c r="J264" i="10"/>
  <c r="K264" i="10"/>
  <c r="L264" i="10"/>
  <c r="T264" i="10"/>
  <c r="U264" i="10"/>
  <c r="V264" i="10"/>
  <c r="W264" i="10"/>
  <c r="X264" i="10"/>
  <c r="Y264" i="10"/>
  <c r="G265" i="10"/>
  <c r="H265" i="10"/>
  <c r="I265" i="10"/>
  <c r="J265" i="10"/>
  <c r="K265" i="10"/>
  <c r="L265" i="10"/>
  <c r="T265" i="10"/>
  <c r="U265" i="10"/>
  <c r="V265" i="10"/>
  <c r="W265" i="10"/>
  <c r="X265" i="10"/>
  <c r="Y265" i="10"/>
  <c r="G266" i="10"/>
  <c r="H266" i="10"/>
  <c r="I266" i="10"/>
  <c r="J266" i="10"/>
  <c r="K266" i="10"/>
  <c r="L266" i="10"/>
  <c r="T266" i="10"/>
  <c r="U266" i="10"/>
  <c r="V266" i="10"/>
  <c r="W266" i="10"/>
  <c r="X266" i="10"/>
  <c r="Y266" i="10"/>
  <c r="G267" i="10"/>
  <c r="H267" i="10"/>
  <c r="I267" i="10"/>
  <c r="J267" i="10"/>
  <c r="K267" i="10"/>
  <c r="L267" i="10"/>
  <c r="T267" i="10"/>
  <c r="U267" i="10"/>
  <c r="V267" i="10"/>
  <c r="W267" i="10"/>
  <c r="X267" i="10"/>
  <c r="Y267" i="10"/>
  <c r="G268" i="10"/>
  <c r="H268" i="10"/>
  <c r="I268" i="10"/>
  <c r="J268" i="10"/>
  <c r="K268" i="10"/>
  <c r="L268" i="10"/>
  <c r="T268" i="10"/>
  <c r="U268" i="10"/>
  <c r="V268" i="10"/>
  <c r="W268" i="10"/>
  <c r="X268" i="10"/>
  <c r="Y268" i="10"/>
  <c r="G269" i="10"/>
  <c r="H269" i="10"/>
  <c r="I269" i="10"/>
  <c r="J269" i="10"/>
  <c r="K269" i="10"/>
  <c r="L269" i="10"/>
  <c r="T269" i="10"/>
  <c r="U269" i="10"/>
  <c r="V269" i="10"/>
  <c r="W269" i="10"/>
  <c r="X269" i="10"/>
  <c r="Y269" i="10"/>
  <c r="G270" i="10"/>
  <c r="H270" i="10"/>
  <c r="I270" i="10"/>
  <c r="J270" i="10"/>
  <c r="K270" i="10"/>
  <c r="L270" i="10"/>
  <c r="T270" i="10"/>
  <c r="U270" i="10"/>
  <c r="V270" i="10"/>
  <c r="W270" i="10"/>
  <c r="X270" i="10"/>
  <c r="Y270" i="10"/>
  <c r="G271" i="10"/>
  <c r="H271" i="10"/>
  <c r="I271" i="10"/>
  <c r="J271" i="10"/>
  <c r="K271" i="10"/>
  <c r="L271" i="10"/>
  <c r="T271" i="10"/>
  <c r="U271" i="10"/>
  <c r="V271" i="10"/>
  <c r="W271" i="10"/>
  <c r="X271" i="10"/>
  <c r="Y271" i="10"/>
  <c r="V2" i="1"/>
  <c r="V3" i="1"/>
  <c r="V12" i="1"/>
  <c r="V13" i="1"/>
  <c r="AB43" i="1"/>
  <c r="AD43" i="1"/>
  <c r="AG43" i="1"/>
  <c r="AE43" i="1"/>
  <c r="AC43" i="1"/>
  <c r="AA43" i="1"/>
  <c r="V43" i="1"/>
  <c r="Q43" i="1"/>
  <c r="P43" i="1"/>
  <c r="O43" i="1"/>
  <c r="N43" i="1"/>
  <c r="M43" i="1"/>
  <c r="H43" i="1"/>
  <c r="J43" i="1"/>
  <c r="I43" i="1"/>
  <c r="D43" i="1"/>
  <c r="F43" i="1"/>
  <c r="E43" i="1"/>
  <c r="A43" i="1"/>
  <c r="AB42" i="1"/>
  <c r="AD42" i="1"/>
  <c r="AG42" i="1"/>
  <c r="AE42" i="1"/>
  <c r="AC42" i="1"/>
  <c r="AA42" i="1"/>
  <c r="V42" i="1"/>
  <c r="Q42" i="1"/>
  <c r="P42" i="1"/>
  <c r="O42" i="1"/>
  <c r="N42" i="1"/>
  <c r="M42" i="1"/>
  <c r="H42" i="1"/>
  <c r="J42" i="1"/>
  <c r="I42" i="1"/>
  <c r="D42" i="1"/>
  <c r="F42" i="1"/>
  <c r="E42" i="1"/>
  <c r="A42" i="1"/>
  <c r="AB41" i="1"/>
  <c r="AD41" i="1"/>
  <c r="AG41" i="1"/>
  <c r="AE41" i="1"/>
  <c r="AC41" i="1"/>
  <c r="AA41" i="1"/>
  <c r="V41" i="1"/>
  <c r="Q41" i="1"/>
  <c r="P41" i="1"/>
  <c r="O41" i="1"/>
  <c r="N41" i="1"/>
  <c r="M41" i="1"/>
  <c r="H41" i="1"/>
  <c r="J41" i="1"/>
  <c r="I41" i="1"/>
  <c r="D41" i="1"/>
  <c r="F41" i="1"/>
  <c r="E41" i="1"/>
  <c r="A41" i="1"/>
  <c r="AB61" i="1"/>
  <c r="AD61" i="1"/>
  <c r="AG61" i="1"/>
  <c r="AE61" i="1"/>
  <c r="AC61" i="1"/>
  <c r="AA61" i="1"/>
  <c r="W61" i="1"/>
  <c r="V61" i="1"/>
  <c r="Q61" i="1"/>
  <c r="P61" i="1"/>
  <c r="O61" i="1"/>
  <c r="N61" i="1"/>
  <c r="M61" i="1"/>
  <c r="H61" i="1"/>
  <c r="J61" i="1"/>
  <c r="I61" i="1"/>
  <c r="D61" i="1"/>
  <c r="F61" i="1"/>
  <c r="E61" i="1"/>
  <c r="A61" i="1"/>
  <c r="AB60" i="1"/>
  <c r="AD60" i="1"/>
  <c r="AG60" i="1"/>
  <c r="AE60" i="1"/>
  <c r="AC60" i="1"/>
  <c r="AA60" i="1"/>
  <c r="W60" i="1"/>
  <c r="V60" i="1"/>
  <c r="Q60" i="1"/>
  <c r="P60" i="1"/>
  <c r="O60" i="1"/>
  <c r="N60" i="1"/>
  <c r="M60" i="1"/>
  <c r="H60" i="1"/>
  <c r="J60" i="1"/>
  <c r="I60" i="1"/>
  <c r="D60" i="1"/>
  <c r="F60" i="1"/>
  <c r="E60" i="1"/>
  <c r="A60" i="1"/>
  <c r="AB59" i="1"/>
  <c r="AD59" i="1"/>
  <c r="AG59" i="1"/>
  <c r="AE59" i="1"/>
  <c r="AC59" i="1"/>
  <c r="AA59" i="1"/>
  <c r="W59" i="1"/>
  <c r="V59" i="1"/>
  <c r="Q59" i="1"/>
  <c r="P59" i="1"/>
  <c r="O59" i="1"/>
  <c r="N59" i="1"/>
  <c r="M59" i="1"/>
  <c r="H59" i="1"/>
  <c r="J59" i="1"/>
  <c r="I59" i="1"/>
  <c r="D59" i="1"/>
  <c r="F59" i="1"/>
  <c r="E59" i="1"/>
  <c r="A59" i="1"/>
  <c r="AB58" i="1"/>
  <c r="AD58" i="1"/>
  <c r="AG58" i="1"/>
  <c r="AE58" i="1"/>
  <c r="AC58" i="1"/>
  <c r="AA58" i="1"/>
  <c r="W58" i="1"/>
  <c r="V58" i="1"/>
  <c r="Q58" i="1"/>
  <c r="P58" i="1"/>
  <c r="O58" i="1"/>
  <c r="N58" i="1"/>
  <c r="M58" i="1"/>
  <c r="H58" i="1"/>
  <c r="J58" i="1"/>
  <c r="I58" i="1"/>
  <c r="D58" i="1"/>
  <c r="F58" i="1"/>
  <c r="E58" i="1"/>
  <c r="A58" i="1"/>
  <c r="AB57" i="1"/>
  <c r="AD57" i="1"/>
  <c r="AG57" i="1"/>
  <c r="AE57" i="1"/>
  <c r="AC57" i="1"/>
  <c r="AA57" i="1"/>
  <c r="W57" i="1"/>
  <c r="V57" i="1"/>
  <c r="Q57" i="1"/>
  <c r="P57" i="1"/>
  <c r="O57" i="1"/>
  <c r="N57" i="1"/>
  <c r="M57" i="1"/>
  <c r="H57" i="1"/>
  <c r="J57" i="1"/>
  <c r="I57" i="1"/>
  <c r="D57" i="1"/>
  <c r="F57" i="1"/>
  <c r="E57" i="1"/>
  <c r="A57" i="1"/>
  <c r="AB56" i="1"/>
  <c r="AD56" i="1"/>
  <c r="AG56" i="1"/>
  <c r="AE56" i="1"/>
  <c r="AC56" i="1"/>
  <c r="AA56" i="1"/>
  <c r="W56" i="1"/>
  <c r="V56" i="1"/>
  <c r="Q56" i="1"/>
  <c r="P56" i="1"/>
  <c r="O56" i="1"/>
  <c r="N56" i="1"/>
  <c r="M56" i="1"/>
  <c r="H56" i="1"/>
  <c r="J56" i="1"/>
  <c r="I56" i="1"/>
  <c r="D56" i="1"/>
  <c r="F56" i="1"/>
  <c r="E56" i="1"/>
  <c r="A56" i="1"/>
  <c r="AB55" i="1"/>
  <c r="AD55" i="1"/>
  <c r="AG55" i="1"/>
  <c r="AE55" i="1"/>
  <c r="AC55" i="1"/>
  <c r="AA55" i="1"/>
  <c r="W55" i="1"/>
  <c r="V55" i="1"/>
  <c r="Q55" i="1"/>
  <c r="P55" i="1"/>
  <c r="O55" i="1"/>
  <c r="N55" i="1"/>
  <c r="M55" i="1"/>
  <c r="H55" i="1"/>
  <c r="J55" i="1"/>
  <c r="I55" i="1"/>
  <c r="D55" i="1"/>
  <c r="F55" i="1"/>
  <c r="E55" i="1"/>
  <c r="A55" i="1"/>
  <c r="AB54" i="1"/>
  <c r="AD54" i="1"/>
  <c r="AG54" i="1"/>
  <c r="AE54" i="1"/>
  <c r="AC54" i="1"/>
  <c r="AA54" i="1"/>
  <c r="W54" i="1"/>
  <c r="V54" i="1"/>
  <c r="Q54" i="1"/>
  <c r="P54" i="1"/>
  <c r="O54" i="1"/>
  <c r="N54" i="1"/>
  <c r="M54" i="1"/>
  <c r="H54" i="1"/>
  <c r="J54" i="1"/>
  <c r="I54" i="1"/>
  <c r="D54" i="1"/>
  <c r="F54" i="1"/>
  <c r="E54" i="1"/>
  <c r="A54" i="1"/>
  <c r="AB53" i="1"/>
  <c r="AD53" i="1"/>
  <c r="AG53" i="1"/>
  <c r="AE53" i="1"/>
  <c r="AC53" i="1"/>
  <c r="AA53" i="1"/>
  <c r="W53" i="1"/>
  <c r="V53" i="1"/>
  <c r="Q53" i="1"/>
  <c r="P53" i="1"/>
  <c r="O53" i="1"/>
  <c r="N53" i="1"/>
  <c r="M53" i="1"/>
  <c r="H53" i="1"/>
  <c r="J53" i="1"/>
  <c r="I53" i="1"/>
  <c r="D53" i="1"/>
  <c r="F53" i="1"/>
  <c r="E53" i="1"/>
  <c r="A53" i="1"/>
  <c r="AB47" i="1"/>
  <c r="AD47" i="1"/>
  <c r="AG47" i="1"/>
  <c r="AE47" i="1"/>
  <c r="AC47" i="1"/>
  <c r="AA47" i="1"/>
  <c r="V47" i="1"/>
  <c r="Q47" i="1"/>
  <c r="P47" i="1"/>
  <c r="O47" i="1"/>
  <c r="N47" i="1"/>
  <c r="H47" i="1"/>
  <c r="J47" i="1"/>
  <c r="I47" i="1"/>
  <c r="AB40" i="1"/>
  <c r="AD40" i="1"/>
  <c r="AG40" i="1"/>
  <c r="AE40" i="1"/>
  <c r="AC40" i="1"/>
  <c r="AA40" i="1"/>
  <c r="V40" i="1"/>
  <c r="Q40" i="1"/>
  <c r="P40" i="1"/>
  <c r="O40" i="1"/>
  <c r="N40" i="1"/>
  <c r="M40" i="1"/>
  <c r="H40" i="1"/>
  <c r="J40" i="1"/>
  <c r="I40" i="1"/>
  <c r="AB39" i="1"/>
  <c r="AD39" i="1"/>
  <c r="AG39" i="1"/>
  <c r="AE39" i="1"/>
  <c r="AC39" i="1"/>
  <c r="V39" i="1"/>
  <c r="Q39" i="1"/>
  <c r="P39" i="1"/>
  <c r="O39" i="1"/>
  <c r="N39" i="1"/>
  <c r="M39" i="1"/>
  <c r="H39" i="1"/>
  <c r="J39" i="1"/>
  <c r="I39" i="1"/>
  <c r="AB34" i="1"/>
  <c r="AD34" i="1"/>
  <c r="AG34" i="1"/>
  <c r="AE34" i="1"/>
  <c r="AC34" i="1"/>
  <c r="AA34" i="1"/>
  <c r="V34" i="1"/>
  <c r="Q34" i="1"/>
  <c r="P34" i="1"/>
  <c r="O34" i="1"/>
  <c r="N34" i="1"/>
  <c r="M34" i="1"/>
  <c r="H34" i="1"/>
  <c r="J34" i="1"/>
  <c r="I34" i="1"/>
  <c r="AB33" i="1"/>
  <c r="AD33" i="1"/>
  <c r="AG33" i="1"/>
  <c r="AE33" i="1"/>
  <c r="AC33" i="1"/>
  <c r="AA33" i="1"/>
  <c r="V33" i="1"/>
  <c r="Q33" i="1"/>
  <c r="P33" i="1"/>
  <c r="O33" i="1"/>
  <c r="N33" i="1"/>
  <c r="M33" i="1"/>
  <c r="H33" i="1"/>
  <c r="J33" i="1"/>
  <c r="I33" i="1"/>
  <c r="AB30" i="1"/>
  <c r="AD30" i="1"/>
  <c r="AG30" i="1"/>
  <c r="AE30" i="1"/>
  <c r="AC30" i="1"/>
  <c r="V30" i="1"/>
  <c r="Q30" i="1"/>
  <c r="P30" i="1"/>
  <c r="O30" i="1"/>
  <c r="N30" i="1"/>
  <c r="M30" i="1"/>
  <c r="H30" i="1"/>
  <c r="J30" i="1"/>
  <c r="I30" i="1"/>
  <c r="AB29" i="1"/>
  <c r="AD29" i="1"/>
  <c r="AG29" i="1"/>
  <c r="AE29" i="1"/>
  <c r="AC29" i="1"/>
  <c r="AA29" i="1"/>
  <c r="V29" i="1"/>
  <c r="Q29" i="1"/>
  <c r="P29" i="1"/>
  <c r="O29" i="1"/>
  <c r="N29" i="1"/>
  <c r="M29" i="1"/>
  <c r="H29" i="1"/>
  <c r="J29" i="1"/>
  <c r="I29" i="1"/>
  <c r="D47" i="1"/>
  <c r="F47" i="1"/>
  <c r="E47" i="1"/>
  <c r="A47" i="1"/>
  <c r="D40" i="1"/>
  <c r="F40" i="1"/>
  <c r="E40" i="1"/>
  <c r="A40" i="1"/>
  <c r="D39" i="1"/>
  <c r="F39" i="1"/>
  <c r="E39" i="1"/>
  <c r="A39" i="1"/>
  <c r="D34" i="1"/>
  <c r="F34" i="1"/>
  <c r="E34" i="1"/>
  <c r="A34" i="1"/>
  <c r="D33" i="1"/>
  <c r="F33" i="1"/>
  <c r="E33" i="1"/>
  <c r="A33" i="1"/>
  <c r="AB27" i="1"/>
  <c r="AD27" i="1"/>
  <c r="AG27" i="1"/>
  <c r="AE27" i="1"/>
  <c r="AC27" i="1"/>
  <c r="V27" i="1"/>
  <c r="Q27" i="1"/>
  <c r="P27" i="1"/>
  <c r="O27" i="1"/>
  <c r="N27" i="1"/>
  <c r="M27" i="1"/>
  <c r="H27" i="1"/>
  <c r="J27" i="1"/>
  <c r="I27" i="1"/>
  <c r="D27" i="1"/>
  <c r="F27" i="1"/>
  <c r="E27" i="1"/>
  <c r="A27" i="1"/>
  <c r="AB12" i="1"/>
  <c r="AD12" i="1"/>
  <c r="AG12" i="1"/>
  <c r="AE12" i="1"/>
  <c r="AC12" i="1"/>
  <c r="AA12" i="1"/>
  <c r="Q12" i="1"/>
  <c r="P12" i="1"/>
  <c r="O12" i="1"/>
  <c r="N12" i="1"/>
  <c r="M12" i="1"/>
  <c r="H12" i="1"/>
  <c r="J12" i="1"/>
  <c r="I12" i="1"/>
  <c r="D12" i="1"/>
  <c r="F12" i="1"/>
  <c r="E12" i="1"/>
  <c r="A12" i="1"/>
  <c r="AB13" i="1"/>
  <c r="AD13" i="1"/>
  <c r="AG13" i="1"/>
  <c r="AE13" i="1"/>
  <c r="AC13" i="1"/>
  <c r="Q13" i="1"/>
  <c r="P13" i="1"/>
  <c r="O13" i="1"/>
  <c r="N13" i="1"/>
  <c r="M13" i="1"/>
  <c r="H13" i="1"/>
  <c r="J13" i="1"/>
  <c r="I13" i="1"/>
  <c r="D13" i="1"/>
  <c r="F13" i="1"/>
  <c r="E13" i="1"/>
  <c r="A13" i="1"/>
  <c r="AB3" i="1"/>
  <c r="AD3" i="1"/>
  <c r="AG3" i="1"/>
  <c r="AE3" i="1"/>
  <c r="AC3" i="1"/>
  <c r="Q3" i="1"/>
  <c r="P3" i="1"/>
  <c r="O3" i="1"/>
  <c r="N3" i="1"/>
  <c r="M3" i="1"/>
  <c r="H3" i="1"/>
  <c r="J3" i="1"/>
  <c r="I3" i="1"/>
  <c r="D3" i="1"/>
  <c r="F3" i="1"/>
  <c r="E3" i="1"/>
  <c r="A3" i="1"/>
  <c r="AB28" i="1"/>
  <c r="AD28" i="1"/>
  <c r="AG28" i="1"/>
  <c r="AE28" i="1"/>
  <c r="AC28" i="1"/>
  <c r="V28" i="1"/>
  <c r="Q28" i="1"/>
  <c r="P28" i="1"/>
  <c r="O28" i="1"/>
  <c r="N28" i="1"/>
  <c r="M28" i="1"/>
  <c r="H28" i="1"/>
  <c r="J28" i="1"/>
  <c r="I28" i="1"/>
  <c r="D28" i="1"/>
  <c r="F28" i="1"/>
  <c r="E28" i="1"/>
  <c r="A28" i="1"/>
  <c r="AB26" i="1"/>
  <c r="AD26" i="1"/>
  <c r="AG26" i="1"/>
  <c r="AE26" i="1"/>
  <c r="AC26" i="1"/>
  <c r="AA26" i="1"/>
  <c r="V26" i="1"/>
  <c r="Q26" i="1"/>
  <c r="P26" i="1"/>
  <c r="O26" i="1"/>
  <c r="N26" i="1"/>
  <c r="M26" i="1"/>
  <c r="H26" i="1"/>
  <c r="J26" i="1"/>
  <c r="I26" i="1"/>
  <c r="D26" i="1"/>
  <c r="F26" i="1"/>
  <c r="E26" i="1"/>
  <c r="A26" i="1"/>
  <c r="AB15" i="1"/>
  <c r="AD15" i="1"/>
  <c r="AG15" i="1"/>
  <c r="AE15" i="1"/>
  <c r="AC15" i="1"/>
  <c r="AA15" i="1"/>
  <c r="V15" i="1"/>
  <c r="Q15" i="1"/>
  <c r="P15" i="1"/>
  <c r="O15" i="1"/>
  <c r="N15" i="1"/>
  <c r="M15" i="1"/>
  <c r="H15" i="1"/>
  <c r="J15" i="1"/>
  <c r="I15" i="1"/>
  <c r="D15" i="1"/>
  <c r="F15" i="1"/>
  <c r="E15" i="1"/>
  <c r="A15" i="1"/>
  <c r="AB14" i="1"/>
  <c r="AD14" i="1"/>
  <c r="AG14" i="1"/>
  <c r="AE14" i="1"/>
  <c r="AC14" i="1"/>
  <c r="V14" i="1"/>
  <c r="Q14" i="1"/>
  <c r="P14" i="1"/>
  <c r="O14" i="1"/>
  <c r="N14" i="1"/>
  <c r="H14" i="1"/>
  <c r="J14" i="1"/>
  <c r="I14" i="1"/>
  <c r="D14" i="1"/>
  <c r="F14" i="1"/>
  <c r="E14" i="1"/>
  <c r="A14" i="1"/>
  <c r="H14" i="2"/>
  <c r="E14" i="2"/>
  <c r="D14" i="2"/>
  <c r="H2" i="1"/>
  <c r="H16" i="1"/>
  <c r="H20" i="1"/>
  <c r="H24" i="1"/>
  <c r="H48" i="1"/>
  <c r="H49" i="1"/>
  <c r="H50" i="1"/>
  <c r="H51" i="1"/>
  <c r="H52" i="1"/>
  <c r="B14" i="2"/>
  <c r="H9" i="2"/>
  <c r="E9" i="2"/>
  <c r="D9" i="2"/>
  <c r="B9" i="2"/>
  <c r="H5" i="2"/>
  <c r="E5" i="2"/>
  <c r="D5" i="2"/>
  <c r="B5" i="2"/>
  <c r="H15" i="2"/>
  <c r="A4" i="7"/>
  <c r="D4" i="7"/>
  <c r="E4" i="7"/>
  <c r="F4" i="7"/>
  <c r="H4" i="7"/>
  <c r="I4" i="7"/>
  <c r="J4" i="7"/>
  <c r="N4" i="7"/>
  <c r="O4" i="7"/>
  <c r="P4" i="7"/>
  <c r="Q4" i="7"/>
  <c r="R4" i="7"/>
  <c r="W4" i="7"/>
  <c r="Y4" i="7"/>
  <c r="A3" i="7"/>
  <c r="D3" i="7"/>
  <c r="E3" i="7"/>
  <c r="F3" i="7"/>
  <c r="H3" i="7"/>
  <c r="I3" i="7"/>
  <c r="J3" i="7"/>
  <c r="N3" i="7"/>
  <c r="O3" i="7"/>
  <c r="P3" i="7"/>
  <c r="Q3" i="7"/>
  <c r="R3" i="7"/>
  <c r="W3" i="7"/>
  <c r="Y3" i="7"/>
  <c r="W48" i="1"/>
  <c r="W49" i="1"/>
  <c r="W50" i="1"/>
  <c r="W51" i="1"/>
  <c r="W52" i="1"/>
  <c r="AA16" i="1"/>
  <c r="A16" i="1"/>
  <c r="D16" i="1"/>
  <c r="E16" i="1"/>
  <c r="F16" i="1"/>
  <c r="I16" i="1"/>
  <c r="J16" i="1"/>
  <c r="M16" i="1"/>
  <c r="N16" i="1"/>
  <c r="O16" i="1"/>
  <c r="P16" i="1"/>
  <c r="Q16" i="1"/>
  <c r="V16" i="1"/>
  <c r="AB16" i="1"/>
  <c r="AC16" i="1"/>
  <c r="AD16" i="1"/>
  <c r="AE16" i="1"/>
  <c r="AG16" i="1"/>
  <c r="A20" i="1"/>
  <c r="D20" i="1"/>
  <c r="E20" i="1"/>
  <c r="F20" i="1"/>
  <c r="I20" i="1"/>
  <c r="J20" i="1"/>
  <c r="M20" i="1"/>
  <c r="N20" i="1"/>
  <c r="O20" i="1"/>
  <c r="P20" i="1"/>
  <c r="Q20" i="1"/>
  <c r="V20" i="1"/>
  <c r="AB20" i="1"/>
  <c r="AC20" i="1"/>
  <c r="AD20" i="1"/>
  <c r="AE20" i="1"/>
  <c r="AG20" i="1"/>
  <c r="AA24" i="1"/>
  <c r="A24" i="1"/>
  <c r="D24" i="1"/>
  <c r="E24" i="1"/>
  <c r="F24" i="1"/>
  <c r="I24" i="1"/>
  <c r="J24" i="1"/>
  <c r="M24" i="1"/>
  <c r="N24" i="1"/>
  <c r="O24" i="1"/>
  <c r="P24" i="1"/>
  <c r="Q24" i="1"/>
  <c r="V24" i="1"/>
  <c r="AB24" i="1"/>
  <c r="AC24" i="1"/>
  <c r="AD24" i="1"/>
  <c r="AE24" i="1"/>
  <c r="AG24" i="1"/>
  <c r="A29" i="1"/>
  <c r="D29" i="1"/>
  <c r="E29" i="1"/>
  <c r="F29" i="1"/>
  <c r="A30" i="1"/>
  <c r="D30" i="1"/>
  <c r="E30" i="1"/>
  <c r="F30" i="1"/>
  <c r="AA48" i="1"/>
  <c r="A48" i="1"/>
  <c r="D48" i="1"/>
  <c r="E48" i="1"/>
  <c r="F48" i="1"/>
  <c r="I48" i="1"/>
  <c r="J48" i="1"/>
  <c r="M48" i="1"/>
  <c r="N48" i="1"/>
  <c r="O48" i="1"/>
  <c r="P48" i="1"/>
  <c r="Q48" i="1"/>
  <c r="V48" i="1"/>
  <c r="AB48" i="1"/>
  <c r="AC48" i="1"/>
  <c r="AD48" i="1"/>
  <c r="AE48" i="1"/>
  <c r="AG48" i="1"/>
  <c r="AA49" i="1"/>
  <c r="A49" i="1"/>
  <c r="D49" i="1"/>
  <c r="E49" i="1"/>
  <c r="F49" i="1"/>
  <c r="I49" i="1"/>
  <c r="J49" i="1"/>
  <c r="M49" i="1"/>
  <c r="N49" i="1"/>
  <c r="O49" i="1"/>
  <c r="P49" i="1"/>
  <c r="Q49" i="1"/>
  <c r="V49" i="1"/>
  <c r="AB49" i="1"/>
  <c r="AC49" i="1"/>
  <c r="AD49" i="1"/>
  <c r="AE49" i="1"/>
  <c r="AG49" i="1"/>
  <c r="AA50" i="1"/>
  <c r="A50" i="1"/>
  <c r="D50" i="1"/>
  <c r="E50" i="1"/>
  <c r="F50" i="1"/>
  <c r="I50" i="1"/>
  <c r="J50" i="1"/>
  <c r="M50" i="1"/>
  <c r="N50" i="1"/>
  <c r="O50" i="1"/>
  <c r="P50" i="1"/>
  <c r="Q50" i="1"/>
  <c r="V50" i="1"/>
  <c r="AB50" i="1"/>
  <c r="AC50" i="1"/>
  <c r="AD50" i="1"/>
  <c r="AE50" i="1"/>
  <c r="AG50" i="1"/>
  <c r="AA51" i="1"/>
  <c r="A51" i="1"/>
  <c r="D51" i="1"/>
  <c r="E51" i="1"/>
  <c r="F51" i="1"/>
  <c r="I51" i="1"/>
  <c r="J51" i="1"/>
  <c r="M51" i="1"/>
  <c r="N51" i="1"/>
  <c r="O51" i="1"/>
  <c r="P51" i="1"/>
  <c r="Q51" i="1"/>
  <c r="V51" i="1"/>
  <c r="AB51" i="1"/>
  <c r="AC51" i="1"/>
  <c r="AD51" i="1"/>
  <c r="AE51" i="1"/>
  <c r="AG51" i="1"/>
  <c r="AA52" i="1"/>
  <c r="A52" i="1"/>
  <c r="D52" i="1"/>
  <c r="E52" i="1"/>
  <c r="F52" i="1"/>
  <c r="I52" i="1"/>
  <c r="J52" i="1"/>
  <c r="M52" i="1"/>
  <c r="N52" i="1"/>
  <c r="O52" i="1"/>
  <c r="P52" i="1"/>
  <c r="Q52" i="1"/>
  <c r="V52" i="1"/>
  <c r="AB52" i="1"/>
  <c r="AC52" i="1"/>
  <c r="AD52" i="1"/>
  <c r="AE52" i="1"/>
  <c r="AG52" i="1"/>
  <c r="B17" i="2"/>
  <c r="D17" i="2"/>
  <c r="E17" i="2"/>
  <c r="H17" i="2"/>
  <c r="B18" i="2"/>
  <c r="D18" i="2"/>
  <c r="E18" i="2"/>
  <c r="H18" i="2"/>
  <c r="B19" i="2"/>
  <c r="D19" i="2"/>
  <c r="E19" i="2"/>
  <c r="H19" i="2"/>
  <c r="B3" i="2"/>
  <c r="D3" i="2"/>
  <c r="E3" i="2"/>
  <c r="H3" i="2"/>
  <c r="B4" i="2"/>
  <c r="D4" i="2"/>
  <c r="E4" i="2"/>
  <c r="H4" i="2"/>
  <c r="B6" i="2"/>
  <c r="D6" i="2"/>
  <c r="E6" i="2"/>
  <c r="H6" i="2"/>
  <c r="B7" i="2"/>
  <c r="D7" i="2"/>
  <c r="E7" i="2"/>
  <c r="H7" i="2"/>
  <c r="B8" i="2"/>
  <c r="D8" i="2"/>
  <c r="E8" i="2"/>
  <c r="H8" i="2"/>
  <c r="B10" i="2"/>
  <c r="D10" i="2"/>
  <c r="E10" i="2"/>
  <c r="H10" i="2"/>
  <c r="B11" i="2"/>
  <c r="D11" i="2"/>
  <c r="E11" i="2"/>
  <c r="H11" i="2"/>
  <c r="B12" i="2"/>
  <c r="D12" i="2"/>
  <c r="E12" i="2"/>
  <c r="H12" i="2"/>
  <c r="B13" i="2"/>
  <c r="D13" i="2"/>
  <c r="E13" i="2"/>
  <c r="H13" i="2"/>
  <c r="B15" i="2"/>
  <c r="D15" i="2"/>
  <c r="E15" i="2"/>
  <c r="B16" i="2"/>
  <c r="D16" i="2"/>
  <c r="E16" i="2"/>
  <c r="H16" i="2"/>
  <c r="C12" i="16"/>
  <c r="E12" i="16"/>
  <c r="C10" i="16"/>
  <c r="C11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Y2" i="7"/>
  <c r="C4" i="16"/>
  <c r="C5" i="16"/>
  <c r="C6" i="16"/>
  <c r="C7" i="16"/>
  <c r="C8" i="16"/>
  <c r="C9" i="16"/>
  <c r="C3" i="16"/>
  <c r="E9" i="16"/>
  <c r="W2" i="7"/>
  <c r="R2" i="7"/>
  <c r="Q2" i="7"/>
  <c r="P2" i="7"/>
  <c r="O2" i="7"/>
  <c r="N2" i="7"/>
  <c r="AB2" i="1"/>
  <c r="AE2" i="1"/>
  <c r="AD2" i="1"/>
  <c r="AC2" i="1"/>
  <c r="AA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8" i="16"/>
  <c r="E7" i="16"/>
  <c r="E6" i="16"/>
  <c r="E5" i="16"/>
  <c r="E4" i="16"/>
  <c r="E3" i="16"/>
  <c r="E2" i="16"/>
  <c r="A2" i="1"/>
  <c r="A2" i="9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<sst xmlns="http://schemas.openxmlformats.org/spreadsheetml/2006/main" count="2326" uniqueCount="480">
  <si>
    <t>quest_id</t>
  </si>
  <si>
    <t>stage_id</t>
  </si>
  <si>
    <t>character_id</t>
  </si>
  <si>
    <t>level</t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</si>
  <si>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</si>
  <si>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</si>
  <si>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</si>
  <si>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</si>
  <si>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</si>
  <si>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</si>
  <si>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</si>
  <si>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</si>
  <si>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</si>
  <si>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</si>
  <si>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</si>
  <si>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</si>
  <si>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</si>
  <si>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</si>
  <si>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</si>
  <si>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</si>
  <si>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</si>
  <si>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</si>
  <si>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</si>
  <si>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</si>
  <si>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</si>
  <si>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</si>
  <si>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</si>
  <si>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</si>
  <si>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</si>
  <si>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</si>
  <si>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</si>
  <si>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</si>
  <si>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</si>
  <si>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</si>
  <si>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</si>
  <si>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</si>
  <si>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</si>
  <si>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</si>
  <si>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</si>
  <si>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</si>
  <si>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</si>
  <si>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</si>
  <si>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</si>
  <si>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</si>
  <si>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</si>
  <si>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</si>
  <si>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</si>
  <si>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</si>
  <si>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</si>
  <si>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</si>
  <si>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</si>
  <si>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</si>
  <si>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</si>
  <si>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</si>
  <si>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</si>
  <si>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</si>
  <si>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</si>
  <si>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</si>
  <si>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</si>
  <si>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</si>
  <si>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</si>
  <si>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</si>
  <si>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</si>
  <si>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</si>
  <si>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</si>
  <si>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</si>
  <si>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</si>
  <si>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</si>
  <si>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</si>
  <si>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</si>
  <si>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</si>
  <si>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</si>
  <si>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</si>
  <si>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</si>
  <si>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</si>
  <si>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</si>
  <si>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</si>
  <si>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</si>
  <si>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</si>
  <si>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</si>
  <si>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</si>
  <si>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</si>
  <si>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回復</t>
    <rPh sb="0" eb="2">
      <t>カイフク</t>
    </rPh>
    <phoneticPr fontId="5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</si>
  <si>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</si>
  <si>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</si>
  <si>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</si>
  <si>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</si>
  <si>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</si>
  <si>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</si>
  <si>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</si>
  <si>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</si>
  <si>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</si>
  <si>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</si>
  <si>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</si>
  <si>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</si>
  <si>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</si>
  <si>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</si>
  <si>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</si>
  <si>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</si>
  <si>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</si>
  <si>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</si>
  <si>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</si>
  <si>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</si>
  <si>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</si>
  <si>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</si>
  <si>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</si>
  <si>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</si>
  <si>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</si>
  <si>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</si>
  <si>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</si>
  <si>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</si>
  <si>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</si>
  <si>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</si>
  <si>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</si>
  <si>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</si>
  <si>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</si>
  <si>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</si>
  <si>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</si>
  <si>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</si>
  <si>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</si>
  <si>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</si>
  <si>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</si>
  <si>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</si>
  <si>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</si>
  <si>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</si>
  <si>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</si>
  <si>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</si>
  <si>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</si>
  <si>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</si>
  <si>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</si>
  <si>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</si>
  <si>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</si>
  <si>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</si>
  <si>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</si>
  <si>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</si>
  <si>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</si>
  <si>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</si>
  <si>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</si>
  <si>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</si>
  <si>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</si>
  <si>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</si>
  <si>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</si>
  <si>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</si>
  <si>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</si>
  <si>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</si>
  <si>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</si>
  <si>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</si>
  <si>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</si>
  <si>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</si>
  <si>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</si>
  <si>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</si>
  <si>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</si>
  <si>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</si>
  <si>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</si>
  <si>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</si>
  <si>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</si>
  <si>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</si>
  <si>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</si>
  <si>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</si>
  <si>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</si>
  <si>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</si>
  <si>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</si>
  <si>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</si>
  <si>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</si>
  <si>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</si>
  <si>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</si>
  <si>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</si>
  <si>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</si>
  <si>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</si>
  <si>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</si>
  <si>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</si>
  <si>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</si>
  <si>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</si>
  <si>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</si>
  <si>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</si>
  <si>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</si>
  <si>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</si>
  <si>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</si>
  <si>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</si>
  <si>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</si>
  <si>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</si>
  <si>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</si>
  <si>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</si>
  <si>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</si>
  <si>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</si>
  <si>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</si>
  <si>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</si>
  <si>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</si>
  <si>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</si>
  <si>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</si>
  <si>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</si>
  <si>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</si>
  <si>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</si>
  <si>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</si>
  <si>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</si>
  <si>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</si>
  <si>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</si>
  <si>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攻略のヒント</t>
    <rPh sb="0" eb="2">
      <t>コウリャク</t>
    </rPh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</si>
  <si>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</si>
  <si>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</si>
  <si>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</si>
  <si>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</si>
  <si>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</si>
  <si>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</si>
  <si>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</si>
  <si>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</si>
  <si>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</si>
  <si>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</si>
  <si>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</si>
  <si>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null</t>
    <phoneticPr fontId="5"/>
  </si>
  <si>
    <t>old</t>
    <phoneticPr fontId="5"/>
  </si>
  <si>
    <t>4-1エネミー１</t>
  </si>
  <si>
    <t>4-1エネミー２</t>
  </si>
  <si>
    <t>4-1エネミー３</t>
  </si>
  <si>
    <t>4-1エネミー４</t>
  </si>
  <si>
    <t>4-2エネミー１</t>
  </si>
  <si>
    <t>4-2エネミー２</t>
  </si>
  <si>
    <t>4-2エネミー３</t>
  </si>
  <si>
    <t>4-2エネミー４</t>
  </si>
  <si>
    <t>4-3エネミー１</t>
  </si>
  <si>
    <t>4-3エネミー２</t>
  </si>
  <si>
    <t>4-3エネミー３</t>
  </si>
  <si>
    <t>4-3エネミー４</t>
  </si>
  <si>
    <t>4-4エネミー１</t>
  </si>
  <si>
    <t>4-4エネミー２</t>
  </si>
  <si>
    <t>4-4エネミー３</t>
  </si>
  <si>
    <t>4-4エネミー４</t>
  </si>
  <si>
    <t>4-5エネミー３</t>
  </si>
  <si>
    <t>[effect:nothing]</t>
    <phoneticPr fontId="5"/>
  </si>
  <si>
    <t>[effect:nothing]</t>
    <phoneticPr fontId="5"/>
  </si>
  <si>
    <t>仮スキル</t>
    <phoneticPr fontId="5"/>
  </si>
  <si>
    <t>エキドナ</t>
    <phoneticPr fontId="5"/>
  </si>
  <si>
    <t>[effect:crash_condition, target:unit_all, val:2, turn:3, animation:enemy_crash_extend]</t>
    <phoneticPr fontId="5"/>
  </si>
  <si>
    <t>[effect:dark, target:unit_all, turn:3, animation:enemy_dark]</t>
    <phoneticPr fontId="5"/>
  </si>
  <si>
    <t>[effect:time_limit, target:unit_one, count:10, turn:3, animation:enemy_time_limit]</t>
    <phoneticPr fontId="5"/>
  </si>
  <si>
    <t>全体攻撃</t>
    <rPh sb="0" eb="4">
      <t>ゼンタイコウゲキ</t>
    </rPh>
    <phoneticPr fontId="5"/>
  </si>
  <si>
    <t>[effect:rush, count:2, val:0.3]</t>
    <phoneticPr fontId="5"/>
  </si>
  <si>
    <t>[effect:spread, val:0.2]</t>
    <phoneticPr fontId="5"/>
  </si>
  <si>
    <t>連続攻撃</t>
    <rPh sb="0" eb="2">
      <t>レンゾク</t>
    </rPh>
    <rPh sb="2" eb="4">
      <t>コウゲキ</t>
    </rPh>
    <phoneticPr fontId="5"/>
  </si>
  <si>
    <t>[effect:nothing]</t>
  </si>
  <si>
    <t>[effect:break_heal_ratio, val:0.04, lowest_val:5000, count:-1, block:block_blue, target:myself, animation:enemy_heal]</t>
    <phoneticPr fontId="5"/>
  </si>
  <si>
    <t>アルフヘイム１</t>
    <phoneticPr fontId="5"/>
  </si>
  <si>
    <t>ユミル２</t>
    <phoneticPr fontId="5"/>
  </si>
  <si>
    <t>ユミル１</t>
    <phoneticPr fontId="5"/>
  </si>
  <si>
    <t>アルフヘイム２</t>
    <phoneticPr fontId="5"/>
  </si>
  <si>
    <t>ja</t>
    <phoneticPr fontId="5"/>
  </si>
  <si>
    <t>4-2エネミー１</t>
    <phoneticPr fontId="5"/>
  </si>
  <si>
    <t>4-2エネミー２</t>
    <phoneticPr fontId="5"/>
  </si>
  <si>
    <t>4-2エネミー３</t>
    <phoneticPr fontId="5"/>
  </si>
  <si>
    <t>4-2エネミー４</t>
    <phoneticPr fontId="5"/>
  </si>
  <si>
    <t>4-2エネミー４</t>
    <phoneticPr fontId="5"/>
  </si>
  <si>
    <t>アルフヘイム３</t>
  </si>
  <si>
    <t>属性を青に変更</t>
    <rPh sb="0" eb="2">
      <t>ゾクセイ</t>
    </rPh>
    <rPh sb="3" eb="4">
      <t>アオ</t>
    </rPh>
    <rPh sb="5" eb="7">
      <t>ヘンコウ</t>
    </rPh>
    <phoneticPr fontId="5"/>
  </si>
  <si>
    <t>属性を赤に変更</t>
    <rPh sb="0" eb="2">
      <t>ゾクセイ</t>
    </rPh>
    <rPh sb="3" eb="4">
      <t>アカ</t>
    </rPh>
    <rPh sb="5" eb="7">
      <t>ヘンコウ</t>
    </rPh>
    <phoneticPr fontId="5"/>
  </si>
  <si>
    <t>[effect:spread, val:0.3]</t>
    <phoneticPr fontId="5"/>
  </si>
  <si>
    <t>タイチ</t>
  </si>
  <si>
    <t>行灯達磨 タイチ</t>
  </si>
  <si>
    <t>バショー</t>
  </si>
  <si>
    <t>夢幻俳聖 バショー</t>
  </si>
  <si>
    <t>森のケロケロ</t>
  </si>
  <si>
    <t>雷のケロケロ</t>
  </si>
  <si>
    <t>黄槌のレジスタンス マミコ</t>
  </si>
  <si>
    <t>蒼昇刃姫 トモエ</t>
  </si>
  <si>
    <t>蒼術兎忍 影丸</t>
  </si>
  <si>
    <t>コウネン　R4</t>
  </si>
  <si>
    <t>狂喜の賢者 ユノ</t>
  </si>
  <si>
    <t>ケルベロス</t>
  </si>
  <si>
    <t>ベヒモス</t>
  </si>
  <si>
    <t>影丸</t>
  </si>
  <si>
    <t>コウネン</t>
  </si>
  <si>
    <t>エキドナ</t>
  </si>
  <si>
    <t>ピーターパン</t>
  </si>
  <si>
    <t>ユミル１</t>
  </si>
  <si>
    <t>ユミル２</t>
  </si>
  <si>
    <t>アルフヘイム１</t>
  </si>
  <si>
    <t>アルフヘイム２</t>
  </si>
  <si>
    <t>フリーズパネル</t>
  </si>
  <si>
    <t>クリティカル！</t>
  </si>
  <si>
    <t>クリティカル！</t>
    <phoneticPr fontId="5"/>
  </si>
  <si>
    <t>[effect:spread, val:0.3]</t>
    <phoneticPr fontId="5"/>
  </si>
  <si>
    <t>[effect:heal, target:enemy_one, val:0.5, animation:enemy_heal]</t>
    <phoneticPr fontId="5"/>
  </si>
  <si>
    <t>[effect:critical, val:1.2]</t>
    <phoneticPr fontId="5"/>
  </si>
  <si>
    <t>null</t>
  </si>
  <si>
    <t>暴れる</t>
    <rPh sb="0" eb="1">
      <t>アバ</t>
    </rPh>
    <phoneticPr fontId="5"/>
  </si>
  <si>
    <t>鳴き声</t>
    <rPh sb="0" eb="1">
      <t>ナ</t>
    </rPh>
    <rPh sb="2" eb="3">
      <t>ゴエ</t>
    </rPh>
    <phoneticPr fontId="5"/>
  </si>
  <si>
    <t>囁き</t>
    <rPh sb="0" eb="1">
      <t>ササヤ</t>
    </rPh>
    <phoneticPr fontId="5"/>
  </si>
  <si>
    <t>煙玉</t>
    <rPh sb="0" eb="2">
      <t>ケムリダマ</t>
    </rPh>
    <phoneticPr fontId="5"/>
  </si>
  <si>
    <t>投げナイフ</t>
    <rPh sb="0" eb="1">
      <t>ナ</t>
    </rPh>
    <phoneticPr fontId="5"/>
  </si>
  <si>
    <t>跳躍</t>
    <rPh sb="0" eb="2">
      <t>チョウヤク</t>
    </rPh>
    <phoneticPr fontId="5"/>
  </si>
  <si>
    <t>オーラ放出</t>
    <rPh sb="3" eb="5">
      <t>ホウシュツ</t>
    </rPh>
    <phoneticPr fontId="5"/>
  </si>
  <si>
    <t>強打</t>
    <rPh sb="0" eb="2">
      <t>キョウダ</t>
    </rPh>
    <phoneticPr fontId="5"/>
  </si>
  <si>
    <t>パネルを吸収し守りを固めた</t>
    <rPh sb="4" eb="6">
      <t>キュウシュウ</t>
    </rPh>
    <rPh sb="7" eb="8">
      <t>マモ</t>
    </rPh>
    <rPh sb="10" eb="11">
      <t>カタ</t>
    </rPh>
    <phoneticPr fontId="5"/>
  </si>
  <si>
    <t>パネルを吸収し体力を回復した</t>
    <rPh sb="4" eb="6">
      <t>キュウシュウ</t>
    </rPh>
    <rPh sb="7" eb="9">
      <t>タイリョク</t>
    </rPh>
    <rPh sb="10" eb="12">
      <t>カイフク</t>
    </rPh>
    <phoneticPr fontId="5"/>
  </si>
  <si>
    <t>振りかぶり</t>
    <rPh sb="0" eb="1">
      <t>フ</t>
    </rPh>
    <phoneticPr fontId="5"/>
  </si>
  <si>
    <t>守りを固めた</t>
    <rPh sb="0" eb="1">
      <t>マモ</t>
    </rPh>
    <rPh sb="3" eb="4">
      <t>カタ</t>
    </rPh>
    <phoneticPr fontId="5"/>
  </si>
  <si>
    <t>振りかぶり</t>
    <rPh sb="0" eb="1">
      <t>フ</t>
    </rPh>
    <phoneticPr fontId="5"/>
  </si>
  <si>
    <t>気色変化</t>
    <rPh sb="0" eb="1">
      <t>キ</t>
    </rPh>
    <rPh sb="1" eb="2">
      <t>イロ</t>
    </rPh>
    <rPh sb="2" eb="4">
      <t>ヘンカ</t>
    </rPh>
    <phoneticPr fontId="5"/>
  </si>
  <si>
    <t>光を放った</t>
    <rPh sb="0" eb="1">
      <t>ヒカリ</t>
    </rPh>
    <rPh sb="2" eb="3">
      <t>ハナ</t>
    </rPh>
    <phoneticPr fontId="5"/>
  </si>
  <si>
    <t>冷気を放出した</t>
    <rPh sb="0" eb="2">
      <t>レイキ</t>
    </rPh>
    <rPh sb="3" eb="5">
      <t>ホウシュツ</t>
    </rPh>
    <phoneticPr fontId="5"/>
  </si>
  <si>
    <t>光を吸収した</t>
    <rPh sb="0" eb="1">
      <t>ヒカリ</t>
    </rPh>
    <rPh sb="2" eb="4">
      <t>キュウシュウ</t>
    </rPh>
    <phoneticPr fontId="5"/>
  </si>
  <si>
    <t>complete</t>
  </si>
  <si>
    <t>ja</t>
    <phoneticPr fontId="5"/>
  </si>
  <si>
    <t>NULL</t>
    <phoneticPr fontId="5"/>
  </si>
  <si>
    <t>NULL</t>
    <phoneticPr fontId="5"/>
  </si>
  <si>
    <t>ja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</si>
  <si>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</si>
  <si>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</si>
  <si>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</si>
  <si>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</si>
  <si>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NULL</t>
    <phoneticPr fontId="5"/>
  </si>
  <si>
    <t>ja</t>
    <phoneticPr fontId="5"/>
  </si>
  <si>
    <t>ja</t>
    <phoneticPr fontId="5"/>
  </si>
  <si>
    <t>ja</t>
    <phoneticPr fontId="5"/>
  </si>
  <si>
    <t>NULL</t>
    <phoneticPr fontId="5"/>
  </si>
  <si>
    <t>ja</t>
    <phoneticPr fontId="5"/>
  </si>
  <si>
    <t>ja</t>
    <phoneticPr fontId="5"/>
  </si>
  <si>
    <t>NULL</t>
    <phoneticPr fontId="5"/>
  </si>
  <si>
    <t>NULL</t>
    <phoneticPr fontId="5"/>
  </si>
  <si>
    <t>NULL</t>
    <phoneticPr fontId="5"/>
  </si>
  <si>
    <t>ja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</si>
  <si>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</si>
  <si>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</si>
  <si>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</si>
  <si>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</si>
  <si>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ピーターパン</t>
    <phoneticPr fontId="5"/>
  </si>
  <si>
    <t>ユミルは体力が高い上に
防御力上昇や体力回復スキルを使用します
強力な攻撃スキルで挑みましょう</t>
    <phoneticPr fontId="5"/>
  </si>
  <si>
    <t>アルフヘイムの属性は
ゲージが切り替わる度に変化します
不利な局面はフィーバーで乗り切りましょう</t>
    <phoneticPr fontId="5"/>
  </si>
  <si>
    <t>アルフヘイムの体力1ゲージ目は
カウンタースキルを使用します
効果中は攻撃を行わないようにしましょう</t>
    <phoneticPr fontId="5"/>
  </si>
  <si>
    <t>アルフヘイムの体力2ゲージ目は
時限爆弾スキルを使用します
対応出来ない時はフィーバーで消しましょう</t>
    <phoneticPr fontId="5"/>
  </si>
  <si>
    <t>アルフヘイムの体力3ゲージ目は
フリーズパネルのスキルを使用します
スキルやフィーバーで乗り切りましょう</t>
    <phoneticPr fontId="5"/>
  </si>
  <si>
    <t>[effect:remove_enhancement, target:unit_all, target_effect:all, target_type:debuff, count:-1, animation:frozen_wave]</t>
  </si>
  <si>
    <t>[effect:remove_enhancement, target:unit_all, target_effect:all, target_type:debuff, count:-1, animation:frozen_wave]</t>
    <phoneticPr fontId="5"/>
  </si>
  <si>
    <t>ホトケノジヒ</t>
  </si>
  <si>
    <t>全ユニットの状態異常を解除してくれた</t>
    <rPh sb="0" eb="1">
      <t>スベ</t>
    </rPh>
    <rPh sb="6" eb="8">
      <t>ジョウタイ</t>
    </rPh>
    <rPh sb="8" eb="10">
      <t>ijou</t>
    </rPh>
    <rPh sb="11" eb="13">
      <t>カイジョ</t>
    </rPh>
    <phoneticPr fontId="5"/>
  </si>
  <si>
    <t>[effect:dis_heart, turn:3, animation:enemy_dis_heart]</t>
  </si>
  <si>
    <t>ja</t>
  </si>
  <si>
    <t>封印の詠</t>
    <rPh sb="0" eb="2">
      <t>フウイン</t>
    </rPh>
    <rPh sb="3" eb="4">
      <t>ウタ</t>
    </rPh>
    <phoneticPr fontId="5"/>
  </si>
  <si>
    <t xml:space="preserve">[effect:break_attack, val:0.05, lowest_val:0, count:8, block:block_red, target:unit_all]    </t>
  </si>
  <si>
    <t>ダルマフォール</t>
  </si>
  <si>
    <t xml:space="preserve">[effect:break_attack, val:0.05, lowest_val:0, count:8, block:block_blue, target:unit_all]    </t>
  </si>
  <si>
    <t xml:space="preserve">[effect:break_attack, val:0.05, lowest_val:0, count:8, block:block_blue, target:unit_all]    </t>
    <phoneticPr fontId="5"/>
  </si>
  <si>
    <t>[effect:damage_anti_abnormal, target:unit_all, target_effect01:hungup, val1:0.3, val2:0.1]</t>
    <phoneticPr fontId="5"/>
  </si>
  <si>
    <t>技禁退散</t>
    <rPh sb="0" eb="1">
      <t>ワザ</t>
    </rPh>
    <rPh sb="1" eb="2">
      <t>キンシ</t>
    </rPh>
    <phoneticPr fontId="5"/>
  </si>
  <si>
    <t>スキルバインド状態のユニットに大ダメージ</t>
    <phoneticPr fontId="5"/>
  </si>
  <si>
    <t>スキルバインド</t>
  </si>
  <si>
    <t xml:space="preserve">[effect:damage_anti_abnormal, target:unit_all, target_effect01:virus, val1:1.6, val2:0.8]    </t>
  </si>
  <si>
    <t>悪病退散</t>
    <rPh sb="0" eb="1">
      <t>アク</t>
    </rPh>
    <rPh sb="1" eb="2">
      <t>ヤマイ</t>
    </rPh>
    <rPh sb="2" eb="4">
      <t>タイサン</t>
    </rPh>
    <phoneticPr fontId="5"/>
  </si>
  <si>
    <t>ウィルス状態のユニットに大ダメージ</t>
    <rPh sb="4" eb="6">
      <t>ジョウタイ</t>
    </rPh>
    <rPh sb="12" eb="13">
      <t>ダイ</t>
    </rPh>
    <phoneticPr fontId="5"/>
  </si>
  <si>
    <t>悪病拡散</t>
    <rPh sb="0" eb="2">
      <t>アクビョウ</t>
    </rPh>
    <rPh sb="2" eb="4">
      <t>カクサン</t>
    </rPh>
    <phoneticPr fontId="5"/>
  </si>
  <si>
    <t>絶対技禁</t>
    <rPh sb="0" eb="2">
      <t>ゼッタイ</t>
    </rPh>
    <rPh sb="2" eb="3">
      <t>ワザ</t>
    </rPh>
    <rPh sb="3" eb="4">
      <t>キンシ</t>
    </rPh>
    <phoneticPr fontId="5"/>
  </si>
  <si>
    <t>[effect:dis_heart, turn:4, animation:enemy_dis_heart]</t>
  </si>
  <si>
    <t>[effect:dis_heart, turn:4, animation:enemy_dis_heart]</t>
    <phoneticPr fontId="5"/>
  </si>
  <si>
    <t>スキルバインド状態のユニットに大ダメージ</t>
  </si>
  <si>
    <t>null</t>
    <phoneticPr fontId="5"/>
  </si>
  <si>
    <t>赤パネルの破壊数によりダメージ増加</t>
  </si>
  <si>
    <t>全体攻撃</t>
  </si>
  <si>
    <t>3ターンハート無効</t>
  </si>
  <si>
    <t>回復</t>
  </si>
  <si>
    <t>全ユニットの状態異常を解除してくれた</t>
  </si>
  <si>
    <t>Cパネルの生成が延長</t>
  </si>
  <si>
    <t>暗闇</t>
  </si>
  <si>
    <t>タップに制限時間</t>
  </si>
  <si>
    <t>連続攻撃</t>
  </si>
  <si>
    <t>青パネルの破壊数によりダメージ増加</t>
  </si>
  <si>
    <t>4ターンハート無効</t>
  </si>
  <si>
    <t>青パネル破壊＋防御力上昇</t>
  </si>
  <si>
    <t>青パネル破壊＋体力回復</t>
  </si>
  <si>
    <t>ウィルス状態のユニットに大ダメージ</t>
  </si>
  <si>
    <t>1ターンカウンター効果</t>
  </si>
  <si>
    <t>属性を青に変更</t>
  </si>
  <si>
    <t>時限爆弾</t>
  </si>
  <si>
    <t>属性を赤に変更</t>
  </si>
  <si>
    <t>ボム変換禁止</t>
  </si>
  <si>
    <t>null</t>
    <phoneticPr fontId="5"/>
  </si>
  <si>
    <t>ウィルス</t>
    <phoneticPr fontId="5"/>
  </si>
  <si>
    <t xml:space="preserve">[effect:break_attack, val:0.05, lowest_val:0, count:8, block:block_red, target:unit_all]    </t>
    <phoneticPr fontId="5"/>
  </si>
  <si>
    <t>[effect:hungup, target:unit_all, turn:5, rate:1, animation:hungup01]</t>
    <phoneticPr fontId="5"/>
  </si>
  <si>
    <t>5ターンスキルバインド</t>
    <phoneticPr fontId="5"/>
  </si>
  <si>
    <t>5ターンウィルス</t>
    <phoneticPr fontId="5"/>
  </si>
  <si>
    <t>null</t>
    <phoneticPr fontId="5"/>
  </si>
  <si>
    <t>[effect:change_block, new_block:time_bomb, target:block_all, count:4, val:0.3, animation:change_block]</t>
    <phoneticPr fontId="5"/>
  </si>
  <si>
    <t>[effect:break_enchance_enemy, val:0.04, lowest_val:0.08, count :-1, status:defense, turn:2, block:block_blue, target:myself, calc:mul, animation:enemy_enhance_defense]</t>
    <phoneticPr fontId="5"/>
  </si>
  <si>
    <t>null</t>
    <phoneticPr fontId="5"/>
  </si>
  <si>
    <t>unit</t>
    <phoneticPr fontId="5"/>
  </si>
  <si>
    <t>link</t>
    <phoneticPr fontId="5"/>
  </si>
  <si>
    <t>3ターンハートパネルが使えない！</t>
    <phoneticPr fontId="5"/>
  </si>
  <si>
    <t>3ターンCパネル生成延長</t>
    <phoneticPr fontId="5"/>
  </si>
  <si>
    <t>3ターンの間パネルの色が分からなくなる！</t>
    <phoneticPr fontId="5"/>
  </si>
  <si>
    <t>3ターンタップ時間を制限【10秒】</t>
    <phoneticPr fontId="5"/>
  </si>
  <si>
    <t>3ターンハートパネルが使えない！</t>
    <phoneticPr fontId="5"/>
  </si>
  <si>
    <t>4ターンハートパネルが使えない！</t>
    <phoneticPr fontId="5"/>
  </si>
  <si>
    <t>4ターンハートパネルが使えない！</t>
    <phoneticPr fontId="5"/>
  </si>
  <si>
    <t>赤パネル吸収攻撃</t>
    <phoneticPr fontId="5"/>
  </si>
  <si>
    <t>青パネル吸収攻撃</t>
    <rPh sb="0" eb="1">
      <t>アオ</t>
    </rPh>
    <phoneticPr fontId="5"/>
  </si>
  <si>
    <t>青パネルを吸収して2ターン防御力UP</t>
    <phoneticPr fontId="5"/>
  </si>
  <si>
    <t>青パネルを吸収して体力回復</t>
    <rPh sb="0" eb="1">
      <t>アオ</t>
    </rPh>
    <rPh sb="5" eb="7">
      <t>キュウシュウ</t>
    </rPh>
    <rPh sb="9" eb="13">
      <t>タイリョクカイフク</t>
    </rPh>
    <phoneticPr fontId="5"/>
  </si>
  <si>
    <t>赤パネル吸収攻撃</t>
    <rPh sb="0" eb="1">
      <t>アカ</t>
    </rPh>
    <phoneticPr fontId="5"/>
  </si>
  <si>
    <t>4ターンハートパネルが使えない！</t>
    <phoneticPr fontId="5"/>
  </si>
  <si>
    <t>[effect:invalidate_change_block, target:unit_all, block_type01:crack_bomb, turn:3, animation:panel_conversion_off]</t>
    <phoneticPr fontId="5"/>
  </si>
  <si>
    <t>3ターンボムパネル変換禁止</t>
    <rPh sb="9" eb="11">
      <t>heンンkaンン</t>
    </rPh>
    <rPh sb="11" eb="13">
      <t>キンシ</t>
    </rPh>
    <phoneticPr fontId="5"/>
  </si>
  <si>
    <t>緑パネルプロテクト</t>
    <rPh sb="0" eb="1">
      <t>ミドリ</t>
    </rPh>
    <phoneticPr fontId="5"/>
  </si>
  <si>
    <t>[effect:panel_freeze, target:block_green, count:30]</t>
    <phoneticPr fontId="5"/>
  </si>
  <si>
    <t>2ターン全属性カウンター</t>
    <phoneticPr fontId="5"/>
  </si>
  <si>
    <t>時限式ダメージパネルを4個生成</t>
    <phoneticPr fontId="5"/>
  </si>
  <si>
    <t>skill_set_id</t>
    <phoneticPr fontId="5"/>
  </si>
  <si>
    <t>エキドナのスキルは
Cパネルの生成を延長します
早めに倒しましょう</t>
    <phoneticPr fontId="5"/>
  </si>
  <si>
    <t>ピーターパンのスキルは
暗闇の効果を持ちます。
注意しましょう</t>
    <phoneticPr fontId="5"/>
  </si>
  <si>
    <t>[effect:enemy_counter, target:myself, invoke_condition:unit_all, counter_target:attacker, turn:2, val:1.3, animation:counter_buff03]</t>
    <phoneticPr fontId="5"/>
  </si>
  <si>
    <t>[effect:virus, target:unit_all, turn:5, rate:1, val:0.1, animation:enemy_virus]</t>
    <phoneticPr fontId="5"/>
  </si>
  <si>
    <t>[effect:virus, target:unit_all, turn:5, rate:1, val:0.1, animation:enemy_virus]</t>
    <phoneticPr fontId="5"/>
  </si>
  <si>
    <t>ターゲット</t>
  </si>
  <si>
    <t>敵ユニットをタップすると
その敵を狙い撃ちできます</t>
  </si>
  <si>
    <t>ユニット強化の属性ボーナス</t>
  </si>
  <si>
    <t>同属性ユニットを強化素材にすると
経験値が多くもらえます</t>
  </si>
  <si>
    <t>メタルダックで経験値を獲得</t>
  </si>
  <si>
    <t>「メタルなアヒル」を強化素材にすると
大量の経験値がもらえます</t>
  </si>
  <si>
    <t>ゲリラクエストは要チェック</t>
  </si>
  <si>
    <t>時間限定の「アヒル捕獲作戦」では
経験値素材ユニットが多く手に入ります</t>
  </si>
  <si>
    <t>ゴールドダックでビットを獲得</t>
  </si>
  <si>
    <t>「ゴールドなアヒル」を売却すると
大量のビットがもらえます</t>
  </si>
  <si>
    <t>土日に大量のビットを獲得</t>
  </si>
  <si>
    <t>土日限定の「ゴールドカジノ」では
売却素材ユニットが多く手に入ります</t>
  </si>
  <si>
    <t>ランク解放クエスト</t>
  </si>
  <si>
    <t>一定ランクに到達すると
報酬付きのランク開放クエストが現れます</t>
  </si>
  <si>
    <t>ユニットのお気に入り登録</t>
  </si>
  <si>
    <t>大事なユニットを誤って消さないように
フォルダから「お気に入り登録」しましょう</t>
  </si>
  <si>
    <t>ユニットの覚醒</t>
  </si>
  <si>
    <t>ユニットを覚醒させると
比べものにならない強さが手に入ります</t>
  </si>
  <si>
    <t>覚醒するにはレベルを最大に</t>
  </si>
  <si>
    <t>覚醒するにはユニットのレベルを
最大まで上げる必要があります</t>
  </si>
  <si>
    <t>覚醒素材を獲得</t>
  </si>
  <si>
    <t>「曜日クエスト」では
ユニットの覚醒に必要な素材が手に入ります</t>
  </si>
  <si>
    <t>マルチプレイのメリット（その1）</t>
  </si>
  <si>
    <t>他のプレイヤーとマルチプレイで遊ぶと
ポリゴンがもらえます（100人まで）</t>
  </si>
  <si>
    <t>リンクガチャ</t>
  </si>
  <si>
    <t>無料のリンクガチャを回して
経験値素材や売却素材を獲得しましょう</t>
  </si>
  <si>
    <t>マルチプレイのメリット（その2）</t>
  </si>
  <si>
    <t>マルチプレイならリンクが2倍もらえます
リンクガチャをたくさん回しましょう</t>
  </si>
  <si>
    <t>ソロ専用チャレンジタワー</t>
  </si>
  <si>
    <t>ソロ専用の「チャレンジタワー」では
各フロアごとにクリア報酬がもらえます</t>
  </si>
  <si>
    <t>マルチプレイのメリット（その3）</t>
  </si>
  <si>
    <t>マルチプレイへの参加はエナジー消費ゼロ
いつでも好きなだけ遊ぶことができます</t>
  </si>
  <si>
    <t>スキルを有効に</t>
  </si>
  <si>
    <t>ターン経過でユニットのスキルが使えます
強力スキルでバトルを有利に進めましょう</t>
  </si>
  <si>
    <t>フィーバーで一発逆転（その1）</t>
  </si>
  <si>
    <t>フィーバーは攻撃と回復を兼ね備えます
ピンチからの一発逆転を狙いましょう</t>
  </si>
  <si>
    <t>フィーバーで一発逆転（その2）</t>
  </si>
  <si>
    <t>フィーバー中は虹色のボムパネルを狙って
画面上のパネルを一気に破壊しましょう</t>
  </si>
  <si>
    <t>りんごを使って限界突破</t>
  </si>
  <si>
    <t>赤りんご(攻撃力) 青りんご(回復力)
緑りんご(体力)をユニット強化に使うと
ステータスが限界突破します（計99個迄）</t>
  </si>
  <si>
    <t>スキルレベルアップ</t>
  </si>
  <si>
    <t>「クリスタルのりんご」を強化に使うと
スキルレベルを上げることができます</t>
  </si>
  <si>
    <t>スキルレベルの効果</t>
  </si>
  <si>
    <t>スキルレベルが上がると
短いターンでスキルを使うことができます</t>
  </si>
  <si>
    <t>ホーム画面からデッキを編成</t>
  </si>
  <si>
    <t>ホーム画面でユニットを長押しすると
すぐにパーティ編成に移動できます</t>
  </si>
  <si>
    <t>ステータス情報は長押しで</t>
  </si>
  <si>
    <t>ユニットのアイコンを長押しすると
ステータス情報を確認することができます</t>
  </si>
  <si>
    <t>「バグ」のメリット</t>
  </si>
  <si>
    <t>ユニットの「バグ」を増やすと
報酬をもらえる確率がアップします</t>
  </si>
  <si>
    <t>「バグ」の増やし方</t>
  </si>
  <si>
    <t>同じユニット同士を強化で合成すると
「バグ」を増やすことができます</t>
  </si>
  <si>
    <t>イベントはお知らせでチェック</t>
  </si>
  <si>
    <t>イベント限定ユニットを取り忘れないように
お知らせをこまめにチェックしましょう</t>
  </si>
  <si>
    <t>敵の連続攻撃には</t>
  </si>
  <si>
    <t>カウンタースキルを持つユニットがいれば
ダメージ回数分の反撃ができます</t>
  </si>
  <si>
    <t>敵のカウンター攻撃には</t>
  </si>
  <si>
    <t>カウンターブレイクスキルを持っていれば
敵のカウンターを解除して攻撃ができます</t>
  </si>
  <si>
    <t>ステータスをスキルで下げられたら</t>
  </si>
  <si>
    <t>ステータスダウンのスキルを受けたら
ステータスアップスキルで上書きしましょう</t>
  </si>
  <si>
    <t>敵のステータスがスキルで上がったら</t>
  </si>
  <si>
    <t>敵のステータスがスキルでアップしたときは
ステータスダウンスキルで上書きしましょう</t>
  </si>
  <si>
    <t>システム適合者を確認</t>
  </si>
  <si>
    <t>ALICEが「アナタ」を呼んでいます</t>
  </si>
  <si>
    <t>チャレンジタワーのボス</t>
  </si>
  <si>
    <t>チャレンジタワーでのみ登場するボスは
一定確率で獲得することができます</t>
  </si>
  <si>
    <t>限界突破値の引き継ぎ</t>
  </si>
  <si>
    <t>同じユニットを強化で合成すると
限界突破値を引き継げます（覚醒前後も可）</t>
  </si>
  <si>
    <t>[effect:change_attribute, target:myself, color:blue, turn:-1]</t>
    <phoneticPr fontId="5"/>
  </si>
  <si>
    <t>[effect:change_attribute, target:myself, color:red, turn:-1]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</si>
</sst>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/>
      <bottom style="medium">
        <color auto="1"/>
      </bottom>
      <diagonal/>
    </border>
  </borders>
  <cellStyleXfs count="1636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54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4" fillId="0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right" vertical="center"/>
    </xf>
    <xf numFmtId="0" fontId="4" fillId="31" borderId="7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32" borderId="7" xfId="0" applyFont="1" applyFill="1" applyBorder="1" applyAlignment="1">
      <alignment horizontal="center" vertical="center"/>
    </xf>
    <xf numFmtId="0" fontId="4" fillId="33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11" fillId="0" borderId="7" xfId="0" applyFont="1" applyBorder="1" applyAlignment="1">
      <alignment vertical="center"/>
    </xf>
    <xf numFmtId="0" fontId="4" fillId="13" borderId="7" xfId="0" applyFont="1" applyFill="1" applyBorder="1" applyAlignment="1">
      <alignment horizontal="center" vertical="center"/>
    </xf>
    <xf numFmtId="0" fontId="4" fillId="6" borderId="12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1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8" fillId="0" borderId="23" xfId="0" applyFont="1" applyBorder="1" applyAlignment="1">
      <alignment vertical="center"/>
    </xf>
    <xf numFmtId="177" fontId="8" fillId="0" borderId="23" xfId="0" applyNumberFormat="1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12" fillId="7" borderId="25" xfId="0" applyFont="1" applyFill="1" applyBorder="1" applyAlignment="1">
      <alignment vertical="center"/>
    </xf>
    <xf numFmtId="176" fontId="4" fillId="0" borderId="26" xfId="0" applyNumberFormat="1" applyFont="1" applyFill="1" applyBorder="1" applyAlignment="1">
      <alignment horizontal="right" vertical="center"/>
    </xf>
    <xf numFmtId="0" fontId="4" fillId="31" borderId="27" xfId="0" applyFont="1" applyFill="1" applyBorder="1" applyAlignment="1">
      <alignment horizontal="center" vertical="center"/>
    </xf>
    <xf numFmtId="0" fontId="4" fillId="3" borderId="27" xfId="0" applyFont="1" applyFill="1" applyBorder="1" applyAlignment="1">
      <alignment horizontal="center" vertical="center"/>
    </xf>
    <xf numFmtId="0" fontId="6" fillId="5" borderId="26" xfId="0" applyFont="1" applyFill="1" applyBorder="1" applyAlignment="1">
      <alignment vertical="center"/>
    </xf>
    <xf numFmtId="0" fontId="4" fillId="32" borderId="27" xfId="0" applyFont="1" applyFill="1" applyBorder="1" applyAlignment="1">
      <alignment horizontal="center" vertical="center"/>
    </xf>
    <xf numFmtId="0" fontId="6" fillId="0" borderId="27" xfId="0" applyFont="1" applyFill="1" applyBorder="1" applyAlignment="1">
      <alignment vertical="center"/>
    </xf>
    <xf numFmtId="0" fontId="4" fillId="13" borderId="27" xfId="0" applyFont="1" applyFill="1" applyBorder="1" applyAlignment="1">
      <alignment horizontal="center" vertical="center"/>
    </xf>
    <xf numFmtId="0" fontId="6" fillId="5" borderId="28" xfId="0" applyFont="1" applyFill="1" applyBorder="1" applyAlignment="1">
      <alignment vertical="center"/>
    </xf>
    <xf numFmtId="0" fontId="8" fillId="0" borderId="29" xfId="0" applyFont="1" applyBorder="1" applyAlignment="1">
      <alignment vertical="center"/>
    </xf>
    <xf numFmtId="177" fontId="8" fillId="0" borderId="29" xfId="0" applyNumberFormat="1" applyFont="1" applyBorder="1" applyAlignment="1">
      <alignment vertical="center"/>
    </xf>
    <xf numFmtId="0" fontId="4" fillId="0" borderId="30" xfId="0" applyFont="1" applyBorder="1" applyAlignment="1">
      <alignment vertical="center"/>
    </xf>
    <xf numFmtId="0" fontId="4" fillId="3" borderId="27" xfId="0" applyFont="1" applyFill="1" applyBorder="1" applyAlignment="1">
      <alignment vertical="center"/>
    </xf>
    <xf numFmtId="0" fontId="4" fillId="0" borderId="27" xfId="0" applyFont="1" applyFill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4" fillId="32" borderId="12" xfId="0" applyFont="1" applyFill="1" applyBorder="1" applyAlignment="1">
      <alignment horizontal="center" vertical="center"/>
    </xf>
    <xf numFmtId="0" fontId="4" fillId="6" borderId="27" xfId="0" applyFont="1" applyFill="1" applyBorder="1" applyAlignment="1">
      <alignment horizontal="center" vertical="center"/>
    </xf>
    <xf numFmtId="0" fontId="6" fillId="5" borderId="32" xfId="0" applyFont="1" applyFill="1" applyBorder="1" applyAlignment="1">
      <alignment vertical="center"/>
    </xf>
    <xf numFmtId="0" fontId="4" fillId="0" borderId="12" xfId="0" applyFont="1" applyFill="1" applyBorder="1" applyAlignment="1">
      <alignment horizontal="center" vertical="center"/>
    </xf>
    <xf numFmtId="56" fontId="16" fillId="0" borderId="7" xfId="0" applyNumberFormat="1" applyFont="1" applyFill="1" applyBorder="1" applyAlignment="1">
      <alignment horizontal="left" vertical="center" wrapText="1"/>
    </xf>
    <xf numFmtId="56" fontId="16" fillId="32" borderId="7" xfId="0" applyNumberFormat="1" applyFont="1" applyFill="1" applyBorder="1" applyAlignment="1">
      <alignment horizontal="left" vertical="center" wrapText="1"/>
    </xf>
    <xf numFmtId="0" fontId="16" fillId="32" borderId="7" xfId="0" applyFont="1" applyFill="1" applyBorder="1" applyAlignment="1">
      <alignment horizontal="left" vertical="center" wrapText="1"/>
    </xf>
    <xf numFmtId="0" fontId="16" fillId="34" borderId="7" xfId="0" applyFont="1" applyFill="1" applyBorder="1" applyAlignment="1">
      <alignment horizontal="left" vertical="center" wrapText="1"/>
    </xf>
    <xf numFmtId="0" fontId="16" fillId="13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vertical="center"/>
    </xf>
    <xf numFmtId="0" fontId="11" fillId="35" borderId="7" xfId="0" applyFont="1" applyFill="1" applyBorder="1" applyAlignment="1">
      <alignment vertical="center"/>
    </xf>
    <xf numFmtId="0" fontId="11" fillId="36" borderId="7" xfId="0" applyFont="1" applyFill="1" applyBorder="1" applyAlignment="1">
      <alignment vertic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26" fillId="0" borderId="0" xfId="0" applyFont="1"/>
    <xf numFmtId="38" fontId="16" fillId="0" borderId="7" xfId="628" applyFont="1" applyFill="1" applyBorder="1" applyAlignment="1">
      <alignment wrapText="1"/>
    </xf>
    <xf numFmtId="0" fontId="4" fillId="35" borderId="12" xfId="0" applyFont="1" applyFill="1" applyBorder="1" applyAlignment="1">
      <alignment horizontal="center" vertical="center"/>
    </xf>
    <xf numFmtId="0" fontId="4" fillId="35" borderId="7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27" fillId="32" borderId="7" xfId="0" applyFont="1" applyFill="1" applyBorder="1"/>
    <xf numFmtId="0" fontId="27" fillId="37" borderId="7" xfId="0" applyFont="1" applyFill="1" applyBorder="1"/>
    <xf numFmtId="0" fontId="16" fillId="32" borderId="7" xfId="0" applyFont="1" applyFill="1" applyBorder="1" applyAlignment="1">
      <alignment vertical="center"/>
    </xf>
  </cellXfs>
  <cellStyles count="1636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赤字強調" xfId="431"/>
    <cellStyle name="青字強調" xfId="43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39001</v>
          </cell>
        </row>
        <row r="184">
          <cell r="A184">
            <v>39002</v>
          </cell>
        </row>
        <row r="185">
          <cell r="A185">
            <v>39003</v>
          </cell>
        </row>
        <row r="186">
          <cell r="A186">
            <v>39004</v>
          </cell>
        </row>
        <row r="187">
          <cell r="A187">
            <v>39005</v>
          </cell>
        </row>
        <row r="188">
          <cell r="A188">
            <v>39006</v>
          </cell>
        </row>
        <row r="189">
          <cell r="A189">
            <v>39007</v>
          </cell>
        </row>
        <row r="190">
          <cell r="A190">
            <v>39008</v>
          </cell>
        </row>
        <row r="191">
          <cell r="A191">
            <v>39009</v>
          </cell>
        </row>
        <row r="192">
          <cell r="A192">
            <v>39010</v>
          </cell>
        </row>
        <row r="193">
          <cell r="A193">
            <v>39011</v>
          </cell>
        </row>
        <row r="194">
          <cell r="A194">
            <v>39012</v>
          </cell>
        </row>
        <row r="195">
          <cell r="A195">
            <v>39013</v>
          </cell>
        </row>
        <row r="196">
          <cell r="A196">
            <v>39014</v>
          </cell>
        </row>
        <row r="197">
          <cell r="A197">
            <v>40001</v>
          </cell>
        </row>
        <row r="198">
          <cell r="A198">
            <v>40002</v>
          </cell>
        </row>
        <row r="199">
          <cell r="A199">
            <v>40003</v>
          </cell>
        </row>
        <row r="200">
          <cell r="A200">
            <v>40004</v>
          </cell>
        </row>
        <row r="201">
          <cell r="A201">
            <v>40005</v>
          </cell>
        </row>
        <row r="202">
          <cell r="A202">
            <v>40006</v>
          </cell>
        </row>
        <row r="203">
          <cell r="A203">
            <v>40007</v>
          </cell>
        </row>
        <row r="204">
          <cell r="A204">
            <v>40008</v>
          </cell>
        </row>
        <row r="205">
          <cell r="A205">
            <v>40009</v>
          </cell>
        </row>
        <row r="206">
          <cell r="A206">
            <v>40010</v>
          </cell>
        </row>
        <row r="207">
          <cell r="A207">
            <v>40011</v>
          </cell>
        </row>
        <row r="208">
          <cell r="A208">
            <v>40012</v>
          </cell>
        </row>
        <row r="209">
          <cell r="A209">
            <v>40013</v>
          </cell>
        </row>
        <row r="210">
          <cell r="A210">
            <v>40014</v>
          </cell>
        </row>
        <row r="211">
          <cell r="A211">
            <v>40015</v>
          </cell>
        </row>
        <row r="212">
          <cell r="A212">
            <v>40016</v>
          </cell>
        </row>
        <row r="213">
          <cell r="A213">
            <v>40017</v>
          </cell>
        </row>
        <row r="214">
          <cell r="A214">
            <v>40018</v>
          </cell>
        </row>
        <row r="215">
          <cell r="A215">
            <v>40019</v>
          </cell>
        </row>
        <row r="216">
          <cell r="A216">
            <v>40021</v>
          </cell>
        </row>
        <row r="217">
          <cell r="A217">
            <v>40022</v>
          </cell>
        </row>
        <row r="218">
          <cell r="A218">
            <v>40023</v>
          </cell>
        </row>
        <row r="219">
          <cell r="A219">
            <v>40024</v>
          </cell>
        </row>
        <row r="220">
          <cell r="A220">
            <v>40025</v>
          </cell>
        </row>
        <row r="221">
          <cell r="A221">
            <v>40026</v>
          </cell>
        </row>
        <row r="222">
          <cell r="A222">
            <v>40027</v>
          </cell>
        </row>
        <row r="223">
          <cell r="A223">
            <v>40028</v>
          </cell>
        </row>
        <row r="224">
          <cell r="A224">
            <v>40029</v>
          </cell>
        </row>
        <row r="225">
          <cell r="A225">
            <v>40030</v>
          </cell>
        </row>
        <row r="226">
          <cell r="A226">
            <v>40031</v>
          </cell>
        </row>
        <row r="227">
          <cell r="A227">
            <v>40032</v>
          </cell>
        </row>
        <row r="228">
          <cell r="A228">
            <v>40033</v>
          </cell>
        </row>
        <row r="229">
          <cell r="A229">
            <v>40034</v>
          </cell>
        </row>
        <row r="230">
          <cell r="A230">
            <v>40035</v>
          </cell>
        </row>
        <row r="231">
          <cell r="A231">
            <v>40036</v>
          </cell>
        </row>
        <row r="232">
          <cell r="A232">
            <v>40037</v>
          </cell>
        </row>
        <row r="233">
          <cell r="A233">
            <v>40038</v>
          </cell>
        </row>
        <row r="234">
          <cell r="A234">
            <v>40039</v>
          </cell>
        </row>
        <row r="235">
          <cell r="A235">
            <v>40040</v>
          </cell>
        </row>
        <row r="236">
          <cell r="A236">
            <v>40041</v>
          </cell>
        </row>
        <row r="237">
          <cell r="A237">
            <v>40042</v>
          </cell>
        </row>
        <row r="238">
          <cell r="A238">
            <v>40043</v>
          </cell>
        </row>
        <row r="239">
          <cell r="A239">
            <v>40044</v>
          </cell>
        </row>
        <row r="240">
          <cell r="A240">
            <v>40045</v>
          </cell>
        </row>
        <row r="241">
          <cell r="A241">
            <v>40046</v>
          </cell>
        </row>
        <row r="242">
          <cell r="A242">
            <v>48001</v>
          </cell>
        </row>
        <row r="243">
          <cell r="A243">
            <v>48002</v>
          </cell>
        </row>
        <row r="244">
          <cell r="A244">
            <v>48003</v>
          </cell>
        </row>
        <row r="245">
          <cell r="A245">
            <v>48004</v>
          </cell>
        </row>
        <row r="246">
          <cell r="A246">
            <v>48005</v>
          </cell>
        </row>
        <row r="247">
          <cell r="A247">
            <v>48006</v>
          </cell>
        </row>
        <row r="248">
          <cell r="A248">
            <v>48007</v>
          </cell>
        </row>
        <row r="249">
          <cell r="A249">
            <v>48008</v>
          </cell>
        </row>
        <row r="250">
          <cell r="A250">
            <v>48009</v>
          </cell>
        </row>
        <row r="251">
          <cell r="A251">
            <v>48010</v>
          </cell>
        </row>
        <row r="252">
          <cell r="A252">
            <v>48011</v>
          </cell>
        </row>
        <row r="253">
          <cell r="A253">
            <v>48012</v>
          </cell>
        </row>
        <row r="254">
          <cell r="A254">
            <v>48013</v>
          </cell>
        </row>
        <row r="255">
          <cell r="A255">
            <v>48014</v>
          </cell>
        </row>
        <row r="256">
          <cell r="A256">
            <v>48501</v>
          </cell>
        </row>
        <row r="257">
          <cell r="A257">
            <v>48502</v>
          </cell>
        </row>
        <row r="258">
          <cell r="A258">
            <v>48701</v>
          </cell>
        </row>
        <row r="259">
          <cell r="A259">
            <v>48702</v>
          </cell>
        </row>
        <row r="260">
          <cell r="A260">
            <v>41001</v>
          </cell>
        </row>
        <row r="261">
          <cell r="A261">
            <v>41002</v>
          </cell>
        </row>
        <row r="262">
          <cell r="A262">
            <v>41003</v>
          </cell>
        </row>
        <row r="263">
          <cell r="A263">
            <v>41004</v>
          </cell>
        </row>
        <row r="264">
          <cell r="A264">
            <v>41005</v>
          </cell>
        </row>
        <row r="265">
          <cell r="A265">
            <v>41006</v>
          </cell>
        </row>
        <row r="266">
          <cell r="A266">
            <v>41007</v>
          </cell>
        </row>
        <row r="267">
          <cell r="A267">
            <v>41008</v>
          </cell>
        </row>
        <row r="268">
          <cell r="A268">
            <v>41009</v>
          </cell>
        </row>
        <row r="269">
          <cell r="A269">
            <v>41010</v>
          </cell>
        </row>
        <row r="270">
          <cell r="A270">
            <v>41011</v>
          </cell>
        </row>
        <row r="271">
          <cell r="A271">
            <v>41012</v>
          </cell>
        </row>
        <row r="272">
          <cell r="A272">
            <v>41013</v>
          </cell>
        </row>
        <row r="273">
          <cell r="A273">
            <v>41014</v>
          </cell>
        </row>
        <row r="274">
          <cell r="A274">
            <v>41015</v>
          </cell>
        </row>
        <row r="275">
          <cell r="A275">
            <v>47001</v>
          </cell>
        </row>
        <row r="276">
          <cell r="A276">
            <v>47002</v>
          </cell>
        </row>
        <row r="277">
          <cell r="A277">
            <v>47003</v>
          </cell>
        </row>
        <row r="278">
          <cell r="A278">
            <v>47004</v>
          </cell>
        </row>
        <row r="279">
          <cell r="A279">
            <v>47005</v>
          </cell>
        </row>
        <row r="280">
          <cell r="A280">
            <v>47006</v>
          </cell>
        </row>
        <row r="281">
          <cell r="A281">
            <v>47007</v>
          </cell>
        </row>
        <row r="282">
          <cell r="A282">
            <v>47008</v>
          </cell>
        </row>
        <row r="283">
          <cell r="A283">
            <v>47009</v>
          </cell>
        </row>
        <row r="284">
          <cell r="A284">
            <v>47010</v>
          </cell>
        </row>
        <row r="285">
          <cell r="A285">
            <v>47011</v>
          </cell>
        </row>
        <row r="286">
          <cell r="A286">
            <v>47012</v>
          </cell>
        </row>
        <row r="287">
          <cell r="A287">
            <v>47013</v>
          </cell>
        </row>
        <row r="288">
          <cell r="A288">
            <v>49001</v>
          </cell>
        </row>
        <row r="289">
          <cell r="A289">
            <v>49002</v>
          </cell>
        </row>
        <row r="290">
          <cell r="A290">
            <v>49003</v>
          </cell>
        </row>
        <row r="291">
          <cell r="A291">
            <v>49004</v>
          </cell>
        </row>
        <row r="292">
          <cell r="A292">
            <v>49005</v>
          </cell>
        </row>
        <row r="293">
          <cell r="A293">
            <v>49006</v>
          </cell>
        </row>
        <row r="294">
          <cell r="A294">
            <v>49007</v>
          </cell>
        </row>
        <row r="295">
          <cell r="A295">
            <v>49008</v>
          </cell>
        </row>
        <row r="296">
          <cell r="A296">
            <v>49009</v>
          </cell>
        </row>
        <row r="297">
          <cell r="A297">
            <v>49010</v>
          </cell>
        </row>
        <row r="298">
          <cell r="A298">
            <v>49011</v>
          </cell>
        </row>
        <row r="299">
          <cell r="A299">
            <v>49012</v>
          </cell>
        </row>
        <row r="300">
          <cell r="A300">
            <v>49013</v>
          </cell>
        </row>
        <row r="301">
          <cell r="A301">
            <v>49014</v>
          </cell>
        </row>
        <row r="302">
          <cell r="A302">
            <v>49015</v>
          </cell>
        </row>
        <row r="303">
          <cell r="A303">
            <v>49016</v>
          </cell>
        </row>
        <row r="304">
          <cell r="A304">
            <v>50001</v>
          </cell>
        </row>
        <row r="305">
          <cell r="A305">
            <v>50002</v>
          </cell>
        </row>
        <row r="306">
          <cell r="A306">
            <v>50003</v>
          </cell>
        </row>
        <row r="307">
          <cell r="A307">
            <v>50004</v>
          </cell>
        </row>
        <row r="308">
          <cell r="A308">
            <v>50005</v>
          </cell>
        </row>
        <row r="309">
          <cell r="A309">
            <v>50006</v>
          </cell>
        </row>
        <row r="310">
          <cell r="A310">
            <v>50007</v>
          </cell>
        </row>
        <row r="311">
          <cell r="A311">
            <v>50008</v>
          </cell>
        </row>
        <row r="312">
          <cell r="A312">
            <v>50009</v>
          </cell>
        </row>
        <row r="313">
          <cell r="A313">
            <v>50010</v>
          </cell>
        </row>
        <row r="314">
          <cell r="A314">
            <v>50011</v>
          </cell>
        </row>
        <row r="315">
          <cell r="A315">
            <v>50012</v>
          </cell>
        </row>
        <row r="316">
          <cell r="A316">
            <v>50013</v>
          </cell>
        </row>
        <row r="317">
          <cell r="A317">
            <v>50014</v>
          </cell>
        </row>
        <row r="318">
          <cell r="A318">
            <v>50015</v>
          </cell>
        </row>
        <row r="319">
          <cell r="A319">
            <v>50016</v>
          </cell>
        </row>
        <row r="320">
          <cell r="A320">
            <v>51001</v>
          </cell>
        </row>
        <row r="321">
          <cell r="A321">
            <v>51002</v>
          </cell>
        </row>
        <row r="322">
          <cell r="A322">
            <v>58001</v>
          </cell>
        </row>
        <row r="323">
          <cell r="A323">
            <v>58002</v>
          </cell>
        </row>
        <row r="324">
          <cell r="A324">
            <v>59001</v>
          </cell>
        </row>
        <row r="325">
          <cell r="A325">
            <v>59002</v>
          </cell>
        </row>
        <row r="326">
          <cell r="A326">
            <v>59003</v>
          </cell>
        </row>
        <row r="327">
          <cell r="A327">
            <v>60001</v>
          </cell>
        </row>
        <row r="328">
          <cell r="A328">
            <v>60002</v>
          </cell>
        </row>
        <row r="329">
          <cell r="A329">
            <v>60003</v>
          </cell>
        </row>
        <row r="330">
          <cell r="A330">
            <v>60004</v>
          </cell>
        </row>
        <row r="331">
          <cell r="A331">
            <v>60005</v>
          </cell>
        </row>
        <row r="332">
          <cell r="A332">
            <v>60006</v>
          </cell>
        </row>
        <row r="333">
          <cell r="A333">
            <v>60007</v>
          </cell>
        </row>
        <row r="334">
          <cell r="A334">
            <v>60010</v>
          </cell>
        </row>
        <row r="335">
          <cell r="A335">
            <v>60011</v>
          </cell>
        </row>
        <row r="336">
          <cell r="A336">
            <v>61011</v>
          </cell>
        </row>
        <row r="337">
          <cell r="A337">
            <v>60012</v>
          </cell>
        </row>
        <row r="338">
          <cell r="A338">
            <v>60013</v>
          </cell>
        </row>
        <row r="339">
          <cell r="A339">
            <v>60014</v>
          </cell>
        </row>
        <row r="340">
          <cell r="A340">
            <v>60015</v>
          </cell>
        </row>
        <row r="341">
          <cell r="A341">
            <v>60016</v>
          </cell>
        </row>
        <row r="342">
          <cell r="A342">
            <v>60017</v>
          </cell>
        </row>
        <row r="343">
          <cell r="A343">
            <v>60018</v>
          </cell>
        </row>
        <row r="344">
          <cell r="A344">
            <v>60019</v>
          </cell>
        </row>
        <row r="345">
          <cell r="A345">
            <v>60020</v>
          </cell>
        </row>
        <row r="346">
          <cell r="A346">
            <v>60025</v>
          </cell>
        </row>
        <row r="347">
          <cell r="A347">
            <v>60026</v>
          </cell>
        </row>
        <row r="348">
          <cell r="A348">
            <v>60027</v>
          </cell>
        </row>
        <row r="349">
          <cell r="A349">
            <v>60028</v>
          </cell>
        </row>
        <row r="350">
          <cell r="A350">
            <v>60029</v>
          </cell>
        </row>
        <row r="351">
          <cell r="A351">
            <v>60030</v>
          </cell>
        </row>
        <row r="352">
          <cell r="A352">
            <v>65523</v>
          </cell>
        </row>
        <row r="353">
          <cell r="A353">
            <v>65524</v>
          </cell>
        </row>
        <row r="354">
          <cell r="A354">
            <v>65525</v>
          </cell>
        </row>
        <row r="355">
          <cell r="A355">
            <v>65526</v>
          </cell>
        </row>
        <row r="356">
          <cell r="A356">
            <v>65527</v>
          </cell>
        </row>
        <row r="357">
          <cell r="A357">
            <v>65528</v>
          </cell>
        </row>
        <row r="358">
          <cell r="A358">
            <v>65529</v>
          </cell>
        </row>
        <row r="359">
          <cell r="A359">
            <v>65530</v>
          </cell>
        </row>
        <row r="360">
          <cell r="A360">
            <v>65531</v>
          </cell>
        </row>
        <row r="361">
          <cell r="A361">
            <v>65532</v>
          </cell>
        </row>
        <row r="362">
          <cell r="A362">
            <v>65533</v>
          </cell>
        </row>
        <row r="363">
          <cell r="A363">
            <v>65534</v>
          </cell>
        </row>
        <row r="364">
          <cell r="A364">
            <v>65535</v>
          </cell>
        </row>
        <row r="365">
          <cell r="A365">
            <v>60021</v>
          </cell>
        </row>
        <row r="366">
          <cell r="A366">
            <v>60022</v>
          </cell>
        </row>
        <row r="367">
          <cell r="A367">
            <v>60023</v>
          </cell>
        </row>
        <row r="368">
          <cell r="A368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39001_1</v>
          </cell>
        </row>
        <row r="668">
          <cell r="A668" t="str">
            <v>39001_2</v>
          </cell>
        </row>
        <row r="669">
          <cell r="A669" t="str">
            <v>39001_3</v>
          </cell>
        </row>
        <row r="670">
          <cell r="A670" t="str">
            <v>39001_4</v>
          </cell>
        </row>
        <row r="671">
          <cell r="A671" t="str">
            <v>39001_5</v>
          </cell>
        </row>
        <row r="672">
          <cell r="A672" t="str">
            <v>39002_1</v>
          </cell>
        </row>
        <row r="673">
          <cell r="A673" t="str">
            <v>39002_2</v>
          </cell>
        </row>
        <row r="674">
          <cell r="A674" t="str">
            <v>39002_3</v>
          </cell>
        </row>
        <row r="675">
          <cell r="A675" t="str">
            <v>39002_4</v>
          </cell>
        </row>
        <row r="676">
          <cell r="A676" t="str">
            <v>39003_1</v>
          </cell>
        </row>
        <row r="677">
          <cell r="A677" t="str">
            <v>39003_2</v>
          </cell>
        </row>
        <row r="678">
          <cell r="A678" t="str">
            <v>39003_3</v>
          </cell>
        </row>
        <row r="679">
          <cell r="A679" t="str">
            <v>39003_4</v>
          </cell>
        </row>
        <row r="680">
          <cell r="A680" t="str">
            <v>39004_1</v>
          </cell>
        </row>
        <row r="681">
          <cell r="A681" t="str">
            <v>39004_2</v>
          </cell>
        </row>
        <row r="682">
          <cell r="A682" t="str">
            <v>39004_3</v>
          </cell>
        </row>
        <row r="683">
          <cell r="A683" t="str">
            <v>39004_4</v>
          </cell>
        </row>
        <row r="684">
          <cell r="A684" t="str">
            <v>39005_1</v>
          </cell>
        </row>
        <row r="685">
          <cell r="A685" t="str">
            <v>39005_2</v>
          </cell>
        </row>
        <row r="686">
          <cell r="A686" t="str">
            <v>39005_3</v>
          </cell>
        </row>
        <row r="687">
          <cell r="A687" t="str">
            <v>39005_4</v>
          </cell>
        </row>
        <row r="688">
          <cell r="A688" t="str">
            <v>39005_5</v>
          </cell>
        </row>
        <row r="689">
          <cell r="A689" t="str">
            <v>39006_1</v>
          </cell>
        </row>
        <row r="690">
          <cell r="A690" t="str">
            <v>39006_2</v>
          </cell>
        </row>
        <row r="691">
          <cell r="A691" t="str">
            <v>39006_3</v>
          </cell>
        </row>
        <row r="692">
          <cell r="A692" t="str">
            <v>39006_4</v>
          </cell>
        </row>
        <row r="693">
          <cell r="A693" t="str">
            <v>39007_1</v>
          </cell>
        </row>
        <row r="694">
          <cell r="A694" t="str">
            <v>39007_2</v>
          </cell>
        </row>
        <row r="695">
          <cell r="A695" t="str">
            <v>39007_3</v>
          </cell>
        </row>
        <row r="696">
          <cell r="A696" t="str">
            <v>39007_4</v>
          </cell>
        </row>
        <row r="697">
          <cell r="A697" t="str">
            <v>39008_1</v>
          </cell>
        </row>
        <row r="698">
          <cell r="A698" t="str">
            <v>39008_2</v>
          </cell>
        </row>
        <row r="699">
          <cell r="A699" t="str">
            <v>39008_3</v>
          </cell>
        </row>
        <row r="700">
          <cell r="A700" t="str">
            <v>39008_4</v>
          </cell>
        </row>
        <row r="701">
          <cell r="A701" t="str">
            <v>39008_5</v>
          </cell>
        </row>
        <row r="702">
          <cell r="A702" t="str">
            <v>39009_1</v>
          </cell>
        </row>
        <row r="703">
          <cell r="A703" t="str">
            <v>39009_2</v>
          </cell>
        </row>
        <row r="704">
          <cell r="A704" t="str">
            <v>39009_3</v>
          </cell>
        </row>
        <row r="705">
          <cell r="A705" t="str">
            <v>39009_4</v>
          </cell>
        </row>
        <row r="706">
          <cell r="A706" t="str">
            <v>39009_5</v>
          </cell>
        </row>
        <row r="707">
          <cell r="A707" t="str">
            <v>39010_1</v>
          </cell>
        </row>
        <row r="708">
          <cell r="A708" t="str">
            <v>39010_2</v>
          </cell>
        </row>
        <row r="709">
          <cell r="A709" t="str">
            <v>39010_3</v>
          </cell>
        </row>
        <row r="710">
          <cell r="A710" t="str">
            <v>39010_4</v>
          </cell>
        </row>
        <row r="711">
          <cell r="A711" t="str">
            <v>39011_1</v>
          </cell>
        </row>
        <row r="712">
          <cell r="A712" t="str">
            <v>39011_2</v>
          </cell>
        </row>
        <row r="713">
          <cell r="A713" t="str">
            <v>39011_3</v>
          </cell>
        </row>
        <row r="714">
          <cell r="A714" t="str">
            <v>39011_4</v>
          </cell>
        </row>
        <row r="715">
          <cell r="A715" t="str">
            <v>39012_1</v>
          </cell>
        </row>
        <row r="716">
          <cell r="A716" t="str">
            <v>39012_2</v>
          </cell>
        </row>
        <row r="717">
          <cell r="A717" t="str">
            <v>39012_3</v>
          </cell>
        </row>
        <row r="718">
          <cell r="A718" t="str">
            <v>39012_4</v>
          </cell>
        </row>
        <row r="719">
          <cell r="A719" t="str">
            <v>39012_5</v>
          </cell>
        </row>
        <row r="720">
          <cell r="A720" t="str">
            <v>39013_1</v>
          </cell>
        </row>
        <row r="721">
          <cell r="A721" t="str">
            <v>39013_2</v>
          </cell>
        </row>
        <row r="722">
          <cell r="A722" t="str">
            <v>39013_3</v>
          </cell>
        </row>
        <row r="723">
          <cell r="A723" t="str">
            <v>39013_4</v>
          </cell>
        </row>
        <row r="724">
          <cell r="A724" t="str">
            <v>39014_1</v>
          </cell>
        </row>
        <row r="725">
          <cell r="A725" t="str">
            <v>40001_1</v>
          </cell>
        </row>
        <row r="726">
          <cell r="A726" t="str">
            <v>40002_1</v>
          </cell>
        </row>
        <row r="727">
          <cell r="A727" t="str">
            <v>40002_2</v>
          </cell>
        </row>
        <row r="728">
          <cell r="A728" t="str">
            <v>40002_3</v>
          </cell>
        </row>
        <row r="729">
          <cell r="A729" t="str">
            <v>40003_1</v>
          </cell>
        </row>
        <row r="730">
          <cell r="A730" t="str">
            <v>40004_1</v>
          </cell>
        </row>
        <row r="731">
          <cell r="A731" t="str">
            <v>40005_1</v>
          </cell>
        </row>
        <row r="732">
          <cell r="A732" t="str">
            <v>40006_1</v>
          </cell>
        </row>
        <row r="733">
          <cell r="A733" t="str">
            <v>40007_1</v>
          </cell>
        </row>
        <row r="734">
          <cell r="A734" t="str">
            <v>40008_1</v>
          </cell>
        </row>
        <row r="735">
          <cell r="A735" t="str">
            <v>40009_1</v>
          </cell>
        </row>
        <row r="736">
          <cell r="A736" t="str">
            <v>40010_1</v>
          </cell>
        </row>
        <row r="737">
          <cell r="A737" t="str">
            <v>40011_1</v>
          </cell>
        </row>
        <row r="738">
          <cell r="A738" t="str">
            <v>40012_1</v>
          </cell>
        </row>
        <row r="739">
          <cell r="A739" t="str">
            <v>40013_1</v>
          </cell>
        </row>
        <row r="740">
          <cell r="A740" t="str">
            <v>40014_1</v>
          </cell>
        </row>
        <row r="741">
          <cell r="A741" t="str">
            <v>40015_1</v>
          </cell>
        </row>
        <row r="742">
          <cell r="A742" t="str">
            <v>40016_1</v>
          </cell>
        </row>
        <row r="743">
          <cell r="A743" t="str">
            <v>40016_2</v>
          </cell>
        </row>
        <row r="744">
          <cell r="A744" t="str">
            <v>40017_1</v>
          </cell>
        </row>
        <row r="745">
          <cell r="A745" t="str">
            <v>40017_2</v>
          </cell>
        </row>
        <row r="746">
          <cell r="A746" t="str">
            <v>40017_3</v>
          </cell>
        </row>
        <row r="747">
          <cell r="A747" t="str">
            <v>40018_1</v>
          </cell>
        </row>
        <row r="748">
          <cell r="A748" t="str">
            <v>40018_2</v>
          </cell>
        </row>
        <row r="749">
          <cell r="A749" t="str">
            <v>40018_3</v>
          </cell>
        </row>
        <row r="750">
          <cell r="A750" t="str">
            <v>40019_1</v>
          </cell>
        </row>
        <row r="751">
          <cell r="A751" t="str">
            <v>40019_2</v>
          </cell>
        </row>
        <row r="752">
          <cell r="A752" t="str">
            <v>40019_3</v>
          </cell>
        </row>
        <row r="753">
          <cell r="A753" t="str">
            <v>40021_1</v>
          </cell>
        </row>
        <row r="754">
          <cell r="A754" t="str">
            <v>40021_2</v>
          </cell>
        </row>
        <row r="755">
          <cell r="A755" t="str">
            <v>40022_1</v>
          </cell>
        </row>
        <row r="756">
          <cell r="A756" t="str">
            <v>40022_2</v>
          </cell>
        </row>
        <row r="757">
          <cell r="A757" t="str">
            <v>40023_1</v>
          </cell>
        </row>
        <row r="758">
          <cell r="A758" t="str">
            <v>40023_2</v>
          </cell>
        </row>
        <row r="759">
          <cell r="A759" t="str">
            <v>40024_1</v>
          </cell>
        </row>
        <row r="760">
          <cell r="A760" t="str">
            <v>40024_2</v>
          </cell>
        </row>
        <row r="761">
          <cell r="A761" t="str">
            <v>40025_1</v>
          </cell>
        </row>
        <row r="762">
          <cell r="A762" t="str">
            <v>40025_2</v>
          </cell>
        </row>
        <row r="763">
          <cell r="A763" t="str">
            <v>40026_1</v>
          </cell>
        </row>
        <row r="764">
          <cell r="A764" t="str">
            <v>40026_2</v>
          </cell>
        </row>
        <row r="765">
          <cell r="A765" t="str">
            <v>40027_1</v>
          </cell>
        </row>
        <row r="766">
          <cell r="A766" t="str">
            <v>40027_2</v>
          </cell>
        </row>
        <row r="767">
          <cell r="A767" t="str">
            <v>40028_1</v>
          </cell>
        </row>
        <row r="768">
          <cell r="A768" t="str">
            <v>40028_2</v>
          </cell>
        </row>
        <row r="769">
          <cell r="A769" t="str">
            <v>40029_1</v>
          </cell>
        </row>
        <row r="770">
          <cell r="A770" t="str">
            <v>40029_2</v>
          </cell>
        </row>
        <row r="771">
          <cell r="A771" t="str">
            <v>40030_1</v>
          </cell>
        </row>
        <row r="772">
          <cell r="A772" t="str">
            <v>40030_2</v>
          </cell>
        </row>
        <row r="773">
          <cell r="A773" t="str">
            <v>40031_1</v>
          </cell>
        </row>
        <row r="774">
          <cell r="A774" t="str">
            <v>40031_2</v>
          </cell>
        </row>
        <row r="775">
          <cell r="A775" t="str">
            <v>40032_1</v>
          </cell>
        </row>
        <row r="776">
          <cell r="A776" t="str">
            <v>40032_2</v>
          </cell>
        </row>
        <row r="777">
          <cell r="A777" t="str">
            <v>40033_1</v>
          </cell>
        </row>
        <row r="778">
          <cell r="A778" t="str">
            <v>40033_2</v>
          </cell>
        </row>
        <row r="779">
          <cell r="A779" t="str">
            <v>40034_1</v>
          </cell>
        </row>
        <row r="780">
          <cell r="A780" t="str">
            <v>40034_2</v>
          </cell>
        </row>
        <row r="781">
          <cell r="A781" t="str">
            <v>40035_1</v>
          </cell>
        </row>
        <row r="782">
          <cell r="A782" t="str">
            <v>40035_2</v>
          </cell>
        </row>
        <row r="783">
          <cell r="A783" t="str">
            <v>40036_1</v>
          </cell>
        </row>
        <row r="784">
          <cell r="A784" t="str">
            <v>40036_2</v>
          </cell>
        </row>
        <row r="785">
          <cell r="A785" t="str">
            <v>40037_1</v>
          </cell>
        </row>
        <row r="786">
          <cell r="A786" t="str">
            <v>40037_2</v>
          </cell>
        </row>
        <row r="787">
          <cell r="A787" t="str">
            <v>40038_1</v>
          </cell>
        </row>
        <row r="788">
          <cell r="A788" t="str">
            <v>40038_2</v>
          </cell>
        </row>
        <row r="789">
          <cell r="A789" t="str">
            <v>40039_1</v>
          </cell>
        </row>
        <row r="790">
          <cell r="A790" t="str">
            <v>40039_2</v>
          </cell>
        </row>
        <row r="791">
          <cell r="A791" t="str">
            <v>40040_1</v>
          </cell>
        </row>
        <row r="792">
          <cell r="A792" t="str">
            <v>40040_2</v>
          </cell>
        </row>
        <row r="793">
          <cell r="A793" t="str">
            <v>40041_1</v>
          </cell>
        </row>
        <row r="794">
          <cell r="A794" t="str">
            <v>40041_2</v>
          </cell>
        </row>
        <row r="795">
          <cell r="A795" t="str">
            <v>40042_1</v>
          </cell>
        </row>
        <row r="796">
          <cell r="A796" t="str">
            <v>40042_2</v>
          </cell>
        </row>
        <row r="797">
          <cell r="A797" t="str">
            <v>40043_1</v>
          </cell>
        </row>
        <row r="798">
          <cell r="A798" t="str">
            <v>40043_2</v>
          </cell>
        </row>
        <row r="799">
          <cell r="A799" t="str">
            <v>40044_1</v>
          </cell>
        </row>
        <row r="800">
          <cell r="A800" t="str">
            <v>40044_2</v>
          </cell>
        </row>
        <row r="801">
          <cell r="A801" t="str">
            <v>40045_1</v>
          </cell>
        </row>
        <row r="802">
          <cell r="A802" t="str">
            <v>40045_2</v>
          </cell>
        </row>
        <row r="803">
          <cell r="A803" t="str">
            <v>40046_1</v>
          </cell>
        </row>
        <row r="804">
          <cell r="A804" t="str">
            <v>40046_2</v>
          </cell>
        </row>
        <row r="805">
          <cell r="A805" t="str">
            <v>41001_1</v>
          </cell>
        </row>
        <row r="806">
          <cell r="A806" t="str">
            <v>41001_2</v>
          </cell>
        </row>
        <row r="807">
          <cell r="A807" t="str">
            <v>41001_3</v>
          </cell>
        </row>
        <row r="808">
          <cell r="A808" t="str">
            <v>41002_1</v>
          </cell>
        </row>
        <row r="809">
          <cell r="A809" t="str">
            <v>41002_2</v>
          </cell>
        </row>
        <row r="810">
          <cell r="A810" t="str">
            <v>41002_3</v>
          </cell>
        </row>
        <row r="811">
          <cell r="A811" t="str">
            <v>41003_1</v>
          </cell>
        </row>
        <row r="812">
          <cell r="A812" t="str">
            <v>41003_2</v>
          </cell>
        </row>
        <row r="813">
          <cell r="A813" t="str">
            <v>41003_3</v>
          </cell>
        </row>
        <row r="814">
          <cell r="A814" t="str">
            <v>41004_1</v>
          </cell>
        </row>
        <row r="815">
          <cell r="A815" t="str">
            <v>41004_2</v>
          </cell>
        </row>
        <row r="816">
          <cell r="A816" t="str">
            <v>41004_3</v>
          </cell>
        </row>
        <row r="817">
          <cell r="A817" t="str">
            <v>41005_1</v>
          </cell>
        </row>
        <row r="818">
          <cell r="A818" t="str">
            <v>41005_2</v>
          </cell>
        </row>
        <row r="819">
          <cell r="A819" t="str">
            <v>41005_3</v>
          </cell>
        </row>
        <row r="820">
          <cell r="A820" t="str">
            <v>41006_1</v>
          </cell>
        </row>
        <row r="821">
          <cell r="A821" t="str">
            <v>41006_2</v>
          </cell>
        </row>
        <row r="822">
          <cell r="A822" t="str">
            <v>41006_3</v>
          </cell>
        </row>
        <row r="823">
          <cell r="A823" t="str">
            <v>41007_1</v>
          </cell>
        </row>
        <row r="824">
          <cell r="A824" t="str">
            <v>41007_2</v>
          </cell>
        </row>
        <row r="825">
          <cell r="A825" t="str">
            <v>41007_3</v>
          </cell>
        </row>
        <row r="826">
          <cell r="A826" t="str">
            <v>41008_1</v>
          </cell>
        </row>
        <row r="827">
          <cell r="A827" t="str">
            <v>41008_2</v>
          </cell>
        </row>
        <row r="828">
          <cell r="A828" t="str">
            <v>41008_3</v>
          </cell>
        </row>
        <row r="829">
          <cell r="A829" t="str">
            <v>41009_1</v>
          </cell>
        </row>
        <row r="830">
          <cell r="A830" t="str">
            <v>41009_2</v>
          </cell>
        </row>
        <row r="831">
          <cell r="A831" t="str">
            <v>41009_3</v>
          </cell>
        </row>
        <row r="832">
          <cell r="A832" t="str">
            <v>41010_1</v>
          </cell>
        </row>
        <row r="833">
          <cell r="A833" t="str">
            <v>41010_2</v>
          </cell>
        </row>
        <row r="834">
          <cell r="A834" t="str">
            <v>41010_3</v>
          </cell>
        </row>
        <row r="835">
          <cell r="A835" t="str">
            <v>41011_1</v>
          </cell>
        </row>
        <row r="836">
          <cell r="A836" t="str">
            <v>41011_2</v>
          </cell>
        </row>
        <row r="837">
          <cell r="A837" t="str">
            <v>41012_1</v>
          </cell>
        </row>
        <row r="838">
          <cell r="A838" t="str">
            <v>41012_2</v>
          </cell>
        </row>
        <row r="839">
          <cell r="A839" t="str">
            <v>41013_1</v>
          </cell>
        </row>
        <row r="840">
          <cell r="A840" t="str">
            <v>41013_2</v>
          </cell>
        </row>
        <row r="841">
          <cell r="A841" t="str">
            <v>41014_1</v>
          </cell>
        </row>
        <row r="842">
          <cell r="A842" t="str">
            <v>41014_2</v>
          </cell>
        </row>
        <row r="843">
          <cell r="A843" t="str">
            <v>41015_1</v>
          </cell>
        </row>
        <row r="844">
          <cell r="A844" t="str">
            <v>41015_2</v>
          </cell>
        </row>
        <row r="845">
          <cell r="A845" t="str">
            <v>47001_1</v>
          </cell>
        </row>
        <row r="846">
          <cell r="A846" t="str">
            <v>47001_2</v>
          </cell>
        </row>
        <row r="847">
          <cell r="A847" t="str">
            <v>47002_1</v>
          </cell>
        </row>
        <row r="848">
          <cell r="A848" t="str">
            <v>47002_2</v>
          </cell>
        </row>
        <row r="849">
          <cell r="A849" t="str">
            <v>47003_1</v>
          </cell>
        </row>
        <row r="850">
          <cell r="A850" t="str">
            <v>47003_2</v>
          </cell>
        </row>
        <row r="851">
          <cell r="A851" t="str">
            <v>47003_3</v>
          </cell>
        </row>
        <row r="852">
          <cell r="A852" t="str">
            <v>47003_4</v>
          </cell>
        </row>
        <row r="853">
          <cell r="A853" t="str">
            <v>47004_1</v>
          </cell>
        </row>
        <row r="854">
          <cell r="A854" t="str">
            <v>47004_2</v>
          </cell>
        </row>
        <row r="855">
          <cell r="A855" t="str">
            <v>47004_3</v>
          </cell>
        </row>
        <row r="856">
          <cell r="A856" t="str">
            <v>47004_4</v>
          </cell>
        </row>
        <row r="857">
          <cell r="A857" t="str">
            <v>47005_1</v>
          </cell>
        </row>
        <row r="858">
          <cell r="A858" t="str">
            <v>47006_1</v>
          </cell>
        </row>
        <row r="859">
          <cell r="A859" t="str">
            <v>47006_2</v>
          </cell>
        </row>
        <row r="860">
          <cell r="A860" t="str">
            <v>47007_1</v>
          </cell>
        </row>
        <row r="861">
          <cell r="A861" t="str">
            <v>47007_2</v>
          </cell>
        </row>
        <row r="862">
          <cell r="A862" t="str">
            <v>47008_1</v>
          </cell>
        </row>
        <row r="863">
          <cell r="A863" t="str">
            <v>47008_2</v>
          </cell>
        </row>
        <row r="864">
          <cell r="A864" t="str">
            <v>47009_1</v>
          </cell>
        </row>
        <row r="865">
          <cell r="A865" t="str">
            <v>47009_2</v>
          </cell>
        </row>
        <row r="866">
          <cell r="A866" t="str">
            <v>47010_1</v>
          </cell>
        </row>
        <row r="867">
          <cell r="A867" t="str">
            <v>47010_2</v>
          </cell>
        </row>
        <row r="868">
          <cell r="A868" t="str">
            <v>47011_1</v>
          </cell>
        </row>
        <row r="869">
          <cell r="A869" t="str">
            <v>47012_1</v>
          </cell>
        </row>
        <row r="870">
          <cell r="A870" t="str">
            <v>47012_2</v>
          </cell>
        </row>
        <row r="871">
          <cell r="A871" t="str">
            <v>47013_1</v>
          </cell>
        </row>
        <row r="872">
          <cell r="A872" t="str">
            <v>47013_2</v>
          </cell>
        </row>
        <row r="873">
          <cell r="A873" t="str">
            <v>48001_1</v>
          </cell>
        </row>
        <row r="874">
          <cell r="A874" t="str">
            <v>48002_1</v>
          </cell>
        </row>
        <row r="875">
          <cell r="A875" t="str">
            <v>48002_2</v>
          </cell>
        </row>
        <row r="876">
          <cell r="A876" t="str">
            <v>48002_3</v>
          </cell>
        </row>
        <row r="877">
          <cell r="A877" t="str">
            <v>48003_1</v>
          </cell>
        </row>
        <row r="878">
          <cell r="A878" t="str">
            <v>48003_2</v>
          </cell>
        </row>
        <row r="879">
          <cell r="A879" t="str">
            <v>48004_1</v>
          </cell>
        </row>
        <row r="880">
          <cell r="A880" t="str">
            <v>48004_2</v>
          </cell>
        </row>
        <row r="881">
          <cell r="A881" t="str">
            <v>48005_1</v>
          </cell>
        </row>
        <row r="882">
          <cell r="A882" t="str">
            <v>48005_2</v>
          </cell>
        </row>
        <row r="883">
          <cell r="A883" t="str">
            <v>48006_1</v>
          </cell>
        </row>
        <row r="884">
          <cell r="A884" t="str">
            <v>48006_2</v>
          </cell>
        </row>
        <row r="885">
          <cell r="A885" t="str">
            <v>48007_1</v>
          </cell>
        </row>
        <row r="886">
          <cell r="A886" t="str">
            <v>48007_2</v>
          </cell>
        </row>
        <row r="887">
          <cell r="A887" t="str">
            <v>48008_1</v>
          </cell>
        </row>
        <row r="888">
          <cell r="A888" t="str">
            <v>48008_2</v>
          </cell>
        </row>
        <row r="889">
          <cell r="A889" t="str">
            <v>48009_1</v>
          </cell>
        </row>
        <row r="890">
          <cell r="A890" t="str">
            <v>48009_2</v>
          </cell>
        </row>
        <row r="891">
          <cell r="A891" t="str">
            <v>48010_1</v>
          </cell>
        </row>
        <row r="892">
          <cell r="A892" t="str">
            <v>48011_1</v>
          </cell>
        </row>
        <row r="893">
          <cell r="A893" t="str">
            <v>48011_2</v>
          </cell>
        </row>
        <row r="894">
          <cell r="A894" t="str">
            <v>48012_1</v>
          </cell>
        </row>
        <row r="895">
          <cell r="A895" t="str">
            <v>48012_2</v>
          </cell>
        </row>
        <row r="896">
          <cell r="A896" t="str">
            <v>48013_1</v>
          </cell>
        </row>
        <row r="897">
          <cell r="A897" t="str">
            <v>48013_2</v>
          </cell>
        </row>
        <row r="898">
          <cell r="A898" t="str">
            <v>48014_1</v>
          </cell>
        </row>
        <row r="899">
          <cell r="A899" t="str">
            <v>48014_2</v>
          </cell>
        </row>
        <row r="900">
          <cell r="A900" t="str">
            <v>48501_1</v>
          </cell>
        </row>
        <row r="901">
          <cell r="A901" t="str">
            <v>48501_2</v>
          </cell>
        </row>
        <row r="902">
          <cell r="A902" t="str">
            <v>48502_1</v>
          </cell>
        </row>
        <row r="903">
          <cell r="A903" t="str">
            <v>48502_2</v>
          </cell>
        </row>
        <row r="904">
          <cell r="A904" t="str">
            <v>48701_1</v>
          </cell>
        </row>
        <row r="905">
          <cell r="A905" t="str">
            <v>48701_2</v>
          </cell>
        </row>
        <row r="906">
          <cell r="A906" t="str">
            <v>48702_1</v>
          </cell>
        </row>
        <row r="907">
          <cell r="A907" t="str">
            <v>48702_2</v>
          </cell>
        </row>
        <row r="908">
          <cell r="A908" t="str">
            <v>49001_1</v>
          </cell>
        </row>
        <row r="909">
          <cell r="A909" t="str">
            <v>49002_1</v>
          </cell>
        </row>
        <row r="910">
          <cell r="A910" t="str">
            <v>49002_2</v>
          </cell>
        </row>
        <row r="911">
          <cell r="A911" t="str">
            <v>49003_1</v>
          </cell>
        </row>
        <row r="912">
          <cell r="A912" t="str">
            <v>49003_2</v>
          </cell>
        </row>
        <row r="913">
          <cell r="A913" t="str">
            <v>49004_1</v>
          </cell>
        </row>
        <row r="914">
          <cell r="A914" t="str">
            <v>49004_2</v>
          </cell>
        </row>
        <row r="915">
          <cell r="A915" t="str">
            <v>49004_3</v>
          </cell>
        </row>
        <row r="916">
          <cell r="A916" t="str">
            <v>49005_1</v>
          </cell>
        </row>
        <row r="917">
          <cell r="A917" t="str">
            <v>49006_1</v>
          </cell>
        </row>
        <row r="918">
          <cell r="A918" t="str">
            <v>49006_2</v>
          </cell>
        </row>
        <row r="919">
          <cell r="A919" t="str">
            <v>49007_1</v>
          </cell>
        </row>
        <row r="920">
          <cell r="A920" t="str">
            <v>49007_2</v>
          </cell>
        </row>
        <row r="921">
          <cell r="A921" t="str">
            <v>49007_3</v>
          </cell>
        </row>
        <row r="922">
          <cell r="A922" t="str">
            <v>49008_1</v>
          </cell>
        </row>
        <row r="923">
          <cell r="A923" t="str">
            <v>49009_1</v>
          </cell>
        </row>
        <row r="924">
          <cell r="A924" t="str">
            <v>49010_1</v>
          </cell>
        </row>
        <row r="925">
          <cell r="A925" t="str">
            <v>49011_1</v>
          </cell>
        </row>
        <row r="926">
          <cell r="A926" t="str">
            <v>49012_1</v>
          </cell>
        </row>
        <row r="927">
          <cell r="A927" t="str">
            <v>49013_1</v>
          </cell>
        </row>
        <row r="928">
          <cell r="A928" t="str">
            <v>49014_1</v>
          </cell>
        </row>
        <row r="929">
          <cell r="A929" t="str">
            <v>49014_2</v>
          </cell>
        </row>
        <row r="930">
          <cell r="A930" t="str">
            <v>49015_1</v>
          </cell>
        </row>
        <row r="931">
          <cell r="A931" t="str">
            <v>49015_2</v>
          </cell>
        </row>
        <row r="932">
          <cell r="A932" t="str">
            <v>49015_3</v>
          </cell>
        </row>
        <row r="933">
          <cell r="A933" t="str">
            <v>49016_1</v>
          </cell>
        </row>
        <row r="934">
          <cell r="A934" t="str">
            <v>49016_2</v>
          </cell>
        </row>
        <row r="935">
          <cell r="A935" t="str">
            <v>50001_1</v>
          </cell>
        </row>
        <row r="936">
          <cell r="A936" t="str">
            <v>50002_1</v>
          </cell>
        </row>
        <row r="937">
          <cell r="A937" t="str">
            <v>50003_1</v>
          </cell>
        </row>
        <row r="938">
          <cell r="A938" t="str">
            <v>50004_1</v>
          </cell>
        </row>
        <row r="939">
          <cell r="A939" t="str">
            <v>50005_1</v>
          </cell>
        </row>
        <row r="940">
          <cell r="A940" t="str">
            <v>50006_1</v>
          </cell>
        </row>
        <row r="941">
          <cell r="A941" t="str">
            <v>50007_1</v>
          </cell>
        </row>
        <row r="942">
          <cell r="A942" t="str">
            <v>50008_1</v>
          </cell>
        </row>
        <row r="943">
          <cell r="A943" t="str">
            <v>50009_1</v>
          </cell>
        </row>
        <row r="944">
          <cell r="A944" t="str">
            <v>50010_1</v>
          </cell>
        </row>
        <row r="945">
          <cell r="A945" t="str">
            <v>50011_1</v>
          </cell>
        </row>
        <row r="946">
          <cell r="A946" t="str">
            <v>50012_1</v>
          </cell>
        </row>
        <row r="947">
          <cell r="A947" t="str">
            <v>50013_1</v>
          </cell>
        </row>
        <row r="948">
          <cell r="A948" t="str">
            <v>50014_1</v>
          </cell>
        </row>
        <row r="949">
          <cell r="A949" t="str">
            <v>50015_1</v>
          </cell>
        </row>
        <row r="950">
          <cell r="A950" t="str">
            <v>50016_1</v>
          </cell>
        </row>
        <row r="951">
          <cell r="A951" t="str">
            <v>51001_1</v>
          </cell>
        </row>
        <row r="952">
          <cell r="A952" t="str">
            <v>51002_1</v>
          </cell>
        </row>
        <row r="953">
          <cell r="A953" t="str">
            <v>58001_1</v>
          </cell>
        </row>
        <row r="954">
          <cell r="A954" t="str">
            <v>58002_1</v>
          </cell>
        </row>
        <row r="955">
          <cell r="A955" t="str">
            <v>59001_1</v>
          </cell>
        </row>
        <row r="956">
          <cell r="A956" t="str">
            <v>59002_1</v>
          </cell>
        </row>
        <row r="957">
          <cell r="A957" t="str">
            <v>59003_1</v>
          </cell>
        </row>
        <row r="958">
          <cell r="A958" t="str">
            <v>59003_2</v>
          </cell>
        </row>
        <row r="959">
          <cell r="A959" t="str">
            <v>60001_1</v>
          </cell>
        </row>
        <row r="960">
          <cell r="A960" t="str">
            <v>60002_1</v>
          </cell>
        </row>
        <row r="961">
          <cell r="A961" t="str">
            <v>60002_2</v>
          </cell>
        </row>
        <row r="962">
          <cell r="A962" t="str">
            <v>60003_1</v>
          </cell>
        </row>
        <row r="963">
          <cell r="A963" t="str">
            <v>60003_2</v>
          </cell>
        </row>
        <row r="964">
          <cell r="A964" t="str">
            <v>60003_3</v>
          </cell>
        </row>
        <row r="965">
          <cell r="A965" t="str">
            <v>60004_1</v>
          </cell>
        </row>
        <row r="966">
          <cell r="A966" t="str">
            <v>60005_1</v>
          </cell>
        </row>
        <row r="967">
          <cell r="A967" t="str">
            <v>60006_1</v>
          </cell>
        </row>
        <row r="968">
          <cell r="A968" t="str">
            <v>60006_2</v>
          </cell>
        </row>
        <row r="969">
          <cell r="A969" t="str">
            <v>60006_3</v>
          </cell>
        </row>
        <row r="970">
          <cell r="A970" t="str">
            <v>60007_1</v>
          </cell>
        </row>
        <row r="971">
          <cell r="A971" t="str">
            <v>60007_2</v>
          </cell>
        </row>
        <row r="972">
          <cell r="A972" t="str">
            <v>60007_3</v>
          </cell>
        </row>
        <row r="973">
          <cell r="A973" t="str">
            <v>60010_1</v>
          </cell>
        </row>
        <row r="974">
          <cell r="A974" t="str">
            <v>60011_1</v>
          </cell>
        </row>
        <row r="975">
          <cell r="A975" t="str">
            <v>60011_2</v>
          </cell>
        </row>
        <row r="976">
          <cell r="A976" t="str">
            <v>60012_1</v>
          </cell>
        </row>
        <row r="977">
          <cell r="A977" t="str">
            <v>60013_1</v>
          </cell>
        </row>
        <row r="978">
          <cell r="A978" t="str">
            <v>60013_2</v>
          </cell>
        </row>
        <row r="979">
          <cell r="A979" t="str">
            <v>60013_3</v>
          </cell>
        </row>
        <row r="980">
          <cell r="A980" t="str">
            <v>60014_1</v>
          </cell>
        </row>
        <row r="981">
          <cell r="A981" t="str">
            <v>60015_1</v>
          </cell>
        </row>
        <row r="982">
          <cell r="A982" t="str">
            <v>60016_1</v>
          </cell>
        </row>
        <row r="983">
          <cell r="A983" t="str">
            <v>60017_1</v>
          </cell>
        </row>
        <row r="984">
          <cell r="A984" t="str">
            <v>60018_1</v>
          </cell>
        </row>
        <row r="985">
          <cell r="A985" t="str">
            <v>60019_1</v>
          </cell>
        </row>
        <row r="986">
          <cell r="A986" t="str">
            <v>60020_1</v>
          </cell>
        </row>
        <row r="987">
          <cell r="A987" t="str">
            <v>60021_3</v>
          </cell>
        </row>
        <row r="988">
          <cell r="A988" t="str">
            <v>60022_3</v>
          </cell>
        </row>
        <row r="989">
          <cell r="A989" t="str">
            <v>60023_3</v>
          </cell>
        </row>
        <row r="990">
          <cell r="A990" t="str">
            <v>60024_3</v>
          </cell>
        </row>
        <row r="991">
          <cell r="A991" t="str">
            <v>60025_1</v>
          </cell>
        </row>
        <row r="992">
          <cell r="A992" t="str">
            <v>60026_1</v>
          </cell>
        </row>
        <row r="993">
          <cell r="A993" t="str">
            <v>61011_1</v>
          </cell>
        </row>
        <row r="994">
          <cell r="A994" t="str">
            <v>60027_1</v>
          </cell>
        </row>
        <row r="995">
          <cell r="A995" t="str">
            <v>60028_1</v>
          </cell>
        </row>
        <row r="996">
          <cell r="A996" t="str">
            <v>60029_1</v>
          </cell>
        </row>
        <row r="997">
          <cell r="A997" t="str">
            <v>60030_1</v>
          </cell>
        </row>
        <row r="998">
          <cell r="A998" t="str">
            <v>65523_1</v>
          </cell>
        </row>
        <row r="999">
          <cell r="A999" t="str">
            <v>65523_2</v>
          </cell>
        </row>
        <row r="1000">
          <cell r="A1000" t="str">
            <v>65523_3</v>
          </cell>
        </row>
        <row r="1001">
          <cell r="A1001" t="str">
            <v>65524_1</v>
          </cell>
        </row>
        <row r="1002">
          <cell r="A1002" t="str">
            <v>65524_2</v>
          </cell>
        </row>
        <row r="1003">
          <cell r="A1003" t="str">
            <v>65525_1</v>
          </cell>
        </row>
        <row r="1004">
          <cell r="A1004" t="str">
            <v>65526_1</v>
          </cell>
        </row>
        <row r="1005">
          <cell r="A1005" t="str">
            <v>65526_2</v>
          </cell>
        </row>
        <row r="1006">
          <cell r="A1006" t="str">
            <v>65527_1</v>
          </cell>
        </row>
        <row r="1007">
          <cell r="A1007" t="str">
            <v>65528_1</v>
          </cell>
        </row>
        <row r="1008">
          <cell r="A1008" t="str">
            <v>65529_1</v>
          </cell>
        </row>
        <row r="1009">
          <cell r="A1009" t="str">
            <v>65530_1</v>
          </cell>
        </row>
        <row r="1010">
          <cell r="A1010" t="str">
            <v>65531_1</v>
          </cell>
        </row>
        <row r="1011">
          <cell r="A1011" t="str">
            <v>65531_2</v>
          </cell>
        </row>
        <row r="1012">
          <cell r="A1012" t="str">
            <v>65532_1</v>
          </cell>
        </row>
        <row r="1013">
          <cell r="A1013" t="str">
            <v>65532_2</v>
          </cell>
        </row>
        <row r="1014">
          <cell r="A1014" t="str">
            <v>65533_1</v>
          </cell>
        </row>
        <row r="1015">
          <cell r="A1015" t="str">
            <v>65533_2</v>
          </cell>
        </row>
        <row r="1016">
          <cell r="A1016" t="str">
            <v>65534_1</v>
          </cell>
        </row>
        <row r="1017">
          <cell r="A1017" t="str">
            <v>65534_2</v>
          </cell>
        </row>
        <row r="1018">
          <cell r="A1018" t="str">
            <v>65535_1</v>
          </cell>
        </row>
        <row r="1019">
          <cell r="A1019" t="str">
            <v>65535_2</v>
          </cell>
        </row>
        <row r="1020">
          <cell r="A1020" t="str">
            <v>65535_3</v>
          </cell>
        </row>
        <row r="1021">
          <cell r="A1021" t="str">
            <v>65535_4</v>
          </cell>
        </row>
        <row r="1022">
          <cell r="A1022" t="str">
            <v>65535_5</v>
          </cell>
        </row>
        <row r="1023">
          <cell r="A1023" t="str">
            <v>65535_6</v>
          </cell>
        </row>
        <row r="1024">
          <cell r="A1024" t="str">
            <v>65535_7</v>
          </cell>
        </row>
        <row r="1025">
          <cell r="A1025" t="str">
            <v>65535_8</v>
          </cell>
        </row>
        <row r="1026">
          <cell r="A1026" t="str">
            <v>65535_9</v>
          </cell>
        </row>
        <row r="1027">
          <cell r="A1027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1407</v>
          </cell>
        </row>
        <row r="1343">
          <cell r="A1343">
            <v>1408</v>
          </cell>
        </row>
        <row r="1344">
          <cell r="A1344">
            <v>1409</v>
          </cell>
        </row>
        <row r="1345">
          <cell r="A1345">
            <v>1410</v>
          </cell>
        </row>
        <row r="1346">
          <cell r="A1346">
            <v>1431</v>
          </cell>
        </row>
        <row r="1347">
          <cell r="A1347">
            <v>1432</v>
          </cell>
        </row>
        <row r="1348">
          <cell r="A1348">
            <v>1436</v>
          </cell>
        </row>
        <row r="1349">
          <cell r="A1349">
            <v>1437</v>
          </cell>
        </row>
        <row r="1350">
          <cell r="A1350">
            <v>1438</v>
          </cell>
        </row>
        <row r="1351">
          <cell r="A1351">
            <v>1439</v>
          </cell>
        </row>
        <row r="1352">
          <cell r="A1352">
            <v>1440</v>
          </cell>
        </row>
        <row r="1353">
          <cell r="A1353">
            <v>1441</v>
          </cell>
        </row>
        <row r="1354">
          <cell r="A1354">
            <v>1442</v>
          </cell>
        </row>
        <row r="1355">
          <cell r="A1355">
            <v>1443</v>
          </cell>
        </row>
        <row r="1356">
          <cell r="A1356">
            <v>1444</v>
          </cell>
        </row>
        <row r="1357">
          <cell r="A1357">
            <v>1445</v>
          </cell>
        </row>
        <row r="1358">
          <cell r="A1358">
            <v>1446</v>
          </cell>
        </row>
        <row r="1359">
          <cell r="A1359">
            <v>1447</v>
          </cell>
        </row>
        <row r="1360">
          <cell r="A1360">
            <v>1448</v>
          </cell>
        </row>
        <row r="1361">
          <cell r="A1361">
            <v>1449</v>
          </cell>
        </row>
        <row r="1362">
          <cell r="A1362">
            <v>1450</v>
          </cell>
        </row>
        <row r="1363">
          <cell r="A1363">
            <v>1451</v>
          </cell>
        </row>
        <row r="1364">
          <cell r="A1364">
            <v>1466</v>
          </cell>
        </row>
        <row r="1365">
          <cell r="A1365">
            <v>1467</v>
          </cell>
        </row>
        <row r="1366">
          <cell r="A1366">
            <v>1468</v>
          </cell>
        </row>
        <row r="1367">
          <cell r="A1367">
            <v>1469</v>
          </cell>
        </row>
        <row r="1368">
          <cell r="A1368">
            <v>1470</v>
          </cell>
        </row>
        <row r="1369">
          <cell r="A1369">
            <v>1471</v>
          </cell>
        </row>
        <row r="1370">
          <cell r="A1370">
            <v>1495</v>
          </cell>
        </row>
        <row r="1371">
          <cell r="A1371">
            <v>1496</v>
          </cell>
        </row>
        <row r="1372">
          <cell r="A1372">
            <v>1497</v>
          </cell>
        </row>
        <row r="1373">
          <cell r="A1373">
            <v>1498</v>
          </cell>
        </row>
        <row r="1374">
          <cell r="A1374">
            <v>1499</v>
          </cell>
        </row>
        <row r="1375">
          <cell r="A1375">
            <v>1500</v>
          </cell>
        </row>
        <row r="1376">
          <cell r="A1376">
            <v>1501</v>
          </cell>
        </row>
        <row r="1377">
          <cell r="A1377">
            <v>1502</v>
          </cell>
        </row>
        <row r="1378">
          <cell r="A1378">
            <v>1503</v>
          </cell>
        </row>
        <row r="1379">
          <cell r="A1379">
            <v>1504</v>
          </cell>
        </row>
        <row r="1380">
          <cell r="A1380">
            <v>1505</v>
          </cell>
        </row>
        <row r="1381">
          <cell r="A1381">
            <v>1506</v>
          </cell>
        </row>
        <row r="1382">
          <cell r="A1382">
            <v>1507</v>
          </cell>
        </row>
        <row r="1383">
          <cell r="A1383">
            <v>1508</v>
          </cell>
        </row>
        <row r="1384">
          <cell r="A1384">
            <v>1509</v>
          </cell>
        </row>
        <row r="1385">
          <cell r="A1385">
            <v>1510</v>
          </cell>
        </row>
        <row r="1386">
          <cell r="A1386">
            <v>1511</v>
          </cell>
        </row>
        <row r="1387">
          <cell r="A1387">
            <v>1512</v>
          </cell>
        </row>
        <row r="1388">
          <cell r="A1388">
            <v>1523</v>
          </cell>
        </row>
        <row r="1389">
          <cell r="A1389">
            <v>1524</v>
          </cell>
        </row>
        <row r="1390">
          <cell r="A1390">
            <v>1525</v>
          </cell>
        </row>
        <row r="1391">
          <cell r="A1391">
            <v>1526</v>
          </cell>
        </row>
        <row r="1392">
          <cell r="A1392">
            <v>1551</v>
          </cell>
        </row>
        <row r="1393">
          <cell r="A1393">
            <v>1552</v>
          </cell>
        </row>
        <row r="1394">
          <cell r="A1394">
            <v>1553</v>
          </cell>
        </row>
        <row r="1395">
          <cell r="A1395">
            <v>1554</v>
          </cell>
        </row>
        <row r="1396">
          <cell r="A1396">
            <v>1555</v>
          </cell>
        </row>
        <row r="1397">
          <cell r="A1397">
            <v>1556</v>
          </cell>
        </row>
        <row r="1398">
          <cell r="A1398">
            <v>1557</v>
          </cell>
        </row>
        <row r="1399">
          <cell r="A1399">
            <v>1558</v>
          </cell>
        </row>
        <row r="1400">
          <cell r="A1400">
            <v>1559</v>
          </cell>
        </row>
        <row r="1401">
          <cell r="A1401">
            <v>1560</v>
          </cell>
        </row>
        <row r="1402">
          <cell r="A1402">
            <v>1561</v>
          </cell>
        </row>
        <row r="1403">
          <cell r="A1403">
            <v>1562</v>
          </cell>
        </row>
        <row r="1404">
          <cell r="A1404">
            <v>1563</v>
          </cell>
        </row>
        <row r="1405">
          <cell r="A1405">
            <v>1564</v>
          </cell>
        </row>
        <row r="1406">
          <cell r="A1406">
            <v>1565</v>
          </cell>
        </row>
        <row r="1407">
          <cell r="A1407">
            <v>1566</v>
          </cell>
        </row>
        <row r="1408">
          <cell r="A1408">
            <v>1567</v>
          </cell>
        </row>
        <row r="1409">
          <cell r="A1409">
            <v>1568</v>
          </cell>
        </row>
        <row r="1410">
          <cell r="A1410">
            <v>1569</v>
          </cell>
        </row>
        <row r="1411">
          <cell r="A1411">
            <v>1570</v>
          </cell>
        </row>
        <row r="1412">
          <cell r="A1412">
            <v>1571</v>
          </cell>
        </row>
        <row r="1413">
          <cell r="A1413">
            <v>1572</v>
          </cell>
        </row>
        <row r="1414">
          <cell r="A1414">
            <v>1573</v>
          </cell>
        </row>
        <row r="1415">
          <cell r="A1415">
            <v>1574</v>
          </cell>
        </row>
        <row r="1416">
          <cell r="A1416">
            <v>1575</v>
          </cell>
        </row>
        <row r="1417">
          <cell r="A1417">
            <v>1576</v>
          </cell>
        </row>
        <row r="1418">
          <cell r="A1418">
            <v>1577</v>
          </cell>
        </row>
        <row r="1419">
          <cell r="A1419">
            <v>1578</v>
          </cell>
        </row>
        <row r="1420">
          <cell r="A1420">
            <v>1579</v>
          </cell>
        </row>
        <row r="1421">
          <cell r="A1421">
            <v>1580</v>
          </cell>
        </row>
        <row r="1422">
          <cell r="A1422">
            <v>1581</v>
          </cell>
        </row>
        <row r="1423">
          <cell r="A1423">
            <v>1582</v>
          </cell>
        </row>
        <row r="1424">
          <cell r="A1424">
            <v>1583</v>
          </cell>
        </row>
        <row r="1425">
          <cell r="A1425">
            <v>1584</v>
          </cell>
        </row>
        <row r="1426">
          <cell r="A1426">
            <v>1585</v>
          </cell>
        </row>
        <row r="1427">
          <cell r="A1427">
            <v>1586</v>
          </cell>
        </row>
        <row r="1428">
          <cell r="A1428">
            <v>1587</v>
          </cell>
        </row>
        <row r="1429">
          <cell r="A1429">
            <v>1588</v>
          </cell>
        </row>
        <row r="1430">
          <cell r="A1430">
            <v>5001</v>
          </cell>
        </row>
        <row r="1431">
          <cell r="A1431">
            <v>5002</v>
          </cell>
        </row>
        <row r="1432">
          <cell r="A1432">
            <v>5003</v>
          </cell>
        </row>
        <row r="1433">
          <cell r="A1433">
            <v>5004</v>
          </cell>
        </row>
        <row r="1434">
          <cell r="A1434">
            <v>5005</v>
          </cell>
        </row>
        <row r="1435">
          <cell r="A1435">
            <v>5006</v>
          </cell>
        </row>
        <row r="1436">
          <cell r="A1436">
            <v>5007</v>
          </cell>
        </row>
        <row r="1437">
          <cell r="A1437">
            <v>5008</v>
          </cell>
        </row>
        <row r="1438">
          <cell r="A1438">
            <v>6001</v>
          </cell>
        </row>
        <row r="1439">
          <cell r="A1439">
            <v>6002</v>
          </cell>
        </row>
        <row r="1440">
          <cell r="A1440">
            <v>6003</v>
          </cell>
        </row>
        <row r="1441">
          <cell r="A1441">
            <v>6004</v>
          </cell>
        </row>
        <row r="1442">
          <cell r="A1442">
            <v>6005</v>
          </cell>
        </row>
        <row r="1443">
          <cell r="A1443">
            <v>6006</v>
          </cell>
        </row>
        <row r="1444">
          <cell r="A1444">
            <v>6007</v>
          </cell>
        </row>
        <row r="1445">
          <cell r="A1445">
            <v>6008</v>
          </cell>
        </row>
        <row r="1446">
          <cell r="A1446">
            <v>6009</v>
          </cell>
        </row>
        <row r="1447">
          <cell r="A1447">
            <v>6010</v>
          </cell>
        </row>
        <row r="1448">
          <cell r="A1448">
            <v>6011</v>
          </cell>
        </row>
        <row r="1449">
          <cell r="A1449">
            <v>6012</v>
          </cell>
        </row>
        <row r="1450">
          <cell r="A1450">
            <v>6013</v>
          </cell>
        </row>
        <row r="1451">
          <cell r="A1451">
            <v>6014</v>
          </cell>
        </row>
        <row r="1452">
          <cell r="A1452">
            <v>6015</v>
          </cell>
        </row>
        <row r="1453">
          <cell r="A1453">
            <v>6016</v>
          </cell>
        </row>
        <row r="1454">
          <cell r="A1454">
            <v>6017</v>
          </cell>
        </row>
        <row r="1455">
          <cell r="A1455">
            <v>6018</v>
          </cell>
        </row>
        <row r="1456">
          <cell r="A1456">
            <v>6019</v>
          </cell>
        </row>
        <row r="1457">
          <cell r="A1457">
            <v>6020</v>
          </cell>
        </row>
        <row r="1458">
          <cell r="A1458">
            <v>8001</v>
          </cell>
        </row>
        <row r="1459">
          <cell r="A1459">
            <v>8002</v>
          </cell>
        </row>
        <row r="1460">
          <cell r="A1460">
            <v>8003</v>
          </cell>
        </row>
        <row r="1461">
          <cell r="A1461">
            <v>8004</v>
          </cell>
        </row>
        <row r="1462">
          <cell r="A1462">
            <v>8005</v>
          </cell>
        </row>
        <row r="1463">
          <cell r="A1463">
            <v>8006</v>
          </cell>
        </row>
        <row r="1464">
          <cell r="A1464">
            <v>8007</v>
          </cell>
        </row>
        <row r="1465">
          <cell r="A1465">
            <v>8008</v>
          </cell>
        </row>
        <row r="1466">
          <cell r="A1466">
            <v>8009</v>
          </cell>
        </row>
        <row r="1467">
          <cell r="A1467">
            <v>8010</v>
          </cell>
        </row>
        <row r="1468">
          <cell r="A1468">
            <v>8011</v>
          </cell>
        </row>
        <row r="1469">
          <cell r="A1469">
            <v>8012</v>
          </cell>
        </row>
        <row r="1470">
          <cell r="A1470">
            <v>8013</v>
          </cell>
        </row>
        <row r="1471">
          <cell r="A1471">
            <v>8014</v>
          </cell>
        </row>
        <row r="1472">
          <cell r="A1472">
            <v>8015</v>
          </cell>
        </row>
        <row r="1473">
          <cell r="A1473">
            <v>8016</v>
          </cell>
        </row>
        <row r="1474">
          <cell r="A1474">
            <v>8017</v>
          </cell>
        </row>
        <row r="1475">
          <cell r="A1475">
            <v>8018</v>
          </cell>
        </row>
        <row r="1476">
          <cell r="A1476">
            <v>8019</v>
          </cell>
        </row>
        <row r="1477">
          <cell r="A1477">
            <v>8020</v>
          </cell>
        </row>
        <row r="1478">
          <cell r="A1478">
            <v>8021</v>
          </cell>
        </row>
        <row r="1479">
          <cell r="A1479">
            <v>8022</v>
          </cell>
        </row>
        <row r="1480">
          <cell r="A1480">
            <v>8023</v>
          </cell>
        </row>
        <row r="1481">
          <cell r="A1481">
            <v>8024</v>
          </cell>
        </row>
        <row r="1482">
          <cell r="A1482">
            <v>8025</v>
          </cell>
        </row>
        <row r="1483">
          <cell r="A1483">
            <v>8026</v>
          </cell>
        </row>
        <row r="1484">
          <cell r="A1484">
            <v>8027</v>
          </cell>
        </row>
        <row r="1485">
          <cell r="A1485">
            <v>8028</v>
          </cell>
        </row>
        <row r="1486">
          <cell r="A1486">
            <v>8029</v>
          </cell>
        </row>
        <row r="1487">
          <cell r="A1487">
            <v>8030</v>
          </cell>
        </row>
        <row r="1488">
          <cell r="A1488">
            <v>8031</v>
          </cell>
        </row>
        <row r="1489">
          <cell r="A1489">
            <v>8032</v>
          </cell>
        </row>
        <row r="1490">
          <cell r="A1490">
            <v>8033</v>
          </cell>
        </row>
        <row r="1491">
          <cell r="A1491">
            <v>8034</v>
          </cell>
        </row>
        <row r="1492">
          <cell r="A1492">
            <v>8035</v>
          </cell>
        </row>
        <row r="1493">
          <cell r="A1493">
            <v>8036</v>
          </cell>
        </row>
        <row r="1494">
          <cell r="A1494">
            <v>8037</v>
          </cell>
        </row>
        <row r="1495">
          <cell r="A1495">
            <v>8038</v>
          </cell>
        </row>
        <row r="1496">
          <cell r="A1496">
            <v>8039</v>
          </cell>
        </row>
        <row r="1497">
          <cell r="A1497">
            <v>8040</v>
          </cell>
        </row>
        <row r="1498">
          <cell r="A1498">
            <v>8041</v>
          </cell>
        </row>
        <row r="1499">
          <cell r="A1499">
            <v>8042</v>
          </cell>
        </row>
        <row r="1500">
          <cell r="A1500">
            <v>8043</v>
          </cell>
        </row>
        <row r="1501">
          <cell r="A1501">
            <v>8044</v>
          </cell>
        </row>
        <row r="1502">
          <cell r="A1502">
            <v>8045</v>
          </cell>
        </row>
        <row r="1503">
          <cell r="A1503">
            <v>8046</v>
          </cell>
        </row>
        <row r="1504">
          <cell r="A1504">
            <v>8047</v>
          </cell>
        </row>
        <row r="1505">
          <cell r="A1505">
            <v>8048</v>
          </cell>
        </row>
        <row r="1506">
          <cell r="A1506">
            <v>8049</v>
          </cell>
        </row>
        <row r="1507">
          <cell r="A1507">
            <v>8050</v>
          </cell>
        </row>
        <row r="1508">
          <cell r="A1508">
            <v>8051</v>
          </cell>
        </row>
        <row r="1509">
          <cell r="A1509">
            <v>8052</v>
          </cell>
        </row>
        <row r="1510">
          <cell r="A1510">
            <v>8053</v>
          </cell>
        </row>
        <row r="1511">
          <cell r="A1511">
            <v>8054</v>
          </cell>
        </row>
        <row r="1512">
          <cell r="A1512">
            <v>8055</v>
          </cell>
        </row>
        <row r="1513">
          <cell r="A1513">
            <v>8056</v>
          </cell>
        </row>
        <row r="1514">
          <cell r="A1514">
            <v>8057</v>
          </cell>
        </row>
        <row r="1515">
          <cell r="A1515">
            <v>8058</v>
          </cell>
        </row>
        <row r="1516">
          <cell r="A1516">
            <v>8059</v>
          </cell>
        </row>
        <row r="1517">
          <cell r="A1517">
            <v>8060</v>
          </cell>
        </row>
        <row r="1518">
          <cell r="A1518">
            <v>8061</v>
          </cell>
        </row>
        <row r="1519">
          <cell r="A1519">
            <v>8062</v>
          </cell>
        </row>
        <row r="1520">
          <cell r="A1520">
            <v>8063</v>
          </cell>
        </row>
        <row r="1521">
          <cell r="A1521">
            <v>8064</v>
          </cell>
        </row>
        <row r="1522">
          <cell r="A1522">
            <v>8065</v>
          </cell>
        </row>
        <row r="1523">
          <cell r="A1523">
            <v>8066</v>
          </cell>
        </row>
        <row r="1524">
          <cell r="A1524">
            <v>8067</v>
          </cell>
        </row>
        <row r="1525">
          <cell r="A1525">
            <v>8068</v>
          </cell>
        </row>
        <row r="1526">
          <cell r="A1526">
            <v>8069</v>
          </cell>
        </row>
        <row r="1527">
          <cell r="A1527">
            <v>8070</v>
          </cell>
        </row>
        <row r="1528">
          <cell r="A1528">
            <v>8071</v>
          </cell>
        </row>
        <row r="1529">
          <cell r="A1529">
            <v>8072</v>
          </cell>
        </row>
        <row r="1530">
          <cell r="A1530">
            <v>8073</v>
          </cell>
        </row>
        <row r="1531">
          <cell r="A1531">
            <v>8074</v>
          </cell>
        </row>
        <row r="1532">
          <cell r="A1532">
            <v>8077</v>
          </cell>
        </row>
        <row r="1533">
          <cell r="A1533">
            <v>8078</v>
          </cell>
        </row>
        <row r="1534">
          <cell r="A1534">
            <v>8079</v>
          </cell>
        </row>
        <row r="1535">
          <cell r="A1535">
            <v>8080</v>
          </cell>
        </row>
        <row r="1536">
          <cell r="A1536">
            <v>8081</v>
          </cell>
        </row>
        <row r="1537">
          <cell r="A1537">
            <v>8082</v>
          </cell>
        </row>
        <row r="1538">
          <cell r="A1538">
            <v>8083</v>
          </cell>
        </row>
        <row r="1539">
          <cell r="A1539">
            <v>8084</v>
          </cell>
        </row>
        <row r="1540">
          <cell r="A1540">
            <v>8085</v>
          </cell>
        </row>
        <row r="1541">
          <cell r="A1541">
            <v>8086</v>
          </cell>
        </row>
        <row r="1542">
          <cell r="A1542">
            <v>8087</v>
          </cell>
        </row>
        <row r="1543">
          <cell r="A1543">
            <v>8088</v>
          </cell>
        </row>
        <row r="1544">
          <cell r="A1544">
            <v>8089</v>
          </cell>
        </row>
        <row r="1545">
          <cell r="A1545">
            <v>8090</v>
          </cell>
        </row>
        <row r="1546">
          <cell r="A1546">
            <v>8095</v>
          </cell>
        </row>
        <row r="1547">
          <cell r="A1547">
            <v>8096</v>
          </cell>
        </row>
        <row r="1548">
          <cell r="A1548">
            <v>8097</v>
          </cell>
        </row>
        <row r="1549">
          <cell r="A1549">
            <v>8098</v>
          </cell>
        </row>
        <row r="1550">
          <cell r="A1550">
            <v>8099</v>
          </cell>
        </row>
        <row r="1551">
          <cell r="A1551">
            <v>8100</v>
          </cell>
        </row>
        <row r="1552">
          <cell r="A1552">
            <v>8101</v>
          </cell>
        </row>
        <row r="1553">
          <cell r="A1553">
            <v>8102</v>
          </cell>
        </row>
        <row r="1554">
          <cell r="A1554">
            <v>8103</v>
          </cell>
        </row>
        <row r="1555">
          <cell r="A1555">
            <v>8104</v>
          </cell>
        </row>
        <row r="1556">
          <cell r="A1556">
            <v>8105</v>
          </cell>
        </row>
        <row r="1557">
          <cell r="A1557">
            <v>8106</v>
          </cell>
        </row>
        <row r="1558">
          <cell r="A1558">
            <v>9001</v>
          </cell>
        </row>
        <row r="1559">
          <cell r="A1559">
            <v>9002</v>
          </cell>
        </row>
        <row r="1560">
          <cell r="A1560">
            <v>9003</v>
          </cell>
        </row>
        <row r="1561">
          <cell r="A1561">
            <v>9004</v>
          </cell>
        </row>
        <row r="1562">
          <cell r="A1562">
            <v>9005</v>
          </cell>
        </row>
        <row r="1563">
          <cell r="A1563">
            <v>9006</v>
          </cell>
        </row>
        <row r="1564">
          <cell r="A1564">
            <v>9007</v>
          </cell>
        </row>
        <row r="1565">
          <cell r="A1565">
            <v>9008</v>
          </cell>
        </row>
        <row r="1566">
          <cell r="A1566">
            <v>10101</v>
          </cell>
        </row>
        <row r="1567">
          <cell r="A1567">
            <v>10102</v>
          </cell>
        </row>
        <row r="1568">
          <cell r="A1568">
            <v>10103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1613</v>
          </cell>
        </row>
        <row r="1563">
          <cell r="A1563">
            <v>1614</v>
          </cell>
        </row>
        <row r="1564">
          <cell r="A1564">
            <v>5001</v>
          </cell>
        </row>
        <row r="1565">
          <cell r="A1565">
            <v>5002</v>
          </cell>
        </row>
        <row r="1566">
          <cell r="A1566">
            <v>5003</v>
          </cell>
        </row>
        <row r="1567">
          <cell r="A1567">
            <v>5004</v>
          </cell>
        </row>
        <row r="1568">
          <cell r="A1568">
            <v>5005</v>
          </cell>
        </row>
        <row r="1569">
          <cell r="A1569">
            <v>5006</v>
          </cell>
        </row>
        <row r="1570">
          <cell r="A1570">
            <v>5007</v>
          </cell>
        </row>
        <row r="1571">
          <cell r="A1571">
            <v>5008</v>
          </cell>
        </row>
        <row r="1572">
          <cell r="A1572">
            <v>6001</v>
          </cell>
        </row>
        <row r="1573">
          <cell r="A1573">
            <v>6002</v>
          </cell>
        </row>
        <row r="1574">
          <cell r="A1574">
            <v>6003</v>
          </cell>
        </row>
        <row r="1575">
          <cell r="A1575">
            <v>6004</v>
          </cell>
        </row>
        <row r="1576">
          <cell r="A1576">
            <v>6005</v>
          </cell>
        </row>
        <row r="1577">
          <cell r="A1577">
            <v>6006</v>
          </cell>
        </row>
        <row r="1578">
          <cell r="A1578">
            <v>6007</v>
          </cell>
        </row>
        <row r="1579">
          <cell r="A1579">
            <v>6008</v>
          </cell>
        </row>
        <row r="1580">
          <cell r="A1580">
            <v>6009</v>
          </cell>
        </row>
        <row r="1581">
          <cell r="A1581">
            <v>6010</v>
          </cell>
        </row>
        <row r="1582">
          <cell r="A1582">
            <v>6011</v>
          </cell>
        </row>
        <row r="1583">
          <cell r="A1583">
            <v>6012</v>
          </cell>
        </row>
        <row r="1584">
          <cell r="A1584">
            <v>6013</v>
          </cell>
        </row>
        <row r="1585">
          <cell r="A1585">
            <v>6014</v>
          </cell>
        </row>
        <row r="1586">
          <cell r="A1586">
            <v>6015</v>
          </cell>
        </row>
        <row r="1587">
          <cell r="A1587">
            <v>6016</v>
          </cell>
        </row>
        <row r="1588">
          <cell r="A1588">
            <v>6017</v>
          </cell>
        </row>
        <row r="1589">
          <cell r="A1589">
            <v>6018</v>
          </cell>
        </row>
        <row r="1590">
          <cell r="A1590">
            <v>6019</v>
          </cell>
        </row>
        <row r="1591">
          <cell r="A1591">
            <v>6020</v>
          </cell>
        </row>
        <row r="1592">
          <cell r="A1592">
            <v>8001</v>
          </cell>
        </row>
        <row r="1593">
          <cell r="A1593">
            <v>8002</v>
          </cell>
        </row>
        <row r="1594">
          <cell r="A1594">
            <v>8003</v>
          </cell>
        </row>
        <row r="1595">
          <cell r="A1595">
            <v>8004</v>
          </cell>
        </row>
        <row r="1596">
          <cell r="A1596">
            <v>8005</v>
          </cell>
        </row>
        <row r="1597">
          <cell r="A1597">
            <v>8006</v>
          </cell>
        </row>
        <row r="1598">
          <cell r="A1598">
            <v>8007</v>
          </cell>
        </row>
        <row r="1599">
          <cell r="A1599">
            <v>8008</v>
          </cell>
        </row>
        <row r="1600">
          <cell r="A1600">
            <v>8009</v>
          </cell>
        </row>
        <row r="1601">
          <cell r="A1601">
            <v>8010</v>
          </cell>
        </row>
        <row r="1602">
          <cell r="A1602">
            <v>8011</v>
          </cell>
        </row>
        <row r="1603">
          <cell r="A1603">
            <v>8012</v>
          </cell>
        </row>
        <row r="1604">
          <cell r="A1604">
            <v>8013</v>
          </cell>
        </row>
        <row r="1605">
          <cell r="A1605">
            <v>8014</v>
          </cell>
        </row>
        <row r="1606">
          <cell r="A1606">
            <v>8015</v>
          </cell>
        </row>
        <row r="1607">
          <cell r="A1607">
            <v>8016</v>
          </cell>
        </row>
        <row r="1608">
          <cell r="A1608">
            <v>8017</v>
          </cell>
        </row>
        <row r="1609">
          <cell r="A1609">
            <v>8018</v>
          </cell>
        </row>
        <row r="1610">
          <cell r="A1610">
            <v>8019</v>
          </cell>
        </row>
        <row r="1611">
          <cell r="A1611">
            <v>8020</v>
          </cell>
        </row>
        <row r="1612">
          <cell r="A1612">
            <v>8021</v>
          </cell>
        </row>
        <row r="1613">
          <cell r="A1613">
            <v>8022</v>
          </cell>
        </row>
        <row r="1614">
          <cell r="A1614">
            <v>8023</v>
          </cell>
        </row>
        <row r="1615">
          <cell r="A1615">
            <v>8024</v>
          </cell>
        </row>
        <row r="1616">
          <cell r="A1616">
            <v>8025</v>
          </cell>
        </row>
        <row r="1617">
          <cell r="A1617">
            <v>8026</v>
          </cell>
        </row>
        <row r="1618">
          <cell r="A1618">
            <v>8027</v>
          </cell>
        </row>
        <row r="1619">
          <cell r="A1619">
            <v>8028</v>
          </cell>
        </row>
        <row r="1620">
          <cell r="A1620">
            <v>8029</v>
          </cell>
        </row>
        <row r="1621">
          <cell r="A1621">
            <v>8030</v>
          </cell>
        </row>
        <row r="1622">
          <cell r="A1622">
            <v>8031</v>
          </cell>
        </row>
        <row r="1623">
          <cell r="A1623">
            <v>8032</v>
          </cell>
        </row>
        <row r="1624">
          <cell r="A1624">
            <v>8033</v>
          </cell>
        </row>
        <row r="1625">
          <cell r="A1625">
            <v>8034</v>
          </cell>
        </row>
        <row r="1626">
          <cell r="A1626">
            <v>8035</v>
          </cell>
        </row>
        <row r="1627">
          <cell r="A1627">
            <v>8036</v>
          </cell>
        </row>
        <row r="1628">
          <cell r="A1628">
            <v>8037</v>
          </cell>
        </row>
        <row r="1629">
          <cell r="A1629">
            <v>8038</v>
          </cell>
        </row>
        <row r="1630">
          <cell r="A1630">
            <v>8039</v>
          </cell>
        </row>
        <row r="1631">
          <cell r="A1631">
            <v>8040</v>
          </cell>
        </row>
        <row r="1632">
          <cell r="A1632">
            <v>8041</v>
          </cell>
        </row>
        <row r="1633">
          <cell r="A1633">
            <v>8042</v>
          </cell>
        </row>
        <row r="1634">
          <cell r="A1634">
            <v>8043</v>
          </cell>
        </row>
        <row r="1635">
          <cell r="A1635">
            <v>8044</v>
          </cell>
        </row>
        <row r="1636">
          <cell r="A1636">
            <v>8045</v>
          </cell>
        </row>
        <row r="1637">
          <cell r="A1637">
            <v>8046</v>
          </cell>
        </row>
        <row r="1638">
          <cell r="A1638">
            <v>8047</v>
          </cell>
        </row>
        <row r="1639">
          <cell r="A1639">
            <v>8048</v>
          </cell>
        </row>
        <row r="1640">
          <cell r="A1640">
            <v>8049</v>
          </cell>
        </row>
        <row r="1641">
          <cell r="A1641">
            <v>8050</v>
          </cell>
        </row>
        <row r="1642">
          <cell r="A1642">
            <v>8051</v>
          </cell>
        </row>
        <row r="1643">
          <cell r="A1643">
            <v>8052</v>
          </cell>
        </row>
        <row r="1644">
          <cell r="A1644">
            <v>8053</v>
          </cell>
        </row>
        <row r="1645">
          <cell r="A1645">
            <v>8054</v>
          </cell>
        </row>
        <row r="1646">
          <cell r="A1646">
            <v>8055</v>
          </cell>
        </row>
        <row r="1647">
          <cell r="A1647">
            <v>8056</v>
          </cell>
        </row>
        <row r="1648">
          <cell r="A1648">
            <v>8057</v>
          </cell>
        </row>
        <row r="1649">
          <cell r="A1649">
            <v>8058</v>
          </cell>
        </row>
        <row r="1650">
          <cell r="A1650">
            <v>8059</v>
          </cell>
        </row>
        <row r="1651">
          <cell r="A1651">
            <v>8060</v>
          </cell>
        </row>
        <row r="1652">
          <cell r="A1652">
            <v>8061</v>
          </cell>
        </row>
        <row r="1653">
          <cell r="A1653">
            <v>8062</v>
          </cell>
        </row>
        <row r="1654">
          <cell r="A1654">
            <v>8063</v>
          </cell>
        </row>
        <row r="1655">
          <cell r="A1655">
            <v>8064</v>
          </cell>
        </row>
        <row r="1656">
          <cell r="A1656">
            <v>8065</v>
          </cell>
        </row>
        <row r="1657">
          <cell r="A1657">
            <v>8066</v>
          </cell>
        </row>
        <row r="1658">
          <cell r="A1658">
            <v>8067</v>
          </cell>
        </row>
        <row r="1659">
          <cell r="A1659">
            <v>8068</v>
          </cell>
        </row>
        <row r="1660">
          <cell r="A1660">
            <v>8069</v>
          </cell>
        </row>
        <row r="1661">
          <cell r="A1661">
            <v>8070</v>
          </cell>
        </row>
        <row r="1662">
          <cell r="A1662">
            <v>8071</v>
          </cell>
        </row>
        <row r="1663">
          <cell r="A1663">
            <v>8072</v>
          </cell>
        </row>
        <row r="1664">
          <cell r="A1664">
            <v>8073</v>
          </cell>
        </row>
        <row r="1665">
          <cell r="A1665">
            <v>8074</v>
          </cell>
        </row>
        <row r="1666">
          <cell r="A1666">
            <v>8075</v>
          </cell>
        </row>
        <row r="1667">
          <cell r="A1667">
            <v>8076</v>
          </cell>
        </row>
        <row r="1668">
          <cell r="A1668">
            <v>8077</v>
          </cell>
        </row>
        <row r="1669">
          <cell r="A1669">
            <v>8078</v>
          </cell>
        </row>
        <row r="1670">
          <cell r="A1670">
            <v>8079</v>
          </cell>
        </row>
        <row r="1671">
          <cell r="A1671">
            <v>8080</v>
          </cell>
        </row>
        <row r="1672">
          <cell r="A1672">
            <v>8081</v>
          </cell>
        </row>
        <row r="1673">
          <cell r="A1673">
            <v>8082</v>
          </cell>
        </row>
        <row r="1674">
          <cell r="A1674">
            <v>8083</v>
          </cell>
        </row>
        <row r="1675">
          <cell r="A1675">
            <v>8084</v>
          </cell>
        </row>
        <row r="1676">
          <cell r="A1676">
            <v>8085</v>
          </cell>
        </row>
        <row r="1677">
          <cell r="A1677">
            <v>8086</v>
          </cell>
        </row>
        <row r="1678">
          <cell r="A1678">
            <v>8087</v>
          </cell>
        </row>
        <row r="1679">
          <cell r="A1679">
            <v>8088</v>
          </cell>
        </row>
        <row r="1680">
          <cell r="A1680">
            <v>8089</v>
          </cell>
        </row>
        <row r="1681">
          <cell r="A1681">
            <v>8090</v>
          </cell>
        </row>
        <row r="1682">
          <cell r="A1682">
            <v>8095</v>
          </cell>
        </row>
        <row r="1683">
          <cell r="A1683">
            <v>8096</v>
          </cell>
        </row>
        <row r="1684">
          <cell r="A1684">
            <v>8097</v>
          </cell>
        </row>
        <row r="1685">
          <cell r="A1685">
            <v>8098</v>
          </cell>
        </row>
        <row r="1686">
          <cell r="A1686">
            <v>8099</v>
          </cell>
        </row>
        <row r="1687">
          <cell r="A1687">
            <v>8100</v>
          </cell>
        </row>
        <row r="1688">
          <cell r="A1688">
            <v>8101</v>
          </cell>
        </row>
        <row r="1689">
          <cell r="A1689">
            <v>8102</v>
          </cell>
        </row>
        <row r="1690">
          <cell r="A1690">
            <v>8103</v>
          </cell>
        </row>
        <row r="1691">
          <cell r="A1691">
            <v>8104</v>
          </cell>
        </row>
        <row r="1692">
          <cell r="A1692">
            <v>8105</v>
          </cell>
        </row>
        <row r="1693">
          <cell r="A1693">
            <v>8106</v>
          </cell>
        </row>
        <row r="1694">
          <cell r="A1694">
            <v>9001</v>
          </cell>
        </row>
        <row r="1695">
          <cell r="A1695">
            <v>9002</v>
          </cell>
        </row>
        <row r="1696">
          <cell r="A1696">
            <v>9003</v>
          </cell>
        </row>
        <row r="1697">
          <cell r="A1697">
            <v>9004</v>
          </cell>
        </row>
        <row r="1698">
          <cell r="A1698">
            <v>9005</v>
          </cell>
        </row>
        <row r="1699">
          <cell r="A1699">
            <v>9006</v>
          </cell>
        </row>
        <row r="1700">
          <cell r="A1700">
            <v>9007</v>
          </cell>
        </row>
        <row r="1701">
          <cell r="A1701">
            <v>9008</v>
          </cell>
        </row>
        <row r="1702">
          <cell r="A1702">
            <v>10001</v>
          </cell>
        </row>
        <row r="1703">
          <cell r="A1703">
            <v>10002</v>
          </cell>
        </row>
        <row r="1704">
          <cell r="A1704">
            <v>10003</v>
          </cell>
        </row>
        <row r="1705">
          <cell r="A1705">
            <v>10004</v>
          </cell>
        </row>
        <row r="1706">
          <cell r="A1706">
            <v>10005</v>
          </cell>
        </row>
        <row r="1707">
          <cell r="A1707">
            <v>10006</v>
          </cell>
        </row>
        <row r="1708">
          <cell r="A1708">
            <v>10007</v>
          </cell>
        </row>
        <row r="1709">
          <cell r="A1709">
            <v>10008</v>
          </cell>
        </row>
        <row r="1710">
          <cell r="A1710">
            <v>10009</v>
          </cell>
        </row>
        <row r="1711">
          <cell r="A1711">
            <v>10010</v>
          </cell>
        </row>
        <row r="1712">
          <cell r="A1712">
            <v>10011</v>
          </cell>
        </row>
        <row r="1713">
          <cell r="A1713">
            <v>10012</v>
          </cell>
        </row>
        <row r="1714">
          <cell r="A1714">
            <v>10013</v>
          </cell>
        </row>
        <row r="1715">
          <cell r="A1715">
            <v>10014</v>
          </cell>
        </row>
        <row r="1716">
          <cell r="A1716">
            <v>10015</v>
          </cell>
        </row>
        <row r="1717">
          <cell r="A1717">
            <v>10016</v>
          </cell>
        </row>
        <row r="1718">
          <cell r="A1718">
            <v>10017</v>
          </cell>
        </row>
        <row r="1719">
          <cell r="A1719">
            <v>10018</v>
          </cell>
        </row>
        <row r="1720">
          <cell r="A1720">
            <v>10019</v>
          </cell>
        </row>
        <row r="1721">
          <cell r="A1721">
            <v>10020</v>
          </cell>
        </row>
        <row r="1722">
          <cell r="A1722">
            <v>10021</v>
          </cell>
        </row>
        <row r="1723">
          <cell r="A1723">
            <v>10022</v>
          </cell>
        </row>
        <row r="1724">
          <cell r="A1724">
            <v>10023</v>
          </cell>
        </row>
        <row r="1725">
          <cell r="A1725">
            <v>10024</v>
          </cell>
        </row>
        <row r="1726">
          <cell r="A1726">
            <v>10025</v>
          </cell>
        </row>
        <row r="1727">
          <cell r="A1727">
            <v>10026</v>
          </cell>
        </row>
        <row r="1728">
          <cell r="A1728">
            <v>10027</v>
          </cell>
        </row>
        <row r="1729">
          <cell r="A1729">
            <v>10028</v>
          </cell>
        </row>
        <row r="1730">
          <cell r="A1730">
            <v>10029</v>
          </cell>
        </row>
        <row r="1731">
          <cell r="A1731">
            <v>10030</v>
          </cell>
        </row>
        <row r="1732">
          <cell r="A1732">
            <v>10031</v>
          </cell>
        </row>
        <row r="1733">
          <cell r="A1733">
            <v>10032</v>
          </cell>
        </row>
        <row r="1734">
          <cell r="A1734">
            <v>10033</v>
          </cell>
        </row>
        <row r="1735">
          <cell r="A1735">
            <v>10034</v>
          </cell>
        </row>
        <row r="1736">
          <cell r="A1736">
            <v>10035</v>
          </cell>
        </row>
        <row r="1737">
          <cell r="A1737">
            <v>10036</v>
          </cell>
        </row>
        <row r="1738">
          <cell r="A1738">
            <v>10037</v>
          </cell>
        </row>
        <row r="1739">
          <cell r="A1739">
            <v>10038</v>
          </cell>
        </row>
        <row r="1740">
          <cell r="A1740">
            <v>10039</v>
          </cell>
        </row>
        <row r="1741">
          <cell r="A1741">
            <v>10040</v>
          </cell>
        </row>
        <row r="1742">
          <cell r="A1742">
            <v>10041</v>
          </cell>
        </row>
        <row r="1743">
          <cell r="A1743">
            <v>10042</v>
          </cell>
        </row>
        <row r="1744">
          <cell r="A1744">
            <v>10043</v>
          </cell>
        </row>
        <row r="1745">
          <cell r="A1745">
            <v>10044</v>
          </cell>
        </row>
        <row r="1746">
          <cell r="A1746">
            <v>10045</v>
          </cell>
        </row>
        <row r="1747">
          <cell r="A1747">
            <v>10046</v>
          </cell>
        </row>
        <row r="1748">
          <cell r="A1748">
            <v>10047</v>
          </cell>
        </row>
        <row r="1749">
          <cell r="A1749">
            <v>10048</v>
          </cell>
        </row>
        <row r="1750">
          <cell r="A1750">
            <v>10049</v>
          </cell>
        </row>
        <row r="1751">
          <cell r="A1751">
            <v>10050</v>
          </cell>
        </row>
        <row r="1752">
          <cell r="A1752">
            <v>10051</v>
          </cell>
        </row>
        <row r="1753">
          <cell r="A1753">
            <v>10052</v>
          </cell>
        </row>
        <row r="1754">
          <cell r="A1754">
            <v>10053</v>
          </cell>
        </row>
        <row r="1755">
          <cell r="A1755">
            <v>10054</v>
          </cell>
        </row>
        <row r="1756">
          <cell r="A1756">
            <v>10055</v>
          </cell>
        </row>
        <row r="1757">
          <cell r="A1757">
            <v>10056</v>
          </cell>
        </row>
        <row r="1758">
          <cell r="A1758">
            <v>10057</v>
          </cell>
        </row>
        <row r="1759">
          <cell r="A1759">
            <v>10058</v>
          </cell>
        </row>
        <row r="1760">
          <cell r="A1760">
            <v>10059</v>
          </cell>
        </row>
        <row r="1761">
          <cell r="A1761">
            <v>10060</v>
          </cell>
        </row>
        <row r="1762">
          <cell r="A1762">
            <v>10061</v>
          </cell>
        </row>
        <row r="1763">
          <cell r="A1763">
            <v>10062</v>
          </cell>
        </row>
        <row r="1764">
          <cell r="A1764">
            <v>10063</v>
          </cell>
        </row>
        <row r="1765">
          <cell r="A1765">
            <v>10064</v>
          </cell>
        </row>
        <row r="1766">
          <cell r="A1766">
            <v>10065</v>
          </cell>
        </row>
        <row r="1767">
          <cell r="A1767">
            <v>10066</v>
          </cell>
        </row>
        <row r="1768">
          <cell r="A1768">
            <v>10067</v>
          </cell>
        </row>
        <row r="1769">
          <cell r="A1769">
            <v>10068</v>
          </cell>
        </row>
        <row r="1770">
          <cell r="A1770">
            <v>10069</v>
          </cell>
        </row>
        <row r="1771">
          <cell r="A1771">
            <v>10070</v>
          </cell>
        </row>
        <row r="1772">
          <cell r="A1772">
            <v>10071</v>
          </cell>
        </row>
        <row r="1773">
          <cell r="A1773">
            <v>10072</v>
          </cell>
        </row>
        <row r="1774">
          <cell r="A1774">
            <v>10073</v>
          </cell>
        </row>
        <row r="1775">
          <cell r="A1775">
            <v>10074</v>
          </cell>
        </row>
        <row r="1776">
          <cell r="A1776">
            <v>10075</v>
          </cell>
        </row>
        <row r="1777">
          <cell r="A1777">
            <v>10076</v>
          </cell>
        </row>
        <row r="1778">
          <cell r="A1778">
            <v>10077</v>
          </cell>
        </row>
        <row r="1779">
          <cell r="A1779">
            <v>10078</v>
          </cell>
        </row>
        <row r="1780">
          <cell r="A1780">
            <v>10079</v>
          </cell>
        </row>
        <row r="1781">
          <cell r="A1781">
            <v>10080</v>
          </cell>
        </row>
        <row r="1782">
          <cell r="A1782">
            <v>10081</v>
          </cell>
        </row>
        <row r="1783">
          <cell r="A1783">
            <v>10082</v>
          </cell>
        </row>
        <row r="1784">
          <cell r="A1784">
            <v>10083</v>
          </cell>
        </row>
        <row r="1785">
          <cell r="A1785">
            <v>10084</v>
          </cell>
        </row>
        <row r="1786">
          <cell r="A1786">
            <v>10085</v>
          </cell>
        </row>
        <row r="1787">
          <cell r="A1787">
            <v>10086</v>
          </cell>
        </row>
        <row r="1788">
          <cell r="A1788">
            <v>10087</v>
          </cell>
        </row>
        <row r="1789">
          <cell r="A1789">
            <v>10088</v>
          </cell>
        </row>
        <row r="1790">
          <cell r="A1790">
            <v>10089</v>
          </cell>
        </row>
        <row r="1791">
          <cell r="A1791">
            <v>10090</v>
          </cell>
        </row>
        <row r="1792">
          <cell r="A1792">
            <v>10101</v>
          </cell>
        </row>
        <row r="1793">
          <cell r="A1793">
            <v>10102</v>
          </cell>
        </row>
        <row r="1794">
          <cell r="A1794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topLeftCell="F1" workbookViewId="0">
      <selection activeCell="V3" sqref="V3"/>
    </sheetView>
  </sheetViews>
  <sheetFormatPr baseColWidth="12" defaultRowHeight="15" x14ac:dyDescent="0.15"/>
  <cols>
    <col min="2" max="2" width="18.1640625" bestFit="1" customWidth="1"/>
    <col min="5" max="5" width="26.83203125" bestFit="1" customWidth="1"/>
    <col min="6" max="6" width="22.1640625" bestFit="1" customWidth="1"/>
  </cols>
  <sheetData>
    <row r="1" spans="1:30" x14ac:dyDescent="0.15">
      <c r="A1" s="57" t="s">
        <v>130</v>
      </c>
      <c r="B1" s="52" t="s">
        <v>100</v>
      </c>
      <c r="C1" s="52" t="s">
        <v>101</v>
      </c>
      <c r="D1" s="52" t="s">
        <v>102</v>
      </c>
      <c r="E1" s="52" t="s">
        <v>103</v>
      </c>
      <c r="F1" s="52" t="s">
        <v>104</v>
      </c>
      <c r="G1" s="52" t="s">
        <v>105</v>
      </c>
      <c r="H1" s="52"/>
      <c r="I1" s="52"/>
      <c r="J1" s="52"/>
      <c r="K1" s="52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</row>
    <row r="2" spans="1:30" x14ac:dyDescent="0.15">
      <c r="A2" s="58" t="s">
        <v>210</v>
      </c>
      <c r="B2" s="54" t="s">
        <v>106</v>
      </c>
      <c r="C2" s="59">
        <v>15031</v>
      </c>
      <c r="D2" s="54" t="s">
        <v>107</v>
      </c>
      <c r="E2" s="53" t="str">
        <f>B2&amp;C2&amp;D2</f>
        <v>floors_15031.tmp</v>
      </c>
      <c r="F2" s="54" t="s">
        <v>108</v>
      </c>
      <c r="G2" s="55" t="s">
        <v>0</v>
      </c>
      <c r="H2" s="55" t="s">
        <v>1</v>
      </c>
      <c r="I2" s="55" t="s">
        <v>12</v>
      </c>
      <c r="J2" s="55" t="s">
        <v>13</v>
      </c>
      <c r="K2" s="55" t="s">
        <v>14</v>
      </c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</row>
    <row r="3" spans="1:30" x14ac:dyDescent="0.15">
      <c r="A3" s="58" t="s">
        <v>210</v>
      </c>
      <c r="B3" s="54" t="s">
        <v>109</v>
      </c>
      <c r="C3" s="59">
        <f>C$2</f>
        <v>15031</v>
      </c>
      <c r="D3" s="54" t="s">
        <v>107</v>
      </c>
      <c r="E3" s="53" t="str">
        <f>B3&amp;C3&amp;D3</f>
        <v>enemy_habitats_15031.tmp</v>
      </c>
      <c r="F3" s="54" t="s">
        <v>110</v>
      </c>
      <c r="G3" s="55" t="s">
        <v>0</v>
      </c>
      <c r="H3" s="55" t="s">
        <v>1</v>
      </c>
      <c r="I3" s="55" t="s">
        <v>12</v>
      </c>
      <c r="J3" s="55" t="s">
        <v>2</v>
      </c>
      <c r="K3" s="55" t="s">
        <v>3</v>
      </c>
      <c r="L3" s="55" t="s">
        <v>46</v>
      </c>
      <c r="M3" s="55" t="s">
        <v>48</v>
      </c>
      <c r="N3" s="55" t="s">
        <v>50</v>
      </c>
      <c r="O3" s="55" t="s">
        <v>21</v>
      </c>
      <c r="P3" s="55" t="s">
        <v>4</v>
      </c>
      <c r="Q3" s="55" t="s">
        <v>5</v>
      </c>
      <c r="R3" s="55" t="s">
        <v>6</v>
      </c>
      <c r="S3" s="55" t="s">
        <v>7</v>
      </c>
      <c r="T3" s="55" t="s">
        <v>8</v>
      </c>
      <c r="U3" s="55" t="s">
        <v>9</v>
      </c>
      <c r="V3" s="55" t="s">
        <v>10</v>
      </c>
      <c r="W3" s="55" t="s">
        <v>11</v>
      </c>
      <c r="X3" s="55" t="s">
        <v>36</v>
      </c>
      <c r="Y3" s="55" t="s">
        <v>38</v>
      </c>
      <c r="Z3" s="55" t="s">
        <v>40</v>
      </c>
      <c r="AA3" s="55" t="s">
        <v>42</v>
      </c>
      <c r="AB3" s="55" t="s">
        <v>44</v>
      </c>
      <c r="AC3" s="55" t="s">
        <v>52</v>
      </c>
      <c r="AD3" s="55" t="s">
        <v>178</v>
      </c>
    </row>
    <row r="4" spans="1:30" x14ac:dyDescent="0.15">
      <c r="A4" s="58" t="s">
        <v>210</v>
      </c>
      <c r="B4" s="54" t="s">
        <v>111</v>
      </c>
      <c r="C4" s="59">
        <f t="shared" ref="C4:C12" si="0">C$2</f>
        <v>15031</v>
      </c>
      <c r="D4" s="54" t="s">
        <v>107</v>
      </c>
      <c r="E4" s="53" t="str">
        <f>B4&amp;C4&amp;D4</f>
        <v>enemy_habitat_S_15031.tmp</v>
      </c>
      <c r="F4" s="54" t="s">
        <v>112</v>
      </c>
      <c r="G4" s="55" t="s">
        <v>0</v>
      </c>
      <c r="H4" s="55" t="s">
        <v>1</v>
      </c>
      <c r="I4" s="55" t="s">
        <v>12</v>
      </c>
      <c r="J4" s="55" t="s">
        <v>52</v>
      </c>
      <c r="K4" s="55" t="s">
        <v>53</v>
      </c>
      <c r="L4" s="55" t="s">
        <v>54</v>
      </c>
      <c r="M4" s="55" t="s">
        <v>55</v>
      </c>
      <c r="N4" s="55" t="s">
        <v>56</v>
      </c>
      <c r="O4" s="55" t="s">
        <v>57</v>
      </c>
      <c r="P4" s="55" t="s">
        <v>47</v>
      </c>
      <c r="Q4" s="55" t="s">
        <v>49</v>
      </c>
      <c r="R4" s="55" t="s">
        <v>51</v>
      </c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</row>
    <row r="5" spans="1:30" x14ac:dyDescent="0.15">
      <c r="A5" s="58" t="s">
        <v>210</v>
      </c>
      <c r="B5" s="54" t="s">
        <v>113</v>
      </c>
      <c r="C5" s="59">
        <f t="shared" si="0"/>
        <v>15031</v>
      </c>
      <c r="D5" s="54" t="s">
        <v>107</v>
      </c>
      <c r="E5" s="53" t="str">
        <f>B5&amp;C5&amp;D5</f>
        <v>enemy_skill_sets_15031.tmp</v>
      </c>
      <c r="F5" s="54" t="s">
        <v>114</v>
      </c>
      <c r="G5" s="56" t="s">
        <v>21</v>
      </c>
      <c r="H5" s="56" t="s">
        <v>99</v>
      </c>
      <c r="I5" s="56" t="s">
        <v>94</v>
      </c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</row>
    <row r="6" spans="1:30" x14ac:dyDescent="0.15">
      <c r="A6" s="58" t="s">
        <v>210</v>
      </c>
      <c r="B6" s="54" t="s">
        <v>115</v>
      </c>
      <c r="C6" s="59">
        <f t="shared" si="0"/>
        <v>15031</v>
      </c>
      <c r="D6" s="54" t="s">
        <v>116</v>
      </c>
      <c r="E6" s="53" t="str">
        <f t="shared" ref="E6:E10" si="1">B6&amp;C6&amp;D6</f>
        <v>enemy_skills_tmp_15031.tmp</v>
      </c>
      <c r="F6" s="54" t="s">
        <v>90</v>
      </c>
      <c r="G6" s="55" t="s">
        <v>77</v>
      </c>
      <c r="H6" s="55" t="s">
        <v>78</v>
      </c>
      <c r="I6" s="55" t="s">
        <v>79</v>
      </c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</row>
    <row r="7" spans="1:30" x14ac:dyDescent="0.15">
      <c r="A7" s="58" t="s">
        <v>210</v>
      </c>
      <c r="B7" s="54" t="s">
        <v>117</v>
      </c>
      <c r="C7" s="59">
        <f t="shared" si="0"/>
        <v>15031</v>
      </c>
      <c r="D7" s="54" t="s">
        <v>107</v>
      </c>
      <c r="E7" s="53" t="str">
        <f>B7&amp;C7&amp;D7</f>
        <v>enemy_skills_i18n_15031.tmp</v>
      </c>
      <c r="F7" s="54" t="s">
        <v>118</v>
      </c>
      <c r="G7" s="55" t="s">
        <v>77</v>
      </c>
      <c r="H7" s="55" t="s">
        <v>91</v>
      </c>
      <c r="I7" s="55" t="s">
        <v>92</v>
      </c>
      <c r="J7" s="55" t="s">
        <v>93</v>
      </c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</row>
    <row r="8" spans="1:30" x14ac:dyDescent="0.15">
      <c r="A8" s="58" t="s">
        <v>210</v>
      </c>
      <c r="B8" s="54" t="s">
        <v>119</v>
      </c>
      <c r="C8" s="59">
        <f t="shared" si="0"/>
        <v>15031</v>
      </c>
      <c r="D8" s="54" t="s">
        <v>120</v>
      </c>
      <c r="E8" s="53" t="str">
        <f t="shared" si="1"/>
        <v>enemy_skill_triggers_15031.tmp</v>
      </c>
      <c r="F8" s="54" t="s">
        <v>121</v>
      </c>
      <c r="G8" s="55" t="s">
        <v>94</v>
      </c>
      <c r="H8" s="55" t="s">
        <v>95</v>
      </c>
      <c r="I8" s="55" t="s">
        <v>96</v>
      </c>
      <c r="J8" s="55" t="s">
        <v>97</v>
      </c>
      <c r="K8" s="55" t="s">
        <v>122</v>
      </c>
      <c r="L8" s="55" t="s">
        <v>98</v>
      </c>
      <c r="M8" s="55" t="s">
        <v>123</v>
      </c>
      <c r="N8" s="55" t="s">
        <v>124</v>
      </c>
      <c r="O8" s="55" t="s">
        <v>125</v>
      </c>
      <c r="P8" s="55" t="s">
        <v>65</v>
      </c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</row>
    <row r="9" spans="1:30" x14ac:dyDescent="0.15">
      <c r="A9" s="58" t="s">
        <v>210</v>
      </c>
      <c r="B9" s="64" t="s">
        <v>177</v>
      </c>
      <c r="C9" s="59">
        <f t="shared" si="0"/>
        <v>15031</v>
      </c>
      <c r="D9" s="64" t="s">
        <v>171</v>
      </c>
      <c r="E9" s="65" t="str">
        <f t="shared" si="1"/>
        <v>stage_bug_bonuses_15031.tmp</v>
      </c>
      <c r="F9" s="64" t="s">
        <v>172</v>
      </c>
      <c r="G9" s="61" t="s">
        <v>150</v>
      </c>
      <c r="H9" s="61" t="s">
        <v>173</v>
      </c>
      <c r="I9" s="61" t="s">
        <v>174</v>
      </c>
      <c r="J9" s="63" t="s">
        <v>175</v>
      </c>
      <c r="K9" s="61" t="s">
        <v>176</v>
      </c>
      <c r="L9" s="61" t="s">
        <v>156</v>
      </c>
      <c r="M9" s="61" t="s">
        <v>157</v>
      </c>
      <c r="N9" s="61" t="s">
        <v>158</v>
      </c>
      <c r="O9" s="61" t="s">
        <v>159</v>
      </c>
      <c r="P9" s="61" t="s">
        <v>160</v>
      </c>
      <c r="Q9" s="61" t="s">
        <v>161</v>
      </c>
      <c r="R9" s="61" t="s">
        <v>162</v>
      </c>
      <c r="S9" s="61" t="s">
        <v>163</v>
      </c>
      <c r="T9" s="61" t="s">
        <v>164</v>
      </c>
      <c r="U9" s="61" t="s">
        <v>165</v>
      </c>
      <c r="V9" s="61" t="s">
        <v>166</v>
      </c>
      <c r="W9" s="61" t="s">
        <v>167</v>
      </c>
    </row>
    <row r="10" spans="1:30" s="73" customFormat="1" x14ac:dyDescent="0.15">
      <c r="A10" s="58" t="s">
        <v>210</v>
      </c>
      <c r="B10" s="64" t="s">
        <v>198</v>
      </c>
      <c r="C10" s="59">
        <f>C$2</f>
        <v>15031</v>
      </c>
      <c r="D10" s="64" t="s">
        <v>180</v>
      </c>
      <c r="E10" s="65" t="str">
        <f t="shared" si="1"/>
        <v>stage_hints_data_c_15031.tmp</v>
      </c>
      <c r="F10" s="64" t="s">
        <v>206</v>
      </c>
      <c r="G10" s="70" t="s">
        <v>181</v>
      </c>
      <c r="H10" s="70" t="s">
        <v>173</v>
      </c>
      <c r="I10" s="71" t="s">
        <v>182</v>
      </c>
      <c r="J10" s="63" t="s">
        <v>183</v>
      </c>
      <c r="K10" s="72" t="s">
        <v>184</v>
      </c>
    </row>
    <row r="11" spans="1:30" s="73" customFormat="1" x14ac:dyDescent="0.15">
      <c r="A11" s="58" t="s">
        <v>210</v>
      </c>
      <c r="B11" s="64" t="s">
        <v>199</v>
      </c>
      <c r="C11" s="59">
        <f t="shared" si="0"/>
        <v>15031</v>
      </c>
      <c r="D11" s="64" t="s">
        <v>171</v>
      </c>
      <c r="E11" s="65" t="str">
        <f t="shared" ref="E11:E12" si="2">B11&amp;C11&amp;D11</f>
        <v>stage_hints_data_f_15031.tmp</v>
      </c>
      <c r="F11" s="64" t="s">
        <v>207</v>
      </c>
      <c r="G11" s="70" t="s">
        <v>181</v>
      </c>
      <c r="H11" s="70" t="s">
        <v>173</v>
      </c>
      <c r="I11" s="71" t="s">
        <v>182</v>
      </c>
      <c r="J11" s="63" t="s">
        <v>183</v>
      </c>
      <c r="K11" s="72" t="s">
        <v>184</v>
      </c>
    </row>
    <row r="12" spans="1:30" s="73" customFormat="1" x14ac:dyDescent="0.15">
      <c r="A12" s="58" t="s">
        <v>210</v>
      </c>
      <c r="B12" s="64" t="s">
        <v>200</v>
      </c>
      <c r="C12" s="59">
        <f t="shared" si="0"/>
        <v>15031</v>
      </c>
      <c r="D12" s="64" t="s">
        <v>171</v>
      </c>
      <c r="E12" s="65" t="str">
        <f t="shared" si="2"/>
        <v>stage_hints_i18n_15031.tmp</v>
      </c>
      <c r="F12" s="64" t="s">
        <v>208</v>
      </c>
      <c r="G12" s="71" t="s">
        <v>201</v>
      </c>
      <c r="H12" s="91" t="s">
        <v>202</v>
      </c>
      <c r="I12" s="70" t="s">
        <v>203</v>
      </c>
      <c r="J12" s="92" t="s">
        <v>204</v>
      </c>
      <c r="K12" s="72" t="s">
        <v>205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9"/>
  <sheetViews>
    <sheetView showGridLines="0" workbookViewId="0">
      <pane ySplit="1" topLeftCell="A2" activePane="bottomLeft" state="frozen"/>
      <selection activeCell="V2" sqref="V2:X34"/>
      <selection pane="bottomLeft" activeCell="N9" sqref="N9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8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29</v>
      </c>
      <c r="B1" s="15" t="s">
        <v>35</v>
      </c>
      <c r="C1" s="1" t="s">
        <v>0</v>
      </c>
      <c r="D1" s="2" t="s">
        <v>17</v>
      </c>
      <c r="E1" s="14" t="s">
        <v>32</v>
      </c>
      <c r="F1" s="1" t="s">
        <v>1</v>
      </c>
      <c r="G1" s="20" t="s">
        <v>31</v>
      </c>
      <c r="H1" s="14" t="s">
        <v>33</v>
      </c>
      <c r="I1" s="1" t="s">
        <v>12</v>
      </c>
      <c r="J1" s="1" t="s">
        <v>13</v>
      </c>
      <c r="K1" s="1" t="s">
        <v>14</v>
      </c>
    </row>
    <row r="2" spans="1:11" ht="21" customHeight="1" x14ac:dyDescent="0.15">
      <c r="A2" s="15" t="str">
        <f>G2&amp;"-"&amp;I2</f>
        <v>15031_1-1</v>
      </c>
      <c r="B2" s="15" t="str">
        <f>IF(COUNTIF(enemy_habitats!$H:$H,A2),"OK","NG")</f>
        <v>OK</v>
      </c>
      <c r="C2" s="93">
        <v>15031</v>
      </c>
      <c r="D2" s="11" t="str">
        <f ca="1">VLOOKUP($C2,OFFSET([2]quests!$A$1,0,0,COUNTA([2]quests!$A:$A),MATCH(D$1,[2]quests!$1:$1,0)-MATCH($C$1,[2]quests!$1:$1,0)+1),MATCH(D$1,[2]quests!$1:$1,0)-MATCH($C$1,[2]quests!$1:$1,0)+1,FALSE)</f>
        <v>31. 桜花乱城</v>
      </c>
      <c r="E2" s="17" t="str">
        <f ca="1">VLOOKUP($C2,OFFSET([2]quests!$A$1,0,0,COUNTA([2]quests!$A:$A),MATCH(E$1,[2]quests!$1:$1,0)-MATCH($C$1,[2]quests!$1:$1,0)+1),MATCH(E$1,[2]quests!$1:$1,0)-MATCH($C$1,[2]quests!$1:$1,0)+1,FALSE)</f>
        <v>混色DL6</v>
      </c>
      <c r="F2" s="19">
        <v>1</v>
      </c>
      <c r="G2" s="20" t="str">
        <f>C2&amp;"_"&amp;F2</f>
        <v>15031_1</v>
      </c>
      <c r="H2" s="14" t="str">
        <f ca="1">VLOOKUP($G2,OFFSET([2]stages!$A$1,0,0,COUNTA([2]stages!$A:$A),MATCH(H$1,[2]stages!$2:$2,0)-MATCH($G$1,[2]stages!$2:$2,0)+1),MATCH(H$1,[2]stages!$2:$2,0)-MATCH($G$1,[2]stages!$2:$2,0)+1,FALSE)</f>
        <v>31-1. 忍び寄る影</v>
      </c>
      <c r="I2" s="94">
        <v>1</v>
      </c>
      <c r="J2" s="35">
        <v>60</v>
      </c>
      <c r="K2" s="35">
        <v>60</v>
      </c>
    </row>
    <row r="3" spans="1:11" ht="21" customHeight="1" x14ac:dyDescent="0.15">
      <c r="A3" s="15" t="str">
        <f t="shared" ref="A3:A16" si="0">G3&amp;"-"&amp;I3</f>
        <v>15031_1-2</v>
      </c>
      <c r="B3" s="15" t="str">
        <f>IF(COUNTIF(enemy_habitats!$H:$H,A3),"OK","NG")</f>
        <v>OK</v>
      </c>
      <c r="C3" s="93">
        <v>15031</v>
      </c>
      <c r="D3" s="11" t="str">
        <f ca="1">VLOOKUP($C3,OFFSET([2]quests!$A$1,0,0,COUNTA([2]quests!$A:$A),MATCH(D$1,[2]quests!$1:$1,0)-MATCH($C$1,[2]quests!$1:$1,0)+1),MATCH(D$1,[2]quests!$1:$1,0)-MATCH($C$1,[2]quests!$1:$1,0)+1,FALSE)</f>
        <v>31. 桜花乱城</v>
      </c>
      <c r="E3" s="17" t="str">
        <f ca="1">VLOOKUP($C3,OFFSET([2]quests!$A$1,0,0,COUNTA([2]quests!$A:$A),MATCH(E$1,[2]quests!$1:$1,0)-MATCH($C$1,[2]quests!$1:$1,0)+1),MATCH(E$1,[2]quests!$1:$1,0)-MATCH($C$1,[2]quests!$1:$1,0)+1,FALSE)</f>
        <v>混色DL6</v>
      </c>
      <c r="F3" s="19">
        <v>1</v>
      </c>
      <c r="G3" s="20" t="str">
        <f t="shared" ref="G3:G16" si="1">C3&amp;"_"&amp;F3</f>
        <v>15031_1</v>
      </c>
      <c r="H3" s="14" t="str">
        <f ca="1">VLOOKUP($G3,OFFSET([2]stages!$A$1,0,0,COUNTA([2]stages!$A:$A),MATCH(H$1,[2]stages!$2:$2,0)-MATCH($G$1,[2]stages!$2:$2,0)+1),MATCH(H$1,[2]stages!$2:$2,0)-MATCH($G$1,[2]stages!$2:$2,0)+1,FALSE)</f>
        <v>31-1. 忍び寄る影</v>
      </c>
      <c r="I3" s="94">
        <v>2</v>
      </c>
      <c r="J3" s="35">
        <v>60</v>
      </c>
      <c r="K3" s="35">
        <v>60</v>
      </c>
    </row>
    <row r="4" spans="1:11" ht="21" customHeight="1" x14ac:dyDescent="0.15">
      <c r="A4" s="15" t="str">
        <f t="shared" si="0"/>
        <v>15031_1-3</v>
      </c>
      <c r="B4" s="15" t="str">
        <f>IF(COUNTIF(enemy_habitats!$H:$H,A4),"OK","NG")</f>
        <v>OK</v>
      </c>
      <c r="C4" s="93">
        <v>15031</v>
      </c>
      <c r="D4" s="11" t="str">
        <f ca="1">VLOOKUP($C4,OFFSET([2]quests!$A$1,0,0,COUNTA([2]quests!$A:$A),MATCH(D$1,[2]quests!$1:$1,0)-MATCH($C$1,[2]quests!$1:$1,0)+1),MATCH(D$1,[2]quests!$1:$1,0)-MATCH($C$1,[2]quests!$1:$1,0)+1,FALSE)</f>
        <v>31. 桜花乱城</v>
      </c>
      <c r="E4" s="17" t="str">
        <f ca="1">VLOOKUP($C4,OFFSET([2]quests!$A$1,0,0,COUNTA([2]quests!$A:$A),MATCH(E$1,[2]quests!$1:$1,0)-MATCH($C$1,[2]quests!$1:$1,0)+1),MATCH(E$1,[2]quests!$1:$1,0)-MATCH($C$1,[2]quests!$1:$1,0)+1,FALSE)</f>
        <v>混色DL6</v>
      </c>
      <c r="F4" s="19">
        <v>1</v>
      </c>
      <c r="G4" s="20" t="str">
        <f t="shared" si="1"/>
        <v>15031_1</v>
      </c>
      <c r="H4" s="14" t="str">
        <f ca="1">VLOOKUP($G4,OFFSET([2]stages!$A$1,0,0,COUNTA([2]stages!$A:$A),MATCH(H$1,[2]stages!$2:$2,0)-MATCH($G$1,[2]stages!$2:$2,0)+1),MATCH(H$1,[2]stages!$2:$2,0)-MATCH($G$1,[2]stages!$2:$2,0)+1,FALSE)</f>
        <v>31-1. 忍び寄る影</v>
      </c>
      <c r="I4" s="94">
        <v>3</v>
      </c>
      <c r="J4" s="35">
        <v>60</v>
      </c>
      <c r="K4" s="35">
        <v>60</v>
      </c>
    </row>
    <row r="5" spans="1:11" ht="21" customHeight="1" x14ac:dyDescent="0.15">
      <c r="A5" s="15" t="str">
        <f t="shared" ref="A5" si="2">G5&amp;"-"&amp;I5</f>
        <v>15031_1-4</v>
      </c>
      <c r="B5" s="15" t="str">
        <f>IF(COUNTIF(enemy_habitats!$H:$H,A5),"OK","NG")</f>
        <v>OK</v>
      </c>
      <c r="C5" s="93">
        <v>15031</v>
      </c>
      <c r="D5" s="11" t="str">
        <f ca="1">VLOOKUP($C5,OFFSET([2]quests!$A$1,0,0,COUNTA([2]quests!$A:$A),MATCH(D$1,[2]quests!$1:$1,0)-MATCH($C$1,[2]quests!$1:$1,0)+1),MATCH(D$1,[2]quests!$1:$1,0)-MATCH($C$1,[2]quests!$1:$1,0)+1,FALSE)</f>
        <v>31. 桜花乱城</v>
      </c>
      <c r="E5" s="17" t="str">
        <f ca="1">VLOOKUP($C5,OFFSET([2]quests!$A$1,0,0,COUNTA([2]quests!$A:$A),MATCH(E$1,[2]quests!$1:$1,0)-MATCH($C$1,[2]quests!$1:$1,0)+1),MATCH(E$1,[2]quests!$1:$1,0)-MATCH($C$1,[2]quests!$1:$1,0)+1,FALSE)</f>
        <v>混色DL6</v>
      </c>
      <c r="F5" s="19">
        <v>1</v>
      </c>
      <c r="G5" s="20" t="str">
        <f t="shared" ref="G5" si="3">C5&amp;"_"&amp;F5</f>
        <v>15031_1</v>
      </c>
      <c r="H5" s="14" t="str">
        <f ca="1">VLOOKUP($G5,OFFSET([2]stages!$A$1,0,0,COUNTA([2]stages!$A:$A),MATCH(H$1,[2]stages!$2:$2,0)-MATCH($G$1,[2]stages!$2:$2,0)+1),MATCH(H$1,[2]stages!$2:$2,0)-MATCH($G$1,[2]stages!$2:$2,0)+1,FALSE)</f>
        <v>31-1. 忍び寄る影</v>
      </c>
      <c r="I5" s="94">
        <v>4</v>
      </c>
      <c r="J5" s="35">
        <v>60</v>
      </c>
      <c r="K5" s="35">
        <v>60</v>
      </c>
    </row>
    <row r="6" spans="1:11" ht="21" customHeight="1" x14ac:dyDescent="0.15">
      <c r="A6" s="15" t="str">
        <f t="shared" si="0"/>
        <v>15031_2-1</v>
      </c>
      <c r="B6" s="15" t="str">
        <f>IF(COUNTIF(enemy_habitats!$H:$H,A6),"OK","NG")</f>
        <v>OK</v>
      </c>
      <c r="C6" s="93">
        <v>15031</v>
      </c>
      <c r="D6" s="11" t="str">
        <f ca="1">VLOOKUP($C6,OFFSET([2]quests!$A$1,0,0,COUNTA([2]quests!$A:$A),MATCH(D$1,[2]quests!$1:$1,0)-MATCH($C$1,[2]quests!$1:$1,0)+1),MATCH(D$1,[2]quests!$1:$1,0)-MATCH($C$1,[2]quests!$1:$1,0)+1,FALSE)</f>
        <v>31. 桜花乱城</v>
      </c>
      <c r="E6" s="17" t="str">
        <f ca="1">VLOOKUP($C6,OFFSET([2]quests!$A$1,0,0,COUNTA([2]quests!$A:$A),MATCH(E$1,[2]quests!$1:$1,0)-MATCH($C$1,[2]quests!$1:$1,0)+1),MATCH(E$1,[2]quests!$1:$1,0)-MATCH($C$1,[2]quests!$1:$1,0)+1,FALSE)</f>
        <v>混色DL6</v>
      </c>
      <c r="F6" s="94">
        <v>2</v>
      </c>
      <c r="G6" s="20" t="str">
        <f t="shared" si="1"/>
        <v>15031_2</v>
      </c>
      <c r="H6" s="14" t="str">
        <f ca="1">VLOOKUP($G6,OFFSET([2]stages!$A$1,0,0,COUNTA([2]stages!$A:$A),MATCH(H$1,[2]stages!$2:$2,0)-MATCH($G$1,[2]stages!$2:$2,0)+1),MATCH(H$1,[2]stages!$2:$2,0)-MATCH($G$1,[2]stages!$2:$2,0)+1,FALSE)</f>
        <v>31-2. 赤鉄の将</v>
      </c>
      <c r="I6" s="94">
        <v>1</v>
      </c>
      <c r="J6" s="35">
        <v>60</v>
      </c>
      <c r="K6" s="35">
        <v>60</v>
      </c>
    </row>
    <row r="7" spans="1:11" ht="21" customHeight="1" x14ac:dyDescent="0.15">
      <c r="A7" s="15" t="str">
        <f t="shared" si="0"/>
        <v>15031_2-2</v>
      </c>
      <c r="B7" s="15" t="str">
        <f>IF(COUNTIF(enemy_habitats!$H:$H,A7),"OK","NG")</f>
        <v>OK</v>
      </c>
      <c r="C7" s="93">
        <v>15031</v>
      </c>
      <c r="D7" s="11" t="str">
        <f ca="1">VLOOKUP($C7,OFFSET([2]quests!$A$1,0,0,COUNTA([2]quests!$A:$A),MATCH(D$1,[2]quests!$1:$1,0)-MATCH($C$1,[2]quests!$1:$1,0)+1),MATCH(D$1,[2]quests!$1:$1,0)-MATCH($C$1,[2]quests!$1:$1,0)+1,FALSE)</f>
        <v>31. 桜花乱城</v>
      </c>
      <c r="E7" s="17" t="str">
        <f ca="1">VLOOKUP($C7,OFFSET([2]quests!$A$1,0,0,COUNTA([2]quests!$A:$A),MATCH(E$1,[2]quests!$1:$1,0)-MATCH($C$1,[2]quests!$1:$1,0)+1),MATCH(E$1,[2]quests!$1:$1,0)-MATCH($C$1,[2]quests!$1:$1,0)+1,FALSE)</f>
        <v>混色DL6</v>
      </c>
      <c r="F7" s="94">
        <v>2</v>
      </c>
      <c r="G7" s="20" t="str">
        <f t="shared" si="1"/>
        <v>15031_2</v>
      </c>
      <c r="H7" s="14" t="str">
        <f ca="1">VLOOKUP($G7,OFFSET([2]stages!$A$1,0,0,COUNTA([2]stages!$A:$A),MATCH(H$1,[2]stages!$2:$2,0)-MATCH($G$1,[2]stages!$2:$2,0)+1),MATCH(H$1,[2]stages!$2:$2,0)-MATCH($G$1,[2]stages!$2:$2,0)+1,FALSE)</f>
        <v>31-2. 赤鉄の将</v>
      </c>
      <c r="I7" s="94">
        <v>2</v>
      </c>
      <c r="J7" s="35">
        <v>60</v>
      </c>
      <c r="K7" s="35">
        <v>60</v>
      </c>
    </row>
    <row r="8" spans="1:11" ht="21" customHeight="1" x14ac:dyDescent="0.15">
      <c r="A8" s="15" t="str">
        <f t="shared" si="0"/>
        <v>15031_2-3</v>
      </c>
      <c r="B8" s="15" t="str">
        <f>IF(COUNTIF(enemy_habitats!$H:$H,A8),"OK","NG")</f>
        <v>OK</v>
      </c>
      <c r="C8" s="93">
        <v>15031</v>
      </c>
      <c r="D8" s="11" t="str">
        <f ca="1">VLOOKUP($C8,OFFSET([2]quests!$A$1,0,0,COUNTA([2]quests!$A:$A),MATCH(D$1,[2]quests!$1:$1,0)-MATCH($C$1,[2]quests!$1:$1,0)+1),MATCH(D$1,[2]quests!$1:$1,0)-MATCH($C$1,[2]quests!$1:$1,0)+1,FALSE)</f>
        <v>31. 桜花乱城</v>
      </c>
      <c r="E8" s="17" t="str">
        <f ca="1">VLOOKUP($C8,OFFSET([2]quests!$A$1,0,0,COUNTA([2]quests!$A:$A),MATCH(E$1,[2]quests!$1:$1,0)-MATCH($C$1,[2]quests!$1:$1,0)+1),MATCH(E$1,[2]quests!$1:$1,0)-MATCH($C$1,[2]quests!$1:$1,0)+1,FALSE)</f>
        <v>混色DL6</v>
      </c>
      <c r="F8" s="94">
        <v>2</v>
      </c>
      <c r="G8" s="20" t="str">
        <f t="shared" si="1"/>
        <v>15031_2</v>
      </c>
      <c r="H8" s="14" t="str">
        <f ca="1">VLOOKUP($G8,OFFSET([2]stages!$A$1,0,0,COUNTA([2]stages!$A:$A),MATCH(H$1,[2]stages!$2:$2,0)-MATCH($G$1,[2]stages!$2:$2,0)+1),MATCH(H$1,[2]stages!$2:$2,0)-MATCH($G$1,[2]stages!$2:$2,0)+1,FALSE)</f>
        <v>31-2. 赤鉄の将</v>
      </c>
      <c r="I8" s="94">
        <v>3</v>
      </c>
      <c r="J8" s="35">
        <v>70</v>
      </c>
      <c r="K8" s="35">
        <v>70</v>
      </c>
    </row>
    <row r="9" spans="1:11" ht="21" customHeight="1" x14ac:dyDescent="0.15">
      <c r="A9" s="15" t="str">
        <f t="shared" ref="A9" si="4">G9&amp;"-"&amp;I9</f>
        <v>15031_2-4</v>
      </c>
      <c r="B9" s="15" t="str">
        <f>IF(COUNTIF(enemy_habitats!$H:$H,A9),"OK","NG")</f>
        <v>OK</v>
      </c>
      <c r="C9" s="93">
        <v>15031</v>
      </c>
      <c r="D9" s="11" t="str">
        <f ca="1">VLOOKUP($C9,OFFSET([2]quests!$A$1,0,0,COUNTA([2]quests!$A:$A),MATCH(D$1,[2]quests!$1:$1,0)-MATCH($C$1,[2]quests!$1:$1,0)+1),MATCH(D$1,[2]quests!$1:$1,0)-MATCH($C$1,[2]quests!$1:$1,0)+1,FALSE)</f>
        <v>31. 桜花乱城</v>
      </c>
      <c r="E9" s="17" t="str">
        <f ca="1">VLOOKUP($C9,OFFSET([2]quests!$A$1,0,0,COUNTA([2]quests!$A:$A),MATCH(E$1,[2]quests!$1:$1,0)-MATCH($C$1,[2]quests!$1:$1,0)+1),MATCH(E$1,[2]quests!$1:$1,0)-MATCH($C$1,[2]quests!$1:$1,0)+1,FALSE)</f>
        <v>混色DL6</v>
      </c>
      <c r="F9" s="94">
        <v>2</v>
      </c>
      <c r="G9" s="20" t="str">
        <f t="shared" ref="G9" si="5">C9&amp;"_"&amp;F9</f>
        <v>15031_2</v>
      </c>
      <c r="H9" s="14" t="str">
        <f ca="1">VLOOKUP($G9,OFFSET([2]stages!$A$1,0,0,COUNTA([2]stages!$A:$A),MATCH(H$1,[2]stages!$2:$2,0)-MATCH($G$1,[2]stages!$2:$2,0)+1),MATCH(H$1,[2]stages!$2:$2,0)-MATCH($G$1,[2]stages!$2:$2,0)+1,FALSE)</f>
        <v>31-2. 赤鉄の将</v>
      </c>
      <c r="I9" s="94">
        <v>4</v>
      </c>
      <c r="J9" s="35">
        <v>60</v>
      </c>
      <c r="K9" s="35">
        <v>60</v>
      </c>
    </row>
    <row r="10" spans="1:11" ht="21" customHeight="1" x14ac:dyDescent="0.15">
      <c r="A10" s="15" t="str">
        <f t="shared" si="0"/>
        <v>15031_3-1</v>
      </c>
      <c r="B10" s="15" t="str">
        <f>IF(COUNTIF(enemy_habitats!$H:$H,A10),"OK","NG")</f>
        <v>OK</v>
      </c>
      <c r="C10" s="93">
        <v>15031</v>
      </c>
      <c r="D10" s="11" t="str">
        <f ca="1">VLOOKUP($C10,OFFSET([2]quests!$A$1,0,0,COUNTA([2]quests!$A:$A),MATCH(D$1,[2]quests!$1:$1,0)-MATCH($C$1,[2]quests!$1:$1,0)+1),MATCH(D$1,[2]quests!$1:$1,0)-MATCH($C$1,[2]quests!$1:$1,0)+1,FALSE)</f>
        <v>31. 桜花乱城</v>
      </c>
      <c r="E10" s="17" t="str">
        <f ca="1">VLOOKUP($C10,OFFSET([2]quests!$A$1,0,0,COUNTA([2]quests!$A:$A),MATCH(E$1,[2]quests!$1:$1,0)-MATCH($C$1,[2]quests!$1:$1,0)+1),MATCH(E$1,[2]quests!$1:$1,0)-MATCH($C$1,[2]quests!$1:$1,0)+1,FALSE)</f>
        <v>混色DL6</v>
      </c>
      <c r="F10" s="94">
        <v>3</v>
      </c>
      <c r="G10" s="20" t="str">
        <f t="shared" si="1"/>
        <v>15031_3</v>
      </c>
      <c r="H10" s="14" t="str">
        <f ca="1">VLOOKUP($G10,OFFSET([2]stages!$A$1,0,0,COUNTA([2]stages!$A:$A),MATCH(H$1,[2]stages!$2:$2,0)-MATCH($G$1,[2]stages!$2:$2,0)+1),MATCH(H$1,[2]stages!$2:$2,0)-MATCH($G$1,[2]stages!$2:$2,0)+1,FALSE)</f>
        <v>31-3. 神域の試練</v>
      </c>
      <c r="I10" s="94">
        <v>1</v>
      </c>
      <c r="J10" s="35">
        <v>60</v>
      </c>
      <c r="K10" s="35">
        <v>60</v>
      </c>
    </row>
    <row r="11" spans="1:11" ht="21" customHeight="1" x14ac:dyDescent="0.15">
      <c r="A11" s="15" t="str">
        <f t="shared" si="0"/>
        <v>15031_3-2</v>
      </c>
      <c r="B11" s="15" t="str">
        <f>IF(COUNTIF(enemy_habitats!$H:$H,A11),"OK","NG")</f>
        <v>OK</v>
      </c>
      <c r="C11" s="93">
        <v>15031</v>
      </c>
      <c r="D11" s="11" t="str">
        <f ca="1">VLOOKUP($C11,OFFSET([2]quests!$A$1,0,0,COUNTA([2]quests!$A:$A),MATCH(D$1,[2]quests!$1:$1,0)-MATCH($C$1,[2]quests!$1:$1,0)+1),MATCH(D$1,[2]quests!$1:$1,0)-MATCH($C$1,[2]quests!$1:$1,0)+1,FALSE)</f>
        <v>31. 桜花乱城</v>
      </c>
      <c r="E11" s="17" t="str">
        <f ca="1">VLOOKUP($C11,OFFSET([2]quests!$A$1,0,0,COUNTA([2]quests!$A:$A),MATCH(E$1,[2]quests!$1:$1,0)-MATCH($C$1,[2]quests!$1:$1,0)+1),MATCH(E$1,[2]quests!$1:$1,0)-MATCH($C$1,[2]quests!$1:$1,0)+1,FALSE)</f>
        <v>混色DL6</v>
      </c>
      <c r="F11" s="94">
        <v>3</v>
      </c>
      <c r="G11" s="20" t="str">
        <f t="shared" si="1"/>
        <v>15031_3</v>
      </c>
      <c r="H11" s="14" t="str">
        <f ca="1">VLOOKUP($G11,OFFSET([2]stages!$A$1,0,0,COUNTA([2]stages!$A:$A),MATCH(H$1,[2]stages!$2:$2,0)-MATCH($G$1,[2]stages!$2:$2,0)+1),MATCH(H$1,[2]stages!$2:$2,0)-MATCH($G$1,[2]stages!$2:$2,0)+1,FALSE)</f>
        <v>31-3. 神域の試練</v>
      </c>
      <c r="I11" s="94">
        <v>2</v>
      </c>
      <c r="J11" s="35">
        <v>70</v>
      </c>
      <c r="K11" s="35">
        <v>70</v>
      </c>
    </row>
    <row r="12" spans="1:11" ht="21" customHeight="1" x14ac:dyDescent="0.15">
      <c r="A12" s="15" t="str">
        <f t="shared" si="0"/>
        <v>15031_3-3</v>
      </c>
      <c r="B12" s="15" t="str">
        <f>IF(COUNTIF(enemy_habitats!$H:$H,A12),"OK","NG")</f>
        <v>OK</v>
      </c>
      <c r="C12" s="93">
        <v>15031</v>
      </c>
      <c r="D12" s="11" t="str">
        <f ca="1">VLOOKUP($C12,OFFSET([2]quests!$A$1,0,0,COUNTA([2]quests!$A:$A),MATCH(D$1,[2]quests!$1:$1,0)-MATCH($C$1,[2]quests!$1:$1,0)+1),MATCH(D$1,[2]quests!$1:$1,0)-MATCH($C$1,[2]quests!$1:$1,0)+1,FALSE)</f>
        <v>31. 桜花乱城</v>
      </c>
      <c r="E12" s="17" t="str">
        <f ca="1">VLOOKUP($C12,OFFSET([2]quests!$A$1,0,0,COUNTA([2]quests!$A:$A),MATCH(E$1,[2]quests!$1:$1,0)-MATCH($C$1,[2]quests!$1:$1,0)+1),MATCH(E$1,[2]quests!$1:$1,0)-MATCH($C$1,[2]quests!$1:$1,0)+1,FALSE)</f>
        <v>混色DL6</v>
      </c>
      <c r="F12" s="94">
        <v>3</v>
      </c>
      <c r="G12" s="20" t="str">
        <f t="shared" si="1"/>
        <v>15031_3</v>
      </c>
      <c r="H12" s="14" t="str">
        <f ca="1">VLOOKUP($G12,OFFSET([2]stages!$A$1,0,0,COUNTA([2]stages!$A:$A),MATCH(H$1,[2]stages!$2:$2,0)-MATCH($G$1,[2]stages!$2:$2,0)+1),MATCH(H$1,[2]stages!$2:$2,0)-MATCH($G$1,[2]stages!$2:$2,0)+1,FALSE)</f>
        <v>31-3. 神域の試練</v>
      </c>
      <c r="I12" s="94">
        <v>3</v>
      </c>
      <c r="J12" s="35">
        <v>70</v>
      </c>
      <c r="K12" s="35">
        <v>70</v>
      </c>
    </row>
    <row r="13" spans="1:11" ht="21" customHeight="1" x14ac:dyDescent="0.15">
      <c r="A13" s="15" t="str">
        <f t="shared" si="0"/>
        <v>15031_3-4</v>
      </c>
      <c r="B13" s="15" t="str">
        <f>IF(COUNTIF(enemy_habitats!$H:$H,A13),"OK","NG")</f>
        <v>OK</v>
      </c>
      <c r="C13" s="93">
        <v>15031</v>
      </c>
      <c r="D13" s="11" t="str">
        <f ca="1">VLOOKUP($C13,OFFSET([2]quests!$A$1,0,0,COUNTA([2]quests!$A:$A),MATCH(D$1,[2]quests!$1:$1,0)-MATCH($C$1,[2]quests!$1:$1,0)+1),MATCH(D$1,[2]quests!$1:$1,0)-MATCH($C$1,[2]quests!$1:$1,0)+1,FALSE)</f>
        <v>31. 桜花乱城</v>
      </c>
      <c r="E13" s="17" t="str">
        <f ca="1">VLOOKUP($C13,OFFSET([2]quests!$A$1,0,0,COUNTA([2]quests!$A:$A),MATCH(E$1,[2]quests!$1:$1,0)-MATCH($C$1,[2]quests!$1:$1,0)+1),MATCH(E$1,[2]quests!$1:$1,0)-MATCH($C$1,[2]quests!$1:$1,0)+1,FALSE)</f>
        <v>混色DL6</v>
      </c>
      <c r="F13" s="94">
        <v>3</v>
      </c>
      <c r="G13" s="20" t="str">
        <f t="shared" si="1"/>
        <v>15031_3</v>
      </c>
      <c r="H13" s="14" t="str">
        <f ca="1">VLOOKUP($G13,OFFSET([2]stages!$A$1,0,0,COUNTA([2]stages!$A:$A),MATCH(H$1,[2]stages!$2:$2,0)-MATCH($G$1,[2]stages!$2:$2,0)+1),MATCH(H$1,[2]stages!$2:$2,0)-MATCH($G$1,[2]stages!$2:$2,0)+1,FALSE)</f>
        <v>31-3. 神域の試練</v>
      </c>
      <c r="I13" s="94">
        <v>4</v>
      </c>
      <c r="J13" s="35">
        <v>60</v>
      </c>
      <c r="K13" s="35">
        <v>60</v>
      </c>
    </row>
    <row r="14" spans="1:11" ht="21" customHeight="1" x14ac:dyDescent="0.15">
      <c r="A14" s="15" t="str">
        <f t="shared" ref="A14" si="6">G14&amp;"-"&amp;I14</f>
        <v>15031_3-5</v>
      </c>
      <c r="B14" s="15" t="str">
        <f>IF(COUNTIF(enemy_habitats!$H:$H,A14),"OK","NG")</f>
        <v>OK</v>
      </c>
      <c r="C14" s="93">
        <v>15031</v>
      </c>
      <c r="D14" s="11" t="str">
        <f ca="1">VLOOKUP($C14,OFFSET([2]quests!$A$1,0,0,COUNTA([2]quests!$A:$A),MATCH(D$1,[2]quests!$1:$1,0)-MATCH($C$1,[2]quests!$1:$1,0)+1),MATCH(D$1,[2]quests!$1:$1,0)-MATCH($C$1,[2]quests!$1:$1,0)+1,FALSE)</f>
        <v>31. 桜花乱城</v>
      </c>
      <c r="E14" s="17" t="str">
        <f ca="1">VLOOKUP($C14,OFFSET([2]quests!$A$1,0,0,COUNTA([2]quests!$A:$A),MATCH(E$1,[2]quests!$1:$1,0)-MATCH($C$1,[2]quests!$1:$1,0)+1),MATCH(E$1,[2]quests!$1:$1,0)-MATCH($C$1,[2]quests!$1:$1,0)+1,FALSE)</f>
        <v>混色DL6</v>
      </c>
      <c r="F14" s="94">
        <v>3</v>
      </c>
      <c r="G14" s="20" t="str">
        <f t="shared" ref="G14" si="7">C14&amp;"_"&amp;F14</f>
        <v>15031_3</v>
      </c>
      <c r="H14" s="14" t="str">
        <f ca="1">VLOOKUP($G14,OFFSET([2]stages!$A$1,0,0,COUNTA([2]stages!$A:$A),MATCH(H$1,[2]stages!$2:$2,0)-MATCH($G$1,[2]stages!$2:$2,0)+1),MATCH(H$1,[2]stages!$2:$2,0)-MATCH($G$1,[2]stages!$2:$2,0)+1,FALSE)</f>
        <v>31-3. 神域の試練</v>
      </c>
      <c r="I14" s="94">
        <v>5</v>
      </c>
      <c r="J14" s="35">
        <v>60</v>
      </c>
      <c r="K14" s="35">
        <v>60</v>
      </c>
    </row>
    <row r="15" spans="1:11" ht="21" customHeight="1" x14ac:dyDescent="0.15">
      <c r="A15" s="15" t="str">
        <f t="shared" si="0"/>
        <v>15031_4-1</v>
      </c>
      <c r="B15" s="15" t="str">
        <f>IF(COUNTIF(enemy_habitats!$H:$H,A15),"OK","NG")</f>
        <v>OK</v>
      </c>
      <c r="C15" s="93">
        <v>15031</v>
      </c>
      <c r="D15" s="11" t="str">
        <f ca="1">VLOOKUP($C15,OFFSET([2]quests!$A$1,0,0,COUNTA([2]quests!$A:$A),MATCH(D$1,[2]quests!$1:$1,0)-MATCH($C$1,[2]quests!$1:$1,0)+1),MATCH(D$1,[2]quests!$1:$1,0)-MATCH($C$1,[2]quests!$1:$1,0)+1,FALSE)</f>
        <v>31. 桜花乱城</v>
      </c>
      <c r="E15" s="17" t="str">
        <f ca="1">VLOOKUP($C15,OFFSET([2]quests!$A$1,0,0,COUNTA([2]quests!$A:$A),MATCH(E$1,[2]quests!$1:$1,0)-MATCH($C$1,[2]quests!$1:$1,0)+1),MATCH(E$1,[2]quests!$1:$1,0)-MATCH($C$1,[2]quests!$1:$1,0)+1,FALSE)</f>
        <v>混色DL6</v>
      </c>
      <c r="F15" s="94">
        <v>4</v>
      </c>
      <c r="G15" s="20" t="str">
        <f t="shared" si="1"/>
        <v>15031_4</v>
      </c>
      <c r="H15" s="14" t="str">
        <f ca="1">VLOOKUP($G15,OFFSET([2]stages!$A$1,0,0,COUNTA([2]stages!$A:$A),MATCH(H$1,[2]stages!$2:$2,0)-MATCH($G$1,[2]stages!$2:$2,0)+1),MATCH(H$1,[2]stages!$2:$2,0)-MATCH($G$1,[2]stages!$2:$2,0)+1,FALSE)</f>
        <v>31-4. 【1回のみ】ボーナスステージ</v>
      </c>
      <c r="I15" s="94">
        <v>1</v>
      </c>
      <c r="J15" s="35">
        <v>60</v>
      </c>
      <c r="K15" s="35">
        <v>60</v>
      </c>
    </row>
    <row r="16" spans="1:11" ht="21" customHeight="1" x14ac:dyDescent="0.15">
      <c r="A16" s="15" t="str">
        <f t="shared" si="0"/>
        <v>15031_4-2</v>
      </c>
      <c r="B16" s="15" t="str">
        <f>IF(COUNTIF(enemy_habitats!$H:$H,A16),"OK","NG")</f>
        <v>OK</v>
      </c>
      <c r="C16" s="93">
        <v>15031</v>
      </c>
      <c r="D16" s="11" t="str">
        <f ca="1">VLOOKUP($C16,OFFSET([2]quests!$A$1,0,0,COUNTA([2]quests!$A:$A),MATCH(D$1,[2]quests!$1:$1,0)-MATCH($C$1,[2]quests!$1:$1,0)+1),MATCH(D$1,[2]quests!$1:$1,0)-MATCH($C$1,[2]quests!$1:$1,0)+1,FALSE)</f>
        <v>31. 桜花乱城</v>
      </c>
      <c r="E16" s="17" t="str">
        <f ca="1">VLOOKUP($C16,OFFSET([2]quests!$A$1,0,0,COUNTA([2]quests!$A:$A),MATCH(E$1,[2]quests!$1:$1,0)-MATCH($C$1,[2]quests!$1:$1,0)+1),MATCH(E$1,[2]quests!$1:$1,0)-MATCH($C$1,[2]quests!$1:$1,0)+1,FALSE)</f>
        <v>混色DL6</v>
      </c>
      <c r="F16" s="94">
        <v>4</v>
      </c>
      <c r="G16" s="20" t="str">
        <f t="shared" si="1"/>
        <v>15031_4</v>
      </c>
      <c r="H16" s="14" t="str">
        <f ca="1">VLOOKUP($G16,OFFSET([2]stages!$A$1,0,0,COUNTA([2]stages!$A:$A),MATCH(H$1,[2]stages!$2:$2,0)-MATCH($G$1,[2]stages!$2:$2,0)+1),MATCH(H$1,[2]stages!$2:$2,0)-MATCH($G$1,[2]stages!$2:$2,0)+1,FALSE)</f>
        <v>31-4. 【1回のみ】ボーナスステージ</v>
      </c>
      <c r="I16" s="94">
        <v>2</v>
      </c>
      <c r="J16" s="35">
        <v>60</v>
      </c>
      <c r="K16" s="35">
        <v>60</v>
      </c>
    </row>
    <row r="17" spans="1:11" ht="21" customHeight="1" x14ac:dyDescent="0.15">
      <c r="A17" s="15" t="str">
        <f t="shared" ref="A17:A19" si="8">G17&amp;"-"&amp;I17</f>
        <v>15031_4-3</v>
      </c>
      <c r="B17" s="15" t="str">
        <f>IF(COUNTIF(enemy_habitats!$H:$H,A17),"OK","NG")</f>
        <v>OK</v>
      </c>
      <c r="C17" s="93">
        <v>15031</v>
      </c>
      <c r="D17" s="11" t="str">
        <f ca="1">VLOOKUP($C17,OFFSET([2]quests!$A$1,0,0,COUNTA([2]quests!$A:$A),MATCH(D$1,[2]quests!$1:$1,0)-MATCH($C$1,[2]quests!$1:$1,0)+1),MATCH(D$1,[2]quests!$1:$1,0)-MATCH($C$1,[2]quests!$1:$1,0)+1,FALSE)</f>
        <v>31. 桜花乱城</v>
      </c>
      <c r="E17" s="17" t="str">
        <f ca="1">VLOOKUP($C17,OFFSET([2]quests!$A$1,0,0,COUNTA([2]quests!$A:$A),MATCH(E$1,[2]quests!$1:$1,0)-MATCH($C$1,[2]quests!$1:$1,0)+1),MATCH(E$1,[2]quests!$1:$1,0)-MATCH($C$1,[2]quests!$1:$1,0)+1,FALSE)</f>
        <v>混色DL6</v>
      </c>
      <c r="F17" s="94">
        <v>4</v>
      </c>
      <c r="G17" s="20" t="str">
        <f t="shared" ref="G17:G19" si="9">C17&amp;"_"&amp;F17</f>
        <v>15031_4</v>
      </c>
      <c r="H17" s="14" t="str">
        <f ca="1">VLOOKUP($G17,OFFSET([2]stages!$A$1,0,0,COUNTA([2]stages!$A:$A),MATCH(H$1,[2]stages!$2:$2,0)-MATCH($G$1,[2]stages!$2:$2,0)+1),MATCH(H$1,[2]stages!$2:$2,0)-MATCH($G$1,[2]stages!$2:$2,0)+1,FALSE)</f>
        <v>31-4. 【1回のみ】ボーナスステージ</v>
      </c>
      <c r="I17" s="94">
        <v>3</v>
      </c>
      <c r="J17" s="35">
        <v>60</v>
      </c>
      <c r="K17" s="35">
        <v>60</v>
      </c>
    </row>
    <row r="18" spans="1:11" ht="21" customHeight="1" x14ac:dyDescent="0.15">
      <c r="A18" s="15" t="str">
        <f t="shared" si="8"/>
        <v>15031_4-4</v>
      </c>
      <c r="B18" s="15" t="str">
        <f>IF(COUNTIF(enemy_habitats!$H:$H,A18),"OK","NG")</f>
        <v>OK</v>
      </c>
      <c r="C18" s="93">
        <v>15031</v>
      </c>
      <c r="D18" s="11" t="str">
        <f ca="1">VLOOKUP($C18,OFFSET([2]quests!$A$1,0,0,COUNTA([2]quests!$A:$A),MATCH(D$1,[2]quests!$1:$1,0)-MATCH($C$1,[2]quests!$1:$1,0)+1),MATCH(D$1,[2]quests!$1:$1,0)-MATCH($C$1,[2]quests!$1:$1,0)+1,FALSE)</f>
        <v>31. 桜花乱城</v>
      </c>
      <c r="E18" s="17" t="str">
        <f ca="1">VLOOKUP($C18,OFFSET([2]quests!$A$1,0,0,COUNTA([2]quests!$A:$A),MATCH(E$1,[2]quests!$1:$1,0)-MATCH($C$1,[2]quests!$1:$1,0)+1),MATCH(E$1,[2]quests!$1:$1,0)-MATCH($C$1,[2]quests!$1:$1,0)+1,FALSE)</f>
        <v>混色DL6</v>
      </c>
      <c r="F18" s="94">
        <v>4</v>
      </c>
      <c r="G18" s="20" t="str">
        <f t="shared" si="9"/>
        <v>15031_4</v>
      </c>
      <c r="H18" s="14" t="str">
        <f ca="1">VLOOKUP($G18,OFFSET([2]stages!$A$1,0,0,COUNTA([2]stages!$A:$A),MATCH(H$1,[2]stages!$2:$2,0)-MATCH($G$1,[2]stages!$2:$2,0)+1),MATCH(H$1,[2]stages!$2:$2,0)-MATCH($G$1,[2]stages!$2:$2,0)+1,FALSE)</f>
        <v>31-4. 【1回のみ】ボーナスステージ</v>
      </c>
      <c r="I18" s="94">
        <v>4</v>
      </c>
      <c r="J18" s="35">
        <v>60</v>
      </c>
      <c r="K18" s="35">
        <v>60</v>
      </c>
    </row>
    <row r="19" spans="1:11" ht="21" customHeight="1" x14ac:dyDescent="0.15">
      <c r="A19" s="15" t="str">
        <f t="shared" si="8"/>
        <v>15031_4-5</v>
      </c>
      <c r="B19" s="15" t="str">
        <f>IF(COUNTIF(enemy_habitats!$H:$H,A19),"OK","NG")</f>
        <v>OK</v>
      </c>
      <c r="C19" s="93">
        <v>15031</v>
      </c>
      <c r="D19" s="11" t="str">
        <f ca="1">VLOOKUP($C19,OFFSET([2]quests!$A$1,0,0,COUNTA([2]quests!$A:$A),MATCH(D$1,[2]quests!$1:$1,0)-MATCH($C$1,[2]quests!$1:$1,0)+1),MATCH(D$1,[2]quests!$1:$1,0)-MATCH($C$1,[2]quests!$1:$1,0)+1,FALSE)</f>
        <v>31. 桜花乱城</v>
      </c>
      <c r="E19" s="17" t="str">
        <f ca="1">VLOOKUP($C19,OFFSET([2]quests!$A$1,0,0,COUNTA([2]quests!$A:$A),MATCH(E$1,[2]quests!$1:$1,0)-MATCH($C$1,[2]quests!$1:$1,0)+1),MATCH(E$1,[2]quests!$1:$1,0)-MATCH($C$1,[2]quests!$1:$1,0)+1,FALSE)</f>
        <v>混色DL6</v>
      </c>
      <c r="F19" s="94">
        <v>4</v>
      </c>
      <c r="G19" s="20" t="str">
        <f t="shared" si="9"/>
        <v>15031_4</v>
      </c>
      <c r="H19" s="14" t="str">
        <f ca="1">VLOOKUP($G19,OFFSET([2]stages!$A$1,0,0,COUNTA([2]stages!$A:$A),MATCH(H$1,[2]stages!$2:$2,0)-MATCH($G$1,[2]stages!$2:$2,0)+1),MATCH(H$1,[2]stages!$2:$2,0)-MATCH($G$1,[2]stages!$2:$2,0)+1,FALSE)</f>
        <v>31-4. 【1回のみ】ボーナスステージ</v>
      </c>
      <c r="I19" s="94">
        <v>5</v>
      </c>
      <c r="J19" s="35">
        <v>60</v>
      </c>
      <c r="K19" s="35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61"/>
  <sheetViews>
    <sheetView showGridLines="0" tabSelected="1" zoomScale="85" zoomScaleNormal="85" zoomScalePageLayoutView="85" workbookViewId="0">
      <pane xSplit="17" ySplit="1" topLeftCell="AF25" activePane="bottomRight" state="frozen"/>
      <selection pane="topRight" activeCell="N1" sqref="N1"/>
      <selection pane="bottomLeft" activeCell="A2" sqref="A2"/>
      <selection pane="bottomRight" activeCell="M39" sqref="M39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10.6640625" style="3" bestFit="1" customWidth="1"/>
    <col min="4" max="4" width="13" style="10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21" style="3" bestFit="1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26.5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2" bestFit="1" customWidth="1" outlineLevel="1"/>
    <col min="30" max="30" width="8" style="13" bestFit="1" customWidth="1" outlineLevel="1"/>
    <col min="31" max="31" width="12" style="13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2" customFormat="1" ht="21" customHeight="1" x14ac:dyDescent="0.15">
      <c r="A1" s="24" t="s">
        <v>28</v>
      </c>
      <c r="B1" s="25" t="s">
        <v>0</v>
      </c>
      <c r="C1" s="25" t="s">
        <v>1</v>
      </c>
      <c r="D1" s="26" t="s">
        <v>27</v>
      </c>
      <c r="E1" s="27" t="s">
        <v>19</v>
      </c>
      <c r="F1" s="27" t="s">
        <v>19</v>
      </c>
      <c r="G1" s="25" t="s">
        <v>18</v>
      </c>
      <c r="H1" s="26" t="s">
        <v>34</v>
      </c>
      <c r="I1" s="26" t="s">
        <v>13</v>
      </c>
      <c r="J1" s="26" t="s">
        <v>14</v>
      </c>
      <c r="K1" s="33" t="s">
        <v>52</v>
      </c>
      <c r="L1" s="34" t="s">
        <v>2</v>
      </c>
      <c r="M1" s="28" t="s">
        <v>20</v>
      </c>
      <c r="N1" s="26" t="s">
        <v>23</v>
      </c>
      <c r="O1" s="26" t="s">
        <v>22</v>
      </c>
      <c r="P1" s="29" t="s">
        <v>25</v>
      </c>
      <c r="Q1" s="27" t="s">
        <v>24</v>
      </c>
      <c r="R1" s="25" t="s">
        <v>3</v>
      </c>
      <c r="S1" s="23" t="s">
        <v>47</v>
      </c>
      <c r="T1" s="23" t="s">
        <v>49</v>
      </c>
      <c r="U1" s="23" t="s">
        <v>51</v>
      </c>
      <c r="V1" s="26" t="s">
        <v>30</v>
      </c>
      <c r="W1" s="25" t="s">
        <v>404</v>
      </c>
      <c r="X1" s="25" t="s">
        <v>4</v>
      </c>
      <c r="Y1" s="25" t="s">
        <v>5</v>
      </c>
      <c r="Z1" s="25" t="s">
        <v>6</v>
      </c>
      <c r="AA1" s="25" t="s">
        <v>7</v>
      </c>
      <c r="AB1" s="30" t="s">
        <v>8</v>
      </c>
      <c r="AC1" s="31" t="s">
        <v>15</v>
      </c>
      <c r="AD1" s="31" t="s">
        <v>16</v>
      </c>
      <c r="AE1" s="31" t="s">
        <v>26</v>
      </c>
      <c r="AF1" s="30" t="s">
        <v>9</v>
      </c>
      <c r="AG1" s="25" t="s">
        <v>10</v>
      </c>
      <c r="AH1" s="25" t="s">
        <v>11</v>
      </c>
      <c r="AI1" s="25" t="s">
        <v>37</v>
      </c>
      <c r="AJ1" s="25" t="s">
        <v>39</v>
      </c>
      <c r="AK1" s="25" t="s">
        <v>41</v>
      </c>
      <c r="AL1" s="25" t="s">
        <v>43</v>
      </c>
      <c r="AM1" s="25" t="s">
        <v>45</v>
      </c>
      <c r="AN1" s="33" t="s">
        <v>179</v>
      </c>
    </row>
    <row r="2" spans="1:40" ht="21" customHeight="1" x14ac:dyDescent="0.15">
      <c r="A2" s="15" t="str">
        <f ca="1">B2&amp;"_"&amp;C2&amp;"-"&amp;G2&amp;"/"&amp;L2&amp;"&lt;lv"&amp;R2&amp;"&gt;s"&amp;AA2</f>
        <v>15031_1-1/370&lt;lv58&gt;s2</v>
      </c>
      <c r="B2" s="95">
        <v>15031</v>
      </c>
      <c r="C2" s="96">
        <v>1</v>
      </c>
      <c r="D2" s="2" t="str">
        <f>B2&amp;"_"&amp;C2</f>
        <v>15031_1</v>
      </c>
      <c r="E2" s="4" t="str">
        <f ca="1">VLOOKUP($B2,OFFSET([2]quests!$A$1,0,0,COUNTA([2]quests!$A:$A),MATCH(E$1,[2]quests!$1:$1,0)-MATCH($B$1,[2]quests!$1:$1,0)+1),MATCH(E$1,[2]quests!$1:$1,0)-MATCH($B$1,[2]quests!$1:$1,0)+1,FALSE)</f>
        <v>31. 桜花乱城</v>
      </c>
      <c r="F2" s="4" t="str">
        <f ca="1">VLOOKUP($D2,OFFSET([2]stages!$A$1,0,0,COUNTA([2]stages!$A:$A),MATCH(F$1,[2]stages!$2:$2,0)-MATCH($D$1,[2]stages!$2:$2,0)+1),MATCH(F$1,[2]stages!$2:$2,0)-MATCH($D$1,[2]stages!$2:$2,0)+1,FALSE)</f>
        <v>31-1. 忍び寄る影</v>
      </c>
      <c r="G2" s="96">
        <v>1</v>
      </c>
      <c r="H2" s="14" t="str">
        <f>B2&amp;"_"&amp;C2&amp;"-"&amp;G2</f>
        <v>15031_1-1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5" t="s">
        <v>209</v>
      </c>
      <c r="L2" s="148">
        <v>370</v>
      </c>
      <c r="M2" s="16" t="str">
        <f ca="1">VLOOKUP($L2,OFFSET([3]enemies!$A$1,0,0,COUNTA([3]enemies!$A:$A),MATCH(M$1,[3]enemies!$1:$1,0)-MATCH($L$1,[3]enemies!$1:$1,0)+1),MATCH(M$1,[3]enemies!$1:$1,0)-MATCH($L$1,[3]enemies!$1:$1,0)+1,FALSE)</f>
        <v>タイチ</v>
      </c>
      <c r="N2" s="16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6" t="str">
        <f ca="1">VLOOKUP($L2,OFFSET([4]characters!$A$1,0,0,COUNTA([4]characters!$A:$A),MATCH(O$1,[4]characters!$1:$1,0)-MATCH($L$1,[4]characters!$1:$1,0)+1),MATCH(O$1,[4]characters!$1:$1,0)-MATCH($L$1,[4]characters!$1:$1,0)+1,FALSE)</f>
        <v>Drop1S</v>
      </c>
      <c r="P2" s="16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6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58</v>
      </c>
      <c r="S2" s="22">
        <v>1.5</v>
      </c>
      <c r="T2" s="22">
        <v>0.8</v>
      </c>
      <c r="U2" s="5">
        <v>0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赤パネル吸収攻撃</v>
      </c>
      <c r="W2" s="4">
        <v>15031001</v>
      </c>
      <c r="X2" s="6">
        <v>0</v>
      </c>
      <c r="Y2" s="6">
        <v>100</v>
      </c>
      <c r="Z2" s="6">
        <v>0</v>
      </c>
      <c r="AA2" s="16">
        <f ca="1">VLOOKUP($L2,OFFSET([3]enemies!$A$1,0,0,COUNTA([3]enemies!$A:$A),MATCH(AA$1,[3]enemies!$1:$1,0)-MATCH($L$1,[3]enemies!$1:$1,0)+1),MATCH(AA$1,[3]enemies!$1:$1,0)-MATCH($L$1,[3]enemies!$1:$1,0)+1,FALSE)</f>
        <v>2</v>
      </c>
      <c r="AB2" s="21">
        <f>L2</f>
        <v>370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タイチ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2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Drop1S</v>
      </c>
      <c r="AF2" s="7">
        <v>1</v>
      </c>
      <c r="AG2" s="21">
        <f ca="1">AD2</f>
        <v>2</v>
      </c>
      <c r="AH2" s="8">
        <v>20</v>
      </c>
      <c r="AI2" s="93">
        <v>0</v>
      </c>
      <c r="AJ2" s="93">
        <v>0</v>
      </c>
      <c r="AK2" s="93">
        <v>0</v>
      </c>
      <c r="AL2" s="93">
        <v>0</v>
      </c>
      <c r="AM2" s="93">
        <v>1</v>
      </c>
      <c r="AN2" s="66">
        <v>1</v>
      </c>
    </row>
    <row r="3" spans="1:40" ht="21" customHeight="1" x14ac:dyDescent="0.15">
      <c r="A3" s="15" t="str">
        <f t="shared" ref="A3" si="0">B3&amp;"_"&amp;C3&amp;"-"&amp;G3&amp;"/"&amp;L3&amp;"&lt;lv"&amp;R3&amp;"&gt;s"&amp;AA3</f>
        <v>15031_1-1/178&lt;lv55&gt;s2</v>
      </c>
      <c r="B3" s="95">
        <v>15031</v>
      </c>
      <c r="C3" s="96">
        <v>1</v>
      </c>
      <c r="D3" s="2" t="str">
        <f t="shared" ref="D3" si="1">B3&amp;"_"&amp;C3</f>
        <v>15031_1</v>
      </c>
      <c r="E3" s="4" t="str">
        <f ca="1">VLOOKUP($B3,OFFSET([2]quests!$A$1,0,0,COUNTA([2]quests!$A:$A),MATCH(E$1,[2]quests!$1:$1,0)-MATCH($B$1,[2]quests!$1:$1,0)+1),MATCH(E$1,[2]quests!$1:$1,0)-MATCH($B$1,[2]quests!$1:$1,0)+1,FALSE)</f>
        <v>31. 桜花乱城</v>
      </c>
      <c r="F3" s="4" t="str">
        <f ca="1">VLOOKUP($D3,OFFSET([2]stages!$A$1,0,0,COUNTA([2]stages!$A:$A),MATCH(F$1,[2]stages!$2:$2,0)-MATCH($D$1,[2]stages!$2:$2,0)+1),MATCH(F$1,[2]stages!$2:$2,0)-MATCH($D$1,[2]stages!$2:$2,0)+1,FALSE)</f>
        <v>31-1. 忍び寄る影</v>
      </c>
      <c r="G3" s="96">
        <v>1</v>
      </c>
      <c r="H3" s="14" t="str">
        <f t="shared" ref="H3" si="2">B3&amp;"_"&amp;C3&amp;"-"&amp;G3</f>
        <v>15031_1-1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5" t="s">
        <v>209</v>
      </c>
      <c r="L3" s="100">
        <v>178</v>
      </c>
      <c r="M3" s="16" t="str">
        <f ca="1">VLOOKUP($L3,OFFSET([3]enemies!$A$1,0,0,COUNTA([3]enemies!$A:$A),MATCH(M$1,[3]enemies!$1:$1,0)-MATCH($L$1,[3]enemies!$1:$1,0)+1),MATCH(M$1,[3]enemies!$1:$1,0)-MATCH($L$1,[3]enemies!$1:$1,0)+1,FALSE)</f>
        <v>ケルベロス</v>
      </c>
      <c r="N3" s="16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PremiumN</v>
      </c>
      <c r="P3" s="16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6">
        <f ca="1">VLOOKUP($L3,OFFSET([3]enemies!$A$1,0,0,COUNTA([3]enemies!$A:$A),MATCH(Q$1,[3]enemies!$1:$1,0)-MATCH($L$1,[3]enemies!$1:$1,0)+1),MATCH(Q$1,[3]enemies!$1:$1,0)-MATCH($L$1,[3]enemies!$1:$1,0)+1,FALSE)</f>
        <v>20</v>
      </c>
      <c r="R3" s="5">
        <v>55</v>
      </c>
      <c r="S3" s="22">
        <v>1.5</v>
      </c>
      <c r="T3" s="22">
        <v>0.8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全体攻撃</v>
      </c>
      <c r="W3" s="4">
        <v>15031002</v>
      </c>
      <c r="X3" s="6">
        <v>1</v>
      </c>
      <c r="Y3" s="6">
        <v>100</v>
      </c>
      <c r="Z3" s="6">
        <v>1</v>
      </c>
      <c r="AA3" s="16">
        <v>2</v>
      </c>
      <c r="AB3" s="21">
        <f t="shared" ref="AB3" si="3">L3</f>
        <v>178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ケルベロス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3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3" s="7">
        <v>1</v>
      </c>
      <c r="AG3" s="21">
        <f t="shared" ref="AG3" ca="1" si="4">AD3</f>
        <v>3</v>
      </c>
      <c r="AH3" s="8">
        <v>0</v>
      </c>
      <c r="AI3" s="93">
        <v>0</v>
      </c>
      <c r="AJ3" s="93">
        <v>0</v>
      </c>
      <c r="AK3" s="93">
        <v>0</v>
      </c>
      <c r="AL3" s="93">
        <v>0</v>
      </c>
      <c r="AM3" s="93">
        <v>1</v>
      </c>
      <c r="AN3" s="66">
        <v>1</v>
      </c>
    </row>
    <row r="4" spans="1:40" ht="21" customHeight="1" x14ac:dyDescent="0.15">
      <c r="A4" s="15" t="str">
        <f t="shared" ref="A4:A5" ca="1" si="5">B4&amp;"_"&amp;C4&amp;"-"&amp;G4&amp;"/"&amp;L4&amp;"&lt;lv"&amp;R4&amp;"&gt;s"&amp;AA4</f>
        <v>15031_1-1/352&lt;lv55&gt;s3</v>
      </c>
      <c r="B4" s="95">
        <v>15031</v>
      </c>
      <c r="C4" s="96">
        <v>1</v>
      </c>
      <c r="D4" s="2" t="str">
        <f t="shared" ref="D4:D5" si="6">B4&amp;"_"&amp;C4</f>
        <v>15031_1</v>
      </c>
      <c r="E4" s="4" t="str">
        <f ca="1">VLOOKUP($B4,OFFSET([2]quests!$A$1,0,0,COUNTA([2]quests!$A:$A),MATCH(E$1,[2]quests!$1:$1,0)-MATCH($B$1,[2]quests!$1:$1,0)+1),MATCH(E$1,[2]quests!$1:$1,0)-MATCH($B$1,[2]quests!$1:$1,0)+1,FALSE)</f>
        <v>31. 桜花乱城</v>
      </c>
      <c r="F4" s="4" t="str">
        <f ca="1">VLOOKUP($D4,OFFSET([2]stages!$A$1,0,0,COUNTA([2]stages!$A:$A),MATCH(F$1,[2]stages!$2:$2,0)-MATCH($D$1,[2]stages!$2:$2,0)+1),MATCH(F$1,[2]stages!$2:$2,0)-MATCH($D$1,[2]stages!$2:$2,0)+1,FALSE)</f>
        <v>31-1. 忍び寄る影</v>
      </c>
      <c r="G4" s="96">
        <v>1</v>
      </c>
      <c r="H4" s="14" t="str">
        <f t="shared" ref="H4:H5" si="7">B4&amp;"_"&amp;C4&amp;"-"&amp;G4</f>
        <v>15031_1-1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5" t="s">
        <v>88</v>
      </c>
      <c r="L4" s="100">
        <v>352</v>
      </c>
      <c r="M4" s="16" t="str">
        <f ca="1">VLOOKUP($L4,OFFSET([3]enemies!$A$1,0,0,COUNTA([3]enemies!$A:$A),MATCH(M$1,[3]enemies!$1:$1,0)-MATCH($L$1,[3]enemies!$1:$1,0)+1),MATCH(M$1,[3]enemies!$1:$1,0)-MATCH($L$1,[3]enemies!$1:$1,0)+1,FALSE)</f>
        <v>水のケロケロ</v>
      </c>
      <c r="N4" s="16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6" t="str">
        <f ca="1">VLOOKUP($L4,OFFSET([4]characters!$A$1,0,0,COUNTA([4]characters!$A:$A),MATCH(O$1,[4]characters!$1:$1,0)-MATCH($L$1,[4]characters!$1:$1,0)+1),MATCH(O$1,[4]characters!$1:$1,0)-MATCH($L$1,[4]characters!$1:$1,0)+1,FALSE)</f>
        <v>Material</v>
      </c>
      <c r="P4" s="16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6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55</v>
      </c>
      <c r="S4" s="22">
        <v>1.5</v>
      </c>
      <c r="T4" s="22">
        <v>0.8</v>
      </c>
      <c r="U4" s="5">
        <v>0</v>
      </c>
      <c r="V4" s="4" t="e">
        <f ca="1">VLOOKUP($W4,OFFSET(enemy_skill_sets!$B$1,0,0,COUNTA(enemy_skill_sets!$B:$B),MATCH(M$1,enemy_skill_sets!$1:$1,0)-MATCH($W$1,enemy_skill_sets!$1:$1,0)+2),MATCH(M$1,enemy_skill_sets!$1:$1,0)-MATCH($W$1,enemy_skill_sets!$1:$1,0)+2,FALSE)</f>
        <v>#N/A</v>
      </c>
      <c r="W4" s="4">
        <v>520006</v>
      </c>
      <c r="X4" s="6">
        <v>0</v>
      </c>
      <c r="Y4" s="6">
        <v>5</v>
      </c>
      <c r="Z4" s="6">
        <v>1</v>
      </c>
      <c r="AA4" s="16">
        <f ca="1">VLOOKUP($L4,OFFSET([3]enemies!$A$1,0,0,COUNTA([3]enemies!$A:$A),MATCH(AA$1,[3]enemies!$1:$1,0)-MATCH($L$1,[3]enemies!$1:$1,0)+1),MATCH(AA$1,[3]enemies!$1:$1,0)-MATCH($L$1,[3]enemies!$1:$1,0)+1,FALSE)</f>
        <v>3</v>
      </c>
      <c r="AB4" s="21">
        <f t="shared" ref="AB4:AB5" si="8">L4</f>
        <v>352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水のケロケロ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5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" s="7">
        <v>10</v>
      </c>
      <c r="AG4" s="21">
        <f t="shared" ref="AG4:AG5" ca="1" si="9">AD4</f>
        <v>5</v>
      </c>
      <c r="AH4" s="8">
        <v>20</v>
      </c>
      <c r="AI4" s="93">
        <v>0</v>
      </c>
      <c r="AJ4" s="93">
        <v>0</v>
      </c>
      <c r="AK4" s="93">
        <v>0</v>
      </c>
      <c r="AL4" s="93">
        <v>0</v>
      </c>
      <c r="AM4" s="93">
        <v>1</v>
      </c>
      <c r="AN4" s="66">
        <v>1</v>
      </c>
    </row>
    <row r="5" spans="1:40" ht="21" customHeight="1" x14ac:dyDescent="0.15">
      <c r="A5" s="15" t="str">
        <f t="shared" ca="1" si="5"/>
        <v>15031_1-1/354&lt;lv55&gt;s3</v>
      </c>
      <c r="B5" s="95">
        <v>15031</v>
      </c>
      <c r="C5" s="96">
        <v>1</v>
      </c>
      <c r="D5" s="2" t="str">
        <f t="shared" si="6"/>
        <v>15031_1</v>
      </c>
      <c r="E5" s="4" t="str">
        <f ca="1">VLOOKUP($B5,OFFSET([2]quests!$A$1,0,0,COUNTA([2]quests!$A:$A),MATCH(E$1,[2]quests!$1:$1,0)-MATCH($B$1,[2]quests!$1:$1,0)+1),MATCH(E$1,[2]quests!$1:$1,0)-MATCH($B$1,[2]quests!$1:$1,0)+1,FALSE)</f>
        <v>31. 桜花乱城</v>
      </c>
      <c r="F5" s="4" t="str">
        <f ca="1">VLOOKUP($D5,OFFSET([2]stages!$A$1,0,0,COUNTA([2]stages!$A:$A),MATCH(F$1,[2]stages!$2:$2,0)-MATCH($D$1,[2]stages!$2:$2,0)+1),MATCH(F$1,[2]stages!$2:$2,0)-MATCH($D$1,[2]stages!$2:$2,0)+1,FALSE)</f>
        <v>31-1. 忍び寄る影</v>
      </c>
      <c r="G5" s="96">
        <v>1</v>
      </c>
      <c r="H5" s="14" t="str">
        <f t="shared" si="7"/>
        <v>15031_1-1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5" t="s">
        <v>88</v>
      </c>
      <c r="L5" s="100">
        <v>354</v>
      </c>
      <c r="M5" s="16" t="str">
        <f ca="1">VLOOKUP($L5,OFFSET([3]enemies!$A$1,0,0,COUNTA([3]enemies!$A:$A),MATCH(M$1,[3]enemies!$1:$1,0)-MATCH($L$1,[3]enemies!$1:$1,0)+1),MATCH(M$1,[3]enemies!$1:$1,0)-MATCH($L$1,[3]enemies!$1:$1,0)+1,FALSE)</f>
        <v>雷のケロケロ</v>
      </c>
      <c r="N5" s="16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6" t="str">
        <f ca="1">VLOOKUP($L5,OFFSET([4]characters!$A$1,0,0,COUNTA([4]characters!$A:$A),MATCH(O$1,[4]characters!$1:$1,0)-MATCH($L$1,[4]characters!$1:$1,0)+1),MATCH(O$1,[4]characters!$1:$1,0)-MATCH($L$1,[4]characters!$1:$1,0)+1,FALSE)</f>
        <v>Material</v>
      </c>
      <c r="P5" s="16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6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55</v>
      </c>
      <c r="S5" s="22">
        <v>1.5</v>
      </c>
      <c r="T5" s="22">
        <v>0.8</v>
      </c>
      <c r="U5" s="5">
        <v>0</v>
      </c>
      <c r="V5" s="4" t="e">
        <f ca="1">VLOOKUP($W5,OFFSET(enemy_skill_sets!$B$1,0,0,COUNTA(enemy_skill_sets!$B:$B),MATCH(M$1,enemy_skill_sets!$1:$1,0)-MATCH($W$1,enemy_skill_sets!$1:$1,0)+2),MATCH(M$1,enemy_skill_sets!$1:$1,0)-MATCH($W$1,enemy_skill_sets!$1:$1,0)+2,FALSE)</f>
        <v>#N/A</v>
      </c>
      <c r="W5" s="4">
        <v>520007</v>
      </c>
      <c r="X5" s="6">
        <v>0</v>
      </c>
      <c r="Y5" s="6">
        <v>5</v>
      </c>
      <c r="Z5" s="6">
        <v>1</v>
      </c>
      <c r="AA5" s="16">
        <f ca="1">VLOOKUP($L5,OFFSET([3]enemies!$A$1,0,0,COUNTA([3]enemies!$A:$A),MATCH(AA$1,[3]enemies!$1:$1,0)-MATCH($L$1,[3]enemies!$1:$1,0)+1),MATCH(AA$1,[3]enemies!$1:$1,0)-MATCH($L$1,[3]enemies!$1:$1,0)+1,FALSE)</f>
        <v>3</v>
      </c>
      <c r="AB5" s="21">
        <f t="shared" si="8"/>
        <v>354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雷のケロケロ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5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" s="7">
        <v>10</v>
      </c>
      <c r="AG5" s="21">
        <f t="shared" ca="1" si="9"/>
        <v>5</v>
      </c>
      <c r="AH5" s="8">
        <v>20</v>
      </c>
      <c r="AI5" s="93">
        <v>0</v>
      </c>
      <c r="AJ5" s="93">
        <v>0</v>
      </c>
      <c r="AK5" s="93">
        <v>0</v>
      </c>
      <c r="AL5" s="93">
        <v>0</v>
      </c>
      <c r="AM5" s="93">
        <v>1</v>
      </c>
      <c r="AN5" s="66">
        <v>1</v>
      </c>
    </row>
    <row r="6" spans="1:40" ht="21" customHeight="1" x14ac:dyDescent="0.15">
      <c r="A6" s="15" t="str">
        <f t="shared" ref="A6:A52" ca="1" si="10">B6&amp;"_"&amp;C6&amp;"-"&amp;G6&amp;"/"&amp;L6&amp;"&lt;lv"&amp;R6&amp;"&gt;s"&amp;AA6</f>
        <v>15031_1-2/372&lt;lv58&gt;s3</v>
      </c>
      <c r="B6" s="95">
        <v>15031</v>
      </c>
      <c r="C6" s="96">
        <v>1</v>
      </c>
      <c r="D6" s="2" t="str">
        <f t="shared" ref="D6:D52" si="11">B6&amp;"_"&amp;C6</f>
        <v>15031_1</v>
      </c>
      <c r="E6" s="4" t="str">
        <f ca="1">VLOOKUP($B6,OFFSET([2]quests!$A$1,0,0,COUNTA([2]quests!$A:$A),MATCH(E$1,[2]quests!$1:$1,0)-MATCH($B$1,[2]quests!$1:$1,0)+1),MATCH(E$1,[2]quests!$1:$1,0)-MATCH($B$1,[2]quests!$1:$1,0)+1,FALSE)</f>
        <v>31. 桜花乱城</v>
      </c>
      <c r="F6" s="4" t="str">
        <f ca="1">VLOOKUP($D6,OFFSET([2]stages!$A$1,0,0,COUNTA([2]stages!$A:$A),MATCH(F$1,[2]stages!$2:$2,0)-MATCH($D$1,[2]stages!$2:$2,0)+1),MATCH(F$1,[2]stages!$2:$2,0)-MATCH($D$1,[2]stages!$2:$2,0)+1,FALSE)</f>
        <v>31-1. 忍び寄る影</v>
      </c>
      <c r="G6" s="98">
        <v>2</v>
      </c>
      <c r="H6" s="14" t="str">
        <f t="shared" ref="H6:H52" si="12">B6&amp;"_"&amp;C6&amp;"-"&amp;G6</f>
        <v>15031_1-2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5" t="s">
        <v>209</v>
      </c>
      <c r="L6" s="148">
        <v>372</v>
      </c>
      <c r="M6" s="16" t="str">
        <f ca="1">VLOOKUP($L6,OFFSET([3]enemies!$A$1,0,0,COUNTA([3]enemies!$A:$A),MATCH(M$1,[3]enemies!$1:$1,0)-MATCH($L$1,[3]enemies!$1:$1,0)+1),MATCH(M$1,[3]enemies!$1:$1,0)-MATCH($L$1,[3]enemies!$1:$1,0)+1,FALSE)</f>
        <v>バショー</v>
      </c>
      <c r="N6" s="16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6" t="str">
        <f ca="1">VLOOKUP($L6,OFFSET([4]characters!$A$1,0,0,COUNTA([4]characters!$A:$A),MATCH(O$1,[4]characters!$1:$1,0)-MATCH($L$1,[4]characters!$1:$1,0)+1),MATCH(O$1,[4]characters!$1:$1,0)-MATCH($L$1,[4]characters!$1:$1,0)+1,FALSE)</f>
        <v>Drop1S</v>
      </c>
      <c r="P6" s="16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6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58</v>
      </c>
      <c r="S6" s="22">
        <v>1.5</v>
      </c>
      <c r="T6" s="22">
        <v>0.8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3ターンハートパネルが使えない！</v>
      </c>
      <c r="W6" s="4">
        <v>15031003</v>
      </c>
      <c r="X6" s="6">
        <v>0</v>
      </c>
      <c r="Y6" s="6">
        <v>100</v>
      </c>
      <c r="Z6" s="6">
        <v>0</v>
      </c>
      <c r="AA6" s="16">
        <f ca="1">VLOOKUP($L6,OFFSET([3]enemies!$A$1,0,0,COUNTA([3]enemies!$A:$A),MATCH(AA$1,[3]enemies!$1:$1,0)-MATCH($L$1,[3]enemies!$1:$1,0)+1),MATCH(AA$1,[3]enemies!$1:$1,0)-MATCH($L$1,[3]enemies!$1:$1,0)+1,FALSE)</f>
        <v>3</v>
      </c>
      <c r="AB6" s="21">
        <f t="shared" ref="AB6:AB52" si="13">L6</f>
        <v>372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バショー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2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Drop1S</v>
      </c>
      <c r="AF6" s="7">
        <v>1</v>
      </c>
      <c r="AG6" s="21">
        <f t="shared" ref="AG6:AG52" ca="1" si="14">AD6</f>
        <v>2</v>
      </c>
      <c r="AH6" s="8">
        <v>20</v>
      </c>
      <c r="AI6" s="93">
        <v>0</v>
      </c>
      <c r="AJ6" s="93">
        <v>0</v>
      </c>
      <c r="AK6" s="93">
        <v>0</v>
      </c>
      <c r="AL6" s="93">
        <v>0</v>
      </c>
      <c r="AM6" s="93">
        <v>1</v>
      </c>
      <c r="AN6" s="66">
        <v>1</v>
      </c>
    </row>
    <row r="7" spans="1:40" ht="21" customHeight="1" x14ac:dyDescent="0.15">
      <c r="A7" s="15" t="str">
        <f t="shared" ref="A7:A12" ca="1" si="15">B7&amp;"_"&amp;C7&amp;"-"&amp;G7&amp;"/"&amp;L7&amp;"&lt;lv"&amp;R7&amp;"&gt;s"&amp;AA7</f>
        <v>15031_1-2/181&lt;lv55&gt;s2</v>
      </c>
      <c r="B7" s="95">
        <v>15031</v>
      </c>
      <c r="C7" s="96">
        <v>1</v>
      </c>
      <c r="D7" s="2" t="str">
        <f t="shared" ref="D7:D12" si="16">B7&amp;"_"&amp;C7</f>
        <v>15031_1</v>
      </c>
      <c r="E7" s="4" t="str">
        <f ca="1">VLOOKUP($B7,OFFSET([2]quests!$A$1,0,0,COUNTA([2]quests!$A:$A),MATCH(E$1,[2]quests!$1:$1,0)-MATCH($B$1,[2]quests!$1:$1,0)+1),MATCH(E$1,[2]quests!$1:$1,0)-MATCH($B$1,[2]quests!$1:$1,0)+1,FALSE)</f>
        <v>31. 桜花乱城</v>
      </c>
      <c r="F7" s="4" t="str">
        <f ca="1">VLOOKUP($D7,OFFSET([2]stages!$A$1,0,0,COUNTA([2]stages!$A:$A),MATCH(F$1,[2]stages!$2:$2,0)-MATCH($D$1,[2]stages!$2:$2,0)+1),MATCH(F$1,[2]stages!$2:$2,0)-MATCH($D$1,[2]stages!$2:$2,0)+1,FALSE)</f>
        <v>31-1. 忍び寄る影</v>
      </c>
      <c r="G7" s="98">
        <v>2</v>
      </c>
      <c r="H7" s="14" t="str">
        <f t="shared" ref="H7:H12" si="17">B7&amp;"_"&amp;C7&amp;"-"&amp;G7</f>
        <v>15031_1-2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5" t="s">
        <v>209</v>
      </c>
      <c r="L7" s="100">
        <v>181</v>
      </c>
      <c r="M7" s="16" t="str">
        <f ca="1">VLOOKUP($L7,OFFSET([3]enemies!$A$1,0,0,COUNTA([3]enemies!$A:$A),MATCH(M$1,[3]enemies!$1:$1,0)-MATCH($L$1,[3]enemies!$1:$1,0)+1),MATCH(M$1,[3]enemies!$1:$1,0)-MATCH($L$1,[3]enemies!$1:$1,0)+1,FALSE)</f>
        <v>ベヒモス</v>
      </c>
      <c r="N7" s="16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6" t="str">
        <f ca="1">VLOOKUP($L7,OFFSET([4]characters!$A$1,0,0,COUNTA([4]characters!$A:$A),MATCH(O$1,[4]characters!$1:$1,0)-MATCH($L$1,[4]characters!$1:$1,0)+1),MATCH(O$1,[4]characters!$1:$1,0)-MATCH($L$1,[4]characters!$1:$1,0)+1,FALSE)</f>
        <v>PremiumN</v>
      </c>
      <c r="P7" s="16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6">
        <f ca="1">VLOOKUP($L7,OFFSET([3]enemies!$A$1,0,0,COUNTA([3]enemies!$A:$A),MATCH(Q$1,[3]enemies!$1:$1,0)-MATCH($L$1,[3]enemies!$1:$1,0)+1),MATCH(Q$1,[3]enemies!$1:$1,0)-MATCH($L$1,[3]enemies!$1:$1,0)+1,FALSE)</f>
        <v>20</v>
      </c>
      <c r="R7" s="5">
        <v>55</v>
      </c>
      <c r="S7" s="22">
        <v>1.5</v>
      </c>
      <c r="T7" s="22">
        <v>0.8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全体攻撃</v>
      </c>
      <c r="W7" s="4">
        <v>15031004</v>
      </c>
      <c r="X7" s="6">
        <v>1</v>
      </c>
      <c r="Y7" s="6">
        <v>100</v>
      </c>
      <c r="Z7" s="6">
        <v>1</v>
      </c>
      <c r="AA7" s="16">
        <f ca="1">VLOOKUP($L7,OFFSET([3]enemies!$A$1,0,0,COUNTA([3]enemies!$A:$A),MATCH(AA$1,[3]enemies!$1:$1,0)-MATCH($L$1,[3]enemies!$1:$1,0)+1),MATCH(AA$1,[3]enemies!$1:$1,0)-MATCH($L$1,[3]enemies!$1:$1,0)+1,FALSE)</f>
        <v>2</v>
      </c>
      <c r="AB7" s="21">
        <f t="shared" ref="AB7:AB12" si="18">L7</f>
        <v>181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ベヒモス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3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7" s="7">
        <v>1</v>
      </c>
      <c r="AG7" s="21">
        <f t="shared" ref="AG7:AG12" ca="1" si="19">AD7</f>
        <v>3</v>
      </c>
      <c r="AH7" s="8">
        <v>0</v>
      </c>
      <c r="AI7" s="93">
        <v>0</v>
      </c>
      <c r="AJ7" s="93">
        <v>0</v>
      </c>
      <c r="AK7" s="93">
        <v>0</v>
      </c>
      <c r="AL7" s="93">
        <v>0</v>
      </c>
      <c r="AM7" s="93">
        <v>1</v>
      </c>
      <c r="AN7" s="66">
        <v>1</v>
      </c>
    </row>
    <row r="8" spans="1:40" ht="21" customHeight="1" x14ac:dyDescent="0.15">
      <c r="A8" s="15" t="str">
        <f t="shared" ref="A8:A9" ca="1" si="20">B8&amp;"_"&amp;C8&amp;"-"&amp;G8&amp;"/"&amp;L8&amp;"&lt;lv"&amp;R8&amp;"&gt;s"&amp;AA8</f>
        <v>15031_1-2/352&lt;lv55&gt;s3</v>
      </c>
      <c r="B8" s="95">
        <v>15031</v>
      </c>
      <c r="C8" s="96">
        <v>1</v>
      </c>
      <c r="D8" s="2" t="str">
        <f t="shared" ref="D8:D9" si="21">B8&amp;"_"&amp;C8</f>
        <v>15031_1</v>
      </c>
      <c r="E8" s="4" t="str">
        <f ca="1">VLOOKUP($B8,OFFSET([2]quests!$A$1,0,0,COUNTA([2]quests!$A:$A),MATCH(E$1,[2]quests!$1:$1,0)-MATCH($B$1,[2]quests!$1:$1,0)+1),MATCH(E$1,[2]quests!$1:$1,0)-MATCH($B$1,[2]quests!$1:$1,0)+1,FALSE)</f>
        <v>31. 桜花乱城</v>
      </c>
      <c r="F8" s="4" t="str">
        <f ca="1">VLOOKUP($D8,OFFSET([2]stages!$A$1,0,0,COUNTA([2]stages!$A:$A),MATCH(F$1,[2]stages!$2:$2,0)-MATCH($D$1,[2]stages!$2:$2,0)+1),MATCH(F$1,[2]stages!$2:$2,0)-MATCH($D$1,[2]stages!$2:$2,0)+1,FALSE)</f>
        <v>31-1. 忍び寄る影</v>
      </c>
      <c r="G8" s="98">
        <v>2</v>
      </c>
      <c r="H8" s="14" t="str">
        <f t="shared" ref="H8:H9" si="22">B8&amp;"_"&amp;C8&amp;"-"&amp;G8</f>
        <v>15031_1-2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5" t="s">
        <v>88</v>
      </c>
      <c r="L8" s="100">
        <v>352</v>
      </c>
      <c r="M8" s="16" t="str">
        <f ca="1">VLOOKUP($L8,OFFSET([3]enemies!$A$1,0,0,COUNTA([3]enemies!$A:$A),MATCH(M$1,[3]enemies!$1:$1,0)-MATCH($L$1,[3]enemies!$1:$1,0)+1),MATCH(M$1,[3]enemies!$1:$1,0)-MATCH($L$1,[3]enemies!$1:$1,0)+1,FALSE)</f>
        <v>水のケロケロ</v>
      </c>
      <c r="N8" s="16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6" t="str">
        <f ca="1">VLOOKUP($L8,OFFSET([4]characters!$A$1,0,0,COUNTA([4]characters!$A:$A),MATCH(O$1,[4]characters!$1:$1,0)-MATCH($L$1,[4]characters!$1:$1,0)+1),MATCH(O$1,[4]characters!$1:$1,0)-MATCH($L$1,[4]characters!$1:$1,0)+1,FALSE)</f>
        <v>Material</v>
      </c>
      <c r="P8" s="16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6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55</v>
      </c>
      <c r="S8" s="22">
        <v>1.5</v>
      </c>
      <c r="T8" s="22">
        <v>0.8</v>
      </c>
      <c r="U8" s="5">
        <v>0</v>
      </c>
      <c r="V8" s="4" t="e">
        <f ca="1">VLOOKUP($W8,OFFSET(enemy_skill_sets!$B$1,0,0,COUNTA(enemy_skill_sets!$B:$B),MATCH(M$1,enemy_skill_sets!$1:$1,0)-MATCH($W$1,enemy_skill_sets!$1:$1,0)+2),MATCH(M$1,enemy_skill_sets!$1:$1,0)-MATCH($W$1,enemy_skill_sets!$1:$1,0)+2,FALSE)</f>
        <v>#N/A</v>
      </c>
      <c r="W8" s="4">
        <v>520006</v>
      </c>
      <c r="X8" s="6">
        <v>0</v>
      </c>
      <c r="Y8" s="6">
        <v>5</v>
      </c>
      <c r="Z8" s="6">
        <v>1</v>
      </c>
      <c r="AA8" s="16">
        <f ca="1">VLOOKUP($L8,OFFSET([3]enemies!$A$1,0,0,COUNTA([3]enemies!$A:$A),MATCH(AA$1,[3]enemies!$1:$1,0)-MATCH($L$1,[3]enemies!$1:$1,0)+1),MATCH(AA$1,[3]enemies!$1:$1,0)-MATCH($L$1,[3]enemies!$1:$1,0)+1,FALSE)</f>
        <v>3</v>
      </c>
      <c r="AB8" s="21">
        <f t="shared" ref="AB8:AB9" si="23">L8</f>
        <v>352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水のケロケロ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5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" s="7">
        <v>10</v>
      </c>
      <c r="AG8" s="21">
        <f t="shared" ref="AG8:AG9" ca="1" si="24">AD8</f>
        <v>5</v>
      </c>
      <c r="AH8" s="8">
        <v>20</v>
      </c>
      <c r="AI8" s="93">
        <v>0</v>
      </c>
      <c r="AJ8" s="93">
        <v>0</v>
      </c>
      <c r="AK8" s="93">
        <v>0</v>
      </c>
      <c r="AL8" s="93">
        <v>0</v>
      </c>
      <c r="AM8" s="93">
        <v>1</v>
      </c>
      <c r="AN8" s="66">
        <v>1</v>
      </c>
    </row>
    <row r="9" spans="1:40" ht="21" customHeight="1" x14ac:dyDescent="0.15">
      <c r="A9" s="15" t="str">
        <f t="shared" ca="1" si="20"/>
        <v>15031_1-2/354&lt;lv55&gt;s3</v>
      </c>
      <c r="B9" s="95">
        <v>15031</v>
      </c>
      <c r="C9" s="96">
        <v>1</v>
      </c>
      <c r="D9" s="2" t="str">
        <f t="shared" si="21"/>
        <v>15031_1</v>
      </c>
      <c r="E9" s="4" t="str">
        <f ca="1">VLOOKUP($B9,OFFSET([2]quests!$A$1,0,0,COUNTA([2]quests!$A:$A),MATCH(E$1,[2]quests!$1:$1,0)-MATCH($B$1,[2]quests!$1:$1,0)+1),MATCH(E$1,[2]quests!$1:$1,0)-MATCH($B$1,[2]quests!$1:$1,0)+1,FALSE)</f>
        <v>31. 桜花乱城</v>
      </c>
      <c r="F9" s="4" t="str">
        <f ca="1">VLOOKUP($D9,OFFSET([2]stages!$A$1,0,0,COUNTA([2]stages!$A:$A),MATCH(F$1,[2]stages!$2:$2,0)-MATCH($D$1,[2]stages!$2:$2,0)+1),MATCH(F$1,[2]stages!$2:$2,0)-MATCH($D$1,[2]stages!$2:$2,0)+1,FALSE)</f>
        <v>31-1. 忍び寄る影</v>
      </c>
      <c r="G9" s="98">
        <v>2</v>
      </c>
      <c r="H9" s="14" t="str">
        <f t="shared" si="22"/>
        <v>15031_1-2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5" t="s">
        <v>88</v>
      </c>
      <c r="L9" s="100">
        <v>354</v>
      </c>
      <c r="M9" s="16" t="str">
        <f ca="1">VLOOKUP($L9,OFFSET([3]enemies!$A$1,0,0,COUNTA([3]enemies!$A:$A),MATCH(M$1,[3]enemies!$1:$1,0)-MATCH($L$1,[3]enemies!$1:$1,0)+1),MATCH(M$1,[3]enemies!$1:$1,0)-MATCH($L$1,[3]enemies!$1:$1,0)+1,FALSE)</f>
        <v>雷のケロケロ</v>
      </c>
      <c r="N9" s="16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6" t="str">
        <f ca="1">VLOOKUP($L9,OFFSET([4]characters!$A$1,0,0,COUNTA([4]characters!$A:$A),MATCH(O$1,[4]characters!$1:$1,0)-MATCH($L$1,[4]characters!$1:$1,0)+1),MATCH(O$1,[4]characters!$1:$1,0)-MATCH($L$1,[4]characters!$1:$1,0)+1,FALSE)</f>
        <v>Material</v>
      </c>
      <c r="P9" s="16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6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55</v>
      </c>
      <c r="S9" s="22">
        <v>1.5</v>
      </c>
      <c r="T9" s="22">
        <v>0.8</v>
      </c>
      <c r="U9" s="5">
        <v>0</v>
      </c>
      <c r="V9" s="4" t="e">
        <f ca="1">VLOOKUP($W9,OFFSET(enemy_skill_sets!$B$1,0,0,COUNTA(enemy_skill_sets!$B:$B),MATCH(M$1,enemy_skill_sets!$1:$1,0)-MATCH($W$1,enemy_skill_sets!$1:$1,0)+2),MATCH(M$1,enemy_skill_sets!$1:$1,0)-MATCH($W$1,enemy_skill_sets!$1:$1,0)+2,FALSE)</f>
        <v>#N/A</v>
      </c>
      <c r="W9" s="4">
        <v>520007</v>
      </c>
      <c r="X9" s="6">
        <v>0</v>
      </c>
      <c r="Y9" s="6">
        <v>100</v>
      </c>
      <c r="Z9" s="6">
        <v>1</v>
      </c>
      <c r="AA9" s="16">
        <f ca="1">VLOOKUP($L9,OFFSET([3]enemies!$A$1,0,0,COUNTA([3]enemies!$A:$A),MATCH(AA$1,[3]enemies!$1:$1,0)-MATCH($L$1,[3]enemies!$1:$1,0)+1),MATCH(AA$1,[3]enemies!$1:$1,0)-MATCH($L$1,[3]enemies!$1:$1,0)+1,FALSE)</f>
        <v>3</v>
      </c>
      <c r="AB9" s="21">
        <f t="shared" si="23"/>
        <v>354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雷のケロケロ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5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9" s="7">
        <v>10</v>
      </c>
      <c r="AG9" s="21">
        <f t="shared" ca="1" si="24"/>
        <v>5</v>
      </c>
      <c r="AH9" s="8">
        <v>100</v>
      </c>
      <c r="AI9" s="93">
        <v>0</v>
      </c>
      <c r="AJ9" s="93">
        <v>0</v>
      </c>
      <c r="AK9" s="93">
        <v>0</v>
      </c>
      <c r="AL9" s="93">
        <v>0</v>
      </c>
      <c r="AM9" s="93">
        <v>1</v>
      </c>
      <c r="AN9" s="66">
        <v>1</v>
      </c>
    </row>
    <row r="10" spans="1:40" ht="21" customHeight="1" x14ac:dyDescent="0.15">
      <c r="A10" s="15" t="str">
        <f t="shared" ref="A10" ca="1" si="25">B10&amp;"_"&amp;C10&amp;"-"&amp;G10&amp;"/"&amp;L10&amp;"&lt;lv"&amp;R10&amp;"&gt;s"&amp;AA10</f>
        <v>15031_1-3/352&lt;lv58&gt;s3</v>
      </c>
      <c r="B10" s="95">
        <v>15031</v>
      </c>
      <c r="C10" s="96">
        <v>1</v>
      </c>
      <c r="D10" s="2" t="str">
        <f t="shared" ref="D10" si="26">B10&amp;"_"&amp;C10</f>
        <v>15031_1</v>
      </c>
      <c r="E10" s="4" t="str">
        <f ca="1">VLOOKUP($B10,OFFSET([2]quests!$A$1,0,0,COUNTA([2]quests!$A:$A),MATCH(E$1,[2]quests!$1:$1,0)-MATCH($B$1,[2]quests!$1:$1,0)+1),MATCH(E$1,[2]quests!$1:$1,0)-MATCH($B$1,[2]quests!$1:$1,0)+1,FALSE)</f>
        <v>31. 桜花乱城</v>
      </c>
      <c r="F10" s="4" t="str">
        <f ca="1">VLOOKUP($D10,OFFSET([2]stages!$A$1,0,0,COUNTA([2]stages!$A:$A),MATCH(F$1,[2]stages!$2:$2,0)-MATCH($D$1,[2]stages!$2:$2,0)+1),MATCH(F$1,[2]stages!$2:$2,0)-MATCH($D$1,[2]stages!$2:$2,0)+1,FALSE)</f>
        <v>31-1. 忍び寄る影</v>
      </c>
      <c r="G10" s="96">
        <v>3</v>
      </c>
      <c r="H10" s="14" t="str">
        <f t="shared" ref="H10" si="27">B10&amp;"_"&amp;C10&amp;"-"&amp;G10</f>
        <v>15031_1-3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5" t="s">
        <v>209</v>
      </c>
      <c r="L10" s="100">
        <v>352</v>
      </c>
      <c r="M10" s="16" t="str">
        <f ca="1">VLOOKUP($L10,OFFSET([3]enemies!$A$1,0,0,COUNTA([3]enemies!$A:$A),MATCH(M$1,[3]enemies!$1:$1,0)-MATCH($L$1,[3]enemies!$1:$1,0)+1),MATCH(M$1,[3]enemies!$1:$1,0)-MATCH($L$1,[3]enemies!$1:$1,0)+1,FALSE)</f>
        <v>水のケロケロ</v>
      </c>
      <c r="N10" s="16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16" t="str">
        <f ca="1">VLOOKUP($L10,OFFSET([4]characters!$A$1,0,0,COUNTA([4]characters!$A:$A),MATCH(O$1,[4]characters!$1:$1,0)-MATCH($L$1,[4]characters!$1:$1,0)+1),MATCH(O$1,[4]characters!$1:$1,0)-MATCH($L$1,[4]characters!$1:$1,0)+1,FALSE)</f>
        <v>Material</v>
      </c>
      <c r="P10" s="16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16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58</v>
      </c>
      <c r="S10" s="22">
        <v>2</v>
      </c>
      <c r="T10" s="22">
        <v>0.8</v>
      </c>
      <c r="U10" s="5">
        <v>0</v>
      </c>
      <c r="V10" s="4" t="e">
        <f ca="1">VLOOKUP($W10,OFFSET(enemy_skill_sets!$B$1,0,0,COUNTA(enemy_skill_sets!$B:$B),MATCH(M$1,enemy_skill_sets!$1:$1,0)-MATCH($W$1,enemy_skill_sets!$1:$1,0)+2),MATCH(M$1,enemy_skill_sets!$1:$1,0)-MATCH($W$1,enemy_skill_sets!$1:$1,0)+2,FALSE)</f>
        <v>#N/A</v>
      </c>
      <c r="W10" s="4">
        <v>520006</v>
      </c>
      <c r="X10" s="6">
        <v>0</v>
      </c>
      <c r="Y10" s="6">
        <v>5</v>
      </c>
      <c r="Z10" s="6">
        <v>1</v>
      </c>
      <c r="AA10" s="16">
        <f ca="1">VLOOKUP($L10,OFFSET([3]enemies!$A$1,0,0,COUNTA([3]enemies!$A:$A),MATCH(AA$1,[3]enemies!$1:$1,0)-MATCH($L$1,[3]enemies!$1:$1,0)+1),MATCH(AA$1,[3]enemies!$1:$1,0)-MATCH($L$1,[3]enemies!$1:$1,0)+1,FALSE)</f>
        <v>3</v>
      </c>
      <c r="AB10" s="21">
        <f t="shared" ref="AB10" si="28">L10</f>
        <v>352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水のケロケロ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5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0" s="7">
        <v>10</v>
      </c>
      <c r="AG10" s="21">
        <f t="shared" ref="AG10" ca="1" si="29">AD10</f>
        <v>5</v>
      </c>
      <c r="AH10" s="8">
        <v>20</v>
      </c>
      <c r="AI10" s="93">
        <v>0</v>
      </c>
      <c r="AJ10" s="93">
        <v>0</v>
      </c>
      <c r="AK10" s="93">
        <v>0</v>
      </c>
      <c r="AL10" s="93">
        <v>0</v>
      </c>
      <c r="AM10" s="93">
        <v>1</v>
      </c>
      <c r="AN10" s="66">
        <v>1</v>
      </c>
    </row>
    <row r="11" spans="1:40" ht="21" customHeight="1" x14ac:dyDescent="0.15">
      <c r="A11" s="15" t="str">
        <f t="shared" ref="A11" ca="1" si="30">B11&amp;"_"&amp;C11&amp;"-"&amp;G11&amp;"/"&amp;L11&amp;"&lt;lv"&amp;R11&amp;"&gt;s"&amp;AA11</f>
        <v>15031_1-3/354&lt;lv58&gt;s3</v>
      </c>
      <c r="B11" s="95">
        <v>15031</v>
      </c>
      <c r="C11" s="96">
        <v>1</v>
      </c>
      <c r="D11" s="2" t="str">
        <f t="shared" ref="D11" si="31">B11&amp;"_"&amp;C11</f>
        <v>15031_1</v>
      </c>
      <c r="E11" s="4" t="str">
        <f ca="1">VLOOKUP($B11,OFFSET([2]quests!$A$1,0,0,COUNTA([2]quests!$A:$A),MATCH(E$1,[2]quests!$1:$1,0)-MATCH($B$1,[2]quests!$1:$1,0)+1),MATCH(E$1,[2]quests!$1:$1,0)-MATCH($B$1,[2]quests!$1:$1,0)+1,FALSE)</f>
        <v>31. 桜花乱城</v>
      </c>
      <c r="F11" s="4" t="str">
        <f ca="1">VLOOKUP($D11,OFFSET([2]stages!$A$1,0,0,COUNTA([2]stages!$A:$A),MATCH(F$1,[2]stages!$2:$2,0)-MATCH($D$1,[2]stages!$2:$2,0)+1),MATCH(F$1,[2]stages!$2:$2,0)-MATCH($D$1,[2]stages!$2:$2,0)+1,FALSE)</f>
        <v>31-1. 忍び寄る影</v>
      </c>
      <c r="G11" s="96">
        <v>3</v>
      </c>
      <c r="H11" s="14" t="str">
        <f t="shared" ref="H11" si="32">B11&amp;"_"&amp;C11&amp;"-"&amp;G11</f>
        <v>15031_1-3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5" t="s">
        <v>209</v>
      </c>
      <c r="L11" s="100">
        <v>354</v>
      </c>
      <c r="M11" s="16" t="str">
        <f ca="1">VLOOKUP($L11,OFFSET([3]enemies!$A$1,0,0,COUNTA([3]enemies!$A:$A),MATCH(M$1,[3]enemies!$1:$1,0)-MATCH($L$1,[3]enemies!$1:$1,0)+1),MATCH(M$1,[3]enemies!$1:$1,0)-MATCH($L$1,[3]enemies!$1:$1,0)+1,FALSE)</f>
        <v>雷のケロケロ</v>
      </c>
      <c r="N11" s="16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6" t="str">
        <f ca="1">VLOOKUP($L11,OFFSET([4]characters!$A$1,0,0,COUNTA([4]characters!$A:$A),MATCH(O$1,[4]characters!$1:$1,0)-MATCH($L$1,[4]characters!$1:$1,0)+1),MATCH(O$1,[4]characters!$1:$1,0)-MATCH($L$1,[4]characters!$1:$1,0)+1,FALSE)</f>
        <v>Material</v>
      </c>
      <c r="P11" s="16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16">
        <f ca="1">VLOOKUP($L11,OFFSET([3]enemies!$A$1,0,0,COUNTA([3]enemies!$A:$A),MATCH(Q$1,[3]enemies!$1:$1,0)-MATCH($L$1,[3]enemies!$1:$1,0)+1),MATCH(Q$1,[3]enemies!$1:$1,0)-MATCH($L$1,[3]enemies!$1:$1,0)+1,FALSE)</f>
        <v>15</v>
      </c>
      <c r="R11" s="5">
        <v>58</v>
      </c>
      <c r="S11" s="22">
        <v>2</v>
      </c>
      <c r="T11" s="22">
        <v>0.8</v>
      </c>
      <c r="U11" s="5">
        <v>0</v>
      </c>
      <c r="V11" s="4" t="e">
        <f ca="1">VLOOKUP($W11,OFFSET(enemy_skill_sets!$B$1,0,0,COUNTA(enemy_skill_sets!$B:$B),MATCH(M$1,enemy_skill_sets!$1:$1,0)-MATCH($W$1,enemy_skill_sets!$1:$1,0)+2),MATCH(M$1,enemy_skill_sets!$1:$1,0)-MATCH($W$1,enemy_skill_sets!$1:$1,0)+2,FALSE)</f>
        <v>#N/A</v>
      </c>
      <c r="W11" s="4">
        <v>520007</v>
      </c>
      <c r="X11" s="6">
        <v>0</v>
      </c>
      <c r="Y11" s="6">
        <v>5</v>
      </c>
      <c r="Z11" s="6">
        <v>1</v>
      </c>
      <c r="AA11" s="16">
        <f ca="1">VLOOKUP($L11,OFFSET([3]enemies!$A$1,0,0,COUNTA([3]enemies!$A:$A),MATCH(AA$1,[3]enemies!$1:$1,0)-MATCH($L$1,[3]enemies!$1:$1,0)+1),MATCH(AA$1,[3]enemies!$1:$1,0)-MATCH($L$1,[3]enemies!$1:$1,0)+1,FALSE)</f>
        <v>3</v>
      </c>
      <c r="AB11" s="21">
        <f t="shared" ref="AB11" si="33">L11</f>
        <v>354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雷のケロケロ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5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1" s="7">
        <v>10</v>
      </c>
      <c r="AG11" s="21">
        <f t="shared" ref="AG11" ca="1" si="34">AD11</f>
        <v>5</v>
      </c>
      <c r="AH11" s="8">
        <v>20</v>
      </c>
      <c r="AI11" s="93">
        <v>0</v>
      </c>
      <c r="AJ11" s="93">
        <v>0</v>
      </c>
      <c r="AK11" s="93">
        <v>0</v>
      </c>
      <c r="AL11" s="93">
        <v>0</v>
      </c>
      <c r="AM11" s="93">
        <v>1</v>
      </c>
      <c r="AN11" s="66">
        <v>1</v>
      </c>
    </row>
    <row r="12" spans="1:40" ht="21" customHeight="1" x14ac:dyDescent="0.15">
      <c r="A12" s="15" t="str">
        <f t="shared" ca="1" si="15"/>
        <v>15031_1-3/374&lt;lv59&gt;s1</v>
      </c>
      <c r="B12" s="95">
        <v>15031</v>
      </c>
      <c r="C12" s="96">
        <v>1</v>
      </c>
      <c r="D12" s="2" t="str">
        <f t="shared" si="16"/>
        <v>15031_1</v>
      </c>
      <c r="E12" s="4" t="str">
        <f ca="1">VLOOKUP($B12,OFFSET([2]quests!$A$1,0,0,COUNTA([2]quests!$A:$A),MATCH(E$1,[2]quests!$1:$1,0)-MATCH($B$1,[2]quests!$1:$1,0)+1),MATCH(E$1,[2]quests!$1:$1,0)-MATCH($B$1,[2]quests!$1:$1,0)+1,FALSE)</f>
        <v>31. 桜花乱城</v>
      </c>
      <c r="F12" s="4" t="str">
        <f ca="1">VLOOKUP($D12,OFFSET([2]stages!$A$1,0,0,COUNTA([2]stages!$A:$A),MATCH(F$1,[2]stages!$2:$2,0)-MATCH($D$1,[2]stages!$2:$2,0)+1),MATCH(F$1,[2]stages!$2:$2,0)-MATCH($D$1,[2]stages!$2:$2,0)+1,FALSE)</f>
        <v>31-1. 忍び寄る影</v>
      </c>
      <c r="G12" s="96">
        <v>3</v>
      </c>
      <c r="H12" s="14" t="str">
        <f t="shared" si="17"/>
        <v>15031_1-3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5" t="s">
        <v>209</v>
      </c>
      <c r="L12" s="149">
        <v>374</v>
      </c>
      <c r="M12" s="16" t="str">
        <f ca="1">VLOOKUP($L12,OFFSET([3]enemies!$A$1,0,0,COUNTA([3]enemies!$A:$A),MATCH(M$1,[3]enemies!$1:$1,0)-MATCH($L$1,[3]enemies!$1:$1,0)+1),MATCH(M$1,[3]enemies!$1:$1,0)-MATCH($L$1,[3]enemies!$1:$1,0)+1,FALSE)</f>
        <v>影丸</v>
      </c>
      <c r="N12" s="16" t="str">
        <f ca="1">VLOOKUP($L12,OFFSET([3]enemies!$A$1,0,0,COUNTA([3]enemies!$A:$A),MATCH(N$1,[3]enemies!$1:$1,0)-MATCH($L$1,[3]enemies!$1:$1,0)+1),MATCH(N$1,[3]enemies!$1:$1,0)-MATCH($L$1,[3]enemies!$1:$1,0)+1,FALSE)</f>
        <v>blue</v>
      </c>
      <c r="O12" s="16" t="str">
        <f ca="1">VLOOKUP($L12,OFFSET([4]characters!$A$1,0,0,COUNTA([4]characters!$A:$A),MATCH(O$1,[4]characters!$1:$1,0)-MATCH($L$1,[4]characters!$1:$1,0)+1),MATCH(O$1,[4]characters!$1:$1,0)-MATCH($L$1,[4]characters!$1:$1,0)+1,FALSE)</f>
        <v>Drop1S</v>
      </c>
      <c r="P12" s="16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6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59</v>
      </c>
      <c r="S12" s="22">
        <v>1.7</v>
      </c>
      <c r="T12" s="22">
        <v>0.8</v>
      </c>
      <c r="U12" s="5">
        <v>0</v>
      </c>
      <c r="V12" s="4" t="str">
        <f ca="1">VLOOKUP($W12,OFFSET(enemy_skill_sets!$B$1,0,0,COUNTA(enemy_skill_sets!$B:$B),MATCH(M$1,enemy_skill_sets!$1:$1,0)-MATCH($W$1,enemy_skill_sets!$1:$1,0)+2),MATCH(M$1,enemy_skill_sets!$1:$1,0)-MATCH($W$1,enemy_skill_sets!$1:$1,0)+2,FALSE)</f>
        <v>スキルバインド状態のユニットに大ダメージ</v>
      </c>
      <c r="W12" s="4">
        <v>15031007</v>
      </c>
      <c r="X12" s="6">
        <v>0</v>
      </c>
      <c r="Y12" s="6">
        <v>100</v>
      </c>
      <c r="Z12" s="6">
        <v>2</v>
      </c>
      <c r="AA12" s="16">
        <f ca="1">VLOOKUP($L12,OFFSET([3]enemies!$A$1,0,0,COUNTA([3]enemies!$A:$A),MATCH(AA$1,[3]enemies!$1:$1,0)-MATCH($L$1,[3]enemies!$1:$1,0)+1),MATCH(AA$1,[3]enemies!$1:$1,0)-MATCH($L$1,[3]enemies!$1:$1,0)+1,FALSE)</f>
        <v>1</v>
      </c>
      <c r="AB12" s="21">
        <f t="shared" si="18"/>
        <v>374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影丸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2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Drop1S</v>
      </c>
      <c r="AF12" s="7">
        <v>1</v>
      </c>
      <c r="AG12" s="21">
        <f t="shared" ca="1" si="19"/>
        <v>2</v>
      </c>
      <c r="AH12" s="8">
        <v>20</v>
      </c>
      <c r="AI12" s="93">
        <v>0</v>
      </c>
      <c r="AJ12" s="93">
        <v>0</v>
      </c>
      <c r="AK12" s="93">
        <v>0</v>
      </c>
      <c r="AL12" s="93">
        <v>0</v>
      </c>
      <c r="AM12" s="93">
        <v>1</v>
      </c>
      <c r="AN12" s="66">
        <v>1</v>
      </c>
    </row>
    <row r="13" spans="1:40" ht="21" customHeight="1" x14ac:dyDescent="0.15">
      <c r="A13" s="15" t="str">
        <f t="shared" ref="A13" si="35">B13&amp;"_"&amp;C13&amp;"-"&amp;G13&amp;"/"&amp;L13&amp;"&lt;lv"&amp;R13&amp;"&gt;s"&amp;AA13</f>
        <v>15031_1-3/412&lt;lv59&gt;s2</v>
      </c>
      <c r="B13" s="95">
        <v>15031</v>
      </c>
      <c r="C13" s="96">
        <v>1</v>
      </c>
      <c r="D13" s="2" t="str">
        <f t="shared" ref="D13" si="36">B13&amp;"_"&amp;C13</f>
        <v>15031_1</v>
      </c>
      <c r="E13" s="4" t="str">
        <f ca="1">VLOOKUP($B13,OFFSET([2]quests!$A$1,0,0,COUNTA([2]quests!$A:$A),MATCH(E$1,[2]quests!$1:$1,0)-MATCH($B$1,[2]quests!$1:$1,0)+1),MATCH(E$1,[2]quests!$1:$1,0)-MATCH($B$1,[2]quests!$1:$1,0)+1,FALSE)</f>
        <v>31. 桜花乱城</v>
      </c>
      <c r="F13" s="4" t="str">
        <f ca="1">VLOOKUP($D13,OFFSET([2]stages!$A$1,0,0,COUNTA([2]stages!$A:$A),MATCH(F$1,[2]stages!$2:$2,0)-MATCH($D$1,[2]stages!$2:$2,0)+1),MATCH(F$1,[2]stages!$2:$2,0)-MATCH($D$1,[2]stages!$2:$2,0)+1,FALSE)</f>
        <v>31-1. 忍び寄る影</v>
      </c>
      <c r="G13" s="96">
        <v>3</v>
      </c>
      <c r="H13" s="14" t="str">
        <f t="shared" ref="H13" si="37">B13&amp;"_"&amp;C13&amp;"-"&amp;G13</f>
        <v>15031_1-3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5" t="s">
        <v>209</v>
      </c>
      <c r="L13" s="149">
        <v>412</v>
      </c>
      <c r="M13" s="16" t="str">
        <f ca="1">VLOOKUP($L13,OFFSET([3]enemies!$A$1,0,0,COUNTA([3]enemies!$A:$A),MATCH(M$1,[3]enemies!$1:$1,0)-MATCH($L$1,[3]enemies!$1:$1,0)+1),MATCH(M$1,[3]enemies!$1:$1,0)-MATCH($L$1,[3]enemies!$1:$1,0)+1,FALSE)</f>
        <v>コウネン</v>
      </c>
      <c r="N13" s="16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16" t="str">
        <f ca="1">VLOOKUP($L13,OFFSET([4]characters!$A$1,0,0,COUNTA([4]characters!$A:$A),MATCH(O$1,[4]characters!$1:$1,0)-MATCH($L$1,[4]characters!$1:$1,0)+1),MATCH(O$1,[4]characters!$1:$1,0)-MATCH($L$1,[4]characters!$1:$1,0)+1,FALSE)</f>
        <v>Drop1S</v>
      </c>
      <c r="P13" s="16" t="str">
        <f ca="1">VLOOKUP($L13,OFFSET([3]enemies!$A$1,0,0,COUNTA([3]enemies!$A:$A),MATCH(P$1,[3]enemies!$1:$1,0)-MATCH($L$1,[3]enemies!$1:$1,0)+1),MATCH(P$1,[3]enemies!$1:$1,0)-MATCH($L$1,[3]enemies!$1:$1,0)+1,FALSE)</f>
        <v>unknown</v>
      </c>
      <c r="Q13" s="16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59</v>
      </c>
      <c r="S13" s="22">
        <v>1.7</v>
      </c>
      <c r="T13" s="22">
        <v>0.8</v>
      </c>
      <c r="U13" s="5">
        <v>0</v>
      </c>
      <c r="V13" s="4" t="str">
        <f ca="1">VLOOKUP($W13,OFFSET(enemy_skill_sets!$B$1,0,0,COUNTA(enemy_skill_sets!$B:$B),MATCH(M$1,enemy_skill_sets!$1:$1,0)-MATCH($W$1,enemy_skill_sets!$1:$1,0)+2),MATCH(M$1,enemy_skill_sets!$1:$1,0)-MATCH($W$1,enemy_skill_sets!$1:$1,0)+2,FALSE)</f>
        <v>全ユニットの状態異常を解除してくれた</v>
      </c>
      <c r="W13" s="4">
        <v>15031008</v>
      </c>
      <c r="X13" s="6">
        <v>1</v>
      </c>
      <c r="Y13" s="6">
        <v>100</v>
      </c>
      <c r="Z13" s="6">
        <v>1</v>
      </c>
      <c r="AA13" s="16">
        <v>2</v>
      </c>
      <c r="AB13" s="21">
        <f t="shared" ref="AB13" si="38">L13</f>
        <v>412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コウネン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2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Drop1S</v>
      </c>
      <c r="AF13" s="7">
        <v>1</v>
      </c>
      <c r="AG13" s="21">
        <f t="shared" ref="AG13" ca="1" si="39">AD13</f>
        <v>2</v>
      </c>
      <c r="AH13" s="8">
        <v>20</v>
      </c>
      <c r="AI13" s="93">
        <v>0</v>
      </c>
      <c r="AJ13" s="93">
        <v>0</v>
      </c>
      <c r="AK13" s="93">
        <v>0</v>
      </c>
      <c r="AL13" s="93">
        <v>0</v>
      </c>
      <c r="AM13" s="93">
        <v>1</v>
      </c>
      <c r="AN13" s="66">
        <v>1</v>
      </c>
    </row>
    <row r="14" spans="1:40" ht="21" customHeight="1" x14ac:dyDescent="0.15">
      <c r="A14" s="15" t="str">
        <f t="shared" ref="A14:A15" si="40">B14&amp;"_"&amp;C14&amp;"-"&amp;G14&amp;"/"&amp;L14&amp;"&lt;lv"&amp;R14&amp;"&gt;s"&amp;AA14</f>
        <v>15031_1-4/393&lt;lv60&gt;s2</v>
      </c>
      <c r="B14" s="95">
        <v>15031</v>
      </c>
      <c r="C14" s="96">
        <v>1</v>
      </c>
      <c r="D14" s="2" t="str">
        <f t="shared" ref="D14:D15" si="41">B14&amp;"_"&amp;C14</f>
        <v>15031_1</v>
      </c>
      <c r="E14" s="4" t="str">
        <f ca="1">VLOOKUP($B14,OFFSET([2]quests!$A$1,0,0,COUNTA([2]quests!$A:$A),MATCH(E$1,[2]quests!$1:$1,0)-MATCH($B$1,[2]quests!$1:$1,0)+1),MATCH(E$1,[2]quests!$1:$1,0)-MATCH($B$1,[2]quests!$1:$1,0)+1,FALSE)</f>
        <v>31. 桜花乱城</v>
      </c>
      <c r="F14" s="4" t="str">
        <f ca="1">VLOOKUP($D14,OFFSET([2]stages!$A$1,0,0,COUNTA([2]stages!$A:$A),MATCH(F$1,[2]stages!$2:$2,0)-MATCH($D$1,[2]stages!$2:$2,0)+1),MATCH(F$1,[2]stages!$2:$2,0)-MATCH($D$1,[2]stages!$2:$2,0)+1,FALSE)</f>
        <v>31-1. 忍び寄る影</v>
      </c>
      <c r="G14" s="98">
        <v>4</v>
      </c>
      <c r="H14" s="14" t="str">
        <f t="shared" ref="H14:H15" si="42">B14&amp;"_"&amp;C14&amp;"-"&amp;G14</f>
        <v>15031_1-4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5" t="s">
        <v>209</v>
      </c>
      <c r="L14" s="102">
        <v>393</v>
      </c>
      <c r="M14" s="16" t="str">
        <f ca="1">VLOOKUP($L14,OFFSET([3]enemies!$A$1,0,0,COUNTA([3]enemies!$A:$A),MATCH(M$1,[3]enemies!$1:$1,0)-MATCH($L$1,[3]enemies!$1:$1,0)+1),MATCH(M$1,[3]enemies!$1:$1,0)-MATCH($L$1,[3]enemies!$1:$1,0)+1,FALSE)</f>
        <v>影縫い ピーターパン</v>
      </c>
      <c r="N14" s="16" t="str">
        <f ca="1">VLOOKUP($L14,OFFSET([3]enemies!$A$1,0,0,COUNTA([3]enemies!$A:$A),MATCH(N$1,[3]enemies!$1:$1,0)-MATCH($L$1,[3]enemies!$1:$1,0)+1),MATCH(N$1,[3]enemies!$1:$1,0)-MATCH($L$1,[3]enemies!$1:$1,0)+1,FALSE)</f>
        <v>green</v>
      </c>
      <c r="O14" s="16" t="str">
        <f ca="1">VLOOKUP($L14,OFFSET([4]characters!$A$1,0,0,COUNTA([4]characters!$A:$A),MATCH(O$1,[4]characters!$1:$1,0)-MATCH($L$1,[4]characters!$1:$1,0)+1),MATCH(O$1,[4]characters!$1:$1,0)-MATCH($L$1,[4]characters!$1:$1,0)+1,FALSE)</f>
        <v>PremiumS</v>
      </c>
      <c r="P14" s="16" t="str">
        <f ca="1">VLOOKUP($L14,OFFSET([3]enemies!$A$1,0,0,COUNTA([3]enemies!$A:$A),MATCH(P$1,[3]enemies!$1:$1,0)-MATCH($L$1,[3]enemies!$1:$1,0)+1),MATCH(P$1,[3]enemies!$1:$1,0)-MATCH($L$1,[3]enemies!$1:$1,0)+1,FALSE)</f>
        <v>human</v>
      </c>
      <c r="Q14" s="16">
        <f ca="1">VLOOKUP($L14,OFFSET([3]enemies!$A$1,0,0,COUNTA([3]enemies!$A:$A),MATCH(Q$1,[3]enemies!$1:$1,0)-MATCH($L$1,[3]enemies!$1:$1,0)+1),MATCH(Q$1,[3]enemies!$1:$1,0)-MATCH($L$1,[3]enemies!$1:$1,0)+1,FALSE)</f>
        <v>30</v>
      </c>
      <c r="R14" s="5">
        <v>60</v>
      </c>
      <c r="S14" s="22">
        <v>2</v>
      </c>
      <c r="T14" s="22">
        <v>0.7</v>
      </c>
      <c r="U14" s="5">
        <v>0</v>
      </c>
      <c r="V14" s="4" t="str">
        <f ca="1">VLOOKUP($W14,OFFSET(enemy_skill_sets!$B$1,0,0,COUNTA(enemy_skill_sets!$B:$B),MATCH(M$1,enemy_skill_sets!$1:$1,0)-MATCH($W$1,enemy_skill_sets!$1:$1,0)+2),MATCH(M$1,enemy_skill_sets!$1:$1,0)-MATCH($W$1,enemy_skill_sets!$1:$1,0)+2,FALSE)</f>
        <v>3ターンの間パネルの色が分からなくなる！</v>
      </c>
      <c r="W14" s="4">
        <v>15031010</v>
      </c>
      <c r="X14" s="6">
        <v>1</v>
      </c>
      <c r="Y14" s="6">
        <v>100</v>
      </c>
      <c r="Z14" s="6">
        <v>1</v>
      </c>
      <c r="AA14" s="16">
        <v>2</v>
      </c>
      <c r="AB14" s="21">
        <f t="shared" ref="AB14:AB15" si="43">L14</f>
        <v>393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影縫い ピーターパン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4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4" s="7">
        <v>1</v>
      </c>
      <c r="AG14" s="21">
        <f t="shared" ref="AG14:AG15" ca="1" si="44">AD14</f>
        <v>4</v>
      </c>
      <c r="AH14" s="8">
        <v>0</v>
      </c>
      <c r="AI14" s="93">
        <v>0</v>
      </c>
      <c r="AJ14" s="93">
        <v>0</v>
      </c>
      <c r="AK14" s="93">
        <v>0</v>
      </c>
      <c r="AL14" s="93">
        <v>0</v>
      </c>
      <c r="AM14" s="93">
        <v>1</v>
      </c>
      <c r="AN14" s="66">
        <v>1</v>
      </c>
    </row>
    <row r="15" spans="1:40" ht="21" customHeight="1" thickBot="1" x14ac:dyDescent="0.2">
      <c r="A15" s="115" t="str">
        <f t="shared" ca="1" si="40"/>
        <v>15031_1-4/406&lt;lv60&gt;s3</v>
      </c>
      <c r="B15" s="116">
        <v>15031</v>
      </c>
      <c r="C15" s="117">
        <v>1</v>
      </c>
      <c r="D15" s="118" t="str">
        <f t="shared" si="41"/>
        <v>15031_1</v>
      </c>
      <c r="E15" s="119" t="str">
        <f ca="1">VLOOKUP($B15,OFFSET([2]quests!$A$1,0,0,COUNTA([2]quests!$A:$A),MATCH(E$1,[2]quests!$1:$1,0)-MATCH($B$1,[2]quests!$1:$1,0)+1),MATCH(E$1,[2]quests!$1:$1,0)-MATCH($B$1,[2]quests!$1:$1,0)+1,FALSE)</f>
        <v>31. 桜花乱城</v>
      </c>
      <c r="F15" s="119" t="str">
        <f ca="1">VLOOKUP($D15,OFFSET([2]stages!$A$1,0,0,COUNTA([2]stages!$A:$A),MATCH(F$1,[2]stages!$2:$2,0)-MATCH($D$1,[2]stages!$2:$2,0)+1),MATCH(F$1,[2]stages!$2:$2,0)-MATCH($D$1,[2]stages!$2:$2,0)+1,FALSE)</f>
        <v>31-1. 忍び寄る影</v>
      </c>
      <c r="G15" s="120">
        <v>4</v>
      </c>
      <c r="H15" s="118" t="str">
        <f t="shared" si="42"/>
        <v>15031_1-4</v>
      </c>
      <c r="I15" s="119">
        <f ca="1">VLOOKUP($H15,OFFSET(floors!$A$1,0,0,COUNTA(floors!$A:$A),MATCH(I$1,floors!$1:$1,0)-MATCH($H$1,floors!$1:$1,0)+1),MATCH(I$1,floors!$1:$1,0)-MATCH($H$1,floors!$1:$1,0)+1,FALSE)</f>
        <v>60</v>
      </c>
      <c r="J15" s="119">
        <f ca="1">VLOOKUP($H15,OFFSET(floors!$A$1,0,0,COUNTA(floors!$A:$A),MATCH(J$1,floors!$1:$1,0)-MATCH($H$1,floors!$1:$1,0)+1),MATCH(J$1,floors!$1:$1,0)-MATCH($H$1,floors!$1:$1,0)+1,FALSE)</f>
        <v>60</v>
      </c>
      <c r="K15" s="121" t="s">
        <v>209</v>
      </c>
      <c r="L15" s="122">
        <v>406</v>
      </c>
      <c r="M15" s="123" t="str">
        <f ca="1">VLOOKUP($L15,OFFSET([3]enemies!$A$1,0,0,COUNTA([3]enemies!$A:$A),MATCH(M$1,[3]enemies!$1:$1,0)-MATCH($L$1,[3]enemies!$1:$1,0)+1),MATCH(M$1,[3]enemies!$1:$1,0)-MATCH($L$1,[3]enemies!$1:$1,0)+1,FALSE)</f>
        <v>美笑の蒼蛇 エキドナ</v>
      </c>
      <c r="N15" s="123" t="str">
        <f ca="1">VLOOKUP($L15,OFFSET([3]enemies!$A$1,0,0,COUNTA([3]enemies!$A:$A),MATCH(N$1,[3]enemies!$1:$1,0)-MATCH($L$1,[3]enemies!$1:$1,0)+1),MATCH(N$1,[3]enemies!$1:$1,0)-MATCH($L$1,[3]enemies!$1:$1,0)+1,FALSE)</f>
        <v>blue</v>
      </c>
      <c r="O15" s="123" t="str">
        <f ca="1">VLOOKUP($L15,OFFSET([4]characters!$A$1,0,0,COUNTA([4]characters!$A:$A),MATCH(O$1,[4]characters!$1:$1,0)-MATCH($L$1,[4]characters!$1:$1,0)+1),MATCH(O$1,[4]characters!$1:$1,0)-MATCH($L$1,[4]characters!$1:$1,0)+1,FALSE)</f>
        <v>PremiumS</v>
      </c>
      <c r="P15" s="123" t="str">
        <f ca="1">VLOOKUP($L15,OFFSET([3]enemies!$A$1,0,0,COUNTA([3]enemies!$A:$A),MATCH(P$1,[3]enemies!$1:$1,0)-MATCH($L$1,[3]enemies!$1:$1,0)+1),MATCH(P$1,[3]enemies!$1:$1,0)-MATCH($L$1,[3]enemies!$1:$1,0)+1,FALSE)</f>
        <v>animal</v>
      </c>
      <c r="Q15" s="123">
        <f ca="1">VLOOKUP($L15,OFFSET([3]enemies!$A$1,0,0,COUNTA([3]enemies!$A:$A),MATCH(Q$1,[3]enemies!$1:$1,0)-MATCH($L$1,[3]enemies!$1:$1,0)+1),MATCH(Q$1,[3]enemies!$1:$1,0)-MATCH($L$1,[3]enemies!$1:$1,0)+1,FALSE)</f>
        <v>30</v>
      </c>
      <c r="R15" s="124">
        <v>60</v>
      </c>
      <c r="S15" s="125">
        <v>2</v>
      </c>
      <c r="T15" s="125">
        <v>0.5</v>
      </c>
      <c r="U15" s="124">
        <v>0</v>
      </c>
      <c r="V15" s="119" t="str">
        <f ca="1">VLOOKUP($W15,OFFSET(enemy_skill_sets!$B$1,0,0,COUNTA(enemy_skill_sets!$B:$B),MATCH(M$1,enemy_skill_sets!$1:$1,0)-MATCH($W$1,enemy_skill_sets!$1:$1,0)+2),MATCH(M$1,enemy_skill_sets!$1:$1,0)-MATCH($W$1,enemy_skill_sets!$1:$1,0)+2,FALSE)</f>
        <v>3ターンCパネル生成延長</v>
      </c>
      <c r="W15" s="119">
        <v>15031009</v>
      </c>
      <c r="X15" s="126">
        <v>1</v>
      </c>
      <c r="Y15" s="126">
        <v>100</v>
      </c>
      <c r="Z15" s="126">
        <v>1</v>
      </c>
      <c r="AA15" s="123">
        <f ca="1">VLOOKUP($L15,OFFSET([3]enemies!$A$1,0,0,COUNTA([3]enemies!$A:$A),MATCH(AA$1,[3]enemies!$1:$1,0)-MATCH($L$1,[3]enemies!$1:$1,0)+1),MATCH(AA$1,[3]enemies!$1:$1,0)-MATCH($L$1,[3]enemies!$1:$1,0)+1,FALSE)</f>
        <v>3</v>
      </c>
      <c r="AB15" s="127">
        <f t="shared" si="43"/>
        <v>406</v>
      </c>
      <c r="AC15" s="119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美笑の蒼蛇 エキドナ</v>
      </c>
      <c r="AD15" s="119">
        <f ca="1">VLOOKUP($AB15,OFFSET([4]characters!$A$1,0,0,COUNTA([4]characters!$A:$A),MATCH(AD$1,[4]characters!$1:$1,0)-MATCH("character_id",[4]characters!$1:$1,0)+1),MATCH(AD$1,[4]characters!$1:$1,0)-MATCH("character_id",[4]characters!$1:$1,0)+1,FALSE)</f>
        <v>4</v>
      </c>
      <c r="AE15" s="119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5" s="128">
        <v>1</v>
      </c>
      <c r="AG15" s="127">
        <f t="shared" ca="1" si="44"/>
        <v>4</v>
      </c>
      <c r="AH15" s="129">
        <v>0</v>
      </c>
      <c r="AI15" s="128">
        <v>0</v>
      </c>
      <c r="AJ15" s="128">
        <v>0</v>
      </c>
      <c r="AK15" s="128">
        <v>0</v>
      </c>
      <c r="AL15" s="128">
        <v>0</v>
      </c>
      <c r="AM15" s="128">
        <v>1</v>
      </c>
      <c r="AN15" s="130">
        <v>1</v>
      </c>
    </row>
    <row r="16" spans="1:40" ht="21" customHeight="1" x14ac:dyDescent="0.15">
      <c r="A16" s="15" t="str">
        <f t="shared" ca="1" si="10"/>
        <v>15031_2-1/370&lt;lv58&gt;s2</v>
      </c>
      <c r="B16" s="95">
        <v>15031</v>
      </c>
      <c r="C16" s="103">
        <v>2</v>
      </c>
      <c r="D16" s="104" t="str">
        <f t="shared" si="11"/>
        <v>15031_2</v>
      </c>
      <c r="E16" s="4" t="str">
        <f ca="1">VLOOKUP($B16,OFFSET([2]quests!$A$1,0,0,COUNTA([2]quests!$A:$A),MATCH(E$1,[2]quests!$1:$1,0)-MATCH($B$1,[2]quests!$1:$1,0)+1),MATCH(E$1,[2]quests!$1:$1,0)-MATCH($B$1,[2]quests!$1:$1,0)+1,FALSE)</f>
        <v>31. 桜花乱城</v>
      </c>
      <c r="F16" s="4" t="str">
        <f ca="1">VLOOKUP($D16,OFFSET([2]stages!$A$1,0,0,COUNTA([2]stages!$A:$A),MATCH(F$1,[2]stages!$2:$2,0)-MATCH($D$1,[2]stages!$2:$2,0)+1),MATCH(F$1,[2]stages!$2:$2,0)-MATCH($D$1,[2]stages!$2:$2,0)+1,FALSE)</f>
        <v>31-2. 赤鉄の将</v>
      </c>
      <c r="G16" s="105">
        <v>1</v>
      </c>
      <c r="H16" s="104" t="str">
        <f t="shared" si="12"/>
        <v>15031_2-1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106" t="s">
        <v>209</v>
      </c>
      <c r="L16" s="147">
        <v>370</v>
      </c>
      <c r="M16" s="16" t="str">
        <f ca="1">VLOOKUP($L16,OFFSET([3]enemies!$A$1,0,0,COUNTA([3]enemies!$A:$A),MATCH(M$1,[3]enemies!$1:$1,0)-MATCH($L$1,[3]enemies!$1:$1,0)+1),MATCH(M$1,[3]enemies!$1:$1,0)-MATCH($L$1,[3]enemies!$1:$1,0)+1,FALSE)</f>
        <v>タイチ</v>
      </c>
      <c r="N16" s="16" t="str">
        <f ca="1">VLOOKUP($L16,OFFSET([3]enemies!$A$1,0,0,COUNTA([3]enemies!$A:$A),MATCH(N$1,[3]enemies!$1:$1,0)-MATCH($L$1,[3]enemies!$1:$1,0)+1),MATCH(N$1,[3]enemies!$1:$1,0)-MATCH($L$1,[3]enemies!$1:$1,0)+1,FALSE)</f>
        <v>red</v>
      </c>
      <c r="O16" s="16" t="str">
        <f ca="1">VLOOKUP($L16,OFFSET([4]characters!$A$1,0,0,COUNTA([4]characters!$A:$A),MATCH(O$1,[4]characters!$1:$1,0)-MATCH($L$1,[4]characters!$1:$1,0)+1),MATCH(O$1,[4]characters!$1:$1,0)-MATCH($L$1,[4]characters!$1:$1,0)+1,FALSE)</f>
        <v>Drop1S</v>
      </c>
      <c r="P16" s="16" t="str">
        <f ca="1">VLOOKUP($L16,OFFSET([3]enemies!$A$1,0,0,COUNTA([3]enemies!$A:$A),MATCH(P$1,[3]enemies!$1:$1,0)-MATCH($L$1,[3]enemies!$1:$1,0)+1),MATCH(P$1,[3]enemies!$1:$1,0)-MATCH($L$1,[3]enemies!$1:$1,0)+1,FALSE)</f>
        <v>unknown</v>
      </c>
      <c r="Q16" s="16">
        <f ca="1">VLOOKUP($L16,OFFSET([3]enemies!$A$1,0,0,COUNTA([3]enemies!$A:$A),MATCH(Q$1,[3]enemies!$1:$1,0)-MATCH($L$1,[3]enemies!$1:$1,0)+1),MATCH(Q$1,[3]enemies!$1:$1,0)-MATCH($L$1,[3]enemies!$1:$1,0)+1,FALSE)</f>
        <v>15</v>
      </c>
      <c r="R16" s="108">
        <v>58</v>
      </c>
      <c r="S16" s="109">
        <v>1.7</v>
      </c>
      <c r="T16" s="109">
        <v>0.8</v>
      </c>
      <c r="U16" s="108">
        <v>0</v>
      </c>
      <c r="V16" s="4" t="str">
        <f ca="1">VLOOKUP($W16,OFFSET(enemy_skill_sets!$B$1,0,0,COUNTA(enemy_skill_sets!$B:$B),MATCH(M$1,enemy_skill_sets!$1:$1,0)-MATCH($W$1,enemy_skill_sets!$1:$1,0)+2),MATCH(M$1,enemy_skill_sets!$1:$1,0)-MATCH($W$1,enemy_skill_sets!$1:$1,0)+2,FALSE)</f>
        <v>赤パネル吸収攻撃</v>
      </c>
      <c r="W16" s="4">
        <v>15031011</v>
      </c>
      <c r="X16" s="110">
        <v>0</v>
      </c>
      <c r="Y16" s="110">
        <v>100</v>
      </c>
      <c r="Z16" s="110">
        <v>0</v>
      </c>
      <c r="AA16" s="16">
        <f ca="1">VLOOKUP($L16,OFFSET([3]enemies!$A$1,0,0,COUNTA([3]enemies!$A:$A),MATCH(AA$1,[3]enemies!$1:$1,0)-MATCH($L$1,[3]enemies!$1:$1,0)+1),MATCH(AA$1,[3]enemies!$1:$1,0)-MATCH($L$1,[3]enemies!$1:$1,0)+1,FALSE)</f>
        <v>2</v>
      </c>
      <c r="AB16" s="111">
        <f t="shared" si="13"/>
        <v>370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タイチ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2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Drop1S</v>
      </c>
      <c r="AF16" s="112">
        <v>1</v>
      </c>
      <c r="AG16" s="111">
        <f t="shared" ca="1" si="14"/>
        <v>2</v>
      </c>
      <c r="AH16" s="113">
        <v>20</v>
      </c>
      <c r="AI16" s="112">
        <v>0</v>
      </c>
      <c r="AJ16" s="112">
        <v>0</v>
      </c>
      <c r="AK16" s="112">
        <v>0</v>
      </c>
      <c r="AL16" s="112">
        <v>0</v>
      </c>
      <c r="AM16" s="112">
        <v>1</v>
      </c>
      <c r="AN16" s="114">
        <v>1</v>
      </c>
    </row>
    <row r="17" spans="1:40" ht="21" customHeight="1" x14ac:dyDescent="0.15">
      <c r="A17" s="15" t="str">
        <f t="shared" si="10"/>
        <v>15031_2-1/373&lt;lv58&gt;s2</v>
      </c>
      <c r="B17" s="95">
        <v>15031</v>
      </c>
      <c r="C17" s="97">
        <v>2</v>
      </c>
      <c r="D17" s="2" t="str">
        <f t="shared" si="11"/>
        <v>15031_2</v>
      </c>
      <c r="E17" s="4" t="str">
        <f ca="1">VLOOKUP($B17,OFFSET([2]quests!$A$1,0,0,COUNTA([2]quests!$A:$A),MATCH(E$1,[2]quests!$1:$1,0)-MATCH($B$1,[2]quests!$1:$1,0)+1),MATCH(E$1,[2]quests!$1:$1,0)-MATCH($B$1,[2]quests!$1:$1,0)+1,FALSE)</f>
        <v>31. 桜花乱城</v>
      </c>
      <c r="F17" s="4" t="str">
        <f ca="1">VLOOKUP($D17,OFFSET([2]stages!$A$1,0,0,COUNTA([2]stages!$A:$A),MATCH(F$1,[2]stages!$2:$2,0)-MATCH($D$1,[2]stages!$2:$2,0)+1),MATCH(F$1,[2]stages!$2:$2,0)-MATCH($D$1,[2]stages!$2:$2,0)+1,FALSE)</f>
        <v>31-2. 赤鉄の将</v>
      </c>
      <c r="G17" s="105">
        <v>1</v>
      </c>
      <c r="H17" s="14" t="str">
        <f t="shared" si="12"/>
        <v>15031_2-1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5" t="s">
        <v>209</v>
      </c>
      <c r="L17" s="148">
        <v>373</v>
      </c>
      <c r="M17" s="16" t="str">
        <f ca="1">VLOOKUP($L17,OFFSET([3]enemies!$A$1,0,0,COUNTA([3]enemies!$A:$A),MATCH(M$1,[3]enemies!$1:$1,0)-MATCH($L$1,[3]enemies!$1:$1,0)+1),MATCH(M$1,[3]enemies!$1:$1,0)-MATCH($L$1,[3]enemies!$1:$1,0)+1,FALSE)</f>
        <v>夢幻俳聖 バショー</v>
      </c>
      <c r="N17" s="16" t="str">
        <f ca="1">VLOOKUP($L17,OFFSET([3]enemies!$A$1,0,0,COUNTA([3]enemies!$A:$A),MATCH(N$1,[3]enemies!$1:$1,0)-MATCH($L$1,[3]enemies!$1:$1,0)+1),MATCH(N$1,[3]enemies!$1:$1,0)-MATCH($L$1,[3]enemies!$1:$1,0)+1,FALSE)</f>
        <v>green</v>
      </c>
      <c r="O17" s="16" t="str">
        <f ca="1">VLOOKUP($L17,OFFSET([4]characters!$A$1,0,0,COUNTA([4]characters!$A:$A),MATCH(O$1,[4]characters!$1:$1,0)-MATCH($L$1,[4]characters!$1:$1,0)+1),MATCH(O$1,[4]characters!$1:$1,0)-MATCH($L$1,[4]characters!$1:$1,0)+1,FALSE)</f>
        <v>Drop1S</v>
      </c>
      <c r="P17" s="16" t="str">
        <f ca="1">VLOOKUP($L17,OFFSET([3]enemies!$A$1,0,0,COUNTA([3]enemies!$A:$A),MATCH(P$1,[3]enemies!$1:$1,0)-MATCH($L$1,[3]enemies!$1:$1,0)+1),MATCH(P$1,[3]enemies!$1:$1,0)-MATCH($L$1,[3]enemies!$1:$1,0)+1,FALSE)</f>
        <v>unknown</v>
      </c>
      <c r="Q17" s="16">
        <f ca="1">VLOOKUP($L17,OFFSET([3]enemies!$A$1,0,0,COUNTA([3]enemies!$A:$A),MATCH(Q$1,[3]enemies!$1:$1,0)-MATCH($L$1,[3]enemies!$1:$1,0)+1),MATCH(Q$1,[3]enemies!$1:$1,0)-MATCH($L$1,[3]enemies!$1:$1,0)+1,FALSE)</f>
        <v>20</v>
      </c>
      <c r="R17" s="5">
        <v>58</v>
      </c>
      <c r="S17" s="22">
        <v>1.8</v>
      </c>
      <c r="T17" s="22">
        <v>0.8</v>
      </c>
      <c r="U17" s="5">
        <v>0</v>
      </c>
      <c r="V17" s="4" t="str">
        <f ca="1">VLOOKUP($W17,OFFSET(enemy_skill_sets!$B$1,0,0,COUNTA(enemy_skill_sets!$B:$B),MATCH(M$1,enemy_skill_sets!$1:$1,0)-MATCH($W$1,enemy_skill_sets!$1:$1,0)+2),MATCH(M$1,enemy_skill_sets!$1:$1,0)-MATCH($W$1,enemy_skill_sets!$1:$1,0)+2,FALSE)</f>
        <v>4ターンハートパネルが使えない！</v>
      </c>
      <c r="W17" s="4">
        <v>15031014</v>
      </c>
      <c r="X17" s="110">
        <v>1</v>
      </c>
      <c r="Y17" s="110">
        <v>100</v>
      </c>
      <c r="Z17" s="110">
        <v>2</v>
      </c>
      <c r="AA17" s="16">
        <v>2</v>
      </c>
      <c r="AB17" s="21">
        <f t="shared" si="13"/>
        <v>373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夢幻俳聖 バショー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3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Drop1S</v>
      </c>
      <c r="AF17" s="7">
        <v>1</v>
      </c>
      <c r="AG17" s="21">
        <f t="shared" ca="1" si="14"/>
        <v>3</v>
      </c>
      <c r="AH17" s="8">
        <v>0</v>
      </c>
      <c r="AI17" s="93">
        <v>0</v>
      </c>
      <c r="AJ17" s="93">
        <v>0</v>
      </c>
      <c r="AK17" s="93">
        <v>0</v>
      </c>
      <c r="AL17" s="93">
        <v>0</v>
      </c>
      <c r="AM17" s="93">
        <v>1</v>
      </c>
      <c r="AN17" s="66">
        <v>1</v>
      </c>
    </row>
    <row r="18" spans="1:40" ht="21" customHeight="1" x14ac:dyDescent="0.15">
      <c r="A18" s="15" t="str">
        <f t="shared" ref="A18:A19" si="45">B18&amp;"_"&amp;C18&amp;"-"&amp;G18&amp;"/"&amp;L18&amp;"&lt;lv"&amp;R18&amp;"&gt;s"&amp;AA18</f>
        <v>15031_2-1/348&lt;lv58&gt;s2</v>
      </c>
      <c r="B18" s="95">
        <v>15031</v>
      </c>
      <c r="C18" s="97">
        <v>2</v>
      </c>
      <c r="D18" s="2" t="str">
        <f t="shared" ref="D18:D19" si="46">B18&amp;"_"&amp;C18</f>
        <v>15031_2</v>
      </c>
      <c r="E18" s="4" t="str">
        <f ca="1">VLOOKUP($B18,OFFSET([2]quests!$A$1,0,0,COUNTA([2]quests!$A:$A),MATCH(E$1,[2]quests!$1:$1,0)-MATCH($B$1,[2]quests!$1:$1,0)+1),MATCH(E$1,[2]quests!$1:$1,0)-MATCH($B$1,[2]quests!$1:$1,0)+1,FALSE)</f>
        <v>31. 桜花乱城</v>
      </c>
      <c r="F18" s="4" t="str">
        <f ca="1">VLOOKUP($D18,OFFSET([2]stages!$A$1,0,0,COUNTA([2]stages!$A:$A),MATCH(F$1,[2]stages!$2:$2,0)-MATCH($D$1,[2]stages!$2:$2,0)+1),MATCH(F$1,[2]stages!$2:$2,0)-MATCH($D$1,[2]stages!$2:$2,0)+1,FALSE)</f>
        <v>31-2. 赤鉄の将</v>
      </c>
      <c r="G18" s="105">
        <v>1</v>
      </c>
      <c r="H18" s="14" t="str">
        <f t="shared" ref="H18:H19" si="47">B18&amp;"_"&amp;C18&amp;"-"&amp;G18</f>
        <v>15031_2-1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5" t="s">
        <v>88</v>
      </c>
      <c r="L18" s="94">
        <v>348</v>
      </c>
      <c r="M18" s="16" t="str">
        <f ca="1">VLOOKUP($L18,OFFSET([3]enemies!$A$1,0,0,COUNTA([3]enemies!$A:$A),MATCH(M$1,[3]enemies!$1:$1,0)-MATCH($L$1,[3]enemies!$1:$1,0)+1),MATCH(M$1,[3]enemies!$1:$1,0)-MATCH($L$1,[3]enemies!$1:$1,0)+1,FALSE)</f>
        <v>炎のケロケロ</v>
      </c>
      <c r="N18" s="16" t="str">
        <f ca="1">VLOOKUP($L18,OFFSET([3]enemies!$A$1,0,0,COUNTA([3]enemies!$A:$A),MATCH(N$1,[3]enemies!$1:$1,0)-MATCH($L$1,[3]enemies!$1:$1,0)+1),MATCH(N$1,[3]enemies!$1:$1,0)-MATCH($L$1,[3]enemies!$1:$1,0)+1,FALSE)</f>
        <v>red</v>
      </c>
      <c r="O18" s="16" t="str">
        <f ca="1">VLOOKUP($L18,OFFSET([4]characters!$A$1,0,0,COUNTA([4]characters!$A:$A),MATCH(O$1,[4]characters!$1:$1,0)-MATCH($L$1,[4]characters!$1:$1,0)+1),MATCH(O$1,[4]characters!$1:$1,0)-MATCH($L$1,[4]characters!$1:$1,0)+1,FALSE)</f>
        <v>Material</v>
      </c>
      <c r="P18" s="16" t="str">
        <f ca="1">VLOOKUP($L18,OFFSET([3]enemies!$A$1,0,0,COUNTA([3]enemies!$A:$A),MATCH(P$1,[3]enemies!$1:$1,0)-MATCH($L$1,[3]enemies!$1:$1,0)+1),MATCH(P$1,[3]enemies!$1:$1,0)-MATCH($L$1,[3]enemies!$1:$1,0)+1,FALSE)</f>
        <v>unknown</v>
      </c>
      <c r="Q18" s="16">
        <f ca="1">VLOOKUP($L18,OFFSET([3]enemies!$A$1,0,0,COUNTA([3]enemies!$A:$A),MATCH(Q$1,[3]enemies!$1:$1,0)-MATCH($L$1,[3]enemies!$1:$1,0)+1),MATCH(Q$1,[3]enemies!$1:$1,0)-MATCH($L$1,[3]enemies!$1:$1,0)+1,FALSE)</f>
        <v>15</v>
      </c>
      <c r="R18" s="5">
        <v>58</v>
      </c>
      <c r="S18" s="22">
        <v>1.8</v>
      </c>
      <c r="T18" s="22">
        <v>0.8</v>
      </c>
      <c r="U18" s="5">
        <v>0</v>
      </c>
      <c r="V18" s="4" t="e">
        <f ca="1">VLOOKUP($W18,OFFSET(enemy_skill_sets!$B$1,0,0,COUNTA(enemy_skill_sets!$B:$B),MATCH(M$1,enemy_skill_sets!$1:$1,0)-MATCH($W$1,enemy_skill_sets!$1:$1,0)+2),MATCH(M$1,enemy_skill_sets!$1:$1,0)-MATCH($W$1,enemy_skill_sets!$1:$1,0)+2,FALSE)</f>
        <v>#N/A</v>
      </c>
      <c r="W18" s="4">
        <v>520004</v>
      </c>
      <c r="X18" s="110">
        <v>0</v>
      </c>
      <c r="Y18" s="110">
        <v>5</v>
      </c>
      <c r="Z18" s="110">
        <v>1</v>
      </c>
      <c r="AA18" s="16">
        <v>2</v>
      </c>
      <c r="AB18" s="21">
        <f t="shared" ref="AB18:AB19" si="48">L18</f>
        <v>348</v>
      </c>
      <c r="AC18" s="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炎のケロケロ</v>
      </c>
      <c r="AD18" s="4">
        <f ca="1">VLOOKUP($AB18,OFFSET([4]characters!$A$1,0,0,COUNTA([4]characters!$A:$A),MATCH(AD$1,[4]characters!$1:$1,0)-MATCH("character_id",[4]characters!$1:$1,0)+1),MATCH(AD$1,[4]characters!$1:$1,0)-MATCH("character_id",[4]characters!$1:$1,0)+1,FALSE)</f>
        <v>5</v>
      </c>
      <c r="AE18" s="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8" s="7">
        <v>10</v>
      </c>
      <c r="AG18" s="21">
        <f t="shared" ref="AG18:AG19" ca="1" si="49">AD18</f>
        <v>5</v>
      </c>
      <c r="AH18" s="8">
        <v>20</v>
      </c>
      <c r="AI18" s="93">
        <v>0</v>
      </c>
      <c r="AJ18" s="93">
        <v>0</v>
      </c>
      <c r="AK18" s="93">
        <v>0</v>
      </c>
      <c r="AL18" s="93">
        <v>0</v>
      </c>
      <c r="AM18" s="93">
        <v>1</v>
      </c>
      <c r="AN18" s="66">
        <v>1</v>
      </c>
    </row>
    <row r="19" spans="1:40" ht="21" customHeight="1" x14ac:dyDescent="0.15">
      <c r="A19" s="15" t="str">
        <f t="shared" si="45"/>
        <v>15031_2-1/350&lt;lv58&gt;s2</v>
      </c>
      <c r="B19" s="95">
        <v>15031</v>
      </c>
      <c r="C19" s="97">
        <v>2</v>
      </c>
      <c r="D19" s="2" t="str">
        <f t="shared" si="46"/>
        <v>15031_2</v>
      </c>
      <c r="E19" s="4" t="str">
        <f ca="1">VLOOKUP($B19,OFFSET([2]quests!$A$1,0,0,COUNTA([2]quests!$A:$A),MATCH(E$1,[2]quests!$1:$1,0)-MATCH($B$1,[2]quests!$1:$1,0)+1),MATCH(E$1,[2]quests!$1:$1,0)-MATCH($B$1,[2]quests!$1:$1,0)+1,FALSE)</f>
        <v>31. 桜花乱城</v>
      </c>
      <c r="F19" s="4" t="str">
        <f ca="1">VLOOKUP($D19,OFFSET([2]stages!$A$1,0,0,COUNTA([2]stages!$A:$A),MATCH(F$1,[2]stages!$2:$2,0)-MATCH($D$1,[2]stages!$2:$2,0)+1),MATCH(F$1,[2]stages!$2:$2,0)-MATCH($D$1,[2]stages!$2:$2,0)+1,FALSE)</f>
        <v>31-2. 赤鉄の将</v>
      </c>
      <c r="G19" s="105">
        <v>1</v>
      </c>
      <c r="H19" s="14" t="str">
        <f t="shared" si="47"/>
        <v>15031_2-1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5" t="s">
        <v>88</v>
      </c>
      <c r="L19" s="94">
        <v>350</v>
      </c>
      <c r="M19" s="16" t="str">
        <f ca="1">VLOOKUP($L19,OFFSET([3]enemies!$A$1,0,0,COUNTA([3]enemies!$A:$A),MATCH(M$1,[3]enemies!$1:$1,0)-MATCH($L$1,[3]enemies!$1:$1,0)+1),MATCH(M$1,[3]enemies!$1:$1,0)-MATCH($L$1,[3]enemies!$1:$1,0)+1,FALSE)</f>
        <v>森のケロケロ</v>
      </c>
      <c r="N19" s="16" t="str">
        <f ca="1">VLOOKUP($L19,OFFSET([3]enemies!$A$1,0,0,COUNTA([3]enemies!$A:$A),MATCH(N$1,[3]enemies!$1:$1,0)-MATCH($L$1,[3]enemies!$1:$1,0)+1),MATCH(N$1,[3]enemies!$1:$1,0)-MATCH($L$1,[3]enemies!$1:$1,0)+1,FALSE)</f>
        <v>green</v>
      </c>
      <c r="O19" s="16" t="str">
        <f ca="1">VLOOKUP($L19,OFFSET([4]characters!$A$1,0,0,COUNTA([4]characters!$A:$A),MATCH(O$1,[4]characters!$1:$1,0)-MATCH($L$1,[4]characters!$1:$1,0)+1),MATCH(O$1,[4]characters!$1:$1,0)-MATCH($L$1,[4]characters!$1:$1,0)+1,FALSE)</f>
        <v>Material</v>
      </c>
      <c r="P19" s="16" t="str">
        <f ca="1">VLOOKUP($L19,OFFSET([3]enemies!$A$1,0,0,COUNTA([3]enemies!$A:$A),MATCH(P$1,[3]enemies!$1:$1,0)-MATCH($L$1,[3]enemies!$1:$1,0)+1),MATCH(P$1,[3]enemies!$1:$1,0)-MATCH($L$1,[3]enemies!$1:$1,0)+1,FALSE)</f>
        <v>unknown</v>
      </c>
      <c r="Q19" s="16">
        <f ca="1">VLOOKUP($L19,OFFSET([3]enemies!$A$1,0,0,COUNTA([3]enemies!$A:$A),MATCH(Q$1,[3]enemies!$1:$1,0)-MATCH($L$1,[3]enemies!$1:$1,0)+1),MATCH(Q$1,[3]enemies!$1:$1,0)-MATCH($L$1,[3]enemies!$1:$1,0)+1,FALSE)</f>
        <v>15</v>
      </c>
      <c r="R19" s="5">
        <v>58</v>
      </c>
      <c r="S19" s="22">
        <v>1.8</v>
      </c>
      <c r="T19" s="22">
        <v>0.8</v>
      </c>
      <c r="U19" s="5">
        <v>0</v>
      </c>
      <c r="V19" s="4" t="e">
        <f ca="1">VLOOKUP($W19,OFFSET(enemy_skill_sets!$B$1,0,0,COUNTA(enemy_skill_sets!$B:$B),MATCH(M$1,enemy_skill_sets!$1:$1,0)-MATCH($W$1,enemy_skill_sets!$1:$1,0)+2),MATCH(M$1,enemy_skill_sets!$1:$1,0)-MATCH($W$1,enemy_skill_sets!$1:$1,0)+2,FALSE)</f>
        <v>#N/A</v>
      </c>
      <c r="W19" s="4">
        <v>520005</v>
      </c>
      <c r="X19" s="110">
        <v>0</v>
      </c>
      <c r="Y19" s="110">
        <v>5</v>
      </c>
      <c r="Z19" s="110">
        <v>1</v>
      </c>
      <c r="AA19" s="16">
        <v>2</v>
      </c>
      <c r="AB19" s="21">
        <f t="shared" si="48"/>
        <v>350</v>
      </c>
      <c r="AC19" s="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森のケロケロ</v>
      </c>
      <c r="AD19" s="4">
        <f ca="1">VLOOKUP($AB19,OFFSET([4]characters!$A$1,0,0,COUNTA([4]characters!$A:$A),MATCH(AD$1,[4]characters!$1:$1,0)-MATCH("character_id",[4]characters!$1:$1,0)+1),MATCH(AD$1,[4]characters!$1:$1,0)-MATCH("character_id",[4]characters!$1:$1,0)+1,FALSE)</f>
        <v>5</v>
      </c>
      <c r="AE19" s="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9" s="7">
        <v>10</v>
      </c>
      <c r="AG19" s="21">
        <f t="shared" ca="1" si="49"/>
        <v>5</v>
      </c>
      <c r="AH19" s="8">
        <v>20</v>
      </c>
      <c r="AI19" s="93">
        <v>0</v>
      </c>
      <c r="AJ19" s="93">
        <v>0</v>
      </c>
      <c r="AK19" s="93">
        <v>0</v>
      </c>
      <c r="AL19" s="93">
        <v>0</v>
      </c>
      <c r="AM19" s="93">
        <v>1</v>
      </c>
      <c r="AN19" s="66">
        <v>1</v>
      </c>
    </row>
    <row r="20" spans="1:40" ht="21" customHeight="1" x14ac:dyDescent="0.15">
      <c r="A20" s="15" t="str">
        <f t="shared" si="10"/>
        <v>15031_2-2/372&lt;lv58&gt;s2</v>
      </c>
      <c r="B20" s="95">
        <v>15031</v>
      </c>
      <c r="C20" s="97">
        <v>2</v>
      </c>
      <c r="D20" s="2" t="str">
        <f t="shared" si="11"/>
        <v>15031_2</v>
      </c>
      <c r="E20" s="4" t="str">
        <f ca="1">VLOOKUP($B20,OFFSET([2]quests!$A$1,0,0,COUNTA([2]quests!$A:$A),MATCH(E$1,[2]quests!$1:$1,0)-MATCH($B$1,[2]quests!$1:$1,0)+1),MATCH(E$1,[2]quests!$1:$1,0)-MATCH($B$1,[2]quests!$1:$1,0)+1,FALSE)</f>
        <v>31. 桜花乱城</v>
      </c>
      <c r="F20" s="4" t="str">
        <f ca="1">VLOOKUP($D20,OFFSET([2]stages!$A$1,0,0,COUNTA([2]stages!$A:$A),MATCH(F$1,[2]stages!$2:$2,0)-MATCH($D$1,[2]stages!$2:$2,0)+1),MATCH(F$1,[2]stages!$2:$2,0)-MATCH($D$1,[2]stages!$2:$2,0)+1,FALSE)</f>
        <v>31-2. 赤鉄の将</v>
      </c>
      <c r="G20" s="98">
        <v>2</v>
      </c>
      <c r="H20" s="14" t="str">
        <f t="shared" si="12"/>
        <v>15031_2-2</v>
      </c>
      <c r="I20" s="4">
        <f ca="1">VLOOKUP($H20,OFFSET(floors!$A$1,0,0,COUNTA(floors!$A:$A),MATCH(I$1,floors!$1:$1,0)-MATCH($H$1,floors!$1:$1,0)+1),MATCH(I$1,floors!$1:$1,0)-MATCH($H$1,floors!$1:$1,0)+1,FALSE)</f>
        <v>60</v>
      </c>
      <c r="J20" s="4">
        <f ca="1">VLOOKUP($H20,OFFSET(floors!$A$1,0,0,COUNTA(floors!$A:$A),MATCH(J$1,floors!$1:$1,0)-MATCH($H$1,floors!$1:$1,0)+1),MATCH(J$1,floors!$1:$1,0)-MATCH($H$1,floors!$1:$1,0)+1,FALSE)</f>
        <v>60</v>
      </c>
      <c r="K20" s="35" t="s">
        <v>209</v>
      </c>
      <c r="L20" s="148">
        <v>372</v>
      </c>
      <c r="M20" s="16" t="str">
        <f ca="1">VLOOKUP($L20,OFFSET([3]enemies!$A$1,0,0,COUNTA([3]enemies!$A:$A),MATCH(M$1,[3]enemies!$1:$1,0)-MATCH($L$1,[3]enemies!$1:$1,0)+1),MATCH(M$1,[3]enemies!$1:$1,0)-MATCH($L$1,[3]enemies!$1:$1,0)+1,FALSE)</f>
        <v>バショー</v>
      </c>
      <c r="N20" s="16" t="str">
        <f ca="1">VLOOKUP($L20,OFFSET([3]enemies!$A$1,0,0,COUNTA([3]enemies!$A:$A),MATCH(N$1,[3]enemies!$1:$1,0)-MATCH($L$1,[3]enemies!$1:$1,0)+1),MATCH(N$1,[3]enemies!$1:$1,0)-MATCH($L$1,[3]enemies!$1:$1,0)+1,FALSE)</f>
        <v>green</v>
      </c>
      <c r="O20" s="16" t="str">
        <f ca="1">VLOOKUP($L20,OFFSET([4]characters!$A$1,0,0,COUNTA([4]characters!$A:$A),MATCH(O$1,[4]characters!$1:$1,0)-MATCH($L$1,[4]characters!$1:$1,0)+1),MATCH(O$1,[4]characters!$1:$1,0)-MATCH($L$1,[4]characters!$1:$1,0)+1,FALSE)</f>
        <v>Drop1S</v>
      </c>
      <c r="P20" s="16" t="str">
        <f ca="1">VLOOKUP($L20,OFFSET([3]enemies!$A$1,0,0,COUNTA([3]enemies!$A:$A),MATCH(P$1,[3]enemies!$1:$1,0)-MATCH($L$1,[3]enemies!$1:$1,0)+1),MATCH(P$1,[3]enemies!$1:$1,0)-MATCH($L$1,[3]enemies!$1:$1,0)+1,FALSE)</f>
        <v>unknown</v>
      </c>
      <c r="Q20" s="16">
        <f ca="1">VLOOKUP($L20,OFFSET([3]enemies!$A$1,0,0,COUNTA([3]enemies!$A:$A),MATCH(Q$1,[3]enemies!$1:$1,0)-MATCH($L$1,[3]enemies!$1:$1,0)+1),MATCH(Q$1,[3]enemies!$1:$1,0)-MATCH($L$1,[3]enemies!$1:$1,0)+1,FALSE)</f>
        <v>15</v>
      </c>
      <c r="R20" s="5">
        <v>58</v>
      </c>
      <c r="S20" s="22">
        <v>1.7</v>
      </c>
      <c r="T20" s="22">
        <v>0.8</v>
      </c>
      <c r="U20" s="5">
        <v>0</v>
      </c>
      <c r="V20" s="4" t="str">
        <f ca="1">VLOOKUP($W20,OFFSET(enemy_skill_sets!$B$1,0,0,COUNTA(enemy_skill_sets!$B:$B),MATCH(M$1,enemy_skill_sets!$1:$1,0)-MATCH($W$1,enemy_skill_sets!$1:$1,0)+2),MATCH(M$1,enemy_skill_sets!$1:$1,0)-MATCH($W$1,enemy_skill_sets!$1:$1,0)+2,FALSE)</f>
        <v>3ターンハートパネルが使えない！</v>
      </c>
      <c r="W20" s="4">
        <v>15031013</v>
      </c>
      <c r="X20" s="110">
        <v>0</v>
      </c>
      <c r="Y20" s="110">
        <v>100</v>
      </c>
      <c r="Z20" s="110">
        <v>0</v>
      </c>
      <c r="AA20" s="16">
        <v>2</v>
      </c>
      <c r="AB20" s="21">
        <f t="shared" si="13"/>
        <v>372</v>
      </c>
      <c r="AC20" s="4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バショー</v>
      </c>
      <c r="AD20" s="4">
        <f ca="1">VLOOKUP($AB20,OFFSET([4]characters!$A$1,0,0,COUNTA([4]characters!$A:$A),MATCH(AD$1,[4]characters!$1:$1,0)-MATCH("character_id",[4]characters!$1:$1,0)+1),MATCH(AD$1,[4]characters!$1:$1,0)-MATCH("character_id",[4]characters!$1:$1,0)+1,FALSE)</f>
        <v>2</v>
      </c>
      <c r="AE20" s="4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Drop1S</v>
      </c>
      <c r="AF20" s="7">
        <v>1</v>
      </c>
      <c r="AG20" s="21">
        <f t="shared" ca="1" si="14"/>
        <v>2</v>
      </c>
      <c r="AH20" s="8">
        <v>20</v>
      </c>
      <c r="AI20" s="93">
        <v>0</v>
      </c>
      <c r="AJ20" s="93">
        <v>0</v>
      </c>
      <c r="AK20" s="93">
        <v>0</v>
      </c>
      <c r="AL20" s="93">
        <v>0</v>
      </c>
      <c r="AM20" s="93">
        <v>1</v>
      </c>
      <c r="AN20" s="66">
        <v>1</v>
      </c>
    </row>
    <row r="21" spans="1:40" ht="21" customHeight="1" x14ac:dyDescent="0.15">
      <c r="A21" s="15" t="str">
        <f t="shared" ca="1" si="10"/>
        <v>15031_2-2/371&lt;lv58&gt;s2</v>
      </c>
      <c r="B21" s="95">
        <v>15031</v>
      </c>
      <c r="C21" s="103">
        <v>2</v>
      </c>
      <c r="D21" s="104" t="str">
        <f t="shared" si="11"/>
        <v>15031_2</v>
      </c>
      <c r="E21" s="4" t="str">
        <f ca="1">VLOOKUP($B21,OFFSET([2]quests!$A$1,0,0,COUNTA([2]quests!$A:$A),MATCH(E$1,[2]quests!$1:$1,0)-MATCH($B$1,[2]quests!$1:$1,0)+1),MATCH(E$1,[2]quests!$1:$1,0)-MATCH($B$1,[2]quests!$1:$1,0)+1,FALSE)</f>
        <v>31. 桜花乱城</v>
      </c>
      <c r="F21" s="4" t="str">
        <f ca="1">VLOOKUP($D21,OFFSET([2]stages!$A$1,0,0,COUNTA([2]stages!$A:$A),MATCH(F$1,[2]stages!$2:$2,0)-MATCH($D$1,[2]stages!$2:$2,0)+1),MATCH(F$1,[2]stages!$2:$2,0)-MATCH($D$1,[2]stages!$2:$2,0)+1,FALSE)</f>
        <v>31-2. 赤鉄の将</v>
      </c>
      <c r="G21" s="98">
        <v>2</v>
      </c>
      <c r="H21" s="104" t="str">
        <f t="shared" si="12"/>
        <v>15031_2-2</v>
      </c>
      <c r="I21" s="4">
        <f ca="1">VLOOKUP($H21,OFFSET(floors!$A$1,0,0,COUNTA(floors!$A:$A),MATCH(I$1,floors!$1:$1,0)-MATCH($H$1,floors!$1:$1,0)+1),MATCH(I$1,floors!$1:$1,0)-MATCH($H$1,floors!$1:$1,0)+1,FALSE)</f>
        <v>60</v>
      </c>
      <c r="J21" s="4">
        <f ca="1">VLOOKUP($H21,OFFSET(floors!$A$1,0,0,COUNTA(floors!$A:$A),MATCH(J$1,floors!$1:$1,0)-MATCH($H$1,floors!$1:$1,0)+1),MATCH(J$1,floors!$1:$1,0)-MATCH($H$1,floors!$1:$1,0)+1,FALSE)</f>
        <v>60</v>
      </c>
      <c r="K21" s="106" t="s">
        <v>353</v>
      </c>
      <c r="L21" s="147">
        <v>371</v>
      </c>
      <c r="M21" s="16" t="str">
        <f ca="1">VLOOKUP($L21,OFFSET([3]enemies!$A$1,0,0,COUNTA([3]enemies!$A:$A),MATCH(M$1,[3]enemies!$1:$1,0)-MATCH($L$1,[3]enemies!$1:$1,0)+1),MATCH(M$1,[3]enemies!$1:$1,0)-MATCH($L$1,[3]enemies!$1:$1,0)+1,FALSE)</f>
        <v>行灯達磨 タイチ</v>
      </c>
      <c r="N21" s="16" t="str">
        <f ca="1">VLOOKUP($L21,OFFSET([3]enemies!$A$1,0,0,COUNTA([3]enemies!$A:$A),MATCH(N$1,[3]enemies!$1:$1,0)-MATCH($L$1,[3]enemies!$1:$1,0)+1),MATCH(N$1,[3]enemies!$1:$1,0)-MATCH($L$1,[3]enemies!$1:$1,0)+1,FALSE)</f>
        <v>red</v>
      </c>
      <c r="O21" s="16" t="str">
        <f ca="1">VLOOKUP($L21,OFFSET([4]characters!$A$1,0,0,COUNTA([4]characters!$A:$A),MATCH(O$1,[4]characters!$1:$1,0)-MATCH($L$1,[4]characters!$1:$1,0)+1),MATCH(O$1,[4]characters!$1:$1,0)-MATCH($L$1,[4]characters!$1:$1,0)+1,FALSE)</f>
        <v>Drop1S</v>
      </c>
      <c r="P21" s="16" t="str">
        <f ca="1">VLOOKUP($L21,OFFSET([3]enemies!$A$1,0,0,COUNTA([3]enemies!$A:$A),MATCH(P$1,[3]enemies!$1:$1,0)-MATCH($L$1,[3]enemies!$1:$1,0)+1),MATCH(P$1,[3]enemies!$1:$1,0)-MATCH($L$1,[3]enemies!$1:$1,0)+1,FALSE)</f>
        <v>unknown</v>
      </c>
      <c r="Q21" s="16">
        <f ca="1">VLOOKUP($L21,OFFSET([3]enemies!$A$1,0,0,COUNTA([3]enemies!$A:$A),MATCH(Q$1,[3]enemies!$1:$1,0)-MATCH($L$1,[3]enemies!$1:$1,0)+1),MATCH(Q$1,[3]enemies!$1:$1,0)-MATCH($L$1,[3]enemies!$1:$1,0)+1,FALSE)</f>
        <v>20</v>
      </c>
      <c r="R21" s="108">
        <v>58</v>
      </c>
      <c r="S21" s="109">
        <v>1.8</v>
      </c>
      <c r="T21" s="109">
        <v>0.8</v>
      </c>
      <c r="U21" s="108">
        <v>0</v>
      </c>
      <c r="V21" s="4" t="str">
        <f ca="1">VLOOKUP($W21,OFFSET(enemy_skill_sets!$B$1,0,0,COUNTA(enemy_skill_sets!$B:$B),MATCH(M$1,enemy_skill_sets!$1:$1,0)-MATCH($W$1,enemy_skill_sets!$1:$1,0)+2),MATCH(M$1,enemy_skill_sets!$1:$1,0)-MATCH($W$1,enemy_skill_sets!$1:$1,0)+2,FALSE)</f>
        <v>青パネル吸収攻撃</v>
      </c>
      <c r="W21" s="4">
        <v>15031012</v>
      </c>
      <c r="X21" s="110">
        <v>1</v>
      </c>
      <c r="Y21" s="110">
        <v>100</v>
      </c>
      <c r="Z21" s="110">
        <v>2</v>
      </c>
      <c r="AA21" s="16">
        <f ca="1">VLOOKUP($L21,OFFSET([3]enemies!$A$1,0,0,COUNTA([3]enemies!$A:$A),MATCH(AA$1,[3]enemies!$1:$1,0)-MATCH($L$1,[3]enemies!$1:$1,0)+1),MATCH(AA$1,[3]enemies!$1:$1,0)-MATCH($L$1,[3]enemies!$1:$1,0)+1,FALSE)</f>
        <v>2</v>
      </c>
      <c r="AB21" s="111">
        <f t="shared" si="13"/>
        <v>371</v>
      </c>
      <c r="AC21" s="4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行灯達磨 タイチ</v>
      </c>
      <c r="AD21" s="4">
        <f ca="1">VLOOKUP($AB21,OFFSET([4]characters!$A$1,0,0,COUNTA([4]characters!$A:$A),MATCH(AD$1,[4]characters!$1:$1,0)-MATCH("character_id",[4]characters!$1:$1,0)+1),MATCH(AD$1,[4]characters!$1:$1,0)-MATCH("character_id",[4]characters!$1:$1,0)+1,FALSE)</f>
        <v>3</v>
      </c>
      <c r="AE21" s="4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Drop1S</v>
      </c>
      <c r="AF21" s="112">
        <v>1</v>
      </c>
      <c r="AG21" s="111">
        <f t="shared" ca="1" si="14"/>
        <v>3</v>
      </c>
      <c r="AH21" s="113">
        <v>0</v>
      </c>
      <c r="AI21" s="112">
        <v>0</v>
      </c>
      <c r="AJ21" s="112">
        <v>0</v>
      </c>
      <c r="AK21" s="112">
        <v>0</v>
      </c>
      <c r="AL21" s="112">
        <v>0</v>
      </c>
      <c r="AM21" s="112">
        <v>1</v>
      </c>
      <c r="AN21" s="114">
        <v>1</v>
      </c>
    </row>
    <row r="22" spans="1:40" ht="21" customHeight="1" x14ac:dyDescent="0.15">
      <c r="A22" s="15" t="str">
        <f t="shared" ref="A22:A23" ca="1" si="50">B22&amp;"_"&amp;C22&amp;"-"&amp;G22&amp;"/"&amp;L22&amp;"&lt;lv"&amp;R22&amp;"&gt;s"&amp;AA22</f>
        <v>15031_2-2/348&lt;lv58&gt;s3</v>
      </c>
      <c r="B22" s="95">
        <v>15031</v>
      </c>
      <c r="C22" s="103">
        <v>2</v>
      </c>
      <c r="D22" s="104" t="str">
        <f t="shared" ref="D22:D23" si="51">B22&amp;"_"&amp;C22</f>
        <v>15031_2</v>
      </c>
      <c r="E22" s="4" t="str">
        <f ca="1">VLOOKUP($B22,OFFSET([2]quests!$A$1,0,0,COUNTA([2]quests!$A:$A),MATCH(E$1,[2]quests!$1:$1,0)-MATCH($B$1,[2]quests!$1:$1,0)+1),MATCH(E$1,[2]quests!$1:$1,0)-MATCH($B$1,[2]quests!$1:$1,0)+1,FALSE)</f>
        <v>31. 桜花乱城</v>
      </c>
      <c r="F22" s="4" t="str">
        <f ca="1">VLOOKUP($D22,OFFSET([2]stages!$A$1,0,0,COUNTA([2]stages!$A:$A),MATCH(F$1,[2]stages!$2:$2,0)-MATCH($D$1,[2]stages!$2:$2,0)+1),MATCH(F$1,[2]stages!$2:$2,0)-MATCH($D$1,[2]stages!$2:$2,0)+1,FALSE)</f>
        <v>31-2. 赤鉄の将</v>
      </c>
      <c r="G22" s="98">
        <v>2</v>
      </c>
      <c r="H22" s="104" t="str">
        <f t="shared" ref="H22:H23" si="52">B22&amp;"_"&amp;C22&amp;"-"&amp;G22</f>
        <v>15031_2-2</v>
      </c>
      <c r="I22" s="4">
        <f ca="1">VLOOKUP($H22,OFFSET(floors!$A$1,0,0,COUNTA(floors!$A:$A),MATCH(I$1,floors!$1:$1,0)-MATCH($H$1,floors!$1:$1,0)+1),MATCH(I$1,floors!$1:$1,0)-MATCH($H$1,floors!$1:$1,0)+1,FALSE)</f>
        <v>60</v>
      </c>
      <c r="J22" s="4">
        <f ca="1">VLOOKUP($H22,OFFSET(floors!$A$1,0,0,COUNTA(floors!$A:$A),MATCH(J$1,floors!$1:$1,0)-MATCH($H$1,floors!$1:$1,0)+1),MATCH(J$1,floors!$1:$1,0)-MATCH($H$1,floors!$1:$1,0)+1,FALSE)</f>
        <v>60</v>
      </c>
      <c r="K22" s="106" t="s">
        <v>353</v>
      </c>
      <c r="L22" s="94">
        <v>348</v>
      </c>
      <c r="M22" s="16" t="str">
        <f ca="1">VLOOKUP($L22,OFFSET([3]enemies!$A$1,0,0,COUNTA([3]enemies!$A:$A),MATCH(M$1,[3]enemies!$1:$1,0)-MATCH($L$1,[3]enemies!$1:$1,0)+1),MATCH(M$1,[3]enemies!$1:$1,0)-MATCH($L$1,[3]enemies!$1:$1,0)+1,FALSE)</f>
        <v>炎のケロケロ</v>
      </c>
      <c r="N22" s="16" t="str">
        <f ca="1">VLOOKUP($L22,OFFSET([3]enemies!$A$1,0,0,COUNTA([3]enemies!$A:$A),MATCH(N$1,[3]enemies!$1:$1,0)-MATCH($L$1,[3]enemies!$1:$1,0)+1),MATCH(N$1,[3]enemies!$1:$1,0)-MATCH($L$1,[3]enemies!$1:$1,0)+1,FALSE)</f>
        <v>red</v>
      </c>
      <c r="O22" s="16" t="str">
        <f ca="1">VLOOKUP($L22,OFFSET([4]characters!$A$1,0,0,COUNTA([4]characters!$A:$A),MATCH(O$1,[4]characters!$1:$1,0)-MATCH($L$1,[4]characters!$1:$1,0)+1),MATCH(O$1,[4]characters!$1:$1,0)-MATCH($L$1,[4]characters!$1:$1,0)+1,FALSE)</f>
        <v>Material</v>
      </c>
      <c r="P22" s="16" t="str">
        <f ca="1">VLOOKUP($L22,OFFSET([3]enemies!$A$1,0,0,COUNTA([3]enemies!$A:$A),MATCH(P$1,[3]enemies!$1:$1,0)-MATCH($L$1,[3]enemies!$1:$1,0)+1),MATCH(P$1,[3]enemies!$1:$1,0)-MATCH($L$1,[3]enemies!$1:$1,0)+1,FALSE)</f>
        <v>unknown</v>
      </c>
      <c r="Q22" s="16">
        <f ca="1">VLOOKUP($L22,OFFSET([3]enemies!$A$1,0,0,COUNTA([3]enemies!$A:$A),MATCH(Q$1,[3]enemies!$1:$1,0)-MATCH($L$1,[3]enemies!$1:$1,0)+1),MATCH(Q$1,[3]enemies!$1:$1,0)-MATCH($L$1,[3]enemies!$1:$1,0)+1,FALSE)</f>
        <v>15</v>
      </c>
      <c r="R22" s="108">
        <v>58</v>
      </c>
      <c r="S22" s="109">
        <v>1.8</v>
      </c>
      <c r="T22" s="109">
        <v>0.8</v>
      </c>
      <c r="U22" s="108">
        <v>0</v>
      </c>
      <c r="V22" s="4" t="e">
        <f ca="1">VLOOKUP($W22,OFFSET(enemy_skill_sets!$B$1,0,0,COUNTA(enemy_skill_sets!$B:$B),MATCH(M$1,enemy_skill_sets!$1:$1,0)-MATCH($W$1,enemy_skill_sets!$1:$1,0)+2),MATCH(M$1,enemy_skill_sets!$1:$1,0)-MATCH($W$1,enemy_skill_sets!$1:$1,0)+2,FALSE)</f>
        <v>#N/A</v>
      </c>
      <c r="W22" s="4">
        <v>520004</v>
      </c>
      <c r="X22" s="110">
        <v>0</v>
      </c>
      <c r="Y22" s="110">
        <v>100</v>
      </c>
      <c r="Z22" s="110">
        <v>1</v>
      </c>
      <c r="AA22" s="16">
        <f ca="1">VLOOKUP($L22,OFFSET([3]enemies!$A$1,0,0,COUNTA([3]enemies!$A:$A),MATCH(AA$1,[3]enemies!$1:$1,0)-MATCH($L$1,[3]enemies!$1:$1,0)+1),MATCH(AA$1,[3]enemies!$1:$1,0)-MATCH($L$1,[3]enemies!$1:$1,0)+1,FALSE)</f>
        <v>3</v>
      </c>
      <c r="AB22" s="111">
        <f t="shared" ref="AB22:AB23" si="53">L22</f>
        <v>348</v>
      </c>
      <c r="AC22" s="4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炎のケロケロ</v>
      </c>
      <c r="AD22" s="4">
        <f ca="1">VLOOKUP($AB22,OFFSET([4]characters!$A$1,0,0,COUNTA([4]characters!$A:$A),MATCH(AD$1,[4]characters!$1:$1,0)-MATCH("character_id",[4]characters!$1:$1,0)+1),MATCH(AD$1,[4]characters!$1:$1,0)-MATCH("character_id",[4]characters!$1:$1,0)+1,FALSE)</f>
        <v>5</v>
      </c>
      <c r="AE22" s="4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2" s="7">
        <v>10</v>
      </c>
      <c r="AG22" s="111">
        <f t="shared" ref="AG22:AG23" ca="1" si="54">AD22</f>
        <v>5</v>
      </c>
      <c r="AH22" s="113">
        <v>100</v>
      </c>
      <c r="AI22" s="112">
        <v>0</v>
      </c>
      <c r="AJ22" s="112">
        <v>0</v>
      </c>
      <c r="AK22" s="112">
        <v>0</v>
      </c>
      <c r="AL22" s="112">
        <v>0</v>
      </c>
      <c r="AM22" s="112">
        <v>1</v>
      </c>
      <c r="AN22" s="114">
        <v>1</v>
      </c>
    </row>
    <row r="23" spans="1:40" ht="21" customHeight="1" x14ac:dyDescent="0.15">
      <c r="A23" s="15" t="str">
        <f t="shared" ca="1" si="50"/>
        <v>15031_2-2/350&lt;lv58&gt;s3</v>
      </c>
      <c r="B23" s="95">
        <v>15031</v>
      </c>
      <c r="C23" s="103">
        <v>2</v>
      </c>
      <c r="D23" s="104" t="str">
        <f t="shared" si="51"/>
        <v>15031_2</v>
      </c>
      <c r="E23" s="4" t="str">
        <f ca="1">VLOOKUP($B23,OFFSET([2]quests!$A$1,0,0,COUNTA([2]quests!$A:$A),MATCH(E$1,[2]quests!$1:$1,0)-MATCH($B$1,[2]quests!$1:$1,0)+1),MATCH(E$1,[2]quests!$1:$1,0)-MATCH($B$1,[2]quests!$1:$1,0)+1,FALSE)</f>
        <v>31. 桜花乱城</v>
      </c>
      <c r="F23" s="4" t="str">
        <f ca="1">VLOOKUP($D23,OFFSET([2]stages!$A$1,0,0,COUNTA([2]stages!$A:$A),MATCH(F$1,[2]stages!$2:$2,0)-MATCH($D$1,[2]stages!$2:$2,0)+1),MATCH(F$1,[2]stages!$2:$2,0)-MATCH($D$1,[2]stages!$2:$2,0)+1,FALSE)</f>
        <v>31-2. 赤鉄の将</v>
      </c>
      <c r="G23" s="98">
        <v>2</v>
      </c>
      <c r="H23" s="104" t="str">
        <f t="shared" si="52"/>
        <v>15031_2-2</v>
      </c>
      <c r="I23" s="4">
        <f ca="1">VLOOKUP($H23,OFFSET(floors!$A$1,0,0,COUNTA(floors!$A:$A),MATCH(I$1,floors!$1:$1,0)-MATCH($H$1,floors!$1:$1,0)+1),MATCH(I$1,floors!$1:$1,0)-MATCH($H$1,floors!$1:$1,0)+1,FALSE)</f>
        <v>60</v>
      </c>
      <c r="J23" s="4">
        <f ca="1">VLOOKUP($H23,OFFSET(floors!$A$1,0,0,COUNTA(floors!$A:$A),MATCH(J$1,floors!$1:$1,0)-MATCH($H$1,floors!$1:$1,0)+1),MATCH(J$1,floors!$1:$1,0)-MATCH($H$1,floors!$1:$1,0)+1,FALSE)</f>
        <v>60</v>
      </c>
      <c r="K23" s="106" t="s">
        <v>353</v>
      </c>
      <c r="L23" s="94">
        <v>350</v>
      </c>
      <c r="M23" s="16" t="str">
        <f ca="1">VLOOKUP($L23,OFFSET([3]enemies!$A$1,0,0,COUNTA([3]enemies!$A:$A),MATCH(M$1,[3]enemies!$1:$1,0)-MATCH($L$1,[3]enemies!$1:$1,0)+1),MATCH(M$1,[3]enemies!$1:$1,0)-MATCH($L$1,[3]enemies!$1:$1,0)+1,FALSE)</f>
        <v>森のケロケロ</v>
      </c>
      <c r="N23" s="16" t="str">
        <f ca="1">VLOOKUP($L23,OFFSET([3]enemies!$A$1,0,0,COUNTA([3]enemies!$A:$A),MATCH(N$1,[3]enemies!$1:$1,0)-MATCH($L$1,[3]enemies!$1:$1,0)+1),MATCH(N$1,[3]enemies!$1:$1,0)-MATCH($L$1,[3]enemies!$1:$1,0)+1,FALSE)</f>
        <v>green</v>
      </c>
      <c r="O23" s="16" t="str">
        <f ca="1">VLOOKUP($L23,OFFSET([4]characters!$A$1,0,0,COUNTA([4]characters!$A:$A),MATCH(O$1,[4]characters!$1:$1,0)-MATCH($L$1,[4]characters!$1:$1,0)+1),MATCH(O$1,[4]characters!$1:$1,0)-MATCH($L$1,[4]characters!$1:$1,0)+1,FALSE)</f>
        <v>Material</v>
      </c>
      <c r="P23" s="16" t="str">
        <f ca="1">VLOOKUP($L23,OFFSET([3]enemies!$A$1,0,0,COUNTA([3]enemies!$A:$A),MATCH(P$1,[3]enemies!$1:$1,0)-MATCH($L$1,[3]enemies!$1:$1,0)+1),MATCH(P$1,[3]enemies!$1:$1,0)-MATCH($L$1,[3]enemies!$1:$1,0)+1,FALSE)</f>
        <v>unknown</v>
      </c>
      <c r="Q23" s="16">
        <f ca="1">VLOOKUP($L23,OFFSET([3]enemies!$A$1,0,0,COUNTA([3]enemies!$A:$A),MATCH(Q$1,[3]enemies!$1:$1,0)-MATCH($L$1,[3]enemies!$1:$1,0)+1),MATCH(Q$1,[3]enemies!$1:$1,0)-MATCH($L$1,[3]enemies!$1:$1,0)+1,FALSE)</f>
        <v>15</v>
      </c>
      <c r="R23" s="108">
        <v>58</v>
      </c>
      <c r="S23" s="109">
        <v>1.8</v>
      </c>
      <c r="T23" s="109">
        <v>0.8</v>
      </c>
      <c r="U23" s="108">
        <v>0</v>
      </c>
      <c r="V23" s="4" t="e">
        <f ca="1">VLOOKUP($W23,OFFSET(enemy_skill_sets!$B$1,0,0,COUNTA(enemy_skill_sets!$B:$B),MATCH(M$1,enemy_skill_sets!$1:$1,0)-MATCH($W$1,enemy_skill_sets!$1:$1,0)+2),MATCH(M$1,enemy_skill_sets!$1:$1,0)-MATCH($W$1,enemy_skill_sets!$1:$1,0)+2,FALSE)</f>
        <v>#N/A</v>
      </c>
      <c r="W23" s="4">
        <v>520005</v>
      </c>
      <c r="X23" s="110">
        <v>0</v>
      </c>
      <c r="Y23" s="110">
        <v>5</v>
      </c>
      <c r="Z23" s="110">
        <v>1</v>
      </c>
      <c r="AA23" s="16">
        <f ca="1">VLOOKUP($L23,OFFSET([3]enemies!$A$1,0,0,COUNTA([3]enemies!$A:$A),MATCH(AA$1,[3]enemies!$1:$1,0)-MATCH($L$1,[3]enemies!$1:$1,0)+1),MATCH(AA$1,[3]enemies!$1:$1,0)-MATCH($L$1,[3]enemies!$1:$1,0)+1,FALSE)</f>
        <v>3</v>
      </c>
      <c r="AB23" s="111">
        <f t="shared" si="53"/>
        <v>350</v>
      </c>
      <c r="AC23" s="4" t="str">
        <f ca="1">VLOOKUP($AB23,OFFSET([4]characters!$A$1,0,0,COUNTA([4]characters!$A:$A),MATCH(AC$1,[4]characters!$1:$1,0)-MATCH("character_id",[4]characters!$1:$1,0)+1),MATCH(AC$1,[4]characters!$1:$1,0)-MATCH("character_id",[4]characters!$1:$1,0)+1,FALSE)</f>
        <v>森のケロケロ</v>
      </c>
      <c r="AD23" s="4">
        <f ca="1">VLOOKUP($AB23,OFFSET([4]characters!$A$1,0,0,COUNTA([4]characters!$A:$A),MATCH(AD$1,[4]characters!$1:$1,0)-MATCH("character_id",[4]characters!$1:$1,0)+1),MATCH(AD$1,[4]characters!$1:$1,0)-MATCH("character_id",[4]characters!$1:$1,0)+1,FALSE)</f>
        <v>5</v>
      </c>
      <c r="AE23" s="4" t="str">
        <f ca="1">VLOOKUP($AB23,OFFSET([4]characters!$A$1,0,0,COUNTA([4]characters!$A:$A),MATCH(AE$1,[4]characters!$1:$1,0)-MATCH("character_id",[4]characters!$1:$1,0)+1),MATCH(AE$1,[4]characters!$1:$1,0)-MATCH("character_id",[4]characters!$1:$1,0)+1,FALSE)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3" s="7">
        <v>10</v>
      </c>
      <c r="AG23" s="111">
        <f t="shared" ca="1" si="54"/>
        <v>5</v>
      </c>
      <c r="AH23" s="113">
        <v>20</v>
      </c>
      <c r="AI23" s="112">
        <v>0</v>
      </c>
      <c r="AJ23" s="112">
        <v>0</v>
      </c>
      <c r="AK23" s="112">
        <v>0</v>
      </c>
      <c r="AL23" s="112">
        <v>0</v>
      </c>
      <c r="AM23" s="112">
        <v>1</v>
      </c>
      <c r="AN23" s="114">
        <v>1</v>
      </c>
    </row>
    <row r="24" spans="1:40" ht="21" customHeight="1" x14ac:dyDescent="0.15">
      <c r="A24" s="15" t="str">
        <f t="shared" ca="1" si="10"/>
        <v>15031_2-3/348&lt;lv58&gt;s3</v>
      </c>
      <c r="B24" s="95">
        <v>15031</v>
      </c>
      <c r="C24" s="97">
        <v>2</v>
      </c>
      <c r="D24" s="2" t="str">
        <f t="shared" si="11"/>
        <v>15031_2</v>
      </c>
      <c r="E24" s="4" t="str">
        <f ca="1">VLOOKUP($B24,OFFSET([2]quests!$A$1,0,0,COUNTA([2]quests!$A:$A),MATCH(E$1,[2]quests!$1:$1,0)-MATCH($B$1,[2]quests!$1:$1,0)+1),MATCH(E$1,[2]quests!$1:$1,0)-MATCH($B$1,[2]quests!$1:$1,0)+1,FALSE)</f>
        <v>31. 桜花乱城</v>
      </c>
      <c r="F24" s="4" t="str">
        <f ca="1">VLOOKUP($D24,OFFSET([2]stages!$A$1,0,0,COUNTA([2]stages!$A:$A),MATCH(F$1,[2]stages!$2:$2,0)-MATCH($D$1,[2]stages!$2:$2,0)+1),MATCH(F$1,[2]stages!$2:$2,0)-MATCH($D$1,[2]stages!$2:$2,0)+1,FALSE)</f>
        <v>31-2. 赤鉄の将</v>
      </c>
      <c r="G24" s="96">
        <v>3</v>
      </c>
      <c r="H24" s="14" t="str">
        <f t="shared" si="12"/>
        <v>15031_2-3</v>
      </c>
      <c r="I24" s="4">
        <f ca="1">VLOOKUP($H24,OFFSET(floors!$A$1,0,0,COUNTA(floors!$A:$A),MATCH(I$1,floors!$1:$1,0)-MATCH($H$1,floors!$1:$1,0)+1),MATCH(I$1,floors!$1:$1,0)-MATCH($H$1,floors!$1:$1,0)+1,FALSE)</f>
        <v>70</v>
      </c>
      <c r="J24" s="4">
        <f ca="1">VLOOKUP($H24,OFFSET(floors!$A$1,0,0,COUNTA(floors!$A:$A),MATCH(J$1,floors!$1:$1,0)-MATCH($H$1,floors!$1:$1,0)+1),MATCH(J$1,floors!$1:$1,0)-MATCH($H$1,floors!$1:$1,0)+1,FALSE)</f>
        <v>70</v>
      </c>
      <c r="K24" s="35" t="s">
        <v>209</v>
      </c>
      <c r="L24" s="94">
        <v>348</v>
      </c>
      <c r="M24" s="16" t="str">
        <f ca="1">VLOOKUP($L24,OFFSET([3]enemies!$A$1,0,0,COUNTA([3]enemies!$A:$A),MATCH(M$1,[3]enemies!$1:$1,0)-MATCH($L$1,[3]enemies!$1:$1,0)+1),MATCH(M$1,[3]enemies!$1:$1,0)-MATCH($L$1,[3]enemies!$1:$1,0)+1,FALSE)</f>
        <v>炎のケロケロ</v>
      </c>
      <c r="N24" s="16" t="str">
        <f ca="1">VLOOKUP($L24,OFFSET([3]enemies!$A$1,0,0,COUNTA([3]enemies!$A:$A),MATCH(N$1,[3]enemies!$1:$1,0)-MATCH($L$1,[3]enemies!$1:$1,0)+1),MATCH(N$1,[3]enemies!$1:$1,0)-MATCH($L$1,[3]enemies!$1:$1,0)+1,FALSE)</f>
        <v>red</v>
      </c>
      <c r="O24" s="16" t="str">
        <f ca="1">VLOOKUP($L24,OFFSET([4]characters!$A$1,0,0,COUNTA([4]characters!$A:$A),MATCH(O$1,[4]characters!$1:$1,0)-MATCH($L$1,[4]characters!$1:$1,0)+1),MATCH(O$1,[4]characters!$1:$1,0)-MATCH($L$1,[4]characters!$1:$1,0)+1,FALSE)</f>
        <v>Material</v>
      </c>
      <c r="P24" s="16" t="str">
        <f ca="1">VLOOKUP($L24,OFFSET([3]enemies!$A$1,0,0,COUNTA([3]enemies!$A:$A),MATCH(P$1,[3]enemies!$1:$1,0)-MATCH($L$1,[3]enemies!$1:$1,0)+1),MATCH(P$1,[3]enemies!$1:$1,0)-MATCH($L$1,[3]enemies!$1:$1,0)+1,FALSE)</f>
        <v>unknown</v>
      </c>
      <c r="Q24" s="16">
        <f ca="1">VLOOKUP($L24,OFFSET([3]enemies!$A$1,0,0,COUNTA([3]enemies!$A:$A),MATCH(Q$1,[3]enemies!$1:$1,0)-MATCH($L$1,[3]enemies!$1:$1,0)+1),MATCH(Q$1,[3]enemies!$1:$1,0)-MATCH($L$1,[3]enemies!$1:$1,0)+1,FALSE)</f>
        <v>15</v>
      </c>
      <c r="R24" s="5">
        <v>58</v>
      </c>
      <c r="S24" s="22">
        <v>2</v>
      </c>
      <c r="T24" s="22">
        <v>0.8</v>
      </c>
      <c r="U24" s="5">
        <v>0</v>
      </c>
      <c r="V24" s="4" t="e">
        <f ca="1">VLOOKUP($W24,OFFSET(enemy_skill_sets!$B$1,0,0,COUNTA(enemy_skill_sets!$B:$B),MATCH(M$1,enemy_skill_sets!$1:$1,0)-MATCH($W$1,enemy_skill_sets!$1:$1,0)+2),MATCH(M$1,enemy_skill_sets!$1:$1,0)-MATCH($W$1,enemy_skill_sets!$1:$1,0)+2,FALSE)</f>
        <v>#N/A</v>
      </c>
      <c r="W24" s="4">
        <v>520004</v>
      </c>
      <c r="X24" s="110">
        <v>0</v>
      </c>
      <c r="Y24" s="110">
        <v>5</v>
      </c>
      <c r="Z24" s="110">
        <v>1</v>
      </c>
      <c r="AA24" s="16">
        <f ca="1">VLOOKUP($L24,OFFSET([3]enemies!$A$1,0,0,COUNTA([3]enemies!$A:$A),MATCH(AA$1,[3]enemies!$1:$1,0)-MATCH($L$1,[3]enemies!$1:$1,0)+1),MATCH(AA$1,[3]enemies!$1:$1,0)-MATCH($L$1,[3]enemies!$1:$1,0)+1,FALSE)</f>
        <v>3</v>
      </c>
      <c r="AB24" s="21">
        <f t="shared" si="13"/>
        <v>348</v>
      </c>
      <c r="AC24" s="4" t="str">
        <f ca="1">VLOOKUP($AB24,OFFSET([4]characters!$A$1,0,0,COUNTA([4]characters!$A:$A),MATCH(AC$1,[4]characters!$1:$1,0)-MATCH("character_id",[4]characters!$1:$1,0)+1),MATCH(AC$1,[4]characters!$1:$1,0)-MATCH("character_id",[4]characters!$1:$1,0)+1,FALSE)</f>
        <v>炎のケロケロ</v>
      </c>
      <c r="AD24" s="4">
        <f ca="1">VLOOKUP($AB24,OFFSET([4]characters!$A$1,0,0,COUNTA([4]characters!$A:$A),MATCH(AD$1,[4]characters!$1:$1,0)-MATCH("character_id",[4]characters!$1:$1,0)+1),MATCH(AD$1,[4]characters!$1:$1,0)-MATCH("character_id",[4]characters!$1:$1,0)+1,FALSE)</f>
        <v>5</v>
      </c>
      <c r="AE24" s="4" t="str">
        <f ca="1">VLOOKUP($AB24,OFFSET([4]characters!$A$1,0,0,COUNTA([4]characters!$A:$A),MATCH(AE$1,[4]characters!$1:$1,0)-MATCH("character_id",[4]characters!$1:$1,0)+1),MATCH(AE$1,[4]characters!$1:$1,0)-MATCH("character_id",[4]characters!$1:$1,0)+1,FALSE)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4" s="7">
        <v>10</v>
      </c>
      <c r="AG24" s="21">
        <f t="shared" ca="1" si="14"/>
        <v>5</v>
      </c>
      <c r="AH24" s="8">
        <v>20</v>
      </c>
      <c r="AI24" s="93">
        <v>0</v>
      </c>
      <c r="AJ24" s="93">
        <v>0</v>
      </c>
      <c r="AK24" s="93">
        <v>0</v>
      </c>
      <c r="AL24" s="93">
        <v>0</v>
      </c>
      <c r="AM24" s="93">
        <v>1</v>
      </c>
      <c r="AN24" s="66">
        <v>1</v>
      </c>
    </row>
    <row r="25" spans="1:40" ht="21" customHeight="1" x14ac:dyDescent="0.15">
      <c r="A25" s="15" t="str">
        <f t="shared" ref="A25" ca="1" si="55">B25&amp;"_"&amp;C25&amp;"-"&amp;G25&amp;"/"&amp;L25&amp;"&lt;lv"&amp;R25&amp;"&gt;s"&amp;AA25</f>
        <v>15031_2-3/350&lt;lv58&gt;s3</v>
      </c>
      <c r="B25" s="95">
        <v>15031</v>
      </c>
      <c r="C25" s="97">
        <v>2</v>
      </c>
      <c r="D25" s="2" t="str">
        <f t="shared" ref="D25" si="56">B25&amp;"_"&amp;C25</f>
        <v>15031_2</v>
      </c>
      <c r="E25" s="4" t="str">
        <f ca="1">VLOOKUP($B25,OFFSET([2]quests!$A$1,0,0,COUNTA([2]quests!$A:$A),MATCH(E$1,[2]quests!$1:$1,0)-MATCH($B$1,[2]quests!$1:$1,0)+1),MATCH(E$1,[2]quests!$1:$1,0)-MATCH($B$1,[2]quests!$1:$1,0)+1,FALSE)</f>
        <v>31. 桜花乱城</v>
      </c>
      <c r="F25" s="4" t="str">
        <f ca="1">VLOOKUP($D25,OFFSET([2]stages!$A$1,0,0,COUNTA([2]stages!$A:$A),MATCH(F$1,[2]stages!$2:$2,0)-MATCH($D$1,[2]stages!$2:$2,0)+1),MATCH(F$1,[2]stages!$2:$2,0)-MATCH($D$1,[2]stages!$2:$2,0)+1,FALSE)</f>
        <v>31-2. 赤鉄の将</v>
      </c>
      <c r="G25" s="96">
        <v>3</v>
      </c>
      <c r="H25" s="14" t="str">
        <f t="shared" ref="H25" si="57">B25&amp;"_"&amp;C25&amp;"-"&amp;G25</f>
        <v>15031_2-3</v>
      </c>
      <c r="I25" s="4">
        <f ca="1">VLOOKUP($H25,OFFSET(floors!$A$1,0,0,COUNTA(floors!$A:$A),MATCH(I$1,floors!$1:$1,0)-MATCH($H$1,floors!$1:$1,0)+1),MATCH(I$1,floors!$1:$1,0)-MATCH($H$1,floors!$1:$1,0)+1,FALSE)</f>
        <v>70</v>
      </c>
      <c r="J25" s="4">
        <f ca="1">VLOOKUP($H25,OFFSET(floors!$A$1,0,0,COUNTA(floors!$A:$A),MATCH(J$1,floors!$1:$1,0)-MATCH($H$1,floors!$1:$1,0)+1),MATCH(J$1,floors!$1:$1,0)-MATCH($H$1,floors!$1:$1,0)+1,FALSE)</f>
        <v>70</v>
      </c>
      <c r="K25" s="35" t="s">
        <v>209</v>
      </c>
      <c r="L25" s="94">
        <v>350</v>
      </c>
      <c r="M25" s="16" t="str">
        <f ca="1">VLOOKUP($L25,OFFSET([3]enemies!$A$1,0,0,COUNTA([3]enemies!$A:$A),MATCH(M$1,[3]enemies!$1:$1,0)-MATCH($L$1,[3]enemies!$1:$1,0)+1),MATCH(M$1,[3]enemies!$1:$1,0)-MATCH($L$1,[3]enemies!$1:$1,0)+1,FALSE)</f>
        <v>森のケロケロ</v>
      </c>
      <c r="N25" s="16" t="str">
        <f ca="1">VLOOKUP($L25,OFFSET([3]enemies!$A$1,0,0,COUNTA([3]enemies!$A:$A),MATCH(N$1,[3]enemies!$1:$1,0)-MATCH($L$1,[3]enemies!$1:$1,0)+1),MATCH(N$1,[3]enemies!$1:$1,0)-MATCH($L$1,[3]enemies!$1:$1,0)+1,FALSE)</f>
        <v>green</v>
      </c>
      <c r="O25" s="16" t="str">
        <f ca="1">VLOOKUP($L25,OFFSET([4]characters!$A$1,0,0,COUNTA([4]characters!$A:$A),MATCH(O$1,[4]characters!$1:$1,0)-MATCH($L$1,[4]characters!$1:$1,0)+1),MATCH(O$1,[4]characters!$1:$1,0)-MATCH($L$1,[4]characters!$1:$1,0)+1,FALSE)</f>
        <v>Material</v>
      </c>
      <c r="P25" s="16" t="str">
        <f ca="1">VLOOKUP($L25,OFFSET([3]enemies!$A$1,0,0,COUNTA([3]enemies!$A:$A),MATCH(P$1,[3]enemies!$1:$1,0)-MATCH($L$1,[3]enemies!$1:$1,0)+1),MATCH(P$1,[3]enemies!$1:$1,0)-MATCH($L$1,[3]enemies!$1:$1,0)+1,FALSE)</f>
        <v>unknown</v>
      </c>
      <c r="Q25" s="16">
        <f ca="1">VLOOKUP($L25,OFFSET([3]enemies!$A$1,0,0,COUNTA([3]enemies!$A:$A),MATCH(Q$1,[3]enemies!$1:$1,0)-MATCH($L$1,[3]enemies!$1:$1,0)+1),MATCH(Q$1,[3]enemies!$1:$1,0)-MATCH($L$1,[3]enemies!$1:$1,0)+1,FALSE)</f>
        <v>15</v>
      </c>
      <c r="R25" s="5">
        <v>58</v>
      </c>
      <c r="S25" s="22">
        <v>2</v>
      </c>
      <c r="T25" s="22">
        <v>0.8</v>
      </c>
      <c r="U25" s="5">
        <v>0</v>
      </c>
      <c r="V25" s="4" t="e">
        <f ca="1">VLOOKUP($W25,OFFSET(enemy_skill_sets!$B$1,0,0,COUNTA(enemy_skill_sets!$B:$B),MATCH(M$1,enemy_skill_sets!$1:$1,0)-MATCH($W$1,enemy_skill_sets!$1:$1,0)+2),MATCH(M$1,enemy_skill_sets!$1:$1,0)-MATCH($W$1,enemy_skill_sets!$1:$1,0)+2,FALSE)</f>
        <v>#N/A</v>
      </c>
      <c r="W25" s="4">
        <v>520005</v>
      </c>
      <c r="X25" s="110">
        <v>0</v>
      </c>
      <c r="Y25" s="110">
        <v>5</v>
      </c>
      <c r="Z25" s="110">
        <v>1</v>
      </c>
      <c r="AA25" s="16">
        <f ca="1">VLOOKUP($L25,OFFSET([3]enemies!$A$1,0,0,COUNTA([3]enemies!$A:$A),MATCH(AA$1,[3]enemies!$1:$1,0)-MATCH($L$1,[3]enemies!$1:$1,0)+1),MATCH(AA$1,[3]enemies!$1:$1,0)-MATCH($L$1,[3]enemies!$1:$1,0)+1,FALSE)</f>
        <v>3</v>
      </c>
      <c r="AB25" s="21">
        <f t="shared" ref="AB25" si="58">L25</f>
        <v>350</v>
      </c>
      <c r="AC25" s="4" t="str">
        <f ca="1">VLOOKUP($AB25,OFFSET([4]characters!$A$1,0,0,COUNTA([4]characters!$A:$A),MATCH(AC$1,[4]characters!$1:$1,0)-MATCH("character_id",[4]characters!$1:$1,0)+1),MATCH(AC$1,[4]characters!$1:$1,0)-MATCH("character_id",[4]characters!$1:$1,0)+1,FALSE)</f>
        <v>森のケロケロ</v>
      </c>
      <c r="AD25" s="4">
        <f ca="1">VLOOKUP($AB25,OFFSET([4]characters!$A$1,0,0,COUNTA([4]characters!$A:$A),MATCH(AD$1,[4]characters!$1:$1,0)-MATCH("character_id",[4]characters!$1:$1,0)+1),MATCH(AD$1,[4]characters!$1:$1,0)-MATCH("character_id",[4]characters!$1:$1,0)+1,FALSE)</f>
        <v>5</v>
      </c>
      <c r="AE25" s="4" t="str">
        <f ca="1">VLOOKUP($AB25,OFFSET([4]characters!$A$1,0,0,COUNTA([4]characters!$A:$A),MATCH(AE$1,[4]characters!$1:$1,0)-MATCH("character_id",[4]characters!$1:$1,0)+1),MATCH(AE$1,[4]characters!$1:$1,0)-MATCH("character_id",[4]characters!$1:$1,0)+1,FALSE)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5" s="7">
        <v>10</v>
      </c>
      <c r="AG25" s="21">
        <f t="shared" ref="AG25" ca="1" si="59">AD25</f>
        <v>5</v>
      </c>
      <c r="AH25" s="8">
        <v>20</v>
      </c>
      <c r="AI25" s="93">
        <v>0</v>
      </c>
      <c r="AJ25" s="93">
        <v>0</v>
      </c>
      <c r="AK25" s="93">
        <v>0</v>
      </c>
      <c r="AL25" s="93">
        <v>0</v>
      </c>
      <c r="AM25" s="93">
        <v>1</v>
      </c>
      <c r="AN25" s="66">
        <v>1</v>
      </c>
    </row>
    <row r="26" spans="1:40" ht="21" customHeight="1" x14ac:dyDescent="0.15">
      <c r="A26" s="15" t="str">
        <f t="shared" ref="A26" ca="1" si="60">B26&amp;"_"&amp;C26&amp;"-"&amp;G26&amp;"/"&amp;L26&amp;"&lt;lv"&amp;R26&amp;"&gt;s"&amp;AA26</f>
        <v>15031_2-3/371&lt;lv59&gt;s2</v>
      </c>
      <c r="B26" s="95">
        <v>15031</v>
      </c>
      <c r="C26" s="97">
        <v>2</v>
      </c>
      <c r="D26" s="2" t="str">
        <f t="shared" ref="D26" si="61">B26&amp;"_"&amp;C26</f>
        <v>15031_2</v>
      </c>
      <c r="E26" s="4" t="str">
        <f ca="1">VLOOKUP($B26,OFFSET([2]quests!$A$1,0,0,COUNTA([2]quests!$A:$A),MATCH(E$1,[2]quests!$1:$1,0)-MATCH($B$1,[2]quests!$1:$1,0)+1),MATCH(E$1,[2]quests!$1:$1,0)-MATCH($B$1,[2]quests!$1:$1,0)+1,FALSE)</f>
        <v>31. 桜花乱城</v>
      </c>
      <c r="F26" s="4" t="str">
        <f ca="1">VLOOKUP($D26,OFFSET([2]stages!$A$1,0,0,COUNTA([2]stages!$A:$A),MATCH(F$1,[2]stages!$2:$2,0)-MATCH($D$1,[2]stages!$2:$2,0)+1),MATCH(F$1,[2]stages!$2:$2,0)-MATCH($D$1,[2]stages!$2:$2,0)+1,FALSE)</f>
        <v>31-2. 赤鉄の将</v>
      </c>
      <c r="G26" s="96">
        <v>3</v>
      </c>
      <c r="H26" s="14" t="str">
        <f t="shared" ref="H26" si="62">B26&amp;"_"&amp;C26&amp;"-"&amp;G26</f>
        <v>15031_2-3</v>
      </c>
      <c r="I26" s="4">
        <f ca="1">VLOOKUP($H26,OFFSET(floors!$A$1,0,0,COUNTA(floors!$A:$A),MATCH(I$1,floors!$1:$1,0)-MATCH($H$1,floors!$1:$1,0)+1),MATCH(I$1,floors!$1:$1,0)-MATCH($H$1,floors!$1:$1,0)+1,FALSE)</f>
        <v>70</v>
      </c>
      <c r="J26" s="4">
        <f ca="1">VLOOKUP($H26,OFFSET(floors!$A$1,0,0,COUNTA(floors!$A:$A),MATCH(J$1,floors!$1:$1,0)-MATCH($H$1,floors!$1:$1,0)+1),MATCH(J$1,floors!$1:$1,0)-MATCH($H$1,floors!$1:$1,0)+1,FALSE)</f>
        <v>70</v>
      </c>
      <c r="K26" s="35" t="s">
        <v>209</v>
      </c>
      <c r="L26" s="148">
        <v>371</v>
      </c>
      <c r="M26" s="16" t="str">
        <f ca="1">VLOOKUP($L26,OFFSET([3]enemies!$A$1,0,0,COUNTA([3]enemies!$A:$A),MATCH(M$1,[3]enemies!$1:$1,0)-MATCH($L$1,[3]enemies!$1:$1,0)+1),MATCH(M$1,[3]enemies!$1:$1,0)-MATCH($L$1,[3]enemies!$1:$1,0)+1,FALSE)</f>
        <v>行灯達磨 タイチ</v>
      </c>
      <c r="N26" s="16" t="str">
        <f ca="1">VLOOKUP($L26,OFFSET([3]enemies!$A$1,0,0,COUNTA([3]enemies!$A:$A),MATCH(N$1,[3]enemies!$1:$1,0)-MATCH($L$1,[3]enemies!$1:$1,0)+1),MATCH(N$1,[3]enemies!$1:$1,0)-MATCH($L$1,[3]enemies!$1:$1,0)+1,FALSE)</f>
        <v>red</v>
      </c>
      <c r="O26" s="16" t="str">
        <f ca="1">VLOOKUP($L26,OFFSET([4]characters!$A$1,0,0,COUNTA([4]characters!$A:$A),MATCH(O$1,[4]characters!$1:$1,0)-MATCH($L$1,[4]characters!$1:$1,0)+1),MATCH(O$1,[4]characters!$1:$1,0)-MATCH($L$1,[4]characters!$1:$1,0)+1,FALSE)</f>
        <v>Drop1S</v>
      </c>
      <c r="P26" s="16" t="str">
        <f ca="1">VLOOKUP($L26,OFFSET([3]enemies!$A$1,0,0,COUNTA([3]enemies!$A:$A),MATCH(P$1,[3]enemies!$1:$1,0)-MATCH($L$1,[3]enemies!$1:$1,0)+1),MATCH(P$1,[3]enemies!$1:$1,0)-MATCH($L$1,[3]enemies!$1:$1,0)+1,FALSE)</f>
        <v>unknown</v>
      </c>
      <c r="Q26" s="16">
        <f ca="1">VLOOKUP($L26,OFFSET([3]enemies!$A$1,0,0,COUNTA([3]enemies!$A:$A),MATCH(Q$1,[3]enemies!$1:$1,0)-MATCH($L$1,[3]enemies!$1:$1,0)+1),MATCH(Q$1,[3]enemies!$1:$1,0)-MATCH($L$1,[3]enemies!$1:$1,0)+1,FALSE)</f>
        <v>20</v>
      </c>
      <c r="R26" s="5">
        <v>59</v>
      </c>
      <c r="S26" s="22">
        <v>1.9</v>
      </c>
      <c r="T26" s="22">
        <v>0.8</v>
      </c>
      <c r="U26" s="5">
        <v>0</v>
      </c>
      <c r="V26" s="4" t="str">
        <f ca="1">VLOOKUP($W26,OFFSET(enemy_skill_sets!$B$1,0,0,COUNTA(enemy_skill_sets!$B:$B),MATCH(M$1,enemy_skill_sets!$1:$1,0)-MATCH($W$1,enemy_skill_sets!$1:$1,0)+2),MATCH(M$1,enemy_skill_sets!$1:$1,0)-MATCH($W$1,enemy_skill_sets!$1:$1,0)+2,FALSE)</f>
        <v>青パネル吸収攻撃</v>
      </c>
      <c r="W26" s="4">
        <v>15031017</v>
      </c>
      <c r="X26" s="110">
        <v>0</v>
      </c>
      <c r="Y26" s="110">
        <v>100</v>
      </c>
      <c r="Z26" s="110">
        <v>0</v>
      </c>
      <c r="AA26" s="16">
        <f ca="1">VLOOKUP($L26,OFFSET([3]enemies!$A$1,0,0,COUNTA([3]enemies!$A:$A),MATCH(AA$1,[3]enemies!$1:$1,0)-MATCH($L$1,[3]enemies!$1:$1,0)+1),MATCH(AA$1,[3]enemies!$1:$1,0)-MATCH($L$1,[3]enemies!$1:$1,0)+1,FALSE)</f>
        <v>2</v>
      </c>
      <c r="AB26" s="21">
        <f t="shared" ref="AB26" si="63">L26</f>
        <v>371</v>
      </c>
      <c r="AC26" s="4" t="str">
        <f ca="1">VLOOKUP($AB26,OFFSET([4]characters!$A$1,0,0,COUNTA([4]characters!$A:$A),MATCH(AC$1,[4]characters!$1:$1,0)-MATCH("character_id",[4]characters!$1:$1,0)+1),MATCH(AC$1,[4]characters!$1:$1,0)-MATCH("character_id",[4]characters!$1:$1,0)+1,FALSE)</f>
        <v>行灯達磨 タイチ</v>
      </c>
      <c r="AD26" s="4">
        <f ca="1">VLOOKUP($AB26,OFFSET([4]characters!$A$1,0,0,COUNTA([4]characters!$A:$A),MATCH(AD$1,[4]characters!$1:$1,0)-MATCH("character_id",[4]characters!$1:$1,0)+1),MATCH(AD$1,[4]characters!$1:$1,0)-MATCH("character_id",[4]characters!$1:$1,0)+1,FALSE)</f>
        <v>3</v>
      </c>
      <c r="AE26" s="4" t="str">
        <f ca="1">VLOOKUP($AB26,OFFSET([4]characters!$A$1,0,0,COUNTA([4]characters!$A:$A),MATCH(AE$1,[4]characters!$1:$1,0)-MATCH("character_id",[4]characters!$1:$1,0)+1),MATCH(AE$1,[4]characters!$1:$1,0)-MATCH("character_id",[4]characters!$1:$1,0)+1,FALSE)</f>
        <v>Drop1S</v>
      </c>
      <c r="AF26" s="7">
        <v>1</v>
      </c>
      <c r="AG26" s="21">
        <f t="shared" ref="AG26" ca="1" si="64">AD26</f>
        <v>3</v>
      </c>
      <c r="AH26" s="8">
        <v>0</v>
      </c>
      <c r="AI26" s="93">
        <v>0</v>
      </c>
      <c r="AJ26" s="93">
        <v>0</v>
      </c>
      <c r="AK26" s="93">
        <v>0</v>
      </c>
      <c r="AL26" s="93">
        <v>0</v>
      </c>
      <c r="AM26" s="93">
        <v>1</v>
      </c>
      <c r="AN26" s="66">
        <v>1</v>
      </c>
    </row>
    <row r="27" spans="1:40" ht="21" customHeight="1" x14ac:dyDescent="0.15">
      <c r="A27" s="15" t="str">
        <f t="shared" ref="A27" si="65">B27&amp;"_"&amp;C27&amp;"-"&amp;G27&amp;"/"&amp;L27&amp;"&lt;lv"&amp;R27&amp;"&gt;s"&amp;AA27</f>
        <v>15031_2-3/373&lt;lv59&gt;s2</v>
      </c>
      <c r="B27" s="95">
        <v>15031</v>
      </c>
      <c r="C27" s="97">
        <v>2</v>
      </c>
      <c r="D27" s="2" t="str">
        <f t="shared" ref="D27" si="66">B27&amp;"_"&amp;C27</f>
        <v>15031_2</v>
      </c>
      <c r="E27" s="4" t="str">
        <f ca="1">VLOOKUP($B27,OFFSET([2]quests!$A$1,0,0,COUNTA([2]quests!$A:$A),MATCH(E$1,[2]quests!$1:$1,0)-MATCH($B$1,[2]quests!$1:$1,0)+1),MATCH(E$1,[2]quests!$1:$1,0)-MATCH($B$1,[2]quests!$1:$1,0)+1,FALSE)</f>
        <v>31. 桜花乱城</v>
      </c>
      <c r="F27" s="4" t="str">
        <f ca="1">VLOOKUP($D27,OFFSET([2]stages!$A$1,0,0,COUNTA([2]stages!$A:$A),MATCH(F$1,[2]stages!$2:$2,0)-MATCH($D$1,[2]stages!$2:$2,0)+1),MATCH(F$1,[2]stages!$2:$2,0)-MATCH($D$1,[2]stages!$2:$2,0)+1,FALSE)</f>
        <v>31-2. 赤鉄の将</v>
      </c>
      <c r="G27" s="96">
        <v>3</v>
      </c>
      <c r="H27" s="14" t="str">
        <f t="shared" ref="H27" si="67">B27&amp;"_"&amp;C27&amp;"-"&amp;G27</f>
        <v>15031_2-3</v>
      </c>
      <c r="I27" s="4">
        <f ca="1">VLOOKUP($H27,OFFSET(floors!$A$1,0,0,COUNTA(floors!$A:$A),MATCH(I$1,floors!$1:$1,0)-MATCH($H$1,floors!$1:$1,0)+1),MATCH(I$1,floors!$1:$1,0)-MATCH($H$1,floors!$1:$1,0)+1,FALSE)</f>
        <v>70</v>
      </c>
      <c r="J27" s="4">
        <f ca="1">VLOOKUP($H27,OFFSET(floors!$A$1,0,0,COUNTA(floors!$A:$A),MATCH(J$1,floors!$1:$1,0)-MATCH($H$1,floors!$1:$1,0)+1),MATCH(J$1,floors!$1:$1,0)-MATCH($H$1,floors!$1:$1,0)+1,FALSE)</f>
        <v>70</v>
      </c>
      <c r="K27" s="35" t="s">
        <v>209</v>
      </c>
      <c r="L27" s="148">
        <v>373</v>
      </c>
      <c r="M27" s="16" t="str">
        <f ca="1">VLOOKUP($L27,OFFSET([3]enemies!$A$1,0,0,COUNTA([3]enemies!$A:$A),MATCH(M$1,[3]enemies!$1:$1,0)-MATCH($L$1,[3]enemies!$1:$1,0)+1),MATCH(M$1,[3]enemies!$1:$1,0)-MATCH($L$1,[3]enemies!$1:$1,0)+1,FALSE)</f>
        <v>夢幻俳聖 バショー</v>
      </c>
      <c r="N27" s="16" t="str">
        <f ca="1">VLOOKUP($L27,OFFSET([3]enemies!$A$1,0,0,COUNTA([3]enemies!$A:$A),MATCH(N$1,[3]enemies!$1:$1,0)-MATCH($L$1,[3]enemies!$1:$1,0)+1),MATCH(N$1,[3]enemies!$1:$1,0)-MATCH($L$1,[3]enemies!$1:$1,0)+1,FALSE)</f>
        <v>green</v>
      </c>
      <c r="O27" s="16" t="str">
        <f ca="1">VLOOKUP($L27,OFFSET([4]characters!$A$1,0,0,COUNTA([4]characters!$A:$A),MATCH(O$1,[4]characters!$1:$1,0)-MATCH($L$1,[4]characters!$1:$1,0)+1),MATCH(O$1,[4]characters!$1:$1,0)-MATCH($L$1,[4]characters!$1:$1,0)+1,FALSE)</f>
        <v>Drop1S</v>
      </c>
      <c r="P27" s="16" t="str">
        <f ca="1">VLOOKUP($L27,OFFSET([3]enemies!$A$1,0,0,COUNTA([3]enemies!$A:$A),MATCH(P$1,[3]enemies!$1:$1,0)-MATCH($L$1,[3]enemies!$1:$1,0)+1),MATCH(P$1,[3]enemies!$1:$1,0)-MATCH($L$1,[3]enemies!$1:$1,0)+1,FALSE)</f>
        <v>unknown</v>
      </c>
      <c r="Q27" s="16">
        <f ca="1">VLOOKUP($L27,OFFSET([3]enemies!$A$1,0,0,COUNTA([3]enemies!$A:$A),MATCH(Q$1,[3]enemies!$1:$1,0)-MATCH($L$1,[3]enemies!$1:$1,0)+1),MATCH(Q$1,[3]enemies!$1:$1,0)-MATCH($L$1,[3]enemies!$1:$1,0)+1,FALSE)</f>
        <v>20</v>
      </c>
      <c r="R27" s="5">
        <v>59</v>
      </c>
      <c r="S27" s="22">
        <v>1.9</v>
      </c>
      <c r="T27" s="22">
        <v>0.8</v>
      </c>
      <c r="U27" s="5">
        <v>0</v>
      </c>
      <c r="V27" s="4" t="str">
        <f ca="1">VLOOKUP($W27,OFFSET(enemy_skill_sets!$B$1,0,0,COUNTA(enemy_skill_sets!$B:$B),MATCH(M$1,enemy_skill_sets!$1:$1,0)-MATCH($W$1,enemy_skill_sets!$1:$1,0)+2),MATCH(M$1,enemy_skill_sets!$1:$1,0)-MATCH($W$1,enemy_skill_sets!$1:$1,0)+2,FALSE)</f>
        <v>4ターンハートパネルが使えない！</v>
      </c>
      <c r="W27" s="4">
        <v>15031018</v>
      </c>
      <c r="X27" s="110">
        <v>0</v>
      </c>
      <c r="Y27" s="110">
        <v>100</v>
      </c>
      <c r="Z27" s="110">
        <v>0</v>
      </c>
      <c r="AA27" s="16">
        <v>2</v>
      </c>
      <c r="AB27" s="21">
        <f t="shared" ref="AB27" si="68">L27</f>
        <v>373</v>
      </c>
      <c r="AC27" s="4" t="str">
        <f ca="1">VLOOKUP($AB27,OFFSET([4]characters!$A$1,0,0,COUNTA([4]characters!$A:$A),MATCH(AC$1,[4]characters!$1:$1,0)-MATCH("character_id",[4]characters!$1:$1,0)+1),MATCH(AC$1,[4]characters!$1:$1,0)-MATCH("character_id",[4]characters!$1:$1,0)+1,FALSE)</f>
        <v>夢幻俳聖 バショー</v>
      </c>
      <c r="AD27" s="4">
        <f ca="1">VLOOKUP($AB27,OFFSET([4]characters!$A$1,0,0,COUNTA([4]characters!$A:$A),MATCH(AD$1,[4]characters!$1:$1,0)-MATCH("character_id",[4]characters!$1:$1,0)+1),MATCH(AD$1,[4]characters!$1:$1,0)-MATCH("character_id",[4]characters!$1:$1,0)+1,FALSE)</f>
        <v>3</v>
      </c>
      <c r="AE27" s="4" t="str">
        <f ca="1">VLOOKUP($AB27,OFFSET([4]characters!$A$1,0,0,COUNTA([4]characters!$A:$A),MATCH(AE$1,[4]characters!$1:$1,0)-MATCH("character_id",[4]characters!$1:$1,0)+1),MATCH(AE$1,[4]characters!$1:$1,0)-MATCH("character_id",[4]characters!$1:$1,0)+1,FALSE)</f>
        <v>Drop1S</v>
      </c>
      <c r="AF27" s="7">
        <v>1</v>
      </c>
      <c r="AG27" s="21">
        <f t="shared" ref="AG27" ca="1" si="69">AD27</f>
        <v>3</v>
      </c>
      <c r="AH27" s="8">
        <v>0</v>
      </c>
      <c r="AI27" s="93">
        <v>0</v>
      </c>
      <c r="AJ27" s="93">
        <v>0</v>
      </c>
      <c r="AK27" s="93">
        <v>0</v>
      </c>
      <c r="AL27" s="93">
        <v>0</v>
      </c>
      <c r="AM27" s="93">
        <v>1</v>
      </c>
      <c r="AN27" s="66">
        <v>1</v>
      </c>
    </row>
    <row r="28" spans="1:40" ht="21" customHeight="1" thickBot="1" x14ac:dyDescent="0.2">
      <c r="A28" s="115" t="str">
        <f t="shared" ref="A28" si="70">B28&amp;"_"&amp;C28&amp;"-"&amp;G28&amp;"/"&amp;L28&amp;"&lt;lv"&amp;R28&amp;"&gt;s"&amp;AA28</f>
        <v>15031_2-4/587&lt;lv60&gt;s2</v>
      </c>
      <c r="B28" s="116">
        <v>15031</v>
      </c>
      <c r="C28" s="132">
        <v>2</v>
      </c>
      <c r="D28" s="118" t="str">
        <f t="shared" ref="D28" si="71">B28&amp;"_"&amp;C28</f>
        <v>15031_2</v>
      </c>
      <c r="E28" s="119" t="str">
        <f ca="1">VLOOKUP($B28,OFFSET([2]quests!$A$1,0,0,COUNTA([2]quests!$A:$A),MATCH(E$1,[2]quests!$1:$1,0)-MATCH($B$1,[2]quests!$1:$1,0)+1),MATCH(E$1,[2]quests!$1:$1,0)-MATCH($B$1,[2]quests!$1:$1,0)+1,FALSE)</f>
        <v>31. 桜花乱城</v>
      </c>
      <c r="F28" s="119" t="str">
        <f ca="1">VLOOKUP($D28,OFFSET([2]stages!$A$1,0,0,COUNTA([2]stages!$A:$A),MATCH(F$1,[2]stages!$2:$2,0)-MATCH($D$1,[2]stages!$2:$2,0)+1),MATCH(F$1,[2]stages!$2:$2,0)-MATCH($D$1,[2]stages!$2:$2,0)+1,FALSE)</f>
        <v>31-2. 赤鉄の将</v>
      </c>
      <c r="G28" s="120">
        <v>4</v>
      </c>
      <c r="H28" s="118" t="str">
        <f t="shared" ref="H28:H40" si="72">B28&amp;"_"&amp;C28&amp;"-"&amp;G28</f>
        <v>15031_2-4</v>
      </c>
      <c r="I28" s="119">
        <f ca="1">VLOOKUP($H28,OFFSET(floors!$A$1,0,0,COUNTA(floors!$A:$A),MATCH(I$1,floors!$1:$1,0)-MATCH($H$1,floors!$1:$1,0)+1),MATCH(I$1,floors!$1:$1,0)-MATCH($H$1,floors!$1:$1,0)+1,FALSE)</f>
        <v>60</v>
      </c>
      <c r="J28" s="119">
        <f ca="1">VLOOKUP($H28,OFFSET(floors!$A$1,0,0,COUNTA(floors!$A:$A),MATCH(J$1,floors!$1:$1,0)-MATCH($H$1,floors!$1:$1,0)+1),MATCH(J$1,floors!$1:$1,0)-MATCH($H$1,floors!$1:$1,0)+1,FALSE)</f>
        <v>60</v>
      </c>
      <c r="K28" s="121">
        <v>1</v>
      </c>
      <c r="L28" s="122">
        <v>587</v>
      </c>
      <c r="M28" s="123" t="str">
        <f ca="1">VLOOKUP($L28,OFFSET([3]enemies!$A$1,0,0,COUNTA([3]enemies!$A:$A),MATCH(M$1,[3]enemies!$1:$1,0)-MATCH($L$1,[3]enemies!$1:$1,0)+1),MATCH(M$1,[3]enemies!$1:$1,0)-MATCH($L$1,[3]enemies!$1:$1,0)+1,FALSE)</f>
        <v>原初の煉鋼巨刃 ユミル</v>
      </c>
      <c r="N28" s="123" t="str">
        <f ca="1">VLOOKUP($L28,OFFSET([3]enemies!$A$1,0,0,COUNTA([3]enemies!$A:$A),MATCH(N$1,[3]enemies!$1:$1,0)-MATCH($L$1,[3]enemies!$1:$1,0)+1),MATCH(N$1,[3]enemies!$1:$1,0)-MATCH($L$1,[3]enemies!$1:$1,0)+1,FALSE)</f>
        <v>red</v>
      </c>
      <c r="O28" s="123" t="str">
        <f ca="1">VLOOKUP($L28,OFFSET([4]characters!$A$1,0,0,COUNTA([4]characters!$A:$A),MATCH(O$1,[4]characters!$1:$1,0)-MATCH($L$1,[4]characters!$1:$1,0)+1),MATCH(O$1,[4]characters!$1:$1,0)-MATCH($L$1,[4]characters!$1:$1,0)+1,FALSE)</f>
        <v>PremiumSS</v>
      </c>
      <c r="P28" s="123" t="str">
        <f ca="1">VLOOKUP($L28,OFFSET([3]enemies!$A$1,0,0,COUNTA([3]enemies!$A:$A),MATCH(P$1,[3]enemies!$1:$1,0)-MATCH($L$1,[3]enemies!$1:$1,0)+1),MATCH(P$1,[3]enemies!$1:$1,0)-MATCH($L$1,[3]enemies!$1:$1,0)+1,FALSE)</f>
        <v>machine</v>
      </c>
      <c r="Q28" s="123">
        <f ca="1">VLOOKUP($L28,OFFSET([3]enemies!$A$1,0,0,COUNTA([3]enemies!$A:$A),MATCH(Q$1,[3]enemies!$1:$1,0)-MATCH($L$1,[3]enemies!$1:$1,0)+1),MATCH(Q$1,[3]enemies!$1:$1,0)-MATCH($L$1,[3]enemies!$1:$1,0)+1,FALSE)</f>
        <v>60</v>
      </c>
      <c r="R28" s="124">
        <v>60</v>
      </c>
      <c r="S28" s="125">
        <v>2</v>
      </c>
      <c r="T28" s="125">
        <v>1</v>
      </c>
      <c r="U28" s="124">
        <v>0</v>
      </c>
      <c r="V28" s="119" t="str">
        <f ca="1">VLOOKUP($W28,OFFSET(enemy_skill_sets!$B$1,0,0,COUNTA(enemy_skill_sets!$B:$B),MATCH(M$1,enemy_skill_sets!$1:$1,0)-MATCH($W$1,enemy_skill_sets!$1:$1,0)+2),MATCH(M$1,enemy_skill_sets!$1:$1,0)-MATCH($W$1,enemy_skill_sets!$1:$1,0)+2,FALSE)</f>
        <v>青パネルを吸収して2ターン防御力UP</v>
      </c>
      <c r="W28" s="119">
        <v>15031019</v>
      </c>
      <c r="X28" s="126">
        <v>1</v>
      </c>
      <c r="Y28" s="126">
        <v>100</v>
      </c>
      <c r="Z28" s="126">
        <v>1</v>
      </c>
      <c r="AA28" s="123">
        <v>2</v>
      </c>
      <c r="AB28" s="127">
        <f t="shared" ref="AB28:AB40" si="73">L28</f>
        <v>587</v>
      </c>
      <c r="AC28" s="119" t="str">
        <f ca="1">VLOOKUP($AB28,OFFSET([4]characters!$A$1,0,0,COUNTA([4]characters!$A:$A),MATCH(AC$1,[4]characters!$1:$1,0)-MATCH("character_id",[4]characters!$1:$1,0)+1),MATCH(AC$1,[4]characters!$1:$1,0)-MATCH("character_id",[4]characters!$1:$1,0)+1,FALSE)</f>
        <v>原初の煉鋼巨刃 ユミル</v>
      </c>
      <c r="AD28" s="119">
        <f ca="1">VLOOKUP($AB28,OFFSET([4]characters!$A$1,0,0,COUNTA([4]characters!$A:$A),MATCH(AD$1,[4]characters!$1:$1,0)-MATCH("character_id",[4]characters!$1:$1,0)+1),MATCH(AD$1,[4]characters!$1:$1,0)-MATCH("character_id",[4]characters!$1:$1,0)+1,FALSE)</f>
        <v>5</v>
      </c>
      <c r="AE28" s="119" t="str">
        <f ca="1">VLOOKUP($AB28,OFFSET([4]characters!$A$1,0,0,COUNTA([4]characters!$A:$A),MATCH(AE$1,[4]characters!$1:$1,0)-MATCH("character_id",[4]characters!$1:$1,0)+1),MATCH(AE$1,[4]characters!$1:$1,0)-MATCH("character_id",[4]characters!$1:$1,0)+1,FALSE)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28" s="128">
        <v>1</v>
      </c>
      <c r="AG28" s="127">
        <f t="shared" ref="AG28:AG40" ca="1" si="74">AD28</f>
        <v>5</v>
      </c>
      <c r="AH28" s="129">
        <v>0</v>
      </c>
      <c r="AI28" s="128">
        <v>0</v>
      </c>
      <c r="AJ28" s="128">
        <v>0</v>
      </c>
      <c r="AK28" s="128">
        <v>0</v>
      </c>
      <c r="AL28" s="128">
        <v>0</v>
      </c>
      <c r="AM28" s="128">
        <v>1</v>
      </c>
      <c r="AN28" s="130">
        <v>1</v>
      </c>
    </row>
    <row r="29" spans="1:40" ht="21" customHeight="1" x14ac:dyDescent="0.15">
      <c r="A29" s="15" t="str">
        <f t="shared" ca="1" si="10"/>
        <v>15031_3-1/371&lt;lv58&gt;s2</v>
      </c>
      <c r="B29" s="95">
        <v>15031</v>
      </c>
      <c r="C29" s="131">
        <v>3</v>
      </c>
      <c r="D29" s="104" t="str">
        <f t="shared" si="11"/>
        <v>15031_3</v>
      </c>
      <c r="E29" s="4" t="str">
        <f ca="1">VLOOKUP($B29,OFFSET([2]quests!$A$1,0,0,COUNTA([2]quests!$A:$A),MATCH(E$1,[2]quests!$1:$1,0)-MATCH($B$1,[2]quests!$1:$1,0)+1),MATCH(E$1,[2]quests!$1:$1,0)-MATCH($B$1,[2]quests!$1:$1,0)+1,FALSE)</f>
        <v>31. 桜花乱城</v>
      </c>
      <c r="F29" s="4" t="str">
        <f ca="1">VLOOKUP($D29,OFFSET([2]stages!$A$1,0,0,COUNTA([2]stages!$A:$A),MATCH(F$1,[2]stages!$2:$2,0)-MATCH($D$1,[2]stages!$2:$2,0)+1),MATCH(F$1,[2]stages!$2:$2,0)-MATCH($D$1,[2]stages!$2:$2,0)+1,FALSE)</f>
        <v>31-3. 神域の試練</v>
      </c>
      <c r="G29" s="105">
        <v>1</v>
      </c>
      <c r="H29" s="104" t="str">
        <f t="shared" si="72"/>
        <v>15031_3-1</v>
      </c>
      <c r="I29" s="4">
        <f ca="1">VLOOKUP($H29,OFFSET(floors!$A$1,0,0,COUNTA(floors!$A:$A),MATCH(I$1,floors!$1:$1,0)-MATCH($H$1,floors!$1:$1,0)+1),MATCH(I$1,floors!$1:$1,0)-MATCH($H$1,floors!$1:$1,0)+1,FALSE)</f>
        <v>60</v>
      </c>
      <c r="J29" s="4">
        <f ca="1">VLOOKUP($H29,OFFSET(floors!$A$1,0,0,COUNTA(floors!$A:$A),MATCH(J$1,floors!$1:$1,0)-MATCH($H$1,floors!$1:$1,0)+1),MATCH(J$1,floors!$1:$1,0)-MATCH($H$1,floors!$1:$1,0)+1,FALSE)</f>
        <v>60</v>
      </c>
      <c r="K29" s="106" t="s">
        <v>209</v>
      </c>
      <c r="L29" s="147">
        <v>371</v>
      </c>
      <c r="M29" s="16" t="str">
        <f ca="1">VLOOKUP($L29,OFFSET([3]enemies!$A$1,0,0,COUNTA([3]enemies!$A:$A),MATCH(M$1,[3]enemies!$1:$1,0)-MATCH($L$1,[3]enemies!$1:$1,0)+1),MATCH(M$1,[3]enemies!$1:$1,0)-MATCH($L$1,[3]enemies!$1:$1,0)+1,FALSE)</f>
        <v>行灯達磨 タイチ</v>
      </c>
      <c r="N29" s="16" t="str">
        <f ca="1">VLOOKUP($L29,OFFSET([3]enemies!$A$1,0,0,COUNTA([3]enemies!$A:$A),MATCH(N$1,[3]enemies!$1:$1,0)-MATCH($L$1,[3]enemies!$1:$1,0)+1),MATCH(N$1,[3]enemies!$1:$1,0)-MATCH($L$1,[3]enemies!$1:$1,0)+1,FALSE)</f>
        <v>red</v>
      </c>
      <c r="O29" s="16" t="str">
        <f ca="1">VLOOKUP($L29,OFFSET([4]characters!$A$1,0,0,COUNTA([4]characters!$A:$A),MATCH(O$1,[4]characters!$1:$1,0)-MATCH($L$1,[4]characters!$1:$1,0)+1),MATCH(O$1,[4]characters!$1:$1,0)-MATCH($L$1,[4]characters!$1:$1,0)+1,FALSE)</f>
        <v>Drop1S</v>
      </c>
      <c r="P29" s="16" t="str">
        <f ca="1">VLOOKUP($L29,OFFSET([3]enemies!$A$1,0,0,COUNTA([3]enemies!$A:$A),MATCH(P$1,[3]enemies!$1:$1,0)-MATCH($L$1,[3]enemies!$1:$1,0)+1),MATCH(P$1,[3]enemies!$1:$1,0)-MATCH($L$1,[3]enemies!$1:$1,0)+1,FALSE)</f>
        <v>unknown</v>
      </c>
      <c r="Q29" s="16">
        <f ca="1">VLOOKUP($L29,OFFSET([3]enemies!$A$1,0,0,COUNTA([3]enemies!$A:$A),MATCH(Q$1,[3]enemies!$1:$1,0)-MATCH($L$1,[3]enemies!$1:$1,0)+1),MATCH(Q$1,[3]enemies!$1:$1,0)-MATCH($L$1,[3]enemies!$1:$1,0)+1,FALSE)</f>
        <v>20</v>
      </c>
      <c r="R29" s="108">
        <v>58</v>
      </c>
      <c r="S29" s="109">
        <v>1.7</v>
      </c>
      <c r="T29" s="109">
        <v>0.8</v>
      </c>
      <c r="U29" s="108">
        <v>0</v>
      </c>
      <c r="V29" s="4" t="str">
        <f ca="1">VLOOKUP($W29,OFFSET(enemy_skill_sets!$B$1,0,0,COUNTA(enemy_skill_sets!$B:$B),MATCH(M$1,enemy_skill_sets!$1:$1,0)-MATCH($W$1,enemy_skill_sets!$1:$1,0)+2),MATCH(M$1,enemy_skill_sets!$1:$1,0)-MATCH($W$1,enemy_skill_sets!$1:$1,0)+2,FALSE)</f>
        <v>青パネル吸収攻撃</v>
      </c>
      <c r="W29" s="4">
        <v>15031021</v>
      </c>
      <c r="X29" s="110">
        <v>0</v>
      </c>
      <c r="Y29" s="110">
        <v>100</v>
      </c>
      <c r="Z29" s="110">
        <v>0</v>
      </c>
      <c r="AA29" s="16">
        <f ca="1">VLOOKUP($L29,OFFSET([3]enemies!$A$1,0,0,COUNTA([3]enemies!$A:$A),MATCH(AA$1,[3]enemies!$1:$1,0)-MATCH($L$1,[3]enemies!$1:$1,0)+1),MATCH(AA$1,[3]enemies!$1:$1,0)-MATCH($L$1,[3]enemies!$1:$1,0)+1,FALSE)</f>
        <v>2</v>
      </c>
      <c r="AB29" s="111">
        <f t="shared" si="73"/>
        <v>371</v>
      </c>
      <c r="AC29" s="4" t="str">
        <f ca="1">VLOOKUP($AB29,OFFSET([4]characters!$A$1,0,0,COUNTA([4]characters!$A:$A),MATCH(AC$1,[4]characters!$1:$1,0)-MATCH("character_id",[4]characters!$1:$1,0)+1),MATCH(AC$1,[4]characters!$1:$1,0)-MATCH("character_id",[4]characters!$1:$1,0)+1,FALSE)</f>
        <v>行灯達磨 タイチ</v>
      </c>
      <c r="AD29" s="4">
        <f ca="1">VLOOKUP($AB29,OFFSET([4]characters!$A$1,0,0,COUNTA([4]characters!$A:$A),MATCH(AD$1,[4]characters!$1:$1,0)-MATCH("character_id",[4]characters!$1:$1,0)+1),MATCH(AD$1,[4]characters!$1:$1,0)-MATCH("character_id",[4]characters!$1:$1,0)+1,FALSE)</f>
        <v>3</v>
      </c>
      <c r="AE29" s="4" t="str">
        <f ca="1">VLOOKUP($AB29,OFFSET([4]characters!$A$1,0,0,COUNTA([4]characters!$A:$A),MATCH(AE$1,[4]characters!$1:$1,0)-MATCH("character_id",[4]characters!$1:$1,0)+1),MATCH(AE$1,[4]characters!$1:$1,0)-MATCH("character_id",[4]characters!$1:$1,0)+1,FALSE)</f>
        <v>Drop1S</v>
      </c>
      <c r="AF29" s="112">
        <v>1</v>
      </c>
      <c r="AG29" s="111">
        <f t="shared" ca="1" si="74"/>
        <v>3</v>
      </c>
      <c r="AH29" s="113">
        <v>0</v>
      </c>
      <c r="AI29" s="112">
        <v>0</v>
      </c>
      <c r="AJ29" s="112">
        <v>0</v>
      </c>
      <c r="AK29" s="112">
        <v>0</v>
      </c>
      <c r="AL29" s="112">
        <v>0</v>
      </c>
      <c r="AM29" s="112">
        <v>1</v>
      </c>
      <c r="AN29" s="114">
        <v>1</v>
      </c>
    </row>
    <row r="30" spans="1:40" ht="21" customHeight="1" x14ac:dyDescent="0.15">
      <c r="A30" s="15" t="str">
        <f t="shared" si="10"/>
        <v>15031_3-1/56&lt;lv58&gt;s2</v>
      </c>
      <c r="B30" s="95">
        <v>15031</v>
      </c>
      <c r="C30" s="98">
        <v>3</v>
      </c>
      <c r="D30" s="2" t="str">
        <f t="shared" si="11"/>
        <v>15031_3</v>
      </c>
      <c r="E30" s="4" t="str">
        <f ca="1">VLOOKUP($B30,OFFSET([2]quests!$A$1,0,0,COUNTA([2]quests!$A:$A),MATCH(E$1,[2]quests!$1:$1,0)-MATCH($B$1,[2]quests!$1:$1,0)+1),MATCH(E$1,[2]quests!$1:$1,0)-MATCH($B$1,[2]quests!$1:$1,0)+1,FALSE)</f>
        <v>31. 桜花乱城</v>
      </c>
      <c r="F30" s="4" t="str">
        <f ca="1">VLOOKUP($D30,OFFSET([2]stages!$A$1,0,0,COUNTA([2]stages!$A:$A),MATCH(F$1,[2]stages!$2:$2,0)-MATCH($D$1,[2]stages!$2:$2,0)+1),MATCH(F$1,[2]stages!$2:$2,0)-MATCH($D$1,[2]stages!$2:$2,0)+1,FALSE)</f>
        <v>31-3. 神域の試練</v>
      </c>
      <c r="G30" s="105">
        <v>1</v>
      </c>
      <c r="H30" s="104" t="str">
        <f t="shared" si="72"/>
        <v>15031_3-1</v>
      </c>
      <c r="I30" s="4">
        <f ca="1">VLOOKUP($H30,OFFSET(floors!$A$1,0,0,COUNTA(floors!$A:$A),MATCH(I$1,floors!$1:$1,0)-MATCH($H$1,floors!$1:$1,0)+1),MATCH(I$1,floors!$1:$1,0)-MATCH($H$1,floors!$1:$1,0)+1,FALSE)</f>
        <v>60</v>
      </c>
      <c r="J30" s="4">
        <f ca="1">VLOOKUP($H30,OFFSET(floors!$A$1,0,0,COUNTA(floors!$A:$A),MATCH(J$1,floors!$1:$1,0)-MATCH($H$1,floors!$1:$1,0)+1),MATCH(J$1,floors!$1:$1,0)-MATCH($H$1,floors!$1:$1,0)+1,FALSE)</f>
        <v>60</v>
      </c>
      <c r="K30" s="106" t="s">
        <v>209</v>
      </c>
      <c r="L30" s="107">
        <v>56</v>
      </c>
      <c r="M30" s="16" t="str">
        <f ca="1">VLOOKUP($L30,OFFSET([3]enemies!$A$1,0,0,COUNTA([3]enemies!$A:$A),MATCH(M$1,[3]enemies!$1:$1,0)-MATCH($L$1,[3]enemies!$1:$1,0)+1),MATCH(M$1,[3]enemies!$1:$1,0)-MATCH($L$1,[3]enemies!$1:$1,0)+1,FALSE)</f>
        <v>黄槌のレジスタンス マミコ</v>
      </c>
      <c r="N30" s="16" t="str">
        <f ca="1">VLOOKUP($L30,OFFSET([3]enemies!$A$1,0,0,COUNTA([3]enemies!$A:$A),MATCH(N$1,[3]enemies!$1:$1,0)-MATCH($L$1,[3]enemies!$1:$1,0)+1),MATCH(N$1,[3]enemies!$1:$1,0)-MATCH($L$1,[3]enemies!$1:$1,0)+1,FALSE)</f>
        <v>yellow</v>
      </c>
      <c r="O30" s="16" t="str">
        <f ca="1">VLOOKUP($L30,OFFSET([4]characters!$A$1,0,0,COUNTA([4]characters!$A:$A),MATCH(O$1,[4]characters!$1:$1,0)-MATCH($L$1,[4]characters!$1:$1,0)+1),MATCH(O$1,[4]characters!$1:$1,0)-MATCH($L$1,[4]characters!$1:$1,0)+1,FALSE)</f>
        <v>Drop1N</v>
      </c>
      <c r="P30" s="16" t="str">
        <f ca="1">VLOOKUP($L30,OFFSET([3]enemies!$A$1,0,0,COUNTA([3]enemies!$A:$A),MATCH(P$1,[3]enemies!$1:$1,0)-MATCH($L$1,[3]enemies!$1:$1,0)+1),MATCH(P$1,[3]enemies!$1:$1,0)-MATCH($L$1,[3]enemies!$1:$1,0)+1,FALSE)</f>
        <v>human</v>
      </c>
      <c r="Q30" s="16">
        <f ca="1">VLOOKUP($L30,OFFSET([3]enemies!$A$1,0,0,COUNTA([3]enemies!$A:$A),MATCH(Q$1,[3]enemies!$1:$1,0)-MATCH($L$1,[3]enemies!$1:$1,0)+1),MATCH(Q$1,[3]enemies!$1:$1,0)-MATCH($L$1,[3]enemies!$1:$1,0)+1,FALSE)</f>
        <v>20</v>
      </c>
      <c r="R30" s="108">
        <v>58</v>
      </c>
      <c r="S30" s="109">
        <v>1.8</v>
      </c>
      <c r="T30" s="109">
        <v>0.8</v>
      </c>
      <c r="U30" s="108">
        <v>0</v>
      </c>
      <c r="V30" s="4" t="str">
        <f ca="1">VLOOKUP($W30,OFFSET(enemy_skill_sets!$B$1,0,0,COUNTA(enemy_skill_sets!$B:$B),MATCH(M$1,enemy_skill_sets!$1:$1,0)-MATCH($W$1,enemy_skill_sets!$1:$1,0)+2),MATCH(M$1,enemy_skill_sets!$1:$1,0)-MATCH($W$1,enemy_skill_sets!$1:$1,0)+2,FALSE)</f>
        <v>全体攻撃</v>
      </c>
      <c r="W30" s="4">
        <v>15031022</v>
      </c>
      <c r="X30" s="110">
        <v>1</v>
      </c>
      <c r="Y30" s="110">
        <v>100</v>
      </c>
      <c r="Z30" s="110">
        <v>2</v>
      </c>
      <c r="AA30" s="16">
        <v>2</v>
      </c>
      <c r="AB30" s="111">
        <f t="shared" si="73"/>
        <v>56</v>
      </c>
      <c r="AC30" s="4" t="str">
        <f ca="1">VLOOKUP($AB30,OFFSET([4]characters!$A$1,0,0,COUNTA([4]characters!$A:$A),MATCH(AC$1,[4]characters!$1:$1,0)-MATCH("character_id",[4]characters!$1:$1,0)+1),MATCH(AC$1,[4]characters!$1:$1,0)-MATCH("character_id",[4]characters!$1:$1,0)+1,FALSE)</f>
        <v>黄槌のレジスタンス マミコ</v>
      </c>
      <c r="AD30" s="4">
        <f ca="1">VLOOKUP($AB30,OFFSET([4]characters!$A$1,0,0,COUNTA([4]characters!$A:$A),MATCH(AD$1,[4]characters!$1:$1,0)-MATCH("character_id",[4]characters!$1:$1,0)+1),MATCH(AD$1,[4]characters!$1:$1,0)-MATCH("character_id",[4]characters!$1:$1,0)+1,FALSE)</f>
        <v>3</v>
      </c>
      <c r="AE30" s="4" t="str">
        <f ca="1">VLOOKUP($AB30,OFFSET([4]characters!$A$1,0,0,COUNTA([4]characters!$A:$A),MATCH(AE$1,[4]characters!$1:$1,0)-MATCH("character_id",[4]characters!$1:$1,0)+1),MATCH(AE$1,[4]characters!$1:$1,0)-MATCH("character_id",[4]characters!$1:$1,0)+1,FALSE)</f>
        <v>Drop1N</v>
      </c>
      <c r="AF30" s="112">
        <v>1</v>
      </c>
      <c r="AG30" s="111">
        <f t="shared" ca="1" si="74"/>
        <v>3</v>
      </c>
      <c r="AH30" s="113">
        <v>0</v>
      </c>
      <c r="AI30" s="112">
        <v>0</v>
      </c>
      <c r="AJ30" s="112">
        <v>0</v>
      </c>
      <c r="AK30" s="112">
        <v>0</v>
      </c>
      <c r="AL30" s="112">
        <v>0</v>
      </c>
      <c r="AM30" s="112">
        <v>1</v>
      </c>
      <c r="AN30" s="114">
        <v>1</v>
      </c>
    </row>
    <row r="31" spans="1:40" ht="21" customHeight="1" x14ac:dyDescent="0.15">
      <c r="A31" s="15" t="str">
        <f t="shared" ref="A31:A32" ca="1" si="75">B31&amp;"_"&amp;C31&amp;"-"&amp;G31&amp;"/"&amp;L31&amp;"&lt;lv"&amp;R31&amp;"&gt;s"&amp;AA31</f>
        <v>15031_3-1/350&lt;lv58&gt;s3</v>
      </c>
      <c r="B31" s="95">
        <v>15031</v>
      </c>
      <c r="C31" s="98">
        <v>3</v>
      </c>
      <c r="D31" s="2" t="str">
        <f t="shared" ref="D31:D32" si="76">B31&amp;"_"&amp;C31</f>
        <v>15031_3</v>
      </c>
      <c r="E31" s="4" t="str">
        <f ca="1">VLOOKUP($B31,OFFSET([2]quests!$A$1,0,0,COUNTA([2]quests!$A:$A),MATCH(E$1,[2]quests!$1:$1,0)-MATCH($B$1,[2]quests!$1:$1,0)+1),MATCH(E$1,[2]quests!$1:$1,0)-MATCH($B$1,[2]quests!$1:$1,0)+1,FALSE)</f>
        <v>31. 桜花乱城</v>
      </c>
      <c r="F31" s="4" t="str">
        <f ca="1">VLOOKUP($D31,OFFSET([2]stages!$A$1,0,0,COUNTA([2]stages!$A:$A),MATCH(F$1,[2]stages!$2:$2,0)-MATCH($D$1,[2]stages!$2:$2,0)+1),MATCH(F$1,[2]stages!$2:$2,0)-MATCH($D$1,[2]stages!$2:$2,0)+1,FALSE)</f>
        <v>31-3. 神域の試練</v>
      </c>
      <c r="G31" s="105">
        <v>1</v>
      </c>
      <c r="H31" s="104" t="str">
        <f t="shared" ref="H31:H32" si="77">B31&amp;"_"&amp;C31&amp;"-"&amp;G31</f>
        <v>15031_3-1</v>
      </c>
      <c r="I31" s="4">
        <f ca="1">VLOOKUP($H31,OFFSET(floors!$A$1,0,0,COUNTA(floors!$A:$A),MATCH(I$1,floors!$1:$1,0)-MATCH($H$1,floors!$1:$1,0)+1),MATCH(I$1,floors!$1:$1,0)-MATCH($H$1,floors!$1:$1,0)+1,FALSE)</f>
        <v>60</v>
      </c>
      <c r="J31" s="4">
        <f ca="1">VLOOKUP($H31,OFFSET(floors!$A$1,0,0,COUNTA(floors!$A:$A),MATCH(J$1,floors!$1:$1,0)-MATCH($H$1,floors!$1:$1,0)+1),MATCH(J$1,floors!$1:$1,0)-MATCH($H$1,floors!$1:$1,0)+1,FALSE)</f>
        <v>60</v>
      </c>
      <c r="K31" s="106" t="s">
        <v>88</v>
      </c>
      <c r="L31" s="94">
        <v>350</v>
      </c>
      <c r="M31" s="16" t="str">
        <f ca="1">VLOOKUP($L31,OFFSET([3]enemies!$A$1,0,0,COUNTA([3]enemies!$A:$A),MATCH(M$1,[3]enemies!$1:$1,0)-MATCH($L$1,[3]enemies!$1:$1,0)+1),MATCH(M$1,[3]enemies!$1:$1,0)-MATCH($L$1,[3]enemies!$1:$1,0)+1,FALSE)</f>
        <v>森のケロケロ</v>
      </c>
      <c r="N31" s="16" t="str">
        <f ca="1">VLOOKUP($L31,OFFSET([3]enemies!$A$1,0,0,COUNTA([3]enemies!$A:$A),MATCH(N$1,[3]enemies!$1:$1,0)-MATCH($L$1,[3]enemies!$1:$1,0)+1),MATCH(N$1,[3]enemies!$1:$1,0)-MATCH($L$1,[3]enemies!$1:$1,0)+1,FALSE)</f>
        <v>green</v>
      </c>
      <c r="O31" s="16" t="str">
        <f ca="1">VLOOKUP($L31,OFFSET([4]characters!$A$1,0,0,COUNTA([4]characters!$A:$A),MATCH(O$1,[4]characters!$1:$1,0)-MATCH($L$1,[4]characters!$1:$1,0)+1),MATCH(O$1,[4]characters!$1:$1,0)-MATCH($L$1,[4]characters!$1:$1,0)+1,FALSE)</f>
        <v>Material</v>
      </c>
      <c r="P31" s="16" t="str">
        <f ca="1">VLOOKUP($L31,OFFSET([3]enemies!$A$1,0,0,COUNTA([3]enemies!$A:$A),MATCH(P$1,[3]enemies!$1:$1,0)-MATCH($L$1,[3]enemies!$1:$1,0)+1),MATCH(P$1,[3]enemies!$1:$1,0)-MATCH($L$1,[3]enemies!$1:$1,0)+1,FALSE)</f>
        <v>unknown</v>
      </c>
      <c r="Q31" s="16">
        <f ca="1">VLOOKUP($L31,OFFSET([3]enemies!$A$1,0,0,COUNTA([3]enemies!$A:$A),MATCH(Q$1,[3]enemies!$1:$1,0)-MATCH($L$1,[3]enemies!$1:$1,0)+1),MATCH(Q$1,[3]enemies!$1:$1,0)-MATCH($L$1,[3]enemies!$1:$1,0)+1,FALSE)</f>
        <v>15</v>
      </c>
      <c r="R31" s="108">
        <v>58</v>
      </c>
      <c r="S31" s="109">
        <v>1.8</v>
      </c>
      <c r="T31" s="109">
        <v>0.8</v>
      </c>
      <c r="U31" s="108">
        <v>0</v>
      </c>
      <c r="V31" s="4" t="e">
        <f ca="1">VLOOKUP($W31,OFFSET(enemy_skill_sets!$B$1,0,0,COUNTA(enemy_skill_sets!$B:$B),MATCH(M$1,enemy_skill_sets!$1:$1,0)-MATCH($W$1,enemy_skill_sets!$1:$1,0)+2),MATCH(M$1,enemy_skill_sets!$1:$1,0)-MATCH($W$1,enemy_skill_sets!$1:$1,0)+2,FALSE)</f>
        <v>#N/A</v>
      </c>
      <c r="W31" s="4">
        <v>520005</v>
      </c>
      <c r="X31" s="110">
        <v>0</v>
      </c>
      <c r="Y31" s="110">
        <v>5</v>
      </c>
      <c r="Z31" s="110">
        <v>1</v>
      </c>
      <c r="AA31" s="16">
        <f ca="1">VLOOKUP($L31,OFFSET([3]enemies!$A$1,0,0,COUNTA([3]enemies!$A:$A),MATCH(AA$1,[3]enemies!$1:$1,0)-MATCH($L$1,[3]enemies!$1:$1,0)+1),MATCH(AA$1,[3]enemies!$1:$1,0)-MATCH($L$1,[3]enemies!$1:$1,0)+1,FALSE)</f>
        <v>3</v>
      </c>
      <c r="AB31" s="111">
        <f t="shared" ref="AB31:AB32" si="78">L31</f>
        <v>350</v>
      </c>
      <c r="AC31" s="4" t="str">
        <f ca="1">VLOOKUP($AB31,OFFSET([4]characters!$A$1,0,0,COUNTA([4]characters!$A:$A),MATCH(AC$1,[4]characters!$1:$1,0)-MATCH("character_id",[4]characters!$1:$1,0)+1),MATCH(AC$1,[4]characters!$1:$1,0)-MATCH("character_id",[4]characters!$1:$1,0)+1,FALSE)</f>
        <v>森のケロケロ</v>
      </c>
      <c r="AD31" s="4">
        <f ca="1">VLOOKUP($AB31,OFFSET([4]characters!$A$1,0,0,COUNTA([4]characters!$A:$A),MATCH(AD$1,[4]characters!$1:$1,0)-MATCH("character_id",[4]characters!$1:$1,0)+1),MATCH(AD$1,[4]characters!$1:$1,0)-MATCH("character_id",[4]characters!$1:$1,0)+1,FALSE)</f>
        <v>5</v>
      </c>
      <c r="AE31" s="4" t="str">
        <f ca="1">VLOOKUP($AB31,OFFSET([4]characters!$A$1,0,0,COUNTA([4]characters!$A:$A),MATCH(AE$1,[4]characters!$1:$1,0)-MATCH("character_id",[4]characters!$1:$1,0)+1),MATCH(AE$1,[4]characters!$1:$1,0)-MATCH("character_id",[4]characters!$1:$1,0)+1,FALSE)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1" s="7">
        <v>10</v>
      </c>
      <c r="AG31" s="111">
        <f t="shared" ref="AG31:AG32" ca="1" si="79">AD31</f>
        <v>5</v>
      </c>
      <c r="AH31" s="113">
        <v>20</v>
      </c>
      <c r="AI31" s="112">
        <v>0</v>
      </c>
      <c r="AJ31" s="112">
        <v>0</v>
      </c>
      <c r="AK31" s="112">
        <v>0</v>
      </c>
      <c r="AL31" s="112">
        <v>0</v>
      </c>
      <c r="AM31" s="112">
        <v>1</v>
      </c>
      <c r="AN31" s="114">
        <v>1</v>
      </c>
    </row>
    <row r="32" spans="1:40" ht="21" customHeight="1" x14ac:dyDescent="0.15">
      <c r="A32" s="15" t="str">
        <f t="shared" ca="1" si="75"/>
        <v>15031_3-1/348&lt;lv58&gt;s3</v>
      </c>
      <c r="B32" s="95">
        <v>15031</v>
      </c>
      <c r="C32" s="98">
        <v>3</v>
      </c>
      <c r="D32" s="2" t="str">
        <f t="shared" si="76"/>
        <v>15031_3</v>
      </c>
      <c r="E32" s="4" t="str">
        <f ca="1">VLOOKUP($B32,OFFSET([2]quests!$A$1,0,0,COUNTA([2]quests!$A:$A),MATCH(E$1,[2]quests!$1:$1,0)-MATCH($B$1,[2]quests!$1:$1,0)+1),MATCH(E$1,[2]quests!$1:$1,0)-MATCH($B$1,[2]quests!$1:$1,0)+1,FALSE)</f>
        <v>31. 桜花乱城</v>
      </c>
      <c r="F32" s="4" t="str">
        <f ca="1">VLOOKUP($D32,OFFSET([2]stages!$A$1,0,0,COUNTA([2]stages!$A:$A),MATCH(F$1,[2]stages!$2:$2,0)-MATCH($D$1,[2]stages!$2:$2,0)+1),MATCH(F$1,[2]stages!$2:$2,0)-MATCH($D$1,[2]stages!$2:$2,0)+1,FALSE)</f>
        <v>31-3. 神域の試練</v>
      </c>
      <c r="G32" s="105">
        <v>1</v>
      </c>
      <c r="H32" s="104" t="str">
        <f t="shared" si="77"/>
        <v>15031_3-1</v>
      </c>
      <c r="I32" s="4">
        <f ca="1">VLOOKUP($H32,OFFSET(floors!$A$1,0,0,COUNTA(floors!$A:$A),MATCH(I$1,floors!$1:$1,0)-MATCH($H$1,floors!$1:$1,0)+1),MATCH(I$1,floors!$1:$1,0)-MATCH($H$1,floors!$1:$1,0)+1,FALSE)</f>
        <v>60</v>
      </c>
      <c r="J32" s="4">
        <f ca="1">VLOOKUP($H32,OFFSET(floors!$A$1,0,0,COUNTA(floors!$A:$A),MATCH(J$1,floors!$1:$1,0)-MATCH($H$1,floors!$1:$1,0)+1),MATCH(J$1,floors!$1:$1,0)-MATCH($H$1,floors!$1:$1,0)+1,FALSE)</f>
        <v>60</v>
      </c>
      <c r="K32" s="106" t="s">
        <v>88</v>
      </c>
      <c r="L32" s="100">
        <v>348</v>
      </c>
      <c r="M32" s="16" t="str">
        <f ca="1">VLOOKUP($L32,OFFSET([3]enemies!$A$1,0,0,COUNTA([3]enemies!$A:$A),MATCH(M$1,[3]enemies!$1:$1,0)-MATCH($L$1,[3]enemies!$1:$1,0)+1),MATCH(M$1,[3]enemies!$1:$1,0)-MATCH($L$1,[3]enemies!$1:$1,0)+1,FALSE)</f>
        <v>炎のケロケロ</v>
      </c>
      <c r="N32" s="16" t="str">
        <f ca="1">VLOOKUP($L32,OFFSET([3]enemies!$A$1,0,0,COUNTA([3]enemies!$A:$A),MATCH(N$1,[3]enemies!$1:$1,0)-MATCH($L$1,[3]enemies!$1:$1,0)+1),MATCH(N$1,[3]enemies!$1:$1,0)-MATCH($L$1,[3]enemies!$1:$1,0)+1,FALSE)</f>
        <v>red</v>
      </c>
      <c r="O32" s="16" t="str">
        <f ca="1">VLOOKUP($L32,OFFSET([4]characters!$A$1,0,0,COUNTA([4]characters!$A:$A),MATCH(O$1,[4]characters!$1:$1,0)-MATCH($L$1,[4]characters!$1:$1,0)+1),MATCH(O$1,[4]characters!$1:$1,0)-MATCH($L$1,[4]characters!$1:$1,0)+1,FALSE)</f>
        <v>Material</v>
      </c>
      <c r="P32" s="16" t="str">
        <f ca="1">VLOOKUP($L32,OFFSET([3]enemies!$A$1,0,0,COUNTA([3]enemies!$A:$A),MATCH(P$1,[3]enemies!$1:$1,0)-MATCH($L$1,[3]enemies!$1:$1,0)+1),MATCH(P$1,[3]enemies!$1:$1,0)-MATCH($L$1,[3]enemies!$1:$1,0)+1,FALSE)</f>
        <v>unknown</v>
      </c>
      <c r="Q32" s="16">
        <f ca="1">VLOOKUP($L32,OFFSET([3]enemies!$A$1,0,0,COUNTA([3]enemies!$A:$A),MATCH(Q$1,[3]enemies!$1:$1,0)-MATCH($L$1,[3]enemies!$1:$1,0)+1),MATCH(Q$1,[3]enemies!$1:$1,0)-MATCH($L$1,[3]enemies!$1:$1,0)+1,FALSE)</f>
        <v>15</v>
      </c>
      <c r="R32" s="108">
        <v>58</v>
      </c>
      <c r="S32" s="109">
        <v>1.8</v>
      </c>
      <c r="T32" s="109">
        <v>0.8</v>
      </c>
      <c r="U32" s="108">
        <v>0</v>
      </c>
      <c r="V32" s="4" t="e">
        <f ca="1">VLOOKUP($W32,OFFSET(enemy_skill_sets!$B$1,0,0,COUNTA(enemy_skill_sets!$B:$B),MATCH(M$1,enemy_skill_sets!$1:$1,0)-MATCH($W$1,enemy_skill_sets!$1:$1,0)+2),MATCH(M$1,enemy_skill_sets!$1:$1,0)-MATCH($W$1,enemy_skill_sets!$1:$1,0)+2,FALSE)</f>
        <v>#N/A</v>
      </c>
      <c r="W32" s="4">
        <v>520004</v>
      </c>
      <c r="X32" s="110">
        <v>0</v>
      </c>
      <c r="Y32" s="110">
        <v>5</v>
      </c>
      <c r="Z32" s="110">
        <v>1</v>
      </c>
      <c r="AA32" s="16">
        <f ca="1">VLOOKUP($L32,OFFSET([3]enemies!$A$1,0,0,COUNTA([3]enemies!$A:$A),MATCH(AA$1,[3]enemies!$1:$1,0)-MATCH($L$1,[3]enemies!$1:$1,0)+1),MATCH(AA$1,[3]enemies!$1:$1,0)-MATCH($L$1,[3]enemies!$1:$1,0)+1,FALSE)</f>
        <v>3</v>
      </c>
      <c r="AB32" s="111">
        <f t="shared" si="78"/>
        <v>348</v>
      </c>
      <c r="AC32" s="4" t="str">
        <f ca="1">VLOOKUP($AB32,OFFSET([4]characters!$A$1,0,0,COUNTA([4]characters!$A:$A),MATCH(AC$1,[4]characters!$1:$1,0)-MATCH("character_id",[4]characters!$1:$1,0)+1),MATCH(AC$1,[4]characters!$1:$1,0)-MATCH("character_id",[4]characters!$1:$1,0)+1,FALSE)</f>
        <v>炎のケロケロ</v>
      </c>
      <c r="AD32" s="4">
        <f ca="1">VLOOKUP($AB32,OFFSET([4]characters!$A$1,0,0,COUNTA([4]characters!$A:$A),MATCH(AD$1,[4]characters!$1:$1,0)-MATCH("character_id",[4]characters!$1:$1,0)+1),MATCH(AD$1,[4]characters!$1:$1,0)-MATCH("character_id",[4]characters!$1:$1,0)+1,FALSE)</f>
        <v>5</v>
      </c>
      <c r="AE32" s="4" t="str">
        <f ca="1">VLOOKUP($AB32,OFFSET([4]characters!$A$1,0,0,COUNTA([4]characters!$A:$A),MATCH(AE$1,[4]characters!$1:$1,0)-MATCH("character_id",[4]characters!$1:$1,0)+1),MATCH(AE$1,[4]characters!$1:$1,0)-MATCH("character_id",[4]characters!$1:$1,0)+1,FALSE)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2" s="7">
        <v>10</v>
      </c>
      <c r="AG32" s="111">
        <f t="shared" ca="1" si="79"/>
        <v>5</v>
      </c>
      <c r="AH32" s="113">
        <v>20</v>
      </c>
      <c r="AI32" s="112">
        <v>0</v>
      </c>
      <c r="AJ32" s="112">
        <v>0</v>
      </c>
      <c r="AK32" s="112">
        <v>0</v>
      </c>
      <c r="AL32" s="112">
        <v>0</v>
      </c>
      <c r="AM32" s="112">
        <v>1</v>
      </c>
      <c r="AN32" s="114">
        <v>1</v>
      </c>
    </row>
    <row r="33" spans="1:40" ht="21" customHeight="1" x14ac:dyDescent="0.15">
      <c r="A33" s="15" t="str">
        <f t="shared" ref="A33:A47" ca="1" si="80">B33&amp;"_"&amp;C33&amp;"-"&amp;G33&amp;"/"&amp;L33&amp;"&lt;lv"&amp;R33&amp;"&gt;s"&amp;AA33</f>
        <v>15031_3-2/372&lt;lv65&gt;s3</v>
      </c>
      <c r="B33" s="95">
        <v>15031</v>
      </c>
      <c r="C33" s="98">
        <v>3</v>
      </c>
      <c r="D33" s="2" t="str">
        <f t="shared" ref="D33:D47" si="81">B33&amp;"_"&amp;C33</f>
        <v>15031_3</v>
      </c>
      <c r="E33" s="4" t="str">
        <f ca="1">VLOOKUP($B33,OFFSET([2]quests!$A$1,0,0,COUNTA([2]quests!$A:$A),MATCH(E$1,[2]quests!$1:$1,0)-MATCH($B$1,[2]quests!$1:$1,0)+1),MATCH(E$1,[2]quests!$1:$1,0)-MATCH($B$1,[2]quests!$1:$1,0)+1,FALSE)</f>
        <v>31. 桜花乱城</v>
      </c>
      <c r="F33" s="4" t="str">
        <f ca="1">VLOOKUP($D33,OFFSET([2]stages!$A$1,0,0,COUNTA([2]stages!$A:$A),MATCH(F$1,[2]stages!$2:$2,0)-MATCH($D$1,[2]stages!$2:$2,0)+1),MATCH(F$1,[2]stages!$2:$2,0)-MATCH($D$1,[2]stages!$2:$2,0)+1,FALSE)</f>
        <v>31-3. 神域の試練</v>
      </c>
      <c r="G33" s="97">
        <v>2</v>
      </c>
      <c r="H33" s="14" t="str">
        <f t="shared" si="72"/>
        <v>15031_3-2</v>
      </c>
      <c r="I33" s="4">
        <f ca="1">VLOOKUP($H33,OFFSET(floors!$A$1,0,0,COUNTA(floors!$A:$A),MATCH(I$1,floors!$1:$1,0)-MATCH($H$1,floors!$1:$1,0)+1),MATCH(I$1,floors!$1:$1,0)-MATCH($H$1,floors!$1:$1,0)+1,FALSE)</f>
        <v>70</v>
      </c>
      <c r="J33" s="4">
        <f ca="1">VLOOKUP($H33,OFFSET(floors!$A$1,0,0,COUNTA(floors!$A:$A),MATCH(J$1,floors!$1:$1,0)-MATCH($H$1,floors!$1:$1,0)+1),MATCH(J$1,floors!$1:$1,0)-MATCH($H$1,floors!$1:$1,0)+1,FALSE)</f>
        <v>70</v>
      </c>
      <c r="K33" s="35" t="s">
        <v>209</v>
      </c>
      <c r="L33" s="148">
        <v>372</v>
      </c>
      <c r="M33" s="16" t="str">
        <f ca="1">VLOOKUP($L33,OFFSET([3]enemies!$A$1,0,0,COUNTA([3]enemies!$A:$A),MATCH(M$1,[3]enemies!$1:$1,0)-MATCH($L$1,[3]enemies!$1:$1,0)+1),MATCH(M$1,[3]enemies!$1:$1,0)-MATCH($L$1,[3]enemies!$1:$1,0)+1,FALSE)</f>
        <v>バショー</v>
      </c>
      <c r="N33" s="16" t="str">
        <f ca="1">VLOOKUP($L33,OFFSET([3]enemies!$A$1,0,0,COUNTA([3]enemies!$A:$A),MATCH(N$1,[3]enemies!$1:$1,0)-MATCH($L$1,[3]enemies!$1:$1,0)+1),MATCH(N$1,[3]enemies!$1:$1,0)-MATCH($L$1,[3]enemies!$1:$1,0)+1,FALSE)</f>
        <v>green</v>
      </c>
      <c r="O33" s="16" t="str">
        <f ca="1">VLOOKUP($L33,OFFSET([4]characters!$A$1,0,0,COUNTA([4]characters!$A:$A),MATCH(O$1,[4]characters!$1:$1,0)-MATCH($L$1,[4]characters!$1:$1,0)+1),MATCH(O$1,[4]characters!$1:$1,0)-MATCH($L$1,[4]characters!$1:$1,0)+1,FALSE)</f>
        <v>Drop1S</v>
      </c>
      <c r="P33" s="16" t="str">
        <f ca="1">VLOOKUP($L33,OFFSET([3]enemies!$A$1,0,0,COUNTA([3]enemies!$A:$A),MATCH(P$1,[3]enemies!$1:$1,0)-MATCH($L$1,[3]enemies!$1:$1,0)+1),MATCH(P$1,[3]enemies!$1:$1,0)-MATCH($L$1,[3]enemies!$1:$1,0)+1,FALSE)</f>
        <v>unknown</v>
      </c>
      <c r="Q33" s="16">
        <f ca="1">VLOOKUP($L33,OFFSET([3]enemies!$A$1,0,0,COUNTA([3]enemies!$A:$A),MATCH(Q$1,[3]enemies!$1:$1,0)-MATCH($L$1,[3]enemies!$1:$1,0)+1),MATCH(Q$1,[3]enemies!$1:$1,0)-MATCH($L$1,[3]enemies!$1:$1,0)+1,FALSE)</f>
        <v>15</v>
      </c>
      <c r="R33" s="5">
        <v>65</v>
      </c>
      <c r="S33" s="22">
        <v>1.7</v>
      </c>
      <c r="T33" s="22">
        <v>0.8</v>
      </c>
      <c r="U33" s="5">
        <v>0</v>
      </c>
      <c r="V33" s="4" t="str">
        <f ca="1">VLOOKUP($W33,OFFSET(enemy_skill_sets!$B$1,0,0,COUNTA(enemy_skill_sets!$B:$B),MATCH(M$1,enemy_skill_sets!$1:$1,0)-MATCH($W$1,enemy_skill_sets!$1:$1,0)+2),MATCH(M$1,enemy_skill_sets!$1:$1,0)-MATCH($W$1,enemy_skill_sets!$1:$1,0)+2,FALSE)</f>
        <v>4ターンハートパネルが使えない！</v>
      </c>
      <c r="W33" s="4">
        <v>15031023</v>
      </c>
      <c r="X33" s="6">
        <v>0</v>
      </c>
      <c r="Y33" s="6">
        <v>100</v>
      </c>
      <c r="Z33" s="6">
        <v>0</v>
      </c>
      <c r="AA33" s="16">
        <f ca="1">VLOOKUP($L33,OFFSET([3]enemies!$A$1,0,0,COUNTA([3]enemies!$A:$A),MATCH(AA$1,[3]enemies!$1:$1,0)-MATCH($L$1,[3]enemies!$1:$1,0)+1),MATCH(AA$1,[3]enemies!$1:$1,0)-MATCH($L$1,[3]enemies!$1:$1,0)+1,FALSE)</f>
        <v>3</v>
      </c>
      <c r="AB33" s="21">
        <f t="shared" si="73"/>
        <v>372</v>
      </c>
      <c r="AC33" s="4" t="str">
        <f ca="1">VLOOKUP($AB33,OFFSET([4]characters!$A$1,0,0,COUNTA([4]characters!$A:$A),MATCH(AC$1,[4]characters!$1:$1,0)-MATCH("character_id",[4]characters!$1:$1,0)+1),MATCH(AC$1,[4]characters!$1:$1,0)-MATCH("character_id",[4]characters!$1:$1,0)+1,FALSE)</f>
        <v>バショー</v>
      </c>
      <c r="AD33" s="4">
        <f ca="1">VLOOKUP($AB33,OFFSET([4]characters!$A$1,0,0,COUNTA([4]characters!$A:$A),MATCH(AD$1,[4]characters!$1:$1,0)-MATCH("character_id",[4]characters!$1:$1,0)+1),MATCH(AD$1,[4]characters!$1:$1,0)-MATCH("character_id",[4]characters!$1:$1,0)+1,FALSE)</f>
        <v>2</v>
      </c>
      <c r="AE33" s="4" t="str">
        <f ca="1">VLOOKUP($AB33,OFFSET([4]characters!$A$1,0,0,COUNTA([4]characters!$A:$A),MATCH(AE$1,[4]characters!$1:$1,0)-MATCH("character_id",[4]characters!$1:$1,0)+1),MATCH(AE$1,[4]characters!$1:$1,0)-MATCH("character_id",[4]characters!$1:$1,0)+1,FALSE)</f>
        <v>Drop1S</v>
      </c>
      <c r="AF33" s="7">
        <v>1</v>
      </c>
      <c r="AG33" s="21">
        <f t="shared" ca="1" si="74"/>
        <v>2</v>
      </c>
      <c r="AH33" s="8">
        <v>20</v>
      </c>
      <c r="AI33" s="93">
        <v>0</v>
      </c>
      <c r="AJ33" s="93">
        <v>0</v>
      </c>
      <c r="AK33" s="93">
        <v>0</v>
      </c>
      <c r="AL33" s="93">
        <v>0</v>
      </c>
      <c r="AM33" s="93">
        <v>1</v>
      </c>
      <c r="AN33" s="66">
        <v>1</v>
      </c>
    </row>
    <row r="34" spans="1:40" ht="21" customHeight="1" x14ac:dyDescent="0.15">
      <c r="A34" s="15" t="str">
        <f t="shared" ca="1" si="80"/>
        <v>15031_3-2/139&lt;lv58&gt;s2</v>
      </c>
      <c r="B34" s="95">
        <v>15031</v>
      </c>
      <c r="C34" s="98">
        <v>3</v>
      </c>
      <c r="D34" s="2" t="str">
        <f t="shared" si="81"/>
        <v>15031_3</v>
      </c>
      <c r="E34" s="4" t="str">
        <f ca="1">VLOOKUP($B34,OFFSET([2]quests!$A$1,0,0,COUNTA([2]quests!$A:$A),MATCH(E$1,[2]quests!$1:$1,0)-MATCH($B$1,[2]quests!$1:$1,0)+1),MATCH(E$1,[2]quests!$1:$1,0)-MATCH($B$1,[2]quests!$1:$1,0)+1,FALSE)</f>
        <v>31. 桜花乱城</v>
      </c>
      <c r="F34" s="4" t="str">
        <f ca="1">VLOOKUP($D34,OFFSET([2]stages!$A$1,0,0,COUNTA([2]stages!$A:$A),MATCH(F$1,[2]stages!$2:$2,0)-MATCH($D$1,[2]stages!$2:$2,0)+1),MATCH(F$1,[2]stages!$2:$2,0)-MATCH($D$1,[2]stages!$2:$2,0)+1,FALSE)</f>
        <v>31-3. 神域の試練</v>
      </c>
      <c r="G34" s="97">
        <v>2</v>
      </c>
      <c r="H34" s="14" t="str">
        <f t="shared" si="72"/>
        <v>15031_3-2</v>
      </c>
      <c r="I34" s="4">
        <f ca="1">VLOOKUP($H34,OFFSET(floors!$A$1,0,0,COUNTA(floors!$A:$A),MATCH(I$1,floors!$1:$1,0)-MATCH($H$1,floors!$1:$1,0)+1),MATCH(I$1,floors!$1:$1,0)-MATCH($H$1,floors!$1:$1,0)+1,FALSE)</f>
        <v>70</v>
      </c>
      <c r="J34" s="4">
        <f ca="1">VLOOKUP($H34,OFFSET(floors!$A$1,0,0,COUNTA(floors!$A:$A),MATCH(J$1,floors!$1:$1,0)-MATCH($H$1,floors!$1:$1,0)+1),MATCH(J$1,floors!$1:$1,0)-MATCH($H$1,floors!$1:$1,0)+1,FALSE)</f>
        <v>70</v>
      </c>
      <c r="K34" s="35" t="s">
        <v>209</v>
      </c>
      <c r="L34" s="94">
        <v>139</v>
      </c>
      <c r="M34" s="16" t="str">
        <f ca="1">VLOOKUP($L34,OFFSET([3]enemies!$A$1,0,0,COUNTA([3]enemies!$A:$A),MATCH(M$1,[3]enemies!$1:$1,0)-MATCH($L$1,[3]enemies!$1:$1,0)+1),MATCH(M$1,[3]enemies!$1:$1,0)-MATCH($L$1,[3]enemies!$1:$1,0)+1,FALSE)</f>
        <v>蒼昇刃姫 トモエ</v>
      </c>
      <c r="N34" s="16" t="str">
        <f ca="1">VLOOKUP($L34,OFFSET([3]enemies!$A$1,0,0,COUNTA([3]enemies!$A:$A),MATCH(N$1,[3]enemies!$1:$1,0)-MATCH($L$1,[3]enemies!$1:$1,0)+1),MATCH(N$1,[3]enemies!$1:$1,0)-MATCH($L$1,[3]enemies!$1:$1,0)+1,FALSE)</f>
        <v>blue</v>
      </c>
      <c r="O34" s="16" t="str">
        <f ca="1">VLOOKUP($L34,OFFSET([4]characters!$A$1,0,0,COUNTA([4]characters!$A:$A),MATCH(O$1,[4]characters!$1:$1,0)-MATCH($L$1,[4]characters!$1:$1,0)+1),MATCH(O$1,[4]characters!$1:$1,0)-MATCH($L$1,[4]characters!$1:$1,0)+1,FALSE)</f>
        <v>PremiumW</v>
      </c>
      <c r="P34" s="16" t="str">
        <f ca="1">VLOOKUP($L34,OFFSET([3]enemies!$A$1,0,0,COUNTA([3]enemies!$A:$A),MATCH(P$1,[3]enemies!$1:$1,0)-MATCH($L$1,[3]enemies!$1:$1,0)+1),MATCH(P$1,[3]enemies!$1:$1,0)-MATCH($L$1,[3]enemies!$1:$1,0)+1,FALSE)</f>
        <v>human</v>
      </c>
      <c r="Q34" s="16">
        <f ca="1">VLOOKUP($L34,OFFSET([3]enemies!$A$1,0,0,COUNTA([3]enemies!$A:$A),MATCH(Q$1,[3]enemies!$1:$1,0)-MATCH($L$1,[3]enemies!$1:$1,0)+1),MATCH(Q$1,[3]enemies!$1:$1,0)-MATCH($L$1,[3]enemies!$1:$1,0)+1,FALSE)</f>
        <v>30</v>
      </c>
      <c r="R34" s="5">
        <v>58</v>
      </c>
      <c r="S34" s="22">
        <v>1.8</v>
      </c>
      <c r="T34" s="22">
        <v>0.8</v>
      </c>
      <c r="U34" s="5">
        <v>0</v>
      </c>
      <c r="V34" s="4" t="str">
        <f ca="1">VLOOKUP($W34,OFFSET(enemy_skill_sets!$B$1,0,0,COUNTA(enemy_skill_sets!$B:$B),MATCH(M$1,enemy_skill_sets!$1:$1,0)-MATCH($W$1,enemy_skill_sets!$1:$1,0)+2),MATCH(M$1,enemy_skill_sets!$1:$1,0)-MATCH($W$1,enemy_skill_sets!$1:$1,0)+2,FALSE)</f>
        <v>全体攻撃</v>
      </c>
      <c r="W34" s="4">
        <v>15031024</v>
      </c>
      <c r="X34" s="6">
        <v>1</v>
      </c>
      <c r="Y34" s="6">
        <v>100</v>
      </c>
      <c r="Z34" s="6">
        <v>2</v>
      </c>
      <c r="AA34" s="16">
        <f ca="1">VLOOKUP($L34,OFFSET([3]enemies!$A$1,0,0,COUNTA([3]enemies!$A:$A),MATCH(AA$1,[3]enemies!$1:$1,0)-MATCH($L$1,[3]enemies!$1:$1,0)+1),MATCH(AA$1,[3]enemies!$1:$1,0)-MATCH($L$1,[3]enemies!$1:$1,0)+1,FALSE)</f>
        <v>2</v>
      </c>
      <c r="AB34" s="21">
        <f t="shared" si="73"/>
        <v>139</v>
      </c>
      <c r="AC34" s="4" t="str">
        <f ca="1">VLOOKUP($AB34,OFFSET([4]characters!$A$1,0,0,COUNTA([4]characters!$A:$A),MATCH(AC$1,[4]characters!$1:$1,0)-MATCH("character_id",[4]characters!$1:$1,0)+1),MATCH(AC$1,[4]characters!$1:$1,0)-MATCH("character_id",[4]characters!$1:$1,0)+1,FALSE)</f>
        <v>蒼昇刃姫 トモエ</v>
      </c>
      <c r="AD34" s="4">
        <f ca="1">VLOOKUP($AB34,OFFSET([4]characters!$A$1,0,0,COUNTA([4]characters!$A:$A),MATCH(AD$1,[4]characters!$1:$1,0)-MATCH("character_id",[4]characters!$1:$1,0)+1),MATCH(AD$1,[4]characters!$1:$1,0)-MATCH("character_id",[4]characters!$1:$1,0)+1,FALSE)</f>
        <v>4</v>
      </c>
      <c r="AE34" s="4" t="str">
        <f ca="1">VLOOKUP($AB34,OFFSET([4]characters!$A$1,0,0,COUNTA([4]characters!$A:$A),MATCH(AE$1,[4]characters!$1:$1,0)-MATCH("character_id",[4]characters!$1:$1,0)+1),MATCH(AE$1,[4]characters!$1:$1,0)-MATCH("character_id",[4]characters!$1:$1,0)+1,FALSE)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34" s="7">
        <v>1</v>
      </c>
      <c r="AG34" s="21">
        <f t="shared" ca="1" si="74"/>
        <v>4</v>
      </c>
      <c r="AH34" s="8">
        <v>0</v>
      </c>
      <c r="AI34" s="93">
        <v>0</v>
      </c>
      <c r="AJ34" s="93">
        <v>0</v>
      </c>
      <c r="AK34" s="93">
        <v>0</v>
      </c>
      <c r="AL34" s="93">
        <v>0</v>
      </c>
      <c r="AM34" s="93">
        <v>1</v>
      </c>
      <c r="AN34" s="66">
        <v>1</v>
      </c>
    </row>
    <row r="35" spans="1:40" ht="21" customHeight="1" x14ac:dyDescent="0.15">
      <c r="A35" s="15" t="str">
        <f t="shared" ref="A35:A36" ca="1" si="82">B35&amp;"_"&amp;C35&amp;"-"&amp;G35&amp;"/"&amp;L35&amp;"&lt;lv"&amp;R35&amp;"&gt;s"&amp;AA35</f>
        <v>15031_3-2/350&lt;lv58&gt;s3</v>
      </c>
      <c r="B35" s="95">
        <v>15031</v>
      </c>
      <c r="C35" s="98">
        <v>3</v>
      </c>
      <c r="D35" s="2" t="str">
        <f t="shared" ref="D35:D36" si="83">B35&amp;"_"&amp;C35</f>
        <v>15031_3</v>
      </c>
      <c r="E35" s="4" t="str">
        <f ca="1">VLOOKUP($B35,OFFSET([2]quests!$A$1,0,0,COUNTA([2]quests!$A:$A),MATCH(E$1,[2]quests!$1:$1,0)-MATCH($B$1,[2]quests!$1:$1,0)+1),MATCH(E$1,[2]quests!$1:$1,0)-MATCH($B$1,[2]quests!$1:$1,0)+1,FALSE)</f>
        <v>31. 桜花乱城</v>
      </c>
      <c r="F35" s="4" t="str">
        <f ca="1">VLOOKUP($D35,OFFSET([2]stages!$A$1,0,0,COUNTA([2]stages!$A:$A),MATCH(F$1,[2]stages!$2:$2,0)-MATCH($D$1,[2]stages!$2:$2,0)+1),MATCH(F$1,[2]stages!$2:$2,0)-MATCH($D$1,[2]stages!$2:$2,0)+1,FALSE)</f>
        <v>31-3. 神域の試練</v>
      </c>
      <c r="G35" s="97">
        <v>2</v>
      </c>
      <c r="H35" s="14" t="str">
        <f t="shared" ref="H35:H36" si="84">B35&amp;"_"&amp;C35&amp;"-"&amp;G35</f>
        <v>15031_3-2</v>
      </c>
      <c r="I35" s="4">
        <f ca="1">VLOOKUP($H35,OFFSET(floors!$A$1,0,0,COUNTA(floors!$A:$A),MATCH(I$1,floors!$1:$1,0)-MATCH($H$1,floors!$1:$1,0)+1),MATCH(I$1,floors!$1:$1,0)-MATCH($H$1,floors!$1:$1,0)+1,FALSE)</f>
        <v>70</v>
      </c>
      <c r="J35" s="4">
        <f ca="1">VLOOKUP($H35,OFFSET(floors!$A$1,0,0,COUNTA(floors!$A:$A),MATCH(J$1,floors!$1:$1,0)-MATCH($H$1,floors!$1:$1,0)+1),MATCH(J$1,floors!$1:$1,0)-MATCH($H$1,floors!$1:$1,0)+1,FALSE)</f>
        <v>70</v>
      </c>
      <c r="K35" s="35" t="s">
        <v>88</v>
      </c>
      <c r="L35" s="94">
        <v>350</v>
      </c>
      <c r="M35" s="16" t="str">
        <f ca="1">VLOOKUP($L35,OFFSET([3]enemies!$A$1,0,0,COUNTA([3]enemies!$A:$A),MATCH(M$1,[3]enemies!$1:$1,0)-MATCH($L$1,[3]enemies!$1:$1,0)+1),MATCH(M$1,[3]enemies!$1:$1,0)-MATCH($L$1,[3]enemies!$1:$1,0)+1,FALSE)</f>
        <v>森のケロケロ</v>
      </c>
      <c r="N35" s="16" t="str">
        <f ca="1">VLOOKUP($L35,OFFSET([3]enemies!$A$1,0,0,COUNTA([3]enemies!$A:$A),MATCH(N$1,[3]enemies!$1:$1,0)-MATCH($L$1,[3]enemies!$1:$1,0)+1),MATCH(N$1,[3]enemies!$1:$1,0)-MATCH($L$1,[3]enemies!$1:$1,0)+1,FALSE)</f>
        <v>green</v>
      </c>
      <c r="O35" s="16" t="str">
        <f ca="1">VLOOKUP($L35,OFFSET([4]characters!$A$1,0,0,COUNTA([4]characters!$A:$A),MATCH(O$1,[4]characters!$1:$1,0)-MATCH($L$1,[4]characters!$1:$1,0)+1),MATCH(O$1,[4]characters!$1:$1,0)-MATCH($L$1,[4]characters!$1:$1,0)+1,FALSE)</f>
        <v>Material</v>
      </c>
      <c r="P35" s="16" t="str">
        <f ca="1">VLOOKUP($L35,OFFSET([3]enemies!$A$1,0,0,COUNTA([3]enemies!$A:$A),MATCH(P$1,[3]enemies!$1:$1,0)-MATCH($L$1,[3]enemies!$1:$1,0)+1),MATCH(P$1,[3]enemies!$1:$1,0)-MATCH($L$1,[3]enemies!$1:$1,0)+1,FALSE)</f>
        <v>unknown</v>
      </c>
      <c r="Q35" s="16">
        <f ca="1">VLOOKUP($L35,OFFSET([3]enemies!$A$1,0,0,COUNTA([3]enemies!$A:$A),MATCH(Q$1,[3]enemies!$1:$1,0)-MATCH($L$1,[3]enemies!$1:$1,0)+1),MATCH(Q$1,[3]enemies!$1:$1,0)-MATCH($L$1,[3]enemies!$1:$1,0)+1,FALSE)</f>
        <v>15</v>
      </c>
      <c r="R35" s="5">
        <v>58</v>
      </c>
      <c r="S35" s="22">
        <v>1.8</v>
      </c>
      <c r="T35" s="22">
        <v>0.8</v>
      </c>
      <c r="U35" s="5">
        <v>0</v>
      </c>
      <c r="V35" s="4" t="e">
        <f ca="1">VLOOKUP($W35,OFFSET(enemy_skill_sets!$B$1,0,0,COUNTA(enemy_skill_sets!$B:$B),MATCH(M$1,enemy_skill_sets!$1:$1,0)-MATCH($W$1,enemy_skill_sets!$1:$1,0)+2),MATCH(M$1,enemy_skill_sets!$1:$1,0)-MATCH($W$1,enemy_skill_sets!$1:$1,0)+2,FALSE)</f>
        <v>#N/A</v>
      </c>
      <c r="W35" s="4">
        <v>520005</v>
      </c>
      <c r="X35" s="6">
        <v>0</v>
      </c>
      <c r="Y35" s="6">
        <v>100</v>
      </c>
      <c r="Z35" s="6">
        <v>1</v>
      </c>
      <c r="AA35" s="16">
        <f ca="1">VLOOKUP($L35,OFFSET([3]enemies!$A$1,0,0,COUNTA([3]enemies!$A:$A),MATCH(AA$1,[3]enemies!$1:$1,0)-MATCH($L$1,[3]enemies!$1:$1,0)+1),MATCH(AA$1,[3]enemies!$1:$1,0)-MATCH($L$1,[3]enemies!$1:$1,0)+1,FALSE)</f>
        <v>3</v>
      </c>
      <c r="AB35" s="21">
        <f t="shared" ref="AB35:AB36" si="85">L35</f>
        <v>350</v>
      </c>
      <c r="AC35" s="4" t="str">
        <f ca="1">VLOOKUP($AB35,OFFSET([4]characters!$A$1,0,0,COUNTA([4]characters!$A:$A),MATCH(AC$1,[4]characters!$1:$1,0)-MATCH("character_id",[4]characters!$1:$1,0)+1),MATCH(AC$1,[4]characters!$1:$1,0)-MATCH("character_id",[4]characters!$1:$1,0)+1,FALSE)</f>
        <v>森のケロケロ</v>
      </c>
      <c r="AD35" s="4">
        <f ca="1">VLOOKUP($AB35,OFFSET([4]characters!$A$1,0,0,COUNTA([4]characters!$A:$A),MATCH(AD$1,[4]characters!$1:$1,0)-MATCH("character_id",[4]characters!$1:$1,0)+1),MATCH(AD$1,[4]characters!$1:$1,0)-MATCH("character_id",[4]characters!$1:$1,0)+1,FALSE)</f>
        <v>5</v>
      </c>
      <c r="AE35" s="4" t="str">
        <f ca="1">VLOOKUP($AB35,OFFSET([4]characters!$A$1,0,0,COUNTA([4]characters!$A:$A),MATCH(AE$1,[4]characters!$1:$1,0)-MATCH("character_id",[4]characters!$1:$1,0)+1),MATCH(AE$1,[4]characters!$1:$1,0)-MATCH("character_id",[4]characters!$1:$1,0)+1,FALSE)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5" s="7">
        <v>10</v>
      </c>
      <c r="AG35" s="21">
        <f t="shared" ref="AG35:AG36" ca="1" si="86">AD35</f>
        <v>5</v>
      </c>
      <c r="AH35" s="8">
        <v>100</v>
      </c>
      <c r="AI35" s="93">
        <v>0</v>
      </c>
      <c r="AJ35" s="93">
        <v>0</v>
      </c>
      <c r="AK35" s="93">
        <v>0</v>
      </c>
      <c r="AL35" s="93">
        <v>0</v>
      </c>
      <c r="AM35" s="93">
        <v>1</v>
      </c>
      <c r="AN35" s="66">
        <v>1</v>
      </c>
    </row>
    <row r="36" spans="1:40" ht="21" customHeight="1" x14ac:dyDescent="0.15">
      <c r="A36" s="15" t="str">
        <f t="shared" ca="1" si="82"/>
        <v>15031_3-2/348&lt;lv58&gt;s3</v>
      </c>
      <c r="B36" s="95">
        <v>15031</v>
      </c>
      <c r="C36" s="98">
        <v>3</v>
      </c>
      <c r="D36" s="2" t="str">
        <f t="shared" si="83"/>
        <v>15031_3</v>
      </c>
      <c r="E36" s="4" t="str">
        <f ca="1">VLOOKUP($B36,OFFSET([2]quests!$A$1,0,0,COUNTA([2]quests!$A:$A),MATCH(E$1,[2]quests!$1:$1,0)-MATCH($B$1,[2]quests!$1:$1,0)+1),MATCH(E$1,[2]quests!$1:$1,0)-MATCH($B$1,[2]quests!$1:$1,0)+1,FALSE)</f>
        <v>31. 桜花乱城</v>
      </c>
      <c r="F36" s="4" t="str">
        <f ca="1">VLOOKUP($D36,OFFSET([2]stages!$A$1,0,0,COUNTA([2]stages!$A:$A),MATCH(F$1,[2]stages!$2:$2,0)-MATCH($D$1,[2]stages!$2:$2,0)+1),MATCH(F$1,[2]stages!$2:$2,0)-MATCH($D$1,[2]stages!$2:$2,0)+1,FALSE)</f>
        <v>31-3. 神域の試練</v>
      </c>
      <c r="G36" s="97">
        <v>2</v>
      </c>
      <c r="H36" s="14" t="str">
        <f t="shared" si="84"/>
        <v>15031_3-2</v>
      </c>
      <c r="I36" s="4">
        <f ca="1">VLOOKUP($H36,OFFSET(floors!$A$1,0,0,COUNTA(floors!$A:$A),MATCH(I$1,floors!$1:$1,0)-MATCH($H$1,floors!$1:$1,0)+1),MATCH(I$1,floors!$1:$1,0)-MATCH($H$1,floors!$1:$1,0)+1,FALSE)</f>
        <v>70</v>
      </c>
      <c r="J36" s="4">
        <f ca="1">VLOOKUP($H36,OFFSET(floors!$A$1,0,0,COUNTA(floors!$A:$A),MATCH(J$1,floors!$1:$1,0)-MATCH($H$1,floors!$1:$1,0)+1),MATCH(J$1,floors!$1:$1,0)-MATCH($H$1,floors!$1:$1,0)+1,FALSE)</f>
        <v>70</v>
      </c>
      <c r="K36" s="35" t="s">
        <v>88</v>
      </c>
      <c r="L36" s="100">
        <v>348</v>
      </c>
      <c r="M36" s="16" t="str">
        <f ca="1">VLOOKUP($L36,OFFSET([3]enemies!$A$1,0,0,COUNTA([3]enemies!$A:$A),MATCH(M$1,[3]enemies!$1:$1,0)-MATCH($L$1,[3]enemies!$1:$1,0)+1),MATCH(M$1,[3]enemies!$1:$1,0)-MATCH($L$1,[3]enemies!$1:$1,0)+1,FALSE)</f>
        <v>炎のケロケロ</v>
      </c>
      <c r="N36" s="16" t="str">
        <f ca="1">VLOOKUP($L36,OFFSET([3]enemies!$A$1,0,0,COUNTA([3]enemies!$A:$A),MATCH(N$1,[3]enemies!$1:$1,0)-MATCH($L$1,[3]enemies!$1:$1,0)+1),MATCH(N$1,[3]enemies!$1:$1,0)-MATCH($L$1,[3]enemies!$1:$1,0)+1,FALSE)</f>
        <v>red</v>
      </c>
      <c r="O36" s="16" t="str">
        <f ca="1">VLOOKUP($L36,OFFSET([4]characters!$A$1,0,0,COUNTA([4]characters!$A:$A),MATCH(O$1,[4]characters!$1:$1,0)-MATCH($L$1,[4]characters!$1:$1,0)+1),MATCH(O$1,[4]characters!$1:$1,0)-MATCH($L$1,[4]characters!$1:$1,0)+1,FALSE)</f>
        <v>Material</v>
      </c>
      <c r="P36" s="16" t="str">
        <f ca="1">VLOOKUP($L36,OFFSET([3]enemies!$A$1,0,0,COUNTA([3]enemies!$A:$A),MATCH(P$1,[3]enemies!$1:$1,0)-MATCH($L$1,[3]enemies!$1:$1,0)+1),MATCH(P$1,[3]enemies!$1:$1,0)-MATCH($L$1,[3]enemies!$1:$1,0)+1,FALSE)</f>
        <v>unknown</v>
      </c>
      <c r="Q36" s="16">
        <f ca="1">VLOOKUP($L36,OFFSET([3]enemies!$A$1,0,0,COUNTA([3]enemies!$A:$A),MATCH(Q$1,[3]enemies!$1:$1,0)-MATCH($L$1,[3]enemies!$1:$1,0)+1),MATCH(Q$1,[3]enemies!$1:$1,0)-MATCH($L$1,[3]enemies!$1:$1,0)+1,FALSE)</f>
        <v>15</v>
      </c>
      <c r="R36" s="5">
        <v>58</v>
      </c>
      <c r="S36" s="22">
        <v>1.8</v>
      </c>
      <c r="T36" s="22">
        <v>0.8</v>
      </c>
      <c r="U36" s="5">
        <v>0</v>
      </c>
      <c r="V36" s="4" t="e">
        <f ca="1">VLOOKUP($W36,OFFSET(enemy_skill_sets!$B$1,0,0,COUNTA(enemy_skill_sets!$B:$B),MATCH(M$1,enemy_skill_sets!$1:$1,0)-MATCH($W$1,enemy_skill_sets!$1:$1,0)+2),MATCH(M$1,enemy_skill_sets!$1:$1,0)-MATCH($W$1,enemy_skill_sets!$1:$1,0)+2,FALSE)</f>
        <v>#N/A</v>
      </c>
      <c r="W36" s="4">
        <v>520004</v>
      </c>
      <c r="X36" s="6">
        <v>0</v>
      </c>
      <c r="Y36" s="6">
        <v>5</v>
      </c>
      <c r="Z36" s="6">
        <v>1</v>
      </c>
      <c r="AA36" s="16">
        <f ca="1">VLOOKUP($L36,OFFSET([3]enemies!$A$1,0,0,COUNTA([3]enemies!$A:$A),MATCH(AA$1,[3]enemies!$1:$1,0)-MATCH($L$1,[3]enemies!$1:$1,0)+1),MATCH(AA$1,[3]enemies!$1:$1,0)-MATCH($L$1,[3]enemies!$1:$1,0)+1,FALSE)</f>
        <v>3</v>
      </c>
      <c r="AB36" s="21">
        <f t="shared" si="85"/>
        <v>348</v>
      </c>
      <c r="AC36" s="4" t="str">
        <f ca="1">VLOOKUP($AB36,OFFSET([4]characters!$A$1,0,0,COUNTA([4]characters!$A:$A),MATCH(AC$1,[4]characters!$1:$1,0)-MATCH("character_id",[4]characters!$1:$1,0)+1),MATCH(AC$1,[4]characters!$1:$1,0)-MATCH("character_id",[4]characters!$1:$1,0)+1,FALSE)</f>
        <v>炎のケロケロ</v>
      </c>
      <c r="AD36" s="4">
        <f ca="1">VLOOKUP($AB36,OFFSET([4]characters!$A$1,0,0,COUNTA([4]characters!$A:$A),MATCH(AD$1,[4]characters!$1:$1,0)-MATCH("character_id",[4]characters!$1:$1,0)+1),MATCH(AD$1,[4]characters!$1:$1,0)-MATCH("character_id",[4]characters!$1:$1,0)+1,FALSE)</f>
        <v>5</v>
      </c>
      <c r="AE36" s="4" t="str">
        <f ca="1">VLOOKUP($AB36,OFFSET([4]characters!$A$1,0,0,COUNTA([4]characters!$A:$A),MATCH(AE$1,[4]characters!$1:$1,0)-MATCH("character_id",[4]characters!$1:$1,0)+1),MATCH(AE$1,[4]characters!$1:$1,0)-MATCH("character_id",[4]characters!$1:$1,0)+1,FALSE)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6" s="7">
        <v>10</v>
      </c>
      <c r="AG36" s="21">
        <f t="shared" ca="1" si="86"/>
        <v>5</v>
      </c>
      <c r="AH36" s="8">
        <v>20</v>
      </c>
      <c r="AI36" s="93">
        <v>0</v>
      </c>
      <c r="AJ36" s="93">
        <v>0</v>
      </c>
      <c r="AK36" s="93">
        <v>0</v>
      </c>
      <c r="AL36" s="93">
        <v>0</v>
      </c>
      <c r="AM36" s="93">
        <v>1</v>
      </c>
      <c r="AN36" s="66">
        <v>1</v>
      </c>
    </row>
    <row r="37" spans="1:40" ht="21" customHeight="1" x14ac:dyDescent="0.15">
      <c r="A37" s="15" t="str">
        <f t="shared" ca="1" si="80"/>
        <v>15031_3-3/412&lt;lv65&gt;s3</v>
      </c>
      <c r="B37" s="95">
        <v>15031</v>
      </c>
      <c r="C37" s="98">
        <v>3</v>
      </c>
      <c r="D37" s="14" t="str">
        <f t="shared" si="81"/>
        <v>15031_3</v>
      </c>
      <c r="E37" s="4" t="str">
        <f ca="1">VLOOKUP($B37,OFFSET([2]quests!$A$1,0,0,COUNTA([2]quests!$A:$A),MATCH(E$1,[2]quests!$1:$1,0)-MATCH($B$1,[2]quests!$1:$1,0)+1),MATCH(E$1,[2]quests!$1:$1,0)-MATCH($B$1,[2]quests!$1:$1,0)+1,FALSE)</f>
        <v>31. 桜花乱城</v>
      </c>
      <c r="F37" s="4" t="str">
        <f ca="1">VLOOKUP($D37,OFFSET([2]stages!$A$1,0,0,COUNTA([2]stages!$A:$A),MATCH(F$1,[2]stages!$2:$2,0)-MATCH($D$1,[2]stages!$2:$2,0)+1),MATCH(F$1,[2]stages!$2:$2,0)-MATCH($D$1,[2]stages!$2:$2,0)+1,FALSE)</f>
        <v>31-3. 神域の試練</v>
      </c>
      <c r="G37" s="98">
        <v>3</v>
      </c>
      <c r="H37" s="14" t="str">
        <f t="shared" si="72"/>
        <v>15031_3-3</v>
      </c>
      <c r="I37" s="4">
        <f ca="1">VLOOKUP($H37,OFFSET(floors!$A$1,0,0,COUNTA(floors!$A:$A),MATCH(I$1,floors!$1:$1,0)-MATCH($H$1,floors!$1:$1,0)+1),MATCH(I$1,floors!$1:$1,0)-MATCH($H$1,floors!$1:$1,0)+1,FALSE)</f>
        <v>70</v>
      </c>
      <c r="J37" s="4">
        <f ca="1">VLOOKUP($H37,OFFSET(floors!$A$1,0,0,COUNTA(floors!$A:$A),MATCH(J$1,floors!$1:$1,0)-MATCH($H$1,floors!$1:$1,0)+1),MATCH(J$1,floors!$1:$1,0)-MATCH($H$1,floors!$1:$1,0)+1,FALSE)</f>
        <v>70</v>
      </c>
      <c r="K37" s="35" t="s">
        <v>353</v>
      </c>
      <c r="L37" s="148">
        <v>412</v>
      </c>
      <c r="M37" s="16" t="str">
        <f ca="1">VLOOKUP($L37,OFFSET([3]enemies!$A$1,0,0,COUNTA([3]enemies!$A:$A),MATCH(M$1,[3]enemies!$1:$1,0)-MATCH($L$1,[3]enemies!$1:$1,0)+1),MATCH(M$1,[3]enemies!$1:$1,0)-MATCH($L$1,[3]enemies!$1:$1,0)+1,FALSE)</f>
        <v>コウネン</v>
      </c>
      <c r="N37" s="16" t="str">
        <f ca="1">VLOOKUP($L37,OFFSET([3]enemies!$A$1,0,0,COUNTA([3]enemies!$A:$A),MATCH(N$1,[3]enemies!$1:$1,0)-MATCH($L$1,[3]enemies!$1:$1,0)+1),MATCH(N$1,[3]enemies!$1:$1,0)-MATCH($L$1,[3]enemies!$1:$1,0)+1,FALSE)</f>
        <v>yellow</v>
      </c>
      <c r="O37" s="16" t="str">
        <f ca="1">VLOOKUP($L37,OFFSET([4]characters!$A$1,0,0,COUNTA([4]characters!$A:$A),MATCH(O$1,[4]characters!$1:$1,0)-MATCH($L$1,[4]characters!$1:$1,0)+1),MATCH(O$1,[4]characters!$1:$1,0)-MATCH($L$1,[4]characters!$1:$1,0)+1,FALSE)</f>
        <v>Drop1S</v>
      </c>
      <c r="P37" s="16" t="str">
        <f ca="1">VLOOKUP($L37,OFFSET([3]enemies!$A$1,0,0,COUNTA([3]enemies!$A:$A),MATCH(P$1,[3]enemies!$1:$1,0)-MATCH($L$1,[3]enemies!$1:$1,0)+1),MATCH(P$1,[3]enemies!$1:$1,0)-MATCH($L$1,[3]enemies!$1:$1,0)+1,FALSE)</f>
        <v>unknown</v>
      </c>
      <c r="Q37" s="16">
        <f ca="1">VLOOKUP($L37,OFFSET([3]enemies!$A$1,0,0,COUNTA([3]enemies!$A:$A),MATCH(Q$1,[3]enemies!$1:$1,0)-MATCH($L$1,[3]enemies!$1:$1,0)+1),MATCH(Q$1,[3]enemies!$1:$1,0)-MATCH($L$1,[3]enemies!$1:$1,0)+1,FALSE)</f>
        <v>15</v>
      </c>
      <c r="R37" s="5">
        <v>65</v>
      </c>
      <c r="S37" s="22">
        <v>1.7</v>
      </c>
      <c r="T37" s="22">
        <v>0.8</v>
      </c>
      <c r="U37" s="5">
        <v>0</v>
      </c>
      <c r="V37" s="4" t="str">
        <f ca="1">VLOOKUP($W37,OFFSET(enemy_skill_sets!$B$1,0,0,COUNTA(enemy_skill_sets!$B:$B),MATCH(M$1,enemy_skill_sets!$1:$1,0)-MATCH($W$1,enemy_skill_sets!$1:$1,0)+2),MATCH(M$1,enemy_skill_sets!$1:$1,0)-MATCH($W$1,enemy_skill_sets!$1:$1,0)+2,FALSE)</f>
        <v>全ユニットの状態異常を解除してくれた</v>
      </c>
      <c r="W37" s="4">
        <v>15031026</v>
      </c>
      <c r="X37" s="6">
        <v>1</v>
      </c>
      <c r="Y37" s="6">
        <v>100</v>
      </c>
      <c r="Z37" s="6">
        <v>0</v>
      </c>
      <c r="AA37" s="16">
        <f ca="1">VLOOKUP($L37,OFFSET([3]enemies!$A$1,0,0,COUNTA([3]enemies!$A:$A),MATCH(AA$1,[3]enemies!$1:$1,0)-MATCH($L$1,[3]enemies!$1:$1,0)+1),MATCH(AA$1,[3]enemies!$1:$1,0)-MATCH($L$1,[3]enemies!$1:$1,0)+1,FALSE)</f>
        <v>3</v>
      </c>
      <c r="AB37" s="150">
        <f t="shared" si="73"/>
        <v>412</v>
      </c>
      <c r="AC37" s="4" t="str">
        <f ca="1">VLOOKUP($AB37,OFFSET([4]characters!$A$1,0,0,COUNTA([4]characters!$A:$A),MATCH(AC$1,[4]characters!$1:$1,0)-MATCH("character_id",[4]characters!$1:$1,0)+1),MATCH(AC$1,[4]characters!$1:$1,0)-MATCH("character_id",[4]characters!$1:$1,0)+1,FALSE)</f>
        <v>コウネン</v>
      </c>
      <c r="AD37" s="4">
        <f ca="1">VLOOKUP($AB37,OFFSET([4]characters!$A$1,0,0,COUNTA([4]characters!$A:$A),MATCH(AD$1,[4]characters!$1:$1,0)-MATCH("character_id",[4]characters!$1:$1,0)+1),MATCH(AD$1,[4]characters!$1:$1,0)-MATCH("character_id",[4]characters!$1:$1,0)+1,FALSE)</f>
        <v>2</v>
      </c>
      <c r="AE37" s="4" t="str">
        <f ca="1">VLOOKUP($AB37,OFFSET([4]characters!$A$1,0,0,COUNTA([4]characters!$A:$A),MATCH(AE$1,[4]characters!$1:$1,0)-MATCH("character_id",[4]characters!$1:$1,0)+1),MATCH(AE$1,[4]characters!$1:$1,0)-MATCH("character_id",[4]characters!$1:$1,0)+1,FALSE)</f>
        <v>Drop1S</v>
      </c>
      <c r="AF37" s="93">
        <v>1</v>
      </c>
      <c r="AG37" s="150">
        <f t="shared" ca="1" si="74"/>
        <v>2</v>
      </c>
      <c r="AH37" s="8">
        <v>20</v>
      </c>
      <c r="AI37" s="93">
        <v>0</v>
      </c>
      <c r="AJ37" s="93">
        <v>0</v>
      </c>
      <c r="AK37" s="93">
        <v>0</v>
      </c>
      <c r="AL37" s="93">
        <v>0</v>
      </c>
      <c r="AM37" s="93">
        <v>1</v>
      </c>
      <c r="AN37" s="66">
        <v>1</v>
      </c>
    </row>
    <row r="38" spans="1:40" ht="21" customHeight="1" x14ac:dyDescent="0.15">
      <c r="A38" s="15" t="str">
        <f t="shared" ca="1" si="80"/>
        <v>15031_3-3/374&lt;lv65&gt;s1</v>
      </c>
      <c r="B38" s="95">
        <v>15031</v>
      </c>
      <c r="C38" s="98">
        <v>3</v>
      </c>
      <c r="D38" s="14" t="str">
        <f t="shared" si="81"/>
        <v>15031_3</v>
      </c>
      <c r="E38" s="4" t="str">
        <f ca="1">VLOOKUP($B38,OFFSET([2]quests!$A$1,0,0,COUNTA([2]quests!$A:$A),MATCH(E$1,[2]quests!$1:$1,0)-MATCH($B$1,[2]quests!$1:$1,0)+1),MATCH(E$1,[2]quests!$1:$1,0)-MATCH($B$1,[2]quests!$1:$1,0)+1,FALSE)</f>
        <v>31. 桜花乱城</v>
      </c>
      <c r="F38" s="4" t="str">
        <f ca="1">VLOOKUP($D38,OFFSET([2]stages!$A$1,0,0,COUNTA([2]stages!$A:$A),MATCH(F$1,[2]stages!$2:$2,0)-MATCH($D$1,[2]stages!$2:$2,0)+1),MATCH(F$1,[2]stages!$2:$2,0)-MATCH($D$1,[2]stages!$2:$2,0)+1,FALSE)</f>
        <v>31-3. 神域の試練</v>
      </c>
      <c r="G38" s="98">
        <v>3</v>
      </c>
      <c r="H38" s="14" t="str">
        <f t="shared" si="72"/>
        <v>15031_3-3</v>
      </c>
      <c r="I38" s="4">
        <f ca="1">VLOOKUP($H38,OFFSET(floors!$A$1,0,0,COUNTA(floors!$A:$A),MATCH(I$1,floors!$1:$1,0)-MATCH($H$1,floors!$1:$1,0)+1),MATCH(I$1,floors!$1:$1,0)-MATCH($H$1,floors!$1:$1,0)+1,FALSE)</f>
        <v>70</v>
      </c>
      <c r="J38" s="4">
        <f ca="1">VLOOKUP($H38,OFFSET(floors!$A$1,0,0,COUNTA(floors!$A:$A),MATCH(J$1,floors!$1:$1,0)-MATCH($H$1,floors!$1:$1,0)+1),MATCH(J$1,floors!$1:$1,0)-MATCH($H$1,floors!$1:$1,0)+1,FALSE)</f>
        <v>70</v>
      </c>
      <c r="K38" s="35" t="s">
        <v>353</v>
      </c>
      <c r="L38" s="96">
        <v>374</v>
      </c>
      <c r="M38" s="16" t="str">
        <f ca="1">VLOOKUP($L38,OFFSET([3]enemies!$A$1,0,0,COUNTA([3]enemies!$A:$A),MATCH(M$1,[3]enemies!$1:$1,0)-MATCH($L$1,[3]enemies!$1:$1,0)+1),MATCH(M$1,[3]enemies!$1:$1,0)-MATCH($L$1,[3]enemies!$1:$1,0)+1,FALSE)</f>
        <v>影丸</v>
      </c>
      <c r="N38" s="16" t="str">
        <f ca="1">VLOOKUP($L38,OFFSET([3]enemies!$A$1,0,0,COUNTA([3]enemies!$A:$A),MATCH(N$1,[3]enemies!$1:$1,0)-MATCH($L$1,[3]enemies!$1:$1,0)+1),MATCH(N$1,[3]enemies!$1:$1,0)-MATCH($L$1,[3]enemies!$1:$1,0)+1,FALSE)</f>
        <v>blue</v>
      </c>
      <c r="O38" s="16" t="str">
        <f ca="1">VLOOKUP($L38,OFFSET([4]characters!$A$1,0,0,COUNTA([4]characters!$A:$A),MATCH(O$1,[4]characters!$1:$1,0)-MATCH($L$1,[4]characters!$1:$1,0)+1),MATCH(O$1,[4]characters!$1:$1,0)-MATCH($L$1,[4]characters!$1:$1,0)+1,FALSE)</f>
        <v>Drop1S</v>
      </c>
      <c r="P38" s="16" t="str">
        <f ca="1">VLOOKUP($L38,OFFSET([3]enemies!$A$1,0,0,COUNTA([3]enemies!$A:$A),MATCH(P$1,[3]enemies!$1:$1,0)-MATCH($L$1,[3]enemies!$1:$1,0)+1),MATCH(P$1,[3]enemies!$1:$1,0)-MATCH($L$1,[3]enemies!$1:$1,0)+1,FALSE)</f>
        <v>animal</v>
      </c>
      <c r="Q38" s="16">
        <f ca="1">VLOOKUP($L38,OFFSET([3]enemies!$A$1,0,0,COUNTA([3]enemies!$A:$A),MATCH(Q$1,[3]enemies!$1:$1,0)-MATCH($L$1,[3]enemies!$1:$1,0)+1),MATCH(Q$1,[3]enemies!$1:$1,0)-MATCH($L$1,[3]enemies!$1:$1,0)+1,FALSE)</f>
        <v>15</v>
      </c>
      <c r="R38" s="5">
        <v>65</v>
      </c>
      <c r="S38" s="22">
        <v>1.7</v>
      </c>
      <c r="T38" s="22">
        <v>0.8</v>
      </c>
      <c r="U38" s="5">
        <v>0</v>
      </c>
      <c r="V38" s="4" t="str">
        <f ca="1">VLOOKUP($W38,OFFSET(enemy_skill_sets!$B$1,0,0,COUNTA(enemy_skill_sets!$B:$B),MATCH(M$1,enemy_skill_sets!$1:$1,0)-MATCH($W$1,enemy_skill_sets!$1:$1,0)+2),MATCH(M$1,enemy_skill_sets!$1:$1,0)-MATCH($W$1,enemy_skill_sets!$1:$1,0)+2,FALSE)</f>
        <v>ウィルス状態のユニットに大ダメージ</v>
      </c>
      <c r="W38" s="4">
        <v>15031025</v>
      </c>
      <c r="X38" s="6">
        <v>1</v>
      </c>
      <c r="Y38" s="6">
        <v>100</v>
      </c>
      <c r="Z38" s="6">
        <v>2</v>
      </c>
      <c r="AA38" s="16">
        <f ca="1">VLOOKUP($L38,OFFSET([3]enemies!$A$1,0,0,COUNTA([3]enemies!$A:$A),MATCH(AA$1,[3]enemies!$1:$1,0)-MATCH($L$1,[3]enemies!$1:$1,0)+1),MATCH(AA$1,[3]enemies!$1:$1,0)-MATCH($L$1,[3]enemies!$1:$1,0)+1,FALSE)</f>
        <v>1</v>
      </c>
      <c r="AB38" s="150">
        <f t="shared" si="73"/>
        <v>374</v>
      </c>
      <c r="AC38" s="4" t="str">
        <f ca="1">VLOOKUP($AB38,OFFSET([4]characters!$A$1,0,0,COUNTA([4]characters!$A:$A),MATCH(AC$1,[4]characters!$1:$1,0)-MATCH("character_id",[4]characters!$1:$1,0)+1),MATCH(AC$1,[4]characters!$1:$1,0)-MATCH("character_id",[4]characters!$1:$1,0)+1,FALSE)</f>
        <v>影丸</v>
      </c>
      <c r="AD38" s="4">
        <f ca="1">VLOOKUP($AB38,OFFSET([4]characters!$A$1,0,0,COUNTA([4]characters!$A:$A),MATCH(AD$1,[4]characters!$1:$1,0)-MATCH("character_id",[4]characters!$1:$1,0)+1),MATCH(AD$1,[4]characters!$1:$1,0)-MATCH("character_id",[4]characters!$1:$1,0)+1,FALSE)</f>
        <v>2</v>
      </c>
      <c r="AE38" s="4" t="str">
        <f ca="1">VLOOKUP($AB38,OFFSET([4]characters!$A$1,0,0,COUNTA([4]characters!$A:$A),MATCH(AE$1,[4]characters!$1:$1,0)-MATCH("character_id",[4]characters!$1:$1,0)+1),MATCH(AE$1,[4]characters!$1:$1,0)-MATCH("character_id",[4]characters!$1:$1,0)+1,FALSE)</f>
        <v>Drop1S</v>
      </c>
      <c r="AF38" s="93">
        <v>1</v>
      </c>
      <c r="AG38" s="150">
        <f t="shared" ca="1" si="74"/>
        <v>2</v>
      </c>
      <c r="AH38" s="8">
        <v>20</v>
      </c>
      <c r="AI38" s="93">
        <v>0</v>
      </c>
      <c r="AJ38" s="93">
        <v>0</v>
      </c>
      <c r="AK38" s="93">
        <v>0</v>
      </c>
      <c r="AL38" s="93">
        <v>0</v>
      </c>
      <c r="AM38" s="93">
        <v>1</v>
      </c>
      <c r="AN38" s="66">
        <v>1</v>
      </c>
    </row>
    <row r="39" spans="1:40" ht="21" customHeight="1" x14ac:dyDescent="0.15">
      <c r="A39" s="15" t="str">
        <f t="shared" si="80"/>
        <v>15031_3-3/56&lt;lv58&gt;s2</v>
      </c>
      <c r="B39" s="95">
        <v>15031</v>
      </c>
      <c r="C39" s="98">
        <v>3</v>
      </c>
      <c r="D39" s="2" t="str">
        <f t="shared" si="81"/>
        <v>15031_3</v>
      </c>
      <c r="E39" s="4" t="str">
        <f ca="1">VLOOKUP($B39,OFFSET([2]quests!$A$1,0,0,COUNTA([2]quests!$A:$A),MATCH(E$1,[2]quests!$1:$1,0)-MATCH($B$1,[2]quests!$1:$1,0)+1),MATCH(E$1,[2]quests!$1:$1,0)-MATCH($B$1,[2]quests!$1:$1,0)+1,FALSE)</f>
        <v>31. 桜花乱城</v>
      </c>
      <c r="F39" s="4" t="str">
        <f ca="1">VLOOKUP($D39,OFFSET([2]stages!$A$1,0,0,COUNTA([2]stages!$A:$A),MATCH(F$1,[2]stages!$2:$2,0)-MATCH($D$1,[2]stages!$2:$2,0)+1),MATCH(F$1,[2]stages!$2:$2,0)-MATCH($D$1,[2]stages!$2:$2,0)+1,FALSE)</f>
        <v>31-3. 神域の試練</v>
      </c>
      <c r="G39" s="98">
        <v>3</v>
      </c>
      <c r="H39" s="14" t="str">
        <f t="shared" si="72"/>
        <v>15031_3-3</v>
      </c>
      <c r="I39" s="4">
        <f ca="1">VLOOKUP($H39,OFFSET(floors!$A$1,0,0,COUNTA(floors!$A:$A),MATCH(I$1,floors!$1:$1,0)-MATCH($H$1,floors!$1:$1,0)+1),MATCH(I$1,floors!$1:$1,0)-MATCH($H$1,floors!$1:$1,0)+1,FALSE)</f>
        <v>70</v>
      </c>
      <c r="J39" s="4">
        <f ca="1">VLOOKUP($H39,OFFSET(floors!$A$1,0,0,COUNTA(floors!$A:$A),MATCH(J$1,floors!$1:$1,0)-MATCH($H$1,floors!$1:$1,0)+1),MATCH(J$1,floors!$1:$1,0)-MATCH($H$1,floors!$1:$1,0)+1,FALSE)</f>
        <v>70</v>
      </c>
      <c r="K39" s="35" t="s">
        <v>209</v>
      </c>
      <c r="L39" s="94">
        <v>56</v>
      </c>
      <c r="M39" s="16" t="str">
        <f ca="1">VLOOKUP($L39,OFFSET([3]enemies!$A$1,0,0,COUNTA([3]enemies!$A:$A),MATCH(M$1,[3]enemies!$1:$1,0)-MATCH($L$1,[3]enemies!$1:$1,0)+1),MATCH(M$1,[3]enemies!$1:$1,0)-MATCH($L$1,[3]enemies!$1:$1,0)+1,FALSE)</f>
        <v>黄槌のレジスタンス マミコ</v>
      </c>
      <c r="N39" s="16" t="str">
        <f ca="1">VLOOKUP($L39,OFFSET([3]enemies!$A$1,0,0,COUNTA([3]enemies!$A:$A),MATCH(N$1,[3]enemies!$1:$1,0)-MATCH($L$1,[3]enemies!$1:$1,0)+1),MATCH(N$1,[3]enemies!$1:$1,0)-MATCH($L$1,[3]enemies!$1:$1,0)+1,FALSE)</f>
        <v>yellow</v>
      </c>
      <c r="O39" s="16" t="str">
        <f ca="1">VLOOKUP($L39,OFFSET([4]characters!$A$1,0,0,COUNTA([4]characters!$A:$A),MATCH(O$1,[4]characters!$1:$1,0)-MATCH($L$1,[4]characters!$1:$1,0)+1),MATCH(O$1,[4]characters!$1:$1,0)-MATCH($L$1,[4]characters!$1:$1,0)+1,FALSE)</f>
        <v>Drop1N</v>
      </c>
      <c r="P39" s="16" t="str">
        <f ca="1">VLOOKUP($L39,OFFSET([3]enemies!$A$1,0,0,COUNTA([3]enemies!$A:$A),MATCH(P$1,[3]enemies!$1:$1,0)-MATCH($L$1,[3]enemies!$1:$1,0)+1),MATCH(P$1,[3]enemies!$1:$1,0)-MATCH($L$1,[3]enemies!$1:$1,0)+1,FALSE)</f>
        <v>human</v>
      </c>
      <c r="Q39" s="16">
        <f ca="1">VLOOKUP($L39,OFFSET([3]enemies!$A$1,0,0,COUNTA([3]enemies!$A:$A),MATCH(Q$1,[3]enemies!$1:$1,0)-MATCH($L$1,[3]enemies!$1:$1,0)+1),MATCH(Q$1,[3]enemies!$1:$1,0)-MATCH($L$1,[3]enemies!$1:$1,0)+1,FALSE)</f>
        <v>20</v>
      </c>
      <c r="R39" s="5">
        <v>58</v>
      </c>
      <c r="S39" s="22">
        <v>1.8</v>
      </c>
      <c r="T39" s="22">
        <v>0.8</v>
      </c>
      <c r="U39" s="5">
        <v>0</v>
      </c>
      <c r="V39" s="4" t="str">
        <f ca="1">VLOOKUP($W39,OFFSET(enemy_skill_sets!$B$1,0,0,COUNTA(enemy_skill_sets!$B:$B),MATCH(M$1,enemy_skill_sets!$1:$1,0)-MATCH($W$1,enemy_skill_sets!$1:$1,0)+2),MATCH(M$1,enemy_skill_sets!$1:$1,0)-MATCH($W$1,enemy_skill_sets!$1:$1,0)+2,FALSE)</f>
        <v>クリティカル！</v>
      </c>
      <c r="W39" s="4">
        <v>15031027</v>
      </c>
      <c r="X39" s="6">
        <v>0</v>
      </c>
      <c r="Y39" s="6">
        <v>100</v>
      </c>
      <c r="Z39" s="6">
        <v>1</v>
      </c>
      <c r="AA39" s="16">
        <v>2</v>
      </c>
      <c r="AB39" s="21">
        <f t="shared" si="73"/>
        <v>56</v>
      </c>
      <c r="AC39" s="4" t="str">
        <f ca="1">VLOOKUP($AB39,OFFSET([4]characters!$A$1,0,0,COUNTA([4]characters!$A:$A),MATCH(AC$1,[4]characters!$1:$1,0)-MATCH("character_id",[4]characters!$1:$1,0)+1),MATCH(AC$1,[4]characters!$1:$1,0)-MATCH("character_id",[4]characters!$1:$1,0)+1,FALSE)</f>
        <v>黄槌のレジスタンス マミコ</v>
      </c>
      <c r="AD39" s="4">
        <f ca="1">VLOOKUP($AB39,OFFSET([4]characters!$A$1,0,0,COUNTA([4]characters!$A:$A),MATCH(AD$1,[4]characters!$1:$1,0)-MATCH("character_id",[4]characters!$1:$1,0)+1),MATCH(AD$1,[4]characters!$1:$1,0)-MATCH("character_id",[4]characters!$1:$1,0)+1,FALSE)</f>
        <v>3</v>
      </c>
      <c r="AE39" s="4" t="str">
        <f ca="1">VLOOKUP($AB39,OFFSET([4]characters!$A$1,0,0,COUNTA([4]characters!$A:$A),MATCH(AE$1,[4]characters!$1:$1,0)-MATCH("character_id",[4]characters!$1:$1,0)+1),MATCH(AE$1,[4]characters!$1:$1,0)-MATCH("character_id",[4]characters!$1:$1,0)+1,FALSE)</f>
        <v>Drop1N</v>
      </c>
      <c r="AF39" s="7">
        <v>1</v>
      </c>
      <c r="AG39" s="21">
        <f t="shared" ca="1" si="74"/>
        <v>3</v>
      </c>
      <c r="AH39" s="8">
        <v>0</v>
      </c>
      <c r="AI39" s="93">
        <v>0</v>
      </c>
      <c r="AJ39" s="93">
        <v>0</v>
      </c>
      <c r="AK39" s="93">
        <v>0</v>
      </c>
      <c r="AL39" s="93">
        <v>0</v>
      </c>
      <c r="AM39" s="93">
        <v>1</v>
      </c>
      <c r="AN39" s="66">
        <v>1</v>
      </c>
    </row>
    <row r="40" spans="1:40" ht="21" customHeight="1" x14ac:dyDescent="0.15">
      <c r="A40" s="15" t="str">
        <f t="shared" ca="1" si="80"/>
        <v>15031_3-3/127&lt;lv58&gt;s1</v>
      </c>
      <c r="B40" s="95">
        <v>15031</v>
      </c>
      <c r="C40" s="98">
        <v>3</v>
      </c>
      <c r="D40" s="2" t="str">
        <f t="shared" si="81"/>
        <v>15031_3</v>
      </c>
      <c r="E40" s="4" t="str">
        <f ca="1">VLOOKUP($B40,OFFSET([2]quests!$A$1,0,0,COUNTA([2]quests!$A:$A),MATCH(E$1,[2]quests!$1:$1,0)-MATCH($B$1,[2]quests!$1:$1,0)+1),MATCH(E$1,[2]quests!$1:$1,0)-MATCH($B$1,[2]quests!$1:$1,0)+1,FALSE)</f>
        <v>31. 桜花乱城</v>
      </c>
      <c r="F40" s="4" t="str">
        <f ca="1">VLOOKUP($D40,OFFSET([2]stages!$A$1,0,0,COUNTA([2]stages!$A:$A),MATCH(F$1,[2]stages!$2:$2,0)-MATCH($D$1,[2]stages!$2:$2,0)+1),MATCH(F$1,[2]stages!$2:$2,0)-MATCH($D$1,[2]stages!$2:$2,0)+1,FALSE)</f>
        <v>31-3. 神域の試練</v>
      </c>
      <c r="G40" s="98">
        <v>3</v>
      </c>
      <c r="H40" s="14" t="str">
        <f t="shared" si="72"/>
        <v>15031_3-3</v>
      </c>
      <c r="I40" s="4">
        <f ca="1">VLOOKUP($H40,OFFSET(floors!$A$1,0,0,COUNTA(floors!$A:$A),MATCH(I$1,floors!$1:$1,0)-MATCH($H$1,floors!$1:$1,0)+1),MATCH(I$1,floors!$1:$1,0)-MATCH($H$1,floors!$1:$1,0)+1,FALSE)</f>
        <v>70</v>
      </c>
      <c r="J40" s="4">
        <f ca="1">VLOOKUP($H40,OFFSET(floors!$A$1,0,0,COUNTA(floors!$A:$A),MATCH(J$1,floors!$1:$1,0)-MATCH($H$1,floors!$1:$1,0)+1),MATCH(J$1,floors!$1:$1,0)-MATCH($H$1,floors!$1:$1,0)+1,FALSE)</f>
        <v>70</v>
      </c>
      <c r="K40" s="35" t="s">
        <v>209</v>
      </c>
      <c r="L40" s="94">
        <v>127</v>
      </c>
      <c r="M40" s="16" t="str">
        <f ca="1">VLOOKUP($L40,OFFSET([3]enemies!$A$1,0,0,COUNTA([3]enemies!$A:$A),MATCH(M$1,[3]enemies!$1:$1,0)-MATCH($L$1,[3]enemies!$1:$1,0)+1),MATCH(M$1,[3]enemies!$1:$1,0)-MATCH($L$1,[3]enemies!$1:$1,0)+1,FALSE)</f>
        <v>狂喜の賢者 ユノ</v>
      </c>
      <c r="N40" s="16" t="str">
        <f ca="1">VLOOKUP($L40,OFFSET([3]enemies!$A$1,0,0,COUNTA([3]enemies!$A:$A),MATCH(N$1,[3]enemies!$1:$1,0)-MATCH($L$1,[3]enemies!$1:$1,0)+1),MATCH(N$1,[3]enemies!$1:$1,0)-MATCH($L$1,[3]enemies!$1:$1,0)+1,FALSE)</f>
        <v>red</v>
      </c>
      <c r="O40" s="16" t="str">
        <f ca="1">VLOOKUP($L40,OFFSET([4]characters!$A$1,0,0,COUNTA([4]characters!$A:$A),MATCH(O$1,[4]characters!$1:$1,0)-MATCH($L$1,[4]characters!$1:$1,0)+1),MATCH(O$1,[4]characters!$1:$1,0)-MATCH($L$1,[4]characters!$1:$1,0)+1,FALSE)</f>
        <v>PremiumW</v>
      </c>
      <c r="P40" s="16" t="str">
        <f ca="1">VLOOKUP($L40,OFFSET([3]enemies!$A$1,0,0,COUNTA([3]enemies!$A:$A),MATCH(P$1,[3]enemies!$1:$1,0)-MATCH($L$1,[3]enemies!$1:$1,0)+1),MATCH(P$1,[3]enemies!$1:$1,0)-MATCH($L$1,[3]enemies!$1:$1,0)+1,FALSE)</f>
        <v>human</v>
      </c>
      <c r="Q40" s="16">
        <f ca="1">VLOOKUP($L40,OFFSET([3]enemies!$A$1,0,0,COUNTA([3]enemies!$A:$A),MATCH(Q$1,[3]enemies!$1:$1,0)-MATCH($L$1,[3]enemies!$1:$1,0)+1),MATCH(Q$1,[3]enemies!$1:$1,0)-MATCH($L$1,[3]enemies!$1:$1,0)+1,FALSE)</f>
        <v>30</v>
      </c>
      <c r="R40" s="5">
        <v>58</v>
      </c>
      <c r="S40" s="22">
        <v>1.8</v>
      </c>
      <c r="T40" s="22">
        <v>0.8</v>
      </c>
      <c r="U40" s="5">
        <v>0</v>
      </c>
      <c r="V40" s="4" t="str">
        <f ca="1">VLOOKUP($W40,OFFSET(enemy_skill_sets!$B$1,0,0,COUNTA(enemy_skill_sets!$B:$B),MATCH(M$1,enemy_skill_sets!$1:$1,0)-MATCH($W$1,enemy_skill_sets!$1:$1,0)+2),MATCH(M$1,enemy_skill_sets!$1:$1,0)-MATCH($W$1,enemy_skill_sets!$1:$1,0)+2,FALSE)</f>
        <v>クリティカル！</v>
      </c>
      <c r="W40" s="4">
        <v>15031028</v>
      </c>
      <c r="X40" s="6">
        <v>0</v>
      </c>
      <c r="Y40" s="6">
        <v>100</v>
      </c>
      <c r="Z40" s="6">
        <v>1</v>
      </c>
      <c r="AA40" s="16">
        <f ca="1">VLOOKUP($L40,OFFSET([3]enemies!$A$1,0,0,COUNTA([3]enemies!$A:$A),MATCH(AA$1,[3]enemies!$1:$1,0)-MATCH($L$1,[3]enemies!$1:$1,0)+1),MATCH(AA$1,[3]enemies!$1:$1,0)-MATCH($L$1,[3]enemies!$1:$1,0)+1,FALSE)</f>
        <v>1</v>
      </c>
      <c r="AB40" s="21">
        <f t="shared" si="73"/>
        <v>127</v>
      </c>
      <c r="AC40" s="4" t="str">
        <f ca="1">VLOOKUP($AB40,OFFSET([4]characters!$A$1,0,0,COUNTA([4]characters!$A:$A),MATCH(AC$1,[4]characters!$1:$1,0)-MATCH("character_id",[4]characters!$1:$1,0)+1),MATCH(AC$1,[4]characters!$1:$1,0)-MATCH("character_id",[4]characters!$1:$1,0)+1,FALSE)</f>
        <v>狂喜の賢者 ユノ</v>
      </c>
      <c r="AD40" s="4">
        <f ca="1">VLOOKUP($AB40,OFFSET([4]characters!$A$1,0,0,COUNTA([4]characters!$A:$A),MATCH(AD$1,[4]characters!$1:$1,0)-MATCH("character_id",[4]characters!$1:$1,0)+1),MATCH(AD$1,[4]characters!$1:$1,0)-MATCH("character_id",[4]characters!$1:$1,0)+1,FALSE)</f>
        <v>4</v>
      </c>
      <c r="AE40" s="4" t="str">
        <f ca="1">VLOOKUP($AB40,OFFSET([4]characters!$A$1,0,0,COUNTA([4]characters!$A:$A),MATCH(AE$1,[4]characters!$1:$1,0)-MATCH("character_id",[4]characters!$1:$1,0)+1),MATCH(AE$1,[4]characters!$1:$1,0)-MATCH("character_id",[4]characters!$1:$1,0)+1,FALSE)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40" s="7">
        <v>1</v>
      </c>
      <c r="AG40" s="21">
        <f t="shared" ca="1" si="74"/>
        <v>4</v>
      </c>
      <c r="AH40" s="8">
        <v>0</v>
      </c>
      <c r="AI40" s="93">
        <v>0</v>
      </c>
      <c r="AJ40" s="93">
        <v>0</v>
      </c>
      <c r="AK40" s="93">
        <v>0</v>
      </c>
      <c r="AL40" s="93">
        <v>0</v>
      </c>
      <c r="AM40" s="93">
        <v>1</v>
      </c>
      <c r="AN40" s="66">
        <v>1</v>
      </c>
    </row>
    <row r="41" spans="1:40" ht="21" customHeight="1" x14ac:dyDescent="0.15">
      <c r="A41" s="15" t="str">
        <f t="shared" ref="A41:A43" ca="1" si="87">B41&amp;"_"&amp;C41&amp;"-"&amp;G41&amp;"/"&amp;L41&amp;"&lt;lv"&amp;R41&amp;"&gt;s"&amp;AA41</f>
        <v>15031_3-4/350&lt;lv58&gt;s3</v>
      </c>
      <c r="B41" s="95">
        <v>15031</v>
      </c>
      <c r="C41" s="98">
        <v>3</v>
      </c>
      <c r="D41" s="2" t="str">
        <f t="shared" ref="D41:D43" si="88">B41&amp;"_"&amp;C41</f>
        <v>15031_3</v>
      </c>
      <c r="E41" s="4" t="str">
        <f ca="1">VLOOKUP($B41,OFFSET([2]quests!$A$1,0,0,COUNTA([2]quests!$A:$A),MATCH(E$1,[2]quests!$1:$1,0)-MATCH($B$1,[2]quests!$1:$1,0)+1),MATCH(E$1,[2]quests!$1:$1,0)-MATCH($B$1,[2]quests!$1:$1,0)+1,FALSE)</f>
        <v>31. 桜花乱城</v>
      </c>
      <c r="F41" s="4" t="str">
        <f ca="1">VLOOKUP($D41,OFFSET([2]stages!$A$1,0,0,COUNTA([2]stages!$A:$A),MATCH(F$1,[2]stages!$2:$2,0)-MATCH($D$1,[2]stages!$2:$2,0)+1),MATCH(F$1,[2]stages!$2:$2,0)-MATCH($D$1,[2]stages!$2:$2,0)+1,FALSE)</f>
        <v>31-3. 神域の試練</v>
      </c>
      <c r="G41" s="97">
        <v>4</v>
      </c>
      <c r="H41" s="14" t="str">
        <f t="shared" ref="H41:H43" si="89">B41&amp;"_"&amp;C41&amp;"-"&amp;G41</f>
        <v>15031_3-4</v>
      </c>
      <c r="I41" s="4">
        <f ca="1">VLOOKUP($H41,OFFSET(floors!$A$1,0,0,COUNTA(floors!$A:$A),MATCH(I$1,floors!$1:$1,0)-MATCH($H$1,floors!$1:$1,0)+1),MATCH(I$1,floors!$1:$1,0)-MATCH($H$1,floors!$1:$1,0)+1,FALSE)</f>
        <v>60</v>
      </c>
      <c r="J41" s="4">
        <f ca="1">VLOOKUP($H41,OFFSET(floors!$A$1,0,0,COUNTA(floors!$A:$A),MATCH(J$1,floors!$1:$1,0)-MATCH($H$1,floors!$1:$1,0)+1),MATCH(J$1,floors!$1:$1,0)-MATCH($H$1,floors!$1:$1,0)+1,FALSE)</f>
        <v>60</v>
      </c>
      <c r="K41" s="35" t="s">
        <v>209</v>
      </c>
      <c r="L41" s="94">
        <v>350</v>
      </c>
      <c r="M41" s="16" t="str">
        <f ca="1">VLOOKUP($L41,OFFSET([3]enemies!$A$1,0,0,COUNTA([3]enemies!$A:$A),MATCH(M$1,[3]enemies!$1:$1,0)-MATCH($L$1,[3]enemies!$1:$1,0)+1),MATCH(M$1,[3]enemies!$1:$1,0)-MATCH($L$1,[3]enemies!$1:$1,0)+1,FALSE)</f>
        <v>森のケロケロ</v>
      </c>
      <c r="N41" s="16" t="str">
        <f ca="1">VLOOKUP($L41,OFFSET([3]enemies!$A$1,0,0,COUNTA([3]enemies!$A:$A),MATCH(N$1,[3]enemies!$1:$1,0)-MATCH($L$1,[3]enemies!$1:$1,0)+1),MATCH(N$1,[3]enemies!$1:$1,0)-MATCH($L$1,[3]enemies!$1:$1,0)+1,FALSE)</f>
        <v>green</v>
      </c>
      <c r="O41" s="16" t="str">
        <f ca="1">VLOOKUP($L41,OFFSET([4]characters!$A$1,0,0,COUNTA([4]characters!$A:$A),MATCH(O$1,[4]characters!$1:$1,0)-MATCH($L$1,[4]characters!$1:$1,0)+1),MATCH(O$1,[4]characters!$1:$1,0)-MATCH($L$1,[4]characters!$1:$1,0)+1,FALSE)</f>
        <v>Material</v>
      </c>
      <c r="P41" s="16" t="str">
        <f ca="1">VLOOKUP($L41,OFFSET([3]enemies!$A$1,0,0,COUNTA([3]enemies!$A:$A),MATCH(P$1,[3]enemies!$1:$1,0)-MATCH($L$1,[3]enemies!$1:$1,0)+1),MATCH(P$1,[3]enemies!$1:$1,0)-MATCH($L$1,[3]enemies!$1:$1,0)+1,FALSE)</f>
        <v>unknown</v>
      </c>
      <c r="Q41" s="16">
        <f ca="1">VLOOKUP($L41,OFFSET([3]enemies!$A$1,0,0,COUNTA([3]enemies!$A:$A),MATCH(Q$1,[3]enemies!$1:$1,0)-MATCH($L$1,[3]enemies!$1:$1,0)+1),MATCH(Q$1,[3]enemies!$1:$1,0)-MATCH($L$1,[3]enemies!$1:$1,0)+1,FALSE)</f>
        <v>15</v>
      </c>
      <c r="R41" s="5">
        <v>58</v>
      </c>
      <c r="S41" s="22">
        <v>2</v>
      </c>
      <c r="T41" s="22">
        <v>0.8</v>
      </c>
      <c r="U41" s="5">
        <v>0</v>
      </c>
      <c r="V41" s="4" t="e">
        <f ca="1">VLOOKUP($W41,OFFSET(enemy_skill_sets!$B$1,0,0,COUNTA(enemy_skill_sets!$B:$B),MATCH(M$1,enemy_skill_sets!$1:$1,0)-MATCH($W$1,enemy_skill_sets!$1:$1,0)+2),MATCH(M$1,enemy_skill_sets!$1:$1,0)-MATCH($W$1,enemy_skill_sets!$1:$1,0)+2,FALSE)</f>
        <v>#N/A</v>
      </c>
      <c r="W41" s="4">
        <v>520005</v>
      </c>
      <c r="X41" s="6">
        <v>0</v>
      </c>
      <c r="Y41" s="6">
        <v>5</v>
      </c>
      <c r="Z41" s="6">
        <v>1</v>
      </c>
      <c r="AA41" s="16">
        <f ca="1">VLOOKUP($L41,OFFSET([3]enemies!$A$1,0,0,COUNTA([3]enemies!$A:$A),MATCH(AA$1,[3]enemies!$1:$1,0)-MATCH($L$1,[3]enemies!$1:$1,0)+1),MATCH(AA$1,[3]enemies!$1:$1,0)-MATCH($L$1,[3]enemies!$1:$1,0)+1,FALSE)</f>
        <v>3</v>
      </c>
      <c r="AB41" s="21">
        <f t="shared" ref="AB41:AB43" si="90">L41</f>
        <v>350</v>
      </c>
      <c r="AC41" s="4" t="str">
        <f ca="1">VLOOKUP($AB41,OFFSET([4]characters!$A$1,0,0,COUNTA([4]characters!$A:$A),MATCH(AC$1,[4]characters!$1:$1,0)-MATCH("character_id",[4]characters!$1:$1,0)+1),MATCH(AC$1,[4]characters!$1:$1,0)-MATCH("character_id",[4]characters!$1:$1,0)+1,FALSE)</f>
        <v>森のケロケロ</v>
      </c>
      <c r="AD41" s="4">
        <f ca="1">VLOOKUP($AB41,OFFSET([4]characters!$A$1,0,0,COUNTA([4]characters!$A:$A),MATCH(AD$1,[4]characters!$1:$1,0)-MATCH("character_id",[4]characters!$1:$1,0)+1),MATCH(AD$1,[4]characters!$1:$1,0)-MATCH("character_id",[4]characters!$1:$1,0)+1,FALSE)</f>
        <v>5</v>
      </c>
      <c r="AE41" s="4" t="str">
        <f ca="1">VLOOKUP($AB41,OFFSET([4]characters!$A$1,0,0,COUNTA([4]characters!$A:$A),MATCH(AE$1,[4]characters!$1:$1,0)-MATCH("character_id",[4]characters!$1:$1,0)+1),MATCH(AE$1,[4]characters!$1:$1,0)-MATCH("character_id",[4]characters!$1:$1,0)+1,FALSE)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1" s="7">
        <v>10</v>
      </c>
      <c r="AG41" s="21">
        <f t="shared" ref="AG41:AG43" ca="1" si="91">AD41</f>
        <v>5</v>
      </c>
      <c r="AH41" s="8">
        <v>20</v>
      </c>
      <c r="AI41" s="93">
        <v>0</v>
      </c>
      <c r="AJ41" s="93">
        <v>0</v>
      </c>
      <c r="AK41" s="93">
        <v>0</v>
      </c>
      <c r="AL41" s="93">
        <v>0</v>
      </c>
      <c r="AM41" s="93">
        <v>1</v>
      </c>
      <c r="AN41" s="66">
        <v>1</v>
      </c>
    </row>
    <row r="42" spans="1:40" ht="21" customHeight="1" x14ac:dyDescent="0.15">
      <c r="A42" s="15" t="str">
        <f t="shared" ca="1" si="87"/>
        <v>15031_3-4/348&lt;lv58&gt;s3</v>
      </c>
      <c r="B42" s="95">
        <v>15031</v>
      </c>
      <c r="C42" s="98">
        <v>3</v>
      </c>
      <c r="D42" s="2" t="str">
        <f t="shared" si="88"/>
        <v>15031_3</v>
      </c>
      <c r="E42" s="4" t="str">
        <f ca="1">VLOOKUP($B42,OFFSET([2]quests!$A$1,0,0,COUNTA([2]quests!$A:$A),MATCH(E$1,[2]quests!$1:$1,0)-MATCH($B$1,[2]quests!$1:$1,0)+1),MATCH(E$1,[2]quests!$1:$1,0)-MATCH($B$1,[2]quests!$1:$1,0)+1,FALSE)</f>
        <v>31. 桜花乱城</v>
      </c>
      <c r="F42" s="4" t="str">
        <f ca="1">VLOOKUP($D42,OFFSET([2]stages!$A$1,0,0,COUNTA([2]stages!$A:$A),MATCH(F$1,[2]stages!$2:$2,0)-MATCH($D$1,[2]stages!$2:$2,0)+1),MATCH(F$1,[2]stages!$2:$2,0)-MATCH($D$1,[2]stages!$2:$2,0)+1,FALSE)</f>
        <v>31-3. 神域の試練</v>
      </c>
      <c r="G42" s="97">
        <v>4</v>
      </c>
      <c r="H42" s="14" t="str">
        <f t="shared" si="89"/>
        <v>15031_3-4</v>
      </c>
      <c r="I42" s="4">
        <f ca="1">VLOOKUP($H42,OFFSET(floors!$A$1,0,0,COUNTA(floors!$A:$A),MATCH(I$1,floors!$1:$1,0)-MATCH($H$1,floors!$1:$1,0)+1),MATCH(I$1,floors!$1:$1,0)-MATCH($H$1,floors!$1:$1,0)+1,FALSE)</f>
        <v>60</v>
      </c>
      <c r="J42" s="4">
        <f ca="1">VLOOKUP($H42,OFFSET(floors!$A$1,0,0,COUNTA(floors!$A:$A),MATCH(J$1,floors!$1:$1,0)-MATCH($H$1,floors!$1:$1,0)+1),MATCH(J$1,floors!$1:$1,0)-MATCH($H$1,floors!$1:$1,0)+1,FALSE)</f>
        <v>60</v>
      </c>
      <c r="K42" s="35" t="s">
        <v>209</v>
      </c>
      <c r="L42" s="100">
        <v>348</v>
      </c>
      <c r="M42" s="16" t="str">
        <f ca="1">VLOOKUP($L42,OFFSET([3]enemies!$A$1,0,0,COUNTA([3]enemies!$A:$A),MATCH(M$1,[3]enemies!$1:$1,0)-MATCH($L$1,[3]enemies!$1:$1,0)+1),MATCH(M$1,[3]enemies!$1:$1,0)-MATCH($L$1,[3]enemies!$1:$1,0)+1,FALSE)</f>
        <v>炎のケロケロ</v>
      </c>
      <c r="N42" s="16" t="str">
        <f ca="1">VLOOKUP($L42,OFFSET([3]enemies!$A$1,0,0,COUNTA([3]enemies!$A:$A),MATCH(N$1,[3]enemies!$1:$1,0)-MATCH($L$1,[3]enemies!$1:$1,0)+1),MATCH(N$1,[3]enemies!$1:$1,0)-MATCH($L$1,[3]enemies!$1:$1,0)+1,FALSE)</f>
        <v>red</v>
      </c>
      <c r="O42" s="16" t="str">
        <f ca="1">VLOOKUP($L42,OFFSET([4]characters!$A$1,0,0,COUNTA([4]characters!$A:$A),MATCH(O$1,[4]characters!$1:$1,0)-MATCH($L$1,[4]characters!$1:$1,0)+1),MATCH(O$1,[4]characters!$1:$1,0)-MATCH($L$1,[4]characters!$1:$1,0)+1,FALSE)</f>
        <v>Material</v>
      </c>
      <c r="P42" s="16" t="str">
        <f ca="1">VLOOKUP($L42,OFFSET([3]enemies!$A$1,0,0,COUNTA([3]enemies!$A:$A),MATCH(P$1,[3]enemies!$1:$1,0)-MATCH($L$1,[3]enemies!$1:$1,0)+1),MATCH(P$1,[3]enemies!$1:$1,0)-MATCH($L$1,[3]enemies!$1:$1,0)+1,FALSE)</f>
        <v>unknown</v>
      </c>
      <c r="Q42" s="16">
        <f ca="1">VLOOKUP($L42,OFFSET([3]enemies!$A$1,0,0,COUNTA([3]enemies!$A:$A),MATCH(Q$1,[3]enemies!$1:$1,0)-MATCH($L$1,[3]enemies!$1:$1,0)+1),MATCH(Q$1,[3]enemies!$1:$1,0)-MATCH($L$1,[3]enemies!$1:$1,0)+1,FALSE)</f>
        <v>15</v>
      </c>
      <c r="R42" s="5">
        <v>58</v>
      </c>
      <c r="S42" s="22">
        <v>2</v>
      </c>
      <c r="T42" s="22">
        <v>0.8</v>
      </c>
      <c r="U42" s="5">
        <v>0</v>
      </c>
      <c r="V42" s="4" t="e">
        <f ca="1">VLOOKUP($W42,OFFSET(enemy_skill_sets!$B$1,0,0,COUNTA(enemy_skill_sets!$B:$B),MATCH(M$1,enemy_skill_sets!$1:$1,0)-MATCH($W$1,enemy_skill_sets!$1:$1,0)+2),MATCH(M$1,enemy_skill_sets!$1:$1,0)-MATCH($W$1,enemy_skill_sets!$1:$1,0)+2,FALSE)</f>
        <v>#N/A</v>
      </c>
      <c r="W42" s="4">
        <v>520004</v>
      </c>
      <c r="X42" s="6">
        <v>0</v>
      </c>
      <c r="Y42" s="6">
        <v>5</v>
      </c>
      <c r="Z42" s="6">
        <v>1</v>
      </c>
      <c r="AA42" s="16">
        <f ca="1">VLOOKUP($L42,OFFSET([3]enemies!$A$1,0,0,COUNTA([3]enemies!$A:$A),MATCH(AA$1,[3]enemies!$1:$1,0)-MATCH($L$1,[3]enemies!$1:$1,0)+1),MATCH(AA$1,[3]enemies!$1:$1,0)-MATCH($L$1,[3]enemies!$1:$1,0)+1,FALSE)</f>
        <v>3</v>
      </c>
      <c r="AB42" s="21">
        <f t="shared" si="90"/>
        <v>348</v>
      </c>
      <c r="AC42" s="4" t="str">
        <f ca="1">VLOOKUP($AB42,OFFSET([4]characters!$A$1,0,0,COUNTA([4]characters!$A:$A),MATCH(AC$1,[4]characters!$1:$1,0)-MATCH("character_id",[4]characters!$1:$1,0)+1),MATCH(AC$1,[4]characters!$1:$1,0)-MATCH("character_id",[4]characters!$1:$1,0)+1,FALSE)</f>
        <v>炎のケロケロ</v>
      </c>
      <c r="AD42" s="4">
        <f ca="1">VLOOKUP($AB42,OFFSET([4]characters!$A$1,0,0,COUNTA([4]characters!$A:$A),MATCH(AD$1,[4]characters!$1:$1,0)-MATCH("character_id",[4]characters!$1:$1,0)+1),MATCH(AD$1,[4]characters!$1:$1,0)-MATCH("character_id",[4]characters!$1:$1,0)+1,FALSE)</f>
        <v>5</v>
      </c>
      <c r="AE42" s="4" t="str">
        <f ca="1">VLOOKUP($AB42,OFFSET([4]characters!$A$1,0,0,COUNTA([4]characters!$A:$A),MATCH(AE$1,[4]characters!$1:$1,0)-MATCH("character_id",[4]characters!$1:$1,0)+1),MATCH(AE$1,[4]characters!$1:$1,0)-MATCH("character_id",[4]characters!$1:$1,0)+1,FALSE)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2" s="7">
        <v>10</v>
      </c>
      <c r="AG42" s="21">
        <f t="shared" ca="1" si="91"/>
        <v>5</v>
      </c>
      <c r="AH42" s="8">
        <v>20</v>
      </c>
      <c r="AI42" s="93">
        <v>0</v>
      </c>
      <c r="AJ42" s="93">
        <v>0</v>
      </c>
      <c r="AK42" s="93">
        <v>0</v>
      </c>
      <c r="AL42" s="93">
        <v>0</v>
      </c>
      <c r="AM42" s="93">
        <v>1</v>
      </c>
      <c r="AN42" s="66">
        <v>1</v>
      </c>
    </row>
    <row r="43" spans="1:40" ht="21" customHeight="1" x14ac:dyDescent="0.15">
      <c r="A43" s="15" t="str">
        <f t="shared" ca="1" si="87"/>
        <v>15031_3-4/371&lt;lv58&gt;s2</v>
      </c>
      <c r="B43" s="95">
        <v>15031</v>
      </c>
      <c r="C43" s="98">
        <v>3</v>
      </c>
      <c r="D43" s="2" t="str">
        <f t="shared" si="88"/>
        <v>15031_3</v>
      </c>
      <c r="E43" s="4" t="str">
        <f ca="1">VLOOKUP($B43,OFFSET([2]quests!$A$1,0,0,COUNTA([2]quests!$A:$A),MATCH(E$1,[2]quests!$1:$1,0)-MATCH($B$1,[2]quests!$1:$1,0)+1),MATCH(E$1,[2]quests!$1:$1,0)-MATCH($B$1,[2]quests!$1:$1,0)+1,FALSE)</f>
        <v>31. 桜花乱城</v>
      </c>
      <c r="F43" s="4" t="str">
        <f ca="1">VLOOKUP($D43,OFFSET([2]stages!$A$1,0,0,COUNTA([2]stages!$A:$A),MATCH(F$1,[2]stages!$2:$2,0)-MATCH($D$1,[2]stages!$2:$2,0)+1),MATCH(F$1,[2]stages!$2:$2,0)-MATCH($D$1,[2]stages!$2:$2,0)+1,FALSE)</f>
        <v>31-3. 神域の試練</v>
      </c>
      <c r="G43" s="97">
        <v>4</v>
      </c>
      <c r="H43" s="14" t="str">
        <f t="shared" si="89"/>
        <v>15031_3-4</v>
      </c>
      <c r="I43" s="4">
        <f ca="1">VLOOKUP($H43,OFFSET(floors!$A$1,0,0,COUNTA(floors!$A:$A),MATCH(I$1,floors!$1:$1,0)-MATCH($H$1,floors!$1:$1,0)+1),MATCH(I$1,floors!$1:$1,0)-MATCH($H$1,floors!$1:$1,0)+1,FALSE)</f>
        <v>60</v>
      </c>
      <c r="J43" s="4">
        <f ca="1">VLOOKUP($H43,OFFSET(floors!$A$1,0,0,COUNTA(floors!$A:$A),MATCH(J$1,floors!$1:$1,0)-MATCH($H$1,floors!$1:$1,0)+1),MATCH(J$1,floors!$1:$1,0)-MATCH($H$1,floors!$1:$1,0)+1,FALSE)</f>
        <v>60</v>
      </c>
      <c r="K43" s="35" t="s">
        <v>209</v>
      </c>
      <c r="L43" s="148">
        <v>371</v>
      </c>
      <c r="M43" s="16" t="str">
        <f ca="1">VLOOKUP($L43,OFFSET([3]enemies!$A$1,0,0,COUNTA([3]enemies!$A:$A),MATCH(M$1,[3]enemies!$1:$1,0)-MATCH($L$1,[3]enemies!$1:$1,0)+1),MATCH(M$1,[3]enemies!$1:$1,0)-MATCH($L$1,[3]enemies!$1:$1,0)+1,FALSE)</f>
        <v>行灯達磨 タイチ</v>
      </c>
      <c r="N43" s="16" t="str">
        <f ca="1">VLOOKUP($L43,OFFSET([3]enemies!$A$1,0,0,COUNTA([3]enemies!$A:$A),MATCH(N$1,[3]enemies!$1:$1,0)-MATCH($L$1,[3]enemies!$1:$1,0)+1),MATCH(N$1,[3]enemies!$1:$1,0)-MATCH($L$1,[3]enemies!$1:$1,0)+1,FALSE)</f>
        <v>red</v>
      </c>
      <c r="O43" s="16" t="str">
        <f ca="1">VLOOKUP($L43,OFFSET([4]characters!$A$1,0,0,COUNTA([4]characters!$A:$A),MATCH(O$1,[4]characters!$1:$1,0)-MATCH($L$1,[4]characters!$1:$1,0)+1),MATCH(O$1,[4]characters!$1:$1,0)-MATCH($L$1,[4]characters!$1:$1,0)+1,FALSE)</f>
        <v>Drop1S</v>
      </c>
      <c r="P43" s="16" t="str">
        <f ca="1">VLOOKUP($L43,OFFSET([3]enemies!$A$1,0,0,COUNTA([3]enemies!$A:$A),MATCH(P$1,[3]enemies!$1:$1,0)-MATCH($L$1,[3]enemies!$1:$1,0)+1),MATCH(P$1,[3]enemies!$1:$1,0)-MATCH($L$1,[3]enemies!$1:$1,0)+1,FALSE)</f>
        <v>unknown</v>
      </c>
      <c r="Q43" s="16">
        <f ca="1">VLOOKUP($L43,OFFSET([3]enemies!$A$1,0,0,COUNTA([3]enemies!$A:$A),MATCH(Q$1,[3]enemies!$1:$1,0)-MATCH($L$1,[3]enemies!$1:$1,0)+1),MATCH(Q$1,[3]enemies!$1:$1,0)-MATCH($L$1,[3]enemies!$1:$1,0)+1,FALSE)</f>
        <v>20</v>
      </c>
      <c r="R43" s="5">
        <v>58</v>
      </c>
      <c r="S43" s="22">
        <v>2</v>
      </c>
      <c r="T43" s="22">
        <v>0.8</v>
      </c>
      <c r="U43" s="5">
        <v>0</v>
      </c>
      <c r="V43" s="4" t="str">
        <f ca="1">VLOOKUP($W43,OFFSET(enemy_skill_sets!$B$1,0,0,COUNTA(enemy_skill_sets!$B:$B),MATCH(M$1,enemy_skill_sets!$1:$1,0)-MATCH($W$1,enemy_skill_sets!$1:$1,0)+2),MATCH(M$1,enemy_skill_sets!$1:$1,0)-MATCH($W$1,enemy_skill_sets!$1:$1,0)+2,FALSE)</f>
        <v>青パネル吸収攻撃</v>
      </c>
      <c r="W43" s="4">
        <v>15031031</v>
      </c>
      <c r="X43" s="6">
        <v>0</v>
      </c>
      <c r="Y43" s="6">
        <v>100</v>
      </c>
      <c r="Z43" s="6">
        <v>0</v>
      </c>
      <c r="AA43" s="16">
        <f ca="1">VLOOKUP($L43,OFFSET([3]enemies!$A$1,0,0,COUNTA([3]enemies!$A:$A),MATCH(AA$1,[3]enemies!$1:$1,0)-MATCH($L$1,[3]enemies!$1:$1,0)+1),MATCH(AA$1,[3]enemies!$1:$1,0)-MATCH($L$1,[3]enemies!$1:$1,0)+1,FALSE)</f>
        <v>2</v>
      </c>
      <c r="AB43" s="21">
        <f t="shared" si="90"/>
        <v>371</v>
      </c>
      <c r="AC43" s="4" t="str">
        <f ca="1">VLOOKUP($AB43,OFFSET([4]characters!$A$1,0,0,COUNTA([4]characters!$A:$A),MATCH(AC$1,[4]characters!$1:$1,0)-MATCH("character_id",[4]characters!$1:$1,0)+1),MATCH(AC$1,[4]characters!$1:$1,0)-MATCH("character_id",[4]characters!$1:$1,0)+1,FALSE)</f>
        <v>行灯達磨 タイチ</v>
      </c>
      <c r="AD43" s="4">
        <f ca="1">VLOOKUP($AB43,OFFSET([4]characters!$A$1,0,0,COUNTA([4]characters!$A:$A),MATCH(AD$1,[4]characters!$1:$1,0)-MATCH("character_id",[4]characters!$1:$1,0)+1),MATCH(AD$1,[4]characters!$1:$1,0)-MATCH("character_id",[4]characters!$1:$1,0)+1,FALSE)</f>
        <v>3</v>
      </c>
      <c r="AE43" s="4" t="str">
        <f ca="1">VLOOKUP($AB43,OFFSET([4]characters!$A$1,0,0,COUNTA([4]characters!$A:$A),MATCH(AE$1,[4]characters!$1:$1,0)-MATCH("character_id",[4]characters!$1:$1,0)+1),MATCH(AE$1,[4]characters!$1:$1,0)-MATCH("character_id",[4]characters!$1:$1,0)+1,FALSE)</f>
        <v>Drop1S</v>
      </c>
      <c r="AF43" s="7">
        <v>1</v>
      </c>
      <c r="AG43" s="21">
        <f t="shared" ca="1" si="91"/>
        <v>3</v>
      </c>
      <c r="AH43" s="8">
        <v>0</v>
      </c>
      <c r="AI43" s="93">
        <v>0</v>
      </c>
      <c r="AJ43" s="93">
        <v>0</v>
      </c>
      <c r="AK43" s="93">
        <v>0</v>
      </c>
      <c r="AL43" s="93">
        <v>0</v>
      </c>
      <c r="AM43" s="93">
        <v>1</v>
      </c>
      <c r="AN43" s="66">
        <v>1</v>
      </c>
    </row>
    <row r="44" spans="1:40" ht="21" customHeight="1" x14ac:dyDescent="0.15">
      <c r="A44" s="15" t="str">
        <f t="shared" ref="A44:A46" si="92">B44&amp;"_"&amp;C44&amp;"-"&amp;G44&amp;"/"&amp;L44&amp;"&lt;lv"&amp;R44&amp;"&gt;s"&amp;AA44</f>
        <v>15031_3-4/373&lt;lv59&gt;s2</v>
      </c>
      <c r="B44" s="95">
        <v>15031</v>
      </c>
      <c r="C44" s="98">
        <v>3</v>
      </c>
      <c r="D44" s="2" t="str">
        <f t="shared" ref="D44:D46" si="93">B44&amp;"_"&amp;C44</f>
        <v>15031_3</v>
      </c>
      <c r="E44" s="4" t="str">
        <f ca="1">VLOOKUP($B44,OFFSET([2]quests!$A$1,0,0,COUNTA([2]quests!$A:$A),MATCH(E$1,[2]quests!$1:$1,0)-MATCH($B$1,[2]quests!$1:$1,0)+1),MATCH(E$1,[2]quests!$1:$1,0)-MATCH($B$1,[2]quests!$1:$1,0)+1,FALSE)</f>
        <v>31. 桜花乱城</v>
      </c>
      <c r="F44" s="4" t="str">
        <f ca="1">VLOOKUP($D44,OFFSET([2]stages!$A$1,0,0,COUNTA([2]stages!$A:$A),MATCH(F$1,[2]stages!$2:$2,0)-MATCH($D$1,[2]stages!$2:$2,0)+1),MATCH(F$1,[2]stages!$2:$2,0)-MATCH($D$1,[2]stages!$2:$2,0)+1,FALSE)</f>
        <v>31-3. 神域の試練</v>
      </c>
      <c r="G44" s="97">
        <v>4</v>
      </c>
      <c r="H44" s="14" t="str">
        <f t="shared" ref="H44:H46" si="94">B44&amp;"_"&amp;C44&amp;"-"&amp;G44</f>
        <v>15031_3-4</v>
      </c>
      <c r="I44" s="4">
        <f ca="1">VLOOKUP($H44,OFFSET(floors!$A$1,0,0,COUNTA(floors!$A:$A),MATCH(I$1,floors!$1:$1,0)-MATCH($H$1,floors!$1:$1,0)+1),MATCH(I$1,floors!$1:$1,0)-MATCH($H$1,floors!$1:$1,0)+1,FALSE)</f>
        <v>60</v>
      </c>
      <c r="J44" s="4">
        <f ca="1">VLOOKUP($H44,OFFSET(floors!$A$1,0,0,COUNTA(floors!$A:$A),MATCH(J$1,floors!$1:$1,0)-MATCH($H$1,floors!$1:$1,0)+1),MATCH(J$1,floors!$1:$1,0)-MATCH($H$1,floors!$1:$1,0)+1,FALSE)</f>
        <v>60</v>
      </c>
      <c r="K44" s="35" t="s">
        <v>209</v>
      </c>
      <c r="L44" s="148">
        <v>373</v>
      </c>
      <c r="M44" s="16" t="str">
        <f ca="1">VLOOKUP($L44,OFFSET([3]enemies!$A$1,0,0,COUNTA([3]enemies!$A:$A),MATCH(M$1,[3]enemies!$1:$1,0)-MATCH($L$1,[3]enemies!$1:$1,0)+1),MATCH(M$1,[3]enemies!$1:$1,0)-MATCH($L$1,[3]enemies!$1:$1,0)+1,FALSE)</f>
        <v>夢幻俳聖 バショー</v>
      </c>
      <c r="N44" s="16" t="str">
        <f ca="1">VLOOKUP($L44,OFFSET([3]enemies!$A$1,0,0,COUNTA([3]enemies!$A:$A),MATCH(N$1,[3]enemies!$1:$1,0)-MATCH($L$1,[3]enemies!$1:$1,0)+1),MATCH(N$1,[3]enemies!$1:$1,0)-MATCH($L$1,[3]enemies!$1:$1,0)+1,FALSE)</f>
        <v>green</v>
      </c>
      <c r="O44" s="16" t="str">
        <f ca="1">VLOOKUP($L44,OFFSET([4]characters!$A$1,0,0,COUNTA([4]characters!$A:$A),MATCH(O$1,[4]characters!$1:$1,0)-MATCH($L$1,[4]characters!$1:$1,0)+1),MATCH(O$1,[4]characters!$1:$1,0)-MATCH($L$1,[4]characters!$1:$1,0)+1,FALSE)</f>
        <v>Drop1S</v>
      </c>
      <c r="P44" s="16" t="str">
        <f ca="1">VLOOKUP($L44,OFFSET([3]enemies!$A$1,0,0,COUNTA([3]enemies!$A:$A),MATCH(P$1,[3]enemies!$1:$1,0)-MATCH($L$1,[3]enemies!$1:$1,0)+1),MATCH(P$1,[3]enemies!$1:$1,0)-MATCH($L$1,[3]enemies!$1:$1,0)+1,FALSE)</f>
        <v>unknown</v>
      </c>
      <c r="Q44" s="16">
        <f ca="1">VLOOKUP($L44,OFFSET([3]enemies!$A$1,0,0,COUNTA([3]enemies!$A:$A),MATCH(Q$1,[3]enemies!$1:$1,0)-MATCH($L$1,[3]enemies!$1:$1,0)+1),MATCH(Q$1,[3]enemies!$1:$1,0)-MATCH($L$1,[3]enemies!$1:$1,0)+1,FALSE)</f>
        <v>20</v>
      </c>
      <c r="R44" s="5">
        <v>59</v>
      </c>
      <c r="S44" s="22">
        <v>2</v>
      </c>
      <c r="T44" s="22">
        <v>0.8</v>
      </c>
      <c r="U44" s="5">
        <v>0</v>
      </c>
      <c r="V44" s="4" t="str">
        <f ca="1">VLOOKUP($W44,OFFSET(enemy_skill_sets!$B$1,0,0,COUNTA(enemy_skill_sets!$B:$B),MATCH(M$1,enemy_skill_sets!$1:$1,0)-MATCH($W$1,enemy_skill_sets!$1:$1,0)+2),MATCH(M$1,enemy_skill_sets!$1:$1,0)-MATCH($W$1,enemy_skill_sets!$1:$1,0)+2,FALSE)</f>
        <v>3ターンハートパネルが使えない！</v>
      </c>
      <c r="W44" s="4">
        <v>15031032</v>
      </c>
      <c r="X44" s="6">
        <v>0</v>
      </c>
      <c r="Y44" s="6">
        <v>100</v>
      </c>
      <c r="Z44" s="6">
        <v>0</v>
      </c>
      <c r="AA44" s="16">
        <v>2</v>
      </c>
      <c r="AB44" s="21">
        <f t="shared" ref="AB44:AB46" si="95">L44</f>
        <v>373</v>
      </c>
      <c r="AC44" s="4" t="str">
        <f ca="1">VLOOKUP($AB44,OFFSET([4]characters!$A$1,0,0,COUNTA([4]characters!$A:$A),MATCH(AC$1,[4]characters!$1:$1,0)-MATCH("character_id",[4]characters!$1:$1,0)+1),MATCH(AC$1,[4]characters!$1:$1,0)-MATCH("character_id",[4]characters!$1:$1,0)+1,FALSE)</f>
        <v>夢幻俳聖 バショー</v>
      </c>
      <c r="AD44" s="4">
        <f ca="1">VLOOKUP($AB44,OFFSET([4]characters!$A$1,0,0,COUNTA([4]characters!$A:$A),MATCH(AD$1,[4]characters!$1:$1,0)-MATCH("character_id",[4]characters!$1:$1,0)+1),MATCH(AD$1,[4]characters!$1:$1,0)-MATCH("character_id",[4]characters!$1:$1,0)+1,FALSE)</f>
        <v>3</v>
      </c>
      <c r="AE44" s="4" t="str">
        <f ca="1">VLOOKUP($AB44,OFFSET([4]characters!$A$1,0,0,COUNTA([4]characters!$A:$A),MATCH(AE$1,[4]characters!$1:$1,0)-MATCH("character_id",[4]characters!$1:$1,0)+1),MATCH(AE$1,[4]characters!$1:$1,0)-MATCH("character_id",[4]characters!$1:$1,0)+1,FALSE)</f>
        <v>Drop1S</v>
      </c>
      <c r="AF44" s="7">
        <v>1</v>
      </c>
      <c r="AG44" s="21">
        <f t="shared" ref="AG44:AG46" ca="1" si="96">AD44</f>
        <v>3</v>
      </c>
      <c r="AH44" s="8">
        <v>0</v>
      </c>
      <c r="AI44" s="93">
        <v>0</v>
      </c>
      <c r="AJ44" s="93">
        <v>0</v>
      </c>
      <c r="AK44" s="93">
        <v>0</v>
      </c>
      <c r="AL44" s="93">
        <v>0</v>
      </c>
      <c r="AM44" s="93">
        <v>1</v>
      </c>
      <c r="AN44" s="66">
        <v>1</v>
      </c>
    </row>
    <row r="45" spans="1:40" ht="21" customHeight="1" x14ac:dyDescent="0.15">
      <c r="A45" s="15" t="str">
        <f t="shared" ca="1" si="92"/>
        <v>15031_3-4/375&lt;lv59&gt;s1</v>
      </c>
      <c r="B45" s="95">
        <v>15031</v>
      </c>
      <c r="C45" s="98">
        <v>3</v>
      </c>
      <c r="D45" s="2" t="str">
        <f t="shared" si="93"/>
        <v>15031_3</v>
      </c>
      <c r="E45" s="4" t="str">
        <f ca="1">VLOOKUP($B45,OFFSET([2]quests!$A$1,0,0,COUNTA([2]quests!$A:$A),MATCH(E$1,[2]quests!$1:$1,0)-MATCH($B$1,[2]quests!$1:$1,0)+1),MATCH(E$1,[2]quests!$1:$1,0)-MATCH($B$1,[2]quests!$1:$1,0)+1,FALSE)</f>
        <v>31. 桜花乱城</v>
      </c>
      <c r="F45" s="4" t="str">
        <f ca="1">VLOOKUP($D45,OFFSET([2]stages!$A$1,0,0,COUNTA([2]stages!$A:$A),MATCH(F$1,[2]stages!$2:$2,0)-MATCH($D$1,[2]stages!$2:$2,0)+1),MATCH(F$1,[2]stages!$2:$2,0)-MATCH($D$1,[2]stages!$2:$2,0)+1,FALSE)</f>
        <v>31-3. 神域の試練</v>
      </c>
      <c r="G45" s="97">
        <v>4</v>
      </c>
      <c r="H45" s="14" t="str">
        <f t="shared" si="94"/>
        <v>15031_3-4</v>
      </c>
      <c r="I45" s="4">
        <f ca="1">VLOOKUP($H45,OFFSET(floors!$A$1,0,0,COUNTA(floors!$A:$A),MATCH(I$1,floors!$1:$1,0)-MATCH($H$1,floors!$1:$1,0)+1),MATCH(I$1,floors!$1:$1,0)-MATCH($H$1,floors!$1:$1,0)+1,FALSE)</f>
        <v>60</v>
      </c>
      <c r="J45" s="4">
        <f ca="1">VLOOKUP($H45,OFFSET(floors!$A$1,0,0,COUNTA(floors!$A:$A),MATCH(J$1,floors!$1:$1,0)-MATCH($H$1,floors!$1:$1,0)+1),MATCH(J$1,floors!$1:$1,0)-MATCH($H$1,floors!$1:$1,0)+1,FALSE)</f>
        <v>60</v>
      </c>
      <c r="K45" s="35" t="s">
        <v>209</v>
      </c>
      <c r="L45" s="96">
        <v>375</v>
      </c>
      <c r="M45" s="16" t="str">
        <f ca="1">VLOOKUP($L45,OFFSET([3]enemies!$A$1,0,0,COUNTA([3]enemies!$A:$A),MATCH(M$1,[3]enemies!$1:$1,0)-MATCH($L$1,[3]enemies!$1:$1,0)+1),MATCH(M$1,[3]enemies!$1:$1,0)-MATCH($L$1,[3]enemies!$1:$1,0)+1,FALSE)</f>
        <v>蒼術兎忍 影丸</v>
      </c>
      <c r="N45" s="16" t="str">
        <f ca="1">VLOOKUP($L45,OFFSET([3]enemies!$A$1,0,0,COUNTA([3]enemies!$A:$A),MATCH(N$1,[3]enemies!$1:$1,0)-MATCH($L$1,[3]enemies!$1:$1,0)+1),MATCH(N$1,[3]enemies!$1:$1,0)-MATCH($L$1,[3]enemies!$1:$1,0)+1,FALSE)</f>
        <v>blue</v>
      </c>
      <c r="O45" s="16" t="str">
        <f ca="1">VLOOKUP($L45,OFFSET([4]characters!$A$1,0,0,COUNTA([4]characters!$A:$A),MATCH(O$1,[4]characters!$1:$1,0)-MATCH($L$1,[4]characters!$1:$1,0)+1),MATCH(O$1,[4]characters!$1:$1,0)-MATCH($L$1,[4]characters!$1:$1,0)+1,FALSE)</f>
        <v>Drop1S</v>
      </c>
      <c r="P45" s="16" t="str">
        <f ca="1">VLOOKUP($L45,OFFSET([3]enemies!$A$1,0,0,COUNTA([3]enemies!$A:$A),MATCH(P$1,[3]enemies!$1:$1,0)-MATCH($L$1,[3]enemies!$1:$1,0)+1),MATCH(P$1,[3]enemies!$1:$1,0)-MATCH($L$1,[3]enemies!$1:$1,0)+1,FALSE)</f>
        <v>animal</v>
      </c>
      <c r="Q45" s="16">
        <f ca="1">VLOOKUP($L45,OFFSET([3]enemies!$A$1,0,0,COUNTA([3]enemies!$A:$A),MATCH(Q$1,[3]enemies!$1:$1,0)-MATCH($L$1,[3]enemies!$1:$1,0)+1),MATCH(Q$1,[3]enemies!$1:$1,0)-MATCH($L$1,[3]enemies!$1:$1,0)+1,FALSE)</f>
        <v>20</v>
      </c>
      <c r="R45" s="5">
        <v>59</v>
      </c>
      <c r="S45" s="22">
        <v>2</v>
      </c>
      <c r="T45" s="22">
        <v>0.8</v>
      </c>
      <c r="U45" s="5">
        <v>0</v>
      </c>
      <c r="V45" s="4" t="str">
        <f ca="1">VLOOKUP($W45,OFFSET(enemy_skill_sets!$B$1,0,0,COUNTA(enemy_skill_sets!$B:$B),MATCH(M$1,enemy_skill_sets!$1:$1,0)-MATCH($W$1,enemy_skill_sets!$1:$1,0)+2),MATCH(M$1,enemy_skill_sets!$1:$1,0)-MATCH($W$1,enemy_skill_sets!$1:$1,0)+2,FALSE)</f>
        <v>ウィルス状態のユニットに大ダメージ</v>
      </c>
      <c r="W45" s="4">
        <v>15031033</v>
      </c>
      <c r="X45" s="6">
        <v>0</v>
      </c>
      <c r="Y45" s="6">
        <v>100</v>
      </c>
      <c r="Z45" s="6">
        <v>0</v>
      </c>
      <c r="AA45" s="16">
        <f ca="1">VLOOKUP($L45,OFFSET([3]enemies!$A$1,0,0,COUNTA([3]enemies!$A:$A),MATCH(AA$1,[3]enemies!$1:$1,0)-MATCH($L$1,[3]enemies!$1:$1,0)+1),MATCH(AA$1,[3]enemies!$1:$1,0)-MATCH($L$1,[3]enemies!$1:$1,0)+1,FALSE)</f>
        <v>1</v>
      </c>
      <c r="AB45" s="21">
        <f t="shared" si="95"/>
        <v>375</v>
      </c>
      <c r="AC45" s="4" t="str">
        <f ca="1">VLOOKUP($AB45,OFFSET([4]characters!$A$1,0,0,COUNTA([4]characters!$A:$A),MATCH(AC$1,[4]characters!$1:$1,0)-MATCH("character_id",[4]characters!$1:$1,0)+1),MATCH(AC$1,[4]characters!$1:$1,0)-MATCH("character_id",[4]characters!$1:$1,0)+1,FALSE)</f>
        <v>蒼術兎忍 影丸</v>
      </c>
      <c r="AD45" s="4">
        <f ca="1">VLOOKUP($AB45,OFFSET([4]characters!$A$1,0,0,COUNTA([4]characters!$A:$A),MATCH(AD$1,[4]characters!$1:$1,0)-MATCH("character_id",[4]characters!$1:$1,0)+1),MATCH(AD$1,[4]characters!$1:$1,0)-MATCH("character_id",[4]characters!$1:$1,0)+1,FALSE)</f>
        <v>3</v>
      </c>
      <c r="AE45" s="4" t="str">
        <f ca="1">VLOOKUP($AB45,OFFSET([4]characters!$A$1,0,0,COUNTA([4]characters!$A:$A),MATCH(AE$1,[4]characters!$1:$1,0)-MATCH("character_id",[4]characters!$1:$1,0)+1),MATCH(AE$1,[4]characters!$1:$1,0)-MATCH("character_id",[4]characters!$1:$1,0)+1,FALSE)</f>
        <v>Drop1S</v>
      </c>
      <c r="AF45" s="7">
        <v>1</v>
      </c>
      <c r="AG45" s="21">
        <f t="shared" ca="1" si="96"/>
        <v>3</v>
      </c>
      <c r="AH45" s="8">
        <v>0</v>
      </c>
      <c r="AI45" s="93">
        <v>0</v>
      </c>
      <c r="AJ45" s="93">
        <v>0</v>
      </c>
      <c r="AK45" s="93">
        <v>0</v>
      </c>
      <c r="AL45" s="93">
        <v>0</v>
      </c>
      <c r="AM45" s="93">
        <v>1</v>
      </c>
      <c r="AN45" s="66">
        <v>1</v>
      </c>
    </row>
    <row r="46" spans="1:40" ht="21" customHeight="1" x14ac:dyDescent="0.15">
      <c r="A46" s="15" t="str">
        <f t="shared" si="92"/>
        <v>15031_3-4/413&lt;lv58&gt;s2</v>
      </c>
      <c r="B46" s="95">
        <v>15031</v>
      </c>
      <c r="C46" s="98">
        <v>3</v>
      </c>
      <c r="D46" s="2" t="str">
        <f t="shared" si="93"/>
        <v>15031_3</v>
      </c>
      <c r="E46" s="4" t="str">
        <f ca="1">VLOOKUP($B46,OFFSET([2]quests!$A$1,0,0,COUNTA([2]quests!$A:$A),MATCH(E$1,[2]quests!$1:$1,0)-MATCH($B$1,[2]quests!$1:$1,0)+1),MATCH(E$1,[2]quests!$1:$1,0)-MATCH($B$1,[2]quests!$1:$1,0)+1,FALSE)</f>
        <v>31. 桜花乱城</v>
      </c>
      <c r="F46" s="4" t="str">
        <f ca="1">VLOOKUP($D46,OFFSET([2]stages!$A$1,0,0,COUNTA([2]stages!$A:$A),MATCH(F$1,[2]stages!$2:$2,0)-MATCH($D$1,[2]stages!$2:$2,0)+1),MATCH(F$1,[2]stages!$2:$2,0)-MATCH($D$1,[2]stages!$2:$2,0)+1,FALSE)</f>
        <v>31-3. 神域の試練</v>
      </c>
      <c r="G46" s="97">
        <v>4</v>
      </c>
      <c r="H46" s="14" t="str">
        <f t="shared" si="94"/>
        <v>15031_3-4</v>
      </c>
      <c r="I46" s="4">
        <f ca="1">VLOOKUP($H46,OFFSET(floors!$A$1,0,0,COUNTA(floors!$A:$A),MATCH(I$1,floors!$1:$1,0)-MATCH($H$1,floors!$1:$1,0)+1),MATCH(I$1,floors!$1:$1,0)-MATCH($H$1,floors!$1:$1,0)+1,FALSE)</f>
        <v>60</v>
      </c>
      <c r="J46" s="4">
        <f ca="1">VLOOKUP($H46,OFFSET(floors!$A$1,0,0,COUNTA(floors!$A:$A),MATCH(J$1,floors!$1:$1,0)-MATCH($H$1,floors!$1:$1,0)+1),MATCH(J$1,floors!$1:$1,0)-MATCH($H$1,floors!$1:$1,0)+1,FALSE)</f>
        <v>60</v>
      </c>
      <c r="K46" s="35" t="s">
        <v>209</v>
      </c>
      <c r="L46" s="148">
        <v>413</v>
      </c>
      <c r="M46" s="16" t="str">
        <f ca="1">VLOOKUP($L46,OFFSET([3]enemies!$A$1,0,0,COUNTA([3]enemies!$A:$A),MATCH(M$1,[3]enemies!$1:$1,0)-MATCH($L$1,[3]enemies!$1:$1,0)+1),MATCH(M$1,[3]enemies!$1:$1,0)-MATCH($L$1,[3]enemies!$1:$1,0)+1,FALSE)</f>
        <v>狂騒地蔵 コウネン</v>
      </c>
      <c r="N46" s="16" t="str">
        <f ca="1">VLOOKUP($L46,OFFSET([3]enemies!$A$1,0,0,COUNTA([3]enemies!$A:$A),MATCH(N$1,[3]enemies!$1:$1,0)-MATCH($L$1,[3]enemies!$1:$1,0)+1),MATCH(N$1,[3]enemies!$1:$1,0)-MATCH($L$1,[3]enemies!$1:$1,0)+1,FALSE)</f>
        <v>yellow</v>
      </c>
      <c r="O46" s="16" t="str">
        <f ca="1">VLOOKUP($L46,OFFSET([4]characters!$A$1,0,0,COUNTA([4]characters!$A:$A),MATCH(O$1,[4]characters!$1:$1,0)-MATCH($L$1,[4]characters!$1:$1,0)+1),MATCH(O$1,[4]characters!$1:$1,0)-MATCH($L$1,[4]characters!$1:$1,0)+1,FALSE)</f>
        <v>Drop1S</v>
      </c>
      <c r="P46" s="16" t="str">
        <f ca="1">VLOOKUP($L46,OFFSET([3]enemies!$A$1,0,0,COUNTA([3]enemies!$A:$A),MATCH(P$1,[3]enemies!$1:$1,0)-MATCH($L$1,[3]enemies!$1:$1,0)+1),MATCH(P$1,[3]enemies!$1:$1,0)-MATCH($L$1,[3]enemies!$1:$1,0)+1,FALSE)</f>
        <v>unknown</v>
      </c>
      <c r="Q46" s="16">
        <f ca="1">VLOOKUP($L46,OFFSET([3]enemies!$A$1,0,0,COUNTA([3]enemies!$A:$A),MATCH(Q$1,[3]enemies!$1:$1,0)-MATCH($L$1,[3]enemies!$1:$1,0)+1),MATCH(Q$1,[3]enemies!$1:$1,0)-MATCH($L$1,[3]enemies!$1:$1,0)+1,FALSE)</f>
        <v>20</v>
      </c>
      <c r="R46" s="5">
        <v>58</v>
      </c>
      <c r="S46" s="22">
        <v>2</v>
      </c>
      <c r="T46" s="22">
        <v>0.8</v>
      </c>
      <c r="U46" s="5">
        <v>0</v>
      </c>
      <c r="V46" s="4" t="str">
        <f ca="1">VLOOKUP($W46,OFFSET(enemy_skill_sets!$B$1,0,0,COUNTA(enemy_skill_sets!$B:$B),MATCH(M$1,enemy_skill_sets!$1:$1,0)-MATCH($W$1,enemy_skill_sets!$1:$1,0)+2),MATCH(M$1,enemy_skill_sets!$1:$1,0)-MATCH($W$1,enemy_skill_sets!$1:$1,0)+2,FALSE)</f>
        <v>全ユニットの状態異常を解除してくれた</v>
      </c>
      <c r="W46" s="4">
        <v>15031034</v>
      </c>
      <c r="X46" s="6">
        <v>0</v>
      </c>
      <c r="Y46" s="6">
        <v>100</v>
      </c>
      <c r="Z46" s="6">
        <v>0</v>
      </c>
      <c r="AA46" s="16">
        <v>2</v>
      </c>
      <c r="AB46" s="21">
        <f t="shared" si="95"/>
        <v>413</v>
      </c>
      <c r="AC46" s="4" t="str">
        <f ca="1">VLOOKUP($AB46,OFFSET([4]characters!$A$1,0,0,COUNTA([4]characters!$A:$A),MATCH(AC$1,[4]characters!$1:$1,0)-MATCH("character_id",[4]characters!$1:$1,0)+1),MATCH(AC$1,[4]characters!$1:$1,0)-MATCH("character_id",[4]characters!$1:$1,0)+1,FALSE)</f>
        <v>狂騒地蔵 コウネン</v>
      </c>
      <c r="AD46" s="4">
        <f ca="1">VLOOKUP($AB46,OFFSET([4]characters!$A$1,0,0,COUNTA([4]characters!$A:$A),MATCH(AD$1,[4]characters!$1:$1,0)-MATCH("character_id",[4]characters!$1:$1,0)+1),MATCH(AD$1,[4]characters!$1:$1,0)-MATCH("character_id",[4]characters!$1:$1,0)+1,FALSE)</f>
        <v>3</v>
      </c>
      <c r="AE46" s="4" t="str">
        <f ca="1">VLOOKUP($AB46,OFFSET([4]characters!$A$1,0,0,COUNTA([4]characters!$A:$A),MATCH(AE$1,[4]characters!$1:$1,0)-MATCH("character_id",[4]characters!$1:$1,0)+1),MATCH(AE$1,[4]characters!$1:$1,0)-MATCH("character_id",[4]characters!$1:$1,0)+1,FALSE)</f>
        <v>Drop1S</v>
      </c>
      <c r="AF46" s="7">
        <v>1</v>
      </c>
      <c r="AG46" s="21">
        <f t="shared" ca="1" si="96"/>
        <v>3</v>
      </c>
      <c r="AH46" s="8">
        <v>0</v>
      </c>
      <c r="AI46" s="93">
        <v>0</v>
      </c>
      <c r="AJ46" s="93">
        <v>0</v>
      </c>
      <c r="AK46" s="93">
        <v>0</v>
      </c>
      <c r="AL46" s="93">
        <v>0</v>
      </c>
      <c r="AM46" s="93">
        <v>1</v>
      </c>
      <c r="AN46" s="66">
        <v>1</v>
      </c>
    </row>
    <row r="47" spans="1:40" ht="21" customHeight="1" thickBot="1" x14ac:dyDescent="0.2">
      <c r="A47" s="115" t="str">
        <f t="shared" ca="1" si="80"/>
        <v>15031_3-5/595&lt;lv60&gt;s3</v>
      </c>
      <c r="B47" s="116">
        <v>15031</v>
      </c>
      <c r="C47" s="120">
        <v>3</v>
      </c>
      <c r="D47" s="118" t="str">
        <f t="shared" si="81"/>
        <v>15031_3</v>
      </c>
      <c r="E47" s="119" t="str">
        <f ca="1">VLOOKUP($B47,OFFSET([2]quests!$A$1,0,0,COUNTA([2]quests!$A:$A),MATCH(E$1,[2]quests!$1:$1,0)-MATCH($B$1,[2]quests!$1:$1,0)+1),MATCH(E$1,[2]quests!$1:$1,0)-MATCH($B$1,[2]quests!$1:$1,0)+1,FALSE)</f>
        <v>31. 桜花乱城</v>
      </c>
      <c r="F47" s="133" t="str">
        <f ca="1">VLOOKUP($D47,OFFSET([2]stages!$A$1,0,0,COUNTA([2]stages!$A:$A),MATCH(F$1,[2]stages!$2:$2,0)-MATCH($D$1,[2]stages!$2:$2,0)+1),MATCH(F$1,[2]stages!$2:$2,0)-MATCH($D$1,[2]stages!$2:$2,0)+1,FALSE)</f>
        <v>31-3. 神域の試練</v>
      </c>
      <c r="G47" s="120">
        <v>5</v>
      </c>
      <c r="H47" s="118" t="str">
        <f t="shared" ref="H47" si="97">B47&amp;"_"&amp;C47&amp;"-"&amp;G47</f>
        <v>15031_3-5</v>
      </c>
      <c r="I47" s="119">
        <f ca="1">VLOOKUP($H47,OFFSET(floors!$A$1,0,0,COUNTA(floors!$A:$A),MATCH(I$1,floors!$1:$1,0)-MATCH($H$1,floors!$1:$1,0)+1),MATCH(I$1,floors!$1:$1,0)-MATCH($H$1,floors!$1:$1,0)+1,FALSE)</f>
        <v>60</v>
      </c>
      <c r="J47" s="119">
        <f ca="1">VLOOKUP($H47,OFFSET(floors!$A$1,0,0,COUNTA(floors!$A:$A),MATCH(J$1,floors!$1:$1,0)-MATCH($H$1,floors!$1:$1,0)+1),MATCH(J$1,floors!$1:$1,0)-MATCH($H$1,floors!$1:$1,0)+1,FALSE)</f>
        <v>60</v>
      </c>
      <c r="K47" s="121">
        <v>2</v>
      </c>
      <c r="L47" s="122">
        <v>595</v>
      </c>
      <c r="M47" s="123" t="str">
        <f ca="1">VLOOKUP($L47,OFFSET([3]enemies!$A$1,0,0,COUNTA([3]enemies!$A:$A),MATCH(M$1,[3]enemies!$1:$1,0)-MATCH($L$1,[3]enemies!$1:$1,0)+1),MATCH(M$1,[3]enemies!$1:$1,0)-MATCH($L$1,[3]enemies!$1:$1,0)+1,FALSE)</f>
        <v>光華なる神域 アルフヘイム</v>
      </c>
      <c r="N47" s="123" t="str">
        <f ca="1">VLOOKUP($L47,OFFSET([3]enemies!$A$1,0,0,COUNTA([3]enemies!$A:$A),MATCH(N$1,[3]enemies!$1:$1,0)-MATCH($L$1,[3]enemies!$1:$1,0)+1),MATCH(N$1,[3]enemies!$1:$1,0)-MATCH($L$1,[3]enemies!$1:$1,0)+1,FALSE)</f>
        <v>yellow</v>
      </c>
      <c r="O47" s="123" t="str">
        <f ca="1">VLOOKUP($L47,OFFSET([4]characters!$A$1,0,0,COUNTA([4]characters!$A:$A),MATCH(O$1,[4]characters!$1:$1,0)-MATCH($L$1,[4]characters!$1:$1,0)+1),MATCH(O$1,[4]characters!$1:$1,0)-MATCH($L$1,[4]characters!$1:$1,0)+1,FALSE)</f>
        <v>PremiumSS</v>
      </c>
      <c r="P47" s="123" t="str">
        <f ca="1">VLOOKUP($L47,OFFSET([3]enemies!$A$1,0,0,COUNTA([3]enemies!$A:$A),MATCH(P$1,[3]enemies!$1:$1,0)-MATCH($L$1,[3]enemies!$1:$1,0)+1),MATCH(P$1,[3]enemies!$1:$1,0)-MATCH($L$1,[3]enemies!$1:$1,0)+1,FALSE)</f>
        <v>dragon</v>
      </c>
      <c r="Q47" s="123">
        <f ca="1">VLOOKUP($L47,OFFSET([3]enemies!$A$1,0,0,COUNTA([3]enemies!$A:$A),MATCH(Q$1,[3]enemies!$1:$1,0)-MATCH($L$1,[3]enemies!$1:$1,0)+1),MATCH(Q$1,[3]enemies!$1:$1,0)-MATCH($L$1,[3]enemies!$1:$1,0)+1,FALSE)</f>
        <v>60</v>
      </c>
      <c r="R47" s="124">
        <v>60</v>
      </c>
      <c r="S47" s="125">
        <v>2</v>
      </c>
      <c r="T47" s="125">
        <v>0.5</v>
      </c>
      <c r="U47" s="124">
        <v>0</v>
      </c>
      <c r="V47" s="119" t="str">
        <f ca="1">VLOOKUP($W47,OFFSET(enemy_skill_sets!$B$1,0,0,COUNTA(enemy_skill_sets!$B:$B),MATCH(M$1,enemy_skill_sets!$1:$1,0)-MATCH($W$1,enemy_skill_sets!$1:$1,0)+2),MATCH(M$1,enemy_skill_sets!$1:$1,0)-MATCH($W$1,enemy_skill_sets!$1:$1,0)+2,FALSE)</f>
        <v>2ターン全属性カウンター</v>
      </c>
      <c r="W47" s="119">
        <v>15031035</v>
      </c>
      <c r="X47" s="126">
        <v>1</v>
      </c>
      <c r="Y47" s="126">
        <v>100</v>
      </c>
      <c r="Z47" s="126">
        <v>1</v>
      </c>
      <c r="AA47" s="123">
        <f ca="1">VLOOKUP($L47,OFFSET([3]enemies!$A$1,0,0,COUNTA([3]enemies!$A:$A),MATCH(AA$1,[3]enemies!$1:$1,0)-MATCH($L$1,[3]enemies!$1:$1,0)+1),MATCH(AA$1,[3]enemies!$1:$1,0)-MATCH($L$1,[3]enemies!$1:$1,0)+1,FALSE)</f>
        <v>3</v>
      </c>
      <c r="AB47" s="127">
        <f t="shared" ref="AB47" si="98">L47</f>
        <v>595</v>
      </c>
      <c r="AC47" s="119" t="str">
        <f ca="1">VLOOKUP($AB47,OFFSET([4]characters!$A$1,0,0,COUNTA([4]characters!$A:$A),MATCH(AC$1,[4]characters!$1:$1,0)-MATCH("character_id",[4]characters!$1:$1,0)+1),MATCH(AC$1,[4]characters!$1:$1,0)-MATCH("character_id",[4]characters!$1:$1,0)+1,FALSE)</f>
        <v>光華なる神域 アルフヘイム</v>
      </c>
      <c r="AD47" s="119">
        <f ca="1">VLOOKUP($AB47,OFFSET([4]characters!$A$1,0,0,COUNTA([4]characters!$A:$A),MATCH(AD$1,[4]characters!$1:$1,0)-MATCH("character_id",[4]characters!$1:$1,0)+1),MATCH(AD$1,[4]characters!$1:$1,0)-MATCH("character_id",[4]characters!$1:$1,0)+1,FALSE)</f>
        <v>5</v>
      </c>
      <c r="AE47" s="119" t="str">
        <f ca="1">VLOOKUP($AB47,OFFSET([4]characters!$A$1,0,0,COUNTA([4]characters!$A:$A),MATCH(AE$1,[4]characters!$1:$1,0)-MATCH("character_id",[4]characters!$1:$1,0)+1),MATCH(AE$1,[4]characters!$1:$1,0)-MATCH("character_id",[4]characters!$1:$1,0)+1,FALSE)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47" s="128">
        <v>1</v>
      </c>
      <c r="AG47" s="127">
        <f t="shared" ref="AG47" ca="1" si="99">AD47</f>
        <v>5</v>
      </c>
      <c r="AH47" s="129">
        <v>0</v>
      </c>
      <c r="AI47" s="128">
        <v>0</v>
      </c>
      <c r="AJ47" s="128">
        <v>0</v>
      </c>
      <c r="AK47" s="128">
        <v>0</v>
      </c>
      <c r="AL47" s="128">
        <v>0</v>
      </c>
      <c r="AM47" s="128">
        <v>1</v>
      </c>
      <c r="AN47" s="130">
        <v>1</v>
      </c>
    </row>
    <row r="48" spans="1:40" ht="21" customHeight="1" x14ac:dyDescent="0.15">
      <c r="A48" s="15" t="str">
        <f t="shared" ca="1" si="10"/>
        <v>15031_4-1/607&lt;lv60&gt;s3</v>
      </c>
      <c r="B48" s="95">
        <v>15031</v>
      </c>
      <c r="C48" s="134">
        <v>4</v>
      </c>
      <c r="D48" s="104" t="str">
        <f t="shared" si="11"/>
        <v>15031_4</v>
      </c>
      <c r="E48" s="4" t="str">
        <f ca="1">VLOOKUP($B48,OFFSET([2]quests!$A$1,0,0,COUNTA([2]quests!$A:$A),MATCH(E$1,[2]quests!$1:$1,0)-MATCH($B$1,[2]quests!$1:$1,0)+1),MATCH(E$1,[2]quests!$1:$1,0)-MATCH($B$1,[2]quests!$1:$1,0)+1,FALSE)</f>
        <v>31. 桜花乱城</v>
      </c>
      <c r="F48" s="4" t="str">
        <f ca="1">VLOOKUP($D48,OFFSET([2]stages!$A$1,0,0,COUNTA([2]stages!$A:$A),MATCH(F$1,[2]stages!$2:$2,0)-MATCH($D$1,[2]stages!$2:$2,0)+1),MATCH(F$1,[2]stages!$2:$2,0)-MATCH($D$1,[2]stages!$2:$2,0)+1,FALSE)</f>
        <v>31-4. 【1回のみ】ボーナスステージ</v>
      </c>
      <c r="G48" s="94">
        <v>1</v>
      </c>
      <c r="H48" s="14" t="str">
        <f t="shared" si="12"/>
        <v>15031_4-1</v>
      </c>
      <c r="I48" s="4">
        <f ca="1">VLOOKUP($H48,OFFSET(floors!$A$1,0,0,COUNTA(floors!$A:$A),MATCH(I$1,floors!$1:$1,0)-MATCH($H$1,floors!$1:$1,0)+1),MATCH(I$1,floors!$1:$1,0)-MATCH($H$1,floors!$1:$1,0)+1,FALSE)</f>
        <v>60</v>
      </c>
      <c r="J48" s="4">
        <f ca="1">VLOOKUP($H48,OFFSET(floors!$A$1,0,0,COUNTA(floors!$A:$A),MATCH(J$1,floors!$1:$1,0)-MATCH($H$1,floors!$1:$1,0)+1),MATCH(J$1,floors!$1:$1,0)-MATCH($H$1,floors!$1:$1,0)+1,FALSE)</f>
        <v>60</v>
      </c>
      <c r="K48" s="35" t="s">
        <v>209</v>
      </c>
      <c r="L48" s="100">
        <v>607</v>
      </c>
      <c r="M48" s="16" t="str">
        <f ca="1">VLOOKUP($L48,OFFSET([3]enemies!$A$1,0,0,COUNTA([3]enemies!$A:$A),MATCH(M$1,[3]enemies!$1:$1,0)-MATCH($L$1,[3]enemies!$1:$1,0)+1),MATCH(M$1,[3]enemies!$1:$1,0)-MATCH($L$1,[3]enemies!$1:$1,0)+1,FALSE)</f>
        <v>メガ攻めの果実</v>
      </c>
      <c r="N48" s="16" t="str">
        <f ca="1">VLOOKUP($L48,OFFSET([3]enemies!$A$1,0,0,COUNTA([3]enemies!$A:$A),MATCH(N$1,[3]enemies!$1:$1,0)-MATCH($L$1,[3]enemies!$1:$1,0)+1),MATCH(N$1,[3]enemies!$1:$1,0)-MATCH($L$1,[3]enemies!$1:$1,0)+1,FALSE)</f>
        <v>red</v>
      </c>
      <c r="O48" s="16" t="str">
        <f ca="1">VLOOKUP($L48,OFFSET([4]characters!$A$1,0,0,COUNTA([4]characters!$A:$A),MATCH(O$1,[4]characters!$1:$1,0)-MATCH($L$1,[4]characters!$1:$1,0)+1),MATCH(O$1,[4]characters!$1:$1,0)-MATCH($L$1,[4]characters!$1:$1,0)+1,FALSE)</f>
        <v>Material</v>
      </c>
      <c r="P48" s="16" t="str">
        <f ca="1">VLOOKUP($L48,OFFSET([3]enemies!$A$1,0,0,COUNTA([3]enemies!$A:$A),MATCH(P$1,[3]enemies!$1:$1,0)-MATCH($L$1,[3]enemies!$1:$1,0)+1),MATCH(P$1,[3]enemies!$1:$1,0)-MATCH($L$1,[3]enemies!$1:$1,0)+1,FALSE)</f>
        <v>unknown</v>
      </c>
      <c r="Q48" s="16">
        <f ca="1">VLOOKUP($L48,OFFSET([3]enemies!$A$1,0,0,COUNTA([3]enemies!$A:$A),MATCH(Q$1,[3]enemies!$1:$1,0)-MATCH($L$1,[3]enemies!$1:$1,0)+1),MATCH(Q$1,[3]enemies!$1:$1,0)-MATCH($L$1,[3]enemies!$1:$1,0)+1,FALSE)</f>
        <v>20</v>
      </c>
      <c r="R48" s="5">
        <v>60</v>
      </c>
      <c r="S48" s="22">
        <v>1</v>
      </c>
      <c r="T48" s="22">
        <v>1</v>
      </c>
      <c r="U48" s="5">
        <v>0</v>
      </c>
      <c r="V48" s="4" t="e">
        <f ca="1">VLOOKUP($W48,OFFSET(enemy_skill_sets!$B$1,0,0,COUNTA(enemy_skill_sets!$B:$B),MATCH(M$1,enemy_skill_sets!$1:$1,0)-MATCH($W$1,enemy_skill_sets!$1:$1,0)+2),MATCH(M$1,enemy_skill_sets!$1:$1,0)-MATCH($W$1,enemy_skill_sets!$1:$1,0)+2,FALSE)</f>
        <v>#N/A</v>
      </c>
      <c r="W48" s="4">
        <f ca="1">VLOOKUP($L48,OFFSET([3]enemies!$A$1,0,0,COUNTA([3]enemies!$A:$A),MATCH(W$1,[3]enemies!$1:$1,0)-MATCH($L$1,[3]enemies!$1:$1,0)+1),MATCH(W$1,[3]enemies!$1:$1,0)-MATCH($L$1,[3]enemies!$1:$1,0)+1,FALSE)</f>
        <v>0</v>
      </c>
      <c r="X48" s="6">
        <v>0</v>
      </c>
      <c r="Y48" s="6">
        <v>100</v>
      </c>
      <c r="Z48" s="6">
        <v>0</v>
      </c>
      <c r="AA48" s="16">
        <f ca="1">VLOOKUP($L48,OFFSET([3]enemies!$A$1,0,0,COUNTA([3]enemies!$A:$A),MATCH(AA$1,[3]enemies!$1:$1,0)-MATCH($L$1,[3]enemies!$1:$1,0)+1),MATCH(AA$1,[3]enemies!$1:$1,0)-MATCH($L$1,[3]enemies!$1:$1,0)+1,FALSE)</f>
        <v>3</v>
      </c>
      <c r="AB48" s="21">
        <f t="shared" si="13"/>
        <v>607</v>
      </c>
      <c r="AC48" s="4" t="str">
        <f ca="1">VLOOKUP($AB48,OFFSET([4]characters!$A$1,0,0,COUNTA([4]characters!$A:$A),MATCH(AC$1,[4]characters!$1:$1,0)-MATCH("character_id",[4]characters!$1:$1,0)+1),MATCH(AC$1,[4]characters!$1:$1,0)-MATCH("character_id",[4]characters!$1:$1,0)+1,FALSE)</f>
        <v>メガ攻めの果実</v>
      </c>
      <c r="AD48" s="4">
        <f ca="1">VLOOKUP($AB48,OFFSET([4]characters!$A$1,0,0,COUNTA([4]characters!$A:$A),MATCH(AD$1,[4]characters!$1:$1,0)-MATCH("character_id",[4]characters!$1:$1,0)+1),MATCH(AD$1,[4]characters!$1:$1,0)-MATCH("character_id",[4]characters!$1:$1,0)+1,FALSE)</f>
        <v>4</v>
      </c>
      <c r="AE48" s="4" t="str">
        <f ca="1">VLOOKUP($AB48,OFFSET([4]characters!$A$1,0,0,COUNTA([4]characters!$A:$A),MATCH(AE$1,[4]characters!$1:$1,0)-MATCH("character_id",[4]characters!$1:$1,0)+1),MATCH(AE$1,[4]characters!$1:$1,0)-MATCH("character_id",[4]characters!$1:$1,0)+1,FALSE)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8" s="7">
        <v>1</v>
      </c>
      <c r="AG48" s="21">
        <f t="shared" ca="1" si="14"/>
        <v>4</v>
      </c>
      <c r="AH48" s="8">
        <v>100</v>
      </c>
      <c r="AI48" s="93">
        <v>0</v>
      </c>
      <c r="AJ48" s="93">
        <v>0</v>
      </c>
      <c r="AK48" s="93">
        <v>0</v>
      </c>
      <c r="AL48" s="93">
        <v>0</v>
      </c>
      <c r="AM48" s="93">
        <v>1</v>
      </c>
      <c r="AN48" s="66">
        <v>1</v>
      </c>
    </row>
    <row r="49" spans="1:40" ht="21" customHeight="1" x14ac:dyDescent="0.15">
      <c r="A49" s="15" t="str">
        <f t="shared" ca="1" si="10"/>
        <v>15031_4-1/608&lt;lv60&gt;s3</v>
      </c>
      <c r="B49" s="95">
        <v>15031</v>
      </c>
      <c r="C49" s="94">
        <v>4</v>
      </c>
      <c r="D49" s="2" t="str">
        <f t="shared" si="11"/>
        <v>15031_4</v>
      </c>
      <c r="E49" s="4" t="str">
        <f ca="1">VLOOKUP($B49,OFFSET([2]quests!$A$1,0,0,COUNTA([2]quests!$A:$A),MATCH(E$1,[2]quests!$1:$1,0)-MATCH($B$1,[2]quests!$1:$1,0)+1),MATCH(E$1,[2]quests!$1:$1,0)-MATCH($B$1,[2]quests!$1:$1,0)+1,FALSE)</f>
        <v>31. 桜花乱城</v>
      </c>
      <c r="F49" s="4" t="str">
        <f ca="1">VLOOKUP($D49,OFFSET([2]stages!$A$1,0,0,COUNTA([2]stages!$A:$A),MATCH(F$1,[2]stages!$2:$2,0)-MATCH($D$1,[2]stages!$2:$2,0)+1),MATCH(F$1,[2]stages!$2:$2,0)-MATCH($D$1,[2]stages!$2:$2,0)+1,FALSE)</f>
        <v>31-4. 【1回のみ】ボーナスステージ</v>
      </c>
      <c r="G49" s="94">
        <v>1</v>
      </c>
      <c r="H49" s="14" t="str">
        <f t="shared" si="12"/>
        <v>15031_4-1</v>
      </c>
      <c r="I49" s="4">
        <f ca="1">VLOOKUP($H49,OFFSET(floors!$A$1,0,0,COUNTA(floors!$A:$A),MATCH(I$1,floors!$1:$1,0)-MATCH($H$1,floors!$1:$1,0)+1),MATCH(I$1,floors!$1:$1,0)-MATCH($H$1,floors!$1:$1,0)+1,FALSE)</f>
        <v>60</v>
      </c>
      <c r="J49" s="4">
        <f ca="1">VLOOKUP($H49,OFFSET(floors!$A$1,0,0,COUNTA(floors!$A:$A),MATCH(J$1,floors!$1:$1,0)-MATCH($H$1,floors!$1:$1,0)+1),MATCH(J$1,floors!$1:$1,0)-MATCH($H$1,floors!$1:$1,0)+1,FALSE)</f>
        <v>60</v>
      </c>
      <c r="K49" s="35" t="s">
        <v>209</v>
      </c>
      <c r="L49" s="94">
        <v>608</v>
      </c>
      <c r="M49" s="16" t="str">
        <f ca="1">VLOOKUP($L49,OFFSET([3]enemies!$A$1,0,0,COUNTA([3]enemies!$A:$A),MATCH(M$1,[3]enemies!$1:$1,0)-MATCH($L$1,[3]enemies!$1:$1,0)+1),MATCH(M$1,[3]enemies!$1:$1,0)-MATCH($L$1,[3]enemies!$1:$1,0)+1,FALSE)</f>
        <v>メガ生命の果実</v>
      </c>
      <c r="N49" s="16" t="str">
        <f ca="1">VLOOKUP($L49,OFFSET([3]enemies!$A$1,0,0,COUNTA([3]enemies!$A:$A),MATCH(N$1,[3]enemies!$1:$1,0)-MATCH($L$1,[3]enemies!$1:$1,0)+1),MATCH(N$1,[3]enemies!$1:$1,0)-MATCH($L$1,[3]enemies!$1:$1,0)+1,FALSE)</f>
        <v>green</v>
      </c>
      <c r="O49" s="16" t="str">
        <f ca="1">VLOOKUP($L49,OFFSET([4]characters!$A$1,0,0,COUNTA([4]characters!$A:$A),MATCH(O$1,[4]characters!$1:$1,0)-MATCH($L$1,[4]characters!$1:$1,0)+1),MATCH(O$1,[4]characters!$1:$1,0)-MATCH($L$1,[4]characters!$1:$1,0)+1,FALSE)</f>
        <v>Material</v>
      </c>
      <c r="P49" s="16" t="str">
        <f ca="1">VLOOKUP($L49,OFFSET([3]enemies!$A$1,0,0,COUNTA([3]enemies!$A:$A),MATCH(P$1,[3]enemies!$1:$1,0)-MATCH($L$1,[3]enemies!$1:$1,0)+1),MATCH(P$1,[3]enemies!$1:$1,0)-MATCH($L$1,[3]enemies!$1:$1,0)+1,FALSE)</f>
        <v>unknown</v>
      </c>
      <c r="Q49" s="16">
        <f ca="1">VLOOKUP($L49,OFFSET([3]enemies!$A$1,0,0,COUNTA([3]enemies!$A:$A),MATCH(Q$1,[3]enemies!$1:$1,0)-MATCH($L$1,[3]enemies!$1:$1,0)+1),MATCH(Q$1,[3]enemies!$1:$1,0)-MATCH($L$1,[3]enemies!$1:$1,0)+1,FALSE)</f>
        <v>20</v>
      </c>
      <c r="R49" s="5">
        <v>60</v>
      </c>
      <c r="S49" s="22">
        <v>1</v>
      </c>
      <c r="T49" s="22">
        <v>1</v>
      </c>
      <c r="U49" s="5">
        <v>0</v>
      </c>
      <c r="V49" s="4" t="e">
        <f ca="1">VLOOKUP($W49,OFFSET(enemy_skill_sets!$B$1,0,0,COUNTA(enemy_skill_sets!$B:$B),MATCH(M$1,enemy_skill_sets!$1:$1,0)-MATCH($W$1,enemy_skill_sets!$1:$1,0)+2),MATCH(M$1,enemy_skill_sets!$1:$1,0)-MATCH($W$1,enemy_skill_sets!$1:$1,0)+2,FALSE)</f>
        <v>#N/A</v>
      </c>
      <c r="W49" s="4">
        <f ca="1">VLOOKUP($L49,OFFSET([3]enemies!$A$1,0,0,COUNTA([3]enemies!$A:$A),MATCH(W$1,[3]enemies!$1:$1,0)-MATCH($L$1,[3]enemies!$1:$1,0)+1),MATCH(W$1,[3]enemies!$1:$1,0)-MATCH($L$1,[3]enemies!$1:$1,0)+1,FALSE)</f>
        <v>0</v>
      </c>
      <c r="X49" s="6">
        <v>0</v>
      </c>
      <c r="Y49" s="6">
        <v>100</v>
      </c>
      <c r="Z49" s="6">
        <v>0</v>
      </c>
      <c r="AA49" s="16">
        <f ca="1">VLOOKUP($L49,OFFSET([3]enemies!$A$1,0,0,COUNTA([3]enemies!$A:$A),MATCH(AA$1,[3]enemies!$1:$1,0)-MATCH($L$1,[3]enemies!$1:$1,0)+1),MATCH(AA$1,[3]enemies!$1:$1,0)-MATCH($L$1,[3]enemies!$1:$1,0)+1,FALSE)</f>
        <v>3</v>
      </c>
      <c r="AB49" s="21">
        <f t="shared" si="13"/>
        <v>608</v>
      </c>
      <c r="AC49" s="4" t="str">
        <f ca="1">VLOOKUP($AB49,OFFSET([4]characters!$A$1,0,0,COUNTA([4]characters!$A:$A),MATCH(AC$1,[4]characters!$1:$1,0)-MATCH("character_id",[4]characters!$1:$1,0)+1),MATCH(AC$1,[4]characters!$1:$1,0)-MATCH("character_id",[4]characters!$1:$1,0)+1,FALSE)</f>
        <v>メガ生命の果実</v>
      </c>
      <c r="AD49" s="4">
        <f ca="1">VLOOKUP($AB49,OFFSET([4]characters!$A$1,0,0,COUNTA([4]characters!$A:$A),MATCH(AD$1,[4]characters!$1:$1,0)-MATCH("character_id",[4]characters!$1:$1,0)+1),MATCH(AD$1,[4]characters!$1:$1,0)-MATCH("character_id",[4]characters!$1:$1,0)+1,FALSE)</f>
        <v>4</v>
      </c>
      <c r="AE49" s="4" t="str">
        <f ca="1">VLOOKUP($AB49,OFFSET([4]characters!$A$1,0,0,COUNTA([4]characters!$A:$A),MATCH(AE$1,[4]characters!$1:$1,0)-MATCH("character_id",[4]characters!$1:$1,0)+1),MATCH(AE$1,[4]characters!$1:$1,0)-MATCH("character_id",[4]characters!$1:$1,0)+1,FALSE)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9" s="7">
        <v>1</v>
      </c>
      <c r="AG49" s="21">
        <f t="shared" ca="1" si="14"/>
        <v>4</v>
      </c>
      <c r="AH49" s="8">
        <v>100</v>
      </c>
      <c r="AI49" s="93">
        <v>0</v>
      </c>
      <c r="AJ49" s="93">
        <v>0</v>
      </c>
      <c r="AK49" s="93">
        <v>0</v>
      </c>
      <c r="AL49" s="93">
        <v>0</v>
      </c>
      <c r="AM49" s="93">
        <v>1</v>
      </c>
      <c r="AN49" s="66">
        <v>1</v>
      </c>
    </row>
    <row r="50" spans="1:40" ht="21" customHeight="1" x14ac:dyDescent="0.15">
      <c r="A50" s="15" t="str">
        <f t="shared" ca="1" si="10"/>
        <v>15031_4-1/609&lt;lv60&gt;s3</v>
      </c>
      <c r="B50" s="95">
        <v>15031</v>
      </c>
      <c r="C50" s="94">
        <v>4</v>
      </c>
      <c r="D50" s="2" t="str">
        <f t="shared" si="11"/>
        <v>15031_4</v>
      </c>
      <c r="E50" s="4" t="str">
        <f ca="1">VLOOKUP($B50,OFFSET([2]quests!$A$1,0,0,COUNTA([2]quests!$A:$A),MATCH(E$1,[2]quests!$1:$1,0)-MATCH($B$1,[2]quests!$1:$1,0)+1),MATCH(E$1,[2]quests!$1:$1,0)-MATCH($B$1,[2]quests!$1:$1,0)+1,FALSE)</f>
        <v>31. 桜花乱城</v>
      </c>
      <c r="F50" s="4" t="str">
        <f ca="1">VLOOKUP($D50,OFFSET([2]stages!$A$1,0,0,COUNTA([2]stages!$A:$A),MATCH(F$1,[2]stages!$2:$2,0)-MATCH($D$1,[2]stages!$2:$2,0)+1),MATCH(F$1,[2]stages!$2:$2,0)-MATCH($D$1,[2]stages!$2:$2,0)+1,FALSE)</f>
        <v>31-4. 【1回のみ】ボーナスステージ</v>
      </c>
      <c r="G50" s="94">
        <v>1</v>
      </c>
      <c r="H50" s="14" t="str">
        <f t="shared" si="12"/>
        <v>15031_4-1</v>
      </c>
      <c r="I50" s="4">
        <f ca="1">VLOOKUP($H50,OFFSET(floors!$A$1,0,0,COUNTA(floors!$A:$A),MATCH(I$1,floors!$1:$1,0)-MATCH($H$1,floors!$1:$1,0)+1),MATCH(I$1,floors!$1:$1,0)-MATCH($H$1,floors!$1:$1,0)+1,FALSE)</f>
        <v>60</v>
      </c>
      <c r="J50" s="4">
        <f ca="1">VLOOKUP($H50,OFFSET(floors!$A$1,0,0,COUNTA(floors!$A:$A),MATCH(J$1,floors!$1:$1,0)-MATCH($H$1,floors!$1:$1,0)+1),MATCH(J$1,floors!$1:$1,0)-MATCH($H$1,floors!$1:$1,0)+1,FALSE)</f>
        <v>60</v>
      </c>
      <c r="K50" s="35" t="s">
        <v>209</v>
      </c>
      <c r="L50" s="100">
        <v>609</v>
      </c>
      <c r="M50" s="16" t="str">
        <f ca="1">VLOOKUP($L50,OFFSET([3]enemies!$A$1,0,0,COUNTA([3]enemies!$A:$A),MATCH(M$1,[3]enemies!$1:$1,0)-MATCH($L$1,[3]enemies!$1:$1,0)+1),MATCH(M$1,[3]enemies!$1:$1,0)-MATCH($L$1,[3]enemies!$1:$1,0)+1,FALSE)</f>
        <v>メガ癒しの果実</v>
      </c>
      <c r="N50" s="16" t="str">
        <f ca="1">VLOOKUP($L50,OFFSET([3]enemies!$A$1,0,0,COUNTA([3]enemies!$A:$A),MATCH(N$1,[3]enemies!$1:$1,0)-MATCH($L$1,[3]enemies!$1:$1,0)+1),MATCH(N$1,[3]enemies!$1:$1,0)-MATCH($L$1,[3]enemies!$1:$1,0)+1,FALSE)</f>
        <v>blue</v>
      </c>
      <c r="O50" s="16" t="str">
        <f ca="1">VLOOKUP($L50,OFFSET([4]characters!$A$1,0,0,COUNTA([4]characters!$A:$A),MATCH(O$1,[4]characters!$1:$1,0)-MATCH($L$1,[4]characters!$1:$1,0)+1),MATCH(O$1,[4]characters!$1:$1,0)-MATCH($L$1,[4]characters!$1:$1,0)+1,FALSE)</f>
        <v>Material</v>
      </c>
      <c r="P50" s="16" t="str">
        <f ca="1">VLOOKUP($L50,OFFSET([3]enemies!$A$1,0,0,COUNTA([3]enemies!$A:$A),MATCH(P$1,[3]enemies!$1:$1,0)-MATCH($L$1,[3]enemies!$1:$1,0)+1),MATCH(P$1,[3]enemies!$1:$1,0)-MATCH($L$1,[3]enemies!$1:$1,0)+1,FALSE)</f>
        <v>unknown</v>
      </c>
      <c r="Q50" s="16">
        <f ca="1">VLOOKUP($L50,OFFSET([3]enemies!$A$1,0,0,COUNTA([3]enemies!$A:$A),MATCH(Q$1,[3]enemies!$1:$1,0)-MATCH($L$1,[3]enemies!$1:$1,0)+1),MATCH(Q$1,[3]enemies!$1:$1,0)-MATCH($L$1,[3]enemies!$1:$1,0)+1,FALSE)</f>
        <v>20</v>
      </c>
      <c r="R50" s="5">
        <v>60</v>
      </c>
      <c r="S50" s="22">
        <v>1</v>
      </c>
      <c r="T50" s="22">
        <v>1</v>
      </c>
      <c r="U50" s="5">
        <v>0</v>
      </c>
      <c r="V50" s="4" t="e">
        <f ca="1">VLOOKUP($W50,OFFSET(enemy_skill_sets!$B$1,0,0,COUNTA(enemy_skill_sets!$B:$B),MATCH(M$1,enemy_skill_sets!$1:$1,0)-MATCH($W$1,enemy_skill_sets!$1:$1,0)+2),MATCH(M$1,enemy_skill_sets!$1:$1,0)-MATCH($W$1,enemy_skill_sets!$1:$1,0)+2,FALSE)</f>
        <v>#N/A</v>
      </c>
      <c r="W50" s="4">
        <f ca="1">VLOOKUP($L50,OFFSET([3]enemies!$A$1,0,0,COUNTA([3]enemies!$A:$A),MATCH(W$1,[3]enemies!$1:$1,0)-MATCH($L$1,[3]enemies!$1:$1,0)+1),MATCH(W$1,[3]enemies!$1:$1,0)-MATCH($L$1,[3]enemies!$1:$1,0)+1,FALSE)</f>
        <v>0</v>
      </c>
      <c r="X50" s="6">
        <v>0</v>
      </c>
      <c r="Y50" s="6">
        <v>100</v>
      </c>
      <c r="Z50" s="6">
        <v>0</v>
      </c>
      <c r="AA50" s="16">
        <f ca="1">VLOOKUP($L50,OFFSET([3]enemies!$A$1,0,0,COUNTA([3]enemies!$A:$A),MATCH(AA$1,[3]enemies!$1:$1,0)-MATCH($L$1,[3]enemies!$1:$1,0)+1),MATCH(AA$1,[3]enemies!$1:$1,0)-MATCH($L$1,[3]enemies!$1:$1,0)+1,FALSE)</f>
        <v>3</v>
      </c>
      <c r="AB50" s="21">
        <f t="shared" si="13"/>
        <v>609</v>
      </c>
      <c r="AC50" s="4" t="str">
        <f ca="1">VLOOKUP($AB50,OFFSET([4]characters!$A$1,0,0,COUNTA([4]characters!$A:$A),MATCH(AC$1,[4]characters!$1:$1,0)-MATCH("character_id",[4]characters!$1:$1,0)+1),MATCH(AC$1,[4]characters!$1:$1,0)-MATCH("character_id",[4]characters!$1:$1,0)+1,FALSE)</f>
        <v>メガ癒しの果実</v>
      </c>
      <c r="AD50" s="4">
        <f ca="1">VLOOKUP($AB50,OFFSET([4]characters!$A$1,0,0,COUNTA([4]characters!$A:$A),MATCH(AD$1,[4]characters!$1:$1,0)-MATCH("character_id",[4]characters!$1:$1,0)+1),MATCH(AD$1,[4]characters!$1:$1,0)-MATCH("character_id",[4]characters!$1:$1,0)+1,FALSE)</f>
        <v>4</v>
      </c>
      <c r="AE50" s="4" t="str">
        <f ca="1">VLOOKUP($AB50,OFFSET([4]characters!$A$1,0,0,COUNTA([4]characters!$A:$A),MATCH(AE$1,[4]characters!$1:$1,0)-MATCH("character_id",[4]characters!$1:$1,0)+1),MATCH(AE$1,[4]characters!$1:$1,0)-MATCH("character_id",[4]characters!$1:$1,0)+1,FALSE)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0" s="7">
        <v>1</v>
      </c>
      <c r="AG50" s="21">
        <f t="shared" ca="1" si="14"/>
        <v>4</v>
      </c>
      <c r="AH50" s="8">
        <v>100</v>
      </c>
      <c r="AI50" s="93">
        <v>0</v>
      </c>
      <c r="AJ50" s="93">
        <v>0</v>
      </c>
      <c r="AK50" s="93">
        <v>0</v>
      </c>
      <c r="AL50" s="93">
        <v>0</v>
      </c>
      <c r="AM50" s="93">
        <v>1</v>
      </c>
      <c r="AN50" s="66">
        <v>1</v>
      </c>
    </row>
    <row r="51" spans="1:40" ht="21" customHeight="1" x14ac:dyDescent="0.15">
      <c r="A51" s="15" t="str">
        <f t="shared" ca="1" si="10"/>
        <v>15031_4-2/607&lt;lv60&gt;s3</v>
      </c>
      <c r="B51" s="95">
        <v>15031</v>
      </c>
      <c r="C51" s="94">
        <v>4</v>
      </c>
      <c r="D51" s="2" t="str">
        <f t="shared" si="11"/>
        <v>15031_4</v>
      </c>
      <c r="E51" s="4" t="str">
        <f ca="1">VLOOKUP($B51,OFFSET([2]quests!$A$1,0,0,COUNTA([2]quests!$A:$A),MATCH(E$1,[2]quests!$1:$1,0)-MATCH($B$1,[2]quests!$1:$1,0)+1),MATCH(E$1,[2]quests!$1:$1,0)-MATCH($B$1,[2]quests!$1:$1,0)+1,FALSE)</f>
        <v>31. 桜花乱城</v>
      </c>
      <c r="F51" s="4" t="str">
        <f ca="1">VLOOKUP($D51,OFFSET([2]stages!$A$1,0,0,COUNTA([2]stages!$A:$A),MATCH(F$1,[2]stages!$2:$2,0)-MATCH($D$1,[2]stages!$2:$2,0)+1),MATCH(F$1,[2]stages!$2:$2,0)-MATCH($D$1,[2]stages!$2:$2,0)+1,FALSE)</f>
        <v>31-4. 【1回のみ】ボーナスステージ</v>
      </c>
      <c r="G51" s="94">
        <v>2</v>
      </c>
      <c r="H51" s="14" t="str">
        <f t="shared" si="12"/>
        <v>15031_4-2</v>
      </c>
      <c r="I51" s="4">
        <f ca="1">VLOOKUP($H51,OFFSET(floors!$A$1,0,0,COUNTA(floors!$A:$A),MATCH(I$1,floors!$1:$1,0)-MATCH($H$1,floors!$1:$1,0)+1),MATCH(I$1,floors!$1:$1,0)-MATCH($H$1,floors!$1:$1,0)+1,FALSE)</f>
        <v>60</v>
      </c>
      <c r="J51" s="4">
        <f ca="1">VLOOKUP($H51,OFFSET(floors!$A$1,0,0,COUNTA(floors!$A:$A),MATCH(J$1,floors!$1:$1,0)-MATCH($H$1,floors!$1:$1,0)+1),MATCH(J$1,floors!$1:$1,0)-MATCH($H$1,floors!$1:$1,0)+1,FALSE)</f>
        <v>60</v>
      </c>
      <c r="K51" s="35" t="s">
        <v>209</v>
      </c>
      <c r="L51" s="100">
        <v>607</v>
      </c>
      <c r="M51" s="16" t="str">
        <f ca="1">VLOOKUP($L51,OFFSET([3]enemies!$A$1,0,0,COUNTA([3]enemies!$A:$A),MATCH(M$1,[3]enemies!$1:$1,0)-MATCH($L$1,[3]enemies!$1:$1,0)+1),MATCH(M$1,[3]enemies!$1:$1,0)-MATCH($L$1,[3]enemies!$1:$1,0)+1,FALSE)</f>
        <v>メガ攻めの果実</v>
      </c>
      <c r="N51" s="16" t="str">
        <f ca="1">VLOOKUP($L51,OFFSET([3]enemies!$A$1,0,0,COUNTA([3]enemies!$A:$A),MATCH(N$1,[3]enemies!$1:$1,0)-MATCH($L$1,[3]enemies!$1:$1,0)+1),MATCH(N$1,[3]enemies!$1:$1,0)-MATCH($L$1,[3]enemies!$1:$1,0)+1,FALSE)</f>
        <v>red</v>
      </c>
      <c r="O51" s="16" t="str">
        <f ca="1">VLOOKUP($L51,OFFSET([4]characters!$A$1,0,0,COUNTA([4]characters!$A:$A),MATCH(O$1,[4]characters!$1:$1,0)-MATCH($L$1,[4]characters!$1:$1,0)+1),MATCH(O$1,[4]characters!$1:$1,0)-MATCH($L$1,[4]characters!$1:$1,0)+1,FALSE)</f>
        <v>Material</v>
      </c>
      <c r="P51" s="16" t="str">
        <f ca="1">VLOOKUP($L51,OFFSET([3]enemies!$A$1,0,0,COUNTA([3]enemies!$A:$A),MATCH(P$1,[3]enemies!$1:$1,0)-MATCH($L$1,[3]enemies!$1:$1,0)+1),MATCH(P$1,[3]enemies!$1:$1,0)-MATCH($L$1,[3]enemies!$1:$1,0)+1,FALSE)</f>
        <v>unknown</v>
      </c>
      <c r="Q51" s="16">
        <f ca="1">VLOOKUP($L51,OFFSET([3]enemies!$A$1,0,0,COUNTA([3]enemies!$A:$A),MATCH(Q$1,[3]enemies!$1:$1,0)-MATCH($L$1,[3]enemies!$1:$1,0)+1),MATCH(Q$1,[3]enemies!$1:$1,0)-MATCH($L$1,[3]enemies!$1:$1,0)+1,FALSE)</f>
        <v>20</v>
      </c>
      <c r="R51" s="5">
        <v>60</v>
      </c>
      <c r="S51" s="22">
        <v>1</v>
      </c>
      <c r="T51" s="22">
        <v>1</v>
      </c>
      <c r="U51" s="5">
        <v>0</v>
      </c>
      <c r="V51" s="4" t="e">
        <f ca="1">VLOOKUP($W51,OFFSET(enemy_skill_sets!$B$1,0,0,COUNTA(enemy_skill_sets!$B:$B),MATCH(M$1,enemy_skill_sets!$1:$1,0)-MATCH($W$1,enemy_skill_sets!$1:$1,0)+2),MATCH(M$1,enemy_skill_sets!$1:$1,0)-MATCH($W$1,enemy_skill_sets!$1:$1,0)+2,FALSE)</f>
        <v>#N/A</v>
      </c>
      <c r="W51" s="4">
        <f ca="1">VLOOKUP($L51,OFFSET([3]enemies!$A$1,0,0,COUNTA([3]enemies!$A:$A),MATCH(W$1,[3]enemies!$1:$1,0)-MATCH($L$1,[3]enemies!$1:$1,0)+1),MATCH(W$1,[3]enemies!$1:$1,0)-MATCH($L$1,[3]enemies!$1:$1,0)+1,FALSE)</f>
        <v>0</v>
      </c>
      <c r="X51" s="6">
        <v>0</v>
      </c>
      <c r="Y51" s="6">
        <v>100</v>
      </c>
      <c r="Z51" s="6">
        <v>0</v>
      </c>
      <c r="AA51" s="16">
        <f ca="1">VLOOKUP($L51,OFFSET([3]enemies!$A$1,0,0,COUNTA([3]enemies!$A:$A),MATCH(AA$1,[3]enemies!$1:$1,0)-MATCH($L$1,[3]enemies!$1:$1,0)+1),MATCH(AA$1,[3]enemies!$1:$1,0)-MATCH($L$1,[3]enemies!$1:$1,0)+1,FALSE)</f>
        <v>3</v>
      </c>
      <c r="AB51" s="21">
        <f t="shared" si="13"/>
        <v>607</v>
      </c>
      <c r="AC51" s="4" t="str">
        <f ca="1">VLOOKUP($AB51,OFFSET([4]characters!$A$1,0,0,COUNTA([4]characters!$A:$A),MATCH(AC$1,[4]characters!$1:$1,0)-MATCH("character_id",[4]characters!$1:$1,0)+1),MATCH(AC$1,[4]characters!$1:$1,0)-MATCH("character_id",[4]characters!$1:$1,0)+1,FALSE)</f>
        <v>メガ攻めの果実</v>
      </c>
      <c r="AD51" s="4">
        <f ca="1">VLOOKUP($AB51,OFFSET([4]characters!$A$1,0,0,COUNTA([4]characters!$A:$A),MATCH(AD$1,[4]characters!$1:$1,0)-MATCH("character_id",[4]characters!$1:$1,0)+1),MATCH(AD$1,[4]characters!$1:$1,0)-MATCH("character_id",[4]characters!$1:$1,0)+1,FALSE)</f>
        <v>4</v>
      </c>
      <c r="AE51" s="4" t="str">
        <f ca="1">VLOOKUP($AB51,OFFSET([4]characters!$A$1,0,0,COUNTA([4]characters!$A:$A),MATCH(AE$1,[4]characters!$1:$1,0)-MATCH("character_id",[4]characters!$1:$1,0)+1),MATCH(AE$1,[4]characters!$1:$1,0)-MATCH("character_id",[4]characters!$1:$1,0)+1,FALSE)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1" s="7">
        <v>1</v>
      </c>
      <c r="AG51" s="21">
        <f t="shared" ca="1" si="14"/>
        <v>4</v>
      </c>
      <c r="AH51" s="8">
        <v>100</v>
      </c>
      <c r="AI51" s="93">
        <v>0</v>
      </c>
      <c r="AJ51" s="93">
        <v>0</v>
      </c>
      <c r="AK51" s="93">
        <v>0</v>
      </c>
      <c r="AL51" s="93">
        <v>0</v>
      </c>
      <c r="AM51" s="93">
        <v>1</v>
      </c>
      <c r="AN51" s="66">
        <v>1</v>
      </c>
    </row>
    <row r="52" spans="1:40" ht="21" customHeight="1" x14ac:dyDescent="0.15">
      <c r="A52" s="15" t="str">
        <f t="shared" ca="1" si="10"/>
        <v>15031_4-2/608&lt;lv60&gt;s3</v>
      </c>
      <c r="B52" s="95">
        <v>15031</v>
      </c>
      <c r="C52" s="94">
        <v>4</v>
      </c>
      <c r="D52" s="2" t="str">
        <f t="shared" si="11"/>
        <v>15031_4</v>
      </c>
      <c r="E52" s="4" t="str">
        <f ca="1">VLOOKUP($B52,OFFSET([2]quests!$A$1,0,0,COUNTA([2]quests!$A:$A),MATCH(E$1,[2]quests!$1:$1,0)-MATCH($B$1,[2]quests!$1:$1,0)+1),MATCH(E$1,[2]quests!$1:$1,0)-MATCH($B$1,[2]quests!$1:$1,0)+1,FALSE)</f>
        <v>31. 桜花乱城</v>
      </c>
      <c r="F52" s="4" t="str">
        <f ca="1">VLOOKUP($D52,OFFSET([2]stages!$A$1,0,0,COUNTA([2]stages!$A:$A),MATCH(F$1,[2]stages!$2:$2,0)-MATCH($D$1,[2]stages!$2:$2,0)+1),MATCH(F$1,[2]stages!$2:$2,0)-MATCH($D$1,[2]stages!$2:$2,0)+1,FALSE)</f>
        <v>31-4. 【1回のみ】ボーナスステージ</v>
      </c>
      <c r="G52" s="94">
        <v>2</v>
      </c>
      <c r="H52" s="14" t="str">
        <f t="shared" si="12"/>
        <v>15031_4-2</v>
      </c>
      <c r="I52" s="4">
        <f ca="1">VLOOKUP($H52,OFFSET(floors!$A$1,0,0,COUNTA(floors!$A:$A),MATCH(I$1,floors!$1:$1,0)-MATCH($H$1,floors!$1:$1,0)+1),MATCH(I$1,floors!$1:$1,0)-MATCH($H$1,floors!$1:$1,0)+1,FALSE)</f>
        <v>60</v>
      </c>
      <c r="J52" s="4">
        <f ca="1">VLOOKUP($H52,OFFSET(floors!$A$1,0,0,COUNTA(floors!$A:$A),MATCH(J$1,floors!$1:$1,0)-MATCH($H$1,floors!$1:$1,0)+1),MATCH(J$1,floors!$1:$1,0)-MATCH($H$1,floors!$1:$1,0)+1,FALSE)</f>
        <v>60</v>
      </c>
      <c r="K52" s="35" t="s">
        <v>209</v>
      </c>
      <c r="L52" s="94">
        <v>608</v>
      </c>
      <c r="M52" s="16" t="str">
        <f ca="1">VLOOKUP($L52,OFFSET([3]enemies!$A$1,0,0,COUNTA([3]enemies!$A:$A),MATCH(M$1,[3]enemies!$1:$1,0)-MATCH($L$1,[3]enemies!$1:$1,0)+1),MATCH(M$1,[3]enemies!$1:$1,0)-MATCH($L$1,[3]enemies!$1:$1,0)+1,FALSE)</f>
        <v>メガ生命の果実</v>
      </c>
      <c r="N52" s="16" t="str">
        <f ca="1">VLOOKUP($L52,OFFSET([3]enemies!$A$1,0,0,COUNTA([3]enemies!$A:$A),MATCH(N$1,[3]enemies!$1:$1,0)-MATCH($L$1,[3]enemies!$1:$1,0)+1),MATCH(N$1,[3]enemies!$1:$1,0)-MATCH($L$1,[3]enemies!$1:$1,0)+1,FALSE)</f>
        <v>green</v>
      </c>
      <c r="O52" s="16" t="str">
        <f ca="1">VLOOKUP($L52,OFFSET([4]characters!$A$1,0,0,COUNTA([4]characters!$A:$A),MATCH(O$1,[4]characters!$1:$1,0)-MATCH($L$1,[4]characters!$1:$1,0)+1),MATCH(O$1,[4]characters!$1:$1,0)-MATCH($L$1,[4]characters!$1:$1,0)+1,FALSE)</f>
        <v>Material</v>
      </c>
      <c r="P52" s="16" t="str">
        <f ca="1">VLOOKUP($L52,OFFSET([3]enemies!$A$1,0,0,COUNTA([3]enemies!$A:$A),MATCH(P$1,[3]enemies!$1:$1,0)-MATCH($L$1,[3]enemies!$1:$1,0)+1),MATCH(P$1,[3]enemies!$1:$1,0)-MATCH($L$1,[3]enemies!$1:$1,0)+1,FALSE)</f>
        <v>unknown</v>
      </c>
      <c r="Q52" s="16">
        <f ca="1">VLOOKUP($L52,OFFSET([3]enemies!$A$1,0,0,COUNTA([3]enemies!$A:$A),MATCH(Q$1,[3]enemies!$1:$1,0)-MATCH($L$1,[3]enemies!$1:$1,0)+1),MATCH(Q$1,[3]enemies!$1:$1,0)-MATCH($L$1,[3]enemies!$1:$1,0)+1,FALSE)</f>
        <v>20</v>
      </c>
      <c r="R52" s="5">
        <v>60</v>
      </c>
      <c r="S52" s="22">
        <v>1</v>
      </c>
      <c r="T52" s="22">
        <v>1</v>
      </c>
      <c r="U52" s="5">
        <v>0</v>
      </c>
      <c r="V52" s="4" t="e">
        <f ca="1">VLOOKUP($W52,OFFSET(enemy_skill_sets!$B$1,0,0,COUNTA(enemy_skill_sets!$B:$B),MATCH(M$1,enemy_skill_sets!$1:$1,0)-MATCH($W$1,enemy_skill_sets!$1:$1,0)+2),MATCH(M$1,enemy_skill_sets!$1:$1,0)-MATCH($W$1,enemy_skill_sets!$1:$1,0)+2,FALSE)</f>
        <v>#N/A</v>
      </c>
      <c r="W52" s="4">
        <f ca="1">VLOOKUP($L52,OFFSET([3]enemies!$A$1,0,0,COUNTA([3]enemies!$A:$A),MATCH(W$1,[3]enemies!$1:$1,0)-MATCH($L$1,[3]enemies!$1:$1,0)+1),MATCH(W$1,[3]enemies!$1:$1,0)-MATCH($L$1,[3]enemies!$1:$1,0)+1,FALSE)</f>
        <v>0</v>
      </c>
      <c r="X52" s="6">
        <v>0</v>
      </c>
      <c r="Y52" s="6">
        <v>100</v>
      </c>
      <c r="Z52" s="6">
        <v>0</v>
      </c>
      <c r="AA52" s="16">
        <f ca="1">VLOOKUP($L52,OFFSET([3]enemies!$A$1,0,0,COUNTA([3]enemies!$A:$A),MATCH(AA$1,[3]enemies!$1:$1,0)-MATCH($L$1,[3]enemies!$1:$1,0)+1),MATCH(AA$1,[3]enemies!$1:$1,0)-MATCH($L$1,[3]enemies!$1:$1,0)+1,FALSE)</f>
        <v>3</v>
      </c>
      <c r="AB52" s="21">
        <f t="shared" si="13"/>
        <v>608</v>
      </c>
      <c r="AC52" s="4" t="str">
        <f ca="1">VLOOKUP($AB52,OFFSET([4]characters!$A$1,0,0,COUNTA([4]characters!$A:$A),MATCH(AC$1,[4]characters!$1:$1,0)-MATCH("character_id",[4]characters!$1:$1,0)+1),MATCH(AC$1,[4]characters!$1:$1,0)-MATCH("character_id",[4]characters!$1:$1,0)+1,FALSE)</f>
        <v>メガ生命の果実</v>
      </c>
      <c r="AD52" s="4">
        <f ca="1">VLOOKUP($AB52,OFFSET([4]characters!$A$1,0,0,COUNTA([4]characters!$A:$A),MATCH(AD$1,[4]characters!$1:$1,0)-MATCH("character_id",[4]characters!$1:$1,0)+1),MATCH(AD$1,[4]characters!$1:$1,0)-MATCH("character_id",[4]characters!$1:$1,0)+1,FALSE)</f>
        <v>4</v>
      </c>
      <c r="AE52" s="4" t="str">
        <f ca="1">VLOOKUP($AB52,OFFSET([4]characters!$A$1,0,0,COUNTA([4]characters!$A:$A),MATCH(AE$1,[4]characters!$1:$1,0)-MATCH("character_id",[4]characters!$1:$1,0)+1),MATCH(AE$1,[4]characters!$1:$1,0)-MATCH("character_id",[4]characters!$1:$1,0)+1,FALSE)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2" s="7">
        <v>1</v>
      </c>
      <c r="AG52" s="21">
        <f t="shared" ca="1" si="14"/>
        <v>4</v>
      </c>
      <c r="AH52" s="8">
        <v>100</v>
      </c>
      <c r="AI52" s="93">
        <v>0</v>
      </c>
      <c r="AJ52" s="93">
        <v>0</v>
      </c>
      <c r="AK52" s="93">
        <v>0</v>
      </c>
      <c r="AL52" s="93">
        <v>0</v>
      </c>
      <c r="AM52" s="93">
        <v>1</v>
      </c>
      <c r="AN52" s="66">
        <v>1</v>
      </c>
    </row>
    <row r="53" spans="1:40" ht="21" customHeight="1" x14ac:dyDescent="0.15">
      <c r="A53" s="15" t="str">
        <f t="shared" ref="A53:A55" ca="1" si="100">B53&amp;"_"&amp;C53&amp;"-"&amp;G53&amp;"/"&amp;L53&amp;"&lt;lv"&amp;R53&amp;"&gt;s"&amp;AA53</f>
        <v>15031_4-2/609&lt;lv60&gt;s3</v>
      </c>
      <c r="B53" s="95">
        <v>15031</v>
      </c>
      <c r="C53" s="94">
        <v>4</v>
      </c>
      <c r="D53" s="2" t="str">
        <f t="shared" ref="D53:D55" si="101">B53&amp;"_"&amp;C53</f>
        <v>15031_4</v>
      </c>
      <c r="E53" s="4" t="str">
        <f ca="1">VLOOKUP($B53,OFFSET([2]quests!$A$1,0,0,COUNTA([2]quests!$A:$A),MATCH(E$1,[2]quests!$1:$1,0)-MATCH($B$1,[2]quests!$1:$1,0)+1),MATCH(E$1,[2]quests!$1:$1,0)-MATCH($B$1,[2]quests!$1:$1,0)+1,FALSE)</f>
        <v>31. 桜花乱城</v>
      </c>
      <c r="F53" s="4" t="str">
        <f ca="1">VLOOKUP($D53,OFFSET([2]stages!$A$1,0,0,COUNTA([2]stages!$A:$A),MATCH(F$1,[2]stages!$2:$2,0)-MATCH($D$1,[2]stages!$2:$2,0)+1),MATCH(F$1,[2]stages!$2:$2,0)-MATCH($D$1,[2]stages!$2:$2,0)+1,FALSE)</f>
        <v>31-4. 【1回のみ】ボーナスステージ</v>
      </c>
      <c r="G53" s="94">
        <v>2</v>
      </c>
      <c r="H53" s="14" t="str">
        <f t="shared" ref="H53:H55" si="102">B53&amp;"_"&amp;C53&amp;"-"&amp;G53</f>
        <v>15031_4-2</v>
      </c>
      <c r="I53" s="4">
        <f ca="1">VLOOKUP($H53,OFFSET(floors!$A$1,0,0,COUNTA(floors!$A:$A),MATCH(I$1,floors!$1:$1,0)-MATCH($H$1,floors!$1:$1,0)+1),MATCH(I$1,floors!$1:$1,0)-MATCH($H$1,floors!$1:$1,0)+1,FALSE)</f>
        <v>60</v>
      </c>
      <c r="J53" s="4">
        <f ca="1">VLOOKUP($H53,OFFSET(floors!$A$1,0,0,COUNTA(floors!$A:$A),MATCH(J$1,floors!$1:$1,0)-MATCH($H$1,floors!$1:$1,0)+1),MATCH(J$1,floors!$1:$1,0)-MATCH($H$1,floors!$1:$1,0)+1,FALSE)</f>
        <v>60</v>
      </c>
      <c r="K53" s="35" t="s">
        <v>209</v>
      </c>
      <c r="L53" s="94">
        <v>609</v>
      </c>
      <c r="M53" s="16" t="str">
        <f ca="1">VLOOKUP($L53,OFFSET([3]enemies!$A$1,0,0,COUNTA([3]enemies!$A:$A),MATCH(M$1,[3]enemies!$1:$1,0)-MATCH($L$1,[3]enemies!$1:$1,0)+1),MATCH(M$1,[3]enemies!$1:$1,0)-MATCH($L$1,[3]enemies!$1:$1,0)+1,FALSE)</f>
        <v>メガ癒しの果実</v>
      </c>
      <c r="N53" s="16" t="str">
        <f ca="1">VLOOKUP($L53,OFFSET([3]enemies!$A$1,0,0,COUNTA([3]enemies!$A:$A),MATCH(N$1,[3]enemies!$1:$1,0)-MATCH($L$1,[3]enemies!$1:$1,0)+1),MATCH(N$1,[3]enemies!$1:$1,0)-MATCH($L$1,[3]enemies!$1:$1,0)+1,FALSE)</f>
        <v>blue</v>
      </c>
      <c r="O53" s="16" t="str">
        <f ca="1">VLOOKUP($L53,OFFSET([4]characters!$A$1,0,0,COUNTA([4]characters!$A:$A),MATCH(O$1,[4]characters!$1:$1,0)-MATCH($L$1,[4]characters!$1:$1,0)+1),MATCH(O$1,[4]characters!$1:$1,0)-MATCH($L$1,[4]characters!$1:$1,0)+1,FALSE)</f>
        <v>Material</v>
      </c>
      <c r="P53" s="16" t="str">
        <f ca="1">VLOOKUP($L53,OFFSET([3]enemies!$A$1,0,0,COUNTA([3]enemies!$A:$A),MATCH(P$1,[3]enemies!$1:$1,0)-MATCH($L$1,[3]enemies!$1:$1,0)+1),MATCH(P$1,[3]enemies!$1:$1,0)-MATCH($L$1,[3]enemies!$1:$1,0)+1,FALSE)</f>
        <v>unknown</v>
      </c>
      <c r="Q53" s="16">
        <f ca="1">VLOOKUP($L53,OFFSET([3]enemies!$A$1,0,0,COUNTA([3]enemies!$A:$A),MATCH(Q$1,[3]enemies!$1:$1,0)-MATCH($L$1,[3]enemies!$1:$1,0)+1),MATCH(Q$1,[3]enemies!$1:$1,0)-MATCH($L$1,[3]enemies!$1:$1,0)+1,FALSE)</f>
        <v>20</v>
      </c>
      <c r="R53" s="5">
        <v>60</v>
      </c>
      <c r="S53" s="22">
        <v>1</v>
      </c>
      <c r="T53" s="22">
        <v>1</v>
      </c>
      <c r="U53" s="5">
        <v>0</v>
      </c>
      <c r="V53" s="4" t="e">
        <f ca="1">VLOOKUP($W53,OFFSET(enemy_skill_sets!$B$1,0,0,COUNTA(enemy_skill_sets!$B:$B),MATCH(M$1,enemy_skill_sets!$1:$1,0)-MATCH($W$1,enemy_skill_sets!$1:$1,0)+2),MATCH(M$1,enemy_skill_sets!$1:$1,0)-MATCH($W$1,enemy_skill_sets!$1:$1,0)+2,FALSE)</f>
        <v>#N/A</v>
      </c>
      <c r="W53" s="4">
        <f ca="1">VLOOKUP($L53,OFFSET([3]enemies!$A$1,0,0,COUNTA([3]enemies!$A:$A),MATCH(W$1,[3]enemies!$1:$1,0)-MATCH($L$1,[3]enemies!$1:$1,0)+1),MATCH(W$1,[3]enemies!$1:$1,0)-MATCH($L$1,[3]enemies!$1:$1,0)+1,FALSE)</f>
        <v>0</v>
      </c>
      <c r="X53" s="6">
        <v>0</v>
      </c>
      <c r="Y53" s="6">
        <v>100</v>
      </c>
      <c r="Z53" s="6">
        <v>0</v>
      </c>
      <c r="AA53" s="16">
        <f ca="1">VLOOKUP($L53,OFFSET([3]enemies!$A$1,0,0,COUNTA([3]enemies!$A:$A),MATCH(AA$1,[3]enemies!$1:$1,0)-MATCH($L$1,[3]enemies!$1:$1,0)+1),MATCH(AA$1,[3]enemies!$1:$1,0)-MATCH($L$1,[3]enemies!$1:$1,0)+1,FALSE)</f>
        <v>3</v>
      </c>
      <c r="AB53" s="21">
        <f t="shared" ref="AB53:AB55" si="103">L53</f>
        <v>609</v>
      </c>
      <c r="AC53" s="4" t="str">
        <f ca="1">VLOOKUP($AB53,OFFSET([4]characters!$A$1,0,0,COUNTA([4]characters!$A:$A),MATCH(AC$1,[4]characters!$1:$1,0)-MATCH("character_id",[4]characters!$1:$1,0)+1),MATCH(AC$1,[4]characters!$1:$1,0)-MATCH("character_id",[4]characters!$1:$1,0)+1,FALSE)</f>
        <v>メガ癒しの果実</v>
      </c>
      <c r="AD53" s="4">
        <f ca="1">VLOOKUP($AB53,OFFSET([4]characters!$A$1,0,0,COUNTA([4]characters!$A:$A),MATCH(AD$1,[4]characters!$1:$1,0)-MATCH("character_id",[4]characters!$1:$1,0)+1),MATCH(AD$1,[4]characters!$1:$1,0)-MATCH("character_id",[4]characters!$1:$1,0)+1,FALSE)</f>
        <v>4</v>
      </c>
      <c r="AE53" s="4" t="str">
        <f ca="1">VLOOKUP($AB53,OFFSET([4]characters!$A$1,0,0,COUNTA([4]characters!$A:$A),MATCH(AE$1,[4]characters!$1:$1,0)-MATCH("character_id",[4]characters!$1:$1,0)+1),MATCH(AE$1,[4]characters!$1:$1,0)-MATCH("character_id",[4]characters!$1:$1,0)+1,FALSE)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3" s="7">
        <v>1</v>
      </c>
      <c r="AG53" s="21">
        <f t="shared" ref="AG53:AG55" ca="1" si="104">AD53</f>
        <v>4</v>
      </c>
      <c r="AH53" s="8">
        <v>100</v>
      </c>
      <c r="AI53" s="93">
        <v>0</v>
      </c>
      <c r="AJ53" s="93">
        <v>0</v>
      </c>
      <c r="AK53" s="93">
        <v>0</v>
      </c>
      <c r="AL53" s="93">
        <v>0</v>
      </c>
      <c r="AM53" s="93">
        <v>1</v>
      </c>
      <c r="AN53" s="66">
        <v>1</v>
      </c>
    </row>
    <row r="54" spans="1:40" ht="21" customHeight="1" x14ac:dyDescent="0.15">
      <c r="A54" s="15" t="str">
        <f t="shared" ca="1" si="100"/>
        <v>15031_4-3/125&lt;lv60&gt;s4</v>
      </c>
      <c r="B54" s="95">
        <v>15031</v>
      </c>
      <c r="C54" s="94">
        <v>4</v>
      </c>
      <c r="D54" s="2" t="str">
        <f t="shared" si="101"/>
        <v>15031_4</v>
      </c>
      <c r="E54" s="4" t="str">
        <f ca="1">VLOOKUP($B54,OFFSET([2]quests!$A$1,0,0,COUNTA([2]quests!$A:$A),MATCH(E$1,[2]quests!$1:$1,0)-MATCH($B$1,[2]quests!$1:$1,0)+1),MATCH(E$1,[2]quests!$1:$1,0)-MATCH($B$1,[2]quests!$1:$1,0)+1,FALSE)</f>
        <v>31. 桜花乱城</v>
      </c>
      <c r="F54" s="4" t="str">
        <f ca="1">VLOOKUP($D54,OFFSET([2]stages!$A$1,0,0,COUNTA([2]stages!$A:$A),MATCH(F$1,[2]stages!$2:$2,0)-MATCH($D$1,[2]stages!$2:$2,0)+1),MATCH(F$1,[2]stages!$2:$2,0)-MATCH($D$1,[2]stages!$2:$2,0)+1,FALSE)</f>
        <v>31-4. 【1回のみ】ボーナスステージ</v>
      </c>
      <c r="G54" s="94">
        <v>3</v>
      </c>
      <c r="H54" s="14" t="str">
        <f t="shared" si="102"/>
        <v>15031_4-3</v>
      </c>
      <c r="I54" s="4">
        <f ca="1">VLOOKUP($H54,OFFSET(floors!$A$1,0,0,COUNTA(floors!$A:$A),MATCH(I$1,floors!$1:$1,0)-MATCH($H$1,floors!$1:$1,0)+1),MATCH(I$1,floors!$1:$1,0)-MATCH($H$1,floors!$1:$1,0)+1,FALSE)</f>
        <v>60</v>
      </c>
      <c r="J54" s="4">
        <f ca="1">VLOOKUP($H54,OFFSET(floors!$A$1,0,0,COUNTA(floors!$A:$A),MATCH(J$1,floors!$1:$1,0)-MATCH($H$1,floors!$1:$1,0)+1),MATCH(J$1,floors!$1:$1,0)-MATCH($H$1,floors!$1:$1,0)+1,FALSE)</f>
        <v>60</v>
      </c>
      <c r="K54" s="35" t="s">
        <v>209</v>
      </c>
      <c r="L54" s="100">
        <v>125</v>
      </c>
      <c r="M54" s="16" t="str">
        <f ca="1">VLOOKUP($L54,OFFSET([3]enemies!$A$1,0,0,COUNTA([3]enemies!$A:$A),MATCH(M$1,[3]enemies!$1:$1,0)-MATCH($L$1,[3]enemies!$1:$1,0)+1),MATCH(M$1,[3]enemies!$1:$1,0)-MATCH($L$1,[3]enemies!$1:$1,0)+1,FALSE)</f>
        <v>秘術の果実</v>
      </c>
      <c r="N54" s="16" t="str">
        <f ca="1">VLOOKUP($L54,OFFSET([3]enemies!$A$1,0,0,COUNTA([3]enemies!$A:$A),MATCH(N$1,[3]enemies!$1:$1,0)-MATCH($L$1,[3]enemies!$1:$1,0)+1),MATCH(N$1,[3]enemies!$1:$1,0)-MATCH($L$1,[3]enemies!$1:$1,0)+1,FALSE)</f>
        <v>blue</v>
      </c>
      <c r="O54" s="16" t="str">
        <f ca="1">VLOOKUP($L54,OFFSET([4]characters!$A$1,0,0,COUNTA([4]characters!$A:$A),MATCH(O$1,[4]characters!$1:$1,0)-MATCH($L$1,[4]characters!$1:$1,0)+1),MATCH(O$1,[4]characters!$1:$1,0)-MATCH($L$1,[4]characters!$1:$1,0)+1,FALSE)</f>
        <v>Material</v>
      </c>
      <c r="P54" s="16" t="str">
        <f ca="1">VLOOKUP($L54,OFFSET([3]enemies!$A$1,0,0,COUNTA([3]enemies!$A:$A),MATCH(P$1,[3]enemies!$1:$1,0)-MATCH($L$1,[3]enemies!$1:$1,0)+1),MATCH(P$1,[3]enemies!$1:$1,0)-MATCH($L$1,[3]enemies!$1:$1,0)+1,FALSE)</f>
        <v>unknown</v>
      </c>
      <c r="Q54" s="16">
        <f ca="1">VLOOKUP($L54,OFFSET([3]enemies!$A$1,0,0,COUNTA([3]enemies!$A:$A),MATCH(Q$1,[3]enemies!$1:$1,0)-MATCH($L$1,[3]enemies!$1:$1,0)+1),MATCH(Q$1,[3]enemies!$1:$1,0)-MATCH($L$1,[3]enemies!$1:$1,0)+1,FALSE)</f>
        <v>20</v>
      </c>
      <c r="R54" s="5">
        <v>60</v>
      </c>
      <c r="S54" s="22">
        <v>1</v>
      </c>
      <c r="T54" s="22">
        <v>1</v>
      </c>
      <c r="U54" s="5">
        <v>0</v>
      </c>
      <c r="V54" s="4" t="e">
        <f ca="1">VLOOKUP($W54,OFFSET(enemy_skill_sets!$B$1,0,0,COUNTA(enemy_skill_sets!$B:$B),MATCH(M$1,enemy_skill_sets!$1:$1,0)-MATCH($W$1,enemy_skill_sets!$1:$1,0)+2),MATCH(M$1,enemy_skill_sets!$1:$1,0)-MATCH($W$1,enemy_skill_sets!$1:$1,0)+2,FALSE)</f>
        <v>#N/A</v>
      </c>
      <c r="W54" s="4">
        <f ca="1">VLOOKUP($L54,OFFSET([3]enemies!$A$1,0,0,COUNTA([3]enemies!$A:$A),MATCH(W$1,[3]enemies!$1:$1,0)-MATCH($L$1,[3]enemies!$1:$1,0)+1),MATCH(W$1,[3]enemies!$1:$1,0)-MATCH($L$1,[3]enemies!$1:$1,0)+1,FALSE)</f>
        <v>0</v>
      </c>
      <c r="X54" s="6">
        <v>0</v>
      </c>
      <c r="Y54" s="6">
        <v>100</v>
      </c>
      <c r="Z54" s="6">
        <v>0</v>
      </c>
      <c r="AA54" s="16">
        <f ca="1">VLOOKUP($L54,OFFSET([3]enemies!$A$1,0,0,COUNTA([3]enemies!$A:$A),MATCH(AA$1,[3]enemies!$1:$1,0)-MATCH($L$1,[3]enemies!$1:$1,0)+1),MATCH(AA$1,[3]enemies!$1:$1,0)-MATCH($L$1,[3]enemies!$1:$1,0)+1,FALSE)</f>
        <v>4</v>
      </c>
      <c r="AB54" s="21">
        <f t="shared" si="103"/>
        <v>125</v>
      </c>
      <c r="AC54" s="4" t="str">
        <f ca="1">VLOOKUP($AB54,OFFSET([4]characters!$A$1,0,0,COUNTA([4]characters!$A:$A),MATCH(AC$1,[4]characters!$1:$1,0)-MATCH("character_id",[4]characters!$1:$1,0)+1),MATCH(AC$1,[4]characters!$1:$1,0)-MATCH("character_id",[4]characters!$1:$1,0)+1,FALSE)</f>
        <v>秘術の果実</v>
      </c>
      <c r="AD54" s="4">
        <f ca="1">VLOOKUP($AB54,OFFSET([4]characters!$A$1,0,0,COUNTA([4]characters!$A:$A),MATCH(AD$1,[4]characters!$1:$1,0)-MATCH("character_id",[4]characters!$1:$1,0)+1),MATCH(AD$1,[4]characters!$1:$1,0)-MATCH("character_id",[4]characters!$1:$1,0)+1,FALSE)</f>
        <v>3</v>
      </c>
      <c r="AE54" s="4" t="str">
        <f ca="1">VLOOKUP($AB54,OFFSET([4]characters!$A$1,0,0,COUNTA([4]characters!$A:$A),MATCH(AE$1,[4]characters!$1:$1,0)-MATCH("character_id",[4]characters!$1:$1,0)+1),MATCH(AE$1,[4]characters!$1:$1,0)-MATCH("character_id",[4]characters!$1:$1,0)+1,FALSE)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4" s="7">
        <v>1</v>
      </c>
      <c r="AG54" s="21">
        <f t="shared" ca="1" si="104"/>
        <v>3</v>
      </c>
      <c r="AH54" s="8">
        <v>100</v>
      </c>
      <c r="AI54" s="93">
        <v>0</v>
      </c>
      <c r="AJ54" s="93">
        <v>0</v>
      </c>
      <c r="AK54" s="93">
        <v>0</v>
      </c>
      <c r="AL54" s="93">
        <v>0</v>
      </c>
      <c r="AM54" s="93">
        <v>1</v>
      </c>
      <c r="AN54" s="66">
        <v>1</v>
      </c>
    </row>
    <row r="55" spans="1:40" ht="21" customHeight="1" x14ac:dyDescent="0.15">
      <c r="A55" s="15" t="str">
        <f t="shared" ca="1" si="100"/>
        <v>15031_4-4/607&lt;lv60&gt;s3</v>
      </c>
      <c r="B55" s="95">
        <v>15031</v>
      </c>
      <c r="C55" s="94">
        <v>4</v>
      </c>
      <c r="D55" s="2" t="str">
        <f t="shared" si="101"/>
        <v>15031_4</v>
      </c>
      <c r="E55" s="4" t="str">
        <f ca="1">VLOOKUP($B55,OFFSET([2]quests!$A$1,0,0,COUNTA([2]quests!$A:$A),MATCH(E$1,[2]quests!$1:$1,0)-MATCH($B$1,[2]quests!$1:$1,0)+1),MATCH(E$1,[2]quests!$1:$1,0)-MATCH($B$1,[2]quests!$1:$1,0)+1,FALSE)</f>
        <v>31. 桜花乱城</v>
      </c>
      <c r="F55" s="4" t="str">
        <f ca="1">VLOOKUP($D55,OFFSET([2]stages!$A$1,0,0,COUNTA([2]stages!$A:$A),MATCH(F$1,[2]stages!$2:$2,0)-MATCH($D$1,[2]stages!$2:$2,0)+1),MATCH(F$1,[2]stages!$2:$2,0)-MATCH($D$1,[2]stages!$2:$2,0)+1,FALSE)</f>
        <v>31-4. 【1回のみ】ボーナスステージ</v>
      </c>
      <c r="G55" s="94">
        <v>4</v>
      </c>
      <c r="H55" s="14" t="str">
        <f t="shared" si="102"/>
        <v>15031_4-4</v>
      </c>
      <c r="I55" s="4">
        <f ca="1">VLOOKUP($H55,OFFSET(floors!$A$1,0,0,COUNTA(floors!$A:$A),MATCH(I$1,floors!$1:$1,0)-MATCH($H$1,floors!$1:$1,0)+1),MATCH(I$1,floors!$1:$1,0)-MATCH($H$1,floors!$1:$1,0)+1,FALSE)</f>
        <v>60</v>
      </c>
      <c r="J55" s="4">
        <f ca="1">VLOOKUP($H55,OFFSET(floors!$A$1,0,0,COUNTA(floors!$A:$A),MATCH(J$1,floors!$1:$1,0)-MATCH($H$1,floors!$1:$1,0)+1),MATCH(J$1,floors!$1:$1,0)-MATCH($H$1,floors!$1:$1,0)+1,FALSE)</f>
        <v>60</v>
      </c>
      <c r="K55" s="35" t="s">
        <v>209</v>
      </c>
      <c r="L55" s="94">
        <v>607</v>
      </c>
      <c r="M55" s="16" t="str">
        <f ca="1">VLOOKUP($L55,OFFSET([3]enemies!$A$1,0,0,COUNTA([3]enemies!$A:$A),MATCH(M$1,[3]enemies!$1:$1,0)-MATCH($L$1,[3]enemies!$1:$1,0)+1),MATCH(M$1,[3]enemies!$1:$1,0)-MATCH($L$1,[3]enemies!$1:$1,0)+1,FALSE)</f>
        <v>メガ攻めの果実</v>
      </c>
      <c r="N55" s="16" t="str">
        <f ca="1">VLOOKUP($L55,OFFSET([3]enemies!$A$1,0,0,COUNTA([3]enemies!$A:$A),MATCH(N$1,[3]enemies!$1:$1,0)-MATCH($L$1,[3]enemies!$1:$1,0)+1),MATCH(N$1,[3]enemies!$1:$1,0)-MATCH($L$1,[3]enemies!$1:$1,0)+1,FALSE)</f>
        <v>red</v>
      </c>
      <c r="O55" s="16" t="str">
        <f ca="1">VLOOKUP($L55,OFFSET([4]characters!$A$1,0,0,COUNTA([4]characters!$A:$A),MATCH(O$1,[4]characters!$1:$1,0)-MATCH($L$1,[4]characters!$1:$1,0)+1),MATCH(O$1,[4]characters!$1:$1,0)-MATCH($L$1,[4]characters!$1:$1,0)+1,FALSE)</f>
        <v>Material</v>
      </c>
      <c r="P55" s="16" t="str">
        <f ca="1">VLOOKUP($L55,OFFSET([3]enemies!$A$1,0,0,COUNTA([3]enemies!$A:$A),MATCH(P$1,[3]enemies!$1:$1,0)-MATCH($L$1,[3]enemies!$1:$1,0)+1),MATCH(P$1,[3]enemies!$1:$1,0)-MATCH($L$1,[3]enemies!$1:$1,0)+1,FALSE)</f>
        <v>unknown</v>
      </c>
      <c r="Q55" s="16">
        <f ca="1">VLOOKUP($L55,OFFSET([3]enemies!$A$1,0,0,COUNTA([3]enemies!$A:$A),MATCH(Q$1,[3]enemies!$1:$1,0)-MATCH($L$1,[3]enemies!$1:$1,0)+1),MATCH(Q$1,[3]enemies!$1:$1,0)-MATCH($L$1,[3]enemies!$1:$1,0)+1,FALSE)</f>
        <v>20</v>
      </c>
      <c r="R55" s="5">
        <v>60</v>
      </c>
      <c r="S55" s="22">
        <v>1</v>
      </c>
      <c r="T55" s="22">
        <v>1</v>
      </c>
      <c r="U55" s="5">
        <v>0</v>
      </c>
      <c r="V55" s="4" t="e">
        <f ca="1">VLOOKUP($W55,OFFSET(enemy_skill_sets!$B$1,0,0,COUNTA(enemy_skill_sets!$B:$B),MATCH(M$1,enemy_skill_sets!$1:$1,0)-MATCH($W$1,enemy_skill_sets!$1:$1,0)+2),MATCH(M$1,enemy_skill_sets!$1:$1,0)-MATCH($W$1,enemy_skill_sets!$1:$1,0)+2,FALSE)</f>
        <v>#N/A</v>
      </c>
      <c r="W55" s="4">
        <f ca="1">VLOOKUP($L55,OFFSET([3]enemies!$A$1,0,0,COUNTA([3]enemies!$A:$A),MATCH(W$1,[3]enemies!$1:$1,0)-MATCH($L$1,[3]enemies!$1:$1,0)+1),MATCH(W$1,[3]enemies!$1:$1,0)-MATCH($L$1,[3]enemies!$1:$1,0)+1,FALSE)</f>
        <v>0</v>
      </c>
      <c r="X55" s="6">
        <v>0</v>
      </c>
      <c r="Y55" s="6">
        <v>100</v>
      </c>
      <c r="Z55" s="6">
        <v>0</v>
      </c>
      <c r="AA55" s="16">
        <f ca="1">VLOOKUP($L55,OFFSET([3]enemies!$A$1,0,0,COUNTA([3]enemies!$A:$A),MATCH(AA$1,[3]enemies!$1:$1,0)-MATCH($L$1,[3]enemies!$1:$1,0)+1),MATCH(AA$1,[3]enemies!$1:$1,0)-MATCH($L$1,[3]enemies!$1:$1,0)+1,FALSE)</f>
        <v>3</v>
      </c>
      <c r="AB55" s="21">
        <f t="shared" si="103"/>
        <v>607</v>
      </c>
      <c r="AC55" s="4" t="str">
        <f ca="1">VLOOKUP($AB55,OFFSET([4]characters!$A$1,0,0,COUNTA([4]characters!$A:$A),MATCH(AC$1,[4]characters!$1:$1,0)-MATCH("character_id",[4]characters!$1:$1,0)+1),MATCH(AC$1,[4]characters!$1:$1,0)-MATCH("character_id",[4]characters!$1:$1,0)+1,FALSE)</f>
        <v>メガ攻めの果実</v>
      </c>
      <c r="AD55" s="4">
        <f ca="1">VLOOKUP($AB55,OFFSET([4]characters!$A$1,0,0,COUNTA([4]characters!$A:$A),MATCH(AD$1,[4]characters!$1:$1,0)-MATCH("character_id",[4]characters!$1:$1,0)+1),MATCH(AD$1,[4]characters!$1:$1,0)-MATCH("character_id",[4]characters!$1:$1,0)+1,FALSE)</f>
        <v>4</v>
      </c>
      <c r="AE55" s="4" t="str">
        <f ca="1">VLOOKUP($AB55,OFFSET([4]characters!$A$1,0,0,COUNTA([4]characters!$A:$A),MATCH(AE$1,[4]characters!$1:$1,0)-MATCH("character_id",[4]characters!$1:$1,0)+1),MATCH(AE$1,[4]characters!$1:$1,0)-MATCH("character_id",[4]characters!$1:$1,0)+1,FALSE)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5" s="7">
        <v>1</v>
      </c>
      <c r="AG55" s="21">
        <f t="shared" ca="1" si="104"/>
        <v>4</v>
      </c>
      <c r="AH55" s="8">
        <v>100</v>
      </c>
      <c r="AI55" s="93">
        <v>0</v>
      </c>
      <c r="AJ55" s="93">
        <v>0</v>
      </c>
      <c r="AK55" s="93">
        <v>0</v>
      </c>
      <c r="AL55" s="93">
        <v>0</v>
      </c>
      <c r="AM55" s="93">
        <v>1</v>
      </c>
      <c r="AN55" s="66">
        <v>1</v>
      </c>
    </row>
    <row r="56" spans="1:40" ht="21" customHeight="1" x14ac:dyDescent="0.15">
      <c r="A56" s="15" t="str">
        <f t="shared" ref="A56:A61" ca="1" si="105">B56&amp;"_"&amp;C56&amp;"-"&amp;G56&amp;"/"&amp;L56&amp;"&lt;lv"&amp;R56&amp;"&gt;s"&amp;AA56</f>
        <v>15031_4-4/608&lt;lv60&gt;s3</v>
      </c>
      <c r="B56" s="95">
        <v>15031</v>
      </c>
      <c r="C56" s="94">
        <v>4</v>
      </c>
      <c r="D56" s="2" t="str">
        <f t="shared" ref="D56:D61" si="106">B56&amp;"_"&amp;C56</f>
        <v>15031_4</v>
      </c>
      <c r="E56" s="4" t="str">
        <f ca="1">VLOOKUP($B56,OFFSET([2]quests!$A$1,0,0,COUNTA([2]quests!$A:$A),MATCH(E$1,[2]quests!$1:$1,0)-MATCH($B$1,[2]quests!$1:$1,0)+1),MATCH(E$1,[2]quests!$1:$1,0)-MATCH($B$1,[2]quests!$1:$1,0)+1,FALSE)</f>
        <v>31. 桜花乱城</v>
      </c>
      <c r="F56" s="4" t="str">
        <f ca="1">VLOOKUP($D56,OFFSET([2]stages!$A$1,0,0,COUNTA([2]stages!$A:$A),MATCH(F$1,[2]stages!$2:$2,0)-MATCH($D$1,[2]stages!$2:$2,0)+1),MATCH(F$1,[2]stages!$2:$2,0)-MATCH($D$1,[2]stages!$2:$2,0)+1,FALSE)</f>
        <v>31-4. 【1回のみ】ボーナスステージ</v>
      </c>
      <c r="G56" s="94">
        <v>4</v>
      </c>
      <c r="H56" s="14" t="str">
        <f t="shared" ref="H56:H61" si="107">B56&amp;"_"&amp;C56&amp;"-"&amp;G56</f>
        <v>15031_4-4</v>
      </c>
      <c r="I56" s="4">
        <f ca="1">VLOOKUP($H56,OFFSET(floors!$A$1,0,0,COUNTA(floors!$A:$A),MATCH(I$1,floors!$1:$1,0)-MATCH($H$1,floors!$1:$1,0)+1),MATCH(I$1,floors!$1:$1,0)-MATCH($H$1,floors!$1:$1,0)+1,FALSE)</f>
        <v>60</v>
      </c>
      <c r="J56" s="4">
        <f ca="1">VLOOKUP($H56,OFFSET(floors!$A$1,0,0,COUNTA(floors!$A:$A),MATCH(J$1,floors!$1:$1,0)-MATCH($H$1,floors!$1:$1,0)+1),MATCH(J$1,floors!$1:$1,0)-MATCH($H$1,floors!$1:$1,0)+1,FALSE)</f>
        <v>60</v>
      </c>
      <c r="K56" s="35" t="s">
        <v>209</v>
      </c>
      <c r="L56" s="94">
        <v>608</v>
      </c>
      <c r="M56" s="16" t="str">
        <f ca="1">VLOOKUP($L56,OFFSET([3]enemies!$A$1,0,0,COUNTA([3]enemies!$A:$A),MATCH(M$1,[3]enemies!$1:$1,0)-MATCH($L$1,[3]enemies!$1:$1,0)+1),MATCH(M$1,[3]enemies!$1:$1,0)-MATCH($L$1,[3]enemies!$1:$1,0)+1,FALSE)</f>
        <v>メガ生命の果実</v>
      </c>
      <c r="N56" s="16" t="str">
        <f ca="1">VLOOKUP($L56,OFFSET([3]enemies!$A$1,0,0,COUNTA([3]enemies!$A:$A),MATCH(N$1,[3]enemies!$1:$1,0)-MATCH($L$1,[3]enemies!$1:$1,0)+1),MATCH(N$1,[3]enemies!$1:$1,0)-MATCH($L$1,[3]enemies!$1:$1,0)+1,FALSE)</f>
        <v>green</v>
      </c>
      <c r="O56" s="16" t="str">
        <f ca="1">VLOOKUP($L56,OFFSET([4]characters!$A$1,0,0,COUNTA([4]characters!$A:$A),MATCH(O$1,[4]characters!$1:$1,0)-MATCH($L$1,[4]characters!$1:$1,0)+1),MATCH(O$1,[4]characters!$1:$1,0)-MATCH($L$1,[4]characters!$1:$1,0)+1,FALSE)</f>
        <v>Material</v>
      </c>
      <c r="P56" s="16" t="str">
        <f ca="1">VLOOKUP($L56,OFFSET([3]enemies!$A$1,0,0,COUNTA([3]enemies!$A:$A),MATCH(P$1,[3]enemies!$1:$1,0)-MATCH($L$1,[3]enemies!$1:$1,0)+1),MATCH(P$1,[3]enemies!$1:$1,0)-MATCH($L$1,[3]enemies!$1:$1,0)+1,FALSE)</f>
        <v>unknown</v>
      </c>
      <c r="Q56" s="16">
        <f ca="1">VLOOKUP($L56,OFFSET([3]enemies!$A$1,0,0,COUNTA([3]enemies!$A:$A),MATCH(Q$1,[3]enemies!$1:$1,0)-MATCH($L$1,[3]enemies!$1:$1,0)+1),MATCH(Q$1,[3]enemies!$1:$1,0)-MATCH($L$1,[3]enemies!$1:$1,0)+1,FALSE)</f>
        <v>20</v>
      </c>
      <c r="R56" s="5">
        <v>60</v>
      </c>
      <c r="S56" s="22">
        <v>1</v>
      </c>
      <c r="T56" s="22">
        <v>1</v>
      </c>
      <c r="U56" s="5">
        <v>0</v>
      </c>
      <c r="V56" s="4" t="e">
        <f ca="1">VLOOKUP($W56,OFFSET(enemy_skill_sets!$B$1,0,0,COUNTA(enemy_skill_sets!$B:$B),MATCH(M$1,enemy_skill_sets!$1:$1,0)-MATCH($W$1,enemy_skill_sets!$1:$1,0)+2),MATCH(M$1,enemy_skill_sets!$1:$1,0)-MATCH($W$1,enemy_skill_sets!$1:$1,0)+2,FALSE)</f>
        <v>#N/A</v>
      </c>
      <c r="W56" s="4">
        <f ca="1">VLOOKUP($L56,OFFSET([3]enemies!$A$1,0,0,COUNTA([3]enemies!$A:$A),MATCH(W$1,[3]enemies!$1:$1,0)-MATCH($L$1,[3]enemies!$1:$1,0)+1),MATCH(W$1,[3]enemies!$1:$1,0)-MATCH($L$1,[3]enemies!$1:$1,0)+1,FALSE)</f>
        <v>0</v>
      </c>
      <c r="X56" s="6">
        <v>0</v>
      </c>
      <c r="Y56" s="6">
        <v>100</v>
      </c>
      <c r="Z56" s="6">
        <v>0</v>
      </c>
      <c r="AA56" s="16">
        <f ca="1">VLOOKUP($L56,OFFSET([3]enemies!$A$1,0,0,COUNTA([3]enemies!$A:$A),MATCH(AA$1,[3]enemies!$1:$1,0)-MATCH($L$1,[3]enemies!$1:$1,0)+1),MATCH(AA$1,[3]enemies!$1:$1,0)-MATCH($L$1,[3]enemies!$1:$1,0)+1,FALSE)</f>
        <v>3</v>
      </c>
      <c r="AB56" s="21">
        <f t="shared" ref="AB56:AB61" si="108">L56</f>
        <v>608</v>
      </c>
      <c r="AC56" s="4" t="str">
        <f ca="1">VLOOKUP($AB56,OFFSET([4]characters!$A$1,0,0,COUNTA([4]characters!$A:$A),MATCH(AC$1,[4]characters!$1:$1,0)-MATCH("character_id",[4]characters!$1:$1,0)+1),MATCH(AC$1,[4]characters!$1:$1,0)-MATCH("character_id",[4]characters!$1:$1,0)+1,FALSE)</f>
        <v>メガ生命の果実</v>
      </c>
      <c r="AD56" s="4">
        <f ca="1">VLOOKUP($AB56,OFFSET([4]characters!$A$1,0,0,COUNTA([4]characters!$A:$A),MATCH(AD$1,[4]characters!$1:$1,0)-MATCH("character_id",[4]characters!$1:$1,0)+1),MATCH(AD$1,[4]characters!$1:$1,0)-MATCH("character_id",[4]characters!$1:$1,0)+1,FALSE)</f>
        <v>4</v>
      </c>
      <c r="AE56" s="4" t="str">
        <f ca="1">VLOOKUP($AB56,OFFSET([4]characters!$A$1,0,0,COUNTA([4]characters!$A:$A),MATCH(AE$1,[4]characters!$1:$1,0)-MATCH("character_id",[4]characters!$1:$1,0)+1),MATCH(AE$1,[4]characters!$1:$1,0)-MATCH("character_id",[4]characters!$1:$1,0)+1,FALSE)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6" s="7">
        <v>1</v>
      </c>
      <c r="AG56" s="21">
        <f t="shared" ref="AG56:AG61" ca="1" si="109">AD56</f>
        <v>4</v>
      </c>
      <c r="AH56" s="8">
        <v>100</v>
      </c>
      <c r="AI56" s="93">
        <v>0</v>
      </c>
      <c r="AJ56" s="93">
        <v>0</v>
      </c>
      <c r="AK56" s="93">
        <v>0</v>
      </c>
      <c r="AL56" s="93">
        <v>0</v>
      </c>
      <c r="AM56" s="93">
        <v>1</v>
      </c>
      <c r="AN56" s="66">
        <v>1</v>
      </c>
    </row>
    <row r="57" spans="1:40" ht="21" customHeight="1" x14ac:dyDescent="0.15">
      <c r="A57" s="15" t="str">
        <f t="shared" ca="1" si="105"/>
        <v>15031_4-4/609&lt;lv60&gt;s3</v>
      </c>
      <c r="B57" s="95">
        <v>15031</v>
      </c>
      <c r="C57" s="94">
        <v>4</v>
      </c>
      <c r="D57" s="2" t="str">
        <f t="shared" si="106"/>
        <v>15031_4</v>
      </c>
      <c r="E57" s="4" t="str">
        <f ca="1">VLOOKUP($B57,OFFSET([2]quests!$A$1,0,0,COUNTA([2]quests!$A:$A),MATCH(E$1,[2]quests!$1:$1,0)-MATCH($B$1,[2]quests!$1:$1,0)+1),MATCH(E$1,[2]quests!$1:$1,0)-MATCH($B$1,[2]quests!$1:$1,0)+1,FALSE)</f>
        <v>31. 桜花乱城</v>
      </c>
      <c r="F57" s="4" t="str">
        <f ca="1">VLOOKUP($D57,OFFSET([2]stages!$A$1,0,0,COUNTA([2]stages!$A:$A),MATCH(F$1,[2]stages!$2:$2,0)-MATCH($D$1,[2]stages!$2:$2,0)+1),MATCH(F$1,[2]stages!$2:$2,0)-MATCH($D$1,[2]stages!$2:$2,0)+1,FALSE)</f>
        <v>31-4. 【1回のみ】ボーナスステージ</v>
      </c>
      <c r="G57" s="94">
        <v>4</v>
      </c>
      <c r="H57" s="14" t="str">
        <f t="shared" si="107"/>
        <v>15031_4-4</v>
      </c>
      <c r="I57" s="4">
        <f ca="1">VLOOKUP($H57,OFFSET(floors!$A$1,0,0,COUNTA(floors!$A:$A),MATCH(I$1,floors!$1:$1,0)-MATCH($H$1,floors!$1:$1,0)+1),MATCH(I$1,floors!$1:$1,0)-MATCH($H$1,floors!$1:$1,0)+1,FALSE)</f>
        <v>60</v>
      </c>
      <c r="J57" s="4">
        <f ca="1">VLOOKUP($H57,OFFSET(floors!$A$1,0,0,COUNTA(floors!$A:$A),MATCH(J$1,floors!$1:$1,0)-MATCH($H$1,floors!$1:$1,0)+1),MATCH(J$1,floors!$1:$1,0)-MATCH($H$1,floors!$1:$1,0)+1,FALSE)</f>
        <v>60</v>
      </c>
      <c r="K57" s="35" t="s">
        <v>209</v>
      </c>
      <c r="L57" s="94">
        <v>609</v>
      </c>
      <c r="M57" s="16" t="str">
        <f ca="1">VLOOKUP($L57,OFFSET([3]enemies!$A$1,0,0,COUNTA([3]enemies!$A:$A),MATCH(M$1,[3]enemies!$1:$1,0)-MATCH($L$1,[3]enemies!$1:$1,0)+1),MATCH(M$1,[3]enemies!$1:$1,0)-MATCH($L$1,[3]enemies!$1:$1,0)+1,FALSE)</f>
        <v>メガ癒しの果実</v>
      </c>
      <c r="N57" s="16" t="str">
        <f ca="1">VLOOKUP($L57,OFFSET([3]enemies!$A$1,0,0,COUNTA([3]enemies!$A:$A),MATCH(N$1,[3]enemies!$1:$1,0)-MATCH($L$1,[3]enemies!$1:$1,0)+1),MATCH(N$1,[3]enemies!$1:$1,0)-MATCH($L$1,[3]enemies!$1:$1,0)+1,FALSE)</f>
        <v>blue</v>
      </c>
      <c r="O57" s="16" t="str">
        <f ca="1">VLOOKUP($L57,OFFSET([4]characters!$A$1,0,0,COUNTA([4]characters!$A:$A),MATCH(O$1,[4]characters!$1:$1,0)-MATCH($L$1,[4]characters!$1:$1,0)+1),MATCH(O$1,[4]characters!$1:$1,0)-MATCH($L$1,[4]characters!$1:$1,0)+1,FALSE)</f>
        <v>Material</v>
      </c>
      <c r="P57" s="16" t="str">
        <f ca="1">VLOOKUP($L57,OFFSET([3]enemies!$A$1,0,0,COUNTA([3]enemies!$A:$A),MATCH(P$1,[3]enemies!$1:$1,0)-MATCH($L$1,[3]enemies!$1:$1,0)+1),MATCH(P$1,[3]enemies!$1:$1,0)-MATCH($L$1,[3]enemies!$1:$1,0)+1,FALSE)</f>
        <v>unknown</v>
      </c>
      <c r="Q57" s="16">
        <f ca="1">VLOOKUP($L57,OFFSET([3]enemies!$A$1,0,0,COUNTA([3]enemies!$A:$A),MATCH(Q$1,[3]enemies!$1:$1,0)-MATCH($L$1,[3]enemies!$1:$1,0)+1),MATCH(Q$1,[3]enemies!$1:$1,0)-MATCH($L$1,[3]enemies!$1:$1,0)+1,FALSE)</f>
        <v>20</v>
      </c>
      <c r="R57" s="5">
        <v>60</v>
      </c>
      <c r="S57" s="22">
        <v>1</v>
      </c>
      <c r="T57" s="22">
        <v>1</v>
      </c>
      <c r="U57" s="5">
        <v>0</v>
      </c>
      <c r="V57" s="4" t="e">
        <f ca="1">VLOOKUP($W57,OFFSET(enemy_skill_sets!$B$1,0,0,COUNTA(enemy_skill_sets!$B:$B),MATCH(M$1,enemy_skill_sets!$1:$1,0)-MATCH($W$1,enemy_skill_sets!$1:$1,0)+2),MATCH(M$1,enemy_skill_sets!$1:$1,0)-MATCH($W$1,enemy_skill_sets!$1:$1,0)+2,FALSE)</f>
        <v>#N/A</v>
      </c>
      <c r="W57" s="4">
        <f ca="1">VLOOKUP($L57,OFFSET([3]enemies!$A$1,0,0,COUNTA([3]enemies!$A:$A),MATCH(W$1,[3]enemies!$1:$1,0)-MATCH($L$1,[3]enemies!$1:$1,0)+1),MATCH(W$1,[3]enemies!$1:$1,0)-MATCH($L$1,[3]enemies!$1:$1,0)+1,FALSE)</f>
        <v>0</v>
      </c>
      <c r="X57" s="6">
        <v>0</v>
      </c>
      <c r="Y57" s="6">
        <v>100</v>
      </c>
      <c r="Z57" s="6">
        <v>0</v>
      </c>
      <c r="AA57" s="16">
        <f ca="1">VLOOKUP($L57,OFFSET([3]enemies!$A$1,0,0,COUNTA([3]enemies!$A:$A),MATCH(AA$1,[3]enemies!$1:$1,0)-MATCH($L$1,[3]enemies!$1:$1,0)+1),MATCH(AA$1,[3]enemies!$1:$1,0)-MATCH($L$1,[3]enemies!$1:$1,0)+1,FALSE)</f>
        <v>3</v>
      </c>
      <c r="AB57" s="21">
        <f t="shared" si="108"/>
        <v>609</v>
      </c>
      <c r="AC57" s="4" t="str">
        <f ca="1">VLOOKUP($AB57,OFFSET([4]characters!$A$1,0,0,COUNTA([4]characters!$A:$A),MATCH(AC$1,[4]characters!$1:$1,0)-MATCH("character_id",[4]characters!$1:$1,0)+1),MATCH(AC$1,[4]characters!$1:$1,0)-MATCH("character_id",[4]characters!$1:$1,0)+1,FALSE)</f>
        <v>メガ癒しの果実</v>
      </c>
      <c r="AD57" s="4">
        <f ca="1">VLOOKUP($AB57,OFFSET([4]characters!$A$1,0,0,COUNTA([4]characters!$A:$A),MATCH(AD$1,[4]characters!$1:$1,0)-MATCH("character_id",[4]characters!$1:$1,0)+1),MATCH(AD$1,[4]characters!$1:$1,0)-MATCH("character_id",[4]characters!$1:$1,0)+1,FALSE)</f>
        <v>4</v>
      </c>
      <c r="AE57" s="4" t="str">
        <f ca="1">VLOOKUP($AB57,OFFSET([4]characters!$A$1,0,0,COUNTA([4]characters!$A:$A),MATCH(AE$1,[4]characters!$1:$1,0)-MATCH("character_id",[4]characters!$1:$1,0)+1),MATCH(AE$1,[4]characters!$1:$1,0)-MATCH("character_id",[4]characters!$1:$1,0)+1,FALSE)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7" s="7">
        <v>1</v>
      </c>
      <c r="AG57" s="21">
        <f t="shared" ca="1" si="109"/>
        <v>4</v>
      </c>
      <c r="AH57" s="8">
        <v>100</v>
      </c>
      <c r="AI57" s="93">
        <v>0</v>
      </c>
      <c r="AJ57" s="93">
        <v>0</v>
      </c>
      <c r="AK57" s="93">
        <v>0</v>
      </c>
      <c r="AL57" s="93">
        <v>0</v>
      </c>
      <c r="AM57" s="93">
        <v>1</v>
      </c>
      <c r="AN57" s="66">
        <v>1</v>
      </c>
    </row>
    <row r="58" spans="1:40" ht="21" customHeight="1" x14ac:dyDescent="0.15">
      <c r="A58" s="15" t="str">
        <f t="shared" ca="1" si="105"/>
        <v>15031_4-5/607&lt;lv60&gt;s3</v>
      </c>
      <c r="B58" s="95">
        <v>15031</v>
      </c>
      <c r="C58" s="94">
        <v>4</v>
      </c>
      <c r="D58" s="2" t="str">
        <f t="shared" si="106"/>
        <v>15031_4</v>
      </c>
      <c r="E58" s="4" t="str">
        <f ca="1">VLOOKUP($B58,OFFSET([2]quests!$A$1,0,0,COUNTA([2]quests!$A:$A),MATCH(E$1,[2]quests!$1:$1,0)-MATCH($B$1,[2]quests!$1:$1,0)+1),MATCH(E$1,[2]quests!$1:$1,0)-MATCH($B$1,[2]quests!$1:$1,0)+1,FALSE)</f>
        <v>31. 桜花乱城</v>
      </c>
      <c r="F58" s="4" t="str">
        <f ca="1">VLOOKUP($D58,OFFSET([2]stages!$A$1,0,0,COUNTA([2]stages!$A:$A),MATCH(F$1,[2]stages!$2:$2,0)-MATCH($D$1,[2]stages!$2:$2,0)+1),MATCH(F$1,[2]stages!$2:$2,0)-MATCH($D$1,[2]stages!$2:$2,0)+1,FALSE)</f>
        <v>31-4. 【1回のみ】ボーナスステージ</v>
      </c>
      <c r="G58" s="94">
        <v>5</v>
      </c>
      <c r="H58" s="14" t="str">
        <f t="shared" si="107"/>
        <v>15031_4-5</v>
      </c>
      <c r="I58" s="4">
        <f ca="1">VLOOKUP($H58,OFFSET(floors!$A$1,0,0,COUNTA(floors!$A:$A),MATCH(I$1,floors!$1:$1,0)-MATCH($H$1,floors!$1:$1,0)+1),MATCH(I$1,floors!$1:$1,0)-MATCH($H$1,floors!$1:$1,0)+1,FALSE)</f>
        <v>60</v>
      </c>
      <c r="J58" s="4">
        <f ca="1">VLOOKUP($H58,OFFSET(floors!$A$1,0,0,COUNTA(floors!$A:$A),MATCH(J$1,floors!$1:$1,0)-MATCH($H$1,floors!$1:$1,0)+1),MATCH(J$1,floors!$1:$1,0)-MATCH($H$1,floors!$1:$1,0)+1,FALSE)</f>
        <v>60</v>
      </c>
      <c r="K58" s="35" t="s">
        <v>209</v>
      </c>
      <c r="L58" s="100">
        <v>607</v>
      </c>
      <c r="M58" s="16" t="str">
        <f ca="1">VLOOKUP($L58,OFFSET([3]enemies!$A$1,0,0,COUNTA([3]enemies!$A:$A),MATCH(M$1,[3]enemies!$1:$1,0)-MATCH($L$1,[3]enemies!$1:$1,0)+1),MATCH(M$1,[3]enemies!$1:$1,0)-MATCH($L$1,[3]enemies!$1:$1,0)+1,FALSE)</f>
        <v>メガ攻めの果実</v>
      </c>
      <c r="N58" s="16" t="str">
        <f ca="1">VLOOKUP($L58,OFFSET([3]enemies!$A$1,0,0,COUNTA([3]enemies!$A:$A),MATCH(N$1,[3]enemies!$1:$1,0)-MATCH($L$1,[3]enemies!$1:$1,0)+1),MATCH(N$1,[3]enemies!$1:$1,0)-MATCH($L$1,[3]enemies!$1:$1,0)+1,FALSE)</f>
        <v>red</v>
      </c>
      <c r="O58" s="16" t="str">
        <f ca="1">VLOOKUP($L58,OFFSET([4]characters!$A$1,0,0,COUNTA([4]characters!$A:$A),MATCH(O$1,[4]characters!$1:$1,0)-MATCH($L$1,[4]characters!$1:$1,0)+1),MATCH(O$1,[4]characters!$1:$1,0)-MATCH($L$1,[4]characters!$1:$1,0)+1,FALSE)</f>
        <v>Material</v>
      </c>
      <c r="P58" s="16" t="str">
        <f ca="1">VLOOKUP($L58,OFFSET([3]enemies!$A$1,0,0,COUNTA([3]enemies!$A:$A),MATCH(P$1,[3]enemies!$1:$1,0)-MATCH($L$1,[3]enemies!$1:$1,0)+1),MATCH(P$1,[3]enemies!$1:$1,0)-MATCH($L$1,[3]enemies!$1:$1,0)+1,FALSE)</f>
        <v>unknown</v>
      </c>
      <c r="Q58" s="16">
        <f ca="1">VLOOKUP($L58,OFFSET([3]enemies!$A$1,0,0,COUNTA([3]enemies!$A:$A),MATCH(Q$1,[3]enemies!$1:$1,0)-MATCH($L$1,[3]enemies!$1:$1,0)+1),MATCH(Q$1,[3]enemies!$1:$1,0)-MATCH($L$1,[3]enemies!$1:$1,0)+1,FALSE)</f>
        <v>20</v>
      </c>
      <c r="R58" s="5">
        <v>60</v>
      </c>
      <c r="S58" s="22">
        <v>1</v>
      </c>
      <c r="T58" s="22">
        <v>1</v>
      </c>
      <c r="U58" s="5">
        <v>0</v>
      </c>
      <c r="V58" s="4" t="e">
        <f ca="1">VLOOKUP($W58,OFFSET(enemy_skill_sets!$B$1,0,0,COUNTA(enemy_skill_sets!$B:$B),MATCH(M$1,enemy_skill_sets!$1:$1,0)-MATCH($W$1,enemy_skill_sets!$1:$1,0)+2),MATCH(M$1,enemy_skill_sets!$1:$1,0)-MATCH($W$1,enemy_skill_sets!$1:$1,0)+2,FALSE)</f>
        <v>#N/A</v>
      </c>
      <c r="W58" s="4">
        <f ca="1">VLOOKUP($L58,OFFSET([3]enemies!$A$1,0,0,COUNTA([3]enemies!$A:$A),MATCH(W$1,[3]enemies!$1:$1,0)-MATCH($L$1,[3]enemies!$1:$1,0)+1),MATCH(W$1,[3]enemies!$1:$1,0)-MATCH($L$1,[3]enemies!$1:$1,0)+1,FALSE)</f>
        <v>0</v>
      </c>
      <c r="X58" s="6">
        <v>0</v>
      </c>
      <c r="Y58" s="6">
        <v>100</v>
      </c>
      <c r="Z58" s="6">
        <v>0</v>
      </c>
      <c r="AA58" s="16">
        <f ca="1">VLOOKUP($L58,OFFSET([3]enemies!$A$1,0,0,COUNTA([3]enemies!$A:$A),MATCH(AA$1,[3]enemies!$1:$1,0)-MATCH($L$1,[3]enemies!$1:$1,0)+1),MATCH(AA$1,[3]enemies!$1:$1,0)-MATCH($L$1,[3]enemies!$1:$1,0)+1,FALSE)</f>
        <v>3</v>
      </c>
      <c r="AB58" s="21">
        <f t="shared" si="108"/>
        <v>607</v>
      </c>
      <c r="AC58" s="4" t="str">
        <f ca="1">VLOOKUP($AB58,OFFSET([4]characters!$A$1,0,0,COUNTA([4]characters!$A:$A),MATCH(AC$1,[4]characters!$1:$1,0)-MATCH("character_id",[4]characters!$1:$1,0)+1),MATCH(AC$1,[4]characters!$1:$1,0)-MATCH("character_id",[4]characters!$1:$1,0)+1,FALSE)</f>
        <v>メガ攻めの果実</v>
      </c>
      <c r="AD58" s="4">
        <f ca="1">VLOOKUP($AB58,OFFSET([4]characters!$A$1,0,0,COUNTA([4]characters!$A:$A),MATCH(AD$1,[4]characters!$1:$1,0)-MATCH("character_id",[4]characters!$1:$1,0)+1),MATCH(AD$1,[4]characters!$1:$1,0)-MATCH("character_id",[4]characters!$1:$1,0)+1,FALSE)</f>
        <v>4</v>
      </c>
      <c r="AE58" s="4" t="str">
        <f ca="1">VLOOKUP($AB58,OFFSET([4]characters!$A$1,0,0,COUNTA([4]characters!$A:$A),MATCH(AE$1,[4]characters!$1:$1,0)-MATCH("character_id",[4]characters!$1:$1,0)+1),MATCH(AE$1,[4]characters!$1:$1,0)-MATCH("character_id",[4]characters!$1:$1,0)+1,FALSE)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8" s="7">
        <v>1</v>
      </c>
      <c r="AG58" s="21">
        <f t="shared" ca="1" si="109"/>
        <v>4</v>
      </c>
      <c r="AH58" s="8">
        <v>0</v>
      </c>
      <c r="AI58" s="93">
        <v>0</v>
      </c>
      <c r="AJ58" s="93">
        <v>0</v>
      </c>
      <c r="AK58" s="93">
        <v>0</v>
      </c>
      <c r="AL58" s="93">
        <v>0</v>
      </c>
      <c r="AM58" s="93">
        <v>1</v>
      </c>
      <c r="AN58" s="66">
        <v>1</v>
      </c>
    </row>
    <row r="59" spans="1:40" ht="21" customHeight="1" x14ac:dyDescent="0.15">
      <c r="A59" s="15" t="str">
        <f t="shared" ca="1" si="105"/>
        <v>15031_4-5/608&lt;lv60&gt;s3</v>
      </c>
      <c r="B59" s="95">
        <v>15031</v>
      </c>
      <c r="C59" s="94">
        <v>4</v>
      </c>
      <c r="D59" s="2" t="str">
        <f t="shared" si="106"/>
        <v>15031_4</v>
      </c>
      <c r="E59" s="4" t="str">
        <f ca="1">VLOOKUP($B59,OFFSET([2]quests!$A$1,0,0,COUNTA([2]quests!$A:$A),MATCH(E$1,[2]quests!$1:$1,0)-MATCH($B$1,[2]quests!$1:$1,0)+1),MATCH(E$1,[2]quests!$1:$1,0)-MATCH($B$1,[2]quests!$1:$1,0)+1,FALSE)</f>
        <v>31. 桜花乱城</v>
      </c>
      <c r="F59" s="4" t="str">
        <f ca="1">VLOOKUP($D59,OFFSET([2]stages!$A$1,0,0,COUNTA([2]stages!$A:$A),MATCH(F$1,[2]stages!$2:$2,0)-MATCH($D$1,[2]stages!$2:$2,0)+1),MATCH(F$1,[2]stages!$2:$2,0)-MATCH($D$1,[2]stages!$2:$2,0)+1,FALSE)</f>
        <v>31-4. 【1回のみ】ボーナスステージ</v>
      </c>
      <c r="G59" s="94">
        <v>5</v>
      </c>
      <c r="H59" s="14" t="str">
        <f t="shared" si="107"/>
        <v>15031_4-5</v>
      </c>
      <c r="I59" s="4">
        <f ca="1">VLOOKUP($H59,OFFSET(floors!$A$1,0,0,COUNTA(floors!$A:$A),MATCH(I$1,floors!$1:$1,0)-MATCH($H$1,floors!$1:$1,0)+1),MATCH(I$1,floors!$1:$1,0)-MATCH($H$1,floors!$1:$1,0)+1,FALSE)</f>
        <v>60</v>
      </c>
      <c r="J59" s="4">
        <f ca="1">VLOOKUP($H59,OFFSET(floors!$A$1,0,0,COUNTA(floors!$A:$A),MATCH(J$1,floors!$1:$1,0)-MATCH($H$1,floors!$1:$1,0)+1),MATCH(J$1,floors!$1:$1,0)-MATCH($H$1,floors!$1:$1,0)+1,FALSE)</f>
        <v>60</v>
      </c>
      <c r="K59" s="35" t="s">
        <v>209</v>
      </c>
      <c r="L59" s="94">
        <v>608</v>
      </c>
      <c r="M59" s="16" t="str">
        <f ca="1">VLOOKUP($L59,OFFSET([3]enemies!$A$1,0,0,COUNTA([3]enemies!$A:$A),MATCH(M$1,[3]enemies!$1:$1,0)-MATCH($L$1,[3]enemies!$1:$1,0)+1),MATCH(M$1,[3]enemies!$1:$1,0)-MATCH($L$1,[3]enemies!$1:$1,0)+1,FALSE)</f>
        <v>メガ生命の果実</v>
      </c>
      <c r="N59" s="16" t="str">
        <f ca="1">VLOOKUP($L59,OFFSET([3]enemies!$A$1,0,0,COUNTA([3]enemies!$A:$A),MATCH(N$1,[3]enemies!$1:$1,0)-MATCH($L$1,[3]enemies!$1:$1,0)+1),MATCH(N$1,[3]enemies!$1:$1,0)-MATCH($L$1,[3]enemies!$1:$1,0)+1,FALSE)</f>
        <v>green</v>
      </c>
      <c r="O59" s="16" t="str">
        <f ca="1">VLOOKUP($L59,OFFSET([4]characters!$A$1,0,0,COUNTA([4]characters!$A:$A),MATCH(O$1,[4]characters!$1:$1,0)-MATCH($L$1,[4]characters!$1:$1,0)+1),MATCH(O$1,[4]characters!$1:$1,0)-MATCH($L$1,[4]characters!$1:$1,0)+1,FALSE)</f>
        <v>Material</v>
      </c>
      <c r="P59" s="16" t="str">
        <f ca="1">VLOOKUP($L59,OFFSET([3]enemies!$A$1,0,0,COUNTA([3]enemies!$A:$A),MATCH(P$1,[3]enemies!$1:$1,0)-MATCH($L$1,[3]enemies!$1:$1,0)+1),MATCH(P$1,[3]enemies!$1:$1,0)-MATCH($L$1,[3]enemies!$1:$1,0)+1,FALSE)</f>
        <v>unknown</v>
      </c>
      <c r="Q59" s="16">
        <f ca="1">VLOOKUP($L59,OFFSET([3]enemies!$A$1,0,0,COUNTA([3]enemies!$A:$A),MATCH(Q$1,[3]enemies!$1:$1,0)-MATCH($L$1,[3]enemies!$1:$1,0)+1),MATCH(Q$1,[3]enemies!$1:$1,0)-MATCH($L$1,[3]enemies!$1:$1,0)+1,FALSE)</f>
        <v>20</v>
      </c>
      <c r="R59" s="5">
        <v>60</v>
      </c>
      <c r="S59" s="22">
        <v>1</v>
      </c>
      <c r="T59" s="22">
        <v>1</v>
      </c>
      <c r="U59" s="5">
        <v>0</v>
      </c>
      <c r="V59" s="4" t="e">
        <f ca="1">VLOOKUP($W59,OFFSET(enemy_skill_sets!$B$1,0,0,COUNTA(enemy_skill_sets!$B:$B),MATCH(M$1,enemy_skill_sets!$1:$1,0)-MATCH($W$1,enemy_skill_sets!$1:$1,0)+2),MATCH(M$1,enemy_skill_sets!$1:$1,0)-MATCH($W$1,enemy_skill_sets!$1:$1,0)+2,FALSE)</f>
        <v>#N/A</v>
      </c>
      <c r="W59" s="4">
        <f ca="1">VLOOKUP($L59,OFFSET([3]enemies!$A$1,0,0,COUNTA([3]enemies!$A:$A),MATCH(W$1,[3]enemies!$1:$1,0)-MATCH($L$1,[3]enemies!$1:$1,0)+1),MATCH(W$1,[3]enemies!$1:$1,0)-MATCH($L$1,[3]enemies!$1:$1,0)+1,FALSE)</f>
        <v>0</v>
      </c>
      <c r="X59" s="6">
        <v>0</v>
      </c>
      <c r="Y59" s="6">
        <v>100</v>
      </c>
      <c r="Z59" s="6">
        <v>0</v>
      </c>
      <c r="AA59" s="16">
        <f ca="1">VLOOKUP($L59,OFFSET([3]enemies!$A$1,0,0,COUNTA([3]enemies!$A:$A),MATCH(AA$1,[3]enemies!$1:$1,0)-MATCH($L$1,[3]enemies!$1:$1,0)+1),MATCH(AA$1,[3]enemies!$1:$1,0)-MATCH($L$1,[3]enemies!$1:$1,0)+1,FALSE)</f>
        <v>3</v>
      </c>
      <c r="AB59" s="21">
        <f t="shared" si="108"/>
        <v>608</v>
      </c>
      <c r="AC59" s="4" t="str">
        <f ca="1">VLOOKUP($AB59,OFFSET([4]characters!$A$1,0,0,COUNTA([4]characters!$A:$A),MATCH(AC$1,[4]characters!$1:$1,0)-MATCH("character_id",[4]characters!$1:$1,0)+1),MATCH(AC$1,[4]characters!$1:$1,0)-MATCH("character_id",[4]characters!$1:$1,0)+1,FALSE)</f>
        <v>メガ生命の果実</v>
      </c>
      <c r="AD59" s="4">
        <f ca="1">VLOOKUP($AB59,OFFSET([4]characters!$A$1,0,0,COUNTA([4]characters!$A:$A),MATCH(AD$1,[4]characters!$1:$1,0)-MATCH("character_id",[4]characters!$1:$1,0)+1),MATCH(AD$1,[4]characters!$1:$1,0)-MATCH("character_id",[4]characters!$1:$1,0)+1,FALSE)</f>
        <v>4</v>
      </c>
      <c r="AE59" s="4" t="str">
        <f ca="1">VLOOKUP($AB59,OFFSET([4]characters!$A$1,0,0,COUNTA([4]characters!$A:$A),MATCH(AE$1,[4]characters!$1:$1,0)-MATCH("character_id",[4]characters!$1:$1,0)+1),MATCH(AE$1,[4]characters!$1:$1,0)-MATCH("character_id",[4]characters!$1:$1,0)+1,FALSE)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9" s="7">
        <v>1</v>
      </c>
      <c r="AG59" s="21">
        <f t="shared" ca="1" si="109"/>
        <v>4</v>
      </c>
      <c r="AH59" s="8">
        <v>0</v>
      </c>
      <c r="AI59" s="93">
        <v>0</v>
      </c>
      <c r="AJ59" s="93">
        <v>0</v>
      </c>
      <c r="AK59" s="93">
        <v>0</v>
      </c>
      <c r="AL59" s="93">
        <v>0</v>
      </c>
      <c r="AM59" s="93">
        <v>1</v>
      </c>
      <c r="AN59" s="66">
        <v>1</v>
      </c>
    </row>
    <row r="60" spans="1:40" ht="21" customHeight="1" x14ac:dyDescent="0.15">
      <c r="A60" s="15" t="str">
        <f t="shared" ca="1" si="105"/>
        <v>15031_4-5/609&lt;lv60&gt;s3</v>
      </c>
      <c r="B60" s="95">
        <v>15031</v>
      </c>
      <c r="C60" s="94">
        <v>4</v>
      </c>
      <c r="D60" s="2" t="str">
        <f t="shared" si="106"/>
        <v>15031_4</v>
      </c>
      <c r="E60" s="4" t="str">
        <f ca="1">VLOOKUP($B60,OFFSET([2]quests!$A$1,0,0,COUNTA([2]quests!$A:$A),MATCH(E$1,[2]quests!$1:$1,0)-MATCH($B$1,[2]quests!$1:$1,0)+1),MATCH(E$1,[2]quests!$1:$1,0)-MATCH($B$1,[2]quests!$1:$1,0)+1,FALSE)</f>
        <v>31. 桜花乱城</v>
      </c>
      <c r="F60" s="4" t="str">
        <f ca="1">VLOOKUP($D60,OFFSET([2]stages!$A$1,0,0,COUNTA([2]stages!$A:$A),MATCH(F$1,[2]stages!$2:$2,0)-MATCH($D$1,[2]stages!$2:$2,0)+1),MATCH(F$1,[2]stages!$2:$2,0)-MATCH($D$1,[2]stages!$2:$2,0)+1,FALSE)</f>
        <v>31-4. 【1回のみ】ボーナスステージ</v>
      </c>
      <c r="G60" s="94">
        <v>5</v>
      </c>
      <c r="H60" s="14" t="str">
        <f t="shared" si="107"/>
        <v>15031_4-5</v>
      </c>
      <c r="I60" s="4">
        <f ca="1">VLOOKUP($H60,OFFSET(floors!$A$1,0,0,COUNTA(floors!$A:$A),MATCH(I$1,floors!$1:$1,0)-MATCH($H$1,floors!$1:$1,0)+1),MATCH(I$1,floors!$1:$1,0)-MATCH($H$1,floors!$1:$1,0)+1,FALSE)</f>
        <v>60</v>
      </c>
      <c r="J60" s="4">
        <f ca="1">VLOOKUP($H60,OFFSET(floors!$A$1,0,0,COUNTA(floors!$A:$A),MATCH(J$1,floors!$1:$1,0)-MATCH($H$1,floors!$1:$1,0)+1),MATCH(J$1,floors!$1:$1,0)-MATCH($H$1,floors!$1:$1,0)+1,FALSE)</f>
        <v>60</v>
      </c>
      <c r="K60" s="35" t="s">
        <v>209</v>
      </c>
      <c r="L60" s="100">
        <v>609</v>
      </c>
      <c r="M60" s="16" t="str">
        <f ca="1">VLOOKUP($L60,OFFSET([3]enemies!$A$1,0,0,COUNTA([3]enemies!$A:$A),MATCH(M$1,[3]enemies!$1:$1,0)-MATCH($L$1,[3]enemies!$1:$1,0)+1),MATCH(M$1,[3]enemies!$1:$1,0)-MATCH($L$1,[3]enemies!$1:$1,0)+1,FALSE)</f>
        <v>メガ癒しの果実</v>
      </c>
      <c r="N60" s="16" t="str">
        <f ca="1">VLOOKUP($L60,OFFSET([3]enemies!$A$1,0,0,COUNTA([3]enemies!$A:$A),MATCH(N$1,[3]enemies!$1:$1,0)-MATCH($L$1,[3]enemies!$1:$1,0)+1),MATCH(N$1,[3]enemies!$1:$1,0)-MATCH($L$1,[3]enemies!$1:$1,0)+1,FALSE)</f>
        <v>blue</v>
      </c>
      <c r="O60" s="16" t="str">
        <f ca="1">VLOOKUP($L60,OFFSET([4]characters!$A$1,0,0,COUNTA([4]characters!$A:$A),MATCH(O$1,[4]characters!$1:$1,0)-MATCH($L$1,[4]characters!$1:$1,0)+1),MATCH(O$1,[4]characters!$1:$1,0)-MATCH($L$1,[4]characters!$1:$1,0)+1,FALSE)</f>
        <v>Material</v>
      </c>
      <c r="P60" s="16" t="str">
        <f ca="1">VLOOKUP($L60,OFFSET([3]enemies!$A$1,0,0,COUNTA([3]enemies!$A:$A),MATCH(P$1,[3]enemies!$1:$1,0)-MATCH($L$1,[3]enemies!$1:$1,0)+1),MATCH(P$1,[3]enemies!$1:$1,0)-MATCH($L$1,[3]enemies!$1:$1,0)+1,FALSE)</f>
        <v>unknown</v>
      </c>
      <c r="Q60" s="16">
        <f ca="1">VLOOKUP($L60,OFFSET([3]enemies!$A$1,0,0,COUNTA([3]enemies!$A:$A),MATCH(Q$1,[3]enemies!$1:$1,0)-MATCH($L$1,[3]enemies!$1:$1,0)+1),MATCH(Q$1,[3]enemies!$1:$1,0)-MATCH($L$1,[3]enemies!$1:$1,0)+1,FALSE)</f>
        <v>20</v>
      </c>
      <c r="R60" s="5">
        <v>60</v>
      </c>
      <c r="S60" s="22">
        <v>1</v>
      </c>
      <c r="T60" s="22">
        <v>1</v>
      </c>
      <c r="U60" s="5">
        <v>0</v>
      </c>
      <c r="V60" s="4" t="e">
        <f ca="1">VLOOKUP($W60,OFFSET(enemy_skill_sets!$B$1,0,0,COUNTA(enemy_skill_sets!$B:$B),MATCH(M$1,enemy_skill_sets!$1:$1,0)-MATCH($W$1,enemy_skill_sets!$1:$1,0)+2),MATCH(M$1,enemy_skill_sets!$1:$1,0)-MATCH($W$1,enemy_skill_sets!$1:$1,0)+2,FALSE)</f>
        <v>#N/A</v>
      </c>
      <c r="W60" s="4">
        <f ca="1">VLOOKUP($L60,OFFSET([3]enemies!$A$1,0,0,COUNTA([3]enemies!$A:$A),MATCH(W$1,[3]enemies!$1:$1,0)-MATCH($L$1,[3]enemies!$1:$1,0)+1),MATCH(W$1,[3]enemies!$1:$1,0)-MATCH($L$1,[3]enemies!$1:$1,0)+1,FALSE)</f>
        <v>0</v>
      </c>
      <c r="X60" s="6">
        <v>0</v>
      </c>
      <c r="Y60" s="6">
        <v>100</v>
      </c>
      <c r="Z60" s="6">
        <v>0</v>
      </c>
      <c r="AA60" s="16">
        <f ca="1">VLOOKUP($L60,OFFSET([3]enemies!$A$1,0,0,COUNTA([3]enemies!$A:$A),MATCH(AA$1,[3]enemies!$1:$1,0)-MATCH($L$1,[3]enemies!$1:$1,0)+1),MATCH(AA$1,[3]enemies!$1:$1,0)-MATCH($L$1,[3]enemies!$1:$1,0)+1,FALSE)</f>
        <v>3</v>
      </c>
      <c r="AB60" s="21">
        <f t="shared" si="108"/>
        <v>609</v>
      </c>
      <c r="AC60" s="4" t="str">
        <f ca="1">VLOOKUP($AB60,OFFSET([4]characters!$A$1,0,0,COUNTA([4]characters!$A:$A),MATCH(AC$1,[4]characters!$1:$1,0)-MATCH("character_id",[4]characters!$1:$1,0)+1),MATCH(AC$1,[4]characters!$1:$1,0)-MATCH("character_id",[4]characters!$1:$1,0)+1,FALSE)</f>
        <v>メガ癒しの果実</v>
      </c>
      <c r="AD60" s="4">
        <f ca="1">VLOOKUP($AB60,OFFSET([4]characters!$A$1,0,0,COUNTA([4]characters!$A:$A),MATCH(AD$1,[4]characters!$1:$1,0)-MATCH("character_id",[4]characters!$1:$1,0)+1),MATCH(AD$1,[4]characters!$1:$1,0)-MATCH("character_id",[4]characters!$1:$1,0)+1,FALSE)</f>
        <v>4</v>
      </c>
      <c r="AE60" s="4" t="str">
        <f ca="1">VLOOKUP($AB60,OFFSET([4]characters!$A$1,0,0,COUNTA([4]characters!$A:$A),MATCH(AE$1,[4]characters!$1:$1,0)-MATCH("character_id",[4]characters!$1:$1,0)+1),MATCH(AE$1,[4]characters!$1:$1,0)-MATCH("character_id",[4]characters!$1:$1,0)+1,FALSE)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0" s="7">
        <v>1</v>
      </c>
      <c r="AG60" s="21">
        <f t="shared" ca="1" si="109"/>
        <v>4</v>
      </c>
      <c r="AH60" s="8">
        <v>0</v>
      </c>
      <c r="AI60" s="93">
        <v>0</v>
      </c>
      <c r="AJ60" s="93">
        <v>0</v>
      </c>
      <c r="AK60" s="93">
        <v>0</v>
      </c>
      <c r="AL60" s="93">
        <v>0</v>
      </c>
      <c r="AM60" s="93">
        <v>1</v>
      </c>
      <c r="AN60" s="66">
        <v>1</v>
      </c>
    </row>
    <row r="61" spans="1:40" ht="21" customHeight="1" x14ac:dyDescent="0.15">
      <c r="A61" s="15" t="str">
        <f t="shared" ca="1" si="105"/>
        <v>15031_4-5/610&lt;lv60&gt;s3</v>
      </c>
      <c r="B61" s="95">
        <v>15031</v>
      </c>
      <c r="C61" s="94">
        <v>4</v>
      </c>
      <c r="D61" s="2" t="str">
        <f t="shared" si="106"/>
        <v>15031_4</v>
      </c>
      <c r="E61" s="4" t="str">
        <f ca="1">VLOOKUP($B61,OFFSET([2]quests!$A$1,0,0,COUNTA([2]quests!$A:$A),MATCH(E$1,[2]quests!$1:$1,0)-MATCH($B$1,[2]quests!$1:$1,0)+1),MATCH(E$1,[2]quests!$1:$1,0)-MATCH($B$1,[2]quests!$1:$1,0)+1,FALSE)</f>
        <v>31. 桜花乱城</v>
      </c>
      <c r="F61" s="4" t="str">
        <f ca="1">VLOOKUP($D61,OFFSET([2]stages!$A$1,0,0,COUNTA([2]stages!$A:$A),MATCH(F$1,[2]stages!$2:$2,0)-MATCH($D$1,[2]stages!$2:$2,0)+1),MATCH(F$1,[2]stages!$2:$2,0)-MATCH($D$1,[2]stages!$2:$2,0)+1,FALSE)</f>
        <v>31-4. 【1回のみ】ボーナスステージ</v>
      </c>
      <c r="G61" s="94">
        <v>5</v>
      </c>
      <c r="H61" s="14" t="str">
        <f t="shared" si="107"/>
        <v>15031_4-5</v>
      </c>
      <c r="I61" s="4">
        <f ca="1">VLOOKUP($H61,OFFSET(floors!$A$1,0,0,COUNTA(floors!$A:$A),MATCH(I$1,floors!$1:$1,0)-MATCH($H$1,floors!$1:$1,0)+1),MATCH(I$1,floors!$1:$1,0)-MATCH($H$1,floors!$1:$1,0)+1,FALSE)</f>
        <v>60</v>
      </c>
      <c r="J61" s="4">
        <f ca="1">VLOOKUP($H61,OFFSET(floors!$A$1,0,0,COUNTA(floors!$A:$A),MATCH(J$1,floors!$1:$1,0)-MATCH($H$1,floors!$1:$1,0)+1),MATCH(J$1,floors!$1:$1,0)-MATCH($H$1,floors!$1:$1,0)+1,FALSE)</f>
        <v>60</v>
      </c>
      <c r="K61" s="35" t="s">
        <v>209</v>
      </c>
      <c r="L61" s="94">
        <v>610</v>
      </c>
      <c r="M61" s="16" t="str">
        <f ca="1">VLOOKUP($L61,OFFSET([3]enemies!$A$1,0,0,COUNTA([3]enemies!$A:$A),MATCH(M$1,[3]enemies!$1:$1,0)-MATCH($L$1,[3]enemies!$1:$1,0)+1),MATCH(M$1,[3]enemies!$1:$1,0)-MATCH($L$1,[3]enemies!$1:$1,0)+1,FALSE)</f>
        <v>メガ秘術の果実</v>
      </c>
      <c r="N61" s="16" t="str">
        <f ca="1">VLOOKUP($L61,OFFSET([3]enemies!$A$1,0,0,COUNTA([3]enemies!$A:$A),MATCH(N$1,[3]enemies!$1:$1,0)-MATCH($L$1,[3]enemies!$1:$1,0)+1),MATCH(N$1,[3]enemies!$1:$1,0)-MATCH($L$1,[3]enemies!$1:$1,0)+1,FALSE)</f>
        <v>blue</v>
      </c>
      <c r="O61" s="16" t="str">
        <f ca="1">VLOOKUP($L61,OFFSET([4]characters!$A$1,0,0,COUNTA([4]characters!$A:$A),MATCH(O$1,[4]characters!$1:$1,0)-MATCH($L$1,[4]characters!$1:$1,0)+1),MATCH(O$1,[4]characters!$1:$1,0)-MATCH($L$1,[4]characters!$1:$1,0)+1,FALSE)</f>
        <v>Material</v>
      </c>
      <c r="P61" s="16" t="str">
        <f ca="1">VLOOKUP($L61,OFFSET([3]enemies!$A$1,0,0,COUNTA([3]enemies!$A:$A),MATCH(P$1,[3]enemies!$1:$1,0)-MATCH($L$1,[3]enemies!$1:$1,0)+1),MATCH(P$1,[3]enemies!$1:$1,0)-MATCH($L$1,[3]enemies!$1:$1,0)+1,FALSE)</f>
        <v>unknown</v>
      </c>
      <c r="Q61" s="16">
        <f ca="1">VLOOKUP($L61,OFFSET([3]enemies!$A$1,0,0,COUNTA([3]enemies!$A:$A),MATCH(Q$1,[3]enemies!$1:$1,0)-MATCH($L$1,[3]enemies!$1:$1,0)+1),MATCH(Q$1,[3]enemies!$1:$1,0)-MATCH($L$1,[3]enemies!$1:$1,0)+1,FALSE)</f>
        <v>20</v>
      </c>
      <c r="R61" s="5">
        <v>60</v>
      </c>
      <c r="S61" s="22">
        <v>1</v>
      </c>
      <c r="T61" s="22">
        <v>1</v>
      </c>
      <c r="U61" s="5">
        <v>0</v>
      </c>
      <c r="V61" s="4" t="e">
        <f ca="1">VLOOKUP($W61,OFFSET(enemy_skill_sets!$B$1,0,0,COUNTA(enemy_skill_sets!$B:$B),MATCH(M$1,enemy_skill_sets!$1:$1,0)-MATCH($W$1,enemy_skill_sets!$1:$1,0)+2),MATCH(M$1,enemy_skill_sets!$1:$1,0)-MATCH($W$1,enemy_skill_sets!$1:$1,0)+2,FALSE)</f>
        <v>#N/A</v>
      </c>
      <c r="W61" s="4">
        <f ca="1">VLOOKUP($L61,OFFSET([3]enemies!$A$1,0,0,COUNTA([3]enemies!$A:$A),MATCH(W$1,[3]enemies!$1:$1,0)-MATCH($L$1,[3]enemies!$1:$1,0)+1),MATCH(W$1,[3]enemies!$1:$1,0)-MATCH($L$1,[3]enemies!$1:$1,0)+1,FALSE)</f>
        <v>0</v>
      </c>
      <c r="X61" s="6">
        <v>1</v>
      </c>
      <c r="Y61" s="6">
        <v>100</v>
      </c>
      <c r="Z61" s="6">
        <v>1</v>
      </c>
      <c r="AA61" s="16">
        <f ca="1">VLOOKUP($L61,OFFSET([3]enemies!$A$1,0,0,COUNTA([3]enemies!$A:$A),MATCH(AA$1,[3]enemies!$1:$1,0)-MATCH($L$1,[3]enemies!$1:$1,0)+1),MATCH(AA$1,[3]enemies!$1:$1,0)-MATCH($L$1,[3]enemies!$1:$1,0)+1,FALSE)</f>
        <v>3</v>
      </c>
      <c r="AB61" s="21">
        <f t="shared" si="108"/>
        <v>610</v>
      </c>
      <c r="AC61" s="4" t="str">
        <f ca="1">VLOOKUP($AB61,OFFSET([4]characters!$A$1,0,0,COUNTA([4]characters!$A:$A),MATCH(AC$1,[4]characters!$1:$1,0)-MATCH("character_id",[4]characters!$1:$1,0)+1),MATCH(AC$1,[4]characters!$1:$1,0)-MATCH("character_id",[4]characters!$1:$1,0)+1,FALSE)</f>
        <v>メガ秘術の果実</v>
      </c>
      <c r="AD61" s="4">
        <f ca="1">VLOOKUP($AB61,OFFSET([4]characters!$A$1,0,0,COUNTA([4]characters!$A:$A),MATCH(AD$1,[4]characters!$1:$1,0)-MATCH("character_id",[4]characters!$1:$1,0)+1),MATCH(AD$1,[4]characters!$1:$1,0)-MATCH("character_id",[4]characters!$1:$1,0)+1,FALSE)</f>
        <v>4</v>
      </c>
      <c r="AE61" s="4" t="str">
        <f ca="1">VLOOKUP($AB61,OFFSET([4]characters!$A$1,0,0,COUNTA([4]characters!$A:$A),MATCH(AE$1,[4]characters!$1:$1,0)-MATCH("character_id",[4]characters!$1:$1,0)+1),MATCH(AE$1,[4]characters!$1:$1,0)-MATCH("character_id",[4]characters!$1:$1,0)+1,FALSE)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1" s="7">
        <v>1</v>
      </c>
      <c r="AG61" s="21">
        <f t="shared" ca="1" si="109"/>
        <v>4</v>
      </c>
      <c r="AH61" s="8">
        <v>100</v>
      </c>
      <c r="AI61" s="93">
        <v>0</v>
      </c>
      <c r="AJ61" s="93">
        <v>0</v>
      </c>
      <c r="AK61" s="93">
        <v>0</v>
      </c>
      <c r="AL61" s="93">
        <v>0</v>
      </c>
      <c r="AM61" s="93">
        <v>1</v>
      </c>
      <c r="AN61" s="66">
        <v>1</v>
      </c>
    </row>
  </sheetData>
  <sheetProtection selectLockedCells="1" selectUnlockedCells="1"/>
  <autoFilter ref="B1:AH6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P21" sqref="P21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/>
    <col min="4" max="4" width="13" style="13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21" style="3" bestFit="1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2" customFormat="1" ht="21" customHeight="1" x14ac:dyDescent="0.15">
      <c r="A1" s="24" t="s">
        <v>28</v>
      </c>
      <c r="B1" s="25" t="s">
        <v>0</v>
      </c>
      <c r="C1" s="25" t="s">
        <v>1</v>
      </c>
      <c r="D1" s="26" t="s">
        <v>27</v>
      </c>
      <c r="E1" s="27" t="s">
        <v>15</v>
      </c>
      <c r="F1" s="27" t="s">
        <v>15</v>
      </c>
      <c r="G1" s="25" t="s">
        <v>18</v>
      </c>
      <c r="H1" s="26" t="s">
        <v>29</v>
      </c>
      <c r="I1" s="26" t="s">
        <v>13</v>
      </c>
      <c r="J1" s="26" t="s">
        <v>14</v>
      </c>
      <c r="K1" s="33" t="s">
        <v>52</v>
      </c>
      <c r="L1" s="33" t="s">
        <v>53</v>
      </c>
      <c r="M1" s="34" t="s">
        <v>2</v>
      </c>
      <c r="N1" s="28" t="s">
        <v>15</v>
      </c>
      <c r="O1" s="26" t="s">
        <v>23</v>
      </c>
      <c r="P1" s="26" t="s">
        <v>22</v>
      </c>
      <c r="Q1" s="29" t="s">
        <v>25</v>
      </c>
      <c r="R1" s="27" t="s">
        <v>24</v>
      </c>
      <c r="S1" s="25" t="s">
        <v>3</v>
      </c>
      <c r="T1" s="23" t="s">
        <v>47</v>
      </c>
      <c r="U1" s="23" t="s">
        <v>49</v>
      </c>
      <c r="V1" s="23" t="s">
        <v>51</v>
      </c>
      <c r="W1" s="25" t="s">
        <v>129</v>
      </c>
      <c r="X1" s="26" t="s">
        <v>128</v>
      </c>
      <c r="Y1" s="25" t="s">
        <v>7</v>
      </c>
    </row>
    <row r="2" spans="1:25" ht="21" customHeight="1" x14ac:dyDescent="0.15">
      <c r="A2" s="15" t="str">
        <f>B2&amp;"_"&amp;C2&amp;"-"&amp;G2&amp;"/"&amp;M2&amp;"&lt;lv"&amp;S2&amp;"&gt;sq"&amp;K2&amp;"st"&amp;L2</f>
        <v>15031_2-4/587&lt;lv60&gt;sq1st2</v>
      </c>
      <c r="B2" s="93">
        <v>15031</v>
      </c>
      <c r="C2" s="97">
        <v>2</v>
      </c>
      <c r="D2" s="2" t="str">
        <f>B2&amp;"_"&amp;C2</f>
        <v>15031_2</v>
      </c>
      <c r="E2" s="4" t="str">
        <f ca="1">VLOOKUP($B2,OFFSET([2]quests!$A$1,0,0,COUNTA([2]quests!$A:$A),MATCH(E$1,[2]quests!$1:$1,0)-MATCH($B$1,[2]quests!$1:$1,0)+1),MATCH(E$1,[2]quests!$1:$1,0)-MATCH($B$1,[2]quests!$1:$1,0)+1,FALSE)</f>
        <v>31. 桜花乱城</v>
      </c>
      <c r="F2" s="4" t="str">
        <f ca="1">VLOOKUP($D2,OFFSET([2]stages!$A$1,0,0,COUNTA([2]stages!$A:$A),MATCH(F$1,[2]stages!$2:$2,0)-MATCH($D$1,[2]stages!$2:$2,0)+1),MATCH(F$1,[2]stages!$2:$2,0)-MATCH($D$1,[2]stages!$2:$2,0)+1,FALSE)</f>
        <v>31-2. 赤鉄の将</v>
      </c>
      <c r="G2" s="98">
        <v>4</v>
      </c>
      <c r="H2" s="14" t="str">
        <f>B2&amp;"_"&amp;C2&amp;"-"&amp;G2</f>
        <v>15031_2-4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5">
        <v>1</v>
      </c>
      <c r="L2" s="35">
        <v>2</v>
      </c>
      <c r="M2" s="100">
        <v>587</v>
      </c>
      <c r="N2" s="16" t="str">
        <f ca="1">VLOOKUP($M2,OFFSET([3]enemies!$A$1,0,0,COUNTA([3]enemies!$A:$A),MATCH(N$1,[3]enemies!$1:$1,0)-MATCH($M$1,[3]enemies!$1:$1,0)+1),MATCH(N$1,[3]enemies!$1:$1,0)-MATCH($M$1,[3]enemies!$1:$1,0)+1,FALSE)</f>
        <v>原初の煉鋼巨刃 ユミル</v>
      </c>
      <c r="O2" s="16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6" t="str">
        <f ca="1">VLOOKUP($M2,OFFSET([4]characters!$A$1,0,0,COUNTA([4]characters!$A:$A),MATCH(P$1,[4]characters!$1:$1,0)-MATCH($M$1,[4]characters!$1:$1,0)+1),MATCH(P$1,[4]characters!$1:$1,0)-MATCH($M$1,[4]characters!$1:$1,0)+1,FALSE)</f>
        <v>PremiumSS</v>
      </c>
      <c r="Q2" s="16" t="str">
        <f ca="1">VLOOKUP($M2,OFFSET([3]enemies!$A$1,0,0,COUNTA([3]enemies!$A:$A),MATCH(Q$1,[3]enemies!$1:$1,0)-MATCH($M$1,[3]enemies!$1:$1,0)+1),MATCH(Q$1,[3]enemies!$1:$1,0)-MATCH($M$1,[3]enemies!$1:$1,0)+1,FALSE)</f>
        <v>machine</v>
      </c>
      <c r="R2" s="16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60</v>
      </c>
      <c r="T2" s="22">
        <v>2.2000000000000002</v>
      </c>
      <c r="U2" s="22">
        <v>1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4">
        <v>15031020</v>
      </c>
      <c r="Y2" s="67">
        <f ca="1">VLOOKUP($M2,OFFSET([3]enemies!$A$1,0,0,COUNTA([3]enemies!$A:$A),MATCH(Y$1,[3]enemies!$1:$1,0)-MATCH($M$1,[3]enemies!$1:$1,0)+1),MATCH(Y$1,[3]enemies!$1:$1,0)-MATCH($M$1,[3]enemies!$1:$1,0)+1,FALSE)</f>
        <v>3</v>
      </c>
    </row>
    <row r="3" spans="1:25" ht="21" customHeight="1" thickBot="1" x14ac:dyDescent="0.2">
      <c r="A3" s="15" t="str">
        <f>B3&amp;"_"&amp;C3&amp;"-"&amp;G3&amp;"/"&amp;M3&amp;"&lt;lv"&amp;S3&amp;"&gt;sq"&amp;K3&amp;"st"&amp;L3</f>
        <v>15031_3-5/595&lt;lv60&gt;sq2st2</v>
      </c>
      <c r="B3" s="93">
        <v>15031</v>
      </c>
      <c r="C3" s="98">
        <v>3</v>
      </c>
      <c r="D3" s="2" t="str">
        <f>B3&amp;"_"&amp;C3</f>
        <v>15031_3</v>
      </c>
      <c r="E3" s="4" t="str">
        <f ca="1">VLOOKUP($B3,OFFSET([2]quests!$A$1,0,0,COUNTA([2]quests!$A:$A),MATCH(E$1,[2]quests!$1:$1,0)-MATCH($B$1,[2]quests!$1:$1,0)+1),MATCH(E$1,[2]quests!$1:$1,0)-MATCH($B$1,[2]quests!$1:$1,0)+1,FALSE)</f>
        <v>31. 桜花乱城</v>
      </c>
      <c r="F3" s="4" t="str">
        <f ca="1">VLOOKUP($D3,OFFSET([2]stages!$A$1,0,0,COUNTA([2]stages!$A:$A),MATCH(F$1,[2]stages!$2:$2,0)-MATCH($D$1,[2]stages!$2:$2,0)+1),MATCH(F$1,[2]stages!$2:$2,0)-MATCH($D$1,[2]stages!$2:$2,0)+1,FALSE)</f>
        <v>31-3. 神域の試練</v>
      </c>
      <c r="G3" s="99">
        <v>5</v>
      </c>
      <c r="H3" s="14" t="str">
        <f>B3&amp;"_"&amp;C3&amp;"-"&amp;G3</f>
        <v>15031_3-5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5">
        <v>2</v>
      </c>
      <c r="L3" s="35">
        <v>2</v>
      </c>
      <c r="M3" s="100">
        <v>595</v>
      </c>
      <c r="N3" s="16" t="str">
        <f ca="1">VLOOKUP($M3,OFFSET([3]enemies!$A$1,0,0,COUNTA([3]enemies!$A:$A),MATCH(N$1,[3]enemies!$1:$1,0)-MATCH($M$1,[3]enemies!$1:$1,0)+1),MATCH(N$1,[3]enemies!$1:$1,0)-MATCH($M$1,[3]enemies!$1:$1,0)+1,FALSE)</f>
        <v>光華なる神域 アルフヘイム</v>
      </c>
      <c r="O3" s="16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6" t="str">
        <f ca="1">VLOOKUP($M3,OFFSET([4]characters!$A$1,0,0,COUNTA([4]characters!$A:$A),MATCH(P$1,[4]characters!$1:$1,0)-MATCH($M$1,[4]characters!$1:$1,0)+1),MATCH(P$1,[4]characters!$1:$1,0)-MATCH($M$1,[4]characters!$1:$1,0)+1,FALSE)</f>
        <v>PremiumSS</v>
      </c>
      <c r="Q3" s="16" t="str">
        <f ca="1">VLOOKUP($M3,OFFSET([3]enemies!$A$1,0,0,COUNTA([3]enemies!$A:$A),MATCH(Q$1,[3]enemies!$1:$1,0)-MATCH($M$1,[3]enemies!$1:$1,0)+1),MATCH(Q$1,[3]enemies!$1:$1,0)-MATCH($M$1,[3]enemies!$1:$1,0)+1,FALSE)</f>
        <v>dragon</v>
      </c>
      <c r="R3" s="16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60</v>
      </c>
      <c r="T3" s="22">
        <v>2.2000000000000002</v>
      </c>
      <c r="U3" s="125">
        <v>0.5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4">
        <v>15031036</v>
      </c>
      <c r="Y3" s="67">
        <f ca="1">VLOOKUP($M3,OFFSET([3]enemies!$A$1,0,0,COUNTA([3]enemies!$A:$A),MATCH(Y$1,[3]enemies!$1:$1,0)-MATCH($M$1,[3]enemies!$1:$1,0)+1),MATCH(Y$1,[3]enemies!$1:$1,0)-MATCH($M$1,[3]enemies!$1:$1,0)+1,FALSE)</f>
        <v>3</v>
      </c>
    </row>
    <row r="4" spans="1:25" ht="21" customHeight="1" thickBot="1" x14ac:dyDescent="0.2">
      <c r="A4" s="15" t="str">
        <f t="shared" ref="A4" si="0">B4&amp;"_"&amp;C4&amp;"-"&amp;G4&amp;"/"&amp;M4&amp;"&lt;lv"&amp;S4&amp;"&gt;sq"&amp;K4&amp;"st"&amp;L4</f>
        <v>15031_3-5/595&lt;lv60&gt;sq2st3</v>
      </c>
      <c r="B4" s="93">
        <v>15031</v>
      </c>
      <c r="C4" s="98">
        <v>3</v>
      </c>
      <c r="D4" s="2" t="str">
        <f t="shared" ref="D4" si="1">B4&amp;"_"&amp;C4</f>
        <v>15031_3</v>
      </c>
      <c r="E4" s="4" t="str">
        <f ca="1">VLOOKUP($B4,OFFSET([2]quests!$A$1,0,0,COUNTA([2]quests!$A:$A),MATCH(E$1,[2]quests!$1:$1,0)-MATCH($B$1,[2]quests!$1:$1,0)+1),MATCH(E$1,[2]quests!$1:$1,0)-MATCH($B$1,[2]quests!$1:$1,0)+1,FALSE)</f>
        <v>31. 桜花乱城</v>
      </c>
      <c r="F4" s="4" t="str">
        <f ca="1">VLOOKUP($D4,OFFSET([2]stages!$A$1,0,0,COUNTA([2]stages!$A:$A),MATCH(F$1,[2]stages!$2:$2,0)-MATCH($D$1,[2]stages!$2:$2,0)+1),MATCH(F$1,[2]stages!$2:$2,0)-MATCH($D$1,[2]stages!$2:$2,0)+1,FALSE)</f>
        <v>31-3. 神域の試練</v>
      </c>
      <c r="G4" s="99">
        <v>5</v>
      </c>
      <c r="H4" s="14" t="str">
        <f t="shared" ref="H4" si="2">B4&amp;"_"&amp;C4&amp;"-"&amp;G4</f>
        <v>15031_3-5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5">
        <v>2</v>
      </c>
      <c r="L4" s="35">
        <v>3</v>
      </c>
      <c r="M4" s="100">
        <v>595</v>
      </c>
      <c r="N4" s="16" t="str">
        <f ca="1">VLOOKUP($M4,OFFSET([3]enemies!$A$1,0,0,COUNTA([3]enemies!$A:$A),MATCH(N$1,[3]enemies!$1:$1,0)-MATCH($M$1,[3]enemies!$1:$1,0)+1),MATCH(N$1,[3]enemies!$1:$1,0)-MATCH($M$1,[3]enemies!$1:$1,0)+1,FALSE)</f>
        <v>光華なる神域 アルフヘイム</v>
      </c>
      <c r="O4" s="16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6" t="str">
        <f ca="1">VLOOKUP($M4,OFFSET([4]characters!$A$1,0,0,COUNTA([4]characters!$A:$A),MATCH(P$1,[4]characters!$1:$1,0)-MATCH($M$1,[4]characters!$1:$1,0)+1),MATCH(P$1,[4]characters!$1:$1,0)-MATCH($M$1,[4]characters!$1:$1,0)+1,FALSE)</f>
        <v>PremiumSS</v>
      </c>
      <c r="Q4" s="16" t="str">
        <f ca="1">VLOOKUP($M4,OFFSET([3]enemies!$A$1,0,0,COUNTA([3]enemies!$A:$A),MATCH(Q$1,[3]enemies!$1:$1,0)-MATCH($M$1,[3]enemies!$1:$1,0)+1),MATCH(Q$1,[3]enemies!$1:$1,0)-MATCH($M$1,[3]enemies!$1:$1,0)+1,FALSE)</f>
        <v>dragon</v>
      </c>
      <c r="R4" s="16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60</v>
      </c>
      <c r="T4" s="22">
        <v>2.2000000000000002</v>
      </c>
      <c r="U4" s="125">
        <v>0.5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4">
        <v>15031037</v>
      </c>
      <c r="Y4" s="67">
        <f ca="1">VLOOKUP($M4,OFFSET([3]enemies!$A$1,0,0,COUNTA([3]enemies!$A:$A),MATCH(Y$1,[3]enemies!$1:$1,0)-MATCH($M$1,[3]enemies!$1:$1,0)+1),MATCH(Y$1,[3]enemies!$1:$1,0)-MATCH($M$1,[3]enemies!$1:$1,0)+1,FALSE)</f>
        <v>3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50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C12" sqref="C12:C15"/>
    </sheetView>
  </sheetViews>
  <sheetFormatPr baseColWidth="12" defaultColWidth="12.83203125" defaultRowHeight="21" customHeight="1" outlineLevelCol="1" x14ac:dyDescent="0.15"/>
  <cols>
    <col min="1" max="1" width="11.33203125" style="36" bestFit="1" customWidth="1"/>
    <col min="2" max="2" width="9.5" style="46" bestFit="1" customWidth="1"/>
    <col min="3" max="3" width="9.6640625" style="46" customWidth="1"/>
    <col min="4" max="4" width="18.5" style="46" customWidth="1" outlineLevel="1"/>
    <col min="5" max="5" width="44.1640625" style="46" bestFit="1" customWidth="1" outlineLevel="1"/>
    <col min="6" max="6" width="10.83203125" style="46" bestFit="1" customWidth="1"/>
    <col min="7" max="7" width="8.33203125" style="46" bestFit="1" customWidth="1" outlineLevel="1"/>
    <col min="8" max="9" width="12.83203125" style="46" outlineLevel="1"/>
    <col min="10" max="10" width="17.6640625" style="46" bestFit="1" customWidth="1" outlineLevel="1"/>
    <col min="11" max="15" width="12.83203125" style="46" outlineLevel="1"/>
    <col min="16" max="16" width="8.33203125" style="42" bestFit="1" customWidth="1"/>
    <col min="17" max="17" width="9.6640625" style="42" customWidth="1"/>
    <col min="18" max="18" width="56.5" style="42" bestFit="1" customWidth="1"/>
    <col min="19" max="16384" width="12.83203125" style="42"/>
  </cols>
  <sheetData>
    <row r="1" spans="1:18" ht="21" customHeight="1" x14ac:dyDescent="0.15">
      <c r="A1" s="36" t="s">
        <v>58</v>
      </c>
      <c r="B1" s="37" t="s">
        <v>59</v>
      </c>
      <c r="C1" s="37" t="s">
        <v>60</v>
      </c>
      <c r="D1" s="38" t="s">
        <v>61</v>
      </c>
      <c r="E1" s="38" t="s">
        <v>62</v>
      </c>
      <c r="F1" s="39" t="s">
        <v>63</v>
      </c>
      <c r="G1" s="40" t="s">
        <v>64</v>
      </c>
      <c r="H1" s="40" t="s">
        <v>66</v>
      </c>
      <c r="I1" s="40" t="s">
        <v>67</v>
      </c>
      <c r="J1" s="40" t="s">
        <v>68</v>
      </c>
      <c r="K1" s="41" t="s">
        <v>69</v>
      </c>
      <c r="L1" s="41" t="s">
        <v>70</v>
      </c>
      <c r="M1" s="40" t="s">
        <v>71</v>
      </c>
      <c r="N1" s="40" t="s">
        <v>72</v>
      </c>
      <c r="O1" s="40" t="s">
        <v>73</v>
      </c>
      <c r="P1" s="38" t="s">
        <v>74</v>
      </c>
      <c r="Q1" s="38" t="s">
        <v>75</v>
      </c>
      <c r="R1" s="38" t="s">
        <v>76</v>
      </c>
    </row>
    <row r="2" spans="1:18" ht="21" customHeight="1" x14ac:dyDescent="0.15">
      <c r="A2" s="36" t="str">
        <f t="shared" ref="A2" si="0">B2&amp;"_"&amp;C2</f>
        <v>15031001_15031001</v>
      </c>
      <c r="B2" s="44">
        <v>15031001</v>
      </c>
      <c r="C2" s="44">
        <v>15031001</v>
      </c>
      <c r="D2" s="43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ダルマフォール</v>
      </c>
      <c r="E2" s="43" t="str">
        <f ca="1">VLOOKUP($C2,OFFSET(enemy_skills!$A$1,0,0,COUNTA(enemy_skills!$A:$A),MATCH(E$1,enemy_skills!$1:$1,0)-MATCH("enemy_skill_id",enemy_skills!$1:$1,0)+1),MATCH(E$1,enemy_skills!$1:$1,0)-MATCH("enemy_skill_id",enemy_skills!$1:$1,0)+1,FALSE)</f>
        <v>赤パネル吸収攻撃</v>
      </c>
      <c r="F2" s="44">
        <v>15031001</v>
      </c>
      <c r="G2" s="45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5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5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" s="45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2" s="45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5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5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5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5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" s="44"/>
      <c r="Q2" s="44"/>
      <c r="R2" s="44"/>
    </row>
    <row r="3" spans="1:18" ht="21" customHeight="1" x14ac:dyDescent="0.15">
      <c r="A3" s="36" t="str">
        <f t="shared" ref="A3:A49" si="1">B3&amp;"_"&amp;C3</f>
        <v>15031002_15031006</v>
      </c>
      <c r="B3" s="44">
        <v>15031002</v>
      </c>
      <c r="C3" s="44">
        <v>15031006</v>
      </c>
      <c r="D3" s="43" t="str">
        <f ca="1">VLOOKUP($C3,OFFSET(enemy_skills!$A$1,0,0,COUNTA(enemy_skills!$A:$A),MATCH(D$1,enemy_skills!$1:$1,0)-MATCH("enemy_skill_id",enemy_skills!$1:$1,0)+1),MATCH(D$1,enemy_skills!$1:$1,0)-MATCH("enemy_skill_id",enemy_skills!$1:$1,0)+1,FALSE)</f>
        <v>暴れる</v>
      </c>
      <c r="E3" s="43" t="str">
        <f ca="1">VLOOKUP($C3,OFFSET(enemy_skills!$A$1,0,0,COUNTA(enemy_skills!$A:$A),MATCH(E$1,enemy_skills!$1:$1,0)-MATCH("enemy_skill_id",enemy_skills!$1:$1,0)+1),MATCH(E$1,enemy_skills!$1:$1,0)-MATCH("enemy_skill_id",enemy_skills!$1:$1,0)+1,FALSE)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" s="44">
        <v>15031006</v>
      </c>
      <c r="G3" s="45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5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5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" s="45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" s="45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5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5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5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5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" s="44"/>
      <c r="Q3" s="44"/>
      <c r="R3" s="44"/>
    </row>
    <row r="4" spans="1:18" ht="21" customHeight="1" x14ac:dyDescent="0.15">
      <c r="A4" s="36" t="str">
        <f t="shared" si="1"/>
        <v>15031003_15031011</v>
      </c>
      <c r="B4" s="44">
        <v>15031003</v>
      </c>
      <c r="C4" s="44">
        <v>15031011</v>
      </c>
      <c r="D4" s="43" t="str">
        <f ca="1">VLOOKUP($C4,OFFSET(enemy_skills!$A$1,0,0,COUNTA(enemy_skills!$A:$A),MATCH(D$1,enemy_skills!$1:$1,0)-MATCH("enemy_skill_id",enemy_skills!$1:$1,0)+1),MATCH(D$1,enemy_skills!$1:$1,0)-MATCH("enemy_skill_id",enemy_skills!$1:$1,0)+1,FALSE)</f>
        <v>封印の詠</v>
      </c>
      <c r="E4" s="43" t="str">
        <f ca="1">VLOOKUP($C4,OFFSET(enemy_skills!$A$1,0,0,COUNTA(enemy_skills!$A:$A),MATCH(E$1,enemy_skills!$1:$1,0)-MATCH("enemy_skill_id",enemy_skills!$1:$1,0)+1),MATCH(E$1,enemy_skills!$1:$1,0)-MATCH("enemy_skill_id",enemy_skills!$1:$1,0)+1,FALSE)</f>
        <v>3ターンハートパネルが使えない！</v>
      </c>
      <c r="F4" s="44">
        <v>15031011</v>
      </c>
      <c r="G4" s="45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5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5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4" s="45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4" s="45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5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5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5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5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4" s="44"/>
      <c r="Q4" s="44"/>
      <c r="R4" s="44"/>
    </row>
    <row r="5" spans="1:18" ht="21" customHeight="1" x14ac:dyDescent="0.15">
      <c r="A5" s="36" t="str">
        <f t="shared" si="1"/>
        <v>15031004_15031016</v>
      </c>
      <c r="B5" s="44">
        <v>15031004</v>
      </c>
      <c r="C5" s="44">
        <v>15031016</v>
      </c>
      <c r="D5" s="43" t="str">
        <f ca="1">VLOOKUP($C5,OFFSET(enemy_skills!$A$1,0,0,COUNTA(enemy_skills!$A:$A),MATCH(D$1,enemy_skills!$1:$1,0)-MATCH("enemy_skill_id",enemy_skills!$1:$1,0)+1),MATCH(D$1,enemy_skills!$1:$1,0)-MATCH("enemy_skill_id",enemy_skills!$1:$1,0)+1,FALSE)</f>
        <v>暴れる</v>
      </c>
      <c r="E5" s="43" t="str">
        <f ca="1">VLOOKUP($C5,OFFSET(enemy_skills!$A$1,0,0,COUNTA(enemy_skills!$A:$A),MATCH(E$1,enemy_skills!$1:$1,0)-MATCH("enemy_skill_id",enemy_skills!$1:$1,0)+1),MATCH(E$1,enemy_skills!$1:$1,0)-MATCH("enemy_skill_id",enemy_skills!$1:$1,0)+1,FALSE)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" s="44">
        <v>15031016</v>
      </c>
      <c r="G5" s="45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5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5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5" s="45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" s="45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5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5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5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5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5" s="44"/>
      <c r="Q5" s="44"/>
      <c r="R5" s="44"/>
    </row>
    <row r="6" spans="1:18" ht="21" customHeight="1" x14ac:dyDescent="0.15">
      <c r="A6" s="36" t="str">
        <f t="shared" si="1"/>
        <v>15031005_15031021</v>
      </c>
      <c r="B6" s="44">
        <v>15031005</v>
      </c>
      <c r="C6" s="44">
        <v>15031021</v>
      </c>
      <c r="D6" s="43" t="str">
        <f ca="1">VLOOKUP($C6,OFFSET(enemy_skills!$A$1,0,0,COUNTA(enemy_skills!$A:$A),MATCH(D$1,enemy_skills!$1:$1,0)-MATCH("enemy_skill_id",enemy_skills!$1:$1,0)+1),MATCH(D$1,enemy_skills!$1:$1,0)-MATCH("enemy_skill_id",enemy_skills!$1:$1,0)+1,FALSE)</f>
        <v>鳴き声</v>
      </c>
      <c r="E6" s="43" t="str">
        <f ca="1">VLOOKUP($C6,OFFSET(enemy_skills!$A$1,0,0,COUNTA(enemy_skills!$A:$A),MATCH(E$1,enemy_skills!$1:$1,0)-MATCH("enemy_skill_id",enemy_skills!$1:$1,0)+1),MATCH(E$1,enemy_skills!$1:$1,0)-MATCH("enemy_skill_id",enemy_skills!$1:$1,0)+1,FALSE)</f>
        <v>回復</v>
      </c>
      <c r="F6" s="44">
        <v>15031021</v>
      </c>
      <c r="G6" s="45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5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5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6" s="45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6" s="45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5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5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5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5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6" s="44"/>
      <c r="Q6" s="44"/>
      <c r="R6" s="44"/>
    </row>
    <row r="7" spans="1:18" ht="21" customHeight="1" x14ac:dyDescent="0.15">
      <c r="A7" s="36" t="str">
        <f t="shared" si="1"/>
        <v>15031006_15031026</v>
      </c>
      <c r="B7" s="44">
        <v>15031006</v>
      </c>
      <c r="C7" s="44">
        <v>15031026</v>
      </c>
      <c r="D7" s="43" t="str">
        <f ca="1">VLOOKUP($C7,OFFSET(enemy_skills!$A$1,0,0,COUNTA(enemy_skills!$A:$A),MATCH(D$1,enemy_skills!$1:$1,0)-MATCH("enemy_skill_id",enemy_skills!$1:$1,0)+1),MATCH(D$1,enemy_skills!$1:$1,0)-MATCH("enemy_skill_id",enemy_skills!$1:$1,0)+1,FALSE)</f>
        <v>鳴き声</v>
      </c>
      <c r="E7" s="43" t="str">
        <f ca="1">VLOOKUP($C7,OFFSET(enemy_skills!$A$1,0,0,COUNTA(enemy_skills!$A:$A),MATCH(E$1,enemy_skills!$1:$1,0)-MATCH("enemy_skill_id",enemy_skills!$1:$1,0)+1),MATCH(E$1,enemy_skills!$1:$1,0)-MATCH("enemy_skill_id",enemy_skills!$1:$1,0)+1,FALSE)</f>
        <v>回復</v>
      </c>
      <c r="F7" s="44">
        <v>15031026</v>
      </c>
      <c r="G7" s="45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5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5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7" s="45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7" s="45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5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5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5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5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7" s="44"/>
      <c r="Q7" s="44"/>
      <c r="R7" s="44"/>
    </row>
    <row r="8" spans="1:18" ht="21" customHeight="1" x14ac:dyDescent="0.15">
      <c r="A8" s="36" t="str">
        <f t="shared" si="1"/>
        <v>15031007_15031031</v>
      </c>
      <c r="B8" s="44">
        <v>15031007</v>
      </c>
      <c r="C8" s="44">
        <v>15031031</v>
      </c>
      <c r="D8" s="43" t="str">
        <f ca="1">VLOOKUP($C8,OFFSET(enemy_skills!$A$1,0,0,COUNTA(enemy_skills!$A:$A),MATCH(D$1,enemy_skills!$1:$1,0)-MATCH("enemy_skill_id",enemy_skills!$1:$1,0)+1),MATCH(D$1,enemy_skills!$1:$1,0)-MATCH("enemy_skill_id",enemy_skills!$1:$1,0)+1,FALSE)</f>
        <v>技禁退散</v>
      </c>
      <c r="E8" s="43" t="str">
        <f ca="1">VLOOKUP($C8,OFFSET(enemy_skills!$A$1,0,0,COUNTA(enemy_skills!$A:$A),MATCH(E$1,enemy_skills!$1:$1,0)-MATCH("enemy_skill_id",enemy_skills!$1:$1,0)+1),MATCH(E$1,enemy_skills!$1:$1,0)-MATCH("enemy_skill_id",enemy_skills!$1:$1,0)+1,FALSE)</f>
        <v>スキルバインド状態のユニットに大ダメージ</v>
      </c>
      <c r="F8" s="44">
        <v>15031031</v>
      </c>
      <c r="G8" s="45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5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5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5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8" s="45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5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5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8" s="45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5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4"/>
      <c r="Q8" s="44"/>
      <c r="R8" s="44"/>
    </row>
    <row r="9" spans="1:18" ht="21" customHeight="1" x14ac:dyDescent="0.15">
      <c r="A9" s="36" t="str">
        <f t="shared" ref="A9" si="2">B9&amp;"_"&amp;C9</f>
        <v>15031007_15031032</v>
      </c>
      <c r="B9" s="44">
        <v>15031007</v>
      </c>
      <c r="C9" s="44">
        <v>15031032</v>
      </c>
      <c r="D9" s="43" t="str">
        <f ca="1">VLOOKUP($C9,OFFSET(enemy_skills!$A$1,0,0,COUNTA(enemy_skills!$A:$A),MATCH(D$1,enemy_skills!$1:$1,0)-MATCH("enemy_skill_id",enemy_skills!$1:$1,0)+1),MATCH(D$1,enemy_skills!$1:$1,0)-MATCH("enemy_skill_id",enemy_skills!$1:$1,0)+1,FALSE)</f>
        <v>絶対技禁</v>
      </c>
      <c r="E9" s="43" t="str">
        <f ca="1">VLOOKUP($C9,OFFSET(enemy_skills!$A$1,0,0,COUNTA(enemy_skills!$A:$A),MATCH(E$1,enemy_skills!$1:$1,0)-MATCH("enemy_skill_id",enemy_skills!$1:$1,0)+1),MATCH(E$1,enemy_skills!$1:$1,0)-MATCH("enemy_skill_id",enemy_skills!$1:$1,0)+1,FALSE)</f>
        <v>5ターンスキルバインド</v>
      </c>
      <c r="F9" s="44">
        <v>15031032</v>
      </c>
      <c r="G9" s="45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5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9" s="45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9" s="45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9" s="45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5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5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5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5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9" s="44"/>
      <c r="Q9" s="44"/>
      <c r="R9" s="44"/>
    </row>
    <row r="10" spans="1:18" ht="21" customHeight="1" x14ac:dyDescent="0.15">
      <c r="A10" s="36" t="str">
        <f t="shared" si="1"/>
        <v>15031008_15031036</v>
      </c>
      <c r="B10" s="44">
        <v>15031008</v>
      </c>
      <c r="C10" s="44">
        <v>15031036</v>
      </c>
      <c r="D10" s="43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ホトケノジヒ</v>
      </c>
      <c r="E10" s="43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全ユニットの状態異常を解除してくれた</v>
      </c>
      <c r="F10" s="44">
        <v>15031036</v>
      </c>
      <c r="G10" s="45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5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5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5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0" s="45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5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5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0" s="45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5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4"/>
      <c r="Q10" s="44"/>
      <c r="R10" s="44"/>
    </row>
    <row r="11" spans="1:18" ht="21" customHeight="1" x14ac:dyDescent="0.15">
      <c r="A11" s="36" t="str">
        <f t="shared" si="1"/>
        <v>15031009_15031041</v>
      </c>
      <c r="B11" s="139">
        <v>15031009</v>
      </c>
      <c r="C11" s="44">
        <v>15031041</v>
      </c>
      <c r="D11" s="43" t="str">
        <f ca="1">VLOOKUP($C11,OFFSET(enemy_skills!$A$1,0,0,COUNTA(enemy_skills!$A:$A),MATCH(D$1,enemy_skills!$1:$1,0)-MATCH("enemy_skill_id",enemy_skills!$1:$1,0)+1),MATCH(D$1,enemy_skills!$1:$1,0)-MATCH("enemy_skill_id",enemy_skills!$1:$1,0)+1,FALSE)</f>
        <v>囁き</v>
      </c>
      <c r="E11" s="43" t="str">
        <f ca="1">VLOOKUP($C11,OFFSET(enemy_skills!$A$1,0,0,COUNTA(enemy_skills!$A:$A),MATCH(E$1,enemy_skills!$1:$1,0)-MATCH("enemy_skill_id",enemy_skills!$1:$1,0)+1),MATCH(E$1,enemy_skills!$1:$1,0)-MATCH("enemy_skill_id",enemy_skills!$1:$1,0)+1,FALSE)</f>
        <v>3ターンCパネル生成延長</v>
      </c>
      <c r="F11" s="44">
        <v>15031041</v>
      </c>
      <c r="G11" s="45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5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5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5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1" s="45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5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5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1" s="45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5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4"/>
      <c r="Q11" s="44"/>
      <c r="R11" s="44"/>
    </row>
    <row r="12" spans="1:18" ht="21" customHeight="1" x14ac:dyDescent="0.15">
      <c r="A12" s="36" t="str">
        <f t="shared" si="1"/>
        <v>15031010_15031046</v>
      </c>
      <c r="B12" s="139">
        <v>15031010</v>
      </c>
      <c r="C12" s="44">
        <v>15031046</v>
      </c>
      <c r="D12" s="43" t="str">
        <f ca="1">VLOOKUP($C12,OFFSET(enemy_skills!$A$1,0,0,COUNTA(enemy_skills!$A:$A),MATCH(D$1,enemy_skills!$1:$1,0)-MATCH("enemy_skill_id",enemy_skills!$1:$1,0)+1),MATCH(D$1,enemy_skills!$1:$1,0)-MATCH("enemy_skill_id",enemy_skills!$1:$1,0)+1,FALSE)</f>
        <v>煙玉</v>
      </c>
      <c r="E12" s="43" t="str">
        <f ca="1">VLOOKUP($C12,OFFSET(enemy_skills!$A$1,0,0,COUNTA(enemy_skills!$A:$A),MATCH(E$1,enemy_skills!$1:$1,0)-MATCH("enemy_skill_id",enemy_skills!$1:$1,0)+1),MATCH(E$1,enemy_skills!$1:$1,0)-MATCH("enemy_skill_id",enemy_skills!$1:$1,0)+1,FALSE)</f>
        <v>3ターンの間パネルの色が分からなくなる！</v>
      </c>
      <c r="F12" s="44">
        <v>15031046</v>
      </c>
      <c r="G12" s="45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5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5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5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2" s="45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5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5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5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5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4"/>
      <c r="Q12" s="44"/>
      <c r="R12" s="44"/>
    </row>
    <row r="13" spans="1:18" ht="21" customHeight="1" x14ac:dyDescent="0.15">
      <c r="A13" s="36" t="str">
        <f t="shared" si="1"/>
        <v>15031010_15031047</v>
      </c>
      <c r="B13" s="139">
        <v>15031010</v>
      </c>
      <c r="C13" s="153">
        <v>15031047</v>
      </c>
      <c r="D13" s="43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オーラ放出</v>
      </c>
      <c r="E13" s="43" t="str">
        <f ca="1">VLOOKUP($C13,OFFSET(enemy_skills!$A$1,0,0,COUNTA(enemy_skills!$A:$A),MATCH(E$1,enemy_skills!$1:$1,0)-MATCH("enemy_skill_id",enemy_skills!$1:$1,0)+1),MATCH(E$1,enemy_skills!$1:$1,0)-MATCH("enemy_skill_id",enemy_skills!$1:$1,0)+1,FALSE)</f>
        <v>3ターンタップ時間を制限【10秒】</v>
      </c>
      <c r="F13" s="44">
        <v>15031047</v>
      </c>
      <c r="G13" s="45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5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5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5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3" s="45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5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5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3" s="45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5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4"/>
      <c r="Q13" s="44"/>
      <c r="R13" s="44"/>
    </row>
    <row r="14" spans="1:18" ht="21" customHeight="1" x14ac:dyDescent="0.15">
      <c r="A14" s="36" t="str">
        <f t="shared" si="1"/>
        <v>15031010_15031048</v>
      </c>
      <c r="B14" s="139">
        <v>15031010</v>
      </c>
      <c r="C14" s="153">
        <v>15031048</v>
      </c>
      <c r="D14" s="43" t="str">
        <f ca="1">VLOOKUP($C14,OFFSET(enemy_skills!$A$1,0,0,COUNTA(enemy_skills!$A:$A),MATCH(D$1,enemy_skills!$1:$1,0)-MATCH("enemy_skill_id",enemy_skills!$1:$1,0)+1),MATCH(D$1,enemy_skills!$1:$1,0)-MATCH("enemy_skill_id",enemy_skills!$1:$1,0)+1,FALSE)</f>
        <v>投げナイフ</v>
      </c>
      <c r="E14" s="43" t="str">
        <f ca="1">VLOOKUP($C14,OFFSET(enemy_skills!$A$1,0,0,COUNTA(enemy_skills!$A:$A),MATCH(E$1,enemy_skills!$1:$1,0)-MATCH("enemy_skill_id",enemy_skills!$1:$1,0)+1),MATCH(E$1,enemy_skills!$1:$1,0)-MATCH("enemy_skill_id",enemy_skills!$1:$1,0)+1,FALSE)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4" s="44">
        <v>15031048</v>
      </c>
      <c r="G14" s="45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5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5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4" s="45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4" s="45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5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5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5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5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4" s="44"/>
      <c r="Q14" s="44"/>
      <c r="R14" s="44"/>
    </row>
    <row r="15" spans="1:18" ht="21" customHeight="1" x14ac:dyDescent="0.15">
      <c r="A15" s="36" t="str">
        <f t="shared" si="1"/>
        <v>15031010_15031049</v>
      </c>
      <c r="B15" s="139">
        <v>15031010</v>
      </c>
      <c r="C15" s="153">
        <v>15031049</v>
      </c>
      <c r="D15" s="43" t="str">
        <f ca="1">VLOOKUP($C15,OFFSET(enemy_skills!$A$1,0,0,COUNTA(enemy_skills!$A:$A),MATCH(D$1,enemy_skills!$1:$1,0)-MATCH("enemy_skill_id",enemy_skills!$1:$1,0)+1),MATCH(D$1,enemy_skills!$1:$1,0)-MATCH("enemy_skill_id",enemy_skills!$1:$1,0)+1,FALSE)</f>
        <v>跳躍</v>
      </c>
      <c r="E15" s="43" t="str">
        <f ca="1">VLOOKUP($C15,OFFSET(enemy_skills!$A$1,0,0,COUNTA(enemy_skills!$A:$A),MATCH(E$1,enemy_skills!$1:$1,0)-MATCH("enemy_skill_id",enemy_skills!$1:$1,0)+1),MATCH(E$1,enemy_skills!$1:$1,0)-MATCH("enemy_skill_id",enemy_skills!$1:$1,0)+1,FALSE)</f>
        <v>連続攻撃</v>
      </c>
      <c r="F15" s="44">
        <v>15031049</v>
      </c>
      <c r="G15" s="45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5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5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5" s="45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5" s="45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5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5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5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5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5" s="44"/>
      <c r="Q15" s="44"/>
      <c r="R15" s="44"/>
    </row>
    <row r="16" spans="1:18" ht="21" customHeight="1" x14ac:dyDescent="0.15">
      <c r="A16" s="36" t="str">
        <f t="shared" si="1"/>
        <v>15031011_15031051</v>
      </c>
      <c r="B16" s="44">
        <v>15031011</v>
      </c>
      <c r="C16" s="44">
        <v>15031051</v>
      </c>
      <c r="D16" s="43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ダルマフォール</v>
      </c>
      <c r="E16" s="43" t="str">
        <f ca="1">VLOOKUP($C16,OFFSET(enemy_skills!$A$1,0,0,COUNTA(enemy_skills!$A:$A),MATCH(E$1,enemy_skills!$1:$1,0)-MATCH("enemy_skill_id",enemy_skills!$1:$1,0)+1),MATCH(E$1,enemy_skills!$1:$1,0)-MATCH("enemy_skill_id",enemy_skills!$1:$1,0)+1,FALSE)</f>
        <v>赤パネル吸収攻撃</v>
      </c>
      <c r="F16" s="44">
        <v>15031051</v>
      </c>
      <c r="G16" s="45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5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5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6" s="45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16" s="45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5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5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5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5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6" s="44"/>
      <c r="Q16" s="44"/>
      <c r="R16" s="44"/>
    </row>
    <row r="17" spans="1:18" ht="21" customHeight="1" x14ac:dyDescent="0.15">
      <c r="A17" s="36" t="str">
        <f t="shared" si="1"/>
        <v>15031012_15031056</v>
      </c>
      <c r="B17" s="44">
        <v>15031012</v>
      </c>
      <c r="C17" s="44">
        <v>15031056</v>
      </c>
      <c r="D17" s="43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ダルマフォール</v>
      </c>
      <c r="E17" s="43" t="str">
        <f ca="1">VLOOKUP($C17,OFFSET(enemy_skills!$A$1,0,0,COUNTA(enemy_skills!$A:$A),MATCH(E$1,enemy_skills!$1:$1,0)-MATCH("enemy_skill_id",enemy_skills!$1:$1,0)+1),MATCH(E$1,enemy_skills!$1:$1,0)-MATCH("enemy_skill_id",enemy_skills!$1:$1,0)+1,FALSE)</f>
        <v>青パネル吸収攻撃</v>
      </c>
      <c r="F17" s="44">
        <v>15031056</v>
      </c>
      <c r="G17" s="45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5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5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7" s="45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7" s="45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5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5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5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5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7" s="44"/>
      <c r="Q17" s="44"/>
      <c r="R17" s="44"/>
    </row>
    <row r="18" spans="1:18" ht="21" customHeight="1" x14ac:dyDescent="0.15">
      <c r="A18" s="36" t="str">
        <f t="shared" si="1"/>
        <v>15031013_15031061</v>
      </c>
      <c r="B18" s="44">
        <v>15031013</v>
      </c>
      <c r="C18" s="44">
        <v>15031061</v>
      </c>
      <c r="D18" s="43" t="str">
        <f ca="1">VLOOKUP($C18,OFFSET(enemy_skills!$A$1,0,0,COUNTA(enemy_skills!$A:$A),MATCH(D$1,enemy_skills!$1:$1,0)-MATCH("enemy_skill_id",enemy_skills!$1:$1,0)+1),MATCH(D$1,enemy_skills!$1:$1,0)-MATCH("enemy_skill_id",enemy_skills!$1:$1,0)+1,FALSE)</f>
        <v>封印の詠</v>
      </c>
      <c r="E18" s="43" t="str">
        <f ca="1">VLOOKUP($C18,OFFSET(enemy_skills!$A$1,0,0,COUNTA(enemy_skills!$A:$A),MATCH(E$1,enemy_skills!$1:$1,0)-MATCH("enemy_skill_id",enemy_skills!$1:$1,0)+1),MATCH(E$1,enemy_skills!$1:$1,0)-MATCH("enemy_skill_id",enemy_skills!$1:$1,0)+1,FALSE)</f>
        <v>3ターンハートパネルが使えない！</v>
      </c>
      <c r="F18" s="44">
        <v>15031061</v>
      </c>
      <c r="G18" s="45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5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5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8" s="45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18" s="45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5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5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5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5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8" s="44"/>
      <c r="Q18" s="44"/>
      <c r="R18" s="44"/>
    </row>
    <row r="19" spans="1:18" ht="21" customHeight="1" x14ac:dyDescent="0.15">
      <c r="A19" s="36" t="str">
        <f t="shared" si="1"/>
        <v>15031014_15031066</v>
      </c>
      <c r="B19" s="44">
        <v>15031014</v>
      </c>
      <c r="C19" s="44">
        <v>15031066</v>
      </c>
      <c r="D19" s="43" t="str">
        <f ca="1">VLOOKUP($C19,OFFSET(enemy_skills!$A$1,0,0,COUNTA(enemy_skills!$A:$A),MATCH(D$1,enemy_skills!$1:$1,0)-MATCH("enemy_skill_id",enemy_skills!$1:$1,0)+1),MATCH(D$1,enemy_skills!$1:$1,0)-MATCH("enemy_skill_id",enemy_skills!$1:$1,0)+1,FALSE)</f>
        <v>封印の詠</v>
      </c>
      <c r="E19" s="43" t="str">
        <f ca="1">VLOOKUP($C19,OFFSET(enemy_skills!$A$1,0,0,COUNTA(enemy_skills!$A:$A),MATCH(E$1,enemy_skills!$1:$1,0)-MATCH("enemy_skill_id",enemy_skills!$1:$1,0)+1),MATCH(E$1,enemy_skills!$1:$1,0)-MATCH("enemy_skill_id",enemy_skills!$1:$1,0)+1,FALSE)</f>
        <v>4ターンハートパネルが使えない！</v>
      </c>
      <c r="F19" s="44">
        <v>15031066</v>
      </c>
      <c r="G19" s="45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5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5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9" s="45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19" s="45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5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5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5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5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9" s="44"/>
      <c r="Q19" s="44"/>
      <c r="R19" s="44"/>
    </row>
    <row r="20" spans="1:18" ht="21" customHeight="1" x14ac:dyDescent="0.15">
      <c r="A20" s="36" t="str">
        <f t="shared" si="1"/>
        <v>15031015_15031071</v>
      </c>
      <c r="B20" s="44">
        <v>15031015</v>
      </c>
      <c r="C20" s="44">
        <v>15031071</v>
      </c>
      <c r="D20" s="43" t="str">
        <f ca="1">VLOOKUP($C20,OFFSET(enemy_skills!$A$1,0,0,COUNTA(enemy_skills!$A:$A),MATCH(D$1,enemy_skills!$1:$1,0)-MATCH("enemy_skill_id",enemy_skills!$1:$1,0)+1),MATCH(D$1,enemy_skills!$1:$1,0)-MATCH("enemy_skill_id",enemy_skills!$1:$1,0)+1,FALSE)</f>
        <v>鳴き声</v>
      </c>
      <c r="E20" s="43" t="str">
        <f ca="1">VLOOKUP($C20,OFFSET(enemy_skills!$A$1,0,0,COUNTA(enemy_skills!$A:$A),MATCH(E$1,enemy_skills!$1:$1,0)-MATCH("enemy_skill_id",enemy_skills!$1:$1,0)+1),MATCH(E$1,enemy_skills!$1:$1,0)-MATCH("enemy_skill_id",enemy_skills!$1:$1,0)+1,FALSE)</f>
        <v>回復</v>
      </c>
      <c r="F20" s="44">
        <v>15031071</v>
      </c>
      <c r="G20" s="45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5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5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0" s="45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0" s="45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5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5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5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5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0" s="44"/>
      <c r="Q20" s="44"/>
      <c r="R20" s="44"/>
    </row>
    <row r="21" spans="1:18" ht="21" customHeight="1" x14ac:dyDescent="0.15">
      <c r="A21" s="36" t="str">
        <f t="shared" si="1"/>
        <v>15031016_15031076</v>
      </c>
      <c r="B21" s="44">
        <v>15031016</v>
      </c>
      <c r="C21" s="44">
        <v>15031076</v>
      </c>
      <c r="D21" s="43" t="str">
        <f ca="1">VLOOKUP($C21,OFFSET(enemy_skills!$A$1,0,0,COUNTA(enemy_skills!$A:$A),MATCH(D$1,enemy_skills!$1:$1,0)-MATCH("enemy_skill_id",enemy_skills!$1:$1,0)+1),MATCH(D$1,enemy_skills!$1:$1,0)-MATCH("enemy_skill_id",enemy_skills!$1:$1,0)+1,FALSE)</f>
        <v>鳴き声</v>
      </c>
      <c r="E21" s="43" t="str">
        <f ca="1">VLOOKUP($C21,OFFSET(enemy_skills!$A$1,0,0,COUNTA(enemy_skills!$A:$A),MATCH(E$1,enemy_skills!$1:$1,0)-MATCH("enemy_skill_id",enemy_skills!$1:$1,0)+1),MATCH(E$1,enemy_skills!$1:$1,0)-MATCH("enemy_skill_id",enemy_skills!$1:$1,0)+1,FALSE)</f>
        <v>回復</v>
      </c>
      <c r="F21" s="44">
        <v>15031076</v>
      </c>
      <c r="G21" s="45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5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5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1" s="45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1" s="45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5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5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5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5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1" s="44"/>
      <c r="Q21" s="44"/>
      <c r="R21" s="44"/>
    </row>
    <row r="22" spans="1:18" ht="21" customHeight="1" x14ac:dyDescent="0.15">
      <c r="A22" s="36" t="str">
        <f t="shared" si="1"/>
        <v>15031017_15031081</v>
      </c>
      <c r="B22" s="44">
        <v>15031017</v>
      </c>
      <c r="C22" s="44">
        <v>15031081</v>
      </c>
      <c r="D22" s="43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ダルマフォール</v>
      </c>
      <c r="E22" s="43" t="str">
        <f ca="1">VLOOKUP($C22,OFFSET(enemy_skills!$A$1,0,0,COUNTA(enemy_skills!$A:$A),MATCH(E$1,enemy_skills!$1:$1,0)-MATCH("enemy_skill_id",enemy_skills!$1:$1,0)+1),MATCH(E$1,enemy_skills!$1:$1,0)-MATCH("enemy_skill_id",enemy_skills!$1:$1,0)+1,FALSE)</f>
        <v>青パネル吸収攻撃</v>
      </c>
      <c r="F22" s="44">
        <v>15031081</v>
      </c>
      <c r="G22" s="45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5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5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2" s="45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2" s="45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5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5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5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5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2" s="44"/>
      <c r="Q22" s="44"/>
      <c r="R22" s="44"/>
    </row>
    <row r="23" spans="1:18" ht="21" customHeight="1" x14ac:dyDescent="0.15">
      <c r="A23" s="36" t="str">
        <f t="shared" si="1"/>
        <v>15031018_15031086</v>
      </c>
      <c r="B23" s="44">
        <v>15031018</v>
      </c>
      <c r="C23" s="44">
        <v>15031086</v>
      </c>
      <c r="D23" s="43" t="str">
        <f ca="1">VLOOKUP($C23,OFFSET(enemy_skills!$A$1,0,0,COUNTA(enemy_skills!$A:$A),MATCH(D$1,enemy_skills!$1:$1,0)-MATCH("enemy_skill_id",enemy_skills!$1:$1,0)+1),MATCH(D$1,enemy_skills!$1:$1,0)-MATCH("enemy_skill_id",enemy_skills!$1:$1,0)+1,FALSE)</f>
        <v>封印の詠</v>
      </c>
      <c r="E23" s="43" t="str">
        <f ca="1">VLOOKUP($C23,OFFSET(enemy_skills!$A$1,0,0,COUNTA(enemy_skills!$A:$A),MATCH(E$1,enemy_skills!$1:$1,0)-MATCH("enemy_skill_id",enemy_skills!$1:$1,0)+1),MATCH(E$1,enemy_skills!$1:$1,0)-MATCH("enemy_skill_id",enemy_skills!$1:$1,0)+1,FALSE)</f>
        <v>4ターンハートパネルが使えない！</v>
      </c>
      <c r="F23" s="44">
        <v>15031086</v>
      </c>
      <c r="G23" s="45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5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5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3" s="45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3" s="45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5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5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5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5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3" s="44"/>
      <c r="Q23" s="44"/>
      <c r="R23" s="44"/>
    </row>
    <row r="24" spans="1:18" ht="21" customHeight="1" x14ac:dyDescent="0.15">
      <c r="A24" s="36" t="str">
        <f t="shared" si="1"/>
        <v>15031019_15031091</v>
      </c>
      <c r="B24" s="44">
        <v>15031019</v>
      </c>
      <c r="C24" s="44">
        <v>15031091</v>
      </c>
      <c r="D24" s="43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パネルを吸収し守りを固めた</v>
      </c>
      <c r="E24" s="43" t="str">
        <f ca="1">VLOOKUP($C24,OFFSET(enemy_skills!$A$1,0,0,COUNTA(enemy_skills!$A:$A),MATCH(E$1,enemy_skills!$1:$1,0)-MATCH("enemy_skill_id",enemy_skills!$1:$1,0)+1),MATCH(E$1,enemy_skills!$1:$1,0)-MATCH("enemy_skill_id",enemy_skills!$1:$1,0)+1,FALSE)</f>
        <v>青パネルを吸収して2ターン防御力UP</v>
      </c>
      <c r="F24" s="44">
        <v>15031091</v>
      </c>
      <c r="G24" s="45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5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5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4" s="45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4" s="45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5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5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4" s="45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5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4" s="44"/>
      <c r="Q24" s="44"/>
      <c r="R24" s="44"/>
    </row>
    <row r="25" spans="1:18" ht="21" customHeight="1" x14ac:dyDescent="0.15">
      <c r="A25" s="36" t="str">
        <f t="shared" si="1"/>
        <v>15031020_15031096</v>
      </c>
      <c r="B25" s="44">
        <v>15031020</v>
      </c>
      <c r="C25" s="44">
        <v>15031096</v>
      </c>
      <c r="D25" s="43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パネルを吸収し体力を回復した</v>
      </c>
      <c r="E25" s="43" t="str">
        <f ca="1">VLOOKUP($C25,OFFSET(enemy_skills!$A$1,0,0,COUNTA(enemy_skills!$A:$A),MATCH(E$1,enemy_skills!$1:$1,0)-MATCH("enemy_skill_id",enemy_skills!$1:$1,0)+1),MATCH(E$1,enemy_skills!$1:$1,0)-MATCH("enemy_skill_id",enemy_skills!$1:$1,0)+1,FALSE)</f>
        <v>青パネルを吸収して体力回復</v>
      </c>
      <c r="F25" s="44">
        <v>15031096</v>
      </c>
      <c r="G25" s="45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5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5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5" s="45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5" s="45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5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5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5" s="45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5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5" s="44"/>
      <c r="Q25" s="44"/>
      <c r="R25" s="44"/>
    </row>
    <row r="26" spans="1:18" ht="21" customHeight="1" x14ac:dyDescent="0.15">
      <c r="A26" s="36" t="str">
        <f t="shared" si="1"/>
        <v>15031021_15031101</v>
      </c>
      <c r="B26" s="44">
        <v>15031021</v>
      </c>
      <c r="C26" s="44">
        <v>15031101</v>
      </c>
      <c r="D26" s="43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ダルマフォール</v>
      </c>
      <c r="E26" s="43" t="str">
        <f ca="1">VLOOKUP($C26,OFFSET(enemy_skills!$A$1,0,0,COUNTA(enemy_skills!$A:$A),MATCH(E$1,enemy_skills!$1:$1,0)-MATCH("enemy_skill_id",enemy_skills!$1:$1,0)+1),MATCH(E$1,enemy_skills!$1:$1,0)-MATCH("enemy_skill_id",enemy_skills!$1:$1,0)+1,FALSE)</f>
        <v>青パネル吸収攻撃</v>
      </c>
      <c r="F26" s="44">
        <v>15031101</v>
      </c>
      <c r="G26" s="45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5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5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6" s="45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26" s="45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5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5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5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5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6" s="44"/>
      <c r="Q26" s="44"/>
      <c r="R26" s="44"/>
    </row>
    <row r="27" spans="1:18" ht="21" customHeight="1" x14ac:dyDescent="0.15">
      <c r="A27" s="36" t="str">
        <f t="shared" si="1"/>
        <v>15031022_15031106</v>
      </c>
      <c r="B27" s="44">
        <v>15031022</v>
      </c>
      <c r="C27" s="44">
        <v>15031106</v>
      </c>
      <c r="D27" s="43" t="str">
        <f ca="1">VLOOKUP($C27,OFFSET(enemy_skills!$A$1,0,0,COUNTA(enemy_skills!$A:$A),MATCH(D$1,enemy_skills!$1:$1,0)-MATCH("enemy_skill_id",enemy_skills!$1:$1,0)+1),MATCH(D$1,enemy_skills!$1:$1,0)-MATCH("enemy_skill_id",enemy_skills!$1:$1,0)+1,FALSE)</f>
        <v>暴れる</v>
      </c>
      <c r="E27" s="43" t="str">
        <f ca="1">VLOOKUP($C27,OFFSET(enemy_skills!$A$1,0,0,COUNTA(enemy_skills!$A:$A),MATCH(E$1,enemy_skills!$1:$1,0)-MATCH("enemy_skill_id",enemy_skills!$1:$1,0)+1),MATCH(E$1,enemy_skills!$1:$1,0)-MATCH("enemy_skill_id",enemy_skills!$1:$1,0)+1,FALSE)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7" s="44">
        <v>15031106</v>
      </c>
      <c r="G27" s="45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5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5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7" s="45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7" s="45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5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5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5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5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7" s="44"/>
      <c r="Q27" s="44"/>
      <c r="R27" s="44"/>
    </row>
    <row r="28" spans="1:18" ht="21" customHeight="1" x14ac:dyDescent="0.15">
      <c r="A28" s="36" t="str">
        <f t="shared" si="1"/>
        <v>15031023_15031111</v>
      </c>
      <c r="B28" s="44">
        <v>15031023</v>
      </c>
      <c r="C28" s="44">
        <v>15031111</v>
      </c>
      <c r="D28" s="43" t="str">
        <f ca="1">VLOOKUP($C28,OFFSET(enemy_skills!$A$1,0,0,COUNTA(enemy_skills!$A:$A),MATCH(D$1,enemy_skills!$1:$1,0)-MATCH("enemy_skill_id",enemy_skills!$1:$1,0)+1),MATCH(D$1,enemy_skills!$1:$1,0)-MATCH("enemy_skill_id",enemy_skills!$1:$1,0)+1,FALSE)</f>
        <v>封印の詠</v>
      </c>
      <c r="E28" s="43" t="str">
        <f ca="1">VLOOKUP($C28,OFFSET(enemy_skills!$A$1,0,0,COUNTA(enemy_skills!$A:$A),MATCH(E$1,enemy_skills!$1:$1,0)-MATCH("enemy_skill_id",enemy_skills!$1:$1,0)+1),MATCH(E$1,enemy_skills!$1:$1,0)-MATCH("enemy_skill_id",enemy_skills!$1:$1,0)+1,FALSE)</f>
        <v>4ターンハートパネルが使えない！</v>
      </c>
      <c r="F28" s="44">
        <v>15031111</v>
      </c>
      <c r="G28" s="45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5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5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8" s="45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28" s="45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5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5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5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5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8" s="44"/>
      <c r="Q28" s="44"/>
      <c r="R28" s="44"/>
    </row>
    <row r="29" spans="1:18" ht="21" customHeight="1" x14ac:dyDescent="0.15">
      <c r="A29" s="36" t="str">
        <f t="shared" si="1"/>
        <v>15031024_15031116</v>
      </c>
      <c r="B29" s="44">
        <v>15031024</v>
      </c>
      <c r="C29" s="44">
        <v>15031116</v>
      </c>
      <c r="D29" s="43" t="str">
        <f ca="1">VLOOKUP($C29,OFFSET(enemy_skills!$A$1,0,0,COUNTA(enemy_skills!$A:$A),MATCH(D$1,enemy_skills!$1:$1,0)-MATCH("enemy_skill_id",enemy_skills!$1:$1,0)+1),MATCH(D$1,enemy_skills!$1:$1,0)-MATCH("enemy_skill_id",enemy_skills!$1:$1,0)+1,FALSE)</f>
        <v>振りかぶり</v>
      </c>
      <c r="E29" s="43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9" s="44">
        <v>15031116</v>
      </c>
      <c r="G29" s="45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5" t="str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9" s="45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9" s="45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9" s="45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5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5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5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5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9" s="44"/>
      <c r="Q29" s="44"/>
      <c r="R29" s="44"/>
    </row>
    <row r="30" spans="1:18" ht="21" customHeight="1" x14ac:dyDescent="0.15">
      <c r="A30" s="36" t="str">
        <f t="shared" si="1"/>
        <v>15031025_15031121</v>
      </c>
      <c r="B30" s="44">
        <v>15031025</v>
      </c>
      <c r="C30" s="44">
        <v>15031121</v>
      </c>
      <c r="D30" s="43" t="str">
        <f ca="1">VLOOKUP($C30,OFFSET(enemy_skills!$A$1,0,0,COUNTA(enemy_skills!$A:$A),MATCH(D$1,enemy_skills!$1:$1,0)-MATCH("enemy_skill_id",enemy_skills!$1:$1,0)+1),MATCH(D$1,enemy_skills!$1:$1,0)-MATCH("enemy_skill_id",enemy_skills!$1:$1,0)+1,FALSE)</f>
        <v>悪病退散</v>
      </c>
      <c r="E30" s="43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</v>
      </c>
      <c r="F30" s="44">
        <v>15031121</v>
      </c>
      <c r="G30" s="45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5" t="str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0" s="45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5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0" s="45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5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5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0" s="45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5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4"/>
      <c r="Q30" s="44"/>
      <c r="R30" s="44"/>
    </row>
    <row r="31" spans="1:18" ht="21" customHeight="1" x14ac:dyDescent="0.15">
      <c r="A31" s="36" t="str">
        <f t="shared" ref="A31" si="3">B31&amp;"_"&amp;C31</f>
        <v>15031025_15031122</v>
      </c>
      <c r="B31" s="44">
        <v>15031025</v>
      </c>
      <c r="C31" s="44">
        <v>15031122</v>
      </c>
      <c r="D31" s="43" t="str">
        <f ca="1">VLOOKUP($C31,OFFSET(enemy_skills!$A$1,0,0,COUNTA(enemy_skills!$A:$A),MATCH(D$1,enemy_skills!$1:$1,0)-MATCH("enemy_skill_id",enemy_skills!$1:$1,0)+1),MATCH(D$1,enemy_skills!$1:$1,0)-MATCH("enemy_skill_id",enemy_skills!$1:$1,0)+1,FALSE)</f>
        <v>悪病拡散</v>
      </c>
      <c r="E31" s="43" t="str">
        <f ca="1">VLOOKUP($C31,OFFSET(enemy_skills!$A$1,0,0,COUNTA(enemy_skills!$A:$A),MATCH(E$1,enemy_skills!$1:$1,0)-MATCH("enemy_skill_id",enemy_skills!$1:$1,0)+1),MATCH(E$1,enemy_skills!$1:$1,0)-MATCH("enemy_skill_id",enemy_skills!$1:$1,0)+1,FALSE)</f>
        <v>5ターンウィルス</v>
      </c>
      <c r="F31" s="44">
        <v>15031122</v>
      </c>
      <c r="G31" s="45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5" t="str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1" s="45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1" s="45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1" s="45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5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5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5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5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1" s="44"/>
      <c r="Q31" s="44"/>
      <c r="R31" s="44"/>
    </row>
    <row r="32" spans="1:18" ht="21" customHeight="1" x14ac:dyDescent="0.15">
      <c r="A32" s="36" t="str">
        <f t="shared" si="1"/>
        <v>15031026_15031126</v>
      </c>
      <c r="B32" s="44">
        <v>15031026</v>
      </c>
      <c r="C32" s="44">
        <v>15031126</v>
      </c>
      <c r="D32" s="43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ホトケノジヒ</v>
      </c>
      <c r="E32" s="43" t="str">
        <f ca="1">VLOOKUP($C32,OFFSET(enemy_skills!$A$1,0,0,COUNTA(enemy_skills!$A:$A),MATCH(E$1,enemy_skills!$1:$1,0)-MATCH("enemy_skill_id",enemy_skills!$1:$1,0)+1),MATCH(E$1,enemy_skills!$1:$1,0)-MATCH("enemy_skill_id",enemy_skills!$1:$1,0)+1,FALSE)</f>
        <v>全ユニットの状態異常を解除してくれた</v>
      </c>
      <c r="F32" s="44">
        <v>15031126</v>
      </c>
      <c r="G32" s="45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5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45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5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2" s="45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5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5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2" s="45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5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4"/>
      <c r="Q32" s="44"/>
      <c r="R32" s="44"/>
    </row>
    <row r="33" spans="1:18" ht="21" customHeight="1" x14ac:dyDescent="0.15">
      <c r="A33" s="36" t="str">
        <f t="shared" si="1"/>
        <v>15031027_15031131</v>
      </c>
      <c r="B33" s="44">
        <v>15031027</v>
      </c>
      <c r="C33" s="44">
        <v>15031131</v>
      </c>
      <c r="D33" s="43" t="str">
        <f ca="1">VLOOKUP($C33,OFFSET(enemy_skills!$A$1,0,0,COUNTA(enemy_skills!$A:$A),MATCH(D$1,enemy_skills!$1:$1,0)-MATCH("enemy_skill_id",enemy_skills!$1:$1,0)+1),MATCH(D$1,enemy_skills!$1:$1,0)-MATCH("enemy_skill_id",enemy_skills!$1:$1,0)+1,FALSE)</f>
        <v>強打</v>
      </c>
      <c r="E33" s="43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3" s="44">
        <v>15031131</v>
      </c>
      <c r="G33" s="45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5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45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3" s="45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3" s="45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5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5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5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5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3" s="44"/>
      <c r="Q33" s="44"/>
      <c r="R33" s="44"/>
    </row>
    <row r="34" spans="1:18" ht="21" customHeight="1" x14ac:dyDescent="0.15">
      <c r="A34" s="36" t="str">
        <f t="shared" si="1"/>
        <v>15031028_15031136</v>
      </c>
      <c r="B34" s="44">
        <v>15031028</v>
      </c>
      <c r="C34" s="44">
        <v>15031136</v>
      </c>
      <c r="D34" s="43" t="str">
        <f ca="1">VLOOKUP($C34,OFFSET(enemy_skills!$A$1,0,0,COUNTA(enemy_skills!$A:$A),MATCH(D$1,enemy_skills!$1:$1,0)-MATCH("enemy_skill_id",enemy_skills!$1:$1,0)+1),MATCH(D$1,enemy_skills!$1:$1,0)-MATCH("enemy_skill_id",enemy_skills!$1:$1,0)+1,FALSE)</f>
        <v>強打</v>
      </c>
      <c r="E34" s="43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4" s="44">
        <v>15031136</v>
      </c>
      <c r="G34" s="45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5" t="str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" s="45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4" s="45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4" s="45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5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5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5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5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4" s="44"/>
      <c r="Q34" s="44"/>
      <c r="R34" s="44"/>
    </row>
    <row r="35" spans="1:18" ht="21" customHeight="1" x14ac:dyDescent="0.15">
      <c r="A35" s="36" t="str">
        <f t="shared" si="1"/>
        <v>15031029_15031141</v>
      </c>
      <c r="B35" s="44">
        <v>15031029</v>
      </c>
      <c r="C35" s="44">
        <v>15031141</v>
      </c>
      <c r="D35" s="43" t="str">
        <f ca="1">VLOOKUP($C35,OFFSET(enemy_skills!$A$1,0,0,COUNTA(enemy_skills!$A:$A),MATCH(D$1,enemy_skills!$1:$1,0)-MATCH("enemy_skill_id",enemy_skills!$1:$1,0)+1),MATCH(D$1,enemy_skills!$1:$1,0)-MATCH("enemy_skill_id",enemy_skills!$1:$1,0)+1,FALSE)</f>
        <v>鳴き声</v>
      </c>
      <c r="E35" s="43" t="str">
        <f ca="1">VLOOKUP($C35,OFFSET(enemy_skills!$A$1,0,0,COUNTA(enemy_skills!$A:$A),MATCH(E$1,enemy_skills!$1:$1,0)-MATCH("enemy_skill_id",enemy_skills!$1:$1,0)+1),MATCH(E$1,enemy_skills!$1:$1,0)-MATCH("enemy_skill_id",enemy_skills!$1:$1,0)+1,FALSE)</f>
        <v>回復</v>
      </c>
      <c r="F35" s="44">
        <v>15031141</v>
      </c>
      <c r="G35" s="45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5" t="str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5" s="45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5" s="45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5" s="45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5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5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5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5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5" s="44"/>
      <c r="Q35" s="44"/>
      <c r="R35" s="44"/>
    </row>
    <row r="36" spans="1:18" ht="21" customHeight="1" x14ac:dyDescent="0.15">
      <c r="A36" s="36" t="str">
        <f t="shared" si="1"/>
        <v>15031030_15031146</v>
      </c>
      <c r="B36" s="44">
        <v>15031030</v>
      </c>
      <c r="C36" s="44">
        <v>15031146</v>
      </c>
      <c r="D36" s="43" t="str">
        <f ca="1">VLOOKUP($C36,OFFSET(enemy_skills!$A$1,0,0,COUNTA(enemy_skills!$A:$A),MATCH(D$1,enemy_skills!$1:$1,0)-MATCH("enemy_skill_id",enemy_skills!$1:$1,0)+1),MATCH(D$1,enemy_skills!$1:$1,0)-MATCH("enemy_skill_id",enemy_skills!$1:$1,0)+1,FALSE)</f>
        <v>鳴き声</v>
      </c>
      <c r="E36" s="43" t="str">
        <f ca="1">VLOOKUP($C36,OFFSET(enemy_skills!$A$1,0,0,COUNTA(enemy_skills!$A:$A),MATCH(E$1,enemy_skills!$1:$1,0)-MATCH("enemy_skill_id",enemy_skills!$1:$1,0)+1),MATCH(E$1,enemy_skills!$1:$1,0)-MATCH("enemy_skill_id",enemy_skills!$1:$1,0)+1,FALSE)</f>
        <v>回復</v>
      </c>
      <c r="F36" s="44">
        <v>15031146</v>
      </c>
      <c r="G36" s="45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5" t="str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6" s="45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6" s="45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6" s="45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5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5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5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5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6" s="44"/>
      <c r="Q36" s="44"/>
      <c r="R36" s="44"/>
    </row>
    <row r="37" spans="1:18" ht="21" customHeight="1" x14ac:dyDescent="0.15">
      <c r="A37" s="36" t="str">
        <f t="shared" si="1"/>
        <v>15031031_15031151</v>
      </c>
      <c r="B37" s="44">
        <v>15031031</v>
      </c>
      <c r="C37" s="44">
        <v>15031151</v>
      </c>
      <c r="D37" s="43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ダルマフォール</v>
      </c>
      <c r="E37" s="43" t="str">
        <f ca="1">VLOOKUP($C37,OFFSET(enemy_skills!$A$1,0,0,COUNTA(enemy_skills!$A:$A),MATCH(E$1,enemy_skills!$1:$1,0)-MATCH("enemy_skill_id",enemy_skills!$1:$1,0)+1),MATCH(E$1,enemy_skills!$1:$1,0)-MATCH("enemy_skill_id",enemy_skills!$1:$1,0)+1,FALSE)</f>
        <v>青パネル吸収攻撃</v>
      </c>
      <c r="F37" s="44">
        <v>15031151</v>
      </c>
      <c r="G37" s="45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5" t="str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7" s="45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7" s="45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7" s="45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5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5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5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5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7" s="44"/>
      <c r="Q37" s="44"/>
      <c r="R37" s="44"/>
    </row>
    <row r="38" spans="1:18" ht="21" customHeight="1" x14ac:dyDescent="0.15">
      <c r="A38" s="36" t="str">
        <f t="shared" si="1"/>
        <v>15031032_15031156</v>
      </c>
      <c r="B38" s="44">
        <v>15031032</v>
      </c>
      <c r="C38" s="44">
        <v>15031156</v>
      </c>
      <c r="D38" s="43" t="str">
        <f ca="1">VLOOKUP($C38,OFFSET(enemy_skills!$A$1,0,0,COUNTA(enemy_skills!$A:$A),MATCH(D$1,enemy_skills!$1:$1,0)-MATCH("enemy_skill_id",enemy_skills!$1:$1,0)+1),MATCH(D$1,enemy_skills!$1:$1,0)-MATCH("enemy_skill_id",enemy_skills!$1:$1,0)+1,FALSE)</f>
        <v>封印の詠</v>
      </c>
      <c r="E38" s="43" t="str">
        <f ca="1">VLOOKUP($C38,OFFSET(enemy_skills!$A$1,0,0,COUNTA(enemy_skills!$A:$A),MATCH(E$1,enemy_skills!$1:$1,0)-MATCH("enemy_skill_id",enemy_skills!$1:$1,0)+1),MATCH(E$1,enemy_skills!$1:$1,0)-MATCH("enemy_skill_id",enemy_skills!$1:$1,0)+1,FALSE)</f>
        <v>3ターンハートパネルが使えない！</v>
      </c>
      <c r="F38" s="44">
        <v>15031156</v>
      </c>
      <c r="G38" s="45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5" t="str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8" s="45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8" s="45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8" s="45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5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5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5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5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8" s="44"/>
      <c r="Q38" s="44"/>
      <c r="R38" s="44"/>
    </row>
    <row r="39" spans="1:18" ht="21" customHeight="1" x14ac:dyDescent="0.15">
      <c r="A39" s="36" t="str">
        <f t="shared" si="1"/>
        <v>15031033_15031161</v>
      </c>
      <c r="B39" s="44">
        <v>15031033</v>
      </c>
      <c r="C39" s="44">
        <v>15031161</v>
      </c>
      <c r="D39" s="43" t="str">
        <f ca="1">VLOOKUP($C39,OFFSET(enemy_skills!$A$1,0,0,COUNTA(enemy_skills!$A:$A),MATCH(D$1,enemy_skills!$1:$1,0)-MATCH("enemy_skill_id",enemy_skills!$1:$1,0)+1),MATCH(D$1,enemy_skills!$1:$1,0)-MATCH("enemy_skill_id",enemy_skills!$1:$1,0)+1,FALSE)</f>
        <v>悪病退散</v>
      </c>
      <c r="E39" s="43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</v>
      </c>
      <c r="F39" s="44">
        <v>15031161</v>
      </c>
      <c r="G39" s="45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5" t="str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9" s="45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5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9" s="45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5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5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9" s="45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5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4"/>
      <c r="Q39" s="44"/>
      <c r="R39" s="44"/>
    </row>
    <row r="40" spans="1:18" ht="21" customHeight="1" x14ac:dyDescent="0.15">
      <c r="A40" s="36" t="str">
        <f t="shared" ref="A40" si="4">B40&amp;"_"&amp;C40</f>
        <v>15031033_15031162</v>
      </c>
      <c r="B40" s="44">
        <v>15031033</v>
      </c>
      <c r="C40" s="44">
        <v>15031162</v>
      </c>
      <c r="D40" s="43" t="str">
        <f ca="1">VLOOKUP($C40,OFFSET(enemy_skills!$A$1,0,0,COUNTA(enemy_skills!$A:$A),MATCH(D$1,enemy_skills!$1:$1,0)-MATCH("enemy_skill_id",enemy_skills!$1:$1,0)+1),MATCH(D$1,enemy_skills!$1:$1,0)-MATCH("enemy_skill_id",enemy_skills!$1:$1,0)+1,FALSE)</f>
        <v>悪病拡散</v>
      </c>
      <c r="E40" s="43" t="str">
        <f ca="1">VLOOKUP($C40,OFFSET(enemy_skills!$A$1,0,0,COUNTA(enemy_skills!$A:$A),MATCH(E$1,enemy_skills!$1:$1,0)-MATCH("enemy_skill_id",enemy_skills!$1:$1,0)+1),MATCH(E$1,enemy_skills!$1:$1,0)-MATCH("enemy_skill_id",enemy_skills!$1:$1,0)+1,FALSE)</f>
        <v>5ターンウィルス</v>
      </c>
      <c r="F40" s="44">
        <v>15031162</v>
      </c>
      <c r="G40" s="45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5" t="str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0" s="45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40" s="45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0" s="45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5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5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5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5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40" s="44"/>
      <c r="Q40" s="44"/>
      <c r="R40" s="44"/>
    </row>
    <row r="41" spans="1:18" ht="21" customHeight="1" x14ac:dyDescent="0.15">
      <c r="A41" s="36" t="str">
        <f t="shared" si="1"/>
        <v>15031034_15031166</v>
      </c>
      <c r="B41" s="44">
        <v>15031034</v>
      </c>
      <c r="C41" s="44">
        <v>15031166</v>
      </c>
      <c r="D41" s="43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ホトケノジヒ</v>
      </c>
      <c r="E41" s="43" t="str">
        <f ca="1">VLOOKUP($C41,OFFSET(enemy_skills!$A$1,0,0,COUNTA(enemy_skills!$A:$A),MATCH(E$1,enemy_skills!$1:$1,0)-MATCH("enemy_skill_id",enemy_skills!$1:$1,0)+1),MATCH(E$1,enemy_skills!$1:$1,0)-MATCH("enemy_skill_id",enemy_skills!$1:$1,0)+1,FALSE)</f>
        <v>全ユニットの状態異常を解除してくれた</v>
      </c>
      <c r="F41" s="44">
        <v>15031166</v>
      </c>
      <c r="G41" s="45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5" t="str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1" s="45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5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1" s="45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5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5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1" s="45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5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4"/>
      <c r="Q41" s="44"/>
      <c r="R41" s="44"/>
    </row>
    <row r="42" spans="1:18" ht="21" customHeight="1" x14ac:dyDescent="0.15">
      <c r="A42" s="36" t="str">
        <f t="shared" si="1"/>
        <v>15031035_15031171</v>
      </c>
      <c r="B42" s="44">
        <v>15031035</v>
      </c>
      <c r="C42" s="44">
        <v>15031171</v>
      </c>
      <c r="D42" s="43" t="str">
        <f ca="1">VLOOKUP($C42,OFFSET(enemy_skills!$A$1,0,0,COUNTA(enemy_skills!$A:$A),MATCH(D$1,enemy_skills!$1:$1,0)-MATCH("enemy_skill_id",enemy_skills!$1:$1,0)+1),MATCH(D$1,enemy_skills!$1:$1,0)-MATCH("enemy_skill_id",enemy_skills!$1:$1,0)+1,FALSE)</f>
        <v>守りを固めた</v>
      </c>
      <c r="E42" s="43" t="str">
        <f ca="1">VLOOKUP($C42,OFFSET(enemy_skills!$A$1,0,0,COUNTA(enemy_skills!$A:$A),MATCH(E$1,enemy_skills!$1:$1,0)-MATCH("enemy_skill_id",enemy_skills!$1:$1,0)+1),MATCH(E$1,enemy_skills!$1:$1,0)-MATCH("enemy_skill_id",enemy_skills!$1:$1,0)+1,FALSE)</f>
        <v>2ターン全属性カウンター</v>
      </c>
      <c r="F42" s="44">
        <v>15031171</v>
      </c>
      <c r="G42" s="45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5" t="str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2" s="45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42" s="45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2" s="45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5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5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5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5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42" s="44"/>
      <c r="Q42" s="44"/>
      <c r="R42" s="44"/>
    </row>
    <row r="43" spans="1:18" ht="21" customHeight="1" x14ac:dyDescent="0.15">
      <c r="A43" s="36" t="str">
        <f t="shared" si="1"/>
        <v>15031035_15031172</v>
      </c>
      <c r="B43" s="44">
        <v>15031035</v>
      </c>
      <c r="C43" s="44">
        <v>15031172</v>
      </c>
      <c r="D43" s="43" t="str">
        <f ca="1">VLOOKUP($C43,OFFSET(enemy_skills!$A$1,0,0,COUNTA(enemy_skills!$A:$A),MATCH(D$1,enemy_skills!$1:$1,0)-MATCH("enemy_skill_id",enemy_skills!$1:$1,0)+1),MATCH(D$1,enemy_skills!$1:$1,0)-MATCH("enemy_skill_id",enemy_skills!$1:$1,0)+1,FALSE)</f>
        <v>振りかぶり</v>
      </c>
      <c r="E43" s="43" t="str">
        <f ca="1">VLOOKUP($C43,OFFSET(enemy_skills!$A$1,0,0,COUNTA(enemy_skills!$A:$A),MATCH(E$1,enemy_skills!$1:$1,0)-MATCH("enemy_skill_id",enemy_skills!$1:$1,0)+1),MATCH(E$1,enemy_skills!$1:$1,0)-MATCH("enemy_skill_id",enemy_skills!$1:$1,0)+1,FALSE)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3" s="44">
        <v>15031172</v>
      </c>
      <c r="G43" s="45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5" t="str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3" s="45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43" s="45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3" s="45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5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5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5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5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43" s="44"/>
      <c r="Q43" s="44"/>
      <c r="R43" s="44"/>
    </row>
    <row r="44" spans="1:18" ht="21" customHeight="1" x14ac:dyDescent="0.15">
      <c r="A44" s="36" t="str">
        <f t="shared" si="1"/>
        <v>15031036_15031176</v>
      </c>
      <c r="B44" s="44">
        <v>15031036</v>
      </c>
      <c r="C44" s="44">
        <v>15031176</v>
      </c>
      <c r="D44" s="43" t="str">
        <f ca="1">VLOOKUP($C44,OFFSET(enemy_skills!$A$1,0,0,COUNTA(enemy_skills!$A:$A),MATCH(D$1,enemy_skills!$1:$1,0)-MATCH("enemy_skill_id",enemy_skills!$1:$1,0)+1),MATCH(D$1,enemy_skills!$1:$1,0)-MATCH("enemy_skill_id",enemy_skills!$1:$1,0)+1,FALSE)</f>
        <v>気色変化</v>
      </c>
      <c r="E44" s="43" t="str">
        <f ca="1">VLOOKUP($C44,OFFSET(enemy_skills!$A$1,0,0,COUNTA(enemy_skills!$A:$A),MATCH(E$1,enemy_skills!$1:$1,0)-MATCH("enemy_skill_id",enemy_skills!$1:$1,0)+1),MATCH(E$1,enemy_skills!$1:$1,0)-MATCH("enemy_skill_id",enemy_skills!$1:$1,0)+1,FALSE)</f>
        <v>属性を青に変更</v>
      </c>
      <c r="F44" s="44">
        <v>15031176</v>
      </c>
      <c r="G44" s="45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45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4" s="45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44" s="45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4" s="45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5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5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5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5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44" s="44"/>
      <c r="Q44" s="44"/>
      <c r="R44" s="44"/>
    </row>
    <row r="45" spans="1:18" ht="21" customHeight="1" x14ac:dyDescent="0.15">
      <c r="A45" s="36" t="str">
        <f t="shared" si="1"/>
        <v>15031036_15031177</v>
      </c>
      <c r="B45" s="44">
        <v>15031036</v>
      </c>
      <c r="C45" s="44">
        <v>15031177</v>
      </c>
      <c r="D45" s="43" t="str">
        <f ca="1">VLOOKUP($C45,OFFSET(enemy_skills!$A$1,0,0,COUNTA(enemy_skills!$A:$A),MATCH(D$1,enemy_skills!$1:$1,0)-MATCH("enemy_skill_id",enemy_skills!$1:$1,0)+1),MATCH(D$1,enemy_skills!$1:$1,0)-MATCH("enemy_skill_id",enemy_skills!$1:$1,0)+1,FALSE)</f>
        <v>光を放った</v>
      </c>
      <c r="E45" s="43" t="str">
        <f ca="1">VLOOKUP($C45,OFFSET(enemy_skills!$A$1,0,0,COUNTA(enemy_skills!$A:$A),MATCH(E$1,enemy_skills!$1:$1,0)-MATCH("enemy_skill_id",enemy_skills!$1:$1,0)+1),MATCH(E$1,enemy_skills!$1:$1,0)-MATCH("enemy_skill_id",enemy_skills!$1:$1,0)+1,FALSE)</f>
        <v>時限式ダメージパネルを4個生成</v>
      </c>
      <c r="F45" s="44">
        <v>15031177</v>
      </c>
      <c r="G45" s="45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5" t="str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5" s="45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45" s="45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5" s="45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5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5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5" s="45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5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45" s="44"/>
      <c r="Q45" s="44"/>
      <c r="R45" s="44"/>
    </row>
    <row r="46" spans="1:18" ht="21" customHeight="1" x14ac:dyDescent="0.15">
      <c r="A46" s="36" t="str">
        <f t="shared" ref="A46" si="5">B46&amp;"_"&amp;C46</f>
        <v>15031036_15031178</v>
      </c>
      <c r="B46" s="44">
        <v>15031036</v>
      </c>
      <c r="C46" s="44">
        <v>15031178</v>
      </c>
      <c r="D46" s="43" t="str">
        <f ca="1">VLOOKUP($C46,OFFSET(enemy_skills!$A$1,0,0,COUNTA(enemy_skills!$A:$A),MATCH(D$1,enemy_skills!$1:$1,0)-MATCH("enemy_skill_id",enemy_skills!$1:$1,0)+1),MATCH(D$1,enemy_skills!$1:$1,0)-MATCH("enemy_skill_id",enemy_skills!$1:$1,0)+1,FALSE)</f>
        <v>振りかぶり</v>
      </c>
      <c r="E46" s="43" t="str">
        <f ca="1">VLOOKUP($C46,OFFSET(enemy_skills!$A$1,0,0,COUNTA(enemy_skills!$A:$A),MATCH(E$1,enemy_skills!$1:$1,0)-MATCH("enemy_skill_id",enemy_skills!$1:$1,0)+1),MATCH(E$1,enemy_skills!$1:$1,0)-MATCH("enemy_skill_id",enemy_skills!$1:$1,0)+1,FALSE)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6" s="44">
        <v>15031178</v>
      </c>
      <c r="G46" s="45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5" t="str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6" s="45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46" s="45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6" s="45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5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45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5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5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46" s="44"/>
      <c r="Q46" s="44"/>
      <c r="R46" s="44"/>
    </row>
    <row r="47" spans="1:18" ht="21" customHeight="1" x14ac:dyDescent="0.15">
      <c r="A47" s="36" t="str">
        <f t="shared" si="1"/>
        <v>15031037_15031181</v>
      </c>
      <c r="B47" s="44">
        <v>15031037</v>
      </c>
      <c r="C47" s="44">
        <v>15031181</v>
      </c>
      <c r="D47" s="43" t="str">
        <f ca="1">VLOOKUP($C47,OFFSET(enemy_skills!$A$1,0,0,COUNTA(enemy_skills!$A:$A),MATCH(D$1,enemy_skills!$1:$1,0)-MATCH("enemy_skill_id",enemy_skills!$1:$1,0)+1),MATCH(D$1,enemy_skills!$1:$1,0)-MATCH("enemy_skill_id",enemy_skills!$1:$1,0)+1,FALSE)</f>
        <v>気色変化</v>
      </c>
      <c r="E47" s="43" t="str">
        <f ca="1">VLOOKUP($C47,OFFSET(enemy_skills!$A$1,0,0,COUNTA(enemy_skills!$A:$A),MATCH(E$1,enemy_skills!$1:$1,0)-MATCH("enemy_skill_id",enemy_skills!$1:$1,0)+1),MATCH(E$1,enemy_skills!$1:$1,0)-MATCH("enemy_skill_id",enemy_skills!$1:$1,0)+1,FALSE)</f>
        <v>属性を赤に変更</v>
      </c>
      <c r="F47" s="44">
        <v>15031181</v>
      </c>
      <c r="G47" s="45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5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7" s="45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47" s="45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7" s="45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5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5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5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5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47" s="44"/>
      <c r="Q47" s="44"/>
      <c r="R47" s="44"/>
    </row>
    <row r="48" spans="1:18" ht="21" customHeight="1" x14ac:dyDescent="0.15">
      <c r="A48" s="36" t="str">
        <f t="shared" si="1"/>
        <v>15031037_15031182</v>
      </c>
      <c r="B48" s="44">
        <v>15031037</v>
      </c>
      <c r="C48" s="44">
        <v>15031182</v>
      </c>
      <c r="D48" s="43" t="str">
        <f ca="1">VLOOKUP($C48,OFFSET(enemy_skills!$A$1,0,0,COUNTA(enemy_skills!$A:$A),MATCH(D$1,enemy_skills!$1:$1,0)-MATCH("enemy_skill_id",enemy_skills!$1:$1,0)+1),MATCH(D$1,enemy_skills!$1:$1,0)-MATCH("enemy_skill_id",enemy_skills!$1:$1,0)+1,FALSE)</f>
        <v>光を吸収した</v>
      </c>
      <c r="E48" s="43" t="str">
        <f ca="1">VLOOKUP($C48,OFFSET(enemy_skills!$A$1,0,0,COUNTA(enemy_skills!$A:$A),MATCH(E$1,enemy_skills!$1:$1,0)-MATCH("enemy_skill_id",enemy_skills!$1:$1,0)+1),MATCH(E$1,enemy_skills!$1:$1,0)-MATCH("enemy_skill_id",enemy_skills!$1:$1,0)+1,FALSE)</f>
        <v>3ターンボムパネル変換禁止</v>
      </c>
      <c r="F48" s="44">
        <v>15031182</v>
      </c>
      <c r="G48" s="45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5" t="str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8" s="45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5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8" s="45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5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45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8" s="45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5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4"/>
      <c r="Q48" s="44"/>
      <c r="R48" s="44"/>
    </row>
    <row r="49" spans="1:18" ht="21" customHeight="1" x14ac:dyDescent="0.15">
      <c r="A49" s="36" t="str">
        <f t="shared" si="1"/>
        <v>15031037_15031183</v>
      </c>
      <c r="B49" s="44">
        <v>15031037</v>
      </c>
      <c r="C49" s="44">
        <v>15031183</v>
      </c>
      <c r="D49" s="43" t="str">
        <f ca="1">VLOOKUP($C49,OFFSET(enemy_skills!$A$1,0,0,COUNTA(enemy_skills!$A:$A),MATCH(D$1,enemy_skills!$1:$1,0)-MATCH("enemy_skill_id",enemy_skills!$1:$1,0)+1),MATCH(D$1,enemy_skills!$1:$1,0)-MATCH("enemy_skill_id",enemy_skills!$1:$1,0)+1,FALSE)</f>
        <v>冷気を放出した</v>
      </c>
      <c r="E49" s="43" t="str">
        <f ca="1">VLOOKUP($C49,OFFSET(enemy_skills!$A$1,0,0,COUNTA(enemy_skills!$A:$A),MATCH(E$1,enemy_skills!$1:$1,0)-MATCH("enemy_skill_id",enemy_skills!$1:$1,0)+1),MATCH(E$1,enemy_skills!$1:$1,0)-MATCH("enemy_skill_id",enemy_skills!$1:$1,0)+1,FALSE)</f>
        <v>緑パネルプロテクト</v>
      </c>
      <c r="F49" s="44">
        <v>15031183</v>
      </c>
      <c r="G49" s="45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5" t="str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9" s="45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5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9" s="45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5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45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9" s="45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5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4"/>
      <c r="Q49" s="44"/>
      <c r="R49" s="44"/>
    </row>
    <row r="50" spans="1:18" ht="21" customHeight="1" x14ac:dyDescent="0.15">
      <c r="A50" s="36" t="str">
        <f t="shared" ref="A50" si="6">B50&amp;"_"&amp;C50</f>
        <v>15031037_15031184</v>
      </c>
      <c r="B50" s="44">
        <v>15031037</v>
      </c>
      <c r="C50" s="44">
        <v>15031184</v>
      </c>
      <c r="D50" s="43" t="b">
        <f ca="1">C50+C50=VLOOKUP($C50,OFFSET(enemy_skills!$A$1,0,0,COUNTA(enemy_skills!$A:$A),MATCH(D$1,enemy_skills!$1:$1,0)-MATCH("enemy_skill_id",enemy_skills!$1:$1,0)+1),MATCH(D$1,enemy_skills!$1:$1,0)-MATCH("enemy_skill_id",enemy_skills!$1:$1,0)+1,FALSE)</f>
        <v>0</v>
      </c>
      <c r="E50" s="43" t="str">
        <f ca="1">VLOOKUP($C50,OFFSET(enemy_skills!$A$1,0,0,COUNTA(enemy_skills!$A:$A),MATCH(E$1,enemy_skills!$1:$1,0)-MATCH("enemy_skill_id",enemy_skills!$1:$1,0)+1),MATCH(E$1,enemy_skills!$1:$1,0)-MATCH("enemy_skill_id",enemy_skills!$1:$1,0)+1,FALSE)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0" s="44">
        <v>15031184</v>
      </c>
      <c r="G50" s="45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5" t="str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0" s="45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50" s="45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0" s="45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5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45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5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5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50" s="44"/>
      <c r="Q50" s="44"/>
      <c r="R50" s="44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71"/>
  <sheetViews>
    <sheetView showGridLines="0" workbookViewId="0">
      <pane ySplit="1" topLeftCell="A161" activePane="bottomLeft" state="frozenSplit"/>
      <selection pane="bottomLeft" activeCell="F180" sqref="F180"/>
    </sheetView>
  </sheetViews>
  <sheetFormatPr baseColWidth="12" defaultColWidth="12.83203125" defaultRowHeight="21" customHeight="1" outlineLevelCol="1" x14ac:dyDescent="0.15"/>
  <cols>
    <col min="1" max="1" width="12.83203125" style="46"/>
    <col min="2" max="2" width="67.1640625" style="46" customWidth="1"/>
    <col min="3" max="4" width="12.83203125" style="46"/>
    <col min="5" max="5" width="23.6640625" style="46" bestFit="1" customWidth="1"/>
    <col min="6" max="6" width="44.1640625" style="46" bestFit="1" customWidth="1"/>
    <col min="7" max="7" width="52" style="46" hidden="1" customWidth="1" outlineLevel="1"/>
    <col min="8" max="8" width="18.33203125" style="46" hidden="1" customWidth="1" outlineLevel="1"/>
    <col min="9" max="11" width="18.6640625" style="46" hidden="1" customWidth="1" outlineLevel="1"/>
    <col min="12" max="12" width="23.6640625" style="46" customWidth="1" collapsed="1"/>
    <col min="13" max="18" width="23.6640625" style="46" hidden="1" customWidth="1" outlineLevel="1"/>
    <col min="19" max="19" width="23.6640625" style="46" customWidth="1" collapsed="1"/>
    <col min="20" max="24" width="23.6640625" style="46" hidden="1" customWidth="1" outlineLevel="1"/>
    <col min="25" max="25" width="23.6640625" style="46" customWidth="1" collapsed="1"/>
    <col min="26" max="27" width="12.83203125" style="46"/>
    <col min="28" max="28" width="44.5" style="46" customWidth="1"/>
    <col min="29" max="16384" width="12.83203125" style="46"/>
  </cols>
  <sheetData>
    <row r="1" spans="1:28" ht="21" customHeight="1" x14ac:dyDescent="0.15">
      <c r="A1" s="37" t="s">
        <v>77</v>
      </c>
      <c r="B1" s="37" t="s">
        <v>78</v>
      </c>
      <c r="C1" s="37" t="s">
        <v>79</v>
      </c>
      <c r="D1" s="37" t="s">
        <v>126</v>
      </c>
      <c r="E1" s="37" t="s">
        <v>80</v>
      </c>
      <c r="F1" s="37" t="s">
        <v>81</v>
      </c>
      <c r="G1" s="38" t="s">
        <v>132</v>
      </c>
      <c r="H1" s="38" t="s">
        <v>138</v>
      </c>
      <c r="I1" s="38" t="s">
        <v>140</v>
      </c>
      <c r="J1" s="38" t="s">
        <v>139</v>
      </c>
      <c r="K1" s="38" t="s">
        <v>141</v>
      </c>
      <c r="L1" s="38" t="s">
        <v>133</v>
      </c>
      <c r="M1" s="38" t="s">
        <v>131</v>
      </c>
      <c r="N1" s="38" t="s">
        <v>134</v>
      </c>
      <c r="O1" s="38" t="s">
        <v>142</v>
      </c>
      <c r="P1" s="38" t="s">
        <v>143</v>
      </c>
      <c r="Q1" s="38" t="s">
        <v>144</v>
      </c>
      <c r="R1" s="38" t="s">
        <v>145</v>
      </c>
      <c r="S1" s="38" t="s">
        <v>135</v>
      </c>
      <c r="T1" s="38" t="s">
        <v>136</v>
      </c>
      <c r="U1" s="38" t="s">
        <v>146</v>
      </c>
      <c r="V1" s="38" t="s">
        <v>147</v>
      </c>
      <c r="W1" s="38" t="s">
        <v>148</v>
      </c>
      <c r="X1" s="38" t="s">
        <v>149</v>
      </c>
      <c r="Y1" s="38" t="s">
        <v>137</v>
      </c>
      <c r="Z1" s="38" t="s">
        <v>74</v>
      </c>
      <c r="AA1" s="38" t="s">
        <v>75</v>
      </c>
      <c r="AB1" s="38" t="s">
        <v>76</v>
      </c>
    </row>
    <row r="2" spans="1:28" ht="21" customHeight="1" x14ac:dyDescent="0.15">
      <c r="A2" s="44">
        <v>15031001</v>
      </c>
      <c r="B2" s="44" t="s">
        <v>375</v>
      </c>
      <c r="C2" s="47">
        <v>3</v>
      </c>
      <c r="D2" s="47" t="s">
        <v>335</v>
      </c>
      <c r="E2" s="136" t="s">
        <v>338</v>
      </c>
      <c r="F2" s="48" t="s">
        <v>392</v>
      </c>
      <c r="G2" s="60" t="str">
        <f>IFERROR(LEFT(B2,FIND("],",B2)),B2)</f>
        <v xml:space="preserve">[effect:break_attack, val:0.05, lowest_val:0, count:8, block:block_red, target:unit_all]    </v>
      </c>
      <c r="H2" s="60">
        <f>FIND("effect:",G2)+7</f>
        <v>9</v>
      </c>
      <c r="I2" s="60">
        <f>IFERROR(FIND(",",G2),LEN(G2))</f>
        <v>21</v>
      </c>
      <c r="J2" s="60">
        <f>FIND("target:",G2)+7</f>
        <v>80</v>
      </c>
      <c r="K2" s="60">
        <f>FIND(",",G2,I2+1)</f>
        <v>31</v>
      </c>
      <c r="L2" s="60" t="str">
        <f>IFERROR(VLOOKUP(MID(G2,J2,K2-J2),[6]skilldef!$C:$D,2,FALSE),"-") &amp; " / " &amp; IFERROR(VLOOKUP(MID(G2,H2,I2-H2),[6]skilldef!$A:$B,2,FALSE),"-")</f>
        <v>- / -</v>
      </c>
      <c r="M2" s="60" t="str">
        <f>IFERROR(RIGHT(B2,LEN(B2)-FIND("],",B2)-1),"none")</f>
        <v>none</v>
      </c>
      <c r="N2" s="45" t="str">
        <f>IFERROR(LEFT(M2,FIND("],",M2)+S12),M2)</f>
        <v>none</v>
      </c>
      <c r="O2" s="60" t="e">
        <f>FIND("effect:",N2)+7</f>
        <v>#VALUE!</v>
      </c>
      <c r="P2" s="60">
        <f>IFERROR(FIND(",",N2),LEN(N2))</f>
        <v>4</v>
      </c>
      <c r="Q2" s="60" t="e">
        <f>FIND("target:",N2)+7</f>
        <v>#VALUE!</v>
      </c>
      <c r="R2" s="60" t="e">
        <f>FIND(",",N2,P2+1)</f>
        <v>#VALUE!</v>
      </c>
      <c r="S2" s="60" t="str">
        <f>IFERROR(VLOOKUP(MID(N2,Q2,R2-Q2),[6]skilldef!$C:$D,2,FALSE),"-") &amp; " / " &amp; IFERROR(VLOOKUP(MID(N2,O2,P2-O2),[6]skilldef!$A:$B,2,FALSE),"-")</f>
        <v>- / -</v>
      </c>
      <c r="T2" s="45" t="str">
        <f>IFERROR(RIGHT(M2,LEN(M2)-FIND("],",M2)-1),"none")</f>
        <v>none</v>
      </c>
      <c r="U2" s="60" t="e">
        <f>FIND("effect:",T2)+7</f>
        <v>#VALUE!</v>
      </c>
      <c r="V2" s="60">
        <f>IFERROR(FIND(",",T2),LEN(T2))</f>
        <v>4</v>
      </c>
      <c r="W2" s="60" t="e">
        <f>FIND("target:",T2)+7</f>
        <v>#VALUE!</v>
      </c>
      <c r="X2" s="60" t="e">
        <f>FIND(",",T2,V2+1)</f>
        <v>#VALUE!</v>
      </c>
      <c r="Y2" s="60" t="str">
        <f>IFERROR(VLOOKUP(MID(T2,W2,X2-W2),[6]skilldef!$C:$D,2,FALSE),"-") &amp; " / " &amp; IFERROR(VLOOKUP(MID(T2,U2,V2-U2),[6]skilldef!$A:$B,2,FALSE),"-")</f>
        <v>- / -</v>
      </c>
      <c r="Z2" s="47"/>
      <c r="AA2" s="49"/>
      <c r="AB2" s="47"/>
    </row>
    <row r="3" spans="1:28" ht="21" customHeight="1" x14ac:dyDescent="0.15">
      <c r="A3" s="44">
        <v>15031002</v>
      </c>
      <c r="B3" s="44" t="s">
        <v>228</v>
      </c>
      <c r="C3" s="47">
        <v>3</v>
      </c>
      <c r="D3" s="47" t="s">
        <v>127</v>
      </c>
      <c r="E3" s="135" t="s">
        <v>255</v>
      </c>
      <c r="F3" s="48" t="s">
        <v>230</v>
      </c>
      <c r="G3" s="60" t="str">
        <f t="shared" ref="G3:G41" si="0">IFERROR(LEFT(B3,FIND("],",B3)),B3)</f>
        <v>[effect:nothing]</v>
      </c>
      <c r="H3" s="60">
        <f t="shared" ref="H3:H41" si="1">FIND("effect:",G3)+7</f>
        <v>9</v>
      </c>
      <c r="I3" s="60">
        <f t="shared" ref="I3:I41" si="2">IFERROR(FIND(",",G3),LEN(G3))</f>
        <v>16</v>
      </c>
      <c r="J3" s="60" t="e">
        <f t="shared" ref="J3:J41" si="3">FIND("target:",G3)+7</f>
        <v>#VALUE!</v>
      </c>
      <c r="K3" s="60" t="e">
        <f t="shared" ref="K3:K41" si="4">FIND(",",G3,I3+1)</f>
        <v>#VALUE!</v>
      </c>
      <c r="L3" s="60" t="str">
        <f>IFERROR(VLOOKUP(MID(G3,J3,K3-J3),[6]skilldef!$C:$D,2,FALSE),"-") &amp; " / " &amp; IFERROR(VLOOKUP(MID(G3,H3,I3-H3),[6]skilldef!$A:$B,2,FALSE),"-")</f>
        <v>- / 何もしない</v>
      </c>
      <c r="M3" s="60" t="str">
        <f t="shared" ref="M3:M41" si="5">IFERROR(RIGHT(B3,LEN(B3)-FIND("],",B3)-1),"none")</f>
        <v>none</v>
      </c>
      <c r="N3" s="45" t="str">
        <f t="shared" ref="N3:N31" si="6">IFERROR(LEFT(M3,FIND("],",M3)+S13),M3)</f>
        <v>none</v>
      </c>
      <c r="O3" s="60" t="e">
        <f t="shared" ref="O3:O41" si="7">FIND("effect:",N3)+7</f>
        <v>#VALUE!</v>
      </c>
      <c r="P3" s="60">
        <f t="shared" ref="P3:P41" si="8">IFERROR(FIND(",",N3),LEN(N3))</f>
        <v>4</v>
      </c>
      <c r="Q3" s="60" t="e">
        <f t="shared" ref="Q3:Q41" si="9">FIND("target:",N3)+7</f>
        <v>#VALUE!</v>
      </c>
      <c r="R3" s="60" t="e">
        <f t="shared" ref="R3:R41" si="10">FIND(",",N3,P3+1)</f>
        <v>#VALUE!</v>
      </c>
      <c r="S3" s="60" t="str">
        <f>IFERROR(VLOOKUP(MID(N3,Q3,R3-Q3),[6]skilldef!$C:$D,2,FALSE),"-") &amp; " / " &amp; IFERROR(VLOOKUP(MID(N3,O3,P3-O3),[6]skilldef!$A:$B,2,FALSE),"-")</f>
        <v>- / -</v>
      </c>
      <c r="T3" s="45" t="str">
        <f t="shared" ref="T3:T41" si="11">IFERROR(RIGHT(M3,LEN(M3)-FIND("],",M3)-1),"none")</f>
        <v>none</v>
      </c>
      <c r="U3" s="60" t="e">
        <f t="shared" ref="U3:U41" si="12">FIND("effect:",T3)+7</f>
        <v>#VALUE!</v>
      </c>
      <c r="V3" s="60">
        <f t="shared" ref="V3:V41" si="13">IFERROR(FIND(",",T3),LEN(T3))</f>
        <v>4</v>
      </c>
      <c r="W3" s="60" t="e">
        <f t="shared" ref="W3:W41" si="14">FIND("target:",T3)+7</f>
        <v>#VALUE!</v>
      </c>
      <c r="X3" s="60" t="e">
        <f t="shared" ref="X3:X41" si="15">FIND(",",T3,V3+1)</f>
        <v>#VALUE!</v>
      </c>
      <c r="Y3" s="60" t="str">
        <f>IFERROR(VLOOKUP(MID(T3,W3,X3-W3),[6]skilldef!$C:$D,2,FALSE),"-") &amp; " / " &amp; IFERROR(VLOOKUP(MID(T3,U3,V3-U3),[6]skilldef!$A:$B,2,FALSE),"-")</f>
        <v>- / -</v>
      </c>
      <c r="Z3" s="47"/>
      <c r="AA3" s="49"/>
      <c r="AB3" s="47"/>
    </row>
    <row r="4" spans="1:28" ht="21" customHeight="1" x14ac:dyDescent="0.15">
      <c r="A4" s="44">
        <v>15031003</v>
      </c>
      <c r="B4" s="44" t="s">
        <v>229</v>
      </c>
      <c r="C4" s="47">
        <v>3</v>
      </c>
      <c r="D4" s="47" t="s">
        <v>127</v>
      </c>
      <c r="E4" s="135" t="s">
        <v>255</v>
      </c>
      <c r="F4" s="48" t="s">
        <v>230</v>
      </c>
      <c r="G4" s="60" t="str">
        <f t="shared" si="0"/>
        <v>[effect:nothing]</v>
      </c>
      <c r="H4" s="60">
        <f t="shared" si="1"/>
        <v>9</v>
      </c>
      <c r="I4" s="60">
        <f t="shared" si="2"/>
        <v>16</v>
      </c>
      <c r="J4" s="60" t="e">
        <f t="shared" si="3"/>
        <v>#VALUE!</v>
      </c>
      <c r="K4" s="60" t="e">
        <f t="shared" si="4"/>
        <v>#VALUE!</v>
      </c>
      <c r="L4" s="60" t="str">
        <f>IFERROR(VLOOKUP(MID(G4,J4,K4-J4),[6]skilldef!$C:$D,2,FALSE),"-") &amp; " / " &amp; IFERROR(VLOOKUP(MID(G4,H4,I4-H4),[6]skilldef!$A:$B,2,FALSE),"-")</f>
        <v>- / 何もしない</v>
      </c>
      <c r="M4" s="60" t="str">
        <f t="shared" si="5"/>
        <v>none</v>
      </c>
      <c r="N4" s="45" t="str">
        <f t="shared" si="6"/>
        <v>none</v>
      </c>
      <c r="O4" s="60" t="e">
        <f t="shared" si="7"/>
        <v>#VALUE!</v>
      </c>
      <c r="P4" s="60">
        <f t="shared" si="8"/>
        <v>4</v>
      </c>
      <c r="Q4" s="60" t="e">
        <f t="shared" si="9"/>
        <v>#VALUE!</v>
      </c>
      <c r="R4" s="60" t="e">
        <f t="shared" si="10"/>
        <v>#VALUE!</v>
      </c>
      <c r="S4" s="60" t="str">
        <f>IFERROR(VLOOKUP(MID(N4,Q4,R4-Q4),[6]skilldef!$C:$D,2,FALSE),"-") &amp; " / " &amp; IFERROR(VLOOKUP(MID(N4,O4,P4-O4),[6]skilldef!$A:$B,2,FALSE),"-")</f>
        <v>- / -</v>
      </c>
      <c r="T4" s="45" t="str">
        <f t="shared" si="11"/>
        <v>none</v>
      </c>
      <c r="U4" s="60" t="e">
        <f t="shared" si="12"/>
        <v>#VALUE!</v>
      </c>
      <c r="V4" s="60">
        <f t="shared" si="13"/>
        <v>4</v>
      </c>
      <c r="W4" s="60" t="e">
        <f t="shared" si="14"/>
        <v>#VALUE!</v>
      </c>
      <c r="X4" s="60" t="e">
        <f t="shared" si="15"/>
        <v>#VALUE!</v>
      </c>
      <c r="Y4" s="60" t="str">
        <f>IFERROR(VLOOKUP(MID(T4,W4,X4-W4),[6]skilldef!$C:$D,2,FALSE),"-") &amp; " / " &amp; IFERROR(VLOOKUP(MID(T4,U4,V4-U4),[6]skilldef!$A:$B,2,FALSE),"-")</f>
        <v>- / -</v>
      </c>
      <c r="Z4" s="47"/>
      <c r="AA4" s="49"/>
      <c r="AB4" s="47"/>
    </row>
    <row r="5" spans="1:28" ht="21" customHeight="1" x14ac:dyDescent="0.15">
      <c r="A5" s="44">
        <v>15031004</v>
      </c>
      <c r="B5" s="44" t="s">
        <v>229</v>
      </c>
      <c r="C5" s="47">
        <v>3</v>
      </c>
      <c r="D5" s="47" t="s">
        <v>127</v>
      </c>
      <c r="E5" s="135" t="s">
        <v>255</v>
      </c>
      <c r="F5" s="48" t="s">
        <v>230</v>
      </c>
      <c r="G5" s="60" t="str">
        <f t="shared" si="0"/>
        <v>[effect:nothing]</v>
      </c>
      <c r="H5" s="60">
        <f t="shared" si="1"/>
        <v>9</v>
      </c>
      <c r="I5" s="60">
        <f t="shared" si="2"/>
        <v>16</v>
      </c>
      <c r="J5" s="60" t="e">
        <f t="shared" si="3"/>
        <v>#VALUE!</v>
      </c>
      <c r="K5" s="60" t="e">
        <f t="shared" si="4"/>
        <v>#VALUE!</v>
      </c>
      <c r="L5" s="60" t="str">
        <f>IFERROR(VLOOKUP(MID(G5,J5,K5-J5),[6]skilldef!$C:$D,2,FALSE),"-") &amp; " / " &amp; IFERROR(VLOOKUP(MID(G5,H5,I5-H5),[6]skilldef!$A:$B,2,FALSE),"-")</f>
        <v>- / 何もしない</v>
      </c>
      <c r="M5" s="60" t="str">
        <f t="shared" si="5"/>
        <v>none</v>
      </c>
      <c r="N5" s="45" t="str">
        <f t="shared" si="6"/>
        <v>none</v>
      </c>
      <c r="O5" s="60" t="e">
        <f t="shared" si="7"/>
        <v>#VALUE!</v>
      </c>
      <c r="P5" s="60">
        <f t="shared" si="8"/>
        <v>4</v>
      </c>
      <c r="Q5" s="60" t="e">
        <f t="shared" si="9"/>
        <v>#VALUE!</v>
      </c>
      <c r="R5" s="60" t="e">
        <f t="shared" si="10"/>
        <v>#VALUE!</v>
      </c>
      <c r="S5" s="60" t="str">
        <f>IFERROR(VLOOKUP(MID(N5,Q5,R5-Q5),[6]skilldef!$C:$D,2,FALSE),"-") &amp; " / " &amp; IFERROR(VLOOKUP(MID(N5,O5,P5-O5),[6]skilldef!$A:$B,2,FALSE),"-")</f>
        <v>- / -</v>
      </c>
      <c r="T5" s="45" t="str">
        <f t="shared" si="11"/>
        <v>none</v>
      </c>
      <c r="U5" s="60" t="e">
        <f t="shared" si="12"/>
        <v>#VALUE!</v>
      </c>
      <c r="V5" s="60">
        <f t="shared" si="13"/>
        <v>4</v>
      </c>
      <c r="W5" s="60" t="e">
        <f t="shared" si="14"/>
        <v>#VALUE!</v>
      </c>
      <c r="X5" s="60" t="e">
        <f t="shared" si="15"/>
        <v>#VALUE!</v>
      </c>
      <c r="Y5" s="60" t="str">
        <f>IFERROR(VLOOKUP(MID(T5,W5,X5-W5),[6]skilldef!$C:$D,2,FALSE),"-") &amp; " / " &amp; IFERROR(VLOOKUP(MID(T5,U5,V5-U5),[6]skilldef!$A:$B,2,FALSE),"-")</f>
        <v>- / -</v>
      </c>
      <c r="Z5" s="47"/>
      <c r="AA5" s="49"/>
      <c r="AB5" s="47"/>
    </row>
    <row r="6" spans="1:28" ht="21" customHeight="1" x14ac:dyDescent="0.15">
      <c r="A6" s="44">
        <v>15031005</v>
      </c>
      <c r="B6" s="44" t="s">
        <v>229</v>
      </c>
      <c r="C6" s="47">
        <v>3</v>
      </c>
      <c r="D6" s="47" t="s">
        <v>127</v>
      </c>
      <c r="E6" s="135" t="s">
        <v>255</v>
      </c>
      <c r="F6" s="48" t="s">
        <v>230</v>
      </c>
      <c r="G6" s="60" t="str">
        <f t="shared" si="0"/>
        <v>[effect:nothing]</v>
      </c>
      <c r="H6" s="60">
        <f t="shared" si="1"/>
        <v>9</v>
      </c>
      <c r="I6" s="60">
        <f t="shared" si="2"/>
        <v>16</v>
      </c>
      <c r="J6" s="60" t="e">
        <f t="shared" si="3"/>
        <v>#VALUE!</v>
      </c>
      <c r="K6" s="60" t="e">
        <f t="shared" si="4"/>
        <v>#VALUE!</v>
      </c>
      <c r="L6" s="60" t="str">
        <f>IFERROR(VLOOKUP(MID(G6,J6,K6-J6),[6]skilldef!$C:$D,2,FALSE),"-") &amp; " / " &amp; IFERROR(VLOOKUP(MID(G6,H6,I6-H6),[6]skilldef!$A:$B,2,FALSE),"-")</f>
        <v>- / 何もしない</v>
      </c>
      <c r="M6" s="60" t="str">
        <f t="shared" si="5"/>
        <v>none</v>
      </c>
      <c r="N6" s="45" t="str">
        <f t="shared" si="6"/>
        <v>none</v>
      </c>
      <c r="O6" s="60" t="e">
        <f t="shared" si="7"/>
        <v>#VALUE!</v>
      </c>
      <c r="P6" s="60">
        <f t="shared" si="8"/>
        <v>4</v>
      </c>
      <c r="Q6" s="60" t="e">
        <f t="shared" si="9"/>
        <v>#VALUE!</v>
      </c>
      <c r="R6" s="60" t="e">
        <f t="shared" si="10"/>
        <v>#VALUE!</v>
      </c>
      <c r="S6" s="60" t="str">
        <f>IFERROR(VLOOKUP(MID(N6,Q6,R6-Q6),[6]skilldef!$C:$D,2,FALSE),"-") &amp; " / " &amp; IFERROR(VLOOKUP(MID(N6,O6,P6-O6),[6]skilldef!$A:$B,2,FALSE),"-")</f>
        <v>- / -</v>
      </c>
      <c r="T6" s="45" t="str">
        <f t="shared" si="11"/>
        <v>none</v>
      </c>
      <c r="U6" s="60" t="e">
        <f t="shared" si="12"/>
        <v>#VALUE!</v>
      </c>
      <c r="V6" s="60">
        <f t="shared" si="13"/>
        <v>4</v>
      </c>
      <c r="W6" s="60" t="e">
        <f t="shared" si="14"/>
        <v>#VALUE!</v>
      </c>
      <c r="X6" s="60" t="e">
        <f t="shared" si="15"/>
        <v>#VALUE!</v>
      </c>
      <c r="Y6" s="60" t="str">
        <f>IFERROR(VLOOKUP(MID(T6,W6,X6-W6),[6]skilldef!$C:$D,2,FALSE),"-") &amp; " / " &amp; IFERROR(VLOOKUP(MID(T6,U6,V6-U6),[6]skilldef!$A:$B,2,FALSE),"-")</f>
        <v>- / -</v>
      </c>
      <c r="Z6" s="47"/>
      <c r="AA6" s="49"/>
      <c r="AB6" s="47"/>
    </row>
    <row r="7" spans="1:28" ht="21" customHeight="1" x14ac:dyDescent="0.15">
      <c r="A7" s="44">
        <v>15031006</v>
      </c>
      <c r="B7" s="44" t="s">
        <v>279</v>
      </c>
      <c r="C7" s="47">
        <v>3</v>
      </c>
      <c r="D7" s="47" t="s">
        <v>127</v>
      </c>
      <c r="E7" s="136" t="s">
        <v>283</v>
      </c>
      <c r="F7" s="48" t="s">
        <v>235</v>
      </c>
      <c r="G7" s="60" t="str">
        <f t="shared" si="0"/>
        <v>[effect:spread, val:0.3]</v>
      </c>
      <c r="H7" s="60">
        <f t="shared" si="1"/>
        <v>9</v>
      </c>
      <c r="I7" s="60">
        <f t="shared" si="2"/>
        <v>15</v>
      </c>
      <c r="J7" s="60" t="e">
        <f t="shared" si="3"/>
        <v>#VALUE!</v>
      </c>
      <c r="K7" s="60" t="e">
        <f t="shared" si="4"/>
        <v>#VALUE!</v>
      </c>
      <c r="L7" s="60" t="str">
        <f>IFERROR(VLOOKUP(MID(G7,J7,K7-J7),[6]skilldef!$C:$D,2,FALSE),"-") &amp; " / " &amp; IFERROR(VLOOKUP(MID(G7,H7,I7-H7),[6]skilldef!$A:$B,2,FALSE),"-")</f>
        <v>- / 全体攻撃</v>
      </c>
      <c r="M7" s="60" t="str">
        <f t="shared" si="5"/>
        <v>none</v>
      </c>
      <c r="N7" s="45" t="str">
        <f t="shared" si="6"/>
        <v>none</v>
      </c>
      <c r="O7" s="60" t="e">
        <f t="shared" si="7"/>
        <v>#VALUE!</v>
      </c>
      <c r="P7" s="60">
        <f t="shared" si="8"/>
        <v>4</v>
      </c>
      <c r="Q7" s="60" t="e">
        <f t="shared" si="9"/>
        <v>#VALUE!</v>
      </c>
      <c r="R7" s="60" t="e">
        <f t="shared" si="10"/>
        <v>#VALUE!</v>
      </c>
      <c r="S7" s="60" t="str">
        <f>IFERROR(VLOOKUP(MID(N7,Q7,R7-Q7),[6]skilldef!$C:$D,2,FALSE),"-") &amp; " / " &amp; IFERROR(VLOOKUP(MID(N7,O7,P7-O7),[6]skilldef!$A:$B,2,FALSE),"-")</f>
        <v>- / -</v>
      </c>
      <c r="T7" s="45" t="str">
        <f t="shared" si="11"/>
        <v>none</v>
      </c>
      <c r="U7" s="60" t="e">
        <f t="shared" si="12"/>
        <v>#VALUE!</v>
      </c>
      <c r="V7" s="60">
        <f t="shared" si="13"/>
        <v>4</v>
      </c>
      <c r="W7" s="60" t="e">
        <f t="shared" si="14"/>
        <v>#VALUE!</v>
      </c>
      <c r="X7" s="60" t="e">
        <f t="shared" si="15"/>
        <v>#VALUE!</v>
      </c>
      <c r="Y7" s="60" t="str">
        <f>IFERROR(VLOOKUP(MID(T7,W7,X7-W7),[6]skilldef!$C:$D,2,FALSE),"-") &amp; " / " &amp; IFERROR(VLOOKUP(MID(T7,U7,V7-U7),[6]skilldef!$A:$B,2,FALSE),"-")</f>
        <v>- / -</v>
      </c>
      <c r="Z7" s="47"/>
      <c r="AA7" s="49"/>
      <c r="AB7" s="47"/>
    </row>
    <row r="8" spans="1:28" ht="21" customHeight="1" x14ac:dyDescent="0.15">
      <c r="A8" s="44">
        <v>15031007</v>
      </c>
      <c r="B8" s="44" t="s">
        <v>229</v>
      </c>
      <c r="C8" s="47">
        <v>3</v>
      </c>
      <c r="D8" s="47" t="s">
        <v>127</v>
      </c>
      <c r="E8" s="135" t="s">
        <v>266</v>
      </c>
      <c r="F8" s="48" t="s">
        <v>230</v>
      </c>
      <c r="G8" s="60" t="str">
        <f t="shared" si="0"/>
        <v>[effect:nothing]</v>
      </c>
      <c r="H8" s="60">
        <f t="shared" si="1"/>
        <v>9</v>
      </c>
      <c r="I8" s="60">
        <f t="shared" si="2"/>
        <v>16</v>
      </c>
      <c r="J8" s="60" t="e">
        <f t="shared" si="3"/>
        <v>#VALUE!</v>
      </c>
      <c r="K8" s="60" t="e">
        <f t="shared" si="4"/>
        <v>#VALUE!</v>
      </c>
      <c r="L8" s="60" t="str">
        <f>IFERROR(VLOOKUP(MID(G8,J8,K8-J8),[6]skilldef!$C:$D,2,FALSE),"-") &amp; " / " &amp; IFERROR(VLOOKUP(MID(G8,H8,I8-H8),[6]skilldef!$A:$B,2,FALSE),"-")</f>
        <v>- / 何もしない</v>
      </c>
      <c r="M8" s="60" t="str">
        <f t="shared" si="5"/>
        <v>none</v>
      </c>
      <c r="N8" s="45" t="str">
        <f t="shared" si="6"/>
        <v>none</v>
      </c>
      <c r="O8" s="60" t="e">
        <f t="shared" si="7"/>
        <v>#VALUE!</v>
      </c>
      <c r="P8" s="60">
        <f t="shared" si="8"/>
        <v>4</v>
      </c>
      <c r="Q8" s="60" t="e">
        <f t="shared" si="9"/>
        <v>#VALUE!</v>
      </c>
      <c r="R8" s="60" t="e">
        <f t="shared" si="10"/>
        <v>#VALUE!</v>
      </c>
      <c r="S8" s="60" t="str">
        <f>IFERROR(VLOOKUP(MID(N8,Q8,R8-Q8),[6]skilldef!$C:$D,2,FALSE),"-") &amp; " / " &amp; IFERROR(VLOOKUP(MID(N8,O8,P8-O8),[6]skilldef!$A:$B,2,FALSE),"-")</f>
        <v>- / -</v>
      </c>
      <c r="T8" s="45" t="str">
        <f t="shared" si="11"/>
        <v>none</v>
      </c>
      <c r="U8" s="60" t="e">
        <f t="shared" si="12"/>
        <v>#VALUE!</v>
      </c>
      <c r="V8" s="60">
        <f t="shared" si="13"/>
        <v>4</v>
      </c>
      <c r="W8" s="60" t="e">
        <f t="shared" si="14"/>
        <v>#VALUE!</v>
      </c>
      <c r="X8" s="60" t="e">
        <f t="shared" si="15"/>
        <v>#VALUE!</v>
      </c>
      <c r="Y8" s="60" t="str">
        <f>IFERROR(VLOOKUP(MID(T8,W8,X8-W8),[6]skilldef!$C:$D,2,FALSE),"-") &amp; " / " &amp; IFERROR(VLOOKUP(MID(T8,U8,V8-U8),[6]skilldef!$A:$B,2,FALSE),"-")</f>
        <v>- / -</v>
      </c>
      <c r="Z8" s="47"/>
      <c r="AA8" s="49"/>
      <c r="AB8" s="47"/>
    </row>
    <row r="9" spans="1:28" ht="21" customHeight="1" x14ac:dyDescent="0.15">
      <c r="A9" s="44">
        <v>15031008</v>
      </c>
      <c r="B9" s="44" t="s">
        <v>229</v>
      </c>
      <c r="C9" s="47">
        <v>3</v>
      </c>
      <c r="D9" s="47" t="s">
        <v>127</v>
      </c>
      <c r="E9" s="135" t="s">
        <v>266</v>
      </c>
      <c r="F9" s="48" t="s">
        <v>230</v>
      </c>
      <c r="G9" s="60" t="str">
        <f t="shared" si="0"/>
        <v>[effect:nothing]</v>
      </c>
      <c r="H9" s="60">
        <f t="shared" si="1"/>
        <v>9</v>
      </c>
      <c r="I9" s="60">
        <f t="shared" si="2"/>
        <v>16</v>
      </c>
      <c r="J9" s="60" t="e">
        <f t="shared" si="3"/>
        <v>#VALUE!</v>
      </c>
      <c r="K9" s="60" t="e">
        <f t="shared" si="4"/>
        <v>#VALUE!</v>
      </c>
      <c r="L9" s="60" t="str">
        <f>IFERROR(VLOOKUP(MID(G9,J9,K9-J9),[6]skilldef!$C:$D,2,FALSE),"-") &amp; " / " &amp; IFERROR(VLOOKUP(MID(G9,H9,I9-H9),[6]skilldef!$A:$B,2,FALSE),"-")</f>
        <v>- / 何もしない</v>
      </c>
      <c r="M9" s="60" t="str">
        <f t="shared" si="5"/>
        <v>none</v>
      </c>
      <c r="N9" s="45" t="str">
        <f t="shared" si="6"/>
        <v>none</v>
      </c>
      <c r="O9" s="60" t="e">
        <f t="shared" si="7"/>
        <v>#VALUE!</v>
      </c>
      <c r="P9" s="60">
        <f t="shared" si="8"/>
        <v>4</v>
      </c>
      <c r="Q9" s="60" t="e">
        <f t="shared" si="9"/>
        <v>#VALUE!</v>
      </c>
      <c r="R9" s="60" t="e">
        <f t="shared" si="10"/>
        <v>#VALUE!</v>
      </c>
      <c r="S9" s="60" t="str">
        <f>IFERROR(VLOOKUP(MID(N9,Q9,R9-Q9),[6]skilldef!$C:$D,2,FALSE),"-") &amp; " / " &amp; IFERROR(VLOOKUP(MID(N9,O9,P9-O9),[6]skilldef!$A:$B,2,FALSE),"-")</f>
        <v>- / -</v>
      </c>
      <c r="T9" s="45" t="str">
        <f t="shared" si="11"/>
        <v>none</v>
      </c>
      <c r="U9" s="60" t="e">
        <f t="shared" si="12"/>
        <v>#VALUE!</v>
      </c>
      <c r="V9" s="60">
        <f t="shared" si="13"/>
        <v>4</v>
      </c>
      <c r="W9" s="60" t="e">
        <f t="shared" si="14"/>
        <v>#VALUE!</v>
      </c>
      <c r="X9" s="60" t="e">
        <f t="shared" si="15"/>
        <v>#VALUE!</v>
      </c>
      <c r="Y9" s="60" t="str">
        <f>IFERROR(VLOOKUP(MID(T9,W9,X9-W9),[6]skilldef!$C:$D,2,FALSE),"-") &amp; " / " &amp; IFERROR(VLOOKUP(MID(T9,U9,V9-U9),[6]skilldef!$A:$B,2,FALSE),"-")</f>
        <v>- / -</v>
      </c>
      <c r="Z9" s="47"/>
      <c r="AA9" s="49"/>
      <c r="AB9" s="47"/>
    </row>
    <row r="10" spans="1:28" ht="21" customHeight="1" x14ac:dyDescent="0.15">
      <c r="A10" s="44">
        <v>15031009</v>
      </c>
      <c r="B10" s="44" t="s">
        <v>229</v>
      </c>
      <c r="C10" s="47">
        <v>3</v>
      </c>
      <c r="D10" s="47" t="s">
        <v>127</v>
      </c>
      <c r="E10" s="135" t="s">
        <v>266</v>
      </c>
      <c r="F10" s="48" t="s">
        <v>230</v>
      </c>
      <c r="G10" s="60" t="str">
        <f t="shared" si="0"/>
        <v>[effect:nothing]</v>
      </c>
      <c r="H10" s="60">
        <f t="shared" si="1"/>
        <v>9</v>
      </c>
      <c r="I10" s="60">
        <f t="shared" si="2"/>
        <v>16</v>
      </c>
      <c r="J10" s="60" t="e">
        <f t="shared" si="3"/>
        <v>#VALUE!</v>
      </c>
      <c r="K10" s="60" t="e">
        <f t="shared" si="4"/>
        <v>#VALUE!</v>
      </c>
      <c r="L10" s="60" t="str">
        <f>IFERROR(VLOOKUP(MID(G10,J10,K10-J10),[6]skilldef!$C:$D,2,FALSE),"-") &amp; " / " &amp; IFERROR(VLOOKUP(MID(G10,H10,I10-H10),[6]skilldef!$A:$B,2,FALSE),"-")</f>
        <v>- / 何もしない</v>
      </c>
      <c r="M10" s="60" t="str">
        <f t="shared" si="5"/>
        <v>none</v>
      </c>
      <c r="N10" s="45" t="str">
        <f t="shared" si="6"/>
        <v>none</v>
      </c>
      <c r="O10" s="60" t="e">
        <f t="shared" si="7"/>
        <v>#VALUE!</v>
      </c>
      <c r="P10" s="60">
        <f t="shared" si="8"/>
        <v>4</v>
      </c>
      <c r="Q10" s="60" t="e">
        <f t="shared" si="9"/>
        <v>#VALUE!</v>
      </c>
      <c r="R10" s="60" t="e">
        <f t="shared" si="10"/>
        <v>#VALUE!</v>
      </c>
      <c r="S10" s="60" t="str">
        <f>IFERROR(VLOOKUP(MID(N10,Q10,R10-Q10),[6]skilldef!$C:$D,2,FALSE),"-") &amp; " / " &amp; IFERROR(VLOOKUP(MID(N10,O10,P10-O10),[6]skilldef!$A:$B,2,FALSE),"-")</f>
        <v>- / -</v>
      </c>
      <c r="T10" s="45" t="str">
        <f t="shared" si="11"/>
        <v>none</v>
      </c>
      <c r="U10" s="60" t="e">
        <f t="shared" si="12"/>
        <v>#VALUE!</v>
      </c>
      <c r="V10" s="60">
        <f t="shared" si="13"/>
        <v>4</v>
      </c>
      <c r="W10" s="60" t="e">
        <f t="shared" si="14"/>
        <v>#VALUE!</v>
      </c>
      <c r="X10" s="60" t="e">
        <f t="shared" si="15"/>
        <v>#VALUE!</v>
      </c>
      <c r="Y10" s="60" t="str">
        <f>IFERROR(VLOOKUP(MID(T10,W10,X10-W10),[6]skilldef!$C:$D,2,FALSE),"-") &amp; " / " &amp; IFERROR(VLOOKUP(MID(T10,U10,V10-U10),[6]skilldef!$A:$B,2,FALSE),"-")</f>
        <v>- / -</v>
      </c>
      <c r="Z10" s="47"/>
      <c r="AA10" s="49"/>
      <c r="AB10" s="47"/>
    </row>
    <row r="11" spans="1:28" ht="21" customHeight="1" x14ac:dyDescent="0.15">
      <c r="A11" s="44">
        <v>15031010</v>
      </c>
      <c r="B11" s="44" t="s">
        <v>229</v>
      </c>
      <c r="C11" s="47">
        <v>3</v>
      </c>
      <c r="D11" s="47" t="s">
        <v>127</v>
      </c>
      <c r="E11" s="135" t="s">
        <v>266</v>
      </c>
      <c r="F11" s="48" t="s">
        <v>230</v>
      </c>
      <c r="G11" s="60" t="str">
        <f t="shared" si="0"/>
        <v>[effect:nothing]</v>
      </c>
      <c r="H11" s="60">
        <f t="shared" si="1"/>
        <v>9</v>
      </c>
      <c r="I11" s="60">
        <f t="shared" si="2"/>
        <v>16</v>
      </c>
      <c r="J11" s="60" t="e">
        <f t="shared" si="3"/>
        <v>#VALUE!</v>
      </c>
      <c r="K11" s="60" t="e">
        <f t="shared" si="4"/>
        <v>#VALUE!</v>
      </c>
      <c r="L11" s="60" t="str">
        <f>IFERROR(VLOOKUP(MID(G11,J11,K11-J11),[6]skilldef!$C:$D,2,FALSE),"-") &amp; " / " &amp; IFERROR(VLOOKUP(MID(G11,H11,I11-H11),[6]skilldef!$A:$B,2,FALSE),"-")</f>
        <v>- / 何もしない</v>
      </c>
      <c r="M11" s="60" t="str">
        <f t="shared" si="5"/>
        <v>none</v>
      </c>
      <c r="N11" s="45" t="str">
        <f t="shared" si="6"/>
        <v>none</v>
      </c>
      <c r="O11" s="60" t="e">
        <f t="shared" si="7"/>
        <v>#VALUE!</v>
      </c>
      <c r="P11" s="60">
        <f t="shared" si="8"/>
        <v>4</v>
      </c>
      <c r="Q11" s="60" t="e">
        <f t="shared" si="9"/>
        <v>#VALUE!</v>
      </c>
      <c r="R11" s="60" t="e">
        <f t="shared" si="10"/>
        <v>#VALUE!</v>
      </c>
      <c r="S11" s="60" t="str">
        <f>IFERROR(VLOOKUP(MID(N11,Q11,R11-Q11),[6]skilldef!$C:$D,2,FALSE),"-") &amp; " / " &amp; IFERROR(VLOOKUP(MID(N11,O11,P11-O11),[6]skilldef!$A:$B,2,FALSE),"-")</f>
        <v>- / -</v>
      </c>
      <c r="T11" s="45" t="str">
        <f t="shared" si="11"/>
        <v>none</v>
      </c>
      <c r="U11" s="60" t="e">
        <f t="shared" si="12"/>
        <v>#VALUE!</v>
      </c>
      <c r="V11" s="60">
        <f t="shared" si="13"/>
        <v>4</v>
      </c>
      <c r="W11" s="60" t="e">
        <f t="shared" si="14"/>
        <v>#VALUE!</v>
      </c>
      <c r="X11" s="60" t="e">
        <f t="shared" si="15"/>
        <v>#VALUE!</v>
      </c>
      <c r="Y11" s="60" t="str">
        <f>IFERROR(VLOOKUP(MID(T11,W11,X11-W11),[6]skilldef!$C:$D,2,FALSE),"-") &amp; " / " &amp; IFERROR(VLOOKUP(MID(T11,U11,V11-U11),[6]skilldef!$A:$B,2,FALSE),"-")</f>
        <v>- / -</v>
      </c>
      <c r="Z11" s="47"/>
      <c r="AA11" s="49"/>
      <c r="AB11" s="47"/>
    </row>
    <row r="12" spans="1:28" ht="21" customHeight="1" x14ac:dyDescent="0.15">
      <c r="A12" s="44">
        <v>15031011</v>
      </c>
      <c r="B12" s="44" t="s">
        <v>334</v>
      </c>
      <c r="C12" s="47">
        <v>3</v>
      </c>
      <c r="D12" s="47" t="s">
        <v>335</v>
      </c>
      <c r="E12" s="136" t="s">
        <v>336</v>
      </c>
      <c r="F12" s="48" t="s">
        <v>389</v>
      </c>
      <c r="G12" s="60" t="str">
        <f t="shared" si="0"/>
        <v>[effect:dis_heart, turn:3, animation:enemy_dis_heart]</v>
      </c>
      <c r="H12" s="60">
        <f t="shared" si="1"/>
        <v>9</v>
      </c>
      <c r="I12" s="60">
        <f t="shared" si="2"/>
        <v>18</v>
      </c>
      <c r="J12" s="60" t="e">
        <f t="shared" si="3"/>
        <v>#VALUE!</v>
      </c>
      <c r="K12" s="60">
        <f t="shared" si="4"/>
        <v>26</v>
      </c>
      <c r="L12" s="60" t="str">
        <f>IFERROR(VLOOKUP(MID(G12,J12,K12-J12),[6]skilldef!$C:$D,2,FALSE),"-") &amp; " / " &amp; IFERROR(VLOOKUP(MID(G12,H12,I12-H12),[6]skilldef!$A:$B,2,FALSE),"-")</f>
        <v>- / ディスハート</v>
      </c>
      <c r="M12" s="60" t="str">
        <f t="shared" si="5"/>
        <v>none</v>
      </c>
      <c r="N12" s="45" t="str">
        <f t="shared" si="6"/>
        <v>none</v>
      </c>
      <c r="O12" s="60" t="e">
        <f t="shared" si="7"/>
        <v>#VALUE!</v>
      </c>
      <c r="P12" s="60">
        <f t="shared" si="8"/>
        <v>4</v>
      </c>
      <c r="Q12" s="60" t="e">
        <f t="shared" si="9"/>
        <v>#VALUE!</v>
      </c>
      <c r="R12" s="60" t="e">
        <f t="shared" si="10"/>
        <v>#VALUE!</v>
      </c>
      <c r="S12" s="60" t="str">
        <f>IFERROR(VLOOKUP(MID(N12,Q12,R12-Q12),[6]skilldef!$C:$D,2,FALSE),"-") &amp; " / " &amp; IFERROR(VLOOKUP(MID(N12,O12,P12-O12),[6]skilldef!$A:$B,2,FALSE),"-")</f>
        <v>- / -</v>
      </c>
      <c r="T12" s="45" t="str">
        <f t="shared" si="11"/>
        <v>none</v>
      </c>
      <c r="U12" s="60" t="e">
        <f t="shared" si="12"/>
        <v>#VALUE!</v>
      </c>
      <c r="V12" s="60">
        <f t="shared" si="13"/>
        <v>4</v>
      </c>
      <c r="W12" s="60" t="e">
        <f t="shared" si="14"/>
        <v>#VALUE!</v>
      </c>
      <c r="X12" s="60" t="e">
        <f t="shared" si="15"/>
        <v>#VALUE!</v>
      </c>
      <c r="Y12" s="60" t="str">
        <f>IFERROR(VLOOKUP(MID(T12,W12,X12-W12),[6]skilldef!$C:$D,2,FALSE),"-") &amp; " / " &amp; IFERROR(VLOOKUP(MID(T12,U12,V12-U12),[6]skilldef!$A:$B,2,FALSE),"-")</f>
        <v>- / -</v>
      </c>
      <c r="Z12" s="47"/>
      <c r="AA12" s="49"/>
      <c r="AB12" s="47"/>
    </row>
    <row r="13" spans="1:28" ht="21" customHeight="1" x14ac:dyDescent="0.15">
      <c r="A13" s="44">
        <v>15031012</v>
      </c>
      <c r="B13" s="44" t="s">
        <v>229</v>
      </c>
      <c r="C13" s="47">
        <v>3</v>
      </c>
      <c r="D13" s="47" t="s">
        <v>127</v>
      </c>
      <c r="E13" s="135" t="s">
        <v>257</v>
      </c>
      <c r="F13" s="48" t="s">
        <v>230</v>
      </c>
      <c r="G13" s="60" t="str">
        <f t="shared" si="0"/>
        <v>[effect:nothing]</v>
      </c>
      <c r="H13" s="60">
        <f t="shared" si="1"/>
        <v>9</v>
      </c>
      <c r="I13" s="60">
        <f t="shared" si="2"/>
        <v>16</v>
      </c>
      <c r="J13" s="60" t="e">
        <f t="shared" si="3"/>
        <v>#VALUE!</v>
      </c>
      <c r="K13" s="60" t="e">
        <f t="shared" si="4"/>
        <v>#VALUE!</v>
      </c>
      <c r="L13" s="60" t="str">
        <f>IFERROR(VLOOKUP(MID(G13,J13,K13-J13),[6]skilldef!$C:$D,2,FALSE),"-") &amp; " / " &amp; IFERROR(VLOOKUP(MID(G13,H13,I13-H13),[6]skilldef!$A:$B,2,FALSE),"-")</f>
        <v>- / 何もしない</v>
      </c>
      <c r="M13" s="60" t="str">
        <f t="shared" si="5"/>
        <v>none</v>
      </c>
      <c r="N13" s="45" t="str">
        <f t="shared" si="6"/>
        <v>none</v>
      </c>
      <c r="O13" s="60" t="e">
        <f t="shared" si="7"/>
        <v>#VALUE!</v>
      </c>
      <c r="P13" s="60">
        <f t="shared" si="8"/>
        <v>4</v>
      </c>
      <c r="Q13" s="60" t="e">
        <f t="shared" si="9"/>
        <v>#VALUE!</v>
      </c>
      <c r="R13" s="60" t="e">
        <f t="shared" si="10"/>
        <v>#VALUE!</v>
      </c>
      <c r="S13" s="60" t="str">
        <f>IFERROR(VLOOKUP(MID(N13,Q13,R13-Q13),[6]skilldef!$C:$D,2,FALSE),"-") &amp; " / " &amp; IFERROR(VLOOKUP(MID(N13,O13,P13-O13),[6]skilldef!$A:$B,2,FALSE),"-")</f>
        <v>- / -</v>
      </c>
      <c r="T13" s="45" t="str">
        <f t="shared" si="11"/>
        <v>none</v>
      </c>
      <c r="U13" s="60" t="e">
        <f t="shared" si="12"/>
        <v>#VALUE!</v>
      </c>
      <c r="V13" s="60">
        <f t="shared" si="13"/>
        <v>4</v>
      </c>
      <c r="W13" s="60" t="e">
        <f t="shared" si="14"/>
        <v>#VALUE!</v>
      </c>
      <c r="X13" s="60" t="e">
        <f t="shared" si="15"/>
        <v>#VALUE!</v>
      </c>
      <c r="Y13" s="60" t="str">
        <f>IFERROR(VLOOKUP(MID(T13,W13,X13-W13),[6]skilldef!$C:$D,2,FALSE),"-") &amp; " / " &amp; IFERROR(VLOOKUP(MID(T13,U13,V13-U13),[6]skilldef!$A:$B,2,FALSE),"-")</f>
        <v>- / -</v>
      </c>
      <c r="Z13" s="47"/>
      <c r="AA13" s="49"/>
      <c r="AB13" s="47"/>
    </row>
    <row r="14" spans="1:28" ht="21" customHeight="1" x14ac:dyDescent="0.15">
      <c r="A14" s="44">
        <v>15031013</v>
      </c>
      <c r="B14" s="44" t="s">
        <v>229</v>
      </c>
      <c r="C14" s="47">
        <v>3</v>
      </c>
      <c r="D14" s="47" t="s">
        <v>127</v>
      </c>
      <c r="E14" s="135" t="s">
        <v>257</v>
      </c>
      <c r="F14" s="48" t="s">
        <v>230</v>
      </c>
      <c r="G14" s="60" t="str">
        <f t="shared" si="0"/>
        <v>[effect:nothing]</v>
      </c>
      <c r="H14" s="60">
        <f t="shared" si="1"/>
        <v>9</v>
      </c>
      <c r="I14" s="60">
        <f t="shared" si="2"/>
        <v>16</v>
      </c>
      <c r="J14" s="60" t="e">
        <f t="shared" si="3"/>
        <v>#VALUE!</v>
      </c>
      <c r="K14" s="60" t="e">
        <f t="shared" si="4"/>
        <v>#VALUE!</v>
      </c>
      <c r="L14" s="60" t="str">
        <f>IFERROR(VLOOKUP(MID(G14,J14,K14-J14),[6]skilldef!$C:$D,2,FALSE),"-") &amp; " / " &amp; IFERROR(VLOOKUP(MID(G14,H14,I14-H14),[6]skilldef!$A:$B,2,FALSE),"-")</f>
        <v>- / 何もしない</v>
      </c>
      <c r="M14" s="60" t="str">
        <f t="shared" si="5"/>
        <v>none</v>
      </c>
      <c r="N14" s="45" t="str">
        <f t="shared" si="6"/>
        <v>none</v>
      </c>
      <c r="O14" s="60" t="e">
        <f t="shared" si="7"/>
        <v>#VALUE!</v>
      </c>
      <c r="P14" s="60">
        <f t="shared" si="8"/>
        <v>4</v>
      </c>
      <c r="Q14" s="60" t="e">
        <f t="shared" si="9"/>
        <v>#VALUE!</v>
      </c>
      <c r="R14" s="60" t="e">
        <f t="shared" si="10"/>
        <v>#VALUE!</v>
      </c>
      <c r="S14" s="60" t="str">
        <f>IFERROR(VLOOKUP(MID(N14,Q14,R14-Q14),[6]skilldef!$C:$D,2,FALSE),"-") &amp; " / " &amp; IFERROR(VLOOKUP(MID(N14,O14,P14-O14),[6]skilldef!$A:$B,2,FALSE),"-")</f>
        <v>- / -</v>
      </c>
      <c r="T14" s="45" t="str">
        <f t="shared" si="11"/>
        <v>none</v>
      </c>
      <c r="U14" s="60" t="e">
        <f t="shared" si="12"/>
        <v>#VALUE!</v>
      </c>
      <c r="V14" s="60">
        <f t="shared" si="13"/>
        <v>4</v>
      </c>
      <c r="W14" s="60" t="e">
        <f t="shared" si="14"/>
        <v>#VALUE!</v>
      </c>
      <c r="X14" s="60" t="e">
        <f t="shared" si="15"/>
        <v>#VALUE!</v>
      </c>
      <c r="Y14" s="60" t="str">
        <f>IFERROR(VLOOKUP(MID(T14,W14,X14-W14),[6]skilldef!$C:$D,2,FALSE),"-") &amp; " / " &amp; IFERROR(VLOOKUP(MID(T14,U14,V14-U14),[6]skilldef!$A:$B,2,FALSE),"-")</f>
        <v>- / -</v>
      </c>
      <c r="Z14" s="47"/>
      <c r="AA14" s="49"/>
      <c r="AB14" s="47"/>
    </row>
    <row r="15" spans="1:28" ht="21" customHeight="1" x14ac:dyDescent="0.15">
      <c r="A15" s="44">
        <v>15031014</v>
      </c>
      <c r="B15" s="44" t="s">
        <v>229</v>
      </c>
      <c r="C15" s="47">
        <v>3</v>
      </c>
      <c r="D15" s="47" t="s">
        <v>127</v>
      </c>
      <c r="E15" s="135" t="s">
        <v>257</v>
      </c>
      <c r="F15" s="48" t="s">
        <v>230</v>
      </c>
      <c r="G15" s="60" t="str">
        <f t="shared" si="0"/>
        <v>[effect:nothing]</v>
      </c>
      <c r="H15" s="60">
        <f t="shared" si="1"/>
        <v>9</v>
      </c>
      <c r="I15" s="60">
        <f t="shared" si="2"/>
        <v>16</v>
      </c>
      <c r="J15" s="60" t="e">
        <f t="shared" si="3"/>
        <v>#VALUE!</v>
      </c>
      <c r="K15" s="60" t="e">
        <f t="shared" si="4"/>
        <v>#VALUE!</v>
      </c>
      <c r="L15" s="60" t="str">
        <f>IFERROR(VLOOKUP(MID(G15,J15,K15-J15),[6]skilldef!$C:$D,2,FALSE),"-") &amp; " / " &amp; IFERROR(VLOOKUP(MID(G15,H15,I15-H15),[6]skilldef!$A:$B,2,FALSE),"-")</f>
        <v>- / 何もしない</v>
      </c>
      <c r="M15" s="60" t="str">
        <f t="shared" si="5"/>
        <v>none</v>
      </c>
      <c r="N15" s="45" t="str">
        <f t="shared" si="6"/>
        <v>none</v>
      </c>
      <c r="O15" s="60" t="e">
        <f t="shared" si="7"/>
        <v>#VALUE!</v>
      </c>
      <c r="P15" s="60">
        <f t="shared" si="8"/>
        <v>4</v>
      </c>
      <c r="Q15" s="60" t="e">
        <f t="shared" si="9"/>
        <v>#VALUE!</v>
      </c>
      <c r="R15" s="60" t="e">
        <f t="shared" si="10"/>
        <v>#VALUE!</v>
      </c>
      <c r="S15" s="60" t="str">
        <f>IFERROR(VLOOKUP(MID(N15,Q15,R15-Q15),[6]skilldef!$C:$D,2,FALSE),"-") &amp; " / " &amp; IFERROR(VLOOKUP(MID(N15,O15,P15-O15),[6]skilldef!$A:$B,2,FALSE),"-")</f>
        <v>- / -</v>
      </c>
      <c r="T15" s="45" t="str">
        <f t="shared" si="11"/>
        <v>none</v>
      </c>
      <c r="U15" s="60" t="e">
        <f t="shared" si="12"/>
        <v>#VALUE!</v>
      </c>
      <c r="V15" s="60">
        <f t="shared" si="13"/>
        <v>4</v>
      </c>
      <c r="W15" s="60" t="e">
        <f t="shared" si="14"/>
        <v>#VALUE!</v>
      </c>
      <c r="X15" s="60" t="e">
        <f t="shared" si="15"/>
        <v>#VALUE!</v>
      </c>
      <c r="Y15" s="60" t="str">
        <f>IFERROR(VLOOKUP(MID(T15,W15,X15-W15),[6]skilldef!$C:$D,2,FALSE),"-") &amp; " / " &amp; IFERROR(VLOOKUP(MID(T15,U15,V15-U15),[6]skilldef!$A:$B,2,FALSE),"-")</f>
        <v>- / -</v>
      </c>
      <c r="Z15" s="47"/>
      <c r="AA15" s="49"/>
      <c r="AB15" s="47"/>
    </row>
    <row r="16" spans="1:28" ht="21" customHeight="1" x14ac:dyDescent="0.15">
      <c r="A16" s="44">
        <v>15031015</v>
      </c>
      <c r="B16" s="44" t="s">
        <v>229</v>
      </c>
      <c r="C16" s="47">
        <v>3</v>
      </c>
      <c r="D16" s="47" t="s">
        <v>127</v>
      </c>
      <c r="E16" s="135" t="s">
        <v>257</v>
      </c>
      <c r="F16" s="48" t="s">
        <v>230</v>
      </c>
      <c r="G16" s="60" t="str">
        <f t="shared" si="0"/>
        <v>[effect:nothing]</v>
      </c>
      <c r="H16" s="60">
        <f t="shared" si="1"/>
        <v>9</v>
      </c>
      <c r="I16" s="60">
        <f t="shared" si="2"/>
        <v>16</v>
      </c>
      <c r="J16" s="60" t="e">
        <f t="shared" si="3"/>
        <v>#VALUE!</v>
      </c>
      <c r="K16" s="60" t="e">
        <f t="shared" si="4"/>
        <v>#VALUE!</v>
      </c>
      <c r="L16" s="60" t="str">
        <f>IFERROR(VLOOKUP(MID(G16,J16,K16-J16),[6]skilldef!$C:$D,2,FALSE),"-") &amp; " / " &amp; IFERROR(VLOOKUP(MID(G16,H16,I16-H16),[6]skilldef!$A:$B,2,FALSE),"-")</f>
        <v>- / 何もしない</v>
      </c>
      <c r="M16" s="60" t="str">
        <f t="shared" si="5"/>
        <v>none</v>
      </c>
      <c r="N16" s="45" t="str">
        <f t="shared" si="6"/>
        <v>none</v>
      </c>
      <c r="O16" s="60" t="e">
        <f t="shared" si="7"/>
        <v>#VALUE!</v>
      </c>
      <c r="P16" s="60">
        <f t="shared" si="8"/>
        <v>4</v>
      </c>
      <c r="Q16" s="60" t="e">
        <f t="shared" si="9"/>
        <v>#VALUE!</v>
      </c>
      <c r="R16" s="60" t="e">
        <f t="shared" si="10"/>
        <v>#VALUE!</v>
      </c>
      <c r="S16" s="60" t="str">
        <f>IFERROR(VLOOKUP(MID(N16,Q16,R16-Q16),[6]skilldef!$C:$D,2,FALSE),"-") &amp; " / " &amp; IFERROR(VLOOKUP(MID(N16,O16,P16-O16),[6]skilldef!$A:$B,2,FALSE),"-")</f>
        <v>- / -</v>
      </c>
      <c r="T16" s="45" t="str">
        <f t="shared" si="11"/>
        <v>none</v>
      </c>
      <c r="U16" s="60" t="e">
        <f t="shared" si="12"/>
        <v>#VALUE!</v>
      </c>
      <c r="V16" s="60">
        <f t="shared" si="13"/>
        <v>4</v>
      </c>
      <c r="W16" s="60" t="e">
        <f t="shared" si="14"/>
        <v>#VALUE!</v>
      </c>
      <c r="X16" s="60" t="e">
        <f t="shared" si="15"/>
        <v>#VALUE!</v>
      </c>
      <c r="Y16" s="60" t="str">
        <f>IFERROR(VLOOKUP(MID(T16,W16,X16-W16),[6]skilldef!$C:$D,2,FALSE),"-") &amp; " / " &amp; IFERROR(VLOOKUP(MID(T16,U16,V16-U16),[6]skilldef!$A:$B,2,FALSE),"-")</f>
        <v>- / -</v>
      </c>
      <c r="Z16" s="47"/>
      <c r="AA16" s="49"/>
      <c r="AB16" s="47"/>
    </row>
    <row r="17" spans="1:28" ht="21" customHeight="1" x14ac:dyDescent="0.15">
      <c r="A17" s="44">
        <v>15031016</v>
      </c>
      <c r="B17" s="44" t="s">
        <v>279</v>
      </c>
      <c r="C17" s="47">
        <v>3</v>
      </c>
      <c r="D17" s="47" t="s">
        <v>127</v>
      </c>
      <c r="E17" s="136" t="s">
        <v>283</v>
      </c>
      <c r="F17" s="48" t="s">
        <v>235</v>
      </c>
      <c r="G17" s="60" t="str">
        <f t="shared" si="0"/>
        <v>[effect:spread, val:0.3]</v>
      </c>
      <c r="H17" s="60">
        <f t="shared" si="1"/>
        <v>9</v>
      </c>
      <c r="I17" s="60">
        <f t="shared" si="2"/>
        <v>15</v>
      </c>
      <c r="J17" s="60" t="e">
        <f t="shared" si="3"/>
        <v>#VALUE!</v>
      </c>
      <c r="K17" s="60" t="e">
        <f t="shared" si="4"/>
        <v>#VALUE!</v>
      </c>
      <c r="L17" s="60" t="str">
        <f>IFERROR(VLOOKUP(MID(G17,J17,K17-J17),[6]skilldef!$C:$D,2,FALSE),"-") &amp; " / " &amp; IFERROR(VLOOKUP(MID(G17,H17,I17-H17),[6]skilldef!$A:$B,2,FALSE),"-")</f>
        <v>- / 全体攻撃</v>
      </c>
      <c r="M17" s="60" t="str">
        <f t="shared" si="5"/>
        <v>none</v>
      </c>
      <c r="N17" s="45" t="str">
        <f t="shared" si="6"/>
        <v>none</v>
      </c>
      <c r="O17" s="60" t="e">
        <f t="shared" si="7"/>
        <v>#VALUE!</v>
      </c>
      <c r="P17" s="60">
        <f t="shared" si="8"/>
        <v>4</v>
      </c>
      <c r="Q17" s="60" t="e">
        <f t="shared" si="9"/>
        <v>#VALUE!</v>
      </c>
      <c r="R17" s="60" t="e">
        <f t="shared" si="10"/>
        <v>#VALUE!</v>
      </c>
      <c r="S17" s="60" t="str">
        <f>IFERROR(VLOOKUP(MID(N17,Q17,R17-Q17),[6]skilldef!$C:$D,2,FALSE),"-") &amp; " / " &amp; IFERROR(VLOOKUP(MID(N17,O17,P17-O17),[6]skilldef!$A:$B,2,FALSE),"-")</f>
        <v>- / -</v>
      </c>
      <c r="T17" s="45" t="str">
        <f t="shared" si="11"/>
        <v>none</v>
      </c>
      <c r="U17" s="60" t="e">
        <f t="shared" si="12"/>
        <v>#VALUE!</v>
      </c>
      <c r="V17" s="60">
        <f t="shared" si="13"/>
        <v>4</v>
      </c>
      <c r="W17" s="60" t="e">
        <f t="shared" si="14"/>
        <v>#VALUE!</v>
      </c>
      <c r="X17" s="60" t="e">
        <f t="shared" si="15"/>
        <v>#VALUE!</v>
      </c>
      <c r="Y17" s="60" t="str">
        <f>IFERROR(VLOOKUP(MID(T17,W17,X17-W17),[6]skilldef!$C:$D,2,FALSE),"-") &amp; " / " &amp; IFERROR(VLOOKUP(MID(T17,U17,V17-U17),[6]skilldef!$A:$B,2,FALSE),"-")</f>
        <v>- / -</v>
      </c>
      <c r="Z17" s="47"/>
      <c r="AA17" s="49"/>
      <c r="AB17" s="47"/>
    </row>
    <row r="18" spans="1:28" ht="21" customHeight="1" x14ac:dyDescent="0.15">
      <c r="A18" s="44">
        <v>15031017</v>
      </c>
      <c r="B18" s="44" t="s">
        <v>229</v>
      </c>
      <c r="C18" s="47">
        <v>3</v>
      </c>
      <c r="D18" s="47" t="s">
        <v>127</v>
      </c>
      <c r="E18" s="135" t="s">
        <v>267</v>
      </c>
      <c r="F18" s="48" t="s">
        <v>230</v>
      </c>
      <c r="G18" s="60" t="str">
        <f t="shared" si="0"/>
        <v>[effect:nothing]</v>
      </c>
      <c r="H18" s="60">
        <f t="shared" si="1"/>
        <v>9</v>
      </c>
      <c r="I18" s="60">
        <f t="shared" si="2"/>
        <v>16</v>
      </c>
      <c r="J18" s="60" t="e">
        <f t="shared" si="3"/>
        <v>#VALUE!</v>
      </c>
      <c r="K18" s="60" t="e">
        <f t="shared" si="4"/>
        <v>#VALUE!</v>
      </c>
      <c r="L18" s="60" t="str">
        <f>IFERROR(VLOOKUP(MID(G18,J18,K18-J18),[6]skilldef!$C:$D,2,FALSE),"-") &amp; " / " &amp; IFERROR(VLOOKUP(MID(G18,H18,I18-H18),[6]skilldef!$A:$B,2,FALSE),"-")</f>
        <v>- / 何もしない</v>
      </c>
      <c r="M18" s="60" t="str">
        <f t="shared" si="5"/>
        <v>none</v>
      </c>
      <c r="N18" s="45" t="str">
        <f t="shared" si="6"/>
        <v>none</v>
      </c>
      <c r="O18" s="60" t="e">
        <f t="shared" si="7"/>
        <v>#VALUE!</v>
      </c>
      <c r="P18" s="60">
        <f t="shared" si="8"/>
        <v>4</v>
      </c>
      <c r="Q18" s="60" t="e">
        <f t="shared" si="9"/>
        <v>#VALUE!</v>
      </c>
      <c r="R18" s="60" t="e">
        <f t="shared" si="10"/>
        <v>#VALUE!</v>
      </c>
      <c r="S18" s="60" t="str">
        <f>IFERROR(VLOOKUP(MID(N18,Q18,R18-Q18),[6]skilldef!$C:$D,2,FALSE),"-") &amp; " / " &amp; IFERROR(VLOOKUP(MID(N18,O18,P18-O18),[6]skilldef!$A:$B,2,FALSE),"-")</f>
        <v>- / -</v>
      </c>
      <c r="T18" s="45" t="str">
        <f t="shared" si="11"/>
        <v>none</v>
      </c>
      <c r="U18" s="60" t="e">
        <f t="shared" si="12"/>
        <v>#VALUE!</v>
      </c>
      <c r="V18" s="60">
        <f t="shared" si="13"/>
        <v>4</v>
      </c>
      <c r="W18" s="60" t="e">
        <f t="shared" si="14"/>
        <v>#VALUE!</v>
      </c>
      <c r="X18" s="60" t="e">
        <f t="shared" si="15"/>
        <v>#VALUE!</v>
      </c>
      <c r="Y18" s="60" t="str">
        <f>IFERROR(VLOOKUP(MID(T18,W18,X18-W18),[6]skilldef!$C:$D,2,FALSE),"-") &amp; " / " &amp; IFERROR(VLOOKUP(MID(T18,U18,V18-U18),[6]skilldef!$A:$B,2,FALSE),"-")</f>
        <v>- / -</v>
      </c>
      <c r="Z18" s="47"/>
      <c r="AA18" s="49"/>
      <c r="AB18" s="47"/>
    </row>
    <row r="19" spans="1:28" ht="21" customHeight="1" x14ac:dyDescent="0.15">
      <c r="A19" s="44">
        <v>15031018</v>
      </c>
      <c r="B19" s="44" t="s">
        <v>229</v>
      </c>
      <c r="C19" s="47">
        <v>3</v>
      </c>
      <c r="D19" s="47" t="s">
        <v>127</v>
      </c>
      <c r="E19" s="135" t="s">
        <v>267</v>
      </c>
      <c r="F19" s="48" t="s">
        <v>230</v>
      </c>
      <c r="G19" s="60" t="str">
        <f t="shared" si="0"/>
        <v>[effect:nothing]</v>
      </c>
      <c r="H19" s="60">
        <f t="shared" si="1"/>
        <v>9</v>
      </c>
      <c r="I19" s="60">
        <f t="shared" si="2"/>
        <v>16</v>
      </c>
      <c r="J19" s="60" t="e">
        <f t="shared" si="3"/>
        <v>#VALUE!</v>
      </c>
      <c r="K19" s="60" t="e">
        <f t="shared" si="4"/>
        <v>#VALUE!</v>
      </c>
      <c r="L19" s="60" t="str">
        <f>IFERROR(VLOOKUP(MID(G19,J19,K19-J19),[6]skilldef!$C:$D,2,FALSE),"-") &amp; " / " &amp; IFERROR(VLOOKUP(MID(G19,H19,I19-H19),[6]skilldef!$A:$B,2,FALSE),"-")</f>
        <v>- / 何もしない</v>
      </c>
      <c r="M19" s="60" t="str">
        <f t="shared" si="5"/>
        <v>none</v>
      </c>
      <c r="N19" s="45" t="str">
        <f t="shared" si="6"/>
        <v>none</v>
      </c>
      <c r="O19" s="60" t="e">
        <f t="shared" si="7"/>
        <v>#VALUE!</v>
      </c>
      <c r="P19" s="60">
        <f t="shared" si="8"/>
        <v>4</v>
      </c>
      <c r="Q19" s="60" t="e">
        <f t="shared" si="9"/>
        <v>#VALUE!</v>
      </c>
      <c r="R19" s="60" t="e">
        <f t="shared" si="10"/>
        <v>#VALUE!</v>
      </c>
      <c r="S19" s="60" t="str">
        <f>IFERROR(VLOOKUP(MID(N19,Q19,R19-Q19),[6]skilldef!$C:$D,2,FALSE),"-") &amp; " / " &amp; IFERROR(VLOOKUP(MID(N19,O19,P19-O19),[6]skilldef!$A:$B,2,FALSE),"-")</f>
        <v>- / -</v>
      </c>
      <c r="T19" s="45" t="str">
        <f t="shared" si="11"/>
        <v>none</v>
      </c>
      <c r="U19" s="60" t="e">
        <f t="shared" si="12"/>
        <v>#VALUE!</v>
      </c>
      <c r="V19" s="60">
        <f t="shared" si="13"/>
        <v>4</v>
      </c>
      <c r="W19" s="60" t="e">
        <f t="shared" si="14"/>
        <v>#VALUE!</v>
      </c>
      <c r="X19" s="60" t="e">
        <f t="shared" si="15"/>
        <v>#VALUE!</v>
      </c>
      <c r="Y19" s="60" t="str">
        <f>IFERROR(VLOOKUP(MID(T19,W19,X19-W19),[6]skilldef!$C:$D,2,FALSE),"-") &amp; " / " &amp; IFERROR(VLOOKUP(MID(T19,U19,V19-U19),[6]skilldef!$A:$B,2,FALSE),"-")</f>
        <v>- / -</v>
      </c>
      <c r="Z19" s="47"/>
      <c r="AA19" s="49"/>
      <c r="AB19" s="47"/>
    </row>
    <row r="20" spans="1:28" ht="21" customHeight="1" x14ac:dyDescent="0.15">
      <c r="A20" s="44">
        <v>15031019</v>
      </c>
      <c r="B20" s="44" t="s">
        <v>229</v>
      </c>
      <c r="C20" s="47">
        <v>3</v>
      </c>
      <c r="D20" s="47" t="s">
        <v>127</v>
      </c>
      <c r="E20" s="135" t="s">
        <v>267</v>
      </c>
      <c r="F20" s="48" t="s">
        <v>230</v>
      </c>
      <c r="G20" s="60" t="str">
        <f t="shared" si="0"/>
        <v>[effect:nothing]</v>
      </c>
      <c r="H20" s="60">
        <f t="shared" si="1"/>
        <v>9</v>
      </c>
      <c r="I20" s="60">
        <f t="shared" si="2"/>
        <v>16</v>
      </c>
      <c r="J20" s="60" t="e">
        <f t="shared" si="3"/>
        <v>#VALUE!</v>
      </c>
      <c r="K20" s="60" t="e">
        <f t="shared" si="4"/>
        <v>#VALUE!</v>
      </c>
      <c r="L20" s="60" t="str">
        <f>IFERROR(VLOOKUP(MID(G20,J20,K20-J20),[6]skilldef!$C:$D,2,FALSE),"-") &amp; " / " &amp; IFERROR(VLOOKUP(MID(G20,H20,I20-H20),[6]skilldef!$A:$B,2,FALSE),"-")</f>
        <v>- / 何もしない</v>
      </c>
      <c r="M20" s="60" t="str">
        <f t="shared" si="5"/>
        <v>none</v>
      </c>
      <c r="N20" s="45" t="str">
        <f t="shared" si="6"/>
        <v>none</v>
      </c>
      <c r="O20" s="60" t="e">
        <f t="shared" si="7"/>
        <v>#VALUE!</v>
      </c>
      <c r="P20" s="60">
        <f t="shared" si="8"/>
        <v>4</v>
      </c>
      <c r="Q20" s="60" t="e">
        <f t="shared" si="9"/>
        <v>#VALUE!</v>
      </c>
      <c r="R20" s="60" t="e">
        <f t="shared" si="10"/>
        <v>#VALUE!</v>
      </c>
      <c r="S20" s="60" t="str">
        <f>IFERROR(VLOOKUP(MID(N20,Q20,R20-Q20),[6]skilldef!$C:$D,2,FALSE),"-") &amp; " / " &amp; IFERROR(VLOOKUP(MID(N20,O20,P20-O20),[6]skilldef!$A:$B,2,FALSE),"-")</f>
        <v>- / -</v>
      </c>
      <c r="T20" s="45" t="str">
        <f t="shared" si="11"/>
        <v>none</v>
      </c>
      <c r="U20" s="60" t="e">
        <f t="shared" si="12"/>
        <v>#VALUE!</v>
      </c>
      <c r="V20" s="60">
        <f t="shared" si="13"/>
        <v>4</v>
      </c>
      <c r="W20" s="60" t="e">
        <f t="shared" si="14"/>
        <v>#VALUE!</v>
      </c>
      <c r="X20" s="60" t="e">
        <f t="shared" si="15"/>
        <v>#VALUE!</v>
      </c>
      <c r="Y20" s="60" t="str">
        <f>IFERROR(VLOOKUP(MID(T20,W20,X20-W20),[6]skilldef!$C:$D,2,FALSE),"-") &amp; " / " &amp; IFERROR(VLOOKUP(MID(T20,U20,V20-U20),[6]skilldef!$A:$B,2,FALSE),"-")</f>
        <v>- / -</v>
      </c>
      <c r="Z20" s="47"/>
      <c r="AA20" s="49"/>
      <c r="AB20" s="47"/>
    </row>
    <row r="21" spans="1:28" ht="21" customHeight="1" x14ac:dyDescent="0.15">
      <c r="A21" s="44">
        <v>15031020</v>
      </c>
      <c r="B21" s="44" t="s">
        <v>229</v>
      </c>
      <c r="C21" s="47">
        <v>3</v>
      </c>
      <c r="D21" s="47" t="s">
        <v>127</v>
      </c>
      <c r="E21" s="135" t="s">
        <v>267</v>
      </c>
      <c r="F21" s="48" t="s">
        <v>230</v>
      </c>
      <c r="G21" s="60" t="str">
        <f t="shared" si="0"/>
        <v>[effect:nothing]</v>
      </c>
      <c r="H21" s="60">
        <f t="shared" si="1"/>
        <v>9</v>
      </c>
      <c r="I21" s="60">
        <f t="shared" si="2"/>
        <v>16</v>
      </c>
      <c r="J21" s="60" t="e">
        <f t="shared" si="3"/>
        <v>#VALUE!</v>
      </c>
      <c r="K21" s="60" t="e">
        <f t="shared" si="4"/>
        <v>#VALUE!</v>
      </c>
      <c r="L21" s="60" t="str">
        <f>IFERROR(VLOOKUP(MID(G21,J21,K21-J21),[6]skilldef!$C:$D,2,FALSE),"-") &amp; " / " &amp; IFERROR(VLOOKUP(MID(G21,H21,I21-H21),[6]skilldef!$A:$B,2,FALSE),"-")</f>
        <v>- / 何もしない</v>
      </c>
      <c r="M21" s="60" t="str">
        <f t="shared" si="5"/>
        <v>none</v>
      </c>
      <c r="N21" s="45" t="str">
        <f t="shared" si="6"/>
        <v>none</v>
      </c>
      <c r="O21" s="60" t="e">
        <f t="shared" si="7"/>
        <v>#VALUE!</v>
      </c>
      <c r="P21" s="60">
        <f t="shared" si="8"/>
        <v>4</v>
      </c>
      <c r="Q21" s="60" t="e">
        <f t="shared" si="9"/>
        <v>#VALUE!</v>
      </c>
      <c r="R21" s="60" t="e">
        <f t="shared" si="10"/>
        <v>#VALUE!</v>
      </c>
      <c r="S21" s="60" t="str">
        <f>IFERROR(VLOOKUP(MID(N21,Q21,R21-Q21),[6]skilldef!$C:$D,2,FALSE),"-") &amp; " / " &amp; IFERROR(VLOOKUP(MID(N21,O21,P21-O21),[6]skilldef!$A:$B,2,FALSE),"-")</f>
        <v>- / -</v>
      </c>
      <c r="T21" s="45" t="str">
        <f t="shared" si="11"/>
        <v>none</v>
      </c>
      <c r="U21" s="60" t="e">
        <f t="shared" si="12"/>
        <v>#VALUE!</v>
      </c>
      <c r="V21" s="60">
        <f t="shared" si="13"/>
        <v>4</v>
      </c>
      <c r="W21" s="60" t="e">
        <f t="shared" si="14"/>
        <v>#VALUE!</v>
      </c>
      <c r="X21" s="60" t="e">
        <f t="shared" si="15"/>
        <v>#VALUE!</v>
      </c>
      <c r="Y21" s="60" t="str">
        <f>IFERROR(VLOOKUP(MID(T21,W21,X21-W21),[6]skilldef!$C:$D,2,FALSE),"-") &amp; " / " &amp; IFERROR(VLOOKUP(MID(T21,U21,V21-U21),[6]skilldef!$A:$B,2,FALSE),"-")</f>
        <v>- / -</v>
      </c>
      <c r="Z21" s="47"/>
      <c r="AA21" s="49"/>
      <c r="AB21" s="47"/>
    </row>
    <row r="22" spans="1:28" ht="21" customHeight="1" x14ac:dyDescent="0.15">
      <c r="A22" s="44">
        <v>15031021</v>
      </c>
      <c r="B22" s="44" t="s">
        <v>280</v>
      </c>
      <c r="C22" s="47">
        <v>3</v>
      </c>
      <c r="D22" s="47" t="s">
        <v>127</v>
      </c>
      <c r="E22" s="136" t="s">
        <v>284</v>
      </c>
      <c r="F22" s="48" t="s">
        <v>82</v>
      </c>
      <c r="G22" s="60" t="str">
        <f t="shared" si="0"/>
        <v>[effect:heal, target:enemy_one, val:0.5, animation:enemy_heal]</v>
      </c>
      <c r="H22" s="60">
        <f t="shared" si="1"/>
        <v>9</v>
      </c>
      <c r="I22" s="60">
        <f t="shared" si="2"/>
        <v>13</v>
      </c>
      <c r="J22" s="60">
        <f t="shared" si="3"/>
        <v>22</v>
      </c>
      <c r="K22" s="60">
        <f t="shared" si="4"/>
        <v>31</v>
      </c>
      <c r="L22" s="60" t="str">
        <f>IFERROR(VLOOKUP(MID(G22,J22,K22-J22),[6]skilldef!$C:$D,2,FALSE),"-") &amp; " / " &amp; IFERROR(VLOOKUP(MID(G22,H22,I22-H22),[6]skilldef!$A:$B,2,FALSE),"-")</f>
        <v>敵単体に / 回復</v>
      </c>
      <c r="M22" s="60" t="str">
        <f t="shared" si="5"/>
        <v>none</v>
      </c>
      <c r="N22" s="45" t="str">
        <f t="shared" si="6"/>
        <v>none</v>
      </c>
      <c r="O22" s="60" t="e">
        <f t="shared" si="7"/>
        <v>#VALUE!</v>
      </c>
      <c r="P22" s="60">
        <f t="shared" si="8"/>
        <v>4</v>
      </c>
      <c r="Q22" s="60" t="e">
        <f t="shared" si="9"/>
        <v>#VALUE!</v>
      </c>
      <c r="R22" s="60" t="e">
        <f t="shared" si="10"/>
        <v>#VALUE!</v>
      </c>
      <c r="S22" s="60" t="str">
        <f>IFERROR(VLOOKUP(MID(N22,Q22,R22-Q22),[6]skilldef!$C:$D,2,FALSE),"-") &amp; " / " &amp; IFERROR(VLOOKUP(MID(N22,O22,P22-O22),[6]skilldef!$A:$B,2,FALSE),"-")</f>
        <v>- / -</v>
      </c>
      <c r="T22" s="45" t="str">
        <f t="shared" si="11"/>
        <v>none</v>
      </c>
      <c r="U22" s="60" t="e">
        <f t="shared" si="12"/>
        <v>#VALUE!</v>
      </c>
      <c r="V22" s="60">
        <f t="shared" si="13"/>
        <v>4</v>
      </c>
      <c r="W22" s="60" t="e">
        <f t="shared" si="14"/>
        <v>#VALUE!</v>
      </c>
      <c r="X22" s="60" t="e">
        <f t="shared" si="15"/>
        <v>#VALUE!</v>
      </c>
      <c r="Y22" s="60" t="str">
        <f>IFERROR(VLOOKUP(MID(T22,W22,X22-W22),[6]skilldef!$C:$D,2,FALSE),"-") &amp; " / " &amp; IFERROR(VLOOKUP(MID(T22,U22,V22-U22),[6]skilldef!$A:$B,2,FALSE),"-")</f>
        <v>- / -</v>
      </c>
      <c r="Z22" s="47"/>
      <c r="AA22" s="49"/>
      <c r="AB22" s="47"/>
    </row>
    <row r="23" spans="1:28" ht="21" customHeight="1" x14ac:dyDescent="0.15">
      <c r="A23" s="44">
        <v>15031022</v>
      </c>
      <c r="B23" s="44" t="s">
        <v>228</v>
      </c>
      <c r="C23" s="47">
        <v>3</v>
      </c>
      <c r="D23" s="47" t="s">
        <v>127</v>
      </c>
      <c r="E23" s="135" t="s">
        <v>259</v>
      </c>
      <c r="F23" s="48" t="s">
        <v>230</v>
      </c>
      <c r="G23" s="60" t="str">
        <f t="shared" si="0"/>
        <v>[effect:nothing]</v>
      </c>
      <c r="H23" s="60">
        <f t="shared" si="1"/>
        <v>9</v>
      </c>
      <c r="I23" s="60">
        <f t="shared" si="2"/>
        <v>16</v>
      </c>
      <c r="J23" s="60" t="e">
        <f t="shared" si="3"/>
        <v>#VALUE!</v>
      </c>
      <c r="K23" s="60" t="e">
        <f t="shared" si="4"/>
        <v>#VALUE!</v>
      </c>
      <c r="L23" s="60" t="str">
        <f>IFERROR(VLOOKUP(MID(G23,J23,K23-J23),[6]skilldef!$C:$D,2,FALSE),"-") &amp; " / " &amp; IFERROR(VLOOKUP(MID(G23,H23,I23-H23),[6]skilldef!$A:$B,2,FALSE),"-")</f>
        <v>- / 何もしない</v>
      </c>
      <c r="M23" s="60" t="str">
        <f t="shared" si="5"/>
        <v>none</v>
      </c>
      <c r="N23" s="45" t="str">
        <f t="shared" si="6"/>
        <v>none</v>
      </c>
      <c r="O23" s="60" t="e">
        <f t="shared" si="7"/>
        <v>#VALUE!</v>
      </c>
      <c r="P23" s="60">
        <f t="shared" si="8"/>
        <v>4</v>
      </c>
      <c r="Q23" s="60" t="e">
        <f t="shared" si="9"/>
        <v>#VALUE!</v>
      </c>
      <c r="R23" s="60" t="e">
        <f t="shared" si="10"/>
        <v>#VALUE!</v>
      </c>
      <c r="S23" s="60" t="str">
        <f>IFERROR(VLOOKUP(MID(N23,Q23,R23-Q23),[6]skilldef!$C:$D,2,FALSE),"-") &amp; " / " &amp; IFERROR(VLOOKUP(MID(N23,O23,P23-O23),[6]skilldef!$A:$B,2,FALSE),"-")</f>
        <v>- / -</v>
      </c>
      <c r="T23" s="45" t="str">
        <f t="shared" si="11"/>
        <v>none</v>
      </c>
      <c r="U23" s="60" t="e">
        <f t="shared" si="12"/>
        <v>#VALUE!</v>
      </c>
      <c r="V23" s="60">
        <f t="shared" si="13"/>
        <v>4</v>
      </c>
      <c r="W23" s="60" t="e">
        <f t="shared" si="14"/>
        <v>#VALUE!</v>
      </c>
      <c r="X23" s="60" t="e">
        <f t="shared" si="15"/>
        <v>#VALUE!</v>
      </c>
      <c r="Y23" s="60" t="str">
        <f>IFERROR(VLOOKUP(MID(T23,W23,X23-W23),[6]skilldef!$C:$D,2,FALSE),"-") &amp; " / " &amp; IFERROR(VLOOKUP(MID(T23,U23,V23-U23),[6]skilldef!$A:$B,2,FALSE),"-")</f>
        <v>- / -</v>
      </c>
      <c r="Z23" s="47"/>
      <c r="AA23" s="49"/>
      <c r="AB23" s="47"/>
    </row>
    <row r="24" spans="1:28" ht="21" customHeight="1" x14ac:dyDescent="0.15">
      <c r="A24" s="44">
        <v>15031023</v>
      </c>
      <c r="B24" s="44" t="s">
        <v>229</v>
      </c>
      <c r="C24" s="47">
        <v>3</v>
      </c>
      <c r="D24" s="47" t="s">
        <v>127</v>
      </c>
      <c r="E24" s="135" t="s">
        <v>259</v>
      </c>
      <c r="F24" s="48" t="s">
        <v>230</v>
      </c>
      <c r="G24" s="60" t="str">
        <f t="shared" si="0"/>
        <v>[effect:nothing]</v>
      </c>
      <c r="H24" s="60">
        <f t="shared" si="1"/>
        <v>9</v>
      </c>
      <c r="I24" s="60">
        <f t="shared" si="2"/>
        <v>16</v>
      </c>
      <c r="J24" s="60" t="e">
        <f t="shared" si="3"/>
        <v>#VALUE!</v>
      </c>
      <c r="K24" s="60" t="e">
        <f t="shared" si="4"/>
        <v>#VALUE!</v>
      </c>
      <c r="L24" s="60" t="str">
        <f>IFERROR(VLOOKUP(MID(G24,J24,K24-J24),[6]skilldef!$C:$D,2,FALSE),"-") &amp; " / " &amp; IFERROR(VLOOKUP(MID(G24,H24,I24-H24),[6]skilldef!$A:$B,2,FALSE),"-")</f>
        <v>- / 何もしない</v>
      </c>
      <c r="M24" s="60" t="str">
        <f t="shared" si="5"/>
        <v>none</v>
      </c>
      <c r="N24" s="45" t="str">
        <f t="shared" si="6"/>
        <v>none</v>
      </c>
      <c r="O24" s="60" t="e">
        <f t="shared" si="7"/>
        <v>#VALUE!</v>
      </c>
      <c r="P24" s="60">
        <f t="shared" si="8"/>
        <v>4</v>
      </c>
      <c r="Q24" s="60" t="e">
        <f t="shared" si="9"/>
        <v>#VALUE!</v>
      </c>
      <c r="R24" s="60" t="e">
        <f t="shared" si="10"/>
        <v>#VALUE!</v>
      </c>
      <c r="S24" s="60" t="str">
        <f>IFERROR(VLOOKUP(MID(N24,Q24,R24-Q24),[6]skilldef!$C:$D,2,FALSE),"-") &amp; " / " &amp; IFERROR(VLOOKUP(MID(N24,O24,P24-O24),[6]skilldef!$A:$B,2,FALSE),"-")</f>
        <v>- / -</v>
      </c>
      <c r="T24" s="45" t="str">
        <f t="shared" si="11"/>
        <v>none</v>
      </c>
      <c r="U24" s="60" t="e">
        <f t="shared" si="12"/>
        <v>#VALUE!</v>
      </c>
      <c r="V24" s="60">
        <f t="shared" si="13"/>
        <v>4</v>
      </c>
      <c r="W24" s="60" t="e">
        <f t="shared" si="14"/>
        <v>#VALUE!</v>
      </c>
      <c r="X24" s="60" t="e">
        <f t="shared" si="15"/>
        <v>#VALUE!</v>
      </c>
      <c r="Y24" s="60" t="str">
        <f>IFERROR(VLOOKUP(MID(T24,W24,X24-W24),[6]skilldef!$C:$D,2,FALSE),"-") &amp; " / " &amp; IFERROR(VLOOKUP(MID(T24,U24,V24-U24),[6]skilldef!$A:$B,2,FALSE),"-")</f>
        <v>- / -</v>
      </c>
      <c r="Z24" s="47"/>
      <c r="AA24" s="49"/>
      <c r="AB24" s="47"/>
    </row>
    <row r="25" spans="1:28" ht="21" customHeight="1" x14ac:dyDescent="0.15">
      <c r="A25" s="44">
        <v>15031024</v>
      </c>
      <c r="B25" s="44" t="s">
        <v>228</v>
      </c>
      <c r="C25" s="47">
        <v>3</v>
      </c>
      <c r="D25" s="47" t="s">
        <v>127</v>
      </c>
      <c r="E25" s="135" t="s">
        <v>259</v>
      </c>
      <c r="F25" s="48" t="s">
        <v>230</v>
      </c>
      <c r="G25" s="60" t="str">
        <f t="shared" si="0"/>
        <v>[effect:nothing]</v>
      </c>
      <c r="H25" s="60">
        <f t="shared" si="1"/>
        <v>9</v>
      </c>
      <c r="I25" s="60">
        <f t="shared" si="2"/>
        <v>16</v>
      </c>
      <c r="J25" s="60" t="e">
        <f t="shared" si="3"/>
        <v>#VALUE!</v>
      </c>
      <c r="K25" s="60" t="e">
        <f t="shared" si="4"/>
        <v>#VALUE!</v>
      </c>
      <c r="L25" s="60" t="str">
        <f>IFERROR(VLOOKUP(MID(G25,J25,K25-J25),[6]skilldef!$C:$D,2,FALSE),"-") &amp; " / " &amp; IFERROR(VLOOKUP(MID(G25,H25,I25-H25),[6]skilldef!$A:$B,2,FALSE),"-")</f>
        <v>- / 何もしない</v>
      </c>
      <c r="M25" s="60" t="str">
        <f t="shared" si="5"/>
        <v>none</v>
      </c>
      <c r="N25" s="45" t="str">
        <f t="shared" si="6"/>
        <v>none</v>
      </c>
      <c r="O25" s="60" t="e">
        <f t="shared" si="7"/>
        <v>#VALUE!</v>
      </c>
      <c r="P25" s="60">
        <f t="shared" si="8"/>
        <v>4</v>
      </c>
      <c r="Q25" s="60" t="e">
        <f t="shared" si="9"/>
        <v>#VALUE!</v>
      </c>
      <c r="R25" s="60" t="e">
        <f t="shared" si="10"/>
        <v>#VALUE!</v>
      </c>
      <c r="S25" s="60" t="str">
        <f>IFERROR(VLOOKUP(MID(N25,Q25,R25-Q25),[6]skilldef!$C:$D,2,FALSE),"-") &amp; " / " &amp; IFERROR(VLOOKUP(MID(N25,O25,P25-O25),[6]skilldef!$A:$B,2,FALSE),"-")</f>
        <v>- / -</v>
      </c>
      <c r="T25" s="45" t="str">
        <f t="shared" si="11"/>
        <v>none</v>
      </c>
      <c r="U25" s="60" t="e">
        <f t="shared" si="12"/>
        <v>#VALUE!</v>
      </c>
      <c r="V25" s="60">
        <f t="shared" si="13"/>
        <v>4</v>
      </c>
      <c r="W25" s="60" t="e">
        <f t="shared" si="14"/>
        <v>#VALUE!</v>
      </c>
      <c r="X25" s="60" t="e">
        <f t="shared" si="15"/>
        <v>#VALUE!</v>
      </c>
      <c r="Y25" s="60" t="str">
        <f>IFERROR(VLOOKUP(MID(T25,W25,X25-W25),[6]skilldef!$C:$D,2,FALSE),"-") &amp; " / " &amp; IFERROR(VLOOKUP(MID(T25,U25,V25-U25),[6]skilldef!$A:$B,2,FALSE),"-")</f>
        <v>- / -</v>
      </c>
      <c r="Z25" s="47"/>
      <c r="AA25" s="49"/>
      <c r="AB25" s="47"/>
    </row>
    <row r="26" spans="1:28" ht="21" customHeight="1" x14ac:dyDescent="0.15">
      <c r="A26" s="44">
        <v>15031025</v>
      </c>
      <c r="B26" s="44" t="s">
        <v>229</v>
      </c>
      <c r="C26" s="47">
        <v>3</v>
      </c>
      <c r="D26" s="47" t="s">
        <v>127</v>
      </c>
      <c r="E26" s="135" t="s">
        <v>259</v>
      </c>
      <c r="F26" s="48" t="s">
        <v>230</v>
      </c>
      <c r="G26" s="60" t="str">
        <f t="shared" si="0"/>
        <v>[effect:nothing]</v>
      </c>
      <c r="H26" s="60">
        <f t="shared" si="1"/>
        <v>9</v>
      </c>
      <c r="I26" s="60">
        <f t="shared" si="2"/>
        <v>16</v>
      </c>
      <c r="J26" s="60" t="e">
        <f t="shared" si="3"/>
        <v>#VALUE!</v>
      </c>
      <c r="K26" s="60" t="e">
        <f t="shared" si="4"/>
        <v>#VALUE!</v>
      </c>
      <c r="L26" s="60" t="str">
        <f>IFERROR(VLOOKUP(MID(G26,J26,K26-J26),[6]skilldef!$C:$D,2,FALSE),"-") &amp; " / " &amp; IFERROR(VLOOKUP(MID(G26,H26,I26-H26),[6]skilldef!$A:$B,2,FALSE),"-")</f>
        <v>- / 何もしない</v>
      </c>
      <c r="M26" s="60" t="str">
        <f t="shared" si="5"/>
        <v>none</v>
      </c>
      <c r="N26" s="45" t="str">
        <f t="shared" si="6"/>
        <v>none</v>
      </c>
      <c r="O26" s="60" t="e">
        <f t="shared" si="7"/>
        <v>#VALUE!</v>
      </c>
      <c r="P26" s="60">
        <f t="shared" si="8"/>
        <v>4</v>
      </c>
      <c r="Q26" s="60" t="e">
        <f t="shared" si="9"/>
        <v>#VALUE!</v>
      </c>
      <c r="R26" s="60" t="e">
        <f t="shared" si="10"/>
        <v>#VALUE!</v>
      </c>
      <c r="S26" s="60" t="str">
        <f>IFERROR(VLOOKUP(MID(N26,Q26,R26-Q26),[6]skilldef!$C:$D,2,FALSE),"-") &amp; " / " &amp; IFERROR(VLOOKUP(MID(N26,O26,P26-O26),[6]skilldef!$A:$B,2,FALSE),"-")</f>
        <v>- / -</v>
      </c>
      <c r="T26" s="45" t="str">
        <f t="shared" si="11"/>
        <v>none</v>
      </c>
      <c r="U26" s="60" t="e">
        <f t="shared" si="12"/>
        <v>#VALUE!</v>
      </c>
      <c r="V26" s="60">
        <f t="shared" si="13"/>
        <v>4</v>
      </c>
      <c r="W26" s="60" t="e">
        <f t="shared" si="14"/>
        <v>#VALUE!</v>
      </c>
      <c r="X26" s="60" t="e">
        <f t="shared" si="15"/>
        <v>#VALUE!</v>
      </c>
      <c r="Y26" s="60" t="str">
        <f>IFERROR(VLOOKUP(MID(T26,W26,X26-W26),[6]skilldef!$C:$D,2,FALSE),"-") &amp; " / " &amp; IFERROR(VLOOKUP(MID(T26,U26,V26-U26),[6]skilldef!$A:$B,2,FALSE),"-")</f>
        <v>- / -</v>
      </c>
      <c r="Z26" s="47"/>
      <c r="AA26" s="49"/>
      <c r="AB26" s="47"/>
    </row>
    <row r="27" spans="1:28" ht="21" customHeight="1" x14ac:dyDescent="0.15">
      <c r="A27" s="44">
        <v>15031026</v>
      </c>
      <c r="B27" s="44" t="s">
        <v>280</v>
      </c>
      <c r="C27" s="47">
        <v>3</v>
      </c>
      <c r="D27" s="47" t="s">
        <v>127</v>
      </c>
      <c r="E27" s="137" t="s">
        <v>284</v>
      </c>
      <c r="F27" s="48" t="s">
        <v>82</v>
      </c>
      <c r="G27" s="60" t="str">
        <f t="shared" si="0"/>
        <v>[effect:heal, target:enemy_one, val:0.5, animation:enemy_heal]</v>
      </c>
      <c r="H27" s="60">
        <f t="shared" si="1"/>
        <v>9</v>
      </c>
      <c r="I27" s="60">
        <f t="shared" si="2"/>
        <v>13</v>
      </c>
      <c r="J27" s="60">
        <f t="shared" si="3"/>
        <v>22</v>
      </c>
      <c r="K27" s="60">
        <f t="shared" si="4"/>
        <v>31</v>
      </c>
      <c r="L27" s="60" t="str">
        <f>IFERROR(VLOOKUP(MID(G27,J27,K27-J27),[6]skilldef!$C:$D,2,FALSE),"-") &amp; " / " &amp; IFERROR(VLOOKUP(MID(G27,H27,I27-H27),[6]skilldef!$A:$B,2,FALSE),"-")</f>
        <v>敵単体に / 回復</v>
      </c>
      <c r="M27" s="60" t="str">
        <f t="shared" si="5"/>
        <v>none</v>
      </c>
      <c r="N27" s="45" t="str">
        <f t="shared" si="6"/>
        <v>none</v>
      </c>
      <c r="O27" s="60" t="e">
        <f t="shared" si="7"/>
        <v>#VALUE!</v>
      </c>
      <c r="P27" s="60">
        <f t="shared" si="8"/>
        <v>4</v>
      </c>
      <c r="Q27" s="60" t="e">
        <f t="shared" si="9"/>
        <v>#VALUE!</v>
      </c>
      <c r="R27" s="60" t="e">
        <f t="shared" si="10"/>
        <v>#VALUE!</v>
      </c>
      <c r="S27" s="60" t="str">
        <f>IFERROR(VLOOKUP(MID(N27,Q27,R27-Q27),[6]skilldef!$C:$D,2,FALSE),"-") &amp; " / " &amp; IFERROR(VLOOKUP(MID(N27,O27,P27-O27),[6]skilldef!$A:$B,2,FALSE),"-")</f>
        <v>- / -</v>
      </c>
      <c r="T27" s="45" t="str">
        <f t="shared" si="11"/>
        <v>none</v>
      </c>
      <c r="U27" s="60" t="e">
        <f t="shared" si="12"/>
        <v>#VALUE!</v>
      </c>
      <c r="V27" s="60">
        <f t="shared" si="13"/>
        <v>4</v>
      </c>
      <c r="W27" s="60" t="e">
        <f t="shared" si="14"/>
        <v>#VALUE!</v>
      </c>
      <c r="X27" s="60" t="e">
        <f t="shared" si="15"/>
        <v>#VALUE!</v>
      </c>
      <c r="Y27" s="60" t="str">
        <f>IFERROR(VLOOKUP(MID(T27,W27,X27-W27),[6]skilldef!$C:$D,2,FALSE),"-") &amp; " / " &amp; IFERROR(VLOOKUP(MID(T27,U27,V27-U27),[6]skilldef!$A:$B,2,FALSE),"-")</f>
        <v>- / -</v>
      </c>
      <c r="Z27" s="47"/>
      <c r="AA27" s="49"/>
      <c r="AB27" s="47"/>
    </row>
    <row r="28" spans="1:28" ht="21" customHeight="1" x14ac:dyDescent="0.15">
      <c r="A28" s="44">
        <v>15031027</v>
      </c>
      <c r="B28" s="44" t="s">
        <v>229</v>
      </c>
      <c r="C28" s="47">
        <v>3</v>
      </c>
      <c r="D28" s="47" t="s">
        <v>127</v>
      </c>
      <c r="E28" s="48" t="s">
        <v>260</v>
      </c>
      <c r="F28" s="48" t="s">
        <v>230</v>
      </c>
      <c r="G28" s="60" t="str">
        <f t="shared" si="0"/>
        <v>[effect:nothing]</v>
      </c>
      <c r="H28" s="60">
        <f t="shared" si="1"/>
        <v>9</v>
      </c>
      <c r="I28" s="60">
        <f t="shared" si="2"/>
        <v>16</v>
      </c>
      <c r="J28" s="60" t="e">
        <f t="shared" si="3"/>
        <v>#VALUE!</v>
      </c>
      <c r="K28" s="60" t="e">
        <f t="shared" si="4"/>
        <v>#VALUE!</v>
      </c>
      <c r="L28" s="60" t="str">
        <f>IFERROR(VLOOKUP(MID(G28,J28,K28-J28),[6]skilldef!$C:$D,2,FALSE),"-") &amp; " / " &amp; IFERROR(VLOOKUP(MID(G28,H28,I28-H28),[6]skilldef!$A:$B,2,FALSE),"-")</f>
        <v>- / 何もしない</v>
      </c>
      <c r="M28" s="60" t="str">
        <f t="shared" si="5"/>
        <v>none</v>
      </c>
      <c r="N28" s="45" t="str">
        <f t="shared" si="6"/>
        <v>none</v>
      </c>
      <c r="O28" s="60" t="e">
        <f t="shared" si="7"/>
        <v>#VALUE!</v>
      </c>
      <c r="P28" s="60">
        <f t="shared" si="8"/>
        <v>4</v>
      </c>
      <c r="Q28" s="60" t="e">
        <f t="shared" si="9"/>
        <v>#VALUE!</v>
      </c>
      <c r="R28" s="60" t="e">
        <f t="shared" si="10"/>
        <v>#VALUE!</v>
      </c>
      <c r="S28" s="60" t="str">
        <f>IFERROR(VLOOKUP(MID(N28,Q28,R28-Q28),[6]skilldef!$C:$D,2,FALSE),"-") &amp; " / " &amp; IFERROR(VLOOKUP(MID(N28,O28,P28-O28),[6]skilldef!$A:$B,2,FALSE),"-")</f>
        <v>- / -</v>
      </c>
      <c r="T28" s="45" t="str">
        <f t="shared" si="11"/>
        <v>none</v>
      </c>
      <c r="U28" s="60" t="e">
        <f t="shared" si="12"/>
        <v>#VALUE!</v>
      </c>
      <c r="V28" s="60">
        <f t="shared" si="13"/>
        <v>4</v>
      </c>
      <c r="W28" s="60" t="e">
        <f t="shared" si="14"/>
        <v>#VALUE!</v>
      </c>
      <c r="X28" s="60" t="e">
        <f t="shared" si="15"/>
        <v>#VALUE!</v>
      </c>
      <c r="Y28" s="60" t="str">
        <f>IFERROR(VLOOKUP(MID(T28,W28,X28-W28),[6]skilldef!$C:$D,2,FALSE),"-") &amp; " / " &amp; IFERROR(VLOOKUP(MID(T28,U28,V28-U28),[6]skilldef!$A:$B,2,FALSE),"-")</f>
        <v>- / -</v>
      </c>
      <c r="Z28" s="47"/>
      <c r="AA28" s="49"/>
      <c r="AB28" s="47"/>
    </row>
    <row r="29" spans="1:28" ht="21" customHeight="1" x14ac:dyDescent="0.15">
      <c r="A29" s="44">
        <v>15031028</v>
      </c>
      <c r="B29" s="44" t="s">
        <v>229</v>
      </c>
      <c r="C29" s="47">
        <v>3</v>
      </c>
      <c r="D29" s="47" t="s">
        <v>127</v>
      </c>
      <c r="E29" s="48" t="s">
        <v>260</v>
      </c>
      <c r="F29" s="48" t="s">
        <v>230</v>
      </c>
      <c r="G29" s="60" t="str">
        <f t="shared" si="0"/>
        <v>[effect:nothing]</v>
      </c>
      <c r="H29" s="60">
        <f t="shared" si="1"/>
        <v>9</v>
      </c>
      <c r="I29" s="60">
        <f t="shared" si="2"/>
        <v>16</v>
      </c>
      <c r="J29" s="60" t="e">
        <f t="shared" si="3"/>
        <v>#VALUE!</v>
      </c>
      <c r="K29" s="60" t="e">
        <f t="shared" si="4"/>
        <v>#VALUE!</v>
      </c>
      <c r="L29" s="60" t="str">
        <f>IFERROR(VLOOKUP(MID(G29,J29,K29-J29),[6]skilldef!$C:$D,2,FALSE),"-") &amp; " / " &amp; IFERROR(VLOOKUP(MID(G29,H29,I29-H29),[6]skilldef!$A:$B,2,FALSE),"-")</f>
        <v>- / 何もしない</v>
      </c>
      <c r="M29" s="60" t="str">
        <f t="shared" si="5"/>
        <v>none</v>
      </c>
      <c r="N29" s="45" t="str">
        <f t="shared" si="6"/>
        <v>none</v>
      </c>
      <c r="O29" s="60" t="e">
        <f t="shared" si="7"/>
        <v>#VALUE!</v>
      </c>
      <c r="P29" s="60">
        <f t="shared" si="8"/>
        <v>4</v>
      </c>
      <c r="Q29" s="60" t="e">
        <f t="shared" si="9"/>
        <v>#VALUE!</v>
      </c>
      <c r="R29" s="60" t="e">
        <f t="shared" si="10"/>
        <v>#VALUE!</v>
      </c>
      <c r="S29" s="60" t="str">
        <f>IFERROR(VLOOKUP(MID(N29,Q29,R29-Q29),[6]skilldef!$C:$D,2,FALSE),"-") &amp; " / " &amp; IFERROR(VLOOKUP(MID(N29,O29,P29-O29),[6]skilldef!$A:$B,2,FALSE),"-")</f>
        <v>- / -</v>
      </c>
      <c r="T29" s="45" t="str">
        <f t="shared" si="11"/>
        <v>none</v>
      </c>
      <c r="U29" s="60" t="e">
        <f t="shared" si="12"/>
        <v>#VALUE!</v>
      </c>
      <c r="V29" s="60">
        <f t="shared" si="13"/>
        <v>4</v>
      </c>
      <c r="W29" s="60" t="e">
        <f t="shared" si="14"/>
        <v>#VALUE!</v>
      </c>
      <c r="X29" s="60" t="e">
        <f t="shared" si="15"/>
        <v>#VALUE!</v>
      </c>
      <c r="Y29" s="60" t="str">
        <f>IFERROR(VLOOKUP(MID(T29,W29,X29-W29),[6]skilldef!$C:$D,2,FALSE),"-") &amp; " / " &amp; IFERROR(VLOOKUP(MID(T29,U29,V29-U29),[6]skilldef!$A:$B,2,FALSE),"-")</f>
        <v>- / -</v>
      </c>
      <c r="Z29" s="47"/>
      <c r="AA29" s="49"/>
      <c r="AB29" s="47"/>
    </row>
    <row r="30" spans="1:28" ht="21" customHeight="1" x14ac:dyDescent="0.15">
      <c r="A30" s="44">
        <v>15031029</v>
      </c>
      <c r="B30" s="44" t="s">
        <v>229</v>
      </c>
      <c r="C30" s="47">
        <v>3</v>
      </c>
      <c r="D30" s="47" t="s">
        <v>127</v>
      </c>
      <c r="E30" s="48" t="s">
        <v>260</v>
      </c>
      <c r="F30" s="48" t="s">
        <v>230</v>
      </c>
      <c r="G30" s="60" t="str">
        <f t="shared" si="0"/>
        <v>[effect:nothing]</v>
      </c>
      <c r="H30" s="60">
        <f t="shared" si="1"/>
        <v>9</v>
      </c>
      <c r="I30" s="60">
        <f t="shared" si="2"/>
        <v>16</v>
      </c>
      <c r="J30" s="60" t="e">
        <f t="shared" si="3"/>
        <v>#VALUE!</v>
      </c>
      <c r="K30" s="60" t="e">
        <f t="shared" si="4"/>
        <v>#VALUE!</v>
      </c>
      <c r="L30" s="60" t="str">
        <f>IFERROR(VLOOKUP(MID(G30,J30,K30-J30),[6]skilldef!$C:$D,2,FALSE),"-") &amp; " / " &amp; IFERROR(VLOOKUP(MID(G30,H30,I30-H30),[6]skilldef!$A:$B,2,FALSE),"-")</f>
        <v>- / 何もしない</v>
      </c>
      <c r="M30" s="60" t="str">
        <f t="shared" si="5"/>
        <v>none</v>
      </c>
      <c r="N30" s="45" t="str">
        <f t="shared" si="6"/>
        <v>none</v>
      </c>
      <c r="O30" s="60" t="e">
        <f t="shared" si="7"/>
        <v>#VALUE!</v>
      </c>
      <c r="P30" s="60">
        <f t="shared" si="8"/>
        <v>4</v>
      </c>
      <c r="Q30" s="60" t="e">
        <f t="shared" si="9"/>
        <v>#VALUE!</v>
      </c>
      <c r="R30" s="60" t="e">
        <f t="shared" si="10"/>
        <v>#VALUE!</v>
      </c>
      <c r="S30" s="60" t="str">
        <f>IFERROR(VLOOKUP(MID(N30,Q30,R30-Q30),[6]skilldef!$C:$D,2,FALSE),"-") &amp; " / " &amp; IFERROR(VLOOKUP(MID(N30,O30,P30-O30),[6]skilldef!$A:$B,2,FALSE),"-")</f>
        <v>- / -</v>
      </c>
      <c r="T30" s="45" t="str">
        <f t="shared" si="11"/>
        <v>none</v>
      </c>
      <c r="U30" s="60" t="e">
        <f t="shared" si="12"/>
        <v>#VALUE!</v>
      </c>
      <c r="V30" s="60">
        <f t="shared" si="13"/>
        <v>4</v>
      </c>
      <c r="W30" s="60" t="e">
        <f t="shared" si="14"/>
        <v>#VALUE!</v>
      </c>
      <c r="X30" s="60" t="e">
        <f t="shared" si="15"/>
        <v>#VALUE!</v>
      </c>
      <c r="Y30" s="60" t="str">
        <f>IFERROR(VLOOKUP(MID(T30,W30,X30-W30),[6]skilldef!$C:$D,2,FALSE),"-") &amp; " / " &amp; IFERROR(VLOOKUP(MID(T30,U30,V30-U30),[6]skilldef!$A:$B,2,FALSE),"-")</f>
        <v>- / -</v>
      </c>
      <c r="Z30" s="47"/>
      <c r="AA30" s="49"/>
      <c r="AB30" s="47"/>
    </row>
    <row r="31" spans="1:28" ht="21" customHeight="1" x14ac:dyDescent="0.15">
      <c r="A31" s="44">
        <v>15031030</v>
      </c>
      <c r="B31" s="44" t="s">
        <v>229</v>
      </c>
      <c r="C31" s="47">
        <v>3</v>
      </c>
      <c r="D31" s="47" t="s">
        <v>127</v>
      </c>
      <c r="E31" s="48" t="s">
        <v>260</v>
      </c>
      <c r="F31" s="48" t="s">
        <v>230</v>
      </c>
      <c r="G31" s="60" t="str">
        <f t="shared" si="0"/>
        <v>[effect:nothing]</v>
      </c>
      <c r="H31" s="60">
        <f t="shared" si="1"/>
        <v>9</v>
      </c>
      <c r="I31" s="60">
        <f t="shared" si="2"/>
        <v>16</v>
      </c>
      <c r="J31" s="60" t="e">
        <f t="shared" si="3"/>
        <v>#VALUE!</v>
      </c>
      <c r="K31" s="60" t="e">
        <f t="shared" si="4"/>
        <v>#VALUE!</v>
      </c>
      <c r="L31" s="60" t="str">
        <f>IFERROR(VLOOKUP(MID(G31,J31,K31-J31),[6]skilldef!$C:$D,2,FALSE),"-") &amp; " / " &amp; IFERROR(VLOOKUP(MID(G31,H31,I31-H31),[6]skilldef!$A:$B,2,FALSE),"-")</f>
        <v>- / 何もしない</v>
      </c>
      <c r="M31" s="60" t="str">
        <f t="shared" si="5"/>
        <v>none</v>
      </c>
      <c r="N31" s="45" t="str">
        <f t="shared" si="6"/>
        <v>none</v>
      </c>
      <c r="O31" s="60" t="e">
        <f t="shared" si="7"/>
        <v>#VALUE!</v>
      </c>
      <c r="P31" s="60">
        <f t="shared" si="8"/>
        <v>4</v>
      </c>
      <c r="Q31" s="60" t="e">
        <f t="shared" si="9"/>
        <v>#VALUE!</v>
      </c>
      <c r="R31" s="60" t="e">
        <f t="shared" si="10"/>
        <v>#VALUE!</v>
      </c>
      <c r="S31" s="60" t="str">
        <f>IFERROR(VLOOKUP(MID(N31,Q31,R31-Q31),[6]skilldef!$C:$D,2,FALSE),"-") &amp; " / " &amp; IFERROR(VLOOKUP(MID(N31,O31,P31-O31),[6]skilldef!$A:$B,2,FALSE),"-")</f>
        <v>- / -</v>
      </c>
      <c r="T31" s="45" t="str">
        <f t="shared" si="11"/>
        <v>none</v>
      </c>
      <c r="U31" s="60" t="e">
        <f t="shared" si="12"/>
        <v>#VALUE!</v>
      </c>
      <c r="V31" s="60">
        <f t="shared" si="13"/>
        <v>4</v>
      </c>
      <c r="W31" s="60" t="e">
        <f t="shared" si="14"/>
        <v>#VALUE!</v>
      </c>
      <c r="X31" s="60" t="e">
        <f t="shared" si="15"/>
        <v>#VALUE!</v>
      </c>
      <c r="Y31" s="60" t="str">
        <f>IFERROR(VLOOKUP(MID(T31,W31,X31-W31),[6]skilldef!$C:$D,2,FALSE),"-") &amp; " / " &amp; IFERROR(VLOOKUP(MID(T31,U31,V31-U31),[6]skilldef!$A:$B,2,FALSE),"-")</f>
        <v>- / -</v>
      </c>
      <c r="Z31" s="47"/>
      <c r="AA31" s="49"/>
      <c r="AB31" s="47"/>
    </row>
    <row r="32" spans="1:28" ht="21" customHeight="1" x14ac:dyDescent="0.15">
      <c r="A32" s="44">
        <v>15031031</v>
      </c>
      <c r="B32" s="44" t="s">
        <v>341</v>
      </c>
      <c r="C32" s="47">
        <v>3</v>
      </c>
      <c r="D32" s="47" t="s">
        <v>127</v>
      </c>
      <c r="E32" s="137" t="s">
        <v>342</v>
      </c>
      <c r="F32" s="48" t="s">
        <v>343</v>
      </c>
      <c r="G32" s="60" t="str">
        <f t="shared" si="0"/>
        <v>[effect:damage_anti_abnormal, target:unit_all, target_effect01:hungup, val1:0.3, val2:0.1]</v>
      </c>
      <c r="H32" s="60">
        <f t="shared" si="1"/>
        <v>9</v>
      </c>
      <c r="I32" s="60">
        <f t="shared" si="2"/>
        <v>29</v>
      </c>
      <c r="J32" s="60">
        <f t="shared" si="3"/>
        <v>38</v>
      </c>
      <c r="K32" s="60">
        <f t="shared" si="4"/>
        <v>46</v>
      </c>
      <c r="L32" s="60" t="str">
        <f>IFERROR(VLOOKUP(MID(G32,J32,K32-J32),[6]skilldef!$C:$D,2,FALSE),"-") &amp; " / " &amp; IFERROR(VLOOKUP(MID(G32,H32,I32-H32),[6]skilldef!$A:$B,2,FALSE),"-")</f>
        <v>味方全体に / -</v>
      </c>
      <c r="M32" s="60" t="str">
        <f t="shared" si="5"/>
        <v>none</v>
      </c>
      <c r="N32" s="45" t="str">
        <f>IFERROR(LEFT(M32,FIND("],",M32)+#REF!),M32)</f>
        <v>none</v>
      </c>
      <c r="O32" s="60" t="e">
        <f t="shared" si="7"/>
        <v>#VALUE!</v>
      </c>
      <c r="P32" s="60">
        <f t="shared" si="8"/>
        <v>4</v>
      </c>
      <c r="Q32" s="60" t="e">
        <f t="shared" si="9"/>
        <v>#VALUE!</v>
      </c>
      <c r="R32" s="60" t="e">
        <f t="shared" si="10"/>
        <v>#VALUE!</v>
      </c>
      <c r="S32" s="60" t="str">
        <f>IFERROR(VLOOKUP(MID(N32,Q32,R32-Q32),[6]skilldef!$C:$D,2,FALSE),"-") &amp; " / " &amp; IFERROR(VLOOKUP(MID(N32,O32,P32-O32),[6]skilldef!$A:$B,2,FALSE),"-")</f>
        <v>- / -</v>
      </c>
      <c r="T32" s="45" t="str">
        <f t="shared" si="11"/>
        <v>none</v>
      </c>
      <c r="U32" s="60" t="e">
        <f t="shared" si="12"/>
        <v>#VALUE!</v>
      </c>
      <c r="V32" s="60">
        <f t="shared" si="13"/>
        <v>4</v>
      </c>
      <c r="W32" s="60" t="e">
        <f t="shared" si="14"/>
        <v>#VALUE!</v>
      </c>
      <c r="X32" s="60" t="e">
        <f t="shared" si="15"/>
        <v>#VALUE!</v>
      </c>
      <c r="Y32" s="60" t="str">
        <f>IFERROR(VLOOKUP(MID(T32,W32,X32-W32),[6]skilldef!$C:$D,2,FALSE),"-") &amp; " / " &amp; IFERROR(VLOOKUP(MID(T32,U32,V32-U32),[6]skilldef!$A:$B,2,FALSE),"-")</f>
        <v>- / -</v>
      </c>
      <c r="Z32" s="47"/>
      <c r="AA32" s="49"/>
      <c r="AB32" s="47"/>
    </row>
    <row r="33" spans="1:28" ht="21" customHeight="1" x14ac:dyDescent="0.15">
      <c r="A33" s="44">
        <v>15031032</v>
      </c>
      <c r="B33" s="44" t="s">
        <v>376</v>
      </c>
      <c r="C33" s="47">
        <v>3</v>
      </c>
      <c r="D33" s="47" t="s">
        <v>127</v>
      </c>
      <c r="E33" s="48" t="s">
        <v>349</v>
      </c>
      <c r="F33" s="48" t="s">
        <v>377</v>
      </c>
      <c r="G33" s="60" t="str">
        <f t="shared" si="0"/>
        <v>[effect:hungup, target:unit_all, turn:5, rate:1, animation:hungup01]</v>
      </c>
      <c r="H33" s="60">
        <f t="shared" si="1"/>
        <v>9</v>
      </c>
      <c r="I33" s="60">
        <f t="shared" si="2"/>
        <v>15</v>
      </c>
      <c r="J33" s="60">
        <f t="shared" si="3"/>
        <v>24</v>
      </c>
      <c r="K33" s="60">
        <f t="shared" si="4"/>
        <v>32</v>
      </c>
      <c r="L33" s="60" t="str">
        <f>IFERROR(VLOOKUP(MID(G33,J33,K33-J33),[6]skilldef!$C:$D,2,FALSE),"-") &amp; " / " &amp; IFERROR(VLOOKUP(MID(G33,H33,I33-H33),[6]skilldef!$A:$B,2,FALSE),"-")</f>
        <v>味方全体に / ハングアップ</v>
      </c>
      <c r="M33" s="60" t="str">
        <f t="shared" si="5"/>
        <v>none</v>
      </c>
      <c r="N33" s="45" t="str">
        <f>IFERROR(LEFT(M33,FIND("],",M33)+#REF!),M33)</f>
        <v>none</v>
      </c>
      <c r="O33" s="60" t="e">
        <f t="shared" si="7"/>
        <v>#VALUE!</v>
      </c>
      <c r="P33" s="60">
        <f t="shared" si="8"/>
        <v>4</v>
      </c>
      <c r="Q33" s="60" t="e">
        <f t="shared" si="9"/>
        <v>#VALUE!</v>
      </c>
      <c r="R33" s="60" t="e">
        <f t="shared" si="10"/>
        <v>#VALUE!</v>
      </c>
      <c r="S33" s="60" t="str">
        <f>IFERROR(VLOOKUP(MID(N33,Q33,R33-Q33),[6]skilldef!$C:$D,2,FALSE),"-") &amp; " / " &amp; IFERROR(VLOOKUP(MID(N33,O33,P33-O33),[6]skilldef!$A:$B,2,FALSE),"-")</f>
        <v>- / -</v>
      </c>
      <c r="T33" s="45" t="str">
        <f t="shared" si="11"/>
        <v>none</v>
      </c>
      <c r="U33" s="60" t="e">
        <f t="shared" si="12"/>
        <v>#VALUE!</v>
      </c>
      <c r="V33" s="60">
        <f t="shared" si="13"/>
        <v>4</v>
      </c>
      <c r="W33" s="60" t="e">
        <f t="shared" si="14"/>
        <v>#VALUE!</v>
      </c>
      <c r="X33" s="60" t="e">
        <f t="shared" si="15"/>
        <v>#VALUE!</v>
      </c>
      <c r="Y33" s="60" t="str">
        <f>IFERROR(VLOOKUP(MID(T33,W33,X33-W33),[6]skilldef!$C:$D,2,FALSE),"-") &amp; " / " &amp; IFERROR(VLOOKUP(MID(T33,U33,V33-U33),[6]skilldef!$A:$B,2,FALSE),"-")</f>
        <v>- / -</v>
      </c>
      <c r="Z33" s="47"/>
      <c r="AA33" s="49"/>
      <c r="AB33" s="47"/>
    </row>
    <row r="34" spans="1:28" ht="21" customHeight="1" x14ac:dyDescent="0.15">
      <c r="A34" s="44">
        <v>15031033</v>
      </c>
      <c r="B34" s="44" t="s">
        <v>229</v>
      </c>
      <c r="C34" s="47">
        <v>3</v>
      </c>
      <c r="D34" s="47" t="s">
        <v>127</v>
      </c>
      <c r="E34" s="48" t="s">
        <v>268</v>
      </c>
      <c r="F34" s="48" t="s">
        <v>230</v>
      </c>
      <c r="G34" s="60" t="str">
        <f t="shared" si="0"/>
        <v>[effect:nothing]</v>
      </c>
      <c r="H34" s="60">
        <f t="shared" si="1"/>
        <v>9</v>
      </c>
      <c r="I34" s="60">
        <f t="shared" si="2"/>
        <v>16</v>
      </c>
      <c r="J34" s="60" t="e">
        <f t="shared" si="3"/>
        <v>#VALUE!</v>
      </c>
      <c r="K34" s="60" t="e">
        <f t="shared" si="4"/>
        <v>#VALUE!</v>
      </c>
      <c r="L34" s="60" t="str">
        <f>IFERROR(VLOOKUP(MID(G34,J34,K34-J34),[6]skilldef!$C:$D,2,FALSE),"-") &amp; " / " &amp; IFERROR(VLOOKUP(MID(G34,H34,I34-H34),[6]skilldef!$A:$B,2,FALSE),"-")</f>
        <v>- / 何もしない</v>
      </c>
      <c r="M34" s="60" t="str">
        <f t="shared" si="5"/>
        <v>none</v>
      </c>
      <c r="N34" s="45" t="str">
        <f>IFERROR(LEFT(M34,FIND("],",M34)+#REF!),M34)</f>
        <v>none</v>
      </c>
      <c r="O34" s="60" t="e">
        <f t="shared" si="7"/>
        <v>#VALUE!</v>
      </c>
      <c r="P34" s="60">
        <f t="shared" si="8"/>
        <v>4</v>
      </c>
      <c r="Q34" s="60" t="e">
        <f t="shared" si="9"/>
        <v>#VALUE!</v>
      </c>
      <c r="R34" s="60" t="e">
        <f t="shared" si="10"/>
        <v>#VALUE!</v>
      </c>
      <c r="S34" s="60" t="str">
        <f>IFERROR(VLOOKUP(MID(N34,Q34,R34-Q34),[6]skilldef!$C:$D,2,FALSE),"-") &amp; " / " &amp; IFERROR(VLOOKUP(MID(N34,O34,P34-O34),[6]skilldef!$A:$B,2,FALSE),"-")</f>
        <v>- / -</v>
      </c>
      <c r="T34" s="45" t="str">
        <f t="shared" si="11"/>
        <v>none</v>
      </c>
      <c r="U34" s="60" t="e">
        <f t="shared" si="12"/>
        <v>#VALUE!</v>
      </c>
      <c r="V34" s="60">
        <f t="shared" si="13"/>
        <v>4</v>
      </c>
      <c r="W34" s="60" t="e">
        <f t="shared" si="14"/>
        <v>#VALUE!</v>
      </c>
      <c r="X34" s="60" t="e">
        <f t="shared" si="15"/>
        <v>#VALUE!</v>
      </c>
      <c r="Y34" s="60" t="str">
        <f>IFERROR(VLOOKUP(MID(T34,W34,X34-W34),[6]skilldef!$C:$D,2,FALSE),"-") &amp; " / " &amp; IFERROR(VLOOKUP(MID(T34,U34,V34-U34),[6]skilldef!$A:$B,2,FALSE),"-")</f>
        <v>- / -</v>
      </c>
      <c r="Z34" s="47"/>
      <c r="AA34" s="49"/>
      <c r="AB34" s="47"/>
    </row>
    <row r="35" spans="1:28" ht="21" customHeight="1" x14ac:dyDescent="0.15">
      <c r="A35" s="44">
        <v>15031034</v>
      </c>
      <c r="B35" s="44" t="s">
        <v>229</v>
      </c>
      <c r="C35" s="47">
        <v>3</v>
      </c>
      <c r="D35" s="47" t="s">
        <v>127</v>
      </c>
      <c r="E35" s="48" t="s">
        <v>268</v>
      </c>
      <c r="F35" s="48" t="s">
        <v>230</v>
      </c>
      <c r="G35" s="60" t="str">
        <f t="shared" si="0"/>
        <v>[effect:nothing]</v>
      </c>
      <c r="H35" s="60">
        <f t="shared" si="1"/>
        <v>9</v>
      </c>
      <c r="I35" s="60">
        <f t="shared" si="2"/>
        <v>16</v>
      </c>
      <c r="J35" s="60" t="e">
        <f t="shared" si="3"/>
        <v>#VALUE!</v>
      </c>
      <c r="K35" s="60" t="e">
        <f t="shared" si="4"/>
        <v>#VALUE!</v>
      </c>
      <c r="L35" s="60" t="str">
        <f>IFERROR(VLOOKUP(MID(G35,J35,K35-J35),[6]skilldef!$C:$D,2,FALSE),"-") &amp; " / " &amp; IFERROR(VLOOKUP(MID(G35,H35,I35-H35),[6]skilldef!$A:$B,2,FALSE),"-")</f>
        <v>- / 何もしない</v>
      </c>
      <c r="M35" s="60" t="str">
        <f t="shared" si="5"/>
        <v>none</v>
      </c>
      <c r="N35" s="45" t="str">
        <f>IFERROR(LEFT(M35,FIND("],",M35)+#REF!),M35)</f>
        <v>none</v>
      </c>
      <c r="O35" s="60" t="e">
        <f t="shared" si="7"/>
        <v>#VALUE!</v>
      </c>
      <c r="P35" s="60">
        <f t="shared" si="8"/>
        <v>4</v>
      </c>
      <c r="Q35" s="60" t="e">
        <f t="shared" si="9"/>
        <v>#VALUE!</v>
      </c>
      <c r="R35" s="60" t="e">
        <f t="shared" si="10"/>
        <v>#VALUE!</v>
      </c>
      <c r="S35" s="60" t="str">
        <f>IFERROR(VLOOKUP(MID(N35,Q35,R35-Q35),[6]skilldef!$C:$D,2,FALSE),"-") &amp; " / " &amp; IFERROR(VLOOKUP(MID(N35,O35,P35-O35),[6]skilldef!$A:$B,2,FALSE),"-")</f>
        <v>- / -</v>
      </c>
      <c r="T35" s="45" t="str">
        <f t="shared" si="11"/>
        <v>none</v>
      </c>
      <c r="U35" s="60" t="e">
        <f t="shared" si="12"/>
        <v>#VALUE!</v>
      </c>
      <c r="V35" s="60">
        <f t="shared" si="13"/>
        <v>4</v>
      </c>
      <c r="W35" s="60" t="e">
        <f t="shared" si="14"/>
        <v>#VALUE!</v>
      </c>
      <c r="X35" s="60" t="e">
        <f t="shared" si="15"/>
        <v>#VALUE!</v>
      </c>
      <c r="Y35" s="60" t="str">
        <f>IFERROR(VLOOKUP(MID(T35,W35,X35-W35),[6]skilldef!$C:$D,2,FALSE),"-") &amp; " / " &amp; IFERROR(VLOOKUP(MID(T35,U35,V35-U35),[6]skilldef!$A:$B,2,FALSE),"-")</f>
        <v>- / -</v>
      </c>
      <c r="Z35" s="47"/>
      <c r="AA35" s="49"/>
      <c r="AB35" s="47"/>
    </row>
    <row r="36" spans="1:28" ht="21" customHeight="1" x14ac:dyDescent="0.15">
      <c r="A36" s="44">
        <v>15031035</v>
      </c>
      <c r="B36" s="44" t="s">
        <v>229</v>
      </c>
      <c r="C36" s="47">
        <v>3</v>
      </c>
      <c r="D36" s="47" t="s">
        <v>127</v>
      </c>
      <c r="E36" s="48" t="s">
        <v>268</v>
      </c>
      <c r="F36" s="48" t="s">
        <v>230</v>
      </c>
      <c r="G36" s="60" t="str">
        <f t="shared" si="0"/>
        <v>[effect:nothing]</v>
      </c>
      <c r="H36" s="60">
        <f t="shared" si="1"/>
        <v>9</v>
      </c>
      <c r="I36" s="60">
        <f t="shared" si="2"/>
        <v>16</v>
      </c>
      <c r="J36" s="60" t="e">
        <f t="shared" si="3"/>
        <v>#VALUE!</v>
      </c>
      <c r="K36" s="60" t="e">
        <f t="shared" si="4"/>
        <v>#VALUE!</v>
      </c>
      <c r="L36" s="60" t="str">
        <f>IFERROR(VLOOKUP(MID(G36,J36,K36-J36),[6]skilldef!$C:$D,2,FALSE),"-") &amp; " / " &amp; IFERROR(VLOOKUP(MID(G36,H36,I36-H36),[6]skilldef!$A:$B,2,FALSE),"-")</f>
        <v>- / 何もしない</v>
      </c>
      <c r="M36" s="60" t="str">
        <f t="shared" si="5"/>
        <v>none</v>
      </c>
      <c r="N36" s="45" t="str">
        <f>IFERROR(LEFT(M36,FIND("],",M36)+#REF!),M36)</f>
        <v>none</v>
      </c>
      <c r="O36" s="60" t="e">
        <f t="shared" si="7"/>
        <v>#VALUE!</v>
      </c>
      <c r="P36" s="60">
        <f t="shared" si="8"/>
        <v>4</v>
      </c>
      <c r="Q36" s="60" t="e">
        <f t="shared" si="9"/>
        <v>#VALUE!</v>
      </c>
      <c r="R36" s="60" t="e">
        <f t="shared" si="10"/>
        <v>#VALUE!</v>
      </c>
      <c r="S36" s="60" t="str">
        <f>IFERROR(VLOOKUP(MID(N36,Q36,R36-Q36),[6]skilldef!$C:$D,2,FALSE),"-") &amp; " / " &amp; IFERROR(VLOOKUP(MID(N36,O36,P36-O36),[6]skilldef!$A:$B,2,FALSE),"-")</f>
        <v>- / -</v>
      </c>
      <c r="T36" s="45" t="str">
        <f t="shared" si="11"/>
        <v>none</v>
      </c>
      <c r="U36" s="60" t="e">
        <f t="shared" si="12"/>
        <v>#VALUE!</v>
      </c>
      <c r="V36" s="60">
        <f t="shared" si="13"/>
        <v>4</v>
      </c>
      <c r="W36" s="60" t="e">
        <f t="shared" si="14"/>
        <v>#VALUE!</v>
      </c>
      <c r="X36" s="60" t="e">
        <f t="shared" si="15"/>
        <v>#VALUE!</v>
      </c>
      <c r="Y36" s="60" t="str">
        <f>IFERROR(VLOOKUP(MID(T36,W36,X36-W36),[6]skilldef!$C:$D,2,FALSE),"-") &amp; " / " &amp; IFERROR(VLOOKUP(MID(T36,U36,V36-U36),[6]skilldef!$A:$B,2,FALSE),"-")</f>
        <v>- / -</v>
      </c>
      <c r="Z36" s="47"/>
      <c r="AA36" s="49"/>
      <c r="AB36" s="47"/>
    </row>
    <row r="37" spans="1:28" ht="21" customHeight="1" x14ac:dyDescent="0.15">
      <c r="A37" s="44">
        <v>15031036</v>
      </c>
      <c r="B37" s="44" t="s">
        <v>331</v>
      </c>
      <c r="C37" s="47">
        <v>3</v>
      </c>
      <c r="D37" s="47" t="s">
        <v>127</v>
      </c>
      <c r="E37" s="137" t="s">
        <v>332</v>
      </c>
      <c r="F37" s="48" t="s">
        <v>333</v>
      </c>
      <c r="G37" s="60" t="str">
        <f t="shared" si="0"/>
        <v>[effect:remove_enhancement, target:unit_all, target_effect:all, target_type:debuff, count:-1, animation:frozen_wave]</v>
      </c>
      <c r="H37" s="60">
        <f t="shared" si="1"/>
        <v>9</v>
      </c>
      <c r="I37" s="60">
        <f t="shared" si="2"/>
        <v>27</v>
      </c>
      <c r="J37" s="60">
        <f t="shared" si="3"/>
        <v>36</v>
      </c>
      <c r="K37" s="60">
        <f t="shared" si="4"/>
        <v>44</v>
      </c>
      <c r="L37" s="60" t="str">
        <f>IFERROR(VLOOKUP(MID(G37,J37,K37-J37),[6]skilldef!$C:$D,2,FALSE),"-") &amp; " / " &amp; IFERROR(VLOOKUP(MID(G37,H37,I37-H37),[6]skilldef!$A:$B,2,FALSE),"-")</f>
        <v>味方全体に / -</v>
      </c>
      <c r="M37" s="60" t="str">
        <f t="shared" si="5"/>
        <v>none</v>
      </c>
      <c r="N37" s="45" t="str">
        <f>IFERROR(LEFT(M37,FIND("],",M37)+#REF!),M37)</f>
        <v>none</v>
      </c>
      <c r="O37" s="60" t="e">
        <f t="shared" si="7"/>
        <v>#VALUE!</v>
      </c>
      <c r="P37" s="60">
        <f t="shared" si="8"/>
        <v>4</v>
      </c>
      <c r="Q37" s="60" t="e">
        <f t="shared" si="9"/>
        <v>#VALUE!</v>
      </c>
      <c r="R37" s="60" t="e">
        <f t="shared" si="10"/>
        <v>#VALUE!</v>
      </c>
      <c r="S37" s="60" t="str">
        <f>IFERROR(VLOOKUP(MID(N37,Q37,R37-Q37),[6]skilldef!$C:$D,2,FALSE),"-") &amp; " / " &amp; IFERROR(VLOOKUP(MID(N37,O37,P37-O37),[6]skilldef!$A:$B,2,FALSE),"-")</f>
        <v>- / -</v>
      </c>
      <c r="T37" s="45" t="str">
        <f t="shared" si="11"/>
        <v>none</v>
      </c>
      <c r="U37" s="60" t="e">
        <f t="shared" si="12"/>
        <v>#VALUE!</v>
      </c>
      <c r="V37" s="60">
        <f t="shared" si="13"/>
        <v>4</v>
      </c>
      <c r="W37" s="60" t="e">
        <f t="shared" si="14"/>
        <v>#VALUE!</v>
      </c>
      <c r="X37" s="60" t="e">
        <f t="shared" si="15"/>
        <v>#VALUE!</v>
      </c>
      <c r="Y37" s="60" t="str">
        <f>IFERROR(VLOOKUP(MID(T37,W37,X37-W37),[6]skilldef!$C:$D,2,FALSE),"-") &amp; " / " &amp; IFERROR(VLOOKUP(MID(T37,U37,V37-U37),[6]skilldef!$A:$B,2,FALSE),"-")</f>
        <v>- / -</v>
      </c>
      <c r="Z37" s="47"/>
      <c r="AA37" s="49"/>
      <c r="AB37" s="47"/>
    </row>
    <row r="38" spans="1:28" ht="21" customHeight="1" x14ac:dyDescent="0.15">
      <c r="A38" s="44">
        <v>15031037</v>
      </c>
      <c r="B38" s="44" t="s">
        <v>229</v>
      </c>
      <c r="C38" s="47">
        <v>3</v>
      </c>
      <c r="D38" s="47" t="s">
        <v>127</v>
      </c>
      <c r="E38" s="48" t="s">
        <v>269</v>
      </c>
      <c r="F38" s="48" t="s">
        <v>230</v>
      </c>
      <c r="G38" s="60" t="str">
        <f t="shared" si="0"/>
        <v>[effect:nothing]</v>
      </c>
      <c r="H38" s="60">
        <f t="shared" si="1"/>
        <v>9</v>
      </c>
      <c r="I38" s="60">
        <f t="shared" si="2"/>
        <v>16</v>
      </c>
      <c r="J38" s="60" t="e">
        <f t="shared" si="3"/>
        <v>#VALUE!</v>
      </c>
      <c r="K38" s="60" t="e">
        <f t="shared" si="4"/>
        <v>#VALUE!</v>
      </c>
      <c r="L38" s="60" t="str">
        <f>IFERROR(VLOOKUP(MID(G38,J38,K38-J38),[6]skilldef!$C:$D,2,FALSE),"-") &amp; " / " &amp; IFERROR(VLOOKUP(MID(G38,H38,I38-H38),[6]skilldef!$A:$B,2,FALSE),"-")</f>
        <v>- / 何もしない</v>
      </c>
      <c r="M38" s="60" t="str">
        <f t="shared" si="5"/>
        <v>none</v>
      </c>
      <c r="N38" s="45" t="str">
        <f>IFERROR(LEFT(M38,FIND("],",M38)+#REF!),M38)</f>
        <v>none</v>
      </c>
      <c r="O38" s="60" t="e">
        <f t="shared" si="7"/>
        <v>#VALUE!</v>
      </c>
      <c r="P38" s="60">
        <f t="shared" si="8"/>
        <v>4</v>
      </c>
      <c r="Q38" s="60" t="e">
        <f t="shared" si="9"/>
        <v>#VALUE!</v>
      </c>
      <c r="R38" s="60" t="e">
        <f t="shared" si="10"/>
        <v>#VALUE!</v>
      </c>
      <c r="S38" s="60" t="str">
        <f>IFERROR(VLOOKUP(MID(N38,Q38,R38-Q38),[6]skilldef!$C:$D,2,FALSE),"-") &amp; " / " &amp; IFERROR(VLOOKUP(MID(N38,O38,P38-O38),[6]skilldef!$A:$B,2,FALSE),"-")</f>
        <v>- / -</v>
      </c>
      <c r="T38" s="45" t="str">
        <f t="shared" si="11"/>
        <v>none</v>
      </c>
      <c r="U38" s="60" t="e">
        <f t="shared" si="12"/>
        <v>#VALUE!</v>
      </c>
      <c r="V38" s="60">
        <f t="shared" si="13"/>
        <v>4</v>
      </c>
      <c r="W38" s="60" t="e">
        <f t="shared" si="14"/>
        <v>#VALUE!</v>
      </c>
      <c r="X38" s="60" t="e">
        <f t="shared" si="15"/>
        <v>#VALUE!</v>
      </c>
      <c r="Y38" s="60" t="str">
        <f>IFERROR(VLOOKUP(MID(T38,W38,X38-W38),[6]skilldef!$C:$D,2,FALSE),"-") &amp; " / " &amp; IFERROR(VLOOKUP(MID(T38,U38,V38-U38),[6]skilldef!$A:$B,2,FALSE),"-")</f>
        <v>- / -</v>
      </c>
      <c r="Z38" s="47"/>
      <c r="AA38" s="49"/>
      <c r="AB38" s="47"/>
    </row>
    <row r="39" spans="1:28" ht="21" customHeight="1" x14ac:dyDescent="0.15">
      <c r="A39" s="44">
        <v>15031038</v>
      </c>
      <c r="B39" s="44" t="s">
        <v>229</v>
      </c>
      <c r="C39" s="47">
        <v>3</v>
      </c>
      <c r="D39" s="47" t="s">
        <v>127</v>
      </c>
      <c r="E39" s="48" t="s">
        <v>269</v>
      </c>
      <c r="F39" s="48" t="s">
        <v>230</v>
      </c>
      <c r="G39" s="60" t="str">
        <f t="shared" si="0"/>
        <v>[effect:nothing]</v>
      </c>
      <c r="H39" s="60">
        <f t="shared" si="1"/>
        <v>9</v>
      </c>
      <c r="I39" s="60">
        <f t="shared" si="2"/>
        <v>16</v>
      </c>
      <c r="J39" s="60" t="e">
        <f t="shared" si="3"/>
        <v>#VALUE!</v>
      </c>
      <c r="K39" s="60" t="e">
        <f t="shared" si="4"/>
        <v>#VALUE!</v>
      </c>
      <c r="L39" s="60" t="str">
        <f>IFERROR(VLOOKUP(MID(G39,J39,K39-J39),[6]skilldef!$C:$D,2,FALSE),"-") &amp; " / " &amp; IFERROR(VLOOKUP(MID(G39,H39,I39-H39),[6]skilldef!$A:$B,2,FALSE),"-")</f>
        <v>- / 何もしない</v>
      </c>
      <c r="M39" s="60" t="str">
        <f t="shared" si="5"/>
        <v>none</v>
      </c>
      <c r="N39" s="45" t="str">
        <f>IFERROR(LEFT(M39,FIND("],",M39)+#REF!),M39)</f>
        <v>none</v>
      </c>
      <c r="O39" s="60" t="e">
        <f t="shared" si="7"/>
        <v>#VALUE!</v>
      </c>
      <c r="P39" s="60">
        <f t="shared" si="8"/>
        <v>4</v>
      </c>
      <c r="Q39" s="60" t="e">
        <f t="shared" si="9"/>
        <v>#VALUE!</v>
      </c>
      <c r="R39" s="60" t="e">
        <f t="shared" si="10"/>
        <v>#VALUE!</v>
      </c>
      <c r="S39" s="60" t="str">
        <f>IFERROR(VLOOKUP(MID(N39,Q39,R39-Q39),[6]skilldef!$C:$D,2,FALSE),"-") &amp; " / " &amp; IFERROR(VLOOKUP(MID(N39,O39,P39-O39),[6]skilldef!$A:$B,2,FALSE),"-")</f>
        <v>- / -</v>
      </c>
      <c r="T39" s="45" t="str">
        <f t="shared" si="11"/>
        <v>none</v>
      </c>
      <c r="U39" s="60" t="e">
        <f t="shared" si="12"/>
        <v>#VALUE!</v>
      </c>
      <c r="V39" s="60">
        <f t="shared" si="13"/>
        <v>4</v>
      </c>
      <c r="W39" s="60" t="e">
        <f t="shared" si="14"/>
        <v>#VALUE!</v>
      </c>
      <c r="X39" s="60" t="e">
        <f t="shared" si="15"/>
        <v>#VALUE!</v>
      </c>
      <c r="Y39" s="60" t="str">
        <f>IFERROR(VLOOKUP(MID(T39,W39,X39-W39),[6]skilldef!$C:$D,2,FALSE),"-") &amp; " / " &amp; IFERROR(VLOOKUP(MID(T39,U39,V39-U39),[6]skilldef!$A:$B,2,FALSE),"-")</f>
        <v>- / -</v>
      </c>
      <c r="Z39" s="47"/>
      <c r="AA39" s="49"/>
      <c r="AB39" s="47"/>
    </row>
    <row r="40" spans="1:28" ht="21" customHeight="1" x14ac:dyDescent="0.15">
      <c r="A40" s="44">
        <v>15031039</v>
      </c>
      <c r="B40" s="44" t="s">
        <v>229</v>
      </c>
      <c r="C40" s="47">
        <v>3</v>
      </c>
      <c r="D40" s="47" t="s">
        <v>127</v>
      </c>
      <c r="E40" s="48" t="s">
        <v>269</v>
      </c>
      <c r="F40" s="48" t="s">
        <v>230</v>
      </c>
      <c r="G40" s="60" t="str">
        <f t="shared" si="0"/>
        <v>[effect:nothing]</v>
      </c>
      <c r="H40" s="60">
        <f t="shared" si="1"/>
        <v>9</v>
      </c>
      <c r="I40" s="60">
        <f t="shared" si="2"/>
        <v>16</v>
      </c>
      <c r="J40" s="60" t="e">
        <f t="shared" si="3"/>
        <v>#VALUE!</v>
      </c>
      <c r="K40" s="60" t="e">
        <f t="shared" si="4"/>
        <v>#VALUE!</v>
      </c>
      <c r="L40" s="60" t="str">
        <f>IFERROR(VLOOKUP(MID(G40,J40,K40-J40),[6]skilldef!$C:$D,2,FALSE),"-") &amp; " / " &amp; IFERROR(VLOOKUP(MID(G40,H40,I40-H40),[6]skilldef!$A:$B,2,FALSE),"-")</f>
        <v>- / 何もしない</v>
      </c>
      <c r="M40" s="60" t="str">
        <f t="shared" si="5"/>
        <v>none</v>
      </c>
      <c r="N40" s="45" t="str">
        <f>IFERROR(LEFT(M40,FIND("],",M40)+#REF!),M40)</f>
        <v>none</v>
      </c>
      <c r="O40" s="60" t="e">
        <f t="shared" si="7"/>
        <v>#VALUE!</v>
      </c>
      <c r="P40" s="60">
        <f t="shared" si="8"/>
        <v>4</v>
      </c>
      <c r="Q40" s="60" t="e">
        <f t="shared" si="9"/>
        <v>#VALUE!</v>
      </c>
      <c r="R40" s="60" t="e">
        <f t="shared" si="10"/>
        <v>#VALUE!</v>
      </c>
      <c r="S40" s="60" t="str">
        <f>IFERROR(VLOOKUP(MID(N40,Q40,R40-Q40),[6]skilldef!$C:$D,2,FALSE),"-") &amp; " / " &amp; IFERROR(VLOOKUP(MID(N40,O40,P40-O40),[6]skilldef!$A:$B,2,FALSE),"-")</f>
        <v>- / -</v>
      </c>
      <c r="T40" s="45" t="str">
        <f t="shared" si="11"/>
        <v>none</v>
      </c>
      <c r="U40" s="60" t="e">
        <f t="shared" si="12"/>
        <v>#VALUE!</v>
      </c>
      <c r="V40" s="60">
        <f t="shared" si="13"/>
        <v>4</v>
      </c>
      <c r="W40" s="60" t="e">
        <f t="shared" si="14"/>
        <v>#VALUE!</v>
      </c>
      <c r="X40" s="60" t="e">
        <f t="shared" si="15"/>
        <v>#VALUE!</v>
      </c>
      <c r="Y40" s="60" t="str">
        <f>IFERROR(VLOOKUP(MID(T40,W40,X40-W40),[6]skilldef!$C:$D,2,FALSE),"-") &amp; " / " &amp; IFERROR(VLOOKUP(MID(T40,U40,V40-U40),[6]skilldef!$A:$B,2,FALSE),"-")</f>
        <v>- / -</v>
      </c>
      <c r="Z40" s="47"/>
      <c r="AA40" s="49"/>
      <c r="AB40" s="47"/>
    </row>
    <row r="41" spans="1:28" ht="21" customHeight="1" x14ac:dyDescent="0.15">
      <c r="A41" s="44">
        <v>15031040</v>
      </c>
      <c r="B41" s="44" t="s">
        <v>229</v>
      </c>
      <c r="C41" s="47">
        <v>3</v>
      </c>
      <c r="D41" s="47" t="s">
        <v>127</v>
      </c>
      <c r="E41" s="48" t="s">
        <v>269</v>
      </c>
      <c r="F41" s="48" t="s">
        <v>230</v>
      </c>
      <c r="G41" s="60" t="str">
        <f t="shared" si="0"/>
        <v>[effect:nothing]</v>
      </c>
      <c r="H41" s="60">
        <f t="shared" si="1"/>
        <v>9</v>
      </c>
      <c r="I41" s="60">
        <f t="shared" si="2"/>
        <v>16</v>
      </c>
      <c r="J41" s="60" t="e">
        <f t="shared" si="3"/>
        <v>#VALUE!</v>
      </c>
      <c r="K41" s="60" t="e">
        <f t="shared" si="4"/>
        <v>#VALUE!</v>
      </c>
      <c r="L41" s="60" t="str">
        <f>IFERROR(VLOOKUP(MID(G41,J41,K41-J41),[6]skilldef!$C:$D,2,FALSE),"-") &amp; " / " &amp; IFERROR(VLOOKUP(MID(G41,H41,I41-H41),[6]skilldef!$A:$B,2,FALSE),"-")</f>
        <v>- / 何もしない</v>
      </c>
      <c r="M41" s="60" t="str">
        <f t="shared" si="5"/>
        <v>none</v>
      </c>
      <c r="N41" s="45" t="str">
        <f>IFERROR(LEFT(M41,FIND("],",M41)+#REF!),M41)</f>
        <v>none</v>
      </c>
      <c r="O41" s="60" t="e">
        <f t="shared" si="7"/>
        <v>#VALUE!</v>
      </c>
      <c r="P41" s="60">
        <f t="shared" si="8"/>
        <v>4</v>
      </c>
      <c r="Q41" s="60" t="e">
        <f t="shared" si="9"/>
        <v>#VALUE!</v>
      </c>
      <c r="R41" s="60" t="e">
        <f t="shared" si="10"/>
        <v>#VALUE!</v>
      </c>
      <c r="S41" s="60" t="str">
        <f>IFERROR(VLOOKUP(MID(N41,Q41,R41-Q41),[6]skilldef!$C:$D,2,FALSE),"-") &amp; " / " &amp; IFERROR(VLOOKUP(MID(N41,O41,P41-O41),[6]skilldef!$A:$B,2,FALSE),"-")</f>
        <v>- / -</v>
      </c>
      <c r="T41" s="45" t="str">
        <f t="shared" si="11"/>
        <v>none</v>
      </c>
      <c r="U41" s="60" t="e">
        <f t="shared" si="12"/>
        <v>#VALUE!</v>
      </c>
      <c r="V41" s="60">
        <f t="shared" si="13"/>
        <v>4</v>
      </c>
      <c r="W41" s="60" t="e">
        <f t="shared" si="14"/>
        <v>#VALUE!</v>
      </c>
      <c r="X41" s="60" t="e">
        <f t="shared" si="15"/>
        <v>#VALUE!</v>
      </c>
      <c r="Y41" s="60" t="str">
        <f>IFERROR(VLOOKUP(MID(T41,W41,X41-W41),[6]skilldef!$C:$D,2,FALSE),"-") &amp; " / " &amp; IFERROR(VLOOKUP(MID(T41,U41,V41-U41),[6]skilldef!$A:$B,2,FALSE),"-")</f>
        <v>- / -</v>
      </c>
      <c r="Z41" s="47"/>
      <c r="AA41" s="49"/>
      <c r="AB41" s="47"/>
    </row>
    <row r="42" spans="1:28" ht="21" customHeight="1" x14ac:dyDescent="0.15">
      <c r="A42" s="44">
        <v>15031041</v>
      </c>
      <c r="B42" s="44" t="s">
        <v>232</v>
      </c>
      <c r="C42" s="47">
        <v>3</v>
      </c>
      <c r="D42" s="47" t="s">
        <v>127</v>
      </c>
      <c r="E42" s="137" t="s">
        <v>285</v>
      </c>
      <c r="F42" s="48" t="s">
        <v>386</v>
      </c>
      <c r="G42" s="60" t="str">
        <f t="shared" ref="G42:G90" si="16">IFERROR(LEFT(B42,FIND("],",B42)),B42)</f>
        <v>[effect:crash_condition, target:unit_all, val:2, turn:3, animation:enemy_crash_extend]</v>
      </c>
      <c r="H42" s="60">
        <f t="shared" ref="H42:H90" si="17">FIND("effect:",G42)+7</f>
        <v>9</v>
      </c>
      <c r="I42" s="60">
        <f t="shared" ref="I42:I90" si="18">IFERROR(FIND(",",G42),LEN(G42))</f>
        <v>24</v>
      </c>
      <c r="J42" s="60">
        <f t="shared" ref="J42:J90" si="19">FIND("target:",G42)+7</f>
        <v>33</v>
      </c>
      <c r="K42" s="60">
        <f t="shared" ref="K42:K90" si="20">FIND(",",G42,I42+1)</f>
        <v>41</v>
      </c>
      <c r="L42" s="60" t="str">
        <f>IFERROR(VLOOKUP(MID(G42,J42,K42-J42),[6]skilldef!$C:$D,2,FALSE),"-") &amp; " / " &amp; IFERROR(VLOOKUP(MID(G42,H42,I42-H42),[6]skilldef!$A:$B,2,FALSE),"-")</f>
        <v>味方全体に / -</v>
      </c>
      <c r="M42" s="60" t="str">
        <f t="shared" ref="M42:M90" si="21">IFERROR(RIGHT(B42,LEN(B42)-FIND("],",B42)-1),"none")</f>
        <v>none</v>
      </c>
      <c r="N42" s="45" t="str">
        <f t="shared" ref="N42:N81" si="22">IFERROR(LEFT(M42,FIND("],",M42)+S52),M42)</f>
        <v>none</v>
      </c>
      <c r="O42" s="60" t="e">
        <f t="shared" ref="O42:O90" si="23">FIND("effect:",N42)+7</f>
        <v>#VALUE!</v>
      </c>
      <c r="P42" s="60">
        <f t="shared" ref="P42:P90" si="24">IFERROR(FIND(",",N42),LEN(N42))</f>
        <v>4</v>
      </c>
      <c r="Q42" s="60" t="e">
        <f t="shared" ref="Q42:Q90" si="25">FIND("target:",N42)+7</f>
        <v>#VALUE!</v>
      </c>
      <c r="R42" s="60" t="e">
        <f t="shared" ref="R42:R90" si="26">FIND(",",N42,P42+1)</f>
        <v>#VALUE!</v>
      </c>
      <c r="S42" s="60" t="str">
        <f>IFERROR(VLOOKUP(MID(N42,Q42,R42-Q42),[6]skilldef!$C:$D,2,FALSE),"-") &amp; " / " &amp; IFERROR(VLOOKUP(MID(N42,O42,P42-O42),[6]skilldef!$A:$B,2,FALSE),"-")</f>
        <v>- / -</v>
      </c>
      <c r="T42" s="45" t="str">
        <f t="shared" ref="T42:T90" si="27">IFERROR(RIGHT(M42,LEN(M42)-FIND("],",M42)-1),"none")</f>
        <v>none</v>
      </c>
      <c r="U42" s="60" t="e">
        <f t="shared" ref="U42:U90" si="28">FIND("effect:",T42)+7</f>
        <v>#VALUE!</v>
      </c>
      <c r="V42" s="60">
        <f t="shared" ref="V42:V90" si="29">IFERROR(FIND(",",T42),LEN(T42))</f>
        <v>4</v>
      </c>
      <c r="W42" s="60" t="e">
        <f t="shared" ref="W42:W90" si="30">FIND("target:",T42)+7</f>
        <v>#VALUE!</v>
      </c>
      <c r="X42" s="60" t="e">
        <f t="shared" ref="X42:X90" si="31">FIND(",",T42,V42+1)</f>
        <v>#VALUE!</v>
      </c>
      <c r="Y42" s="60" t="str">
        <f>IFERROR(VLOOKUP(MID(T42,W42,X42-W42),[6]skilldef!$C:$D,2,FALSE),"-") &amp; " / " &amp; IFERROR(VLOOKUP(MID(T42,U42,V42-U42),[6]skilldef!$A:$B,2,FALSE),"-")</f>
        <v>- / -</v>
      </c>
      <c r="Z42" s="47"/>
      <c r="AA42" s="49"/>
      <c r="AB42" s="47"/>
    </row>
    <row r="43" spans="1:28" ht="21" customHeight="1" x14ac:dyDescent="0.15">
      <c r="A43" s="44">
        <v>15031042</v>
      </c>
      <c r="B43" s="44" t="s">
        <v>229</v>
      </c>
      <c r="C43" s="47">
        <v>3</v>
      </c>
      <c r="D43" s="47" t="s">
        <v>127</v>
      </c>
      <c r="E43" s="48" t="s">
        <v>231</v>
      </c>
      <c r="F43" s="48" t="s">
        <v>230</v>
      </c>
      <c r="G43" s="60" t="str">
        <f t="shared" si="16"/>
        <v>[effect:nothing]</v>
      </c>
      <c r="H43" s="60">
        <f t="shared" si="17"/>
        <v>9</v>
      </c>
      <c r="I43" s="60">
        <f t="shared" si="18"/>
        <v>16</v>
      </c>
      <c r="J43" s="60" t="e">
        <f t="shared" si="19"/>
        <v>#VALUE!</v>
      </c>
      <c r="K43" s="60" t="e">
        <f t="shared" si="20"/>
        <v>#VALUE!</v>
      </c>
      <c r="L43" s="60" t="str">
        <f>IFERROR(VLOOKUP(MID(G43,J43,K43-J43),[6]skilldef!$C:$D,2,FALSE),"-") &amp; " / " &amp; IFERROR(VLOOKUP(MID(G43,H43,I43-H43),[6]skilldef!$A:$B,2,FALSE),"-")</f>
        <v>- / 何もしない</v>
      </c>
      <c r="M43" s="60" t="str">
        <f t="shared" si="21"/>
        <v>none</v>
      </c>
      <c r="N43" s="45" t="str">
        <f t="shared" si="22"/>
        <v>none</v>
      </c>
      <c r="O43" s="60" t="e">
        <f t="shared" si="23"/>
        <v>#VALUE!</v>
      </c>
      <c r="P43" s="60">
        <f t="shared" si="24"/>
        <v>4</v>
      </c>
      <c r="Q43" s="60" t="e">
        <f t="shared" si="25"/>
        <v>#VALUE!</v>
      </c>
      <c r="R43" s="60" t="e">
        <f t="shared" si="26"/>
        <v>#VALUE!</v>
      </c>
      <c r="S43" s="60" t="str">
        <f>IFERROR(VLOOKUP(MID(N43,Q43,R43-Q43),[6]skilldef!$C:$D,2,FALSE),"-") &amp; " / " &amp; IFERROR(VLOOKUP(MID(N43,O43,P43-O43),[6]skilldef!$A:$B,2,FALSE),"-")</f>
        <v>- / -</v>
      </c>
      <c r="T43" s="45" t="str">
        <f t="shared" si="27"/>
        <v>none</v>
      </c>
      <c r="U43" s="60" t="e">
        <f t="shared" si="28"/>
        <v>#VALUE!</v>
      </c>
      <c r="V43" s="60">
        <f t="shared" si="29"/>
        <v>4</v>
      </c>
      <c r="W43" s="60" t="e">
        <f t="shared" si="30"/>
        <v>#VALUE!</v>
      </c>
      <c r="X43" s="60" t="e">
        <f t="shared" si="31"/>
        <v>#VALUE!</v>
      </c>
      <c r="Y43" s="60" t="str">
        <f>IFERROR(VLOOKUP(MID(T43,W43,X43-W43),[6]skilldef!$C:$D,2,FALSE),"-") &amp; " / " &amp; IFERROR(VLOOKUP(MID(T43,U43,V43-U43),[6]skilldef!$A:$B,2,FALSE),"-")</f>
        <v>- / -</v>
      </c>
      <c r="Z43" s="47"/>
      <c r="AA43" s="49"/>
      <c r="AB43" s="47"/>
    </row>
    <row r="44" spans="1:28" ht="21" customHeight="1" x14ac:dyDescent="0.15">
      <c r="A44" s="44">
        <v>15031043</v>
      </c>
      <c r="B44" s="44" t="s">
        <v>229</v>
      </c>
      <c r="C44" s="47">
        <v>3</v>
      </c>
      <c r="D44" s="47" t="s">
        <v>127</v>
      </c>
      <c r="E44" s="48" t="s">
        <v>231</v>
      </c>
      <c r="F44" s="48" t="s">
        <v>230</v>
      </c>
      <c r="G44" s="60" t="str">
        <f t="shared" si="16"/>
        <v>[effect:nothing]</v>
      </c>
      <c r="H44" s="60">
        <f t="shared" si="17"/>
        <v>9</v>
      </c>
      <c r="I44" s="60">
        <f t="shared" si="18"/>
        <v>16</v>
      </c>
      <c r="J44" s="60" t="e">
        <f t="shared" si="19"/>
        <v>#VALUE!</v>
      </c>
      <c r="K44" s="60" t="e">
        <f t="shared" si="20"/>
        <v>#VALUE!</v>
      </c>
      <c r="L44" s="60" t="str">
        <f>IFERROR(VLOOKUP(MID(G44,J44,K44-J44),[6]skilldef!$C:$D,2,FALSE),"-") &amp; " / " &amp; IFERROR(VLOOKUP(MID(G44,H44,I44-H44),[6]skilldef!$A:$B,2,FALSE),"-")</f>
        <v>- / 何もしない</v>
      </c>
      <c r="M44" s="60" t="str">
        <f t="shared" si="21"/>
        <v>none</v>
      </c>
      <c r="N44" s="45" t="str">
        <f t="shared" si="22"/>
        <v>none</v>
      </c>
      <c r="O44" s="60" t="e">
        <f t="shared" si="23"/>
        <v>#VALUE!</v>
      </c>
      <c r="P44" s="60">
        <f t="shared" si="24"/>
        <v>4</v>
      </c>
      <c r="Q44" s="60" t="e">
        <f t="shared" si="25"/>
        <v>#VALUE!</v>
      </c>
      <c r="R44" s="60" t="e">
        <f t="shared" si="26"/>
        <v>#VALUE!</v>
      </c>
      <c r="S44" s="60" t="str">
        <f>IFERROR(VLOOKUP(MID(N44,Q44,R44-Q44),[6]skilldef!$C:$D,2,FALSE),"-") &amp; " / " &amp; IFERROR(VLOOKUP(MID(N44,O44,P44-O44),[6]skilldef!$A:$B,2,FALSE),"-")</f>
        <v>- / -</v>
      </c>
      <c r="T44" s="45" t="str">
        <f t="shared" si="27"/>
        <v>none</v>
      </c>
      <c r="U44" s="60" t="e">
        <f t="shared" si="28"/>
        <v>#VALUE!</v>
      </c>
      <c r="V44" s="60">
        <f t="shared" si="29"/>
        <v>4</v>
      </c>
      <c r="W44" s="60" t="e">
        <f t="shared" si="30"/>
        <v>#VALUE!</v>
      </c>
      <c r="X44" s="60" t="e">
        <f t="shared" si="31"/>
        <v>#VALUE!</v>
      </c>
      <c r="Y44" s="60" t="str">
        <f>IFERROR(VLOOKUP(MID(T44,W44,X44-W44),[6]skilldef!$C:$D,2,FALSE),"-") &amp; " / " &amp; IFERROR(VLOOKUP(MID(T44,U44,V44-U44),[6]skilldef!$A:$B,2,FALSE),"-")</f>
        <v>- / -</v>
      </c>
      <c r="Z44" s="47"/>
      <c r="AA44" s="49"/>
      <c r="AB44" s="47"/>
    </row>
    <row r="45" spans="1:28" ht="21" customHeight="1" x14ac:dyDescent="0.15">
      <c r="A45" s="44">
        <v>15031044</v>
      </c>
      <c r="B45" s="44" t="s">
        <v>229</v>
      </c>
      <c r="C45" s="47">
        <v>3</v>
      </c>
      <c r="D45" s="47" t="s">
        <v>127</v>
      </c>
      <c r="E45" s="48" t="s">
        <v>231</v>
      </c>
      <c r="F45" s="48" t="s">
        <v>230</v>
      </c>
      <c r="G45" s="60" t="str">
        <f t="shared" si="16"/>
        <v>[effect:nothing]</v>
      </c>
      <c r="H45" s="60">
        <f t="shared" si="17"/>
        <v>9</v>
      </c>
      <c r="I45" s="60">
        <f t="shared" si="18"/>
        <v>16</v>
      </c>
      <c r="J45" s="60" t="e">
        <f t="shared" si="19"/>
        <v>#VALUE!</v>
      </c>
      <c r="K45" s="60" t="e">
        <f t="shared" si="20"/>
        <v>#VALUE!</v>
      </c>
      <c r="L45" s="60" t="str">
        <f>IFERROR(VLOOKUP(MID(G45,J45,K45-J45),[6]skilldef!$C:$D,2,FALSE),"-") &amp; " / " &amp; IFERROR(VLOOKUP(MID(G45,H45,I45-H45),[6]skilldef!$A:$B,2,FALSE),"-")</f>
        <v>- / 何もしない</v>
      </c>
      <c r="M45" s="60" t="str">
        <f t="shared" si="21"/>
        <v>none</v>
      </c>
      <c r="N45" s="45" t="str">
        <f t="shared" si="22"/>
        <v>none</v>
      </c>
      <c r="O45" s="60" t="e">
        <f t="shared" si="23"/>
        <v>#VALUE!</v>
      </c>
      <c r="P45" s="60">
        <f t="shared" si="24"/>
        <v>4</v>
      </c>
      <c r="Q45" s="60" t="e">
        <f t="shared" si="25"/>
        <v>#VALUE!</v>
      </c>
      <c r="R45" s="60" t="e">
        <f t="shared" si="26"/>
        <v>#VALUE!</v>
      </c>
      <c r="S45" s="60" t="str">
        <f>IFERROR(VLOOKUP(MID(N45,Q45,R45-Q45),[6]skilldef!$C:$D,2,FALSE),"-") &amp; " / " &amp; IFERROR(VLOOKUP(MID(N45,O45,P45-O45),[6]skilldef!$A:$B,2,FALSE),"-")</f>
        <v>- / -</v>
      </c>
      <c r="T45" s="45" t="str">
        <f t="shared" si="27"/>
        <v>none</v>
      </c>
      <c r="U45" s="60" t="e">
        <f t="shared" si="28"/>
        <v>#VALUE!</v>
      </c>
      <c r="V45" s="60">
        <f t="shared" si="29"/>
        <v>4</v>
      </c>
      <c r="W45" s="60" t="e">
        <f t="shared" si="30"/>
        <v>#VALUE!</v>
      </c>
      <c r="X45" s="60" t="e">
        <f t="shared" si="31"/>
        <v>#VALUE!</v>
      </c>
      <c r="Y45" s="60" t="str">
        <f>IFERROR(VLOOKUP(MID(T45,W45,X45-W45),[6]skilldef!$C:$D,2,FALSE),"-") &amp; " / " &amp; IFERROR(VLOOKUP(MID(T45,U45,V45-U45),[6]skilldef!$A:$B,2,FALSE),"-")</f>
        <v>- / -</v>
      </c>
      <c r="Z45" s="47"/>
      <c r="AA45" s="49"/>
      <c r="AB45" s="47"/>
    </row>
    <row r="46" spans="1:28" ht="21" customHeight="1" x14ac:dyDescent="0.15">
      <c r="A46" s="44">
        <v>15031045</v>
      </c>
      <c r="B46" s="44" t="s">
        <v>229</v>
      </c>
      <c r="C46" s="47">
        <v>3</v>
      </c>
      <c r="D46" s="47" t="s">
        <v>127</v>
      </c>
      <c r="E46" s="48" t="s">
        <v>231</v>
      </c>
      <c r="F46" s="48" t="s">
        <v>230</v>
      </c>
      <c r="G46" s="60" t="str">
        <f t="shared" si="16"/>
        <v>[effect:nothing]</v>
      </c>
      <c r="H46" s="60">
        <f t="shared" si="17"/>
        <v>9</v>
      </c>
      <c r="I46" s="60">
        <f t="shared" si="18"/>
        <v>16</v>
      </c>
      <c r="J46" s="60" t="e">
        <f t="shared" si="19"/>
        <v>#VALUE!</v>
      </c>
      <c r="K46" s="60" t="e">
        <f t="shared" si="20"/>
        <v>#VALUE!</v>
      </c>
      <c r="L46" s="60" t="str">
        <f>IFERROR(VLOOKUP(MID(G46,J46,K46-J46),[6]skilldef!$C:$D,2,FALSE),"-") &amp; " / " &amp; IFERROR(VLOOKUP(MID(G46,H46,I46-H46),[6]skilldef!$A:$B,2,FALSE),"-")</f>
        <v>- / 何もしない</v>
      </c>
      <c r="M46" s="60" t="str">
        <f t="shared" si="21"/>
        <v>none</v>
      </c>
      <c r="N46" s="45" t="str">
        <f t="shared" si="22"/>
        <v>none</v>
      </c>
      <c r="O46" s="60" t="e">
        <f t="shared" si="23"/>
        <v>#VALUE!</v>
      </c>
      <c r="P46" s="60">
        <f t="shared" si="24"/>
        <v>4</v>
      </c>
      <c r="Q46" s="60" t="e">
        <f t="shared" si="25"/>
        <v>#VALUE!</v>
      </c>
      <c r="R46" s="60" t="e">
        <f t="shared" si="26"/>
        <v>#VALUE!</v>
      </c>
      <c r="S46" s="60" t="str">
        <f>IFERROR(VLOOKUP(MID(N46,Q46,R46-Q46),[6]skilldef!$C:$D,2,FALSE),"-") &amp; " / " &amp; IFERROR(VLOOKUP(MID(N46,O46,P46-O46),[6]skilldef!$A:$B,2,FALSE),"-")</f>
        <v>- / -</v>
      </c>
      <c r="T46" s="45" t="str">
        <f t="shared" si="27"/>
        <v>none</v>
      </c>
      <c r="U46" s="60" t="e">
        <f t="shared" si="28"/>
        <v>#VALUE!</v>
      </c>
      <c r="V46" s="60">
        <f t="shared" si="29"/>
        <v>4</v>
      </c>
      <c r="W46" s="60" t="e">
        <f t="shared" si="30"/>
        <v>#VALUE!</v>
      </c>
      <c r="X46" s="60" t="e">
        <f t="shared" si="31"/>
        <v>#VALUE!</v>
      </c>
      <c r="Y46" s="60" t="str">
        <f>IFERROR(VLOOKUP(MID(T46,W46,X46-W46),[6]skilldef!$C:$D,2,FALSE),"-") &amp; " / " &amp; IFERROR(VLOOKUP(MID(T46,U46,V46-U46),[6]skilldef!$A:$B,2,FALSE),"-")</f>
        <v>- / -</v>
      </c>
      <c r="Z46" s="47"/>
      <c r="AA46" s="49"/>
      <c r="AB46" s="47"/>
    </row>
    <row r="47" spans="1:28" ht="21" customHeight="1" x14ac:dyDescent="0.15">
      <c r="A47" s="44">
        <v>15031046</v>
      </c>
      <c r="B47" s="44" t="s">
        <v>233</v>
      </c>
      <c r="C47" s="47">
        <v>3</v>
      </c>
      <c r="D47" s="47" t="s">
        <v>127</v>
      </c>
      <c r="E47" s="137" t="s">
        <v>286</v>
      </c>
      <c r="F47" s="48" t="s">
        <v>387</v>
      </c>
      <c r="G47" s="60" t="str">
        <f t="shared" si="16"/>
        <v>[effect:dark, target:unit_all, turn:3, animation:enemy_dark]</v>
      </c>
      <c r="H47" s="60">
        <f t="shared" si="17"/>
        <v>9</v>
      </c>
      <c r="I47" s="60">
        <f t="shared" si="18"/>
        <v>13</v>
      </c>
      <c r="J47" s="60">
        <f t="shared" si="19"/>
        <v>22</v>
      </c>
      <c r="K47" s="60">
        <f t="shared" si="20"/>
        <v>30</v>
      </c>
      <c r="L47" s="60" t="str">
        <f>IFERROR(VLOOKUP(MID(G47,J47,K47-J47),[6]skilldef!$C:$D,2,FALSE),"-") &amp; " / " &amp; IFERROR(VLOOKUP(MID(G47,H47,I47-H47),[6]skilldef!$A:$B,2,FALSE),"-")</f>
        <v>味方全体に / 暗黒</v>
      </c>
      <c r="M47" s="60" t="str">
        <f t="shared" si="21"/>
        <v>none</v>
      </c>
      <c r="N47" s="45" t="str">
        <f t="shared" si="22"/>
        <v>none</v>
      </c>
      <c r="O47" s="60" t="e">
        <f t="shared" si="23"/>
        <v>#VALUE!</v>
      </c>
      <c r="P47" s="60">
        <f t="shared" si="24"/>
        <v>4</v>
      </c>
      <c r="Q47" s="60" t="e">
        <f t="shared" si="25"/>
        <v>#VALUE!</v>
      </c>
      <c r="R47" s="60" t="e">
        <f t="shared" si="26"/>
        <v>#VALUE!</v>
      </c>
      <c r="S47" s="60" t="str">
        <f>IFERROR(VLOOKUP(MID(N47,Q47,R47-Q47),[6]skilldef!$C:$D,2,FALSE),"-") &amp; " / " &amp; IFERROR(VLOOKUP(MID(N47,O47,P47-O47),[6]skilldef!$A:$B,2,FALSE),"-")</f>
        <v>- / -</v>
      </c>
      <c r="T47" s="45" t="str">
        <f t="shared" si="27"/>
        <v>none</v>
      </c>
      <c r="U47" s="60" t="e">
        <f t="shared" si="28"/>
        <v>#VALUE!</v>
      </c>
      <c r="V47" s="60">
        <f t="shared" si="29"/>
        <v>4</v>
      </c>
      <c r="W47" s="60" t="e">
        <f t="shared" si="30"/>
        <v>#VALUE!</v>
      </c>
      <c r="X47" s="60" t="e">
        <f t="shared" si="31"/>
        <v>#VALUE!</v>
      </c>
      <c r="Y47" s="60" t="str">
        <f>IFERROR(VLOOKUP(MID(T47,W47,X47-W47),[6]skilldef!$C:$D,2,FALSE),"-") &amp; " / " &amp; IFERROR(VLOOKUP(MID(T47,U47,V47-U47),[6]skilldef!$A:$B,2,FALSE),"-")</f>
        <v>- / -</v>
      </c>
      <c r="Z47" s="47"/>
      <c r="AA47" s="49"/>
      <c r="AB47" s="47"/>
    </row>
    <row r="48" spans="1:28" ht="21" customHeight="1" x14ac:dyDescent="0.15">
      <c r="A48" s="44">
        <v>15031047</v>
      </c>
      <c r="B48" s="44" t="s">
        <v>234</v>
      </c>
      <c r="C48" s="47">
        <v>3</v>
      </c>
      <c r="D48" s="47" t="s">
        <v>127</v>
      </c>
      <c r="E48" s="48" t="s">
        <v>289</v>
      </c>
      <c r="F48" s="48" t="s">
        <v>388</v>
      </c>
      <c r="G48" s="60" t="str">
        <f t="shared" si="16"/>
        <v>[effect:time_limit, target:unit_one, count:10, turn:3, animation:enemy_time_limit]</v>
      </c>
      <c r="H48" s="60">
        <f t="shared" si="17"/>
        <v>9</v>
      </c>
      <c r="I48" s="60">
        <f t="shared" si="18"/>
        <v>19</v>
      </c>
      <c r="J48" s="60">
        <f t="shared" si="19"/>
        <v>28</v>
      </c>
      <c r="K48" s="60">
        <f t="shared" si="20"/>
        <v>36</v>
      </c>
      <c r="L48" s="60" t="str">
        <f>IFERROR(VLOOKUP(MID(G48,J48,K48-J48),[6]skilldef!$C:$D,2,FALSE),"-") &amp; " / " &amp; IFERROR(VLOOKUP(MID(G48,H48,I48-H48),[6]skilldef!$A:$B,2,FALSE),"-")</f>
        <v>味方単体に / タップ制限時間</v>
      </c>
      <c r="M48" s="60" t="str">
        <f t="shared" si="21"/>
        <v>none</v>
      </c>
      <c r="N48" s="45" t="str">
        <f t="shared" si="22"/>
        <v>none</v>
      </c>
      <c r="O48" s="60" t="e">
        <f t="shared" si="23"/>
        <v>#VALUE!</v>
      </c>
      <c r="P48" s="60">
        <f t="shared" si="24"/>
        <v>4</v>
      </c>
      <c r="Q48" s="60" t="e">
        <f t="shared" si="25"/>
        <v>#VALUE!</v>
      </c>
      <c r="R48" s="60" t="e">
        <f t="shared" si="26"/>
        <v>#VALUE!</v>
      </c>
      <c r="S48" s="60" t="str">
        <f>IFERROR(VLOOKUP(MID(N48,Q48,R48-Q48),[6]skilldef!$C:$D,2,FALSE),"-") &amp; " / " &amp; IFERROR(VLOOKUP(MID(N48,O48,P48-O48),[6]skilldef!$A:$B,2,FALSE),"-")</f>
        <v>- / -</v>
      </c>
      <c r="T48" s="45" t="str">
        <f t="shared" si="27"/>
        <v>none</v>
      </c>
      <c r="U48" s="60" t="e">
        <f t="shared" si="28"/>
        <v>#VALUE!</v>
      </c>
      <c r="V48" s="60">
        <f t="shared" si="29"/>
        <v>4</v>
      </c>
      <c r="W48" s="60" t="e">
        <f t="shared" si="30"/>
        <v>#VALUE!</v>
      </c>
      <c r="X48" s="60" t="e">
        <f t="shared" si="31"/>
        <v>#VALUE!</v>
      </c>
      <c r="Y48" s="60" t="str">
        <f>IFERROR(VLOOKUP(MID(T48,W48,X48-W48),[6]skilldef!$C:$D,2,FALSE),"-") &amp; " / " &amp; IFERROR(VLOOKUP(MID(T48,U48,V48-U48),[6]skilldef!$A:$B,2,FALSE),"-")</f>
        <v>- / -</v>
      </c>
      <c r="Z48" s="47"/>
      <c r="AA48" s="49"/>
      <c r="AB48" s="47"/>
    </row>
    <row r="49" spans="1:28" ht="21" customHeight="1" x14ac:dyDescent="0.15">
      <c r="A49" s="44">
        <v>15031048</v>
      </c>
      <c r="B49" s="44" t="s">
        <v>237</v>
      </c>
      <c r="C49" s="47">
        <v>3</v>
      </c>
      <c r="D49" s="47" t="s">
        <v>127</v>
      </c>
      <c r="E49" s="48" t="s">
        <v>287</v>
      </c>
      <c r="F49" s="48" t="s">
        <v>235</v>
      </c>
      <c r="G49" s="60" t="str">
        <f t="shared" si="16"/>
        <v>[effect:spread, val:0.2]</v>
      </c>
      <c r="H49" s="60">
        <f t="shared" si="17"/>
        <v>9</v>
      </c>
      <c r="I49" s="60">
        <f t="shared" si="18"/>
        <v>15</v>
      </c>
      <c r="J49" s="60" t="e">
        <f t="shared" si="19"/>
        <v>#VALUE!</v>
      </c>
      <c r="K49" s="60" t="e">
        <f t="shared" si="20"/>
        <v>#VALUE!</v>
      </c>
      <c r="L49" s="60" t="str">
        <f>IFERROR(VLOOKUP(MID(G49,J49,K49-J49),[6]skilldef!$C:$D,2,FALSE),"-") &amp; " / " &amp; IFERROR(VLOOKUP(MID(G49,H49,I49-H49),[6]skilldef!$A:$B,2,FALSE),"-")</f>
        <v>- / 全体攻撃</v>
      </c>
      <c r="M49" s="60" t="str">
        <f t="shared" si="21"/>
        <v>none</v>
      </c>
      <c r="N49" s="45" t="str">
        <f t="shared" si="22"/>
        <v>none</v>
      </c>
      <c r="O49" s="60" t="e">
        <f t="shared" si="23"/>
        <v>#VALUE!</v>
      </c>
      <c r="P49" s="60">
        <f t="shared" si="24"/>
        <v>4</v>
      </c>
      <c r="Q49" s="60" t="e">
        <f t="shared" si="25"/>
        <v>#VALUE!</v>
      </c>
      <c r="R49" s="60" t="e">
        <f t="shared" si="26"/>
        <v>#VALUE!</v>
      </c>
      <c r="S49" s="60" t="str">
        <f>IFERROR(VLOOKUP(MID(N49,Q49,R49-Q49),[6]skilldef!$C:$D,2,FALSE),"-") &amp; " / " &amp; IFERROR(VLOOKUP(MID(N49,O49,P49-O49),[6]skilldef!$A:$B,2,FALSE),"-")</f>
        <v>- / -</v>
      </c>
      <c r="T49" s="45" t="str">
        <f t="shared" si="27"/>
        <v>none</v>
      </c>
      <c r="U49" s="60" t="e">
        <f t="shared" si="28"/>
        <v>#VALUE!</v>
      </c>
      <c r="V49" s="60">
        <f t="shared" si="29"/>
        <v>4</v>
      </c>
      <c r="W49" s="60" t="e">
        <f t="shared" si="30"/>
        <v>#VALUE!</v>
      </c>
      <c r="X49" s="60" t="e">
        <f t="shared" si="31"/>
        <v>#VALUE!</v>
      </c>
      <c r="Y49" s="60" t="str">
        <f>IFERROR(VLOOKUP(MID(T49,W49,X49-W49),[6]skilldef!$C:$D,2,FALSE),"-") &amp; " / " &amp; IFERROR(VLOOKUP(MID(T49,U49,V49-U49),[6]skilldef!$A:$B,2,FALSE),"-")</f>
        <v>- / -</v>
      </c>
      <c r="Z49" s="47"/>
      <c r="AA49" s="49"/>
      <c r="AB49" s="47"/>
    </row>
    <row r="50" spans="1:28" ht="21" customHeight="1" x14ac:dyDescent="0.15">
      <c r="A50" s="44">
        <v>15031049</v>
      </c>
      <c r="B50" s="44" t="s">
        <v>236</v>
      </c>
      <c r="C50" s="47">
        <v>3</v>
      </c>
      <c r="D50" s="47" t="s">
        <v>127</v>
      </c>
      <c r="E50" s="48" t="s">
        <v>288</v>
      </c>
      <c r="F50" s="48" t="s">
        <v>238</v>
      </c>
      <c r="G50" s="60" t="str">
        <f t="shared" si="16"/>
        <v>[effect:rush, count:2, val:0.3]</v>
      </c>
      <c r="H50" s="60">
        <f t="shared" si="17"/>
        <v>9</v>
      </c>
      <c r="I50" s="60">
        <f t="shared" si="18"/>
        <v>13</v>
      </c>
      <c r="J50" s="60" t="e">
        <f t="shared" si="19"/>
        <v>#VALUE!</v>
      </c>
      <c r="K50" s="60">
        <f t="shared" si="20"/>
        <v>22</v>
      </c>
      <c r="L50" s="60" t="str">
        <f>IFERROR(VLOOKUP(MID(G50,J50,K50-J50),[6]skilldef!$C:$D,2,FALSE),"-") &amp; " / " &amp; IFERROR(VLOOKUP(MID(G50,H50,I50-H50),[6]skilldef!$A:$B,2,FALSE),"-")</f>
        <v>- / 連続攻撃</v>
      </c>
      <c r="M50" s="60" t="str">
        <f t="shared" si="21"/>
        <v>none</v>
      </c>
      <c r="N50" s="45" t="str">
        <f t="shared" si="22"/>
        <v>none</v>
      </c>
      <c r="O50" s="60" t="e">
        <f t="shared" si="23"/>
        <v>#VALUE!</v>
      </c>
      <c r="P50" s="60">
        <f t="shared" si="24"/>
        <v>4</v>
      </c>
      <c r="Q50" s="60" t="e">
        <f t="shared" si="25"/>
        <v>#VALUE!</v>
      </c>
      <c r="R50" s="60" t="e">
        <f t="shared" si="26"/>
        <v>#VALUE!</v>
      </c>
      <c r="S50" s="60" t="str">
        <f>IFERROR(VLOOKUP(MID(N50,Q50,R50-Q50),[6]skilldef!$C:$D,2,FALSE),"-") &amp; " / " &amp; IFERROR(VLOOKUP(MID(N50,O50,P50-O50),[6]skilldef!$A:$B,2,FALSE),"-")</f>
        <v>- / -</v>
      </c>
      <c r="T50" s="45" t="str">
        <f t="shared" si="27"/>
        <v>none</v>
      </c>
      <c r="U50" s="60" t="e">
        <f t="shared" si="28"/>
        <v>#VALUE!</v>
      </c>
      <c r="V50" s="60">
        <f t="shared" si="29"/>
        <v>4</v>
      </c>
      <c r="W50" s="60" t="e">
        <f t="shared" si="30"/>
        <v>#VALUE!</v>
      </c>
      <c r="X50" s="60" t="e">
        <f t="shared" si="31"/>
        <v>#VALUE!</v>
      </c>
      <c r="Y50" s="60" t="str">
        <f>IFERROR(VLOOKUP(MID(T50,W50,X50-W50),[6]skilldef!$C:$D,2,FALSE),"-") &amp; " / " &amp; IFERROR(VLOOKUP(MID(T50,U50,V50-U50),[6]skilldef!$A:$B,2,FALSE),"-")</f>
        <v>- / -</v>
      </c>
      <c r="Z50" s="47"/>
      <c r="AA50" s="49"/>
      <c r="AB50" s="47"/>
    </row>
    <row r="51" spans="1:28" ht="21" customHeight="1" x14ac:dyDescent="0.15">
      <c r="A51" s="44">
        <v>15031050</v>
      </c>
      <c r="B51" s="44" t="s">
        <v>229</v>
      </c>
      <c r="C51" s="47">
        <v>3</v>
      </c>
      <c r="D51" s="47" t="s">
        <v>127</v>
      </c>
      <c r="E51" s="48" t="s">
        <v>324</v>
      </c>
      <c r="F51" s="48" t="s">
        <v>230</v>
      </c>
      <c r="G51" s="60" t="str">
        <f t="shared" si="16"/>
        <v>[effect:nothing]</v>
      </c>
      <c r="H51" s="60">
        <f t="shared" si="17"/>
        <v>9</v>
      </c>
      <c r="I51" s="60">
        <f t="shared" si="18"/>
        <v>16</v>
      </c>
      <c r="J51" s="60" t="e">
        <f t="shared" si="19"/>
        <v>#VALUE!</v>
      </c>
      <c r="K51" s="60" t="e">
        <f t="shared" si="20"/>
        <v>#VALUE!</v>
      </c>
      <c r="L51" s="60" t="str">
        <f>IFERROR(VLOOKUP(MID(G51,J51,K51-J51),[6]skilldef!$C:$D,2,FALSE),"-") &amp; " / " &amp; IFERROR(VLOOKUP(MID(G51,H51,I51-H51),[6]skilldef!$A:$B,2,FALSE),"-")</f>
        <v>- / 何もしない</v>
      </c>
      <c r="M51" s="60" t="str">
        <f t="shared" si="21"/>
        <v>none</v>
      </c>
      <c r="N51" s="45" t="str">
        <f t="shared" si="22"/>
        <v>none</v>
      </c>
      <c r="O51" s="60" t="e">
        <f t="shared" si="23"/>
        <v>#VALUE!</v>
      </c>
      <c r="P51" s="60">
        <f t="shared" si="24"/>
        <v>4</v>
      </c>
      <c r="Q51" s="60" t="e">
        <f t="shared" si="25"/>
        <v>#VALUE!</v>
      </c>
      <c r="R51" s="60" t="e">
        <f t="shared" si="26"/>
        <v>#VALUE!</v>
      </c>
      <c r="S51" s="60" t="str">
        <f>IFERROR(VLOOKUP(MID(N51,Q51,R51-Q51),[6]skilldef!$C:$D,2,FALSE),"-") &amp; " / " &amp; IFERROR(VLOOKUP(MID(N51,O51,P51-O51),[6]skilldef!$A:$B,2,FALSE),"-")</f>
        <v>- / -</v>
      </c>
      <c r="T51" s="45" t="str">
        <f t="shared" si="27"/>
        <v>none</v>
      </c>
      <c r="U51" s="60" t="e">
        <f t="shared" si="28"/>
        <v>#VALUE!</v>
      </c>
      <c r="V51" s="60">
        <f t="shared" si="29"/>
        <v>4</v>
      </c>
      <c r="W51" s="60" t="e">
        <f t="shared" si="30"/>
        <v>#VALUE!</v>
      </c>
      <c r="X51" s="60" t="e">
        <f t="shared" si="31"/>
        <v>#VALUE!</v>
      </c>
      <c r="Y51" s="60" t="str">
        <f>IFERROR(VLOOKUP(MID(T51,W51,X51-W51),[6]skilldef!$C:$D,2,FALSE),"-") &amp; " / " &amp; IFERROR(VLOOKUP(MID(T51,U51,V51-U51),[6]skilldef!$A:$B,2,FALSE),"-")</f>
        <v>- / -</v>
      </c>
      <c r="Z51" s="47"/>
      <c r="AA51" s="49"/>
      <c r="AB51" s="47"/>
    </row>
    <row r="52" spans="1:28" ht="21" customHeight="1" x14ac:dyDescent="0.15">
      <c r="A52" s="44">
        <v>15031051</v>
      </c>
      <c r="B52" s="44" t="s">
        <v>337</v>
      </c>
      <c r="C52" s="47">
        <v>3</v>
      </c>
      <c r="D52" s="47" t="s">
        <v>335</v>
      </c>
      <c r="E52" s="138" t="s">
        <v>338</v>
      </c>
      <c r="F52" s="48" t="s">
        <v>396</v>
      </c>
      <c r="G52" s="60" t="str">
        <f t="shared" si="16"/>
        <v xml:space="preserve">[effect:break_attack, val:0.05, lowest_val:0, count:8, block:block_red, target:unit_all]    </v>
      </c>
      <c r="H52" s="60">
        <f t="shared" si="17"/>
        <v>9</v>
      </c>
      <c r="I52" s="60">
        <f t="shared" si="18"/>
        <v>21</v>
      </c>
      <c r="J52" s="60">
        <f t="shared" si="19"/>
        <v>80</v>
      </c>
      <c r="K52" s="60">
        <f t="shared" si="20"/>
        <v>31</v>
      </c>
      <c r="L52" s="60" t="str">
        <f>IFERROR(VLOOKUP(MID(G52,J52,K52-J52),[6]skilldef!$C:$D,2,FALSE),"-") &amp; " / " &amp; IFERROR(VLOOKUP(MID(G52,H52,I52-H52),[6]skilldef!$A:$B,2,FALSE),"-")</f>
        <v>- / -</v>
      </c>
      <c r="M52" s="60" t="str">
        <f t="shared" si="21"/>
        <v>none</v>
      </c>
      <c r="N52" s="45" t="str">
        <f>IFERROR(LEFT(M52,FIND("],",M52)+#REF!),M52)</f>
        <v>none</v>
      </c>
      <c r="O52" s="60" t="e">
        <f t="shared" si="23"/>
        <v>#VALUE!</v>
      </c>
      <c r="P52" s="60">
        <f t="shared" si="24"/>
        <v>4</v>
      </c>
      <c r="Q52" s="60" t="e">
        <f t="shared" si="25"/>
        <v>#VALUE!</v>
      </c>
      <c r="R52" s="60" t="e">
        <f t="shared" si="26"/>
        <v>#VALUE!</v>
      </c>
      <c r="S52" s="60" t="str">
        <f>IFERROR(VLOOKUP(MID(N52,Q52,R52-Q52),[6]skilldef!$C:$D,2,FALSE),"-") &amp; " / " &amp; IFERROR(VLOOKUP(MID(N52,O52,P52-O52),[6]skilldef!$A:$B,2,FALSE),"-")</f>
        <v>- / -</v>
      </c>
      <c r="T52" s="45" t="str">
        <f t="shared" si="27"/>
        <v>none</v>
      </c>
      <c r="U52" s="60" t="e">
        <f t="shared" si="28"/>
        <v>#VALUE!</v>
      </c>
      <c r="V52" s="60">
        <f t="shared" si="29"/>
        <v>4</v>
      </c>
      <c r="W52" s="60" t="e">
        <f t="shared" si="30"/>
        <v>#VALUE!</v>
      </c>
      <c r="X52" s="60" t="e">
        <f t="shared" si="31"/>
        <v>#VALUE!</v>
      </c>
      <c r="Y52" s="60" t="str">
        <f>IFERROR(VLOOKUP(MID(T52,W52,X52-W52),[6]skilldef!$C:$D,2,FALSE),"-") &amp; " / " &amp; IFERROR(VLOOKUP(MID(T52,U52,V52-U52),[6]skilldef!$A:$B,2,FALSE),"-")</f>
        <v>- / -</v>
      </c>
      <c r="Z52" s="47"/>
      <c r="AA52" s="49"/>
      <c r="AB52" s="47"/>
    </row>
    <row r="53" spans="1:28" ht="21" customHeight="1" x14ac:dyDescent="0.15">
      <c r="A53" s="44">
        <v>15031052</v>
      </c>
      <c r="B53" s="44" t="s">
        <v>239</v>
      </c>
      <c r="C53" s="47">
        <v>3</v>
      </c>
      <c r="D53" s="47" t="s">
        <v>127</v>
      </c>
      <c r="E53" s="48" t="s">
        <v>255</v>
      </c>
      <c r="F53" s="48" t="s">
        <v>230</v>
      </c>
      <c r="G53" s="60" t="str">
        <f t="shared" si="16"/>
        <v>[effect:nothing]</v>
      </c>
      <c r="H53" s="60">
        <f t="shared" si="17"/>
        <v>9</v>
      </c>
      <c r="I53" s="60">
        <f t="shared" si="18"/>
        <v>16</v>
      </c>
      <c r="J53" s="60" t="e">
        <f t="shared" si="19"/>
        <v>#VALUE!</v>
      </c>
      <c r="K53" s="60" t="e">
        <f t="shared" si="20"/>
        <v>#VALUE!</v>
      </c>
      <c r="L53" s="60" t="str">
        <f>IFERROR(VLOOKUP(MID(G53,J53,K53-J53),[6]skilldef!$C:$D,2,FALSE),"-") &amp; " / " &amp; IFERROR(VLOOKUP(MID(G53,H53,I53-H53),[6]skilldef!$A:$B,2,FALSE),"-")</f>
        <v>- / 何もしない</v>
      </c>
      <c r="M53" s="60" t="str">
        <f t="shared" si="21"/>
        <v>none</v>
      </c>
      <c r="N53" s="45" t="str">
        <f>IFERROR(LEFT(M53,FIND("],",M53)+#REF!),M53)</f>
        <v>none</v>
      </c>
      <c r="O53" s="60" t="e">
        <f t="shared" si="23"/>
        <v>#VALUE!</v>
      </c>
      <c r="P53" s="60">
        <f t="shared" si="24"/>
        <v>4</v>
      </c>
      <c r="Q53" s="60" t="e">
        <f t="shared" si="25"/>
        <v>#VALUE!</v>
      </c>
      <c r="R53" s="60" t="e">
        <f t="shared" si="26"/>
        <v>#VALUE!</v>
      </c>
      <c r="S53" s="60" t="str">
        <f>IFERROR(VLOOKUP(MID(N53,Q53,R53-Q53),[6]skilldef!$C:$D,2,FALSE),"-") &amp; " / " &amp; IFERROR(VLOOKUP(MID(N53,O53,P53-O53),[6]skilldef!$A:$B,2,FALSE),"-")</f>
        <v>- / -</v>
      </c>
      <c r="T53" s="45" t="str">
        <f t="shared" si="27"/>
        <v>none</v>
      </c>
      <c r="U53" s="60" t="e">
        <f t="shared" si="28"/>
        <v>#VALUE!</v>
      </c>
      <c r="V53" s="60">
        <f t="shared" si="29"/>
        <v>4</v>
      </c>
      <c r="W53" s="60" t="e">
        <f t="shared" si="30"/>
        <v>#VALUE!</v>
      </c>
      <c r="X53" s="60" t="e">
        <f t="shared" si="31"/>
        <v>#VALUE!</v>
      </c>
      <c r="Y53" s="60" t="str">
        <f>IFERROR(VLOOKUP(MID(T53,W53,X53-W53),[6]skilldef!$C:$D,2,FALSE),"-") &amp; " / " &amp; IFERROR(VLOOKUP(MID(T53,U53,V53-U53),[6]skilldef!$A:$B,2,FALSE),"-")</f>
        <v>- / -</v>
      </c>
      <c r="Z53" s="47"/>
      <c r="AA53" s="49"/>
      <c r="AB53" s="47"/>
    </row>
    <row r="54" spans="1:28" ht="21" customHeight="1" x14ac:dyDescent="0.15">
      <c r="A54" s="44">
        <v>15031053</v>
      </c>
      <c r="B54" s="44" t="s">
        <v>239</v>
      </c>
      <c r="C54" s="47">
        <v>3</v>
      </c>
      <c r="D54" s="47" t="s">
        <v>127</v>
      </c>
      <c r="E54" s="48" t="s">
        <v>255</v>
      </c>
      <c r="F54" s="48" t="s">
        <v>230</v>
      </c>
      <c r="G54" s="60" t="str">
        <f t="shared" si="16"/>
        <v>[effect:nothing]</v>
      </c>
      <c r="H54" s="60">
        <f t="shared" si="17"/>
        <v>9</v>
      </c>
      <c r="I54" s="60">
        <f t="shared" si="18"/>
        <v>16</v>
      </c>
      <c r="J54" s="60" t="e">
        <f t="shared" si="19"/>
        <v>#VALUE!</v>
      </c>
      <c r="K54" s="60" t="e">
        <f t="shared" si="20"/>
        <v>#VALUE!</v>
      </c>
      <c r="L54" s="60" t="str">
        <f>IFERROR(VLOOKUP(MID(G54,J54,K54-J54),[6]skilldef!$C:$D,2,FALSE),"-") &amp; " / " &amp; IFERROR(VLOOKUP(MID(G54,H54,I54-H54),[6]skilldef!$A:$B,2,FALSE),"-")</f>
        <v>- / 何もしない</v>
      </c>
      <c r="M54" s="60" t="str">
        <f t="shared" si="21"/>
        <v>none</v>
      </c>
      <c r="N54" s="45" t="str">
        <f>IFERROR(LEFT(M54,FIND("],",M54)+#REF!),M54)</f>
        <v>none</v>
      </c>
      <c r="O54" s="60" t="e">
        <f t="shared" si="23"/>
        <v>#VALUE!</v>
      </c>
      <c r="P54" s="60">
        <f t="shared" si="24"/>
        <v>4</v>
      </c>
      <c r="Q54" s="60" t="e">
        <f t="shared" si="25"/>
        <v>#VALUE!</v>
      </c>
      <c r="R54" s="60" t="e">
        <f t="shared" si="26"/>
        <v>#VALUE!</v>
      </c>
      <c r="S54" s="60" t="str">
        <f>IFERROR(VLOOKUP(MID(N54,Q54,R54-Q54),[6]skilldef!$C:$D,2,FALSE),"-") &amp; " / " &amp; IFERROR(VLOOKUP(MID(N54,O54,P54-O54),[6]skilldef!$A:$B,2,FALSE),"-")</f>
        <v>- / -</v>
      </c>
      <c r="T54" s="45" t="str">
        <f t="shared" si="27"/>
        <v>none</v>
      </c>
      <c r="U54" s="60" t="e">
        <f t="shared" si="28"/>
        <v>#VALUE!</v>
      </c>
      <c r="V54" s="60">
        <f t="shared" si="29"/>
        <v>4</v>
      </c>
      <c r="W54" s="60" t="e">
        <f t="shared" si="30"/>
        <v>#VALUE!</v>
      </c>
      <c r="X54" s="60" t="e">
        <f t="shared" si="31"/>
        <v>#VALUE!</v>
      </c>
      <c r="Y54" s="60" t="str">
        <f>IFERROR(VLOOKUP(MID(T54,W54,X54-W54),[6]skilldef!$C:$D,2,FALSE),"-") &amp; " / " &amp; IFERROR(VLOOKUP(MID(T54,U54,V54-U54),[6]skilldef!$A:$B,2,FALSE),"-")</f>
        <v>- / -</v>
      </c>
      <c r="Z54" s="47"/>
      <c r="AA54" s="49"/>
      <c r="AB54" s="47"/>
    </row>
    <row r="55" spans="1:28" ht="21" customHeight="1" x14ac:dyDescent="0.15">
      <c r="A55" s="44">
        <v>15031054</v>
      </c>
      <c r="B55" s="44" t="s">
        <v>239</v>
      </c>
      <c r="C55" s="47">
        <v>3</v>
      </c>
      <c r="D55" s="47" t="s">
        <v>127</v>
      </c>
      <c r="E55" s="48" t="s">
        <v>255</v>
      </c>
      <c r="F55" s="48" t="s">
        <v>230</v>
      </c>
      <c r="G55" s="60" t="str">
        <f t="shared" si="16"/>
        <v>[effect:nothing]</v>
      </c>
      <c r="H55" s="60">
        <f t="shared" si="17"/>
        <v>9</v>
      </c>
      <c r="I55" s="60">
        <f t="shared" si="18"/>
        <v>16</v>
      </c>
      <c r="J55" s="60" t="e">
        <f t="shared" si="19"/>
        <v>#VALUE!</v>
      </c>
      <c r="K55" s="60" t="e">
        <f t="shared" si="20"/>
        <v>#VALUE!</v>
      </c>
      <c r="L55" s="60" t="str">
        <f>IFERROR(VLOOKUP(MID(G55,J55,K55-J55),[6]skilldef!$C:$D,2,FALSE),"-") &amp; " / " &amp; IFERROR(VLOOKUP(MID(G55,H55,I55-H55),[6]skilldef!$A:$B,2,FALSE),"-")</f>
        <v>- / 何もしない</v>
      </c>
      <c r="M55" s="60" t="str">
        <f t="shared" si="21"/>
        <v>none</v>
      </c>
      <c r="N55" s="45" t="str">
        <f>IFERROR(LEFT(M55,FIND("],",M55)+#REF!),M55)</f>
        <v>none</v>
      </c>
      <c r="O55" s="60" t="e">
        <f t="shared" si="23"/>
        <v>#VALUE!</v>
      </c>
      <c r="P55" s="60">
        <f t="shared" si="24"/>
        <v>4</v>
      </c>
      <c r="Q55" s="60" t="e">
        <f t="shared" si="25"/>
        <v>#VALUE!</v>
      </c>
      <c r="R55" s="60" t="e">
        <f t="shared" si="26"/>
        <v>#VALUE!</v>
      </c>
      <c r="S55" s="60" t="str">
        <f>IFERROR(VLOOKUP(MID(N55,Q55,R55-Q55),[6]skilldef!$C:$D,2,FALSE),"-") &amp; " / " &amp; IFERROR(VLOOKUP(MID(N55,O55,P55-O55),[6]skilldef!$A:$B,2,FALSE),"-")</f>
        <v>- / -</v>
      </c>
      <c r="T55" s="45" t="str">
        <f t="shared" si="27"/>
        <v>none</v>
      </c>
      <c r="U55" s="60" t="e">
        <f t="shared" si="28"/>
        <v>#VALUE!</v>
      </c>
      <c r="V55" s="60">
        <f t="shared" si="29"/>
        <v>4</v>
      </c>
      <c r="W55" s="60" t="e">
        <f t="shared" si="30"/>
        <v>#VALUE!</v>
      </c>
      <c r="X55" s="60" t="e">
        <f t="shared" si="31"/>
        <v>#VALUE!</v>
      </c>
      <c r="Y55" s="60" t="str">
        <f>IFERROR(VLOOKUP(MID(T55,W55,X55-W55),[6]skilldef!$C:$D,2,FALSE),"-") &amp; " / " &amp; IFERROR(VLOOKUP(MID(T55,U55,V55-U55),[6]skilldef!$A:$B,2,FALSE),"-")</f>
        <v>- / -</v>
      </c>
      <c r="Z55" s="47"/>
      <c r="AA55" s="49"/>
      <c r="AB55" s="47"/>
    </row>
    <row r="56" spans="1:28" ht="21" customHeight="1" x14ac:dyDescent="0.15">
      <c r="A56" s="44">
        <v>15031055</v>
      </c>
      <c r="B56" s="44" t="s">
        <v>239</v>
      </c>
      <c r="C56" s="47">
        <v>3</v>
      </c>
      <c r="D56" s="47" t="s">
        <v>127</v>
      </c>
      <c r="E56" s="48" t="s">
        <v>255</v>
      </c>
      <c r="F56" s="48" t="s">
        <v>230</v>
      </c>
      <c r="G56" s="60" t="str">
        <f t="shared" si="16"/>
        <v>[effect:nothing]</v>
      </c>
      <c r="H56" s="60">
        <f t="shared" si="17"/>
        <v>9</v>
      </c>
      <c r="I56" s="60">
        <f t="shared" si="18"/>
        <v>16</v>
      </c>
      <c r="J56" s="60" t="e">
        <f t="shared" si="19"/>
        <v>#VALUE!</v>
      </c>
      <c r="K56" s="60" t="e">
        <f t="shared" si="20"/>
        <v>#VALUE!</v>
      </c>
      <c r="L56" s="60" t="str">
        <f>IFERROR(VLOOKUP(MID(G56,J56,K56-J56),[6]skilldef!$C:$D,2,FALSE),"-") &amp; " / " &amp; IFERROR(VLOOKUP(MID(G56,H56,I56-H56),[6]skilldef!$A:$B,2,FALSE),"-")</f>
        <v>- / 何もしない</v>
      </c>
      <c r="M56" s="60" t="str">
        <f t="shared" si="21"/>
        <v>none</v>
      </c>
      <c r="N56" s="45" t="str">
        <f>IFERROR(LEFT(M56,FIND("],",M56)+#REF!),M56)</f>
        <v>none</v>
      </c>
      <c r="O56" s="60" t="e">
        <f t="shared" si="23"/>
        <v>#VALUE!</v>
      </c>
      <c r="P56" s="60">
        <f t="shared" si="24"/>
        <v>4</v>
      </c>
      <c r="Q56" s="60" t="e">
        <f t="shared" si="25"/>
        <v>#VALUE!</v>
      </c>
      <c r="R56" s="60" t="e">
        <f t="shared" si="26"/>
        <v>#VALUE!</v>
      </c>
      <c r="S56" s="60" t="str">
        <f>IFERROR(VLOOKUP(MID(N56,Q56,R56-Q56),[6]skilldef!$C:$D,2,FALSE),"-") &amp; " / " &amp; IFERROR(VLOOKUP(MID(N56,O56,P56-O56),[6]skilldef!$A:$B,2,FALSE),"-")</f>
        <v>- / -</v>
      </c>
      <c r="T56" s="45" t="str">
        <f t="shared" si="27"/>
        <v>none</v>
      </c>
      <c r="U56" s="60" t="e">
        <f t="shared" si="28"/>
        <v>#VALUE!</v>
      </c>
      <c r="V56" s="60">
        <f t="shared" si="29"/>
        <v>4</v>
      </c>
      <c r="W56" s="60" t="e">
        <f t="shared" si="30"/>
        <v>#VALUE!</v>
      </c>
      <c r="X56" s="60" t="e">
        <f t="shared" si="31"/>
        <v>#VALUE!</v>
      </c>
      <c r="Y56" s="60" t="str">
        <f>IFERROR(VLOOKUP(MID(T56,W56,X56-W56),[6]skilldef!$C:$D,2,FALSE),"-") &amp; " / " &amp; IFERROR(VLOOKUP(MID(T56,U56,V56-U56),[6]skilldef!$A:$B,2,FALSE),"-")</f>
        <v>- / -</v>
      </c>
      <c r="Z56" s="47"/>
      <c r="AA56" s="49"/>
      <c r="AB56" s="47"/>
    </row>
    <row r="57" spans="1:28" ht="21" customHeight="1" x14ac:dyDescent="0.15">
      <c r="A57" s="44">
        <v>15031056</v>
      </c>
      <c r="B57" s="44" t="s">
        <v>340</v>
      </c>
      <c r="C57" s="47">
        <v>3</v>
      </c>
      <c r="D57" s="47" t="s">
        <v>335</v>
      </c>
      <c r="E57" s="138" t="s">
        <v>338</v>
      </c>
      <c r="F57" s="48" t="s">
        <v>393</v>
      </c>
      <c r="G57" s="60" t="str">
        <f t="shared" si="16"/>
        <v xml:space="preserve">[effect:break_attack, val:0.05, lowest_val:0, count:8, block:block_blue, target:unit_all]    </v>
      </c>
      <c r="H57" s="60">
        <f t="shared" si="17"/>
        <v>9</v>
      </c>
      <c r="I57" s="60">
        <f t="shared" si="18"/>
        <v>21</v>
      </c>
      <c r="J57" s="60">
        <f t="shared" si="19"/>
        <v>81</v>
      </c>
      <c r="K57" s="60">
        <f t="shared" si="20"/>
        <v>31</v>
      </c>
      <c r="L57" s="60" t="str">
        <f>IFERROR(VLOOKUP(MID(G57,J57,K57-J57),[6]skilldef!$C:$D,2,FALSE),"-") &amp; " / " &amp; IFERROR(VLOOKUP(MID(G57,H57,I57-H57),[6]skilldef!$A:$B,2,FALSE),"-")</f>
        <v>- / -</v>
      </c>
      <c r="M57" s="60" t="str">
        <f t="shared" si="21"/>
        <v>none</v>
      </c>
      <c r="N57" s="45" t="str">
        <f>IFERROR(LEFT(M57,FIND("],",M57)+#REF!),M57)</f>
        <v>none</v>
      </c>
      <c r="O57" s="60" t="e">
        <f t="shared" si="23"/>
        <v>#VALUE!</v>
      </c>
      <c r="P57" s="60">
        <f t="shared" si="24"/>
        <v>4</v>
      </c>
      <c r="Q57" s="60" t="e">
        <f t="shared" si="25"/>
        <v>#VALUE!</v>
      </c>
      <c r="R57" s="60" t="e">
        <f t="shared" si="26"/>
        <v>#VALUE!</v>
      </c>
      <c r="S57" s="60" t="str">
        <f>IFERROR(VLOOKUP(MID(N57,Q57,R57-Q57),[6]skilldef!$C:$D,2,FALSE),"-") &amp; " / " &amp; IFERROR(VLOOKUP(MID(N57,O57,P57-O57),[6]skilldef!$A:$B,2,FALSE),"-")</f>
        <v>- / -</v>
      </c>
      <c r="T57" s="45" t="str">
        <f t="shared" si="27"/>
        <v>none</v>
      </c>
      <c r="U57" s="60" t="e">
        <f t="shared" si="28"/>
        <v>#VALUE!</v>
      </c>
      <c r="V57" s="60">
        <f t="shared" si="29"/>
        <v>4</v>
      </c>
      <c r="W57" s="60" t="e">
        <f t="shared" si="30"/>
        <v>#VALUE!</v>
      </c>
      <c r="X57" s="60" t="e">
        <f t="shared" si="31"/>
        <v>#VALUE!</v>
      </c>
      <c r="Y57" s="60" t="str">
        <f>IFERROR(VLOOKUP(MID(T57,W57,X57-W57),[6]skilldef!$C:$D,2,FALSE),"-") &amp; " / " &amp; IFERROR(VLOOKUP(MID(T57,U57,V57-U57),[6]skilldef!$A:$B,2,FALSE),"-")</f>
        <v>- / -</v>
      </c>
      <c r="Z57" s="47"/>
      <c r="AA57" s="49"/>
      <c r="AB57" s="47"/>
    </row>
    <row r="58" spans="1:28" ht="21" customHeight="1" x14ac:dyDescent="0.15">
      <c r="A58" s="44">
        <v>15031057</v>
      </c>
      <c r="B58" s="44" t="s">
        <v>239</v>
      </c>
      <c r="C58" s="47">
        <v>3</v>
      </c>
      <c r="D58" s="47" t="s">
        <v>127</v>
      </c>
      <c r="E58" s="48" t="s">
        <v>256</v>
      </c>
      <c r="F58" s="48" t="s">
        <v>230</v>
      </c>
      <c r="G58" s="60" t="str">
        <f t="shared" si="16"/>
        <v>[effect:nothing]</v>
      </c>
      <c r="H58" s="60">
        <f t="shared" si="17"/>
        <v>9</v>
      </c>
      <c r="I58" s="60">
        <f t="shared" si="18"/>
        <v>16</v>
      </c>
      <c r="J58" s="60" t="e">
        <f t="shared" si="19"/>
        <v>#VALUE!</v>
      </c>
      <c r="K58" s="60" t="e">
        <f t="shared" si="20"/>
        <v>#VALUE!</v>
      </c>
      <c r="L58" s="60" t="str">
        <f>IFERROR(VLOOKUP(MID(G58,J58,K58-J58),[6]skilldef!$C:$D,2,FALSE),"-") &amp; " / " &amp; IFERROR(VLOOKUP(MID(G58,H58,I58-H58),[6]skilldef!$A:$B,2,FALSE),"-")</f>
        <v>- / 何もしない</v>
      </c>
      <c r="M58" s="60" t="str">
        <f t="shared" si="21"/>
        <v>none</v>
      </c>
      <c r="N58" s="45" t="str">
        <f>IFERROR(LEFT(M58,FIND("],",M58)+#REF!),M58)</f>
        <v>none</v>
      </c>
      <c r="O58" s="60" t="e">
        <f t="shared" si="23"/>
        <v>#VALUE!</v>
      </c>
      <c r="P58" s="60">
        <f t="shared" si="24"/>
        <v>4</v>
      </c>
      <c r="Q58" s="60" t="e">
        <f t="shared" si="25"/>
        <v>#VALUE!</v>
      </c>
      <c r="R58" s="60" t="e">
        <f t="shared" si="26"/>
        <v>#VALUE!</v>
      </c>
      <c r="S58" s="60" t="str">
        <f>IFERROR(VLOOKUP(MID(N58,Q58,R58-Q58),[6]skilldef!$C:$D,2,FALSE),"-") &amp; " / " &amp; IFERROR(VLOOKUP(MID(N58,O58,P58-O58),[6]skilldef!$A:$B,2,FALSE),"-")</f>
        <v>- / -</v>
      </c>
      <c r="T58" s="45" t="str">
        <f t="shared" si="27"/>
        <v>none</v>
      </c>
      <c r="U58" s="60" t="e">
        <f t="shared" si="28"/>
        <v>#VALUE!</v>
      </c>
      <c r="V58" s="60">
        <f t="shared" si="29"/>
        <v>4</v>
      </c>
      <c r="W58" s="60" t="e">
        <f t="shared" si="30"/>
        <v>#VALUE!</v>
      </c>
      <c r="X58" s="60" t="e">
        <f t="shared" si="31"/>
        <v>#VALUE!</v>
      </c>
      <c r="Y58" s="60" t="str">
        <f>IFERROR(VLOOKUP(MID(T58,W58,X58-W58),[6]skilldef!$C:$D,2,FALSE),"-") &amp; " / " &amp; IFERROR(VLOOKUP(MID(T58,U58,V58-U58),[6]skilldef!$A:$B,2,FALSE),"-")</f>
        <v>- / -</v>
      </c>
      <c r="Z58" s="47"/>
      <c r="AA58" s="49"/>
      <c r="AB58" s="47"/>
    </row>
    <row r="59" spans="1:28" ht="21" customHeight="1" x14ac:dyDescent="0.15">
      <c r="A59" s="44">
        <v>15031058</v>
      </c>
      <c r="B59" s="44" t="s">
        <v>239</v>
      </c>
      <c r="C59" s="47">
        <v>3</v>
      </c>
      <c r="D59" s="47" t="s">
        <v>127</v>
      </c>
      <c r="E59" s="48" t="s">
        <v>256</v>
      </c>
      <c r="F59" s="48" t="s">
        <v>230</v>
      </c>
      <c r="G59" s="60" t="str">
        <f t="shared" si="16"/>
        <v>[effect:nothing]</v>
      </c>
      <c r="H59" s="60">
        <f t="shared" si="17"/>
        <v>9</v>
      </c>
      <c r="I59" s="60">
        <f t="shared" si="18"/>
        <v>16</v>
      </c>
      <c r="J59" s="60" t="e">
        <f t="shared" si="19"/>
        <v>#VALUE!</v>
      </c>
      <c r="K59" s="60" t="e">
        <f t="shared" si="20"/>
        <v>#VALUE!</v>
      </c>
      <c r="L59" s="60" t="str">
        <f>IFERROR(VLOOKUP(MID(G59,J59,K59-J59),[6]skilldef!$C:$D,2,FALSE),"-") &amp; " / " &amp; IFERROR(VLOOKUP(MID(G59,H59,I59-H59),[6]skilldef!$A:$B,2,FALSE),"-")</f>
        <v>- / 何もしない</v>
      </c>
      <c r="M59" s="60" t="str">
        <f t="shared" si="21"/>
        <v>none</v>
      </c>
      <c r="N59" s="45" t="str">
        <f>IFERROR(LEFT(M59,FIND("],",M59)+#REF!),M59)</f>
        <v>none</v>
      </c>
      <c r="O59" s="60" t="e">
        <f t="shared" si="23"/>
        <v>#VALUE!</v>
      </c>
      <c r="P59" s="60">
        <f t="shared" si="24"/>
        <v>4</v>
      </c>
      <c r="Q59" s="60" t="e">
        <f t="shared" si="25"/>
        <v>#VALUE!</v>
      </c>
      <c r="R59" s="60" t="e">
        <f t="shared" si="26"/>
        <v>#VALUE!</v>
      </c>
      <c r="S59" s="60" t="str">
        <f>IFERROR(VLOOKUP(MID(N59,Q59,R59-Q59),[6]skilldef!$C:$D,2,FALSE),"-") &amp; " / " &amp; IFERROR(VLOOKUP(MID(N59,O59,P59-O59),[6]skilldef!$A:$B,2,FALSE),"-")</f>
        <v>- / -</v>
      </c>
      <c r="T59" s="45" t="str">
        <f t="shared" si="27"/>
        <v>none</v>
      </c>
      <c r="U59" s="60" t="e">
        <f t="shared" si="28"/>
        <v>#VALUE!</v>
      </c>
      <c r="V59" s="60">
        <f t="shared" si="29"/>
        <v>4</v>
      </c>
      <c r="W59" s="60" t="e">
        <f t="shared" si="30"/>
        <v>#VALUE!</v>
      </c>
      <c r="X59" s="60" t="e">
        <f t="shared" si="31"/>
        <v>#VALUE!</v>
      </c>
      <c r="Y59" s="60" t="str">
        <f>IFERROR(VLOOKUP(MID(T59,W59,X59-W59),[6]skilldef!$C:$D,2,FALSE),"-") &amp; " / " &amp; IFERROR(VLOOKUP(MID(T59,U59,V59-U59),[6]skilldef!$A:$B,2,FALSE),"-")</f>
        <v>- / -</v>
      </c>
      <c r="Z59" s="47"/>
      <c r="AA59" s="49"/>
      <c r="AB59" s="47"/>
    </row>
    <row r="60" spans="1:28" ht="21" customHeight="1" x14ac:dyDescent="0.15">
      <c r="A60" s="44">
        <v>15031059</v>
      </c>
      <c r="B60" s="44" t="s">
        <v>239</v>
      </c>
      <c r="C60" s="47">
        <v>3</v>
      </c>
      <c r="D60" s="47" t="s">
        <v>127</v>
      </c>
      <c r="E60" s="48" t="s">
        <v>256</v>
      </c>
      <c r="F60" s="48" t="s">
        <v>230</v>
      </c>
      <c r="G60" s="60" t="str">
        <f t="shared" si="16"/>
        <v>[effect:nothing]</v>
      </c>
      <c r="H60" s="60">
        <f t="shared" si="17"/>
        <v>9</v>
      </c>
      <c r="I60" s="60">
        <f t="shared" si="18"/>
        <v>16</v>
      </c>
      <c r="J60" s="60" t="e">
        <f t="shared" si="19"/>
        <v>#VALUE!</v>
      </c>
      <c r="K60" s="60" t="e">
        <f t="shared" si="20"/>
        <v>#VALUE!</v>
      </c>
      <c r="L60" s="60" t="str">
        <f>IFERROR(VLOOKUP(MID(G60,J60,K60-J60),[6]skilldef!$C:$D,2,FALSE),"-") &amp; " / " &amp; IFERROR(VLOOKUP(MID(G60,H60,I60-H60),[6]skilldef!$A:$B,2,FALSE),"-")</f>
        <v>- / 何もしない</v>
      </c>
      <c r="M60" s="60" t="str">
        <f t="shared" si="21"/>
        <v>none</v>
      </c>
      <c r="N60" s="45" t="str">
        <f>IFERROR(LEFT(M60,FIND("],",M60)+#REF!),M60)</f>
        <v>none</v>
      </c>
      <c r="O60" s="60" t="e">
        <f t="shared" si="23"/>
        <v>#VALUE!</v>
      </c>
      <c r="P60" s="60">
        <f t="shared" si="24"/>
        <v>4</v>
      </c>
      <c r="Q60" s="60" t="e">
        <f t="shared" si="25"/>
        <v>#VALUE!</v>
      </c>
      <c r="R60" s="60" t="e">
        <f t="shared" si="26"/>
        <v>#VALUE!</v>
      </c>
      <c r="S60" s="60" t="str">
        <f>IFERROR(VLOOKUP(MID(N60,Q60,R60-Q60),[6]skilldef!$C:$D,2,FALSE),"-") &amp; " / " &amp; IFERROR(VLOOKUP(MID(N60,O60,P60-O60),[6]skilldef!$A:$B,2,FALSE),"-")</f>
        <v>- / -</v>
      </c>
      <c r="T60" s="45" t="str">
        <f t="shared" si="27"/>
        <v>none</v>
      </c>
      <c r="U60" s="60" t="e">
        <f t="shared" si="28"/>
        <v>#VALUE!</v>
      </c>
      <c r="V60" s="60">
        <f t="shared" si="29"/>
        <v>4</v>
      </c>
      <c r="W60" s="60" t="e">
        <f t="shared" si="30"/>
        <v>#VALUE!</v>
      </c>
      <c r="X60" s="60" t="e">
        <f t="shared" si="31"/>
        <v>#VALUE!</v>
      </c>
      <c r="Y60" s="60" t="str">
        <f>IFERROR(VLOOKUP(MID(T60,W60,X60-W60),[6]skilldef!$C:$D,2,FALSE),"-") &amp; " / " &amp; IFERROR(VLOOKUP(MID(T60,U60,V60-U60),[6]skilldef!$A:$B,2,FALSE),"-")</f>
        <v>- / -</v>
      </c>
      <c r="Z60" s="47"/>
      <c r="AA60" s="49"/>
      <c r="AB60" s="47"/>
    </row>
    <row r="61" spans="1:28" ht="21" customHeight="1" x14ac:dyDescent="0.15">
      <c r="A61" s="44">
        <v>15031060</v>
      </c>
      <c r="B61" s="44" t="s">
        <v>239</v>
      </c>
      <c r="C61" s="47">
        <v>3</v>
      </c>
      <c r="D61" s="47" t="s">
        <v>127</v>
      </c>
      <c r="E61" s="48" t="s">
        <v>256</v>
      </c>
      <c r="F61" s="48" t="s">
        <v>230</v>
      </c>
      <c r="G61" s="60" t="str">
        <f t="shared" si="16"/>
        <v>[effect:nothing]</v>
      </c>
      <c r="H61" s="60">
        <f t="shared" si="17"/>
        <v>9</v>
      </c>
      <c r="I61" s="60">
        <f t="shared" si="18"/>
        <v>16</v>
      </c>
      <c r="J61" s="60" t="e">
        <f t="shared" si="19"/>
        <v>#VALUE!</v>
      </c>
      <c r="K61" s="60" t="e">
        <f t="shared" si="20"/>
        <v>#VALUE!</v>
      </c>
      <c r="L61" s="60" t="str">
        <f>IFERROR(VLOOKUP(MID(G61,J61,K61-J61),[6]skilldef!$C:$D,2,FALSE),"-") &amp; " / " &amp; IFERROR(VLOOKUP(MID(G61,H61,I61-H61),[6]skilldef!$A:$B,2,FALSE),"-")</f>
        <v>- / 何もしない</v>
      </c>
      <c r="M61" s="60" t="str">
        <f t="shared" si="21"/>
        <v>none</v>
      </c>
      <c r="N61" s="45" t="str">
        <f>IFERROR(LEFT(M61,FIND("],",M61)+#REF!),M61)</f>
        <v>none</v>
      </c>
      <c r="O61" s="60" t="e">
        <f t="shared" si="23"/>
        <v>#VALUE!</v>
      </c>
      <c r="P61" s="60">
        <f t="shared" si="24"/>
        <v>4</v>
      </c>
      <c r="Q61" s="60" t="e">
        <f t="shared" si="25"/>
        <v>#VALUE!</v>
      </c>
      <c r="R61" s="60" t="e">
        <f t="shared" si="26"/>
        <v>#VALUE!</v>
      </c>
      <c r="S61" s="60" t="str">
        <f>IFERROR(VLOOKUP(MID(N61,Q61,R61-Q61),[6]skilldef!$C:$D,2,FALSE),"-") &amp; " / " &amp; IFERROR(VLOOKUP(MID(N61,O61,P61-O61),[6]skilldef!$A:$B,2,FALSE),"-")</f>
        <v>- / -</v>
      </c>
      <c r="T61" s="45" t="str">
        <f t="shared" si="27"/>
        <v>none</v>
      </c>
      <c r="U61" s="60" t="e">
        <f t="shared" si="28"/>
        <v>#VALUE!</v>
      </c>
      <c r="V61" s="60">
        <f t="shared" si="29"/>
        <v>4</v>
      </c>
      <c r="W61" s="60" t="e">
        <f t="shared" si="30"/>
        <v>#VALUE!</v>
      </c>
      <c r="X61" s="60" t="e">
        <f t="shared" si="31"/>
        <v>#VALUE!</v>
      </c>
      <c r="Y61" s="60" t="str">
        <f>IFERROR(VLOOKUP(MID(T61,W61,X61-W61),[6]skilldef!$C:$D,2,FALSE),"-") &amp; " / " &amp; IFERROR(VLOOKUP(MID(T61,U61,V61-U61),[6]skilldef!$A:$B,2,FALSE),"-")</f>
        <v>- / -</v>
      </c>
      <c r="Z61" s="47"/>
      <c r="AA61" s="49"/>
      <c r="AB61" s="47"/>
    </row>
    <row r="62" spans="1:28" ht="21" customHeight="1" x14ac:dyDescent="0.15">
      <c r="A62" s="44">
        <v>15031061</v>
      </c>
      <c r="B62" s="44" t="s">
        <v>334</v>
      </c>
      <c r="C62" s="47">
        <v>3</v>
      </c>
      <c r="D62" s="47" t="s">
        <v>335</v>
      </c>
      <c r="E62" s="138" t="s">
        <v>336</v>
      </c>
      <c r="F62" s="48" t="s">
        <v>385</v>
      </c>
      <c r="G62" s="60" t="str">
        <f t="shared" si="16"/>
        <v>[effect:dis_heart, turn:3, animation:enemy_dis_heart]</v>
      </c>
      <c r="H62" s="60">
        <f t="shared" si="17"/>
        <v>9</v>
      </c>
      <c r="I62" s="60">
        <f t="shared" si="18"/>
        <v>18</v>
      </c>
      <c r="J62" s="60" t="e">
        <f t="shared" si="19"/>
        <v>#VALUE!</v>
      </c>
      <c r="K62" s="60">
        <f t="shared" si="20"/>
        <v>26</v>
      </c>
      <c r="L62" s="60" t="str">
        <f>IFERROR(VLOOKUP(MID(G62,J62,K62-J62),[6]skilldef!$C:$D,2,FALSE),"-") &amp; " / " &amp; IFERROR(VLOOKUP(MID(G62,H62,I62-H62),[6]skilldef!$A:$B,2,FALSE),"-")</f>
        <v>- / ディスハート</v>
      </c>
      <c r="M62" s="60" t="str">
        <f t="shared" si="21"/>
        <v>none</v>
      </c>
      <c r="N62" s="45" t="str">
        <f t="shared" si="22"/>
        <v>none</v>
      </c>
      <c r="O62" s="60" t="e">
        <f t="shared" si="23"/>
        <v>#VALUE!</v>
      </c>
      <c r="P62" s="60">
        <f t="shared" si="24"/>
        <v>4</v>
      </c>
      <c r="Q62" s="60" t="e">
        <f t="shared" si="25"/>
        <v>#VALUE!</v>
      </c>
      <c r="R62" s="60" t="e">
        <f t="shared" si="26"/>
        <v>#VALUE!</v>
      </c>
      <c r="S62" s="60" t="str">
        <f>IFERROR(VLOOKUP(MID(N62,Q62,R62-Q62),[6]skilldef!$C:$D,2,FALSE),"-") &amp; " / " &amp; IFERROR(VLOOKUP(MID(N62,O62,P62-O62),[6]skilldef!$A:$B,2,FALSE),"-")</f>
        <v>- / -</v>
      </c>
      <c r="T62" s="45" t="str">
        <f t="shared" si="27"/>
        <v>none</v>
      </c>
      <c r="U62" s="60" t="e">
        <f t="shared" si="28"/>
        <v>#VALUE!</v>
      </c>
      <c r="V62" s="60">
        <f t="shared" si="29"/>
        <v>4</v>
      </c>
      <c r="W62" s="60" t="e">
        <f t="shared" si="30"/>
        <v>#VALUE!</v>
      </c>
      <c r="X62" s="60" t="e">
        <f t="shared" si="31"/>
        <v>#VALUE!</v>
      </c>
      <c r="Y62" s="60" t="str">
        <f>IFERROR(VLOOKUP(MID(T62,W62,X62-W62),[6]skilldef!$C:$D,2,FALSE),"-") &amp; " / " &amp; IFERROR(VLOOKUP(MID(T62,U62,V62-U62),[6]skilldef!$A:$B,2,FALSE),"-")</f>
        <v>- / -</v>
      </c>
      <c r="Z62" s="47"/>
      <c r="AA62" s="49"/>
      <c r="AB62" s="47"/>
    </row>
    <row r="63" spans="1:28" ht="21" customHeight="1" x14ac:dyDescent="0.15">
      <c r="A63" s="44">
        <v>15031062</v>
      </c>
      <c r="B63" s="44" t="s">
        <v>239</v>
      </c>
      <c r="C63" s="47">
        <v>3</v>
      </c>
      <c r="D63" s="47" t="s">
        <v>127</v>
      </c>
      <c r="E63" s="48" t="s">
        <v>257</v>
      </c>
      <c r="F63" s="48" t="s">
        <v>230</v>
      </c>
      <c r="G63" s="60" t="str">
        <f t="shared" si="16"/>
        <v>[effect:nothing]</v>
      </c>
      <c r="H63" s="60">
        <f t="shared" si="17"/>
        <v>9</v>
      </c>
      <c r="I63" s="60">
        <f t="shared" si="18"/>
        <v>16</v>
      </c>
      <c r="J63" s="60" t="e">
        <f t="shared" si="19"/>
        <v>#VALUE!</v>
      </c>
      <c r="K63" s="60" t="e">
        <f t="shared" si="20"/>
        <v>#VALUE!</v>
      </c>
      <c r="L63" s="60" t="str">
        <f>IFERROR(VLOOKUP(MID(G63,J63,K63-J63),[6]skilldef!$C:$D,2,FALSE),"-") &amp; " / " &amp; IFERROR(VLOOKUP(MID(G63,H63,I63-H63),[6]skilldef!$A:$B,2,FALSE),"-")</f>
        <v>- / 何もしない</v>
      </c>
      <c r="M63" s="60" t="str">
        <f t="shared" si="21"/>
        <v>none</v>
      </c>
      <c r="N63" s="45" t="str">
        <f t="shared" si="22"/>
        <v>none</v>
      </c>
      <c r="O63" s="60" t="e">
        <f t="shared" si="23"/>
        <v>#VALUE!</v>
      </c>
      <c r="P63" s="60">
        <f t="shared" si="24"/>
        <v>4</v>
      </c>
      <c r="Q63" s="60" t="e">
        <f t="shared" si="25"/>
        <v>#VALUE!</v>
      </c>
      <c r="R63" s="60" t="e">
        <f t="shared" si="26"/>
        <v>#VALUE!</v>
      </c>
      <c r="S63" s="60" t="str">
        <f>IFERROR(VLOOKUP(MID(N63,Q63,R63-Q63),[6]skilldef!$C:$D,2,FALSE),"-") &amp; " / " &amp; IFERROR(VLOOKUP(MID(N63,O63,P63-O63),[6]skilldef!$A:$B,2,FALSE),"-")</f>
        <v>- / -</v>
      </c>
      <c r="T63" s="45" t="str">
        <f t="shared" si="27"/>
        <v>none</v>
      </c>
      <c r="U63" s="60" t="e">
        <f t="shared" si="28"/>
        <v>#VALUE!</v>
      </c>
      <c r="V63" s="60">
        <f t="shared" si="29"/>
        <v>4</v>
      </c>
      <c r="W63" s="60" t="e">
        <f t="shared" si="30"/>
        <v>#VALUE!</v>
      </c>
      <c r="X63" s="60" t="e">
        <f t="shared" si="31"/>
        <v>#VALUE!</v>
      </c>
      <c r="Y63" s="60" t="str">
        <f>IFERROR(VLOOKUP(MID(T63,W63,X63-W63),[6]skilldef!$C:$D,2,FALSE),"-") &amp; " / " &amp; IFERROR(VLOOKUP(MID(T63,U63,V63-U63),[6]skilldef!$A:$B,2,FALSE),"-")</f>
        <v>- / -</v>
      </c>
      <c r="Z63" s="47"/>
      <c r="AA63" s="49"/>
      <c r="AB63" s="47"/>
    </row>
    <row r="64" spans="1:28" ht="21" customHeight="1" x14ac:dyDescent="0.15">
      <c r="A64" s="44">
        <v>15031063</v>
      </c>
      <c r="B64" s="44" t="s">
        <v>239</v>
      </c>
      <c r="C64" s="47">
        <v>3</v>
      </c>
      <c r="D64" s="47" t="s">
        <v>127</v>
      </c>
      <c r="E64" s="48" t="s">
        <v>257</v>
      </c>
      <c r="F64" s="48" t="s">
        <v>230</v>
      </c>
      <c r="G64" s="60" t="str">
        <f t="shared" si="16"/>
        <v>[effect:nothing]</v>
      </c>
      <c r="H64" s="60">
        <f t="shared" si="17"/>
        <v>9</v>
      </c>
      <c r="I64" s="60">
        <f t="shared" si="18"/>
        <v>16</v>
      </c>
      <c r="J64" s="60" t="e">
        <f t="shared" si="19"/>
        <v>#VALUE!</v>
      </c>
      <c r="K64" s="60" t="e">
        <f t="shared" si="20"/>
        <v>#VALUE!</v>
      </c>
      <c r="L64" s="60" t="str">
        <f>IFERROR(VLOOKUP(MID(G64,J64,K64-J64),[6]skilldef!$C:$D,2,FALSE),"-") &amp; " / " &amp; IFERROR(VLOOKUP(MID(G64,H64,I64-H64),[6]skilldef!$A:$B,2,FALSE),"-")</f>
        <v>- / 何もしない</v>
      </c>
      <c r="M64" s="60" t="str">
        <f t="shared" si="21"/>
        <v>none</v>
      </c>
      <c r="N64" s="45" t="str">
        <f t="shared" si="22"/>
        <v>none</v>
      </c>
      <c r="O64" s="60" t="e">
        <f t="shared" si="23"/>
        <v>#VALUE!</v>
      </c>
      <c r="P64" s="60">
        <f t="shared" si="24"/>
        <v>4</v>
      </c>
      <c r="Q64" s="60" t="e">
        <f t="shared" si="25"/>
        <v>#VALUE!</v>
      </c>
      <c r="R64" s="60" t="e">
        <f t="shared" si="26"/>
        <v>#VALUE!</v>
      </c>
      <c r="S64" s="60" t="str">
        <f>IFERROR(VLOOKUP(MID(N64,Q64,R64-Q64),[6]skilldef!$C:$D,2,FALSE),"-") &amp; " / " &amp; IFERROR(VLOOKUP(MID(N64,O64,P64-O64),[6]skilldef!$A:$B,2,FALSE),"-")</f>
        <v>- / -</v>
      </c>
      <c r="T64" s="45" t="str">
        <f t="shared" si="27"/>
        <v>none</v>
      </c>
      <c r="U64" s="60" t="e">
        <f t="shared" si="28"/>
        <v>#VALUE!</v>
      </c>
      <c r="V64" s="60">
        <f t="shared" si="29"/>
        <v>4</v>
      </c>
      <c r="W64" s="60" t="e">
        <f t="shared" si="30"/>
        <v>#VALUE!</v>
      </c>
      <c r="X64" s="60" t="e">
        <f t="shared" si="31"/>
        <v>#VALUE!</v>
      </c>
      <c r="Y64" s="60" t="str">
        <f>IFERROR(VLOOKUP(MID(T64,W64,X64-W64),[6]skilldef!$C:$D,2,FALSE),"-") &amp; " / " &amp; IFERROR(VLOOKUP(MID(T64,U64,V64-U64),[6]skilldef!$A:$B,2,FALSE),"-")</f>
        <v>- / -</v>
      </c>
      <c r="Z64" s="47"/>
      <c r="AA64" s="49"/>
      <c r="AB64" s="47"/>
    </row>
    <row r="65" spans="1:28" ht="21" customHeight="1" x14ac:dyDescent="0.15">
      <c r="A65" s="44">
        <v>15031064</v>
      </c>
      <c r="B65" s="44" t="s">
        <v>239</v>
      </c>
      <c r="C65" s="47">
        <v>3</v>
      </c>
      <c r="D65" s="47" t="s">
        <v>127</v>
      </c>
      <c r="E65" s="48" t="s">
        <v>257</v>
      </c>
      <c r="F65" s="48" t="s">
        <v>230</v>
      </c>
      <c r="G65" s="60" t="str">
        <f t="shared" si="16"/>
        <v>[effect:nothing]</v>
      </c>
      <c r="H65" s="60">
        <f t="shared" si="17"/>
        <v>9</v>
      </c>
      <c r="I65" s="60">
        <f t="shared" si="18"/>
        <v>16</v>
      </c>
      <c r="J65" s="60" t="e">
        <f t="shared" si="19"/>
        <v>#VALUE!</v>
      </c>
      <c r="K65" s="60" t="e">
        <f t="shared" si="20"/>
        <v>#VALUE!</v>
      </c>
      <c r="L65" s="60" t="str">
        <f>IFERROR(VLOOKUP(MID(G65,J65,K65-J65),[6]skilldef!$C:$D,2,FALSE),"-") &amp; " / " &amp; IFERROR(VLOOKUP(MID(G65,H65,I65-H65),[6]skilldef!$A:$B,2,FALSE),"-")</f>
        <v>- / 何もしない</v>
      </c>
      <c r="M65" s="60" t="str">
        <f t="shared" si="21"/>
        <v>none</v>
      </c>
      <c r="N65" s="45" t="str">
        <f t="shared" si="22"/>
        <v>none</v>
      </c>
      <c r="O65" s="60" t="e">
        <f t="shared" si="23"/>
        <v>#VALUE!</v>
      </c>
      <c r="P65" s="60">
        <f t="shared" si="24"/>
        <v>4</v>
      </c>
      <c r="Q65" s="60" t="e">
        <f t="shared" si="25"/>
        <v>#VALUE!</v>
      </c>
      <c r="R65" s="60" t="e">
        <f t="shared" si="26"/>
        <v>#VALUE!</v>
      </c>
      <c r="S65" s="60" t="str">
        <f>IFERROR(VLOOKUP(MID(N65,Q65,R65-Q65),[6]skilldef!$C:$D,2,FALSE),"-") &amp; " / " &amp; IFERROR(VLOOKUP(MID(N65,O65,P65-O65),[6]skilldef!$A:$B,2,FALSE),"-")</f>
        <v>- / -</v>
      </c>
      <c r="T65" s="45" t="str">
        <f t="shared" si="27"/>
        <v>none</v>
      </c>
      <c r="U65" s="60" t="e">
        <f t="shared" si="28"/>
        <v>#VALUE!</v>
      </c>
      <c r="V65" s="60">
        <f t="shared" si="29"/>
        <v>4</v>
      </c>
      <c r="W65" s="60" t="e">
        <f t="shared" si="30"/>
        <v>#VALUE!</v>
      </c>
      <c r="X65" s="60" t="e">
        <f t="shared" si="31"/>
        <v>#VALUE!</v>
      </c>
      <c r="Y65" s="60" t="str">
        <f>IFERROR(VLOOKUP(MID(T65,W65,X65-W65),[6]skilldef!$C:$D,2,FALSE),"-") &amp; " / " &amp; IFERROR(VLOOKUP(MID(T65,U65,V65-U65),[6]skilldef!$A:$B,2,FALSE),"-")</f>
        <v>- / -</v>
      </c>
      <c r="Z65" s="47"/>
      <c r="AA65" s="49"/>
      <c r="AB65" s="47"/>
    </row>
    <row r="66" spans="1:28" ht="21" customHeight="1" x14ac:dyDescent="0.15">
      <c r="A66" s="44">
        <v>15031065</v>
      </c>
      <c r="B66" s="44" t="s">
        <v>239</v>
      </c>
      <c r="C66" s="47">
        <v>3</v>
      </c>
      <c r="D66" s="47" t="s">
        <v>127</v>
      </c>
      <c r="E66" s="48" t="s">
        <v>257</v>
      </c>
      <c r="F66" s="48" t="s">
        <v>230</v>
      </c>
      <c r="G66" s="60" t="str">
        <f t="shared" si="16"/>
        <v>[effect:nothing]</v>
      </c>
      <c r="H66" s="60">
        <f t="shared" si="17"/>
        <v>9</v>
      </c>
      <c r="I66" s="60">
        <f t="shared" si="18"/>
        <v>16</v>
      </c>
      <c r="J66" s="60" t="e">
        <f t="shared" si="19"/>
        <v>#VALUE!</v>
      </c>
      <c r="K66" s="60" t="e">
        <f t="shared" si="20"/>
        <v>#VALUE!</v>
      </c>
      <c r="L66" s="60" t="str">
        <f>IFERROR(VLOOKUP(MID(G66,J66,K66-J66),[6]skilldef!$C:$D,2,FALSE),"-") &amp; " / " &amp; IFERROR(VLOOKUP(MID(G66,H66,I66-H66),[6]skilldef!$A:$B,2,FALSE),"-")</f>
        <v>- / 何もしない</v>
      </c>
      <c r="M66" s="60" t="str">
        <f t="shared" si="21"/>
        <v>none</v>
      </c>
      <c r="N66" s="45" t="str">
        <f t="shared" si="22"/>
        <v>none</v>
      </c>
      <c r="O66" s="60" t="e">
        <f t="shared" si="23"/>
        <v>#VALUE!</v>
      </c>
      <c r="P66" s="60">
        <f t="shared" si="24"/>
        <v>4</v>
      </c>
      <c r="Q66" s="60" t="e">
        <f t="shared" si="25"/>
        <v>#VALUE!</v>
      </c>
      <c r="R66" s="60" t="e">
        <f t="shared" si="26"/>
        <v>#VALUE!</v>
      </c>
      <c r="S66" s="60" t="str">
        <f>IFERROR(VLOOKUP(MID(N66,Q66,R66-Q66),[6]skilldef!$C:$D,2,FALSE),"-") &amp; " / " &amp; IFERROR(VLOOKUP(MID(N66,O66,P66-O66),[6]skilldef!$A:$B,2,FALSE),"-")</f>
        <v>- / -</v>
      </c>
      <c r="T66" s="45" t="str">
        <f t="shared" si="27"/>
        <v>none</v>
      </c>
      <c r="U66" s="60" t="e">
        <f t="shared" si="28"/>
        <v>#VALUE!</v>
      </c>
      <c r="V66" s="60">
        <f t="shared" si="29"/>
        <v>4</v>
      </c>
      <c r="W66" s="60" t="e">
        <f t="shared" si="30"/>
        <v>#VALUE!</v>
      </c>
      <c r="X66" s="60" t="e">
        <f t="shared" si="31"/>
        <v>#VALUE!</v>
      </c>
      <c r="Y66" s="60" t="str">
        <f>IFERROR(VLOOKUP(MID(T66,W66,X66-W66),[6]skilldef!$C:$D,2,FALSE),"-") &amp; " / " &amp; IFERROR(VLOOKUP(MID(T66,U66,V66-U66),[6]skilldef!$A:$B,2,FALSE),"-")</f>
        <v>- / -</v>
      </c>
      <c r="Z66" s="47"/>
      <c r="AA66" s="49"/>
      <c r="AB66" s="47"/>
    </row>
    <row r="67" spans="1:28" ht="21" customHeight="1" x14ac:dyDescent="0.15">
      <c r="A67" s="44">
        <v>15031066</v>
      </c>
      <c r="B67" s="44" t="s">
        <v>351</v>
      </c>
      <c r="C67" s="47">
        <v>3</v>
      </c>
      <c r="D67" s="47" t="s">
        <v>335</v>
      </c>
      <c r="E67" s="138" t="s">
        <v>336</v>
      </c>
      <c r="F67" s="48" t="s">
        <v>390</v>
      </c>
      <c r="G67" s="60" t="str">
        <f t="shared" si="16"/>
        <v>[effect:dis_heart, turn:4, animation:enemy_dis_heart]</v>
      </c>
      <c r="H67" s="60">
        <f t="shared" si="17"/>
        <v>9</v>
      </c>
      <c r="I67" s="60">
        <f t="shared" si="18"/>
        <v>18</v>
      </c>
      <c r="J67" s="60" t="e">
        <f t="shared" si="19"/>
        <v>#VALUE!</v>
      </c>
      <c r="K67" s="60">
        <f t="shared" si="20"/>
        <v>26</v>
      </c>
      <c r="L67" s="60" t="str">
        <f>IFERROR(VLOOKUP(MID(G67,J67,K67-J67),[6]skilldef!$C:$D,2,FALSE),"-") &amp; " / " &amp; IFERROR(VLOOKUP(MID(G67,H67,I67-H67),[6]skilldef!$A:$B,2,FALSE),"-")</f>
        <v>- / ディスハート</v>
      </c>
      <c r="M67" s="60" t="str">
        <f t="shared" si="21"/>
        <v>none</v>
      </c>
      <c r="N67" s="45" t="str">
        <f t="shared" si="22"/>
        <v>none</v>
      </c>
      <c r="O67" s="60" t="e">
        <f t="shared" si="23"/>
        <v>#VALUE!</v>
      </c>
      <c r="P67" s="60">
        <f t="shared" si="24"/>
        <v>4</v>
      </c>
      <c r="Q67" s="60" t="e">
        <f t="shared" si="25"/>
        <v>#VALUE!</v>
      </c>
      <c r="R67" s="60" t="e">
        <f t="shared" si="26"/>
        <v>#VALUE!</v>
      </c>
      <c r="S67" s="60" t="str">
        <f>IFERROR(VLOOKUP(MID(N67,Q67,R67-Q67),[6]skilldef!$C:$D,2,FALSE),"-") &amp; " / " &amp; IFERROR(VLOOKUP(MID(N67,O67,P67-O67),[6]skilldef!$A:$B,2,FALSE),"-")</f>
        <v>- / -</v>
      </c>
      <c r="T67" s="45" t="str">
        <f t="shared" si="27"/>
        <v>none</v>
      </c>
      <c r="U67" s="60" t="e">
        <f t="shared" si="28"/>
        <v>#VALUE!</v>
      </c>
      <c r="V67" s="60">
        <f t="shared" si="29"/>
        <v>4</v>
      </c>
      <c r="W67" s="60" t="e">
        <f t="shared" si="30"/>
        <v>#VALUE!</v>
      </c>
      <c r="X67" s="60" t="e">
        <f t="shared" si="31"/>
        <v>#VALUE!</v>
      </c>
      <c r="Y67" s="60" t="str">
        <f>IFERROR(VLOOKUP(MID(T67,W67,X67-W67),[6]skilldef!$C:$D,2,FALSE),"-") &amp; " / " &amp; IFERROR(VLOOKUP(MID(T67,U67,V67-U67),[6]skilldef!$A:$B,2,FALSE),"-")</f>
        <v>- / -</v>
      </c>
      <c r="Z67" s="47"/>
      <c r="AA67" s="49"/>
      <c r="AB67" s="47"/>
    </row>
    <row r="68" spans="1:28" ht="21" customHeight="1" x14ac:dyDescent="0.15">
      <c r="A68" s="44">
        <v>15031067</v>
      </c>
      <c r="B68" s="44" t="s">
        <v>239</v>
      </c>
      <c r="C68" s="47">
        <v>3</v>
      </c>
      <c r="D68" s="47" t="s">
        <v>127</v>
      </c>
      <c r="E68" s="48" t="s">
        <v>258</v>
      </c>
      <c r="F68" s="48" t="s">
        <v>230</v>
      </c>
      <c r="G68" s="60" t="str">
        <f t="shared" si="16"/>
        <v>[effect:nothing]</v>
      </c>
      <c r="H68" s="60">
        <f t="shared" si="17"/>
        <v>9</v>
      </c>
      <c r="I68" s="60">
        <f t="shared" si="18"/>
        <v>16</v>
      </c>
      <c r="J68" s="60" t="e">
        <f t="shared" si="19"/>
        <v>#VALUE!</v>
      </c>
      <c r="K68" s="60" t="e">
        <f t="shared" si="20"/>
        <v>#VALUE!</v>
      </c>
      <c r="L68" s="60" t="str">
        <f>IFERROR(VLOOKUP(MID(G68,J68,K68-J68),[6]skilldef!$C:$D,2,FALSE),"-") &amp; " / " &amp; IFERROR(VLOOKUP(MID(G68,H68,I68-H68),[6]skilldef!$A:$B,2,FALSE),"-")</f>
        <v>- / 何もしない</v>
      </c>
      <c r="M68" s="60" t="str">
        <f t="shared" si="21"/>
        <v>none</v>
      </c>
      <c r="N68" s="45" t="str">
        <f t="shared" si="22"/>
        <v>none</v>
      </c>
      <c r="O68" s="60" t="e">
        <f t="shared" si="23"/>
        <v>#VALUE!</v>
      </c>
      <c r="P68" s="60">
        <f t="shared" si="24"/>
        <v>4</v>
      </c>
      <c r="Q68" s="60" t="e">
        <f t="shared" si="25"/>
        <v>#VALUE!</v>
      </c>
      <c r="R68" s="60" t="e">
        <f t="shared" si="26"/>
        <v>#VALUE!</v>
      </c>
      <c r="S68" s="60" t="str">
        <f>IFERROR(VLOOKUP(MID(N68,Q68,R68-Q68),[6]skilldef!$C:$D,2,FALSE),"-") &amp; " / " &amp; IFERROR(VLOOKUP(MID(N68,O68,P68-O68),[6]skilldef!$A:$B,2,FALSE),"-")</f>
        <v>- / -</v>
      </c>
      <c r="T68" s="45" t="str">
        <f t="shared" si="27"/>
        <v>none</v>
      </c>
      <c r="U68" s="60" t="e">
        <f t="shared" si="28"/>
        <v>#VALUE!</v>
      </c>
      <c r="V68" s="60">
        <f t="shared" si="29"/>
        <v>4</v>
      </c>
      <c r="W68" s="60" t="e">
        <f t="shared" si="30"/>
        <v>#VALUE!</v>
      </c>
      <c r="X68" s="60" t="e">
        <f t="shared" si="31"/>
        <v>#VALUE!</v>
      </c>
      <c r="Y68" s="60" t="str">
        <f>IFERROR(VLOOKUP(MID(T68,W68,X68-W68),[6]skilldef!$C:$D,2,FALSE),"-") &amp; " / " &amp; IFERROR(VLOOKUP(MID(T68,U68,V68-U68),[6]skilldef!$A:$B,2,FALSE),"-")</f>
        <v>- / -</v>
      </c>
      <c r="Z68" s="47"/>
      <c r="AA68" s="49"/>
      <c r="AB68" s="47"/>
    </row>
    <row r="69" spans="1:28" ht="21" customHeight="1" x14ac:dyDescent="0.15">
      <c r="A69" s="44">
        <v>15031068</v>
      </c>
      <c r="B69" s="44" t="s">
        <v>239</v>
      </c>
      <c r="C69" s="47">
        <v>3</v>
      </c>
      <c r="D69" s="47" t="s">
        <v>127</v>
      </c>
      <c r="E69" s="48" t="s">
        <v>258</v>
      </c>
      <c r="F69" s="48" t="s">
        <v>230</v>
      </c>
      <c r="G69" s="60" t="str">
        <f t="shared" si="16"/>
        <v>[effect:nothing]</v>
      </c>
      <c r="H69" s="60">
        <f t="shared" si="17"/>
        <v>9</v>
      </c>
      <c r="I69" s="60">
        <f t="shared" si="18"/>
        <v>16</v>
      </c>
      <c r="J69" s="60" t="e">
        <f t="shared" si="19"/>
        <v>#VALUE!</v>
      </c>
      <c r="K69" s="60" t="e">
        <f t="shared" si="20"/>
        <v>#VALUE!</v>
      </c>
      <c r="L69" s="60" t="str">
        <f>IFERROR(VLOOKUP(MID(G69,J69,K69-J69),[6]skilldef!$C:$D,2,FALSE),"-") &amp; " / " &amp; IFERROR(VLOOKUP(MID(G69,H69,I69-H69),[6]skilldef!$A:$B,2,FALSE),"-")</f>
        <v>- / 何もしない</v>
      </c>
      <c r="M69" s="60" t="str">
        <f t="shared" si="21"/>
        <v>none</v>
      </c>
      <c r="N69" s="45" t="str">
        <f t="shared" si="22"/>
        <v>none</v>
      </c>
      <c r="O69" s="60" t="e">
        <f t="shared" si="23"/>
        <v>#VALUE!</v>
      </c>
      <c r="P69" s="60">
        <f t="shared" si="24"/>
        <v>4</v>
      </c>
      <c r="Q69" s="60" t="e">
        <f t="shared" si="25"/>
        <v>#VALUE!</v>
      </c>
      <c r="R69" s="60" t="e">
        <f t="shared" si="26"/>
        <v>#VALUE!</v>
      </c>
      <c r="S69" s="60" t="str">
        <f>IFERROR(VLOOKUP(MID(N69,Q69,R69-Q69),[6]skilldef!$C:$D,2,FALSE),"-") &amp; " / " &amp; IFERROR(VLOOKUP(MID(N69,O69,P69-O69),[6]skilldef!$A:$B,2,FALSE),"-")</f>
        <v>- / -</v>
      </c>
      <c r="T69" s="45" t="str">
        <f t="shared" si="27"/>
        <v>none</v>
      </c>
      <c r="U69" s="60" t="e">
        <f t="shared" si="28"/>
        <v>#VALUE!</v>
      </c>
      <c r="V69" s="60">
        <f t="shared" si="29"/>
        <v>4</v>
      </c>
      <c r="W69" s="60" t="e">
        <f t="shared" si="30"/>
        <v>#VALUE!</v>
      </c>
      <c r="X69" s="60" t="e">
        <f t="shared" si="31"/>
        <v>#VALUE!</v>
      </c>
      <c r="Y69" s="60" t="str">
        <f>IFERROR(VLOOKUP(MID(T69,W69,X69-W69),[6]skilldef!$C:$D,2,FALSE),"-") &amp; " / " &amp; IFERROR(VLOOKUP(MID(T69,U69,V69-U69),[6]skilldef!$A:$B,2,FALSE),"-")</f>
        <v>- / -</v>
      </c>
      <c r="Z69" s="47"/>
      <c r="AA69" s="49"/>
      <c r="AB69" s="47"/>
    </row>
    <row r="70" spans="1:28" ht="21" customHeight="1" x14ac:dyDescent="0.15">
      <c r="A70" s="44">
        <v>15031069</v>
      </c>
      <c r="B70" s="44" t="s">
        <v>239</v>
      </c>
      <c r="C70" s="47">
        <v>3</v>
      </c>
      <c r="D70" s="47" t="s">
        <v>127</v>
      </c>
      <c r="E70" s="48" t="s">
        <v>258</v>
      </c>
      <c r="F70" s="48" t="s">
        <v>230</v>
      </c>
      <c r="G70" s="60" t="str">
        <f t="shared" si="16"/>
        <v>[effect:nothing]</v>
      </c>
      <c r="H70" s="60">
        <f t="shared" si="17"/>
        <v>9</v>
      </c>
      <c r="I70" s="60">
        <f t="shared" si="18"/>
        <v>16</v>
      </c>
      <c r="J70" s="60" t="e">
        <f t="shared" si="19"/>
        <v>#VALUE!</v>
      </c>
      <c r="K70" s="60" t="e">
        <f t="shared" si="20"/>
        <v>#VALUE!</v>
      </c>
      <c r="L70" s="60" t="str">
        <f>IFERROR(VLOOKUP(MID(G70,J70,K70-J70),[6]skilldef!$C:$D,2,FALSE),"-") &amp; " / " &amp; IFERROR(VLOOKUP(MID(G70,H70,I70-H70),[6]skilldef!$A:$B,2,FALSE),"-")</f>
        <v>- / 何もしない</v>
      </c>
      <c r="M70" s="60" t="str">
        <f t="shared" si="21"/>
        <v>none</v>
      </c>
      <c r="N70" s="45" t="str">
        <f t="shared" si="22"/>
        <v>none</v>
      </c>
      <c r="O70" s="60" t="e">
        <f t="shared" si="23"/>
        <v>#VALUE!</v>
      </c>
      <c r="P70" s="60">
        <f t="shared" si="24"/>
        <v>4</v>
      </c>
      <c r="Q70" s="60" t="e">
        <f t="shared" si="25"/>
        <v>#VALUE!</v>
      </c>
      <c r="R70" s="60" t="e">
        <f t="shared" si="26"/>
        <v>#VALUE!</v>
      </c>
      <c r="S70" s="60" t="str">
        <f>IFERROR(VLOOKUP(MID(N70,Q70,R70-Q70),[6]skilldef!$C:$D,2,FALSE),"-") &amp; " / " &amp; IFERROR(VLOOKUP(MID(N70,O70,P70-O70),[6]skilldef!$A:$B,2,FALSE),"-")</f>
        <v>- / -</v>
      </c>
      <c r="T70" s="45" t="str">
        <f t="shared" si="27"/>
        <v>none</v>
      </c>
      <c r="U70" s="60" t="e">
        <f t="shared" si="28"/>
        <v>#VALUE!</v>
      </c>
      <c r="V70" s="60">
        <f t="shared" si="29"/>
        <v>4</v>
      </c>
      <c r="W70" s="60" t="e">
        <f t="shared" si="30"/>
        <v>#VALUE!</v>
      </c>
      <c r="X70" s="60" t="e">
        <f t="shared" si="31"/>
        <v>#VALUE!</v>
      </c>
      <c r="Y70" s="60" t="str">
        <f>IFERROR(VLOOKUP(MID(T70,W70,X70-W70),[6]skilldef!$C:$D,2,FALSE),"-") &amp; " / " &amp; IFERROR(VLOOKUP(MID(T70,U70,V70-U70),[6]skilldef!$A:$B,2,FALSE),"-")</f>
        <v>- / -</v>
      </c>
      <c r="Z70" s="47"/>
      <c r="AA70" s="49"/>
      <c r="AB70" s="47"/>
    </row>
    <row r="71" spans="1:28" ht="21" customHeight="1" x14ac:dyDescent="0.15">
      <c r="A71" s="44">
        <v>15031070</v>
      </c>
      <c r="B71" s="44" t="s">
        <v>239</v>
      </c>
      <c r="C71" s="47">
        <v>3</v>
      </c>
      <c r="D71" s="47" t="s">
        <v>127</v>
      </c>
      <c r="E71" s="48" t="s">
        <v>258</v>
      </c>
      <c r="F71" s="48" t="s">
        <v>230</v>
      </c>
      <c r="G71" s="60" t="str">
        <f t="shared" si="16"/>
        <v>[effect:nothing]</v>
      </c>
      <c r="H71" s="60">
        <f t="shared" si="17"/>
        <v>9</v>
      </c>
      <c r="I71" s="60">
        <f t="shared" si="18"/>
        <v>16</v>
      </c>
      <c r="J71" s="60" t="e">
        <f t="shared" si="19"/>
        <v>#VALUE!</v>
      </c>
      <c r="K71" s="60" t="e">
        <f t="shared" si="20"/>
        <v>#VALUE!</v>
      </c>
      <c r="L71" s="60" t="str">
        <f>IFERROR(VLOOKUP(MID(G71,J71,K71-J71),[6]skilldef!$C:$D,2,FALSE),"-") &amp; " / " &amp; IFERROR(VLOOKUP(MID(G71,H71,I71-H71),[6]skilldef!$A:$B,2,FALSE),"-")</f>
        <v>- / 何もしない</v>
      </c>
      <c r="M71" s="60" t="str">
        <f t="shared" si="21"/>
        <v>none</v>
      </c>
      <c r="N71" s="45" t="str">
        <f t="shared" si="22"/>
        <v>none</v>
      </c>
      <c r="O71" s="60" t="e">
        <f t="shared" si="23"/>
        <v>#VALUE!</v>
      </c>
      <c r="P71" s="60">
        <f t="shared" si="24"/>
        <v>4</v>
      </c>
      <c r="Q71" s="60" t="e">
        <f t="shared" si="25"/>
        <v>#VALUE!</v>
      </c>
      <c r="R71" s="60" t="e">
        <f t="shared" si="26"/>
        <v>#VALUE!</v>
      </c>
      <c r="S71" s="60" t="str">
        <f>IFERROR(VLOOKUP(MID(N71,Q71,R71-Q71),[6]skilldef!$C:$D,2,FALSE),"-") &amp; " / " &amp; IFERROR(VLOOKUP(MID(N71,O71,P71-O71),[6]skilldef!$A:$B,2,FALSE),"-")</f>
        <v>- / -</v>
      </c>
      <c r="T71" s="45" t="str">
        <f t="shared" si="27"/>
        <v>none</v>
      </c>
      <c r="U71" s="60" t="e">
        <f t="shared" si="28"/>
        <v>#VALUE!</v>
      </c>
      <c r="V71" s="60">
        <f t="shared" si="29"/>
        <v>4</v>
      </c>
      <c r="W71" s="60" t="e">
        <f t="shared" si="30"/>
        <v>#VALUE!</v>
      </c>
      <c r="X71" s="60" t="e">
        <f t="shared" si="31"/>
        <v>#VALUE!</v>
      </c>
      <c r="Y71" s="60" t="str">
        <f>IFERROR(VLOOKUP(MID(T71,W71,X71-W71),[6]skilldef!$C:$D,2,FALSE),"-") &amp; " / " &amp; IFERROR(VLOOKUP(MID(T71,U71,V71-U71),[6]skilldef!$A:$B,2,FALSE),"-")</f>
        <v>- / -</v>
      </c>
      <c r="Z71" s="47"/>
      <c r="AA71" s="49"/>
      <c r="AB71" s="47"/>
    </row>
    <row r="72" spans="1:28" ht="21" customHeight="1" x14ac:dyDescent="0.15">
      <c r="A72" s="44">
        <v>15031071</v>
      </c>
      <c r="B72" s="44" t="s">
        <v>280</v>
      </c>
      <c r="C72" s="47">
        <v>3</v>
      </c>
      <c r="D72" s="47" t="s">
        <v>127</v>
      </c>
      <c r="E72" s="138" t="s">
        <v>284</v>
      </c>
      <c r="F72" s="48" t="s">
        <v>82</v>
      </c>
      <c r="G72" s="60" t="str">
        <f t="shared" si="16"/>
        <v>[effect:heal, target:enemy_one, val:0.5, animation:enemy_heal]</v>
      </c>
      <c r="H72" s="60">
        <f t="shared" si="17"/>
        <v>9</v>
      </c>
      <c r="I72" s="60">
        <f t="shared" si="18"/>
        <v>13</v>
      </c>
      <c r="J72" s="60">
        <f t="shared" si="19"/>
        <v>22</v>
      </c>
      <c r="K72" s="60">
        <f t="shared" si="20"/>
        <v>31</v>
      </c>
      <c r="L72" s="60" t="str">
        <f>IFERROR(VLOOKUP(MID(G72,J72,K72-J72),[6]skilldef!$C:$D,2,FALSE),"-") &amp; " / " &amp; IFERROR(VLOOKUP(MID(G72,H72,I72-H72),[6]skilldef!$A:$B,2,FALSE),"-")</f>
        <v>敵単体に / 回復</v>
      </c>
      <c r="M72" s="60" t="str">
        <f t="shared" si="21"/>
        <v>none</v>
      </c>
      <c r="N72" s="45" t="str">
        <f t="shared" si="22"/>
        <v>none</v>
      </c>
      <c r="O72" s="60" t="e">
        <f t="shared" si="23"/>
        <v>#VALUE!</v>
      </c>
      <c r="P72" s="60">
        <f t="shared" si="24"/>
        <v>4</v>
      </c>
      <c r="Q72" s="60" t="e">
        <f t="shared" si="25"/>
        <v>#VALUE!</v>
      </c>
      <c r="R72" s="60" t="e">
        <f t="shared" si="26"/>
        <v>#VALUE!</v>
      </c>
      <c r="S72" s="60" t="str">
        <f>IFERROR(VLOOKUP(MID(N72,Q72,R72-Q72),[6]skilldef!$C:$D,2,FALSE),"-") &amp; " / " &amp; IFERROR(VLOOKUP(MID(N72,O72,P72-O72),[6]skilldef!$A:$B,2,FALSE),"-")</f>
        <v>- / -</v>
      </c>
      <c r="T72" s="45" t="str">
        <f t="shared" si="27"/>
        <v>none</v>
      </c>
      <c r="U72" s="60" t="e">
        <f t="shared" si="28"/>
        <v>#VALUE!</v>
      </c>
      <c r="V72" s="60">
        <f t="shared" si="29"/>
        <v>4</v>
      </c>
      <c r="W72" s="60" t="e">
        <f t="shared" si="30"/>
        <v>#VALUE!</v>
      </c>
      <c r="X72" s="60" t="e">
        <f t="shared" si="31"/>
        <v>#VALUE!</v>
      </c>
      <c r="Y72" s="60" t="str">
        <f>IFERROR(VLOOKUP(MID(T72,W72,X72-W72),[6]skilldef!$C:$D,2,FALSE),"-") &amp; " / " &amp; IFERROR(VLOOKUP(MID(T72,U72,V72-U72),[6]skilldef!$A:$B,2,FALSE),"-")</f>
        <v>- / -</v>
      </c>
      <c r="Z72" s="47"/>
      <c r="AA72" s="49"/>
      <c r="AB72" s="47"/>
    </row>
    <row r="73" spans="1:28" ht="21" customHeight="1" x14ac:dyDescent="0.15">
      <c r="A73" s="44">
        <v>15031072</v>
      </c>
      <c r="B73" s="44" t="s">
        <v>239</v>
      </c>
      <c r="C73" s="47">
        <v>3</v>
      </c>
      <c r="D73" s="47" t="s">
        <v>127</v>
      </c>
      <c r="E73" s="48" t="s">
        <v>259</v>
      </c>
      <c r="F73" s="48" t="s">
        <v>230</v>
      </c>
      <c r="G73" s="60" t="str">
        <f t="shared" si="16"/>
        <v>[effect:nothing]</v>
      </c>
      <c r="H73" s="60">
        <f t="shared" si="17"/>
        <v>9</v>
      </c>
      <c r="I73" s="60">
        <f t="shared" si="18"/>
        <v>16</v>
      </c>
      <c r="J73" s="60" t="e">
        <f t="shared" si="19"/>
        <v>#VALUE!</v>
      </c>
      <c r="K73" s="60" t="e">
        <f t="shared" si="20"/>
        <v>#VALUE!</v>
      </c>
      <c r="L73" s="60" t="str">
        <f>IFERROR(VLOOKUP(MID(G73,J73,K73-J73),[6]skilldef!$C:$D,2,FALSE),"-") &amp; " / " &amp; IFERROR(VLOOKUP(MID(G73,H73,I73-H73),[6]skilldef!$A:$B,2,FALSE),"-")</f>
        <v>- / 何もしない</v>
      </c>
      <c r="M73" s="60" t="str">
        <f t="shared" si="21"/>
        <v>none</v>
      </c>
      <c r="N73" s="45" t="str">
        <f t="shared" si="22"/>
        <v>none</v>
      </c>
      <c r="O73" s="60" t="e">
        <f t="shared" si="23"/>
        <v>#VALUE!</v>
      </c>
      <c r="P73" s="60">
        <f t="shared" si="24"/>
        <v>4</v>
      </c>
      <c r="Q73" s="60" t="e">
        <f t="shared" si="25"/>
        <v>#VALUE!</v>
      </c>
      <c r="R73" s="60" t="e">
        <f t="shared" si="26"/>
        <v>#VALUE!</v>
      </c>
      <c r="S73" s="60" t="str">
        <f>IFERROR(VLOOKUP(MID(N73,Q73,R73-Q73),[6]skilldef!$C:$D,2,FALSE),"-") &amp; " / " &amp; IFERROR(VLOOKUP(MID(N73,O73,P73-O73),[6]skilldef!$A:$B,2,FALSE),"-")</f>
        <v>- / -</v>
      </c>
      <c r="T73" s="45" t="str">
        <f t="shared" si="27"/>
        <v>none</v>
      </c>
      <c r="U73" s="60" t="e">
        <f t="shared" si="28"/>
        <v>#VALUE!</v>
      </c>
      <c r="V73" s="60">
        <f t="shared" si="29"/>
        <v>4</v>
      </c>
      <c r="W73" s="60" t="e">
        <f t="shared" si="30"/>
        <v>#VALUE!</v>
      </c>
      <c r="X73" s="60" t="e">
        <f t="shared" si="31"/>
        <v>#VALUE!</v>
      </c>
      <c r="Y73" s="60" t="str">
        <f>IFERROR(VLOOKUP(MID(T73,W73,X73-W73),[6]skilldef!$C:$D,2,FALSE),"-") &amp; " / " &amp; IFERROR(VLOOKUP(MID(T73,U73,V73-U73),[6]skilldef!$A:$B,2,FALSE),"-")</f>
        <v>- / -</v>
      </c>
      <c r="Z73" s="47"/>
      <c r="AA73" s="49"/>
      <c r="AB73" s="47"/>
    </row>
    <row r="74" spans="1:28" ht="21" customHeight="1" x14ac:dyDescent="0.15">
      <c r="A74" s="44">
        <v>15031073</v>
      </c>
      <c r="B74" s="44" t="s">
        <v>239</v>
      </c>
      <c r="C74" s="47">
        <v>3</v>
      </c>
      <c r="D74" s="47" t="s">
        <v>127</v>
      </c>
      <c r="E74" s="48" t="s">
        <v>259</v>
      </c>
      <c r="F74" s="48" t="s">
        <v>230</v>
      </c>
      <c r="G74" s="60" t="str">
        <f t="shared" si="16"/>
        <v>[effect:nothing]</v>
      </c>
      <c r="H74" s="60">
        <f t="shared" si="17"/>
        <v>9</v>
      </c>
      <c r="I74" s="60">
        <f t="shared" si="18"/>
        <v>16</v>
      </c>
      <c r="J74" s="60" t="e">
        <f t="shared" si="19"/>
        <v>#VALUE!</v>
      </c>
      <c r="K74" s="60" t="e">
        <f t="shared" si="20"/>
        <v>#VALUE!</v>
      </c>
      <c r="L74" s="60" t="str">
        <f>IFERROR(VLOOKUP(MID(G74,J74,K74-J74),[6]skilldef!$C:$D,2,FALSE),"-") &amp; " / " &amp; IFERROR(VLOOKUP(MID(G74,H74,I74-H74),[6]skilldef!$A:$B,2,FALSE),"-")</f>
        <v>- / 何もしない</v>
      </c>
      <c r="M74" s="60" t="str">
        <f t="shared" si="21"/>
        <v>none</v>
      </c>
      <c r="N74" s="45" t="str">
        <f t="shared" si="22"/>
        <v>none</v>
      </c>
      <c r="O74" s="60" t="e">
        <f t="shared" si="23"/>
        <v>#VALUE!</v>
      </c>
      <c r="P74" s="60">
        <f t="shared" si="24"/>
        <v>4</v>
      </c>
      <c r="Q74" s="60" t="e">
        <f t="shared" si="25"/>
        <v>#VALUE!</v>
      </c>
      <c r="R74" s="60" t="e">
        <f t="shared" si="26"/>
        <v>#VALUE!</v>
      </c>
      <c r="S74" s="60" t="str">
        <f>IFERROR(VLOOKUP(MID(N74,Q74,R74-Q74),[6]skilldef!$C:$D,2,FALSE),"-") &amp; " / " &amp; IFERROR(VLOOKUP(MID(N74,O74,P74-O74),[6]skilldef!$A:$B,2,FALSE),"-")</f>
        <v>- / -</v>
      </c>
      <c r="T74" s="45" t="str">
        <f t="shared" si="27"/>
        <v>none</v>
      </c>
      <c r="U74" s="60" t="e">
        <f t="shared" si="28"/>
        <v>#VALUE!</v>
      </c>
      <c r="V74" s="60">
        <f t="shared" si="29"/>
        <v>4</v>
      </c>
      <c r="W74" s="60" t="e">
        <f t="shared" si="30"/>
        <v>#VALUE!</v>
      </c>
      <c r="X74" s="60" t="e">
        <f t="shared" si="31"/>
        <v>#VALUE!</v>
      </c>
      <c r="Y74" s="60" t="str">
        <f>IFERROR(VLOOKUP(MID(T74,W74,X74-W74),[6]skilldef!$C:$D,2,FALSE),"-") &amp; " / " &amp; IFERROR(VLOOKUP(MID(T74,U74,V74-U74),[6]skilldef!$A:$B,2,FALSE),"-")</f>
        <v>- / -</v>
      </c>
      <c r="Z74" s="47"/>
      <c r="AA74" s="49"/>
      <c r="AB74" s="47"/>
    </row>
    <row r="75" spans="1:28" ht="21" customHeight="1" x14ac:dyDescent="0.15">
      <c r="A75" s="44">
        <v>15031074</v>
      </c>
      <c r="B75" s="44" t="s">
        <v>239</v>
      </c>
      <c r="C75" s="47">
        <v>3</v>
      </c>
      <c r="D75" s="47" t="s">
        <v>127</v>
      </c>
      <c r="E75" s="48" t="s">
        <v>259</v>
      </c>
      <c r="F75" s="48" t="s">
        <v>230</v>
      </c>
      <c r="G75" s="60" t="str">
        <f t="shared" si="16"/>
        <v>[effect:nothing]</v>
      </c>
      <c r="H75" s="60">
        <f t="shared" si="17"/>
        <v>9</v>
      </c>
      <c r="I75" s="60">
        <f t="shared" si="18"/>
        <v>16</v>
      </c>
      <c r="J75" s="60" t="e">
        <f t="shared" si="19"/>
        <v>#VALUE!</v>
      </c>
      <c r="K75" s="60" t="e">
        <f t="shared" si="20"/>
        <v>#VALUE!</v>
      </c>
      <c r="L75" s="60" t="str">
        <f>IFERROR(VLOOKUP(MID(G75,J75,K75-J75),[6]skilldef!$C:$D,2,FALSE),"-") &amp; " / " &amp; IFERROR(VLOOKUP(MID(G75,H75,I75-H75),[6]skilldef!$A:$B,2,FALSE),"-")</f>
        <v>- / 何もしない</v>
      </c>
      <c r="M75" s="60" t="str">
        <f t="shared" si="21"/>
        <v>none</v>
      </c>
      <c r="N75" s="45" t="str">
        <f t="shared" si="22"/>
        <v>none</v>
      </c>
      <c r="O75" s="60" t="e">
        <f t="shared" si="23"/>
        <v>#VALUE!</v>
      </c>
      <c r="P75" s="60">
        <f t="shared" si="24"/>
        <v>4</v>
      </c>
      <c r="Q75" s="60" t="e">
        <f t="shared" si="25"/>
        <v>#VALUE!</v>
      </c>
      <c r="R75" s="60" t="e">
        <f t="shared" si="26"/>
        <v>#VALUE!</v>
      </c>
      <c r="S75" s="60" t="str">
        <f>IFERROR(VLOOKUP(MID(N75,Q75,R75-Q75),[6]skilldef!$C:$D,2,FALSE),"-") &amp; " / " &amp; IFERROR(VLOOKUP(MID(N75,O75,P75-O75),[6]skilldef!$A:$B,2,FALSE),"-")</f>
        <v>- / -</v>
      </c>
      <c r="T75" s="45" t="str">
        <f t="shared" si="27"/>
        <v>none</v>
      </c>
      <c r="U75" s="60" t="e">
        <f t="shared" si="28"/>
        <v>#VALUE!</v>
      </c>
      <c r="V75" s="60">
        <f t="shared" si="29"/>
        <v>4</v>
      </c>
      <c r="W75" s="60" t="e">
        <f t="shared" si="30"/>
        <v>#VALUE!</v>
      </c>
      <c r="X75" s="60" t="e">
        <f t="shared" si="31"/>
        <v>#VALUE!</v>
      </c>
      <c r="Y75" s="60" t="str">
        <f>IFERROR(VLOOKUP(MID(T75,W75,X75-W75),[6]skilldef!$C:$D,2,FALSE),"-") &amp; " / " &amp; IFERROR(VLOOKUP(MID(T75,U75,V75-U75),[6]skilldef!$A:$B,2,FALSE),"-")</f>
        <v>- / -</v>
      </c>
      <c r="Z75" s="47"/>
      <c r="AA75" s="49"/>
      <c r="AB75" s="47"/>
    </row>
    <row r="76" spans="1:28" ht="21" customHeight="1" x14ac:dyDescent="0.15">
      <c r="A76" s="44">
        <v>15031075</v>
      </c>
      <c r="B76" s="44" t="s">
        <v>239</v>
      </c>
      <c r="C76" s="47">
        <v>3</v>
      </c>
      <c r="D76" s="47" t="s">
        <v>127</v>
      </c>
      <c r="E76" s="48" t="s">
        <v>259</v>
      </c>
      <c r="F76" s="48" t="s">
        <v>230</v>
      </c>
      <c r="G76" s="60" t="str">
        <f t="shared" si="16"/>
        <v>[effect:nothing]</v>
      </c>
      <c r="H76" s="60">
        <f t="shared" si="17"/>
        <v>9</v>
      </c>
      <c r="I76" s="60">
        <f t="shared" si="18"/>
        <v>16</v>
      </c>
      <c r="J76" s="60" t="e">
        <f t="shared" si="19"/>
        <v>#VALUE!</v>
      </c>
      <c r="K76" s="60" t="e">
        <f t="shared" si="20"/>
        <v>#VALUE!</v>
      </c>
      <c r="L76" s="60" t="str">
        <f>IFERROR(VLOOKUP(MID(G76,J76,K76-J76),[6]skilldef!$C:$D,2,FALSE),"-") &amp; " / " &amp; IFERROR(VLOOKUP(MID(G76,H76,I76-H76),[6]skilldef!$A:$B,2,FALSE),"-")</f>
        <v>- / 何もしない</v>
      </c>
      <c r="M76" s="60" t="str">
        <f t="shared" si="21"/>
        <v>none</v>
      </c>
      <c r="N76" s="45" t="str">
        <f t="shared" si="22"/>
        <v>none</v>
      </c>
      <c r="O76" s="60" t="e">
        <f t="shared" si="23"/>
        <v>#VALUE!</v>
      </c>
      <c r="P76" s="60">
        <f t="shared" si="24"/>
        <v>4</v>
      </c>
      <c r="Q76" s="60" t="e">
        <f t="shared" si="25"/>
        <v>#VALUE!</v>
      </c>
      <c r="R76" s="60" t="e">
        <f t="shared" si="26"/>
        <v>#VALUE!</v>
      </c>
      <c r="S76" s="60" t="str">
        <f>IFERROR(VLOOKUP(MID(N76,Q76,R76-Q76),[6]skilldef!$C:$D,2,FALSE),"-") &amp; " / " &amp; IFERROR(VLOOKUP(MID(N76,O76,P76-O76),[6]skilldef!$A:$B,2,FALSE),"-")</f>
        <v>- / -</v>
      </c>
      <c r="T76" s="45" t="str">
        <f t="shared" si="27"/>
        <v>none</v>
      </c>
      <c r="U76" s="60" t="e">
        <f t="shared" si="28"/>
        <v>#VALUE!</v>
      </c>
      <c r="V76" s="60">
        <f t="shared" si="29"/>
        <v>4</v>
      </c>
      <c r="W76" s="60" t="e">
        <f t="shared" si="30"/>
        <v>#VALUE!</v>
      </c>
      <c r="X76" s="60" t="e">
        <f t="shared" si="31"/>
        <v>#VALUE!</v>
      </c>
      <c r="Y76" s="60" t="str">
        <f>IFERROR(VLOOKUP(MID(T76,W76,X76-W76),[6]skilldef!$C:$D,2,FALSE),"-") &amp; " / " &amp; IFERROR(VLOOKUP(MID(T76,U76,V76-U76),[6]skilldef!$A:$B,2,FALSE),"-")</f>
        <v>- / -</v>
      </c>
      <c r="Z76" s="47"/>
      <c r="AA76" s="49"/>
      <c r="AB76" s="47"/>
    </row>
    <row r="77" spans="1:28" ht="21" customHeight="1" x14ac:dyDescent="0.15">
      <c r="A77" s="44">
        <v>15031076</v>
      </c>
      <c r="B77" s="44" t="s">
        <v>280</v>
      </c>
      <c r="C77" s="47">
        <v>3</v>
      </c>
      <c r="D77" s="47" t="s">
        <v>127</v>
      </c>
      <c r="E77" s="138" t="s">
        <v>284</v>
      </c>
      <c r="F77" s="48" t="s">
        <v>82</v>
      </c>
      <c r="G77" s="60" t="str">
        <f t="shared" si="16"/>
        <v>[effect:heal, target:enemy_one, val:0.5, animation:enemy_heal]</v>
      </c>
      <c r="H77" s="60">
        <f t="shared" si="17"/>
        <v>9</v>
      </c>
      <c r="I77" s="60">
        <f t="shared" si="18"/>
        <v>13</v>
      </c>
      <c r="J77" s="60">
        <f t="shared" si="19"/>
        <v>22</v>
      </c>
      <c r="K77" s="60">
        <f t="shared" si="20"/>
        <v>31</v>
      </c>
      <c r="L77" s="60" t="str">
        <f>IFERROR(VLOOKUP(MID(G77,J77,K77-J77),[6]skilldef!$C:$D,2,FALSE),"-") &amp; " / " &amp; IFERROR(VLOOKUP(MID(G77,H77,I77-H77),[6]skilldef!$A:$B,2,FALSE),"-")</f>
        <v>敵単体に / 回復</v>
      </c>
      <c r="M77" s="60" t="str">
        <f t="shared" si="21"/>
        <v>none</v>
      </c>
      <c r="N77" s="45" t="str">
        <f t="shared" si="22"/>
        <v>none</v>
      </c>
      <c r="O77" s="60" t="e">
        <f t="shared" si="23"/>
        <v>#VALUE!</v>
      </c>
      <c r="P77" s="60">
        <f t="shared" si="24"/>
        <v>4</v>
      </c>
      <c r="Q77" s="60" t="e">
        <f t="shared" si="25"/>
        <v>#VALUE!</v>
      </c>
      <c r="R77" s="60" t="e">
        <f t="shared" si="26"/>
        <v>#VALUE!</v>
      </c>
      <c r="S77" s="60" t="str">
        <f>IFERROR(VLOOKUP(MID(N77,Q77,R77-Q77),[6]skilldef!$C:$D,2,FALSE),"-") &amp; " / " &amp; IFERROR(VLOOKUP(MID(N77,O77,P77-O77),[6]skilldef!$A:$B,2,FALSE),"-")</f>
        <v>- / -</v>
      </c>
      <c r="T77" s="45" t="str">
        <f t="shared" si="27"/>
        <v>none</v>
      </c>
      <c r="U77" s="60" t="e">
        <f t="shared" si="28"/>
        <v>#VALUE!</v>
      </c>
      <c r="V77" s="60">
        <f t="shared" si="29"/>
        <v>4</v>
      </c>
      <c r="W77" s="60" t="e">
        <f t="shared" si="30"/>
        <v>#VALUE!</v>
      </c>
      <c r="X77" s="60" t="e">
        <f t="shared" si="31"/>
        <v>#VALUE!</v>
      </c>
      <c r="Y77" s="60" t="str">
        <f>IFERROR(VLOOKUP(MID(T77,W77,X77-W77),[6]skilldef!$C:$D,2,FALSE),"-") &amp; " / " &amp; IFERROR(VLOOKUP(MID(T77,U77,V77-U77),[6]skilldef!$A:$B,2,FALSE),"-")</f>
        <v>- / -</v>
      </c>
      <c r="Z77" s="47"/>
      <c r="AA77" s="49"/>
      <c r="AB77" s="47"/>
    </row>
    <row r="78" spans="1:28" ht="21" customHeight="1" x14ac:dyDescent="0.15">
      <c r="A78" s="44">
        <v>15031077</v>
      </c>
      <c r="B78" s="44" t="s">
        <v>239</v>
      </c>
      <c r="C78" s="47">
        <v>3</v>
      </c>
      <c r="D78" s="47" t="s">
        <v>127</v>
      </c>
      <c r="E78" s="48" t="s">
        <v>260</v>
      </c>
      <c r="F78" s="48" t="s">
        <v>230</v>
      </c>
      <c r="G78" s="60" t="str">
        <f t="shared" si="16"/>
        <v>[effect:nothing]</v>
      </c>
      <c r="H78" s="60">
        <f t="shared" si="17"/>
        <v>9</v>
      </c>
      <c r="I78" s="60">
        <f t="shared" si="18"/>
        <v>16</v>
      </c>
      <c r="J78" s="60" t="e">
        <f t="shared" si="19"/>
        <v>#VALUE!</v>
      </c>
      <c r="K78" s="60" t="e">
        <f t="shared" si="20"/>
        <v>#VALUE!</v>
      </c>
      <c r="L78" s="60" t="str">
        <f>IFERROR(VLOOKUP(MID(G78,J78,K78-J78),[6]skilldef!$C:$D,2,FALSE),"-") &amp; " / " &amp; IFERROR(VLOOKUP(MID(G78,H78,I78-H78),[6]skilldef!$A:$B,2,FALSE),"-")</f>
        <v>- / 何もしない</v>
      </c>
      <c r="M78" s="60" t="str">
        <f t="shared" si="21"/>
        <v>none</v>
      </c>
      <c r="N78" s="45" t="str">
        <f t="shared" si="22"/>
        <v>none</v>
      </c>
      <c r="O78" s="60" t="e">
        <f t="shared" si="23"/>
        <v>#VALUE!</v>
      </c>
      <c r="P78" s="60">
        <f t="shared" si="24"/>
        <v>4</v>
      </c>
      <c r="Q78" s="60" t="e">
        <f t="shared" si="25"/>
        <v>#VALUE!</v>
      </c>
      <c r="R78" s="60" t="e">
        <f t="shared" si="26"/>
        <v>#VALUE!</v>
      </c>
      <c r="S78" s="60" t="str">
        <f>IFERROR(VLOOKUP(MID(N78,Q78,R78-Q78),[6]skilldef!$C:$D,2,FALSE),"-") &amp; " / " &amp; IFERROR(VLOOKUP(MID(N78,O78,P78-O78),[6]skilldef!$A:$B,2,FALSE),"-")</f>
        <v>- / -</v>
      </c>
      <c r="T78" s="45" t="str">
        <f t="shared" si="27"/>
        <v>none</v>
      </c>
      <c r="U78" s="60" t="e">
        <f t="shared" si="28"/>
        <v>#VALUE!</v>
      </c>
      <c r="V78" s="60">
        <f t="shared" si="29"/>
        <v>4</v>
      </c>
      <c r="W78" s="60" t="e">
        <f t="shared" si="30"/>
        <v>#VALUE!</v>
      </c>
      <c r="X78" s="60" t="e">
        <f t="shared" si="31"/>
        <v>#VALUE!</v>
      </c>
      <c r="Y78" s="60" t="str">
        <f>IFERROR(VLOOKUP(MID(T78,W78,X78-W78),[6]skilldef!$C:$D,2,FALSE),"-") &amp; " / " &amp; IFERROR(VLOOKUP(MID(T78,U78,V78-U78),[6]skilldef!$A:$B,2,FALSE),"-")</f>
        <v>- / -</v>
      </c>
      <c r="Z78" s="47"/>
      <c r="AA78" s="49"/>
      <c r="AB78" s="47"/>
    </row>
    <row r="79" spans="1:28" ht="21" customHeight="1" x14ac:dyDescent="0.15">
      <c r="A79" s="44">
        <v>15031078</v>
      </c>
      <c r="B79" s="44" t="s">
        <v>239</v>
      </c>
      <c r="C79" s="47">
        <v>3</v>
      </c>
      <c r="D79" s="47" t="s">
        <v>127</v>
      </c>
      <c r="E79" s="48" t="s">
        <v>260</v>
      </c>
      <c r="F79" s="48" t="s">
        <v>230</v>
      </c>
      <c r="G79" s="60" t="str">
        <f t="shared" si="16"/>
        <v>[effect:nothing]</v>
      </c>
      <c r="H79" s="60">
        <f t="shared" si="17"/>
        <v>9</v>
      </c>
      <c r="I79" s="60">
        <f t="shared" si="18"/>
        <v>16</v>
      </c>
      <c r="J79" s="60" t="e">
        <f t="shared" si="19"/>
        <v>#VALUE!</v>
      </c>
      <c r="K79" s="60" t="e">
        <f t="shared" si="20"/>
        <v>#VALUE!</v>
      </c>
      <c r="L79" s="60" t="str">
        <f>IFERROR(VLOOKUP(MID(G79,J79,K79-J79),[6]skilldef!$C:$D,2,FALSE),"-") &amp; " / " &amp; IFERROR(VLOOKUP(MID(G79,H79,I79-H79),[6]skilldef!$A:$B,2,FALSE),"-")</f>
        <v>- / 何もしない</v>
      </c>
      <c r="M79" s="60" t="str">
        <f t="shared" si="21"/>
        <v>none</v>
      </c>
      <c r="N79" s="45" t="str">
        <f t="shared" si="22"/>
        <v>none</v>
      </c>
      <c r="O79" s="60" t="e">
        <f t="shared" si="23"/>
        <v>#VALUE!</v>
      </c>
      <c r="P79" s="60">
        <f t="shared" si="24"/>
        <v>4</v>
      </c>
      <c r="Q79" s="60" t="e">
        <f t="shared" si="25"/>
        <v>#VALUE!</v>
      </c>
      <c r="R79" s="60" t="e">
        <f t="shared" si="26"/>
        <v>#VALUE!</v>
      </c>
      <c r="S79" s="60" t="str">
        <f>IFERROR(VLOOKUP(MID(N79,Q79,R79-Q79),[6]skilldef!$C:$D,2,FALSE),"-") &amp; " / " &amp; IFERROR(VLOOKUP(MID(N79,O79,P79-O79),[6]skilldef!$A:$B,2,FALSE),"-")</f>
        <v>- / -</v>
      </c>
      <c r="T79" s="45" t="str">
        <f t="shared" si="27"/>
        <v>none</v>
      </c>
      <c r="U79" s="60" t="e">
        <f t="shared" si="28"/>
        <v>#VALUE!</v>
      </c>
      <c r="V79" s="60">
        <f t="shared" si="29"/>
        <v>4</v>
      </c>
      <c r="W79" s="60" t="e">
        <f t="shared" si="30"/>
        <v>#VALUE!</v>
      </c>
      <c r="X79" s="60" t="e">
        <f t="shared" si="31"/>
        <v>#VALUE!</v>
      </c>
      <c r="Y79" s="60" t="str">
        <f>IFERROR(VLOOKUP(MID(T79,W79,X79-W79),[6]skilldef!$C:$D,2,FALSE),"-") &amp; " / " &amp; IFERROR(VLOOKUP(MID(T79,U79,V79-U79),[6]skilldef!$A:$B,2,FALSE),"-")</f>
        <v>- / -</v>
      </c>
      <c r="Z79" s="47"/>
      <c r="AA79" s="49"/>
      <c r="AB79" s="47"/>
    </row>
    <row r="80" spans="1:28" ht="21" customHeight="1" x14ac:dyDescent="0.15">
      <c r="A80" s="44">
        <v>15031079</v>
      </c>
      <c r="B80" s="44" t="s">
        <v>239</v>
      </c>
      <c r="C80" s="47">
        <v>3</v>
      </c>
      <c r="D80" s="47" t="s">
        <v>127</v>
      </c>
      <c r="E80" s="48" t="s">
        <v>260</v>
      </c>
      <c r="F80" s="48" t="s">
        <v>230</v>
      </c>
      <c r="G80" s="60" t="str">
        <f t="shared" si="16"/>
        <v>[effect:nothing]</v>
      </c>
      <c r="H80" s="60">
        <f t="shared" si="17"/>
        <v>9</v>
      </c>
      <c r="I80" s="60">
        <f t="shared" si="18"/>
        <v>16</v>
      </c>
      <c r="J80" s="60" t="e">
        <f t="shared" si="19"/>
        <v>#VALUE!</v>
      </c>
      <c r="K80" s="60" t="e">
        <f t="shared" si="20"/>
        <v>#VALUE!</v>
      </c>
      <c r="L80" s="60" t="str">
        <f>IFERROR(VLOOKUP(MID(G80,J80,K80-J80),[6]skilldef!$C:$D,2,FALSE),"-") &amp; " / " &amp; IFERROR(VLOOKUP(MID(G80,H80,I80-H80),[6]skilldef!$A:$B,2,FALSE),"-")</f>
        <v>- / 何もしない</v>
      </c>
      <c r="M80" s="60" t="str">
        <f t="shared" si="21"/>
        <v>none</v>
      </c>
      <c r="N80" s="45" t="str">
        <f t="shared" si="22"/>
        <v>none</v>
      </c>
      <c r="O80" s="60" t="e">
        <f t="shared" si="23"/>
        <v>#VALUE!</v>
      </c>
      <c r="P80" s="60">
        <f t="shared" si="24"/>
        <v>4</v>
      </c>
      <c r="Q80" s="60" t="e">
        <f t="shared" si="25"/>
        <v>#VALUE!</v>
      </c>
      <c r="R80" s="60" t="e">
        <f t="shared" si="26"/>
        <v>#VALUE!</v>
      </c>
      <c r="S80" s="60" t="str">
        <f>IFERROR(VLOOKUP(MID(N80,Q80,R80-Q80),[6]skilldef!$C:$D,2,FALSE),"-") &amp; " / " &amp; IFERROR(VLOOKUP(MID(N80,O80,P80-O80),[6]skilldef!$A:$B,2,FALSE),"-")</f>
        <v>- / -</v>
      </c>
      <c r="T80" s="45" t="str">
        <f t="shared" si="27"/>
        <v>none</v>
      </c>
      <c r="U80" s="60" t="e">
        <f t="shared" si="28"/>
        <v>#VALUE!</v>
      </c>
      <c r="V80" s="60">
        <f t="shared" si="29"/>
        <v>4</v>
      </c>
      <c r="W80" s="60" t="e">
        <f t="shared" si="30"/>
        <v>#VALUE!</v>
      </c>
      <c r="X80" s="60" t="e">
        <f t="shared" si="31"/>
        <v>#VALUE!</v>
      </c>
      <c r="Y80" s="60" t="str">
        <f>IFERROR(VLOOKUP(MID(T80,W80,X80-W80),[6]skilldef!$C:$D,2,FALSE),"-") &amp; " / " &amp; IFERROR(VLOOKUP(MID(T80,U80,V80-U80),[6]skilldef!$A:$B,2,FALSE),"-")</f>
        <v>- / -</v>
      </c>
      <c r="Z80" s="47"/>
      <c r="AA80" s="49"/>
      <c r="AB80" s="47"/>
    </row>
    <row r="81" spans="1:28" ht="21" customHeight="1" x14ac:dyDescent="0.15">
      <c r="A81" s="44">
        <v>15031080</v>
      </c>
      <c r="B81" s="44" t="s">
        <v>239</v>
      </c>
      <c r="C81" s="47">
        <v>3</v>
      </c>
      <c r="D81" s="47" t="s">
        <v>127</v>
      </c>
      <c r="E81" s="48" t="s">
        <v>260</v>
      </c>
      <c r="F81" s="48" t="s">
        <v>230</v>
      </c>
      <c r="G81" s="60" t="str">
        <f t="shared" si="16"/>
        <v>[effect:nothing]</v>
      </c>
      <c r="H81" s="60">
        <f t="shared" si="17"/>
        <v>9</v>
      </c>
      <c r="I81" s="60">
        <f t="shared" si="18"/>
        <v>16</v>
      </c>
      <c r="J81" s="60" t="e">
        <f t="shared" si="19"/>
        <v>#VALUE!</v>
      </c>
      <c r="K81" s="60" t="e">
        <f t="shared" si="20"/>
        <v>#VALUE!</v>
      </c>
      <c r="L81" s="60" t="str">
        <f>IFERROR(VLOOKUP(MID(G81,J81,K81-J81),[6]skilldef!$C:$D,2,FALSE),"-") &amp; " / " &amp; IFERROR(VLOOKUP(MID(G81,H81,I81-H81),[6]skilldef!$A:$B,2,FALSE),"-")</f>
        <v>- / 何もしない</v>
      </c>
      <c r="M81" s="60" t="str">
        <f t="shared" si="21"/>
        <v>none</v>
      </c>
      <c r="N81" s="45" t="str">
        <f t="shared" si="22"/>
        <v>none</v>
      </c>
      <c r="O81" s="60" t="e">
        <f t="shared" si="23"/>
        <v>#VALUE!</v>
      </c>
      <c r="P81" s="60">
        <f t="shared" si="24"/>
        <v>4</v>
      </c>
      <c r="Q81" s="60" t="e">
        <f t="shared" si="25"/>
        <v>#VALUE!</v>
      </c>
      <c r="R81" s="60" t="e">
        <f t="shared" si="26"/>
        <v>#VALUE!</v>
      </c>
      <c r="S81" s="60" t="str">
        <f>IFERROR(VLOOKUP(MID(N81,Q81,R81-Q81),[6]skilldef!$C:$D,2,FALSE),"-") &amp; " / " &amp; IFERROR(VLOOKUP(MID(N81,O81,P81-O81),[6]skilldef!$A:$B,2,FALSE),"-")</f>
        <v>- / -</v>
      </c>
      <c r="T81" s="45" t="str">
        <f t="shared" si="27"/>
        <v>none</v>
      </c>
      <c r="U81" s="60" t="e">
        <f t="shared" si="28"/>
        <v>#VALUE!</v>
      </c>
      <c r="V81" s="60">
        <f t="shared" si="29"/>
        <v>4</v>
      </c>
      <c r="W81" s="60" t="e">
        <f t="shared" si="30"/>
        <v>#VALUE!</v>
      </c>
      <c r="X81" s="60" t="e">
        <f t="shared" si="31"/>
        <v>#VALUE!</v>
      </c>
      <c r="Y81" s="60" t="str">
        <f>IFERROR(VLOOKUP(MID(T81,W81,X81-W81),[6]skilldef!$C:$D,2,FALSE),"-") &amp; " / " &amp; IFERROR(VLOOKUP(MID(T81,U81,V81-U81),[6]skilldef!$A:$B,2,FALSE),"-")</f>
        <v>- / -</v>
      </c>
      <c r="Z81" s="47"/>
      <c r="AA81" s="49"/>
      <c r="AB81" s="47"/>
    </row>
    <row r="82" spans="1:28" ht="21" customHeight="1" x14ac:dyDescent="0.15">
      <c r="A82" s="44">
        <v>15031081</v>
      </c>
      <c r="B82" s="44" t="s">
        <v>339</v>
      </c>
      <c r="C82" s="47">
        <v>3</v>
      </c>
      <c r="D82" s="47" t="s">
        <v>335</v>
      </c>
      <c r="E82" s="138" t="s">
        <v>338</v>
      </c>
      <c r="F82" s="48" t="s">
        <v>393</v>
      </c>
      <c r="G82" s="60" t="str">
        <f t="shared" si="16"/>
        <v xml:space="preserve">[effect:break_attack, val:0.05, lowest_val:0, count:8, block:block_blue, target:unit_all]    </v>
      </c>
      <c r="H82" s="60">
        <f t="shared" si="17"/>
        <v>9</v>
      </c>
      <c r="I82" s="60">
        <f t="shared" si="18"/>
        <v>21</v>
      </c>
      <c r="J82" s="60">
        <f t="shared" si="19"/>
        <v>81</v>
      </c>
      <c r="K82" s="60">
        <f t="shared" si="20"/>
        <v>31</v>
      </c>
      <c r="L82" s="60" t="str">
        <f>IFERROR(VLOOKUP(MID(G82,J82,K82-J82),[6]skilldef!$C:$D,2,FALSE),"-") &amp; " / " &amp; IFERROR(VLOOKUP(MID(G82,H82,I82-H82),[6]skilldef!$A:$B,2,FALSE),"-")</f>
        <v>- / -</v>
      </c>
      <c r="M82" s="60" t="str">
        <f t="shared" si="21"/>
        <v>none</v>
      </c>
      <c r="N82" s="45" t="str">
        <f>IFERROR(LEFT(M82,FIND("],",M82)+#REF!),M82)</f>
        <v>none</v>
      </c>
      <c r="O82" s="60" t="e">
        <f t="shared" si="23"/>
        <v>#VALUE!</v>
      </c>
      <c r="P82" s="60">
        <f t="shared" si="24"/>
        <v>4</v>
      </c>
      <c r="Q82" s="60" t="e">
        <f t="shared" si="25"/>
        <v>#VALUE!</v>
      </c>
      <c r="R82" s="60" t="e">
        <f t="shared" si="26"/>
        <v>#VALUE!</v>
      </c>
      <c r="S82" s="60" t="str">
        <f>IFERROR(VLOOKUP(MID(N82,Q82,R82-Q82),[6]skilldef!$C:$D,2,FALSE),"-") &amp; " / " &amp; IFERROR(VLOOKUP(MID(N82,O82,P82-O82),[6]skilldef!$A:$B,2,FALSE),"-")</f>
        <v>- / -</v>
      </c>
      <c r="T82" s="45" t="str">
        <f t="shared" si="27"/>
        <v>none</v>
      </c>
      <c r="U82" s="60" t="e">
        <f t="shared" si="28"/>
        <v>#VALUE!</v>
      </c>
      <c r="V82" s="60">
        <f t="shared" si="29"/>
        <v>4</v>
      </c>
      <c r="W82" s="60" t="e">
        <f t="shared" si="30"/>
        <v>#VALUE!</v>
      </c>
      <c r="X82" s="60" t="e">
        <f t="shared" si="31"/>
        <v>#VALUE!</v>
      </c>
      <c r="Y82" s="60" t="str">
        <f>IFERROR(VLOOKUP(MID(T82,W82,X82-W82),[6]skilldef!$C:$D,2,FALSE),"-") &amp; " / " &amp; IFERROR(VLOOKUP(MID(T82,U82,V82-U82),[6]skilldef!$A:$B,2,FALSE),"-")</f>
        <v>- / -</v>
      </c>
      <c r="Z82" s="47"/>
      <c r="AA82" s="49"/>
      <c r="AB82" s="47"/>
    </row>
    <row r="83" spans="1:28" ht="21" customHeight="1" x14ac:dyDescent="0.15">
      <c r="A83" s="44">
        <v>15031082</v>
      </c>
      <c r="B83" s="44" t="s">
        <v>239</v>
      </c>
      <c r="C83" s="47">
        <v>3</v>
      </c>
      <c r="D83" s="47" t="s">
        <v>127</v>
      </c>
      <c r="E83" s="48" t="s">
        <v>256</v>
      </c>
      <c r="F83" s="48" t="s">
        <v>230</v>
      </c>
      <c r="G83" s="60" t="str">
        <f t="shared" si="16"/>
        <v>[effect:nothing]</v>
      </c>
      <c r="H83" s="60">
        <f t="shared" si="17"/>
        <v>9</v>
      </c>
      <c r="I83" s="60">
        <f t="shared" si="18"/>
        <v>16</v>
      </c>
      <c r="J83" s="60" t="e">
        <f t="shared" si="19"/>
        <v>#VALUE!</v>
      </c>
      <c r="K83" s="60" t="e">
        <f t="shared" si="20"/>
        <v>#VALUE!</v>
      </c>
      <c r="L83" s="60" t="str">
        <f>IFERROR(VLOOKUP(MID(G83,J83,K83-J83),[6]skilldef!$C:$D,2,FALSE),"-") &amp; " / " &amp; IFERROR(VLOOKUP(MID(G83,H83,I83-H83),[6]skilldef!$A:$B,2,FALSE),"-")</f>
        <v>- / 何もしない</v>
      </c>
      <c r="M83" s="60" t="str">
        <f t="shared" si="21"/>
        <v>none</v>
      </c>
      <c r="N83" s="45" t="str">
        <f>IFERROR(LEFT(M83,FIND("],",M83)+#REF!),M83)</f>
        <v>none</v>
      </c>
      <c r="O83" s="60" t="e">
        <f t="shared" si="23"/>
        <v>#VALUE!</v>
      </c>
      <c r="P83" s="60">
        <f t="shared" si="24"/>
        <v>4</v>
      </c>
      <c r="Q83" s="60" t="e">
        <f t="shared" si="25"/>
        <v>#VALUE!</v>
      </c>
      <c r="R83" s="60" t="e">
        <f t="shared" si="26"/>
        <v>#VALUE!</v>
      </c>
      <c r="S83" s="60" t="str">
        <f>IFERROR(VLOOKUP(MID(N83,Q83,R83-Q83),[6]skilldef!$C:$D,2,FALSE),"-") &amp; " / " &amp; IFERROR(VLOOKUP(MID(N83,O83,P83-O83),[6]skilldef!$A:$B,2,FALSE),"-")</f>
        <v>- / -</v>
      </c>
      <c r="T83" s="45" t="str">
        <f t="shared" si="27"/>
        <v>none</v>
      </c>
      <c r="U83" s="60" t="e">
        <f t="shared" si="28"/>
        <v>#VALUE!</v>
      </c>
      <c r="V83" s="60">
        <f t="shared" si="29"/>
        <v>4</v>
      </c>
      <c r="W83" s="60" t="e">
        <f t="shared" si="30"/>
        <v>#VALUE!</v>
      </c>
      <c r="X83" s="60" t="e">
        <f t="shared" si="31"/>
        <v>#VALUE!</v>
      </c>
      <c r="Y83" s="60" t="str">
        <f>IFERROR(VLOOKUP(MID(T83,W83,X83-W83),[6]skilldef!$C:$D,2,FALSE),"-") &amp; " / " &amp; IFERROR(VLOOKUP(MID(T83,U83,V83-U83),[6]skilldef!$A:$B,2,FALSE),"-")</f>
        <v>- / -</v>
      </c>
      <c r="Z83" s="47"/>
      <c r="AA83" s="49"/>
      <c r="AB83" s="47"/>
    </row>
    <row r="84" spans="1:28" ht="21" customHeight="1" x14ac:dyDescent="0.15">
      <c r="A84" s="44">
        <v>15031083</v>
      </c>
      <c r="B84" s="44" t="s">
        <v>239</v>
      </c>
      <c r="C84" s="47">
        <v>3</v>
      </c>
      <c r="D84" s="47" t="s">
        <v>127</v>
      </c>
      <c r="E84" s="48" t="s">
        <v>256</v>
      </c>
      <c r="F84" s="48" t="s">
        <v>230</v>
      </c>
      <c r="G84" s="60" t="str">
        <f t="shared" si="16"/>
        <v>[effect:nothing]</v>
      </c>
      <c r="H84" s="60">
        <f t="shared" si="17"/>
        <v>9</v>
      </c>
      <c r="I84" s="60">
        <f t="shared" si="18"/>
        <v>16</v>
      </c>
      <c r="J84" s="60" t="e">
        <f t="shared" si="19"/>
        <v>#VALUE!</v>
      </c>
      <c r="K84" s="60" t="e">
        <f t="shared" si="20"/>
        <v>#VALUE!</v>
      </c>
      <c r="L84" s="60" t="str">
        <f>IFERROR(VLOOKUP(MID(G84,J84,K84-J84),[6]skilldef!$C:$D,2,FALSE),"-") &amp; " / " &amp; IFERROR(VLOOKUP(MID(G84,H84,I84-H84),[6]skilldef!$A:$B,2,FALSE),"-")</f>
        <v>- / 何もしない</v>
      </c>
      <c r="M84" s="60" t="str">
        <f t="shared" si="21"/>
        <v>none</v>
      </c>
      <c r="N84" s="45" t="str">
        <f>IFERROR(LEFT(M84,FIND("],",M84)+#REF!),M84)</f>
        <v>none</v>
      </c>
      <c r="O84" s="60" t="e">
        <f t="shared" si="23"/>
        <v>#VALUE!</v>
      </c>
      <c r="P84" s="60">
        <f t="shared" si="24"/>
        <v>4</v>
      </c>
      <c r="Q84" s="60" t="e">
        <f t="shared" si="25"/>
        <v>#VALUE!</v>
      </c>
      <c r="R84" s="60" t="e">
        <f t="shared" si="26"/>
        <v>#VALUE!</v>
      </c>
      <c r="S84" s="60" t="str">
        <f>IFERROR(VLOOKUP(MID(N84,Q84,R84-Q84),[6]skilldef!$C:$D,2,FALSE),"-") &amp; " / " &amp; IFERROR(VLOOKUP(MID(N84,O84,P84-O84),[6]skilldef!$A:$B,2,FALSE),"-")</f>
        <v>- / -</v>
      </c>
      <c r="T84" s="45" t="str">
        <f t="shared" si="27"/>
        <v>none</v>
      </c>
      <c r="U84" s="60" t="e">
        <f t="shared" si="28"/>
        <v>#VALUE!</v>
      </c>
      <c r="V84" s="60">
        <f t="shared" si="29"/>
        <v>4</v>
      </c>
      <c r="W84" s="60" t="e">
        <f t="shared" si="30"/>
        <v>#VALUE!</v>
      </c>
      <c r="X84" s="60" t="e">
        <f t="shared" si="31"/>
        <v>#VALUE!</v>
      </c>
      <c r="Y84" s="60" t="str">
        <f>IFERROR(VLOOKUP(MID(T84,W84,X84-W84),[6]skilldef!$C:$D,2,FALSE),"-") &amp; " / " &amp; IFERROR(VLOOKUP(MID(T84,U84,V84-U84),[6]skilldef!$A:$B,2,FALSE),"-")</f>
        <v>- / -</v>
      </c>
      <c r="Z84" s="47"/>
      <c r="AA84" s="49"/>
      <c r="AB84" s="47"/>
    </row>
    <row r="85" spans="1:28" ht="21" customHeight="1" x14ac:dyDescent="0.15">
      <c r="A85" s="44">
        <v>15031084</v>
      </c>
      <c r="B85" s="44" t="s">
        <v>239</v>
      </c>
      <c r="C85" s="47">
        <v>3</v>
      </c>
      <c r="D85" s="47" t="s">
        <v>127</v>
      </c>
      <c r="E85" s="48" t="s">
        <v>256</v>
      </c>
      <c r="F85" s="48" t="s">
        <v>230</v>
      </c>
      <c r="G85" s="60" t="str">
        <f t="shared" si="16"/>
        <v>[effect:nothing]</v>
      </c>
      <c r="H85" s="60">
        <f t="shared" si="17"/>
        <v>9</v>
      </c>
      <c r="I85" s="60">
        <f t="shared" si="18"/>
        <v>16</v>
      </c>
      <c r="J85" s="60" t="e">
        <f t="shared" si="19"/>
        <v>#VALUE!</v>
      </c>
      <c r="K85" s="60" t="e">
        <f t="shared" si="20"/>
        <v>#VALUE!</v>
      </c>
      <c r="L85" s="60" t="str">
        <f>IFERROR(VLOOKUP(MID(G85,J85,K85-J85),[6]skilldef!$C:$D,2,FALSE),"-") &amp; " / " &amp; IFERROR(VLOOKUP(MID(G85,H85,I85-H85),[6]skilldef!$A:$B,2,FALSE),"-")</f>
        <v>- / 何もしない</v>
      </c>
      <c r="M85" s="60" t="str">
        <f t="shared" si="21"/>
        <v>none</v>
      </c>
      <c r="N85" s="45" t="str">
        <f>IFERROR(LEFT(M85,FIND("],",M85)+#REF!),M85)</f>
        <v>none</v>
      </c>
      <c r="O85" s="60" t="e">
        <f t="shared" si="23"/>
        <v>#VALUE!</v>
      </c>
      <c r="P85" s="60">
        <f t="shared" si="24"/>
        <v>4</v>
      </c>
      <c r="Q85" s="60" t="e">
        <f t="shared" si="25"/>
        <v>#VALUE!</v>
      </c>
      <c r="R85" s="60" t="e">
        <f t="shared" si="26"/>
        <v>#VALUE!</v>
      </c>
      <c r="S85" s="60" t="str">
        <f>IFERROR(VLOOKUP(MID(N85,Q85,R85-Q85),[6]skilldef!$C:$D,2,FALSE),"-") &amp; " / " &amp; IFERROR(VLOOKUP(MID(N85,O85,P85-O85),[6]skilldef!$A:$B,2,FALSE),"-")</f>
        <v>- / -</v>
      </c>
      <c r="T85" s="45" t="str">
        <f t="shared" si="27"/>
        <v>none</v>
      </c>
      <c r="U85" s="60" t="e">
        <f t="shared" si="28"/>
        <v>#VALUE!</v>
      </c>
      <c r="V85" s="60">
        <f t="shared" si="29"/>
        <v>4</v>
      </c>
      <c r="W85" s="60" t="e">
        <f t="shared" si="30"/>
        <v>#VALUE!</v>
      </c>
      <c r="X85" s="60" t="e">
        <f t="shared" si="31"/>
        <v>#VALUE!</v>
      </c>
      <c r="Y85" s="60" t="str">
        <f>IFERROR(VLOOKUP(MID(T85,W85,X85-W85),[6]skilldef!$C:$D,2,FALSE),"-") &amp; " / " &amp; IFERROR(VLOOKUP(MID(T85,U85,V85-U85),[6]skilldef!$A:$B,2,FALSE),"-")</f>
        <v>- / -</v>
      </c>
      <c r="Z85" s="47"/>
      <c r="AA85" s="49"/>
      <c r="AB85" s="47"/>
    </row>
    <row r="86" spans="1:28" ht="21" customHeight="1" x14ac:dyDescent="0.15">
      <c r="A86" s="44">
        <v>15031085</v>
      </c>
      <c r="B86" s="44" t="s">
        <v>239</v>
      </c>
      <c r="C86" s="47">
        <v>3</v>
      </c>
      <c r="D86" s="47" t="s">
        <v>127</v>
      </c>
      <c r="E86" s="48" t="s">
        <v>256</v>
      </c>
      <c r="F86" s="48" t="s">
        <v>230</v>
      </c>
      <c r="G86" s="60" t="str">
        <f t="shared" si="16"/>
        <v>[effect:nothing]</v>
      </c>
      <c r="H86" s="60">
        <f t="shared" si="17"/>
        <v>9</v>
      </c>
      <c r="I86" s="60">
        <f t="shared" si="18"/>
        <v>16</v>
      </c>
      <c r="J86" s="60" t="e">
        <f t="shared" si="19"/>
        <v>#VALUE!</v>
      </c>
      <c r="K86" s="60" t="e">
        <f t="shared" si="20"/>
        <v>#VALUE!</v>
      </c>
      <c r="L86" s="60" t="str">
        <f>IFERROR(VLOOKUP(MID(G86,J86,K86-J86),[6]skilldef!$C:$D,2,FALSE),"-") &amp; " / " &amp; IFERROR(VLOOKUP(MID(G86,H86,I86-H86),[6]skilldef!$A:$B,2,FALSE),"-")</f>
        <v>- / 何もしない</v>
      </c>
      <c r="M86" s="60" t="str">
        <f t="shared" si="21"/>
        <v>none</v>
      </c>
      <c r="N86" s="45" t="str">
        <f>IFERROR(LEFT(M86,FIND("],",M86)+#REF!),M86)</f>
        <v>none</v>
      </c>
      <c r="O86" s="60" t="e">
        <f t="shared" si="23"/>
        <v>#VALUE!</v>
      </c>
      <c r="P86" s="60">
        <f t="shared" si="24"/>
        <v>4</v>
      </c>
      <c r="Q86" s="60" t="e">
        <f t="shared" si="25"/>
        <v>#VALUE!</v>
      </c>
      <c r="R86" s="60" t="e">
        <f t="shared" si="26"/>
        <v>#VALUE!</v>
      </c>
      <c r="S86" s="60" t="str">
        <f>IFERROR(VLOOKUP(MID(N86,Q86,R86-Q86),[6]skilldef!$C:$D,2,FALSE),"-") &amp; " / " &amp; IFERROR(VLOOKUP(MID(N86,O86,P86-O86),[6]skilldef!$A:$B,2,FALSE),"-")</f>
        <v>- / -</v>
      </c>
      <c r="T86" s="45" t="str">
        <f t="shared" si="27"/>
        <v>none</v>
      </c>
      <c r="U86" s="60" t="e">
        <f t="shared" si="28"/>
        <v>#VALUE!</v>
      </c>
      <c r="V86" s="60">
        <f t="shared" si="29"/>
        <v>4</v>
      </c>
      <c r="W86" s="60" t="e">
        <f t="shared" si="30"/>
        <v>#VALUE!</v>
      </c>
      <c r="X86" s="60" t="e">
        <f t="shared" si="31"/>
        <v>#VALUE!</v>
      </c>
      <c r="Y86" s="60" t="str">
        <f>IFERROR(VLOOKUP(MID(T86,W86,X86-W86),[6]skilldef!$C:$D,2,FALSE),"-") &amp; " / " &amp; IFERROR(VLOOKUP(MID(T86,U86,V86-U86),[6]skilldef!$A:$B,2,FALSE),"-")</f>
        <v>- / -</v>
      </c>
      <c r="Z86" s="47"/>
      <c r="AA86" s="49"/>
      <c r="AB86" s="47"/>
    </row>
    <row r="87" spans="1:28" ht="21" customHeight="1" x14ac:dyDescent="0.15">
      <c r="A87" s="44">
        <v>15031086</v>
      </c>
      <c r="B87" s="44" t="s">
        <v>350</v>
      </c>
      <c r="C87" s="47">
        <v>3</v>
      </c>
      <c r="D87" s="47" t="s">
        <v>335</v>
      </c>
      <c r="E87" s="138" t="s">
        <v>336</v>
      </c>
      <c r="F87" s="48" t="s">
        <v>391</v>
      </c>
      <c r="G87" s="60" t="str">
        <f t="shared" si="16"/>
        <v>[effect:dis_heart, turn:4, animation:enemy_dis_heart]</v>
      </c>
      <c r="H87" s="60">
        <f t="shared" si="17"/>
        <v>9</v>
      </c>
      <c r="I87" s="60">
        <f t="shared" si="18"/>
        <v>18</v>
      </c>
      <c r="J87" s="60" t="e">
        <f t="shared" si="19"/>
        <v>#VALUE!</v>
      </c>
      <c r="K87" s="60">
        <f t="shared" si="20"/>
        <v>26</v>
      </c>
      <c r="L87" s="60" t="str">
        <f>IFERROR(VLOOKUP(MID(G87,J87,K87-J87),[6]skilldef!$C:$D,2,FALSE),"-") &amp; " / " &amp; IFERROR(VLOOKUP(MID(G87,H87,I87-H87),[6]skilldef!$A:$B,2,FALSE),"-")</f>
        <v>- / ディスハート</v>
      </c>
      <c r="M87" s="60" t="str">
        <f t="shared" si="21"/>
        <v>none</v>
      </c>
      <c r="N87" s="45" t="str">
        <f>IFERROR(LEFT(M87,FIND("],",M87)+#REF!),M87)</f>
        <v>none</v>
      </c>
      <c r="O87" s="60" t="e">
        <f t="shared" si="23"/>
        <v>#VALUE!</v>
      </c>
      <c r="P87" s="60">
        <f t="shared" si="24"/>
        <v>4</v>
      </c>
      <c r="Q87" s="60" t="e">
        <f t="shared" si="25"/>
        <v>#VALUE!</v>
      </c>
      <c r="R87" s="60" t="e">
        <f t="shared" si="26"/>
        <v>#VALUE!</v>
      </c>
      <c r="S87" s="60" t="str">
        <f>IFERROR(VLOOKUP(MID(N87,Q87,R87-Q87),[6]skilldef!$C:$D,2,FALSE),"-") &amp; " / " &amp; IFERROR(VLOOKUP(MID(N87,O87,P87-O87),[6]skilldef!$A:$B,2,FALSE),"-")</f>
        <v>- / -</v>
      </c>
      <c r="T87" s="45" t="str">
        <f t="shared" si="27"/>
        <v>none</v>
      </c>
      <c r="U87" s="60" t="e">
        <f t="shared" si="28"/>
        <v>#VALUE!</v>
      </c>
      <c r="V87" s="60">
        <f t="shared" si="29"/>
        <v>4</v>
      </c>
      <c r="W87" s="60" t="e">
        <f t="shared" si="30"/>
        <v>#VALUE!</v>
      </c>
      <c r="X87" s="60" t="e">
        <f t="shared" si="31"/>
        <v>#VALUE!</v>
      </c>
      <c r="Y87" s="60" t="str">
        <f>IFERROR(VLOOKUP(MID(T87,W87,X87-W87),[6]skilldef!$C:$D,2,FALSE),"-") &amp; " / " &amp; IFERROR(VLOOKUP(MID(T87,U87,V87-U87),[6]skilldef!$A:$B,2,FALSE),"-")</f>
        <v>- / -</v>
      </c>
      <c r="Z87" s="47"/>
      <c r="AA87" s="49"/>
      <c r="AB87" s="47"/>
    </row>
    <row r="88" spans="1:28" ht="21" customHeight="1" x14ac:dyDescent="0.15">
      <c r="A88" s="44">
        <v>15031087</v>
      </c>
      <c r="B88" s="44" t="s">
        <v>239</v>
      </c>
      <c r="C88" s="47">
        <v>3</v>
      </c>
      <c r="D88" s="47" t="s">
        <v>127</v>
      </c>
      <c r="E88" s="48" t="s">
        <v>258</v>
      </c>
      <c r="F88" s="48" t="s">
        <v>230</v>
      </c>
      <c r="G88" s="60" t="str">
        <f t="shared" si="16"/>
        <v>[effect:nothing]</v>
      </c>
      <c r="H88" s="60">
        <f t="shared" si="17"/>
        <v>9</v>
      </c>
      <c r="I88" s="60">
        <f t="shared" si="18"/>
        <v>16</v>
      </c>
      <c r="J88" s="60" t="e">
        <f t="shared" si="19"/>
        <v>#VALUE!</v>
      </c>
      <c r="K88" s="60" t="e">
        <f t="shared" si="20"/>
        <v>#VALUE!</v>
      </c>
      <c r="L88" s="60" t="str">
        <f>IFERROR(VLOOKUP(MID(G88,J88,K88-J88),[6]skilldef!$C:$D,2,FALSE),"-") &amp; " / " &amp; IFERROR(VLOOKUP(MID(G88,H88,I88-H88),[6]skilldef!$A:$B,2,FALSE),"-")</f>
        <v>- / 何もしない</v>
      </c>
      <c r="M88" s="60" t="str">
        <f t="shared" si="21"/>
        <v>none</v>
      </c>
      <c r="N88" s="45" t="str">
        <f>IFERROR(LEFT(M88,FIND("],",M88)+#REF!),M88)</f>
        <v>none</v>
      </c>
      <c r="O88" s="60" t="e">
        <f t="shared" si="23"/>
        <v>#VALUE!</v>
      </c>
      <c r="P88" s="60">
        <f t="shared" si="24"/>
        <v>4</v>
      </c>
      <c r="Q88" s="60" t="e">
        <f t="shared" si="25"/>
        <v>#VALUE!</v>
      </c>
      <c r="R88" s="60" t="e">
        <f t="shared" si="26"/>
        <v>#VALUE!</v>
      </c>
      <c r="S88" s="60" t="str">
        <f>IFERROR(VLOOKUP(MID(N88,Q88,R88-Q88),[6]skilldef!$C:$D,2,FALSE),"-") &amp; " / " &amp; IFERROR(VLOOKUP(MID(N88,O88,P88-O88),[6]skilldef!$A:$B,2,FALSE),"-")</f>
        <v>- / -</v>
      </c>
      <c r="T88" s="45" t="str">
        <f t="shared" si="27"/>
        <v>none</v>
      </c>
      <c r="U88" s="60" t="e">
        <f t="shared" si="28"/>
        <v>#VALUE!</v>
      </c>
      <c r="V88" s="60">
        <f t="shared" si="29"/>
        <v>4</v>
      </c>
      <c r="W88" s="60" t="e">
        <f t="shared" si="30"/>
        <v>#VALUE!</v>
      </c>
      <c r="X88" s="60" t="e">
        <f t="shared" si="31"/>
        <v>#VALUE!</v>
      </c>
      <c r="Y88" s="60" t="str">
        <f>IFERROR(VLOOKUP(MID(T88,W88,X88-W88),[6]skilldef!$C:$D,2,FALSE),"-") &amp; " / " &amp; IFERROR(VLOOKUP(MID(T88,U88,V88-U88),[6]skilldef!$A:$B,2,FALSE),"-")</f>
        <v>- / -</v>
      </c>
      <c r="Z88" s="47"/>
      <c r="AA88" s="49"/>
      <c r="AB88" s="47"/>
    </row>
    <row r="89" spans="1:28" ht="21" customHeight="1" x14ac:dyDescent="0.15">
      <c r="A89" s="44">
        <v>15031088</v>
      </c>
      <c r="B89" s="44" t="s">
        <v>239</v>
      </c>
      <c r="C89" s="47">
        <v>3</v>
      </c>
      <c r="D89" s="47" t="s">
        <v>127</v>
      </c>
      <c r="E89" s="48" t="s">
        <v>258</v>
      </c>
      <c r="F89" s="48" t="s">
        <v>230</v>
      </c>
      <c r="G89" s="60" t="str">
        <f t="shared" si="16"/>
        <v>[effect:nothing]</v>
      </c>
      <c r="H89" s="60">
        <f t="shared" si="17"/>
        <v>9</v>
      </c>
      <c r="I89" s="60">
        <f t="shared" si="18"/>
        <v>16</v>
      </c>
      <c r="J89" s="60" t="e">
        <f t="shared" si="19"/>
        <v>#VALUE!</v>
      </c>
      <c r="K89" s="60" t="e">
        <f t="shared" si="20"/>
        <v>#VALUE!</v>
      </c>
      <c r="L89" s="60" t="str">
        <f>IFERROR(VLOOKUP(MID(G89,J89,K89-J89),[6]skilldef!$C:$D,2,FALSE),"-") &amp; " / " &amp; IFERROR(VLOOKUP(MID(G89,H89,I89-H89),[6]skilldef!$A:$B,2,FALSE),"-")</f>
        <v>- / 何もしない</v>
      </c>
      <c r="M89" s="60" t="str">
        <f t="shared" si="21"/>
        <v>none</v>
      </c>
      <c r="N89" s="45" t="str">
        <f>IFERROR(LEFT(M89,FIND("],",M89)+#REF!),M89)</f>
        <v>none</v>
      </c>
      <c r="O89" s="60" t="e">
        <f t="shared" si="23"/>
        <v>#VALUE!</v>
      </c>
      <c r="P89" s="60">
        <f t="shared" si="24"/>
        <v>4</v>
      </c>
      <c r="Q89" s="60" t="e">
        <f t="shared" si="25"/>
        <v>#VALUE!</v>
      </c>
      <c r="R89" s="60" t="e">
        <f t="shared" si="26"/>
        <v>#VALUE!</v>
      </c>
      <c r="S89" s="60" t="str">
        <f>IFERROR(VLOOKUP(MID(N89,Q89,R89-Q89),[6]skilldef!$C:$D,2,FALSE),"-") &amp; " / " &amp; IFERROR(VLOOKUP(MID(N89,O89,P89-O89),[6]skilldef!$A:$B,2,FALSE),"-")</f>
        <v>- / -</v>
      </c>
      <c r="T89" s="45" t="str">
        <f t="shared" si="27"/>
        <v>none</v>
      </c>
      <c r="U89" s="60" t="e">
        <f t="shared" si="28"/>
        <v>#VALUE!</v>
      </c>
      <c r="V89" s="60">
        <f t="shared" si="29"/>
        <v>4</v>
      </c>
      <c r="W89" s="60" t="e">
        <f t="shared" si="30"/>
        <v>#VALUE!</v>
      </c>
      <c r="X89" s="60" t="e">
        <f t="shared" si="31"/>
        <v>#VALUE!</v>
      </c>
      <c r="Y89" s="60" t="str">
        <f>IFERROR(VLOOKUP(MID(T89,W89,X89-W89),[6]skilldef!$C:$D,2,FALSE),"-") &amp; " / " &amp; IFERROR(VLOOKUP(MID(T89,U89,V89-U89),[6]skilldef!$A:$B,2,FALSE),"-")</f>
        <v>- / -</v>
      </c>
      <c r="Z89" s="47"/>
      <c r="AA89" s="49"/>
      <c r="AB89" s="47"/>
    </row>
    <row r="90" spans="1:28" ht="21" customHeight="1" x14ac:dyDescent="0.15">
      <c r="A90" s="44">
        <v>15031089</v>
      </c>
      <c r="B90" s="44" t="s">
        <v>239</v>
      </c>
      <c r="C90" s="47">
        <v>3</v>
      </c>
      <c r="D90" s="47" t="s">
        <v>127</v>
      </c>
      <c r="E90" s="48" t="s">
        <v>258</v>
      </c>
      <c r="F90" s="48" t="s">
        <v>230</v>
      </c>
      <c r="G90" s="60" t="str">
        <f t="shared" si="16"/>
        <v>[effect:nothing]</v>
      </c>
      <c r="H90" s="60">
        <f t="shared" si="17"/>
        <v>9</v>
      </c>
      <c r="I90" s="60">
        <f t="shared" si="18"/>
        <v>16</v>
      </c>
      <c r="J90" s="60" t="e">
        <f t="shared" si="19"/>
        <v>#VALUE!</v>
      </c>
      <c r="K90" s="60" t="e">
        <f t="shared" si="20"/>
        <v>#VALUE!</v>
      </c>
      <c r="L90" s="60" t="str">
        <f>IFERROR(VLOOKUP(MID(G90,J90,K90-J90),[6]skilldef!$C:$D,2,FALSE),"-") &amp; " / " &amp; IFERROR(VLOOKUP(MID(G90,H90,I90-H90),[6]skilldef!$A:$B,2,FALSE),"-")</f>
        <v>- / 何もしない</v>
      </c>
      <c r="M90" s="60" t="str">
        <f t="shared" si="21"/>
        <v>none</v>
      </c>
      <c r="N90" s="45" t="str">
        <f>IFERROR(LEFT(M90,FIND("],",M90)+#REF!),M90)</f>
        <v>none</v>
      </c>
      <c r="O90" s="60" t="e">
        <f t="shared" si="23"/>
        <v>#VALUE!</v>
      </c>
      <c r="P90" s="60">
        <f t="shared" si="24"/>
        <v>4</v>
      </c>
      <c r="Q90" s="60" t="e">
        <f t="shared" si="25"/>
        <v>#VALUE!</v>
      </c>
      <c r="R90" s="60" t="e">
        <f t="shared" si="26"/>
        <v>#VALUE!</v>
      </c>
      <c r="S90" s="60" t="str">
        <f>IFERROR(VLOOKUP(MID(N90,Q90,R90-Q90),[6]skilldef!$C:$D,2,FALSE),"-") &amp; " / " &amp; IFERROR(VLOOKUP(MID(N90,O90,P90-O90),[6]skilldef!$A:$B,2,FALSE),"-")</f>
        <v>- / -</v>
      </c>
      <c r="T90" s="45" t="str">
        <f t="shared" si="27"/>
        <v>none</v>
      </c>
      <c r="U90" s="60" t="e">
        <f t="shared" si="28"/>
        <v>#VALUE!</v>
      </c>
      <c r="V90" s="60">
        <f t="shared" si="29"/>
        <v>4</v>
      </c>
      <c r="W90" s="60" t="e">
        <f t="shared" si="30"/>
        <v>#VALUE!</v>
      </c>
      <c r="X90" s="60" t="e">
        <f t="shared" si="31"/>
        <v>#VALUE!</v>
      </c>
      <c r="Y90" s="60" t="str">
        <f>IFERROR(VLOOKUP(MID(T90,W90,X90-W90),[6]skilldef!$C:$D,2,FALSE),"-") &amp; " / " &amp; IFERROR(VLOOKUP(MID(T90,U90,V90-U90),[6]skilldef!$A:$B,2,FALSE),"-")</f>
        <v>- / -</v>
      </c>
      <c r="Z90" s="47"/>
      <c r="AA90" s="49"/>
      <c r="AB90" s="47"/>
    </row>
    <row r="91" spans="1:28" ht="21" customHeight="1" x14ac:dyDescent="0.15">
      <c r="A91" s="44">
        <v>15031090</v>
      </c>
      <c r="B91" s="44" t="s">
        <v>239</v>
      </c>
      <c r="C91" s="47">
        <v>3</v>
      </c>
      <c r="D91" s="47" t="s">
        <v>127</v>
      </c>
      <c r="E91" s="48" t="s">
        <v>258</v>
      </c>
      <c r="F91" s="48" t="s">
        <v>230</v>
      </c>
      <c r="G91" s="60" t="str">
        <f t="shared" ref="G91:G144" si="32">IFERROR(LEFT(B91,FIND("],",B91)),B91)</f>
        <v>[effect:nothing]</v>
      </c>
      <c r="H91" s="60">
        <f t="shared" ref="H91:H144" si="33">FIND("effect:",G91)+7</f>
        <v>9</v>
      </c>
      <c r="I91" s="60">
        <f t="shared" ref="I91:I144" si="34">IFERROR(FIND(",",G91),LEN(G91))</f>
        <v>16</v>
      </c>
      <c r="J91" s="60" t="e">
        <f t="shared" ref="J91:J144" si="35">FIND("target:",G91)+7</f>
        <v>#VALUE!</v>
      </c>
      <c r="K91" s="60" t="e">
        <f t="shared" ref="K91:K144" si="36">FIND(",",G91,I91+1)</f>
        <v>#VALUE!</v>
      </c>
      <c r="L91" s="60" t="str">
        <f>IFERROR(VLOOKUP(MID(G91,J91,K91-J91),[6]skilldef!$C:$D,2,FALSE),"-") &amp; " / " &amp; IFERROR(VLOOKUP(MID(G91,H91,I91-H91),[6]skilldef!$A:$B,2,FALSE),"-")</f>
        <v>- / 何もしない</v>
      </c>
      <c r="M91" s="60" t="str">
        <f t="shared" ref="M91:M144" si="37">IFERROR(RIGHT(B91,LEN(B91)-FIND("],",B91)-1),"none")</f>
        <v>none</v>
      </c>
      <c r="N91" s="45" t="str">
        <f>IFERROR(LEFT(M91,FIND("],",M91)+#REF!),M91)</f>
        <v>none</v>
      </c>
      <c r="O91" s="60" t="e">
        <f t="shared" ref="O91:O144" si="38">FIND("effect:",N91)+7</f>
        <v>#VALUE!</v>
      </c>
      <c r="P91" s="60">
        <f t="shared" ref="P91:P144" si="39">IFERROR(FIND(",",N91),LEN(N91))</f>
        <v>4</v>
      </c>
      <c r="Q91" s="60" t="e">
        <f t="shared" ref="Q91:Q144" si="40">FIND("target:",N91)+7</f>
        <v>#VALUE!</v>
      </c>
      <c r="R91" s="60" t="e">
        <f t="shared" ref="R91:R144" si="41">FIND(",",N91,P91+1)</f>
        <v>#VALUE!</v>
      </c>
      <c r="S91" s="60" t="str">
        <f>IFERROR(VLOOKUP(MID(N91,Q91,R91-Q91),[6]skilldef!$C:$D,2,FALSE),"-") &amp; " / " &amp; IFERROR(VLOOKUP(MID(N91,O91,P91-O91),[6]skilldef!$A:$B,2,FALSE),"-")</f>
        <v>- / -</v>
      </c>
      <c r="T91" s="45" t="str">
        <f t="shared" ref="T91:T144" si="42">IFERROR(RIGHT(M91,LEN(M91)-FIND("],",M91)-1),"none")</f>
        <v>none</v>
      </c>
      <c r="U91" s="60" t="e">
        <f t="shared" ref="U91:U144" si="43">FIND("effect:",T91)+7</f>
        <v>#VALUE!</v>
      </c>
      <c r="V91" s="60">
        <f t="shared" ref="V91:V144" si="44">IFERROR(FIND(",",T91),LEN(T91))</f>
        <v>4</v>
      </c>
      <c r="W91" s="60" t="e">
        <f t="shared" ref="W91:W144" si="45">FIND("target:",T91)+7</f>
        <v>#VALUE!</v>
      </c>
      <c r="X91" s="60" t="e">
        <f t="shared" ref="X91:X144" si="46">FIND(",",T91,V91+1)</f>
        <v>#VALUE!</v>
      </c>
      <c r="Y91" s="60" t="str">
        <f>IFERROR(VLOOKUP(MID(T91,W91,X91-W91),[6]skilldef!$C:$D,2,FALSE),"-") &amp; " / " &amp; IFERROR(VLOOKUP(MID(T91,U91,V91-U91),[6]skilldef!$A:$B,2,FALSE),"-")</f>
        <v>- / -</v>
      </c>
      <c r="Z91" s="47"/>
      <c r="AA91" s="49"/>
      <c r="AB91" s="47"/>
    </row>
    <row r="92" spans="1:28" ht="21" customHeight="1" x14ac:dyDescent="0.15">
      <c r="A92" s="44">
        <v>15031091</v>
      </c>
      <c r="B92" s="44" t="s">
        <v>381</v>
      </c>
      <c r="C92" s="47">
        <v>3</v>
      </c>
      <c r="D92" s="47" t="s">
        <v>127</v>
      </c>
      <c r="E92" s="138" t="s">
        <v>291</v>
      </c>
      <c r="F92" s="48" t="s">
        <v>394</v>
      </c>
      <c r="G92" s="60" t="str">
        <f t="shared" si="32"/>
        <v>[effect:break_enchance_enemy, val:0.04, lowest_val:0.08, count :-1, status:defense, turn:2, block:block_blue, target:myself, calc:mul, animation:enemy_enhance_defense]</v>
      </c>
      <c r="H92" s="60">
        <f t="shared" si="33"/>
        <v>9</v>
      </c>
      <c r="I92" s="60">
        <f t="shared" si="34"/>
        <v>29</v>
      </c>
      <c r="J92" s="60">
        <f t="shared" si="35"/>
        <v>118</v>
      </c>
      <c r="K92" s="60">
        <f t="shared" si="36"/>
        <v>39</v>
      </c>
      <c r="L92" s="60" t="str">
        <f>IFERROR(VLOOKUP(MID(G92,J92,K92-J92),[6]skilldef!$C:$D,2,FALSE),"-") &amp; " / " &amp; IFERROR(VLOOKUP(MID(G92,H92,I92-H92),[6]skilldef!$A:$B,2,FALSE),"-")</f>
        <v>- / -</v>
      </c>
      <c r="M92" s="60" t="str">
        <f t="shared" si="37"/>
        <v>none</v>
      </c>
      <c r="N92" s="45" t="str">
        <f t="shared" ref="N92:N144" si="47">IFERROR(LEFT(M92,FIND("],",M92)+S102),M92)</f>
        <v>none</v>
      </c>
      <c r="O92" s="60" t="e">
        <f t="shared" si="38"/>
        <v>#VALUE!</v>
      </c>
      <c r="P92" s="60">
        <f t="shared" si="39"/>
        <v>4</v>
      </c>
      <c r="Q92" s="60" t="e">
        <f t="shared" si="40"/>
        <v>#VALUE!</v>
      </c>
      <c r="R92" s="60" t="e">
        <f t="shared" si="41"/>
        <v>#VALUE!</v>
      </c>
      <c r="S92" s="60" t="str">
        <f>IFERROR(VLOOKUP(MID(N92,Q92,R92-Q92),[6]skilldef!$C:$D,2,FALSE),"-") &amp; " / " &amp; IFERROR(VLOOKUP(MID(N92,O92,P92-O92),[6]skilldef!$A:$B,2,FALSE),"-")</f>
        <v>- / -</v>
      </c>
      <c r="T92" s="45" t="str">
        <f t="shared" si="42"/>
        <v>none</v>
      </c>
      <c r="U92" s="60" t="e">
        <f t="shared" si="43"/>
        <v>#VALUE!</v>
      </c>
      <c r="V92" s="60">
        <f t="shared" si="44"/>
        <v>4</v>
      </c>
      <c r="W92" s="60" t="e">
        <f t="shared" si="45"/>
        <v>#VALUE!</v>
      </c>
      <c r="X92" s="60" t="e">
        <f t="shared" si="46"/>
        <v>#VALUE!</v>
      </c>
      <c r="Y92" s="60" t="str">
        <f>IFERROR(VLOOKUP(MID(T92,W92,X92-W92),[6]skilldef!$C:$D,2,FALSE),"-") &amp; " / " &amp; IFERROR(VLOOKUP(MID(T92,U92,V92-U92),[6]skilldef!$A:$B,2,FALSE),"-")</f>
        <v>- / -</v>
      </c>
      <c r="Z92" s="47"/>
      <c r="AA92" s="49"/>
      <c r="AB92" s="47"/>
    </row>
    <row r="93" spans="1:28" ht="21" customHeight="1" x14ac:dyDescent="0.15">
      <c r="A93" s="44">
        <v>15031092</v>
      </c>
      <c r="B93" s="44" t="s">
        <v>228</v>
      </c>
      <c r="C93" s="47">
        <v>3</v>
      </c>
      <c r="D93" s="47" t="s">
        <v>127</v>
      </c>
      <c r="E93" s="48" t="s">
        <v>243</v>
      </c>
      <c r="F93" s="48" t="s">
        <v>230</v>
      </c>
      <c r="G93" s="60" t="str">
        <f t="shared" si="32"/>
        <v>[effect:nothing]</v>
      </c>
      <c r="H93" s="60">
        <f t="shared" si="33"/>
        <v>9</v>
      </c>
      <c r="I93" s="60">
        <f t="shared" si="34"/>
        <v>16</v>
      </c>
      <c r="J93" s="60" t="e">
        <f t="shared" si="35"/>
        <v>#VALUE!</v>
      </c>
      <c r="K93" s="60" t="e">
        <f t="shared" si="36"/>
        <v>#VALUE!</v>
      </c>
      <c r="L93" s="60" t="str">
        <f>IFERROR(VLOOKUP(MID(G93,J93,K93-J93),[6]skilldef!$C:$D,2,FALSE),"-") &amp; " / " &amp; IFERROR(VLOOKUP(MID(G93,H93,I93-H93),[6]skilldef!$A:$B,2,FALSE),"-")</f>
        <v>- / 何もしない</v>
      </c>
      <c r="M93" s="60" t="str">
        <f t="shared" si="37"/>
        <v>none</v>
      </c>
      <c r="N93" s="45" t="str">
        <f t="shared" si="47"/>
        <v>none</v>
      </c>
      <c r="O93" s="60" t="e">
        <f t="shared" si="38"/>
        <v>#VALUE!</v>
      </c>
      <c r="P93" s="60">
        <f t="shared" si="39"/>
        <v>4</v>
      </c>
      <c r="Q93" s="60" t="e">
        <f t="shared" si="40"/>
        <v>#VALUE!</v>
      </c>
      <c r="R93" s="60" t="e">
        <f t="shared" si="41"/>
        <v>#VALUE!</v>
      </c>
      <c r="S93" s="60" t="str">
        <f>IFERROR(VLOOKUP(MID(N93,Q93,R93-Q93),[6]skilldef!$C:$D,2,FALSE),"-") &amp; " / " &amp; IFERROR(VLOOKUP(MID(N93,O93,P93-O93),[6]skilldef!$A:$B,2,FALSE),"-")</f>
        <v>- / -</v>
      </c>
      <c r="T93" s="45" t="str">
        <f t="shared" si="42"/>
        <v>none</v>
      </c>
      <c r="U93" s="60" t="e">
        <f t="shared" si="43"/>
        <v>#VALUE!</v>
      </c>
      <c r="V93" s="60">
        <f t="shared" si="44"/>
        <v>4</v>
      </c>
      <c r="W93" s="60" t="e">
        <f t="shared" si="45"/>
        <v>#VALUE!</v>
      </c>
      <c r="X93" s="60" t="e">
        <f t="shared" si="46"/>
        <v>#VALUE!</v>
      </c>
      <c r="Y93" s="60" t="str">
        <f>IFERROR(VLOOKUP(MID(T93,W93,X93-W93),[6]skilldef!$C:$D,2,FALSE),"-") &amp; " / " &amp; IFERROR(VLOOKUP(MID(T93,U93,V93-U93),[6]skilldef!$A:$B,2,FALSE),"-")</f>
        <v>- / -</v>
      </c>
      <c r="Z93" s="47"/>
      <c r="AA93" s="49"/>
      <c r="AB93" s="47"/>
    </row>
    <row r="94" spans="1:28" ht="21" customHeight="1" x14ac:dyDescent="0.15">
      <c r="A94" s="44">
        <v>15031093</v>
      </c>
      <c r="B94" s="44" t="s">
        <v>229</v>
      </c>
      <c r="C94" s="47">
        <v>3</v>
      </c>
      <c r="D94" s="47" t="s">
        <v>127</v>
      </c>
      <c r="E94" s="48" t="s">
        <v>243</v>
      </c>
      <c r="F94" s="48" t="s">
        <v>230</v>
      </c>
      <c r="G94" s="60" t="str">
        <f t="shared" si="32"/>
        <v>[effect:nothing]</v>
      </c>
      <c r="H94" s="60">
        <f t="shared" si="33"/>
        <v>9</v>
      </c>
      <c r="I94" s="60">
        <f t="shared" si="34"/>
        <v>16</v>
      </c>
      <c r="J94" s="60" t="e">
        <f t="shared" si="35"/>
        <v>#VALUE!</v>
      </c>
      <c r="K94" s="60" t="e">
        <f t="shared" si="36"/>
        <v>#VALUE!</v>
      </c>
      <c r="L94" s="60" t="str">
        <f>IFERROR(VLOOKUP(MID(G94,J94,K94-J94),[6]skilldef!$C:$D,2,FALSE),"-") &amp; " / " &amp; IFERROR(VLOOKUP(MID(G94,H94,I94-H94),[6]skilldef!$A:$B,2,FALSE),"-")</f>
        <v>- / 何もしない</v>
      </c>
      <c r="M94" s="60" t="str">
        <f t="shared" si="37"/>
        <v>none</v>
      </c>
      <c r="N94" s="45" t="str">
        <f t="shared" si="47"/>
        <v>none</v>
      </c>
      <c r="O94" s="60" t="e">
        <f t="shared" si="38"/>
        <v>#VALUE!</v>
      </c>
      <c r="P94" s="60">
        <f t="shared" si="39"/>
        <v>4</v>
      </c>
      <c r="Q94" s="60" t="e">
        <f t="shared" si="40"/>
        <v>#VALUE!</v>
      </c>
      <c r="R94" s="60" t="e">
        <f t="shared" si="41"/>
        <v>#VALUE!</v>
      </c>
      <c r="S94" s="60" t="str">
        <f>IFERROR(VLOOKUP(MID(N94,Q94,R94-Q94),[6]skilldef!$C:$D,2,FALSE),"-") &amp; " / " &amp; IFERROR(VLOOKUP(MID(N94,O94,P94-O94),[6]skilldef!$A:$B,2,FALSE),"-")</f>
        <v>- / -</v>
      </c>
      <c r="T94" s="45" t="str">
        <f t="shared" si="42"/>
        <v>none</v>
      </c>
      <c r="U94" s="60" t="e">
        <f t="shared" si="43"/>
        <v>#VALUE!</v>
      </c>
      <c r="V94" s="60">
        <f t="shared" si="44"/>
        <v>4</v>
      </c>
      <c r="W94" s="60" t="e">
        <f t="shared" si="45"/>
        <v>#VALUE!</v>
      </c>
      <c r="X94" s="60" t="e">
        <f t="shared" si="46"/>
        <v>#VALUE!</v>
      </c>
      <c r="Y94" s="60" t="str">
        <f>IFERROR(VLOOKUP(MID(T94,W94,X94-W94),[6]skilldef!$C:$D,2,FALSE),"-") &amp; " / " &amp; IFERROR(VLOOKUP(MID(T94,U94,V94-U94),[6]skilldef!$A:$B,2,FALSE),"-")</f>
        <v>- / -</v>
      </c>
      <c r="Z94" s="47"/>
      <c r="AA94" s="49"/>
      <c r="AB94" s="47"/>
    </row>
    <row r="95" spans="1:28" ht="21" customHeight="1" x14ac:dyDescent="0.15">
      <c r="A95" s="44">
        <v>15031094</v>
      </c>
      <c r="B95" s="44" t="s">
        <v>229</v>
      </c>
      <c r="C95" s="47">
        <v>3</v>
      </c>
      <c r="D95" s="47" t="s">
        <v>127</v>
      </c>
      <c r="E95" s="48" t="s">
        <v>243</v>
      </c>
      <c r="F95" s="48" t="s">
        <v>230</v>
      </c>
      <c r="G95" s="60" t="str">
        <f t="shared" si="32"/>
        <v>[effect:nothing]</v>
      </c>
      <c r="H95" s="60">
        <f t="shared" si="33"/>
        <v>9</v>
      </c>
      <c r="I95" s="60">
        <f t="shared" si="34"/>
        <v>16</v>
      </c>
      <c r="J95" s="60" t="e">
        <f t="shared" si="35"/>
        <v>#VALUE!</v>
      </c>
      <c r="K95" s="60" t="e">
        <f t="shared" si="36"/>
        <v>#VALUE!</v>
      </c>
      <c r="L95" s="60" t="str">
        <f>IFERROR(VLOOKUP(MID(G95,J95,K95-J95),[6]skilldef!$C:$D,2,FALSE),"-") &amp; " / " &amp; IFERROR(VLOOKUP(MID(G95,H95,I95-H95),[6]skilldef!$A:$B,2,FALSE),"-")</f>
        <v>- / 何もしない</v>
      </c>
      <c r="M95" s="60" t="str">
        <f t="shared" si="37"/>
        <v>none</v>
      </c>
      <c r="N95" s="45" t="str">
        <f t="shared" si="47"/>
        <v>none</v>
      </c>
      <c r="O95" s="60" t="e">
        <f t="shared" si="38"/>
        <v>#VALUE!</v>
      </c>
      <c r="P95" s="60">
        <f t="shared" si="39"/>
        <v>4</v>
      </c>
      <c r="Q95" s="60" t="e">
        <f t="shared" si="40"/>
        <v>#VALUE!</v>
      </c>
      <c r="R95" s="60" t="e">
        <f t="shared" si="41"/>
        <v>#VALUE!</v>
      </c>
      <c r="S95" s="60" t="str">
        <f>IFERROR(VLOOKUP(MID(N95,Q95,R95-Q95),[6]skilldef!$C:$D,2,FALSE),"-") &amp; " / " &amp; IFERROR(VLOOKUP(MID(N95,O95,P95-O95),[6]skilldef!$A:$B,2,FALSE),"-")</f>
        <v>- / -</v>
      </c>
      <c r="T95" s="45" t="str">
        <f t="shared" si="42"/>
        <v>none</v>
      </c>
      <c r="U95" s="60" t="e">
        <f t="shared" si="43"/>
        <v>#VALUE!</v>
      </c>
      <c r="V95" s="60">
        <f t="shared" si="44"/>
        <v>4</v>
      </c>
      <c r="W95" s="60" t="e">
        <f t="shared" si="45"/>
        <v>#VALUE!</v>
      </c>
      <c r="X95" s="60" t="e">
        <f t="shared" si="46"/>
        <v>#VALUE!</v>
      </c>
      <c r="Y95" s="60" t="str">
        <f>IFERROR(VLOOKUP(MID(T95,W95,X95-W95),[6]skilldef!$C:$D,2,FALSE),"-") &amp; " / " &amp; IFERROR(VLOOKUP(MID(T95,U95,V95-U95),[6]skilldef!$A:$B,2,FALSE),"-")</f>
        <v>- / -</v>
      </c>
      <c r="Z95" s="47"/>
      <c r="AA95" s="49"/>
      <c r="AB95" s="47"/>
    </row>
    <row r="96" spans="1:28" ht="21" customHeight="1" x14ac:dyDescent="0.15">
      <c r="A96" s="44">
        <v>15031095</v>
      </c>
      <c r="B96" s="44" t="s">
        <v>229</v>
      </c>
      <c r="C96" s="47">
        <v>3</v>
      </c>
      <c r="D96" s="47" t="s">
        <v>127</v>
      </c>
      <c r="E96" s="48" t="s">
        <v>243</v>
      </c>
      <c r="F96" s="48" t="s">
        <v>230</v>
      </c>
      <c r="G96" s="60" t="str">
        <f t="shared" si="32"/>
        <v>[effect:nothing]</v>
      </c>
      <c r="H96" s="60">
        <f t="shared" si="33"/>
        <v>9</v>
      </c>
      <c r="I96" s="60">
        <f t="shared" si="34"/>
        <v>16</v>
      </c>
      <c r="J96" s="60" t="e">
        <f t="shared" si="35"/>
        <v>#VALUE!</v>
      </c>
      <c r="K96" s="60" t="e">
        <f t="shared" si="36"/>
        <v>#VALUE!</v>
      </c>
      <c r="L96" s="60" t="str">
        <f>IFERROR(VLOOKUP(MID(G96,J96,K96-J96),[6]skilldef!$C:$D,2,FALSE),"-") &amp; " / " &amp; IFERROR(VLOOKUP(MID(G96,H96,I96-H96),[6]skilldef!$A:$B,2,FALSE),"-")</f>
        <v>- / 何もしない</v>
      </c>
      <c r="M96" s="60" t="str">
        <f t="shared" si="37"/>
        <v>none</v>
      </c>
      <c r="N96" s="45" t="str">
        <f t="shared" si="47"/>
        <v>none</v>
      </c>
      <c r="O96" s="60" t="e">
        <f t="shared" si="38"/>
        <v>#VALUE!</v>
      </c>
      <c r="P96" s="60">
        <f t="shared" si="39"/>
        <v>4</v>
      </c>
      <c r="Q96" s="60" t="e">
        <f t="shared" si="40"/>
        <v>#VALUE!</v>
      </c>
      <c r="R96" s="60" t="e">
        <f t="shared" si="41"/>
        <v>#VALUE!</v>
      </c>
      <c r="S96" s="60" t="str">
        <f>IFERROR(VLOOKUP(MID(N96,Q96,R96-Q96),[6]skilldef!$C:$D,2,FALSE),"-") &amp; " / " &amp; IFERROR(VLOOKUP(MID(N96,O96,P96-O96),[6]skilldef!$A:$B,2,FALSE),"-")</f>
        <v>- / -</v>
      </c>
      <c r="T96" s="45" t="str">
        <f t="shared" si="42"/>
        <v>none</v>
      </c>
      <c r="U96" s="60" t="e">
        <f t="shared" si="43"/>
        <v>#VALUE!</v>
      </c>
      <c r="V96" s="60">
        <f t="shared" si="44"/>
        <v>4</v>
      </c>
      <c r="W96" s="60" t="e">
        <f t="shared" si="45"/>
        <v>#VALUE!</v>
      </c>
      <c r="X96" s="60" t="e">
        <f t="shared" si="46"/>
        <v>#VALUE!</v>
      </c>
      <c r="Y96" s="60" t="str">
        <f>IFERROR(VLOOKUP(MID(T96,W96,X96-W96),[6]skilldef!$C:$D,2,FALSE),"-") &amp; " / " &amp; IFERROR(VLOOKUP(MID(T96,U96,V96-U96),[6]skilldef!$A:$B,2,FALSE),"-")</f>
        <v>- / -</v>
      </c>
      <c r="Z96" s="47"/>
      <c r="AA96" s="49"/>
      <c r="AB96" s="47"/>
    </row>
    <row r="97" spans="1:28" ht="21" customHeight="1" x14ac:dyDescent="0.15">
      <c r="A97" s="44">
        <v>15031096</v>
      </c>
      <c r="B97" s="44" t="s">
        <v>240</v>
      </c>
      <c r="C97" s="47">
        <v>3</v>
      </c>
      <c r="D97" s="47" t="s">
        <v>127</v>
      </c>
      <c r="E97" s="138" t="s">
        <v>292</v>
      </c>
      <c r="F97" s="48" t="s">
        <v>395</v>
      </c>
      <c r="G97" s="60" t="str">
        <f t="shared" si="32"/>
        <v>[effect:break_heal_ratio, val:0.04, lowest_val:5000, count:-1, block:block_blue, target:myself, animation:enemy_heal]</v>
      </c>
      <c r="H97" s="60">
        <f t="shared" si="33"/>
        <v>9</v>
      </c>
      <c r="I97" s="60">
        <f t="shared" si="34"/>
        <v>25</v>
      </c>
      <c r="J97" s="60">
        <f t="shared" si="35"/>
        <v>89</v>
      </c>
      <c r="K97" s="60">
        <f t="shared" si="36"/>
        <v>35</v>
      </c>
      <c r="L97" s="60" t="str">
        <f>IFERROR(VLOOKUP(MID(G97,J97,K97-J97),[6]skilldef!$C:$D,2,FALSE),"-") &amp; " / " &amp; IFERROR(VLOOKUP(MID(G97,H97,I97-H97),[6]skilldef!$A:$B,2,FALSE),"-")</f>
        <v>- / -</v>
      </c>
      <c r="M97" s="60" t="str">
        <f t="shared" si="37"/>
        <v>none</v>
      </c>
      <c r="N97" s="45" t="str">
        <f t="shared" si="47"/>
        <v>none</v>
      </c>
      <c r="O97" s="60" t="e">
        <f t="shared" si="38"/>
        <v>#VALUE!</v>
      </c>
      <c r="P97" s="60">
        <f t="shared" si="39"/>
        <v>4</v>
      </c>
      <c r="Q97" s="60" t="e">
        <f t="shared" si="40"/>
        <v>#VALUE!</v>
      </c>
      <c r="R97" s="60" t="e">
        <f t="shared" si="41"/>
        <v>#VALUE!</v>
      </c>
      <c r="S97" s="60" t="str">
        <f>IFERROR(VLOOKUP(MID(N97,Q97,R97-Q97),[6]skilldef!$C:$D,2,FALSE),"-") &amp; " / " &amp; IFERROR(VLOOKUP(MID(N97,O97,P97-O97),[6]skilldef!$A:$B,2,FALSE),"-")</f>
        <v>- / -</v>
      </c>
      <c r="T97" s="45" t="str">
        <f t="shared" si="42"/>
        <v>none</v>
      </c>
      <c r="U97" s="60" t="e">
        <f t="shared" si="43"/>
        <v>#VALUE!</v>
      </c>
      <c r="V97" s="60">
        <f t="shared" si="44"/>
        <v>4</v>
      </c>
      <c r="W97" s="60" t="e">
        <f t="shared" si="45"/>
        <v>#VALUE!</v>
      </c>
      <c r="X97" s="60" t="e">
        <f t="shared" si="46"/>
        <v>#VALUE!</v>
      </c>
      <c r="Y97" s="60" t="str">
        <f>IFERROR(VLOOKUP(MID(T97,W97,X97-W97),[6]skilldef!$C:$D,2,FALSE),"-") &amp; " / " &amp; IFERROR(VLOOKUP(MID(T97,U97,V97-U97),[6]skilldef!$A:$B,2,FALSE),"-")</f>
        <v>- / -</v>
      </c>
      <c r="Z97" s="47"/>
      <c r="AA97" s="49"/>
      <c r="AB97" s="47"/>
    </row>
    <row r="98" spans="1:28" ht="21" customHeight="1" x14ac:dyDescent="0.15">
      <c r="A98" s="44">
        <v>15031097</v>
      </c>
      <c r="B98" s="44" t="s">
        <v>228</v>
      </c>
      <c r="C98" s="47">
        <v>3</v>
      </c>
      <c r="D98" s="47" t="s">
        <v>127</v>
      </c>
      <c r="E98" s="48" t="s">
        <v>242</v>
      </c>
      <c r="F98" s="48" t="s">
        <v>230</v>
      </c>
      <c r="G98" s="60" t="str">
        <f t="shared" si="32"/>
        <v>[effect:nothing]</v>
      </c>
      <c r="H98" s="60">
        <f t="shared" si="33"/>
        <v>9</v>
      </c>
      <c r="I98" s="60">
        <f t="shared" si="34"/>
        <v>16</v>
      </c>
      <c r="J98" s="60" t="e">
        <f t="shared" si="35"/>
        <v>#VALUE!</v>
      </c>
      <c r="K98" s="60" t="e">
        <f t="shared" si="36"/>
        <v>#VALUE!</v>
      </c>
      <c r="L98" s="60" t="str">
        <f>IFERROR(VLOOKUP(MID(G98,J98,K98-J98),[6]skilldef!$C:$D,2,FALSE),"-") &amp; " / " &amp; IFERROR(VLOOKUP(MID(G98,H98,I98-H98),[6]skilldef!$A:$B,2,FALSE),"-")</f>
        <v>- / 何もしない</v>
      </c>
      <c r="M98" s="60" t="str">
        <f t="shared" si="37"/>
        <v>none</v>
      </c>
      <c r="N98" s="45" t="str">
        <f t="shared" si="47"/>
        <v>none</v>
      </c>
      <c r="O98" s="60" t="e">
        <f t="shared" si="38"/>
        <v>#VALUE!</v>
      </c>
      <c r="P98" s="60">
        <f t="shared" si="39"/>
        <v>4</v>
      </c>
      <c r="Q98" s="60" t="e">
        <f t="shared" si="40"/>
        <v>#VALUE!</v>
      </c>
      <c r="R98" s="60" t="e">
        <f t="shared" si="41"/>
        <v>#VALUE!</v>
      </c>
      <c r="S98" s="60" t="str">
        <f>IFERROR(VLOOKUP(MID(N98,Q98,R98-Q98),[6]skilldef!$C:$D,2,FALSE),"-") &amp; " / " &amp; IFERROR(VLOOKUP(MID(N98,O98,P98-O98),[6]skilldef!$A:$B,2,FALSE),"-")</f>
        <v>- / -</v>
      </c>
      <c r="T98" s="45" t="str">
        <f t="shared" si="42"/>
        <v>none</v>
      </c>
      <c r="U98" s="60" t="e">
        <f t="shared" si="43"/>
        <v>#VALUE!</v>
      </c>
      <c r="V98" s="60">
        <f t="shared" si="44"/>
        <v>4</v>
      </c>
      <c r="W98" s="60" t="e">
        <f t="shared" si="45"/>
        <v>#VALUE!</v>
      </c>
      <c r="X98" s="60" t="e">
        <f t="shared" si="46"/>
        <v>#VALUE!</v>
      </c>
      <c r="Y98" s="60" t="str">
        <f>IFERROR(VLOOKUP(MID(T98,W98,X98-W98),[6]skilldef!$C:$D,2,FALSE),"-") &amp; " / " &amp; IFERROR(VLOOKUP(MID(T98,U98,V98-U98),[6]skilldef!$A:$B,2,FALSE),"-")</f>
        <v>- / -</v>
      </c>
      <c r="Z98" s="47"/>
      <c r="AA98" s="49"/>
      <c r="AB98" s="47"/>
    </row>
    <row r="99" spans="1:28" ht="21" customHeight="1" x14ac:dyDescent="0.15">
      <c r="A99" s="44">
        <v>15031098</v>
      </c>
      <c r="B99" s="44" t="s">
        <v>228</v>
      </c>
      <c r="C99" s="47">
        <v>3</v>
      </c>
      <c r="D99" s="47" t="s">
        <v>127</v>
      </c>
      <c r="E99" s="48" t="s">
        <v>242</v>
      </c>
      <c r="F99" s="48" t="s">
        <v>230</v>
      </c>
      <c r="G99" s="60" t="str">
        <f t="shared" si="32"/>
        <v>[effect:nothing]</v>
      </c>
      <c r="H99" s="60">
        <f t="shared" si="33"/>
        <v>9</v>
      </c>
      <c r="I99" s="60">
        <f t="shared" si="34"/>
        <v>16</v>
      </c>
      <c r="J99" s="60" t="e">
        <f t="shared" si="35"/>
        <v>#VALUE!</v>
      </c>
      <c r="K99" s="60" t="e">
        <f t="shared" si="36"/>
        <v>#VALUE!</v>
      </c>
      <c r="L99" s="60" t="str">
        <f>IFERROR(VLOOKUP(MID(G99,J99,K99-J99),[6]skilldef!$C:$D,2,FALSE),"-") &amp; " / " &amp; IFERROR(VLOOKUP(MID(G99,H99,I99-H99),[6]skilldef!$A:$B,2,FALSE),"-")</f>
        <v>- / 何もしない</v>
      </c>
      <c r="M99" s="60" t="str">
        <f t="shared" si="37"/>
        <v>none</v>
      </c>
      <c r="N99" s="45" t="str">
        <f t="shared" si="47"/>
        <v>none</v>
      </c>
      <c r="O99" s="60" t="e">
        <f t="shared" si="38"/>
        <v>#VALUE!</v>
      </c>
      <c r="P99" s="60">
        <f t="shared" si="39"/>
        <v>4</v>
      </c>
      <c r="Q99" s="60" t="e">
        <f t="shared" si="40"/>
        <v>#VALUE!</v>
      </c>
      <c r="R99" s="60" t="e">
        <f t="shared" si="41"/>
        <v>#VALUE!</v>
      </c>
      <c r="S99" s="60" t="str">
        <f>IFERROR(VLOOKUP(MID(N99,Q99,R99-Q99),[6]skilldef!$C:$D,2,FALSE),"-") &amp; " / " &amp; IFERROR(VLOOKUP(MID(N99,O99,P99-O99),[6]skilldef!$A:$B,2,FALSE),"-")</f>
        <v>- / -</v>
      </c>
      <c r="T99" s="45" t="str">
        <f t="shared" si="42"/>
        <v>none</v>
      </c>
      <c r="U99" s="60" t="e">
        <f t="shared" si="43"/>
        <v>#VALUE!</v>
      </c>
      <c r="V99" s="60">
        <f t="shared" si="44"/>
        <v>4</v>
      </c>
      <c r="W99" s="60" t="e">
        <f t="shared" si="45"/>
        <v>#VALUE!</v>
      </c>
      <c r="X99" s="60" t="e">
        <f t="shared" si="46"/>
        <v>#VALUE!</v>
      </c>
      <c r="Y99" s="60" t="str">
        <f>IFERROR(VLOOKUP(MID(T99,W99,X99-W99),[6]skilldef!$C:$D,2,FALSE),"-") &amp; " / " &amp; IFERROR(VLOOKUP(MID(T99,U99,V99-U99),[6]skilldef!$A:$B,2,FALSE),"-")</f>
        <v>- / -</v>
      </c>
      <c r="Z99" s="47"/>
      <c r="AA99" s="49"/>
      <c r="AB99" s="47"/>
    </row>
    <row r="100" spans="1:28" ht="21" customHeight="1" x14ac:dyDescent="0.15">
      <c r="A100" s="44">
        <v>15031099</v>
      </c>
      <c r="B100" s="44" t="s">
        <v>228</v>
      </c>
      <c r="C100" s="47">
        <v>3</v>
      </c>
      <c r="D100" s="47" t="s">
        <v>127</v>
      </c>
      <c r="E100" s="48" t="s">
        <v>242</v>
      </c>
      <c r="F100" s="48" t="s">
        <v>230</v>
      </c>
      <c r="G100" s="60" t="str">
        <f t="shared" si="32"/>
        <v>[effect:nothing]</v>
      </c>
      <c r="H100" s="60">
        <f t="shared" si="33"/>
        <v>9</v>
      </c>
      <c r="I100" s="60">
        <f t="shared" si="34"/>
        <v>16</v>
      </c>
      <c r="J100" s="60" t="e">
        <f t="shared" si="35"/>
        <v>#VALUE!</v>
      </c>
      <c r="K100" s="60" t="e">
        <f t="shared" si="36"/>
        <v>#VALUE!</v>
      </c>
      <c r="L100" s="60" t="str">
        <f>IFERROR(VLOOKUP(MID(G100,J100,K100-J100),[6]skilldef!$C:$D,2,FALSE),"-") &amp; " / " &amp; IFERROR(VLOOKUP(MID(G100,H100,I100-H100),[6]skilldef!$A:$B,2,FALSE),"-")</f>
        <v>- / 何もしない</v>
      </c>
      <c r="M100" s="60" t="str">
        <f t="shared" si="37"/>
        <v>none</v>
      </c>
      <c r="N100" s="45" t="str">
        <f t="shared" si="47"/>
        <v>none</v>
      </c>
      <c r="O100" s="60" t="e">
        <f t="shared" si="38"/>
        <v>#VALUE!</v>
      </c>
      <c r="P100" s="60">
        <f t="shared" si="39"/>
        <v>4</v>
      </c>
      <c r="Q100" s="60" t="e">
        <f t="shared" si="40"/>
        <v>#VALUE!</v>
      </c>
      <c r="R100" s="60" t="e">
        <f t="shared" si="41"/>
        <v>#VALUE!</v>
      </c>
      <c r="S100" s="60" t="str">
        <f>IFERROR(VLOOKUP(MID(N100,Q100,R100-Q100),[6]skilldef!$C:$D,2,FALSE),"-") &amp; " / " &amp; IFERROR(VLOOKUP(MID(N100,O100,P100-O100),[6]skilldef!$A:$B,2,FALSE),"-")</f>
        <v>- / -</v>
      </c>
      <c r="T100" s="45" t="str">
        <f t="shared" si="42"/>
        <v>none</v>
      </c>
      <c r="U100" s="60" t="e">
        <f t="shared" si="43"/>
        <v>#VALUE!</v>
      </c>
      <c r="V100" s="60">
        <f t="shared" si="44"/>
        <v>4</v>
      </c>
      <c r="W100" s="60" t="e">
        <f t="shared" si="45"/>
        <v>#VALUE!</v>
      </c>
      <c r="X100" s="60" t="e">
        <f t="shared" si="46"/>
        <v>#VALUE!</v>
      </c>
      <c r="Y100" s="60" t="str">
        <f>IFERROR(VLOOKUP(MID(T100,W100,X100-W100),[6]skilldef!$C:$D,2,FALSE),"-") &amp; " / " &amp; IFERROR(VLOOKUP(MID(T100,U100,V100-U100),[6]skilldef!$A:$B,2,FALSE),"-")</f>
        <v>- / -</v>
      </c>
      <c r="Z100" s="47"/>
      <c r="AA100" s="49"/>
      <c r="AB100" s="47"/>
    </row>
    <row r="101" spans="1:28" ht="21" customHeight="1" x14ac:dyDescent="0.15">
      <c r="A101" s="44">
        <v>15031100</v>
      </c>
      <c r="B101" s="44" t="s">
        <v>228</v>
      </c>
      <c r="C101" s="47">
        <v>3</v>
      </c>
      <c r="D101" s="47" t="s">
        <v>127</v>
      </c>
      <c r="E101" s="48" t="s">
        <v>242</v>
      </c>
      <c r="F101" s="48" t="s">
        <v>230</v>
      </c>
      <c r="G101" s="60" t="str">
        <f t="shared" si="32"/>
        <v>[effect:nothing]</v>
      </c>
      <c r="H101" s="60">
        <f t="shared" si="33"/>
        <v>9</v>
      </c>
      <c r="I101" s="60">
        <f t="shared" si="34"/>
        <v>16</v>
      </c>
      <c r="J101" s="60" t="e">
        <f t="shared" si="35"/>
        <v>#VALUE!</v>
      </c>
      <c r="K101" s="60" t="e">
        <f t="shared" si="36"/>
        <v>#VALUE!</v>
      </c>
      <c r="L101" s="60" t="str">
        <f>IFERROR(VLOOKUP(MID(G101,J101,K101-J101),[6]skilldef!$C:$D,2,FALSE),"-") &amp; " / " &amp; IFERROR(VLOOKUP(MID(G101,H101,I101-H101),[6]skilldef!$A:$B,2,FALSE),"-")</f>
        <v>- / 何もしない</v>
      </c>
      <c r="M101" s="60" t="str">
        <f t="shared" si="37"/>
        <v>none</v>
      </c>
      <c r="N101" s="45" t="str">
        <f t="shared" si="47"/>
        <v>none</v>
      </c>
      <c r="O101" s="60" t="e">
        <f t="shared" si="38"/>
        <v>#VALUE!</v>
      </c>
      <c r="P101" s="60">
        <f t="shared" si="39"/>
        <v>4</v>
      </c>
      <c r="Q101" s="60" t="e">
        <f t="shared" si="40"/>
        <v>#VALUE!</v>
      </c>
      <c r="R101" s="60" t="e">
        <f t="shared" si="41"/>
        <v>#VALUE!</v>
      </c>
      <c r="S101" s="60" t="str">
        <f>IFERROR(VLOOKUP(MID(N101,Q101,R101-Q101),[6]skilldef!$C:$D,2,FALSE),"-") &amp; " / " &amp; IFERROR(VLOOKUP(MID(N101,O101,P101-O101),[6]skilldef!$A:$B,2,FALSE),"-")</f>
        <v>- / -</v>
      </c>
      <c r="T101" s="45" t="str">
        <f t="shared" si="42"/>
        <v>none</v>
      </c>
      <c r="U101" s="60" t="e">
        <f t="shared" si="43"/>
        <v>#VALUE!</v>
      </c>
      <c r="V101" s="60">
        <f t="shared" si="44"/>
        <v>4</v>
      </c>
      <c r="W101" s="60" t="e">
        <f t="shared" si="45"/>
        <v>#VALUE!</v>
      </c>
      <c r="X101" s="60" t="e">
        <f t="shared" si="46"/>
        <v>#VALUE!</v>
      </c>
      <c r="Y101" s="60" t="str">
        <f>IFERROR(VLOOKUP(MID(T101,W101,X101-W101),[6]skilldef!$C:$D,2,FALSE),"-") &amp; " / " &amp; IFERROR(VLOOKUP(MID(T101,U101,V101-U101),[6]skilldef!$A:$B,2,FALSE),"-")</f>
        <v>- / -</v>
      </c>
      <c r="Z101" s="47"/>
      <c r="AA101" s="49"/>
      <c r="AB101" s="47"/>
    </row>
    <row r="102" spans="1:28" ht="21" customHeight="1" x14ac:dyDescent="0.15">
      <c r="A102" s="44">
        <v>15031101</v>
      </c>
      <c r="B102" s="44" t="s">
        <v>339</v>
      </c>
      <c r="C102" s="47">
        <v>3</v>
      </c>
      <c r="D102" s="47" t="s">
        <v>335</v>
      </c>
      <c r="E102" s="139" t="s">
        <v>338</v>
      </c>
      <c r="F102" s="48" t="s">
        <v>393</v>
      </c>
      <c r="G102" s="60" t="str">
        <f t="shared" si="32"/>
        <v xml:space="preserve">[effect:break_attack, val:0.05, lowest_val:0, count:8, block:block_blue, target:unit_all]    </v>
      </c>
      <c r="H102" s="60">
        <f t="shared" si="33"/>
        <v>9</v>
      </c>
      <c r="I102" s="60">
        <f t="shared" si="34"/>
        <v>21</v>
      </c>
      <c r="J102" s="60">
        <f t="shared" si="35"/>
        <v>81</v>
      </c>
      <c r="K102" s="60">
        <f t="shared" si="36"/>
        <v>31</v>
      </c>
      <c r="L102" s="60" t="str">
        <f>IFERROR(VLOOKUP(MID(G102,J102,K102-J102),[6]skilldef!$C:$D,2,FALSE),"-") &amp; " / " &amp; IFERROR(VLOOKUP(MID(G102,H102,I102-H102),[6]skilldef!$A:$B,2,FALSE),"-")</f>
        <v>- / -</v>
      </c>
      <c r="M102" s="60" t="str">
        <f t="shared" si="37"/>
        <v>none</v>
      </c>
      <c r="N102" s="45" t="str">
        <f t="shared" si="47"/>
        <v>none</v>
      </c>
      <c r="O102" s="60" t="e">
        <f t="shared" si="38"/>
        <v>#VALUE!</v>
      </c>
      <c r="P102" s="60">
        <f t="shared" si="39"/>
        <v>4</v>
      </c>
      <c r="Q102" s="60" t="e">
        <f t="shared" si="40"/>
        <v>#VALUE!</v>
      </c>
      <c r="R102" s="60" t="e">
        <f t="shared" si="41"/>
        <v>#VALUE!</v>
      </c>
      <c r="S102" s="60" t="str">
        <f>IFERROR(VLOOKUP(MID(N102,Q102,R102-Q102),[6]skilldef!$C:$D,2,FALSE),"-") &amp; " / " &amp; IFERROR(VLOOKUP(MID(N102,O102,P102-O102),[6]skilldef!$A:$B,2,FALSE),"-")</f>
        <v>- / -</v>
      </c>
      <c r="T102" s="45" t="str">
        <f t="shared" si="42"/>
        <v>none</v>
      </c>
      <c r="U102" s="60" t="e">
        <f t="shared" si="43"/>
        <v>#VALUE!</v>
      </c>
      <c r="V102" s="60">
        <f t="shared" si="44"/>
        <v>4</v>
      </c>
      <c r="W102" s="60" t="e">
        <f t="shared" si="45"/>
        <v>#VALUE!</v>
      </c>
      <c r="X102" s="60" t="e">
        <f t="shared" si="46"/>
        <v>#VALUE!</v>
      </c>
      <c r="Y102" s="60" t="str">
        <f>IFERROR(VLOOKUP(MID(T102,W102,X102-W102),[6]skilldef!$C:$D,2,FALSE),"-") &amp; " / " &amp; IFERROR(VLOOKUP(MID(T102,U102,V102-U102),[6]skilldef!$A:$B,2,FALSE),"-")</f>
        <v>- / -</v>
      </c>
    </row>
    <row r="103" spans="1:28" ht="21" customHeight="1" x14ac:dyDescent="0.15">
      <c r="A103" s="44">
        <v>15031102</v>
      </c>
      <c r="B103" s="44" t="s">
        <v>239</v>
      </c>
      <c r="C103" s="47">
        <v>3</v>
      </c>
      <c r="D103" s="47" t="s">
        <v>127</v>
      </c>
      <c r="E103" s="44" t="s">
        <v>256</v>
      </c>
      <c r="F103" s="48" t="s">
        <v>230</v>
      </c>
      <c r="G103" s="60" t="str">
        <f t="shared" si="32"/>
        <v>[effect:nothing]</v>
      </c>
      <c r="H103" s="60">
        <f t="shared" si="33"/>
        <v>9</v>
      </c>
      <c r="I103" s="60">
        <f t="shared" si="34"/>
        <v>16</v>
      </c>
      <c r="J103" s="60" t="e">
        <f t="shared" si="35"/>
        <v>#VALUE!</v>
      </c>
      <c r="K103" s="60" t="e">
        <f t="shared" si="36"/>
        <v>#VALUE!</v>
      </c>
      <c r="L103" s="60" t="str">
        <f>IFERROR(VLOOKUP(MID(G103,J103,K103-J103),[6]skilldef!$C:$D,2,FALSE),"-") &amp; " / " &amp; IFERROR(VLOOKUP(MID(G103,H103,I103-H103),[6]skilldef!$A:$B,2,FALSE),"-")</f>
        <v>- / 何もしない</v>
      </c>
      <c r="M103" s="60" t="str">
        <f t="shared" si="37"/>
        <v>none</v>
      </c>
      <c r="N103" s="45" t="str">
        <f t="shared" si="47"/>
        <v>none</v>
      </c>
      <c r="O103" s="60" t="e">
        <f t="shared" si="38"/>
        <v>#VALUE!</v>
      </c>
      <c r="P103" s="60">
        <f t="shared" si="39"/>
        <v>4</v>
      </c>
      <c r="Q103" s="60" t="e">
        <f t="shared" si="40"/>
        <v>#VALUE!</v>
      </c>
      <c r="R103" s="60" t="e">
        <f t="shared" si="41"/>
        <v>#VALUE!</v>
      </c>
      <c r="S103" s="60" t="str">
        <f>IFERROR(VLOOKUP(MID(N103,Q103,R103-Q103),[6]skilldef!$C:$D,2,FALSE),"-") &amp; " / " &amp; IFERROR(VLOOKUP(MID(N103,O103,P103-O103),[6]skilldef!$A:$B,2,FALSE),"-")</f>
        <v>- / -</v>
      </c>
      <c r="T103" s="45" t="str">
        <f t="shared" si="42"/>
        <v>none</v>
      </c>
      <c r="U103" s="60" t="e">
        <f t="shared" si="43"/>
        <v>#VALUE!</v>
      </c>
      <c r="V103" s="60">
        <f t="shared" si="44"/>
        <v>4</v>
      </c>
      <c r="W103" s="60" t="e">
        <f t="shared" si="45"/>
        <v>#VALUE!</v>
      </c>
      <c r="X103" s="60" t="e">
        <f t="shared" si="46"/>
        <v>#VALUE!</v>
      </c>
      <c r="Y103" s="60" t="str">
        <f>IFERROR(VLOOKUP(MID(T103,W103,X103-W103),[6]skilldef!$C:$D,2,FALSE),"-") &amp; " / " &amp; IFERROR(VLOOKUP(MID(T103,U103,V103-U103),[6]skilldef!$A:$B,2,FALSE),"-")</f>
        <v>- / -</v>
      </c>
    </row>
    <row r="104" spans="1:28" ht="21" customHeight="1" x14ac:dyDescent="0.15">
      <c r="A104" s="44">
        <v>15031103</v>
      </c>
      <c r="B104" s="44" t="s">
        <v>239</v>
      </c>
      <c r="C104" s="47">
        <v>3</v>
      </c>
      <c r="D104" s="47" t="s">
        <v>127</v>
      </c>
      <c r="E104" s="44" t="s">
        <v>256</v>
      </c>
      <c r="F104" s="48" t="s">
        <v>230</v>
      </c>
      <c r="G104" s="60" t="str">
        <f t="shared" si="32"/>
        <v>[effect:nothing]</v>
      </c>
      <c r="H104" s="60">
        <f t="shared" si="33"/>
        <v>9</v>
      </c>
      <c r="I104" s="60">
        <f t="shared" si="34"/>
        <v>16</v>
      </c>
      <c r="J104" s="60" t="e">
        <f t="shared" si="35"/>
        <v>#VALUE!</v>
      </c>
      <c r="K104" s="60" t="e">
        <f t="shared" si="36"/>
        <v>#VALUE!</v>
      </c>
      <c r="L104" s="60" t="str">
        <f>IFERROR(VLOOKUP(MID(G104,J104,K104-J104),[6]skilldef!$C:$D,2,FALSE),"-") &amp; " / " &amp; IFERROR(VLOOKUP(MID(G104,H104,I104-H104),[6]skilldef!$A:$B,2,FALSE),"-")</f>
        <v>- / 何もしない</v>
      </c>
      <c r="M104" s="60" t="str">
        <f t="shared" si="37"/>
        <v>none</v>
      </c>
      <c r="N104" s="45" t="str">
        <f t="shared" si="47"/>
        <v>none</v>
      </c>
      <c r="O104" s="60" t="e">
        <f t="shared" si="38"/>
        <v>#VALUE!</v>
      </c>
      <c r="P104" s="60">
        <f t="shared" si="39"/>
        <v>4</v>
      </c>
      <c r="Q104" s="60" t="e">
        <f t="shared" si="40"/>
        <v>#VALUE!</v>
      </c>
      <c r="R104" s="60" t="e">
        <f t="shared" si="41"/>
        <v>#VALUE!</v>
      </c>
      <c r="S104" s="60" t="str">
        <f>IFERROR(VLOOKUP(MID(N104,Q104,R104-Q104),[6]skilldef!$C:$D,2,FALSE),"-") &amp; " / " &amp; IFERROR(VLOOKUP(MID(N104,O104,P104-O104),[6]skilldef!$A:$B,2,FALSE),"-")</f>
        <v>- / -</v>
      </c>
      <c r="T104" s="45" t="str">
        <f t="shared" si="42"/>
        <v>none</v>
      </c>
      <c r="U104" s="60" t="e">
        <f t="shared" si="43"/>
        <v>#VALUE!</v>
      </c>
      <c r="V104" s="60">
        <f t="shared" si="44"/>
        <v>4</v>
      </c>
      <c r="W104" s="60" t="e">
        <f t="shared" si="45"/>
        <v>#VALUE!</v>
      </c>
      <c r="X104" s="60" t="e">
        <f t="shared" si="46"/>
        <v>#VALUE!</v>
      </c>
      <c r="Y104" s="60" t="str">
        <f>IFERROR(VLOOKUP(MID(T104,W104,X104-W104),[6]skilldef!$C:$D,2,FALSE),"-") &amp; " / " &amp; IFERROR(VLOOKUP(MID(T104,U104,V104-U104),[6]skilldef!$A:$B,2,FALSE),"-")</f>
        <v>- / -</v>
      </c>
    </row>
    <row r="105" spans="1:28" ht="21" customHeight="1" x14ac:dyDescent="0.15">
      <c r="A105" s="44">
        <v>15031104</v>
      </c>
      <c r="B105" s="44" t="s">
        <v>239</v>
      </c>
      <c r="C105" s="47">
        <v>3</v>
      </c>
      <c r="D105" s="47" t="s">
        <v>127</v>
      </c>
      <c r="E105" s="44" t="s">
        <v>256</v>
      </c>
      <c r="F105" s="48" t="s">
        <v>230</v>
      </c>
      <c r="G105" s="60" t="str">
        <f t="shared" si="32"/>
        <v>[effect:nothing]</v>
      </c>
      <c r="H105" s="60">
        <f t="shared" si="33"/>
        <v>9</v>
      </c>
      <c r="I105" s="60">
        <f t="shared" si="34"/>
        <v>16</v>
      </c>
      <c r="J105" s="60" t="e">
        <f t="shared" si="35"/>
        <v>#VALUE!</v>
      </c>
      <c r="K105" s="60" t="e">
        <f t="shared" si="36"/>
        <v>#VALUE!</v>
      </c>
      <c r="L105" s="60" t="str">
        <f>IFERROR(VLOOKUP(MID(G105,J105,K105-J105),[6]skilldef!$C:$D,2,FALSE),"-") &amp; " / " &amp; IFERROR(VLOOKUP(MID(G105,H105,I105-H105),[6]skilldef!$A:$B,2,FALSE),"-")</f>
        <v>- / 何もしない</v>
      </c>
      <c r="M105" s="60" t="str">
        <f t="shared" si="37"/>
        <v>none</v>
      </c>
      <c r="N105" s="45" t="str">
        <f t="shared" si="47"/>
        <v>none</v>
      </c>
      <c r="O105" s="60" t="e">
        <f t="shared" si="38"/>
        <v>#VALUE!</v>
      </c>
      <c r="P105" s="60">
        <f t="shared" si="39"/>
        <v>4</v>
      </c>
      <c r="Q105" s="60" t="e">
        <f t="shared" si="40"/>
        <v>#VALUE!</v>
      </c>
      <c r="R105" s="60" t="e">
        <f t="shared" si="41"/>
        <v>#VALUE!</v>
      </c>
      <c r="S105" s="60" t="str">
        <f>IFERROR(VLOOKUP(MID(N105,Q105,R105-Q105),[6]skilldef!$C:$D,2,FALSE),"-") &amp; " / " &amp; IFERROR(VLOOKUP(MID(N105,O105,P105-O105),[6]skilldef!$A:$B,2,FALSE),"-")</f>
        <v>- / -</v>
      </c>
      <c r="T105" s="45" t="str">
        <f t="shared" si="42"/>
        <v>none</v>
      </c>
      <c r="U105" s="60" t="e">
        <f t="shared" si="43"/>
        <v>#VALUE!</v>
      </c>
      <c r="V105" s="60">
        <f t="shared" si="44"/>
        <v>4</v>
      </c>
      <c r="W105" s="60" t="e">
        <f t="shared" si="45"/>
        <v>#VALUE!</v>
      </c>
      <c r="X105" s="60" t="e">
        <f t="shared" si="46"/>
        <v>#VALUE!</v>
      </c>
      <c r="Y105" s="60" t="str">
        <f>IFERROR(VLOOKUP(MID(T105,W105,X105-W105),[6]skilldef!$C:$D,2,FALSE),"-") &amp; " / " &amp; IFERROR(VLOOKUP(MID(T105,U105,V105-U105),[6]skilldef!$A:$B,2,FALSE),"-")</f>
        <v>- / -</v>
      </c>
    </row>
    <row r="106" spans="1:28" ht="21" customHeight="1" x14ac:dyDescent="0.15">
      <c r="A106" s="44">
        <v>15031105</v>
      </c>
      <c r="B106" s="44" t="s">
        <v>239</v>
      </c>
      <c r="C106" s="47">
        <v>3</v>
      </c>
      <c r="D106" s="47" t="s">
        <v>127</v>
      </c>
      <c r="E106" s="44" t="s">
        <v>256</v>
      </c>
      <c r="F106" s="48" t="s">
        <v>230</v>
      </c>
      <c r="G106" s="60" t="str">
        <f t="shared" si="32"/>
        <v>[effect:nothing]</v>
      </c>
      <c r="H106" s="60">
        <f t="shared" si="33"/>
        <v>9</v>
      </c>
      <c r="I106" s="60">
        <f t="shared" si="34"/>
        <v>16</v>
      </c>
      <c r="J106" s="60" t="e">
        <f t="shared" si="35"/>
        <v>#VALUE!</v>
      </c>
      <c r="K106" s="60" t="e">
        <f t="shared" si="36"/>
        <v>#VALUE!</v>
      </c>
      <c r="L106" s="60" t="str">
        <f>IFERROR(VLOOKUP(MID(G106,J106,K106-J106),[6]skilldef!$C:$D,2,FALSE),"-") &amp; " / " &amp; IFERROR(VLOOKUP(MID(G106,H106,I106-H106),[6]skilldef!$A:$B,2,FALSE),"-")</f>
        <v>- / 何もしない</v>
      </c>
      <c r="M106" s="60" t="str">
        <f t="shared" si="37"/>
        <v>none</v>
      </c>
      <c r="N106" s="45" t="str">
        <f t="shared" si="47"/>
        <v>none</v>
      </c>
      <c r="O106" s="60" t="e">
        <f t="shared" si="38"/>
        <v>#VALUE!</v>
      </c>
      <c r="P106" s="60">
        <f t="shared" si="39"/>
        <v>4</v>
      </c>
      <c r="Q106" s="60" t="e">
        <f t="shared" si="40"/>
        <v>#VALUE!</v>
      </c>
      <c r="R106" s="60" t="e">
        <f t="shared" si="41"/>
        <v>#VALUE!</v>
      </c>
      <c r="S106" s="60" t="str">
        <f>IFERROR(VLOOKUP(MID(N106,Q106,R106-Q106),[6]skilldef!$C:$D,2,FALSE),"-") &amp; " / " &amp; IFERROR(VLOOKUP(MID(N106,O106,P106-O106),[6]skilldef!$A:$B,2,FALSE),"-")</f>
        <v>- / -</v>
      </c>
      <c r="T106" s="45" t="str">
        <f t="shared" si="42"/>
        <v>none</v>
      </c>
      <c r="U106" s="60" t="e">
        <f t="shared" si="43"/>
        <v>#VALUE!</v>
      </c>
      <c r="V106" s="60">
        <f t="shared" si="44"/>
        <v>4</v>
      </c>
      <c r="W106" s="60" t="e">
        <f t="shared" si="45"/>
        <v>#VALUE!</v>
      </c>
      <c r="X106" s="60" t="e">
        <f t="shared" si="46"/>
        <v>#VALUE!</v>
      </c>
      <c r="Y106" s="60" t="str">
        <f>IFERROR(VLOOKUP(MID(T106,W106,X106-W106),[6]skilldef!$C:$D,2,FALSE),"-") &amp; " / " &amp; IFERROR(VLOOKUP(MID(T106,U106,V106-U106),[6]skilldef!$A:$B,2,FALSE),"-")</f>
        <v>- / -</v>
      </c>
    </row>
    <row r="107" spans="1:28" ht="21" customHeight="1" x14ac:dyDescent="0.15">
      <c r="A107" s="44">
        <v>15031106</v>
      </c>
      <c r="B107" s="44" t="s">
        <v>279</v>
      </c>
      <c r="C107" s="47">
        <v>3</v>
      </c>
      <c r="D107" s="47" t="s">
        <v>127</v>
      </c>
      <c r="E107" s="139" t="s">
        <v>283</v>
      </c>
      <c r="F107" s="48" t="s">
        <v>235</v>
      </c>
      <c r="G107" s="60" t="str">
        <f t="shared" si="32"/>
        <v>[effect:spread, val:0.3]</v>
      </c>
      <c r="H107" s="60">
        <f t="shared" si="33"/>
        <v>9</v>
      </c>
      <c r="I107" s="60">
        <f t="shared" si="34"/>
        <v>15</v>
      </c>
      <c r="J107" s="60" t="e">
        <f t="shared" si="35"/>
        <v>#VALUE!</v>
      </c>
      <c r="K107" s="60" t="e">
        <f t="shared" si="36"/>
        <v>#VALUE!</v>
      </c>
      <c r="L107" s="60" t="str">
        <f>IFERROR(VLOOKUP(MID(G107,J107,K107-J107),[6]skilldef!$C:$D,2,FALSE),"-") &amp; " / " &amp; IFERROR(VLOOKUP(MID(G107,H107,I107-H107),[6]skilldef!$A:$B,2,FALSE),"-")</f>
        <v>- / 全体攻撃</v>
      </c>
      <c r="M107" s="60" t="str">
        <f t="shared" si="37"/>
        <v>none</v>
      </c>
      <c r="N107" s="45" t="str">
        <f t="shared" si="47"/>
        <v>none</v>
      </c>
      <c r="O107" s="60" t="e">
        <f t="shared" si="38"/>
        <v>#VALUE!</v>
      </c>
      <c r="P107" s="60">
        <f t="shared" si="39"/>
        <v>4</v>
      </c>
      <c r="Q107" s="60" t="e">
        <f t="shared" si="40"/>
        <v>#VALUE!</v>
      </c>
      <c r="R107" s="60" t="e">
        <f t="shared" si="41"/>
        <v>#VALUE!</v>
      </c>
      <c r="S107" s="60" t="str">
        <f>IFERROR(VLOOKUP(MID(N107,Q107,R107-Q107),[6]skilldef!$C:$D,2,FALSE),"-") &amp; " / " &amp; IFERROR(VLOOKUP(MID(N107,O107,P107-O107),[6]skilldef!$A:$B,2,FALSE),"-")</f>
        <v>- / -</v>
      </c>
      <c r="T107" s="45" t="str">
        <f t="shared" si="42"/>
        <v>none</v>
      </c>
      <c r="U107" s="60" t="e">
        <f t="shared" si="43"/>
        <v>#VALUE!</v>
      </c>
      <c r="V107" s="60">
        <f t="shared" si="44"/>
        <v>4</v>
      </c>
      <c r="W107" s="60" t="e">
        <f t="shared" si="45"/>
        <v>#VALUE!</v>
      </c>
      <c r="X107" s="60" t="e">
        <f t="shared" si="46"/>
        <v>#VALUE!</v>
      </c>
      <c r="Y107" s="60" t="str">
        <f>IFERROR(VLOOKUP(MID(T107,W107,X107-W107),[6]skilldef!$C:$D,2,FALSE),"-") &amp; " / " &amp; IFERROR(VLOOKUP(MID(T107,U107,V107-U107),[6]skilldef!$A:$B,2,FALSE),"-")</f>
        <v>- / -</v>
      </c>
    </row>
    <row r="108" spans="1:28" ht="21" customHeight="1" x14ac:dyDescent="0.15">
      <c r="A108" s="44">
        <v>15031107</v>
      </c>
      <c r="B108" s="44" t="s">
        <v>239</v>
      </c>
      <c r="C108" s="47">
        <v>3</v>
      </c>
      <c r="D108" s="47" t="s">
        <v>127</v>
      </c>
      <c r="E108" s="44" t="s">
        <v>261</v>
      </c>
      <c r="F108" s="48" t="s">
        <v>230</v>
      </c>
      <c r="G108" s="60" t="str">
        <f t="shared" si="32"/>
        <v>[effect:nothing]</v>
      </c>
      <c r="H108" s="60">
        <f t="shared" si="33"/>
        <v>9</v>
      </c>
      <c r="I108" s="60">
        <f t="shared" si="34"/>
        <v>16</v>
      </c>
      <c r="J108" s="60" t="e">
        <f t="shared" si="35"/>
        <v>#VALUE!</v>
      </c>
      <c r="K108" s="60" t="e">
        <f t="shared" si="36"/>
        <v>#VALUE!</v>
      </c>
      <c r="L108" s="60" t="str">
        <f>IFERROR(VLOOKUP(MID(G108,J108,K108-J108),[6]skilldef!$C:$D,2,FALSE),"-") &amp; " / " &amp; IFERROR(VLOOKUP(MID(G108,H108,I108-H108),[6]skilldef!$A:$B,2,FALSE),"-")</f>
        <v>- / 何もしない</v>
      </c>
      <c r="M108" s="60" t="str">
        <f t="shared" si="37"/>
        <v>none</v>
      </c>
      <c r="N108" s="45" t="str">
        <f t="shared" si="47"/>
        <v>none</v>
      </c>
      <c r="O108" s="60" t="e">
        <f t="shared" si="38"/>
        <v>#VALUE!</v>
      </c>
      <c r="P108" s="60">
        <f t="shared" si="39"/>
        <v>4</v>
      </c>
      <c r="Q108" s="60" t="e">
        <f t="shared" si="40"/>
        <v>#VALUE!</v>
      </c>
      <c r="R108" s="60" t="e">
        <f t="shared" si="41"/>
        <v>#VALUE!</v>
      </c>
      <c r="S108" s="60" t="str">
        <f>IFERROR(VLOOKUP(MID(N108,Q108,R108-Q108),[6]skilldef!$C:$D,2,FALSE),"-") &amp; " / " &amp; IFERROR(VLOOKUP(MID(N108,O108,P108-O108),[6]skilldef!$A:$B,2,FALSE),"-")</f>
        <v>- / -</v>
      </c>
      <c r="T108" s="45" t="str">
        <f t="shared" si="42"/>
        <v>none</v>
      </c>
      <c r="U108" s="60" t="e">
        <f t="shared" si="43"/>
        <v>#VALUE!</v>
      </c>
      <c r="V108" s="60">
        <f t="shared" si="44"/>
        <v>4</v>
      </c>
      <c r="W108" s="60" t="e">
        <f t="shared" si="45"/>
        <v>#VALUE!</v>
      </c>
      <c r="X108" s="60" t="e">
        <f t="shared" si="46"/>
        <v>#VALUE!</v>
      </c>
      <c r="Y108" s="60" t="str">
        <f>IFERROR(VLOOKUP(MID(T108,W108,X108-W108),[6]skilldef!$C:$D,2,FALSE),"-") &amp; " / " &amp; IFERROR(VLOOKUP(MID(T108,U108,V108-U108),[6]skilldef!$A:$B,2,FALSE),"-")</f>
        <v>- / -</v>
      </c>
    </row>
    <row r="109" spans="1:28" ht="21" customHeight="1" x14ac:dyDescent="0.15">
      <c r="A109" s="44">
        <v>15031108</v>
      </c>
      <c r="B109" s="44" t="s">
        <v>239</v>
      </c>
      <c r="C109" s="47">
        <v>3</v>
      </c>
      <c r="D109" s="47" t="s">
        <v>127</v>
      </c>
      <c r="E109" s="44" t="s">
        <v>261</v>
      </c>
      <c r="F109" s="48" t="s">
        <v>230</v>
      </c>
      <c r="G109" s="60" t="str">
        <f t="shared" si="32"/>
        <v>[effect:nothing]</v>
      </c>
      <c r="H109" s="60">
        <f t="shared" si="33"/>
        <v>9</v>
      </c>
      <c r="I109" s="60">
        <f t="shared" si="34"/>
        <v>16</v>
      </c>
      <c r="J109" s="60" t="e">
        <f t="shared" si="35"/>
        <v>#VALUE!</v>
      </c>
      <c r="K109" s="60" t="e">
        <f t="shared" si="36"/>
        <v>#VALUE!</v>
      </c>
      <c r="L109" s="60" t="str">
        <f>IFERROR(VLOOKUP(MID(G109,J109,K109-J109),[6]skilldef!$C:$D,2,FALSE),"-") &amp; " / " &amp; IFERROR(VLOOKUP(MID(G109,H109,I109-H109),[6]skilldef!$A:$B,2,FALSE),"-")</f>
        <v>- / 何もしない</v>
      </c>
      <c r="M109" s="60" t="str">
        <f t="shared" si="37"/>
        <v>none</v>
      </c>
      <c r="N109" s="45" t="str">
        <f t="shared" si="47"/>
        <v>none</v>
      </c>
      <c r="O109" s="60" t="e">
        <f t="shared" si="38"/>
        <v>#VALUE!</v>
      </c>
      <c r="P109" s="60">
        <f t="shared" si="39"/>
        <v>4</v>
      </c>
      <c r="Q109" s="60" t="e">
        <f t="shared" si="40"/>
        <v>#VALUE!</v>
      </c>
      <c r="R109" s="60" t="e">
        <f t="shared" si="41"/>
        <v>#VALUE!</v>
      </c>
      <c r="S109" s="60" t="str">
        <f>IFERROR(VLOOKUP(MID(N109,Q109,R109-Q109),[6]skilldef!$C:$D,2,FALSE),"-") &amp; " / " &amp; IFERROR(VLOOKUP(MID(N109,O109,P109-O109),[6]skilldef!$A:$B,2,FALSE),"-")</f>
        <v>- / -</v>
      </c>
      <c r="T109" s="45" t="str">
        <f t="shared" si="42"/>
        <v>none</v>
      </c>
      <c r="U109" s="60" t="e">
        <f t="shared" si="43"/>
        <v>#VALUE!</v>
      </c>
      <c r="V109" s="60">
        <f t="shared" si="44"/>
        <v>4</v>
      </c>
      <c r="W109" s="60" t="e">
        <f t="shared" si="45"/>
        <v>#VALUE!</v>
      </c>
      <c r="X109" s="60" t="e">
        <f t="shared" si="46"/>
        <v>#VALUE!</v>
      </c>
      <c r="Y109" s="60" t="str">
        <f>IFERROR(VLOOKUP(MID(T109,W109,X109-W109),[6]skilldef!$C:$D,2,FALSE),"-") &amp; " / " &amp; IFERROR(VLOOKUP(MID(T109,U109,V109-U109),[6]skilldef!$A:$B,2,FALSE),"-")</f>
        <v>- / -</v>
      </c>
    </row>
    <row r="110" spans="1:28" ht="21" customHeight="1" x14ac:dyDescent="0.15">
      <c r="A110" s="44">
        <v>15031109</v>
      </c>
      <c r="B110" s="44" t="s">
        <v>239</v>
      </c>
      <c r="C110" s="47">
        <v>3</v>
      </c>
      <c r="D110" s="47" t="s">
        <v>127</v>
      </c>
      <c r="E110" s="44" t="s">
        <v>261</v>
      </c>
      <c r="F110" s="48" t="s">
        <v>230</v>
      </c>
      <c r="G110" s="60" t="str">
        <f t="shared" si="32"/>
        <v>[effect:nothing]</v>
      </c>
      <c r="H110" s="60">
        <f t="shared" si="33"/>
        <v>9</v>
      </c>
      <c r="I110" s="60">
        <f t="shared" si="34"/>
        <v>16</v>
      </c>
      <c r="J110" s="60" t="e">
        <f t="shared" si="35"/>
        <v>#VALUE!</v>
      </c>
      <c r="K110" s="60" t="e">
        <f t="shared" si="36"/>
        <v>#VALUE!</v>
      </c>
      <c r="L110" s="60" t="str">
        <f>IFERROR(VLOOKUP(MID(G110,J110,K110-J110),[6]skilldef!$C:$D,2,FALSE),"-") &amp; " / " &amp; IFERROR(VLOOKUP(MID(G110,H110,I110-H110),[6]skilldef!$A:$B,2,FALSE),"-")</f>
        <v>- / 何もしない</v>
      </c>
      <c r="M110" s="60" t="str">
        <f t="shared" si="37"/>
        <v>none</v>
      </c>
      <c r="N110" s="45" t="str">
        <f t="shared" si="47"/>
        <v>none</v>
      </c>
      <c r="O110" s="60" t="e">
        <f t="shared" si="38"/>
        <v>#VALUE!</v>
      </c>
      <c r="P110" s="60">
        <f t="shared" si="39"/>
        <v>4</v>
      </c>
      <c r="Q110" s="60" t="e">
        <f t="shared" si="40"/>
        <v>#VALUE!</v>
      </c>
      <c r="R110" s="60" t="e">
        <f t="shared" si="41"/>
        <v>#VALUE!</v>
      </c>
      <c r="S110" s="60" t="str">
        <f>IFERROR(VLOOKUP(MID(N110,Q110,R110-Q110),[6]skilldef!$C:$D,2,FALSE),"-") &amp; " / " &amp; IFERROR(VLOOKUP(MID(N110,O110,P110-O110),[6]skilldef!$A:$B,2,FALSE),"-")</f>
        <v>- / -</v>
      </c>
      <c r="T110" s="45" t="str">
        <f t="shared" si="42"/>
        <v>none</v>
      </c>
      <c r="U110" s="60" t="e">
        <f t="shared" si="43"/>
        <v>#VALUE!</v>
      </c>
      <c r="V110" s="60">
        <f t="shared" si="44"/>
        <v>4</v>
      </c>
      <c r="W110" s="60" t="e">
        <f t="shared" si="45"/>
        <v>#VALUE!</v>
      </c>
      <c r="X110" s="60" t="e">
        <f t="shared" si="46"/>
        <v>#VALUE!</v>
      </c>
      <c r="Y110" s="60" t="str">
        <f>IFERROR(VLOOKUP(MID(T110,W110,X110-W110),[6]skilldef!$C:$D,2,FALSE),"-") &amp; " / " &amp; IFERROR(VLOOKUP(MID(T110,U110,V110-U110),[6]skilldef!$A:$B,2,FALSE),"-")</f>
        <v>- / -</v>
      </c>
    </row>
    <row r="111" spans="1:28" ht="21" customHeight="1" x14ac:dyDescent="0.15">
      <c r="A111" s="44">
        <v>15031110</v>
      </c>
      <c r="B111" s="44" t="s">
        <v>239</v>
      </c>
      <c r="C111" s="47">
        <v>3</v>
      </c>
      <c r="D111" s="47" t="s">
        <v>127</v>
      </c>
      <c r="E111" s="44" t="s">
        <v>261</v>
      </c>
      <c r="F111" s="48" t="s">
        <v>230</v>
      </c>
      <c r="G111" s="60" t="str">
        <f t="shared" si="32"/>
        <v>[effect:nothing]</v>
      </c>
      <c r="H111" s="60">
        <f t="shared" si="33"/>
        <v>9</v>
      </c>
      <c r="I111" s="60">
        <f t="shared" si="34"/>
        <v>16</v>
      </c>
      <c r="J111" s="60" t="e">
        <f t="shared" si="35"/>
        <v>#VALUE!</v>
      </c>
      <c r="K111" s="60" t="e">
        <f t="shared" si="36"/>
        <v>#VALUE!</v>
      </c>
      <c r="L111" s="60" t="str">
        <f>IFERROR(VLOOKUP(MID(G111,J111,K111-J111),[6]skilldef!$C:$D,2,FALSE),"-") &amp; " / " &amp; IFERROR(VLOOKUP(MID(G111,H111,I111-H111),[6]skilldef!$A:$B,2,FALSE),"-")</f>
        <v>- / 何もしない</v>
      </c>
      <c r="M111" s="60" t="str">
        <f t="shared" si="37"/>
        <v>none</v>
      </c>
      <c r="N111" s="45" t="str">
        <f t="shared" si="47"/>
        <v>none</v>
      </c>
      <c r="O111" s="60" t="e">
        <f t="shared" si="38"/>
        <v>#VALUE!</v>
      </c>
      <c r="P111" s="60">
        <f t="shared" si="39"/>
        <v>4</v>
      </c>
      <c r="Q111" s="60" t="e">
        <f t="shared" si="40"/>
        <v>#VALUE!</v>
      </c>
      <c r="R111" s="60" t="e">
        <f t="shared" si="41"/>
        <v>#VALUE!</v>
      </c>
      <c r="S111" s="60" t="str">
        <f>IFERROR(VLOOKUP(MID(N111,Q111,R111-Q111),[6]skilldef!$C:$D,2,FALSE),"-") &amp; " / " &amp; IFERROR(VLOOKUP(MID(N111,O111,P111-O111),[6]skilldef!$A:$B,2,FALSE),"-")</f>
        <v>- / -</v>
      </c>
      <c r="T111" s="45" t="str">
        <f t="shared" si="42"/>
        <v>none</v>
      </c>
      <c r="U111" s="60" t="e">
        <f t="shared" si="43"/>
        <v>#VALUE!</v>
      </c>
      <c r="V111" s="60">
        <f t="shared" si="44"/>
        <v>4</v>
      </c>
      <c r="W111" s="60" t="e">
        <f t="shared" si="45"/>
        <v>#VALUE!</v>
      </c>
      <c r="X111" s="60" t="e">
        <f t="shared" si="46"/>
        <v>#VALUE!</v>
      </c>
      <c r="Y111" s="60" t="str">
        <f>IFERROR(VLOOKUP(MID(T111,W111,X111-W111),[6]skilldef!$C:$D,2,FALSE),"-") &amp; " / " &amp; IFERROR(VLOOKUP(MID(T111,U111,V111-U111),[6]skilldef!$A:$B,2,FALSE),"-")</f>
        <v>- / -</v>
      </c>
    </row>
    <row r="112" spans="1:28" ht="21" customHeight="1" x14ac:dyDescent="0.15">
      <c r="A112" s="44">
        <v>15031111</v>
      </c>
      <c r="B112" s="44" t="s">
        <v>350</v>
      </c>
      <c r="C112" s="47">
        <v>3</v>
      </c>
      <c r="D112" s="47" t="s">
        <v>335</v>
      </c>
      <c r="E112" s="139" t="s">
        <v>336</v>
      </c>
      <c r="F112" s="48" t="s">
        <v>397</v>
      </c>
      <c r="G112" s="60" t="str">
        <f t="shared" si="32"/>
        <v>[effect:dis_heart, turn:4, animation:enemy_dis_heart]</v>
      </c>
      <c r="H112" s="60">
        <f t="shared" si="33"/>
        <v>9</v>
      </c>
      <c r="I112" s="60">
        <f t="shared" si="34"/>
        <v>18</v>
      </c>
      <c r="J112" s="60" t="e">
        <f t="shared" si="35"/>
        <v>#VALUE!</v>
      </c>
      <c r="K112" s="60">
        <f t="shared" si="36"/>
        <v>26</v>
      </c>
      <c r="L112" s="60" t="str">
        <f>IFERROR(VLOOKUP(MID(G112,J112,K112-J112),[6]skilldef!$C:$D,2,FALSE),"-") &amp; " / " &amp; IFERROR(VLOOKUP(MID(G112,H112,I112-H112),[6]skilldef!$A:$B,2,FALSE),"-")</f>
        <v>- / ディスハート</v>
      </c>
      <c r="M112" s="60" t="str">
        <f t="shared" si="37"/>
        <v>none</v>
      </c>
      <c r="N112" s="45" t="str">
        <f t="shared" si="47"/>
        <v>none</v>
      </c>
      <c r="O112" s="60" t="e">
        <f t="shared" si="38"/>
        <v>#VALUE!</v>
      </c>
      <c r="P112" s="60">
        <f t="shared" si="39"/>
        <v>4</v>
      </c>
      <c r="Q112" s="60" t="e">
        <f t="shared" si="40"/>
        <v>#VALUE!</v>
      </c>
      <c r="R112" s="60" t="e">
        <f t="shared" si="41"/>
        <v>#VALUE!</v>
      </c>
      <c r="S112" s="60" t="str">
        <f>IFERROR(VLOOKUP(MID(N112,Q112,R112-Q112),[6]skilldef!$C:$D,2,FALSE),"-") &amp; " / " &amp; IFERROR(VLOOKUP(MID(N112,O112,P112-O112),[6]skilldef!$A:$B,2,FALSE),"-")</f>
        <v>- / -</v>
      </c>
      <c r="T112" s="45" t="str">
        <f t="shared" si="42"/>
        <v>none</v>
      </c>
      <c r="U112" s="60" t="e">
        <f t="shared" si="43"/>
        <v>#VALUE!</v>
      </c>
      <c r="V112" s="60">
        <f t="shared" si="44"/>
        <v>4</v>
      </c>
      <c r="W112" s="60" t="e">
        <f t="shared" si="45"/>
        <v>#VALUE!</v>
      </c>
      <c r="X112" s="60" t="e">
        <f t="shared" si="46"/>
        <v>#VALUE!</v>
      </c>
      <c r="Y112" s="60" t="str">
        <f>IFERROR(VLOOKUP(MID(T112,W112,X112-W112),[6]skilldef!$C:$D,2,FALSE),"-") &amp; " / " &amp; IFERROR(VLOOKUP(MID(T112,U112,V112-U112),[6]skilldef!$A:$B,2,FALSE),"-")</f>
        <v>- / -</v>
      </c>
    </row>
    <row r="113" spans="1:25" ht="21" customHeight="1" x14ac:dyDescent="0.15">
      <c r="A113" s="44">
        <v>15031112</v>
      </c>
      <c r="B113" s="44" t="s">
        <v>239</v>
      </c>
      <c r="C113" s="47">
        <v>3</v>
      </c>
      <c r="D113" s="47" t="s">
        <v>127</v>
      </c>
      <c r="E113" s="44" t="s">
        <v>258</v>
      </c>
      <c r="F113" s="48" t="s">
        <v>230</v>
      </c>
      <c r="G113" s="60" t="str">
        <f t="shared" si="32"/>
        <v>[effect:nothing]</v>
      </c>
      <c r="H113" s="60">
        <f t="shared" si="33"/>
        <v>9</v>
      </c>
      <c r="I113" s="60">
        <f t="shared" si="34"/>
        <v>16</v>
      </c>
      <c r="J113" s="60" t="e">
        <f t="shared" si="35"/>
        <v>#VALUE!</v>
      </c>
      <c r="K113" s="60" t="e">
        <f t="shared" si="36"/>
        <v>#VALUE!</v>
      </c>
      <c r="L113" s="60" t="str">
        <f>IFERROR(VLOOKUP(MID(G113,J113,K113-J113),[6]skilldef!$C:$D,2,FALSE),"-") &amp; " / " &amp; IFERROR(VLOOKUP(MID(G113,H113,I113-H113),[6]skilldef!$A:$B,2,FALSE),"-")</f>
        <v>- / 何もしない</v>
      </c>
      <c r="M113" s="60" t="str">
        <f t="shared" si="37"/>
        <v>none</v>
      </c>
      <c r="N113" s="45" t="str">
        <f t="shared" ref="N113:N122" si="48">IFERROR(LEFT(M113,FIND("],",M113)+S123),M113)</f>
        <v>none</v>
      </c>
      <c r="O113" s="60" t="e">
        <f t="shared" si="38"/>
        <v>#VALUE!</v>
      </c>
      <c r="P113" s="60">
        <f t="shared" si="39"/>
        <v>4</v>
      </c>
      <c r="Q113" s="60" t="e">
        <f t="shared" si="40"/>
        <v>#VALUE!</v>
      </c>
      <c r="R113" s="60" t="e">
        <f t="shared" si="41"/>
        <v>#VALUE!</v>
      </c>
      <c r="S113" s="60" t="str">
        <f>IFERROR(VLOOKUP(MID(N113,Q113,R113-Q113),[6]skilldef!$C:$D,2,FALSE),"-") &amp; " / " &amp; IFERROR(VLOOKUP(MID(N113,O113,P113-O113),[6]skilldef!$A:$B,2,FALSE),"-")</f>
        <v>- / -</v>
      </c>
      <c r="T113" s="45" t="str">
        <f t="shared" si="42"/>
        <v>none</v>
      </c>
      <c r="U113" s="60" t="e">
        <f t="shared" si="43"/>
        <v>#VALUE!</v>
      </c>
      <c r="V113" s="60">
        <f t="shared" si="44"/>
        <v>4</v>
      </c>
      <c r="W113" s="60" t="e">
        <f t="shared" si="45"/>
        <v>#VALUE!</v>
      </c>
      <c r="X113" s="60" t="e">
        <f t="shared" si="46"/>
        <v>#VALUE!</v>
      </c>
      <c r="Y113" s="60" t="str">
        <f>IFERROR(VLOOKUP(MID(T113,W113,X113-W113),[6]skilldef!$C:$D,2,FALSE),"-") &amp; " / " &amp; IFERROR(VLOOKUP(MID(T113,U113,V113-U113),[6]skilldef!$A:$B,2,FALSE),"-")</f>
        <v>- / -</v>
      </c>
    </row>
    <row r="114" spans="1:25" ht="21" customHeight="1" x14ac:dyDescent="0.15">
      <c r="A114" s="44">
        <v>15031113</v>
      </c>
      <c r="B114" s="44" t="s">
        <v>239</v>
      </c>
      <c r="C114" s="47">
        <v>3</v>
      </c>
      <c r="D114" s="47" t="s">
        <v>127</v>
      </c>
      <c r="E114" s="44" t="s">
        <v>258</v>
      </c>
      <c r="F114" s="48" t="s">
        <v>230</v>
      </c>
      <c r="G114" s="60" t="str">
        <f t="shared" si="32"/>
        <v>[effect:nothing]</v>
      </c>
      <c r="H114" s="60">
        <f t="shared" si="33"/>
        <v>9</v>
      </c>
      <c r="I114" s="60">
        <f t="shared" si="34"/>
        <v>16</v>
      </c>
      <c r="J114" s="60" t="e">
        <f t="shared" si="35"/>
        <v>#VALUE!</v>
      </c>
      <c r="K114" s="60" t="e">
        <f t="shared" si="36"/>
        <v>#VALUE!</v>
      </c>
      <c r="L114" s="60" t="str">
        <f>IFERROR(VLOOKUP(MID(G114,J114,K114-J114),[6]skilldef!$C:$D,2,FALSE),"-") &amp; " / " &amp; IFERROR(VLOOKUP(MID(G114,H114,I114-H114),[6]skilldef!$A:$B,2,FALSE),"-")</f>
        <v>- / 何もしない</v>
      </c>
      <c r="M114" s="60" t="str">
        <f t="shared" si="37"/>
        <v>none</v>
      </c>
      <c r="N114" s="45" t="str">
        <f t="shared" si="48"/>
        <v>none</v>
      </c>
      <c r="O114" s="60" t="e">
        <f t="shared" si="38"/>
        <v>#VALUE!</v>
      </c>
      <c r="P114" s="60">
        <f t="shared" si="39"/>
        <v>4</v>
      </c>
      <c r="Q114" s="60" t="e">
        <f t="shared" si="40"/>
        <v>#VALUE!</v>
      </c>
      <c r="R114" s="60" t="e">
        <f t="shared" si="41"/>
        <v>#VALUE!</v>
      </c>
      <c r="S114" s="60" t="str">
        <f>IFERROR(VLOOKUP(MID(N114,Q114,R114-Q114),[6]skilldef!$C:$D,2,FALSE),"-") &amp; " / " &amp; IFERROR(VLOOKUP(MID(N114,O114,P114-O114),[6]skilldef!$A:$B,2,FALSE),"-")</f>
        <v>- / -</v>
      </c>
      <c r="T114" s="45" t="str">
        <f t="shared" si="42"/>
        <v>none</v>
      </c>
      <c r="U114" s="60" t="e">
        <f t="shared" si="43"/>
        <v>#VALUE!</v>
      </c>
      <c r="V114" s="60">
        <f t="shared" si="44"/>
        <v>4</v>
      </c>
      <c r="W114" s="60" t="e">
        <f t="shared" si="45"/>
        <v>#VALUE!</v>
      </c>
      <c r="X114" s="60" t="e">
        <f t="shared" si="46"/>
        <v>#VALUE!</v>
      </c>
      <c r="Y114" s="60" t="str">
        <f>IFERROR(VLOOKUP(MID(T114,W114,X114-W114),[6]skilldef!$C:$D,2,FALSE),"-") &amp; " / " &amp; IFERROR(VLOOKUP(MID(T114,U114,V114-U114),[6]skilldef!$A:$B,2,FALSE),"-")</f>
        <v>- / -</v>
      </c>
    </row>
    <row r="115" spans="1:25" ht="21" customHeight="1" x14ac:dyDescent="0.15">
      <c r="A115" s="44">
        <v>15031114</v>
      </c>
      <c r="B115" s="44" t="s">
        <v>239</v>
      </c>
      <c r="C115" s="47">
        <v>3</v>
      </c>
      <c r="D115" s="47" t="s">
        <v>127</v>
      </c>
      <c r="E115" s="44" t="s">
        <v>258</v>
      </c>
      <c r="F115" s="48" t="s">
        <v>230</v>
      </c>
      <c r="G115" s="60" t="str">
        <f t="shared" si="32"/>
        <v>[effect:nothing]</v>
      </c>
      <c r="H115" s="60">
        <f t="shared" si="33"/>
        <v>9</v>
      </c>
      <c r="I115" s="60">
        <f t="shared" si="34"/>
        <v>16</v>
      </c>
      <c r="J115" s="60" t="e">
        <f t="shared" si="35"/>
        <v>#VALUE!</v>
      </c>
      <c r="K115" s="60" t="e">
        <f t="shared" si="36"/>
        <v>#VALUE!</v>
      </c>
      <c r="L115" s="60" t="str">
        <f>IFERROR(VLOOKUP(MID(G115,J115,K115-J115),[6]skilldef!$C:$D,2,FALSE),"-") &amp; " / " &amp; IFERROR(VLOOKUP(MID(G115,H115,I115-H115),[6]skilldef!$A:$B,2,FALSE),"-")</f>
        <v>- / 何もしない</v>
      </c>
      <c r="M115" s="60" t="str">
        <f t="shared" si="37"/>
        <v>none</v>
      </c>
      <c r="N115" s="45" t="str">
        <f t="shared" si="48"/>
        <v>none</v>
      </c>
      <c r="O115" s="60" t="e">
        <f t="shared" si="38"/>
        <v>#VALUE!</v>
      </c>
      <c r="P115" s="60">
        <f t="shared" si="39"/>
        <v>4</v>
      </c>
      <c r="Q115" s="60" t="e">
        <f t="shared" si="40"/>
        <v>#VALUE!</v>
      </c>
      <c r="R115" s="60" t="e">
        <f t="shared" si="41"/>
        <v>#VALUE!</v>
      </c>
      <c r="S115" s="60" t="str">
        <f>IFERROR(VLOOKUP(MID(N115,Q115,R115-Q115),[6]skilldef!$C:$D,2,FALSE),"-") &amp; " / " &amp; IFERROR(VLOOKUP(MID(N115,O115,P115-O115),[6]skilldef!$A:$B,2,FALSE),"-")</f>
        <v>- / -</v>
      </c>
      <c r="T115" s="45" t="str">
        <f t="shared" si="42"/>
        <v>none</v>
      </c>
      <c r="U115" s="60" t="e">
        <f t="shared" si="43"/>
        <v>#VALUE!</v>
      </c>
      <c r="V115" s="60">
        <f t="shared" si="44"/>
        <v>4</v>
      </c>
      <c r="W115" s="60" t="e">
        <f t="shared" si="45"/>
        <v>#VALUE!</v>
      </c>
      <c r="X115" s="60" t="e">
        <f t="shared" si="46"/>
        <v>#VALUE!</v>
      </c>
      <c r="Y115" s="60" t="str">
        <f>IFERROR(VLOOKUP(MID(T115,W115,X115-W115),[6]skilldef!$C:$D,2,FALSE),"-") &amp; " / " &amp; IFERROR(VLOOKUP(MID(T115,U115,V115-U115),[6]skilldef!$A:$B,2,FALSE),"-")</f>
        <v>- / -</v>
      </c>
    </row>
    <row r="116" spans="1:25" ht="21" customHeight="1" x14ac:dyDescent="0.15">
      <c r="A116" s="44">
        <v>15031115</v>
      </c>
      <c r="B116" s="44" t="s">
        <v>239</v>
      </c>
      <c r="C116" s="47">
        <v>3</v>
      </c>
      <c r="D116" s="47" t="s">
        <v>127</v>
      </c>
      <c r="E116" s="44" t="s">
        <v>258</v>
      </c>
      <c r="F116" s="48" t="s">
        <v>230</v>
      </c>
      <c r="G116" s="60" t="str">
        <f t="shared" si="32"/>
        <v>[effect:nothing]</v>
      </c>
      <c r="H116" s="60">
        <f t="shared" si="33"/>
        <v>9</v>
      </c>
      <c r="I116" s="60">
        <f t="shared" si="34"/>
        <v>16</v>
      </c>
      <c r="J116" s="60" t="e">
        <f t="shared" si="35"/>
        <v>#VALUE!</v>
      </c>
      <c r="K116" s="60" t="e">
        <f t="shared" si="36"/>
        <v>#VALUE!</v>
      </c>
      <c r="L116" s="60" t="str">
        <f>IFERROR(VLOOKUP(MID(G116,J116,K116-J116),[6]skilldef!$C:$D,2,FALSE),"-") &amp; " / " &amp; IFERROR(VLOOKUP(MID(G116,H116,I116-H116),[6]skilldef!$A:$B,2,FALSE),"-")</f>
        <v>- / 何もしない</v>
      </c>
      <c r="M116" s="60" t="str">
        <f t="shared" si="37"/>
        <v>none</v>
      </c>
      <c r="N116" s="45" t="str">
        <f t="shared" si="48"/>
        <v>none</v>
      </c>
      <c r="O116" s="60" t="e">
        <f t="shared" si="38"/>
        <v>#VALUE!</v>
      </c>
      <c r="P116" s="60">
        <f t="shared" si="39"/>
        <v>4</v>
      </c>
      <c r="Q116" s="60" t="e">
        <f t="shared" si="40"/>
        <v>#VALUE!</v>
      </c>
      <c r="R116" s="60" t="e">
        <f t="shared" si="41"/>
        <v>#VALUE!</v>
      </c>
      <c r="S116" s="60" t="str">
        <f>IFERROR(VLOOKUP(MID(N116,Q116,R116-Q116),[6]skilldef!$C:$D,2,FALSE),"-") &amp; " / " &amp; IFERROR(VLOOKUP(MID(N116,O116,P116-O116),[6]skilldef!$A:$B,2,FALSE),"-")</f>
        <v>- / -</v>
      </c>
      <c r="T116" s="45" t="str">
        <f t="shared" si="42"/>
        <v>none</v>
      </c>
      <c r="U116" s="60" t="e">
        <f t="shared" si="43"/>
        <v>#VALUE!</v>
      </c>
      <c r="V116" s="60">
        <f t="shared" si="44"/>
        <v>4</v>
      </c>
      <c r="W116" s="60" t="e">
        <f t="shared" si="45"/>
        <v>#VALUE!</v>
      </c>
      <c r="X116" s="60" t="e">
        <f t="shared" si="46"/>
        <v>#VALUE!</v>
      </c>
      <c r="Y116" s="60" t="str">
        <f>IFERROR(VLOOKUP(MID(T116,W116,X116-W116),[6]skilldef!$C:$D,2,FALSE),"-") &amp; " / " &amp; IFERROR(VLOOKUP(MID(T116,U116,V116-U116),[6]skilldef!$A:$B,2,FALSE),"-")</f>
        <v>- / -</v>
      </c>
    </row>
    <row r="117" spans="1:25" ht="21" customHeight="1" x14ac:dyDescent="0.15">
      <c r="A117" s="44">
        <v>15031116</v>
      </c>
      <c r="B117" s="44" t="s">
        <v>279</v>
      </c>
      <c r="C117" s="47">
        <v>3</v>
      </c>
      <c r="D117" s="47" t="s">
        <v>127</v>
      </c>
      <c r="E117" s="139" t="s">
        <v>293</v>
      </c>
      <c r="F117" s="48" t="s">
        <v>235</v>
      </c>
      <c r="G117" s="60" t="str">
        <f t="shared" si="32"/>
        <v>[effect:spread, val:0.3]</v>
      </c>
      <c r="H117" s="60">
        <f t="shared" si="33"/>
        <v>9</v>
      </c>
      <c r="I117" s="60">
        <f t="shared" si="34"/>
        <v>15</v>
      </c>
      <c r="J117" s="60" t="e">
        <f t="shared" si="35"/>
        <v>#VALUE!</v>
      </c>
      <c r="K117" s="60" t="e">
        <f t="shared" si="36"/>
        <v>#VALUE!</v>
      </c>
      <c r="L117" s="60" t="str">
        <f>IFERROR(VLOOKUP(MID(G117,J117,K117-J117),[6]skilldef!$C:$D,2,FALSE),"-") &amp; " / " &amp; IFERROR(VLOOKUP(MID(G117,H117,I117-H117),[6]skilldef!$A:$B,2,FALSE),"-")</f>
        <v>- / 全体攻撃</v>
      </c>
      <c r="M117" s="60" t="str">
        <f t="shared" si="37"/>
        <v>none</v>
      </c>
      <c r="N117" s="45" t="str">
        <f t="shared" si="48"/>
        <v>none</v>
      </c>
      <c r="O117" s="60" t="e">
        <f t="shared" si="38"/>
        <v>#VALUE!</v>
      </c>
      <c r="P117" s="60">
        <f t="shared" si="39"/>
        <v>4</v>
      </c>
      <c r="Q117" s="60" t="e">
        <f t="shared" si="40"/>
        <v>#VALUE!</v>
      </c>
      <c r="R117" s="60" t="e">
        <f t="shared" si="41"/>
        <v>#VALUE!</v>
      </c>
      <c r="S117" s="60" t="str">
        <f>IFERROR(VLOOKUP(MID(N117,Q117,R117-Q117),[6]skilldef!$C:$D,2,FALSE),"-") &amp; " / " &amp; IFERROR(VLOOKUP(MID(N117,O117,P117-O117),[6]skilldef!$A:$B,2,FALSE),"-")</f>
        <v>- / -</v>
      </c>
      <c r="T117" s="45" t="str">
        <f t="shared" si="42"/>
        <v>none</v>
      </c>
      <c r="U117" s="60" t="e">
        <f t="shared" si="43"/>
        <v>#VALUE!</v>
      </c>
      <c r="V117" s="60">
        <f t="shared" si="44"/>
        <v>4</v>
      </c>
      <c r="W117" s="60" t="e">
        <f t="shared" si="45"/>
        <v>#VALUE!</v>
      </c>
      <c r="X117" s="60" t="e">
        <f t="shared" si="46"/>
        <v>#VALUE!</v>
      </c>
      <c r="Y117" s="60" t="str">
        <f>IFERROR(VLOOKUP(MID(T117,W117,X117-W117),[6]skilldef!$C:$D,2,FALSE),"-") &amp; " / " &amp; IFERROR(VLOOKUP(MID(T117,U117,V117-U117),[6]skilldef!$A:$B,2,FALSE),"-")</f>
        <v>- / -</v>
      </c>
    </row>
    <row r="118" spans="1:25" ht="21" customHeight="1" x14ac:dyDescent="0.15">
      <c r="A118" s="44">
        <v>15031117</v>
      </c>
      <c r="B118" s="44" t="s">
        <v>239</v>
      </c>
      <c r="C118" s="47">
        <v>3</v>
      </c>
      <c r="D118" s="47" t="s">
        <v>127</v>
      </c>
      <c r="E118" s="44" t="s">
        <v>262</v>
      </c>
      <c r="F118" s="48" t="s">
        <v>230</v>
      </c>
      <c r="G118" s="60" t="str">
        <f t="shared" si="32"/>
        <v>[effect:nothing]</v>
      </c>
      <c r="H118" s="60">
        <f t="shared" si="33"/>
        <v>9</v>
      </c>
      <c r="I118" s="60">
        <f t="shared" si="34"/>
        <v>16</v>
      </c>
      <c r="J118" s="60" t="e">
        <f t="shared" si="35"/>
        <v>#VALUE!</v>
      </c>
      <c r="K118" s="60" t="e">
        <f t="shared" si="36"/>
        <v>#VALUE!</v>
      </c>
      <c r="L118" s="60" t="str">
        <f>IFERROR(VLOOKUP(MID(G118,J118,K118-J118),[6]skilldef!$C:$D,2,FALSE),"-") &amp; " / " &amp; IFERROR(VLOOKUP(MID(G118,H118,I118-H118),[6]skilldef!$A:$B,2,FALSE),"-")</f>
        <v>- / 何もしない</v>
      </c>
      <c r="M118" s="60" t="str">
        <f t="shared" si="37"/>
        <v>none</v>
      </c>
      <c r="N118" s="45" t="str">
        <f t="shared" si="48"/>
        <v>none</v>
      </c>
      <c r="O118" s="60" t="e">
        <f t="shared" si="38"/>
        <v>#VALUE!</v>
      </c>
      <c r="P118" s="60">
        <f t="shared" si="39"/>
        <v>4</v>
      </c>
      <c r="Q118" s="60" t="e">
        <f t="shared" si="40"/>
        <v>#VALUE!</v>
      </c>
      <c r="R118" s="60" t="e">
        <f t="shared" si="41"/>
        <v>#VALUE!</v>
      </c>
      <c r="S118" s="60" t="str">
        <f>IFERROR(VLOOKUP(MID(N118,Q118,R118-Q118),[6]skilldef!$C:$D,2,FALSE),"-") &amp; " / " &amp; IFERROR(VLOOKUP(MID(N118,O118,P118-O118),[6]skilldef!$A:$B,2,FALSE),"-")</f>
        <v>- / -</v>
      </c>
      <c r="T118" s="45" t="str">
        <f t="shared" si="42"/>
        <v>none</v>
      </c>
      <c r="U118" s="60" t="e">
        <f t="shared" si="43"/>
        <v>#VALUE!</v>
      </c>
      <c r="V118" s="60">
        <f t="shared" si="44"/>
        <v>4</v>
      </c>
      <c r="W118" s="60" t="e">
        <f t="shared" si="45"/>
        <v>#VALUE!</v>
      </c>
      <c r="X118" s="60" t="e">
        <f t="shared" si="46"/>
        <v>#VALUE!</v>
      </c>
      <c r="Y118" s="60" t="str">
        <f>IFERROR(VLOOKUP(MID(T118,W118,X118-W118),[6]skilldef!$C:$D,2,FALSE),"-") &amp; " / " &amp; IFERROR(VLOOKUP(MID(T118,U118,V118-U118),[6]skilldef!$A:$B,2,FALSE),"-")</f>
        <v>- / -</v>
      </c>
    </row>
    <row r="119" spans="1:25" ht="21" customHeight="1" x14ac:dyDescent="0.15">
      <c r="A119" s="44">
        <v>15031118</v>
      </c>
      <c r="B119" s="44" t="s">
        <v>239</v>
      </c>
      <c r="C119" s="47">
        <v>3</v>
      </c>
      <c r="D119" s="47" t="s">
        <v>127</v>
      </c>
      <c r="E119" s="44" t="s">
        <v>262</v>
      </c>
      <c r="F119" s="48" t="s">
        <v>230</v>
      </c>
      <c r="G119" s="60" t="str">
        <f t="shared" si="32"/>
        <v>[effect:nothing]</v>
      </c>
      <c r="H119" s="60">
        <f t="shared" si="33"/>
        <v>9</v>
      </c>
      <c r="I119" s="60">
        <f t="shared" si="34"/>
        <v>16</v>
      </c>
      <c r="J119" s="60" t="e">
        <f t="shared" si="35"/>
        <v>#VALUE!</v>
      </c>
      <c r="K119" s="60" t="e">
        <f t="shared" si="36"/>
        <v>#VALUE!</v>
      </c>
      <c r="L119" s="60" t="str">
        <f>IFERROR(VLOOKUP(MID(G119,J119,K119-J119),[6]skilldef!$C:$D,2,FALSE),"-") &amp; " / " &amp; IFERROR(VLOOKUP(MID(G119,H119,I119-H119),[6]skilldef!$A:$B,2,FALSE),"-")</f>
        <v>- / 何もしない</v>
      </c>
      <c r="M119" s="60" t="str">
        <f t="shared" si="37"/>
        <v>none</v>
      </c>
      <c r="N119" s="45" t="str">
        <f t="shared" si="48"/>
        <v>none</v>
      </c>
      <c r="O119" s="60" t="e">
        <f t="shared" si="38"/>
        <v>#VALUE!</v>
      </c>
      <c r="P119" s="60">
        <f t="shared" si="39"/>
        <v>4</v>
      </c>
      <c r="Q119" s="60" t="e">
        <f t="shared" si="40"/>
        <v>#VALUE!</v>
      </c>
      <c r="R119" s="60" t="e">
        <f t="shared" si="41"/>
        <v>#VALUE!</v>
      </c>
      <c r="S119" s="60" t="str">
        <f>IFERROR(VLOOKUP(MID(N119,Q119,R119-Q119),[6]skilldef!$C:$D,2,FALSE),"-") &amp; " / " &amp; IFERROR(VLOOKUP(MID(N119,O119,P119-O119),[6]skilldef!$A:$B,2,FALSE),"-")</f>
        <v>- / -</v>
      </c>
      <c r="T119" s="45" t="str">
        <f t="shared" si="42"/>
        <v>none</v>
      </c>
      <c r="U119" s="60" t="e">
        <f t="shared" si="43"/>
        <v>#VALUE!</v>
      </c>
      <c r="V119" s="60">
        <f t="shared" si="44"/>
        <v>4</v>
      </c>
      <c r="W119" s="60" t="e">
        <f t="shared" si="45"/>
        <v>#VALUE!</v>
      </c>
      <c r="X119" s="60" t="e">
        <f t="shared" si="46"/>
        <v>#VALUE!</v>
      </c>
      <c r="Y119" s="60" t="str">
        <f>IFERROR(VLOOKUP(MID(T119,W119,X119-W119),[6]skilldef!$C:$D,2,FALSE),"-") &amp; " / " &amp; IFERROR(VLOOKUP(MID(T119,U119,V119-U119),[6]skilldef!$A:$B,2,FALSE),"-")</f>
        <v>- / -</v>
      </c>
    </row>
    <row r="120" spans="1:25" ht="21" customHeight="1" x14ac:dyDescent="0.15">
      <c r="A120" s="44">
        <v>15031119</v>
      </c>
      <c r="B120" s="44" t="s">
        <v>239</v>
      </c>
      <c r="C120" s="47">
        <v>3</v>
      </c>
      <c r="D120" s="47" t="s">
        <v>127</v>
      </c>
      <c r="E120" s="44" t="s">
        <v>262</v>
      </c>
      <c r="F120" s="48" t="s">
        <v>230</v>
      </c>
      <c r="G120" s="60" t="str">
        <f t="shared" si="32"/>
        <v>[effect:nothing]</v>
      </c>
      <c r="H120" s="60">
        <f t="shared" si="33"/>
        <v>9</v>
      </c>
      <c r="I120" s="60">
        <f t="shared" si="34"/>
        <v>16</v>
      </c>
      <c r="J120" s="60" t="e">
        <f t="shared" si="35"/>
        <v>#VALUE!</v>
      </c>
      <c r="K120" s="60" t="e">
        <f t="shared" si="36"/>
        <v>#VALUE!</v>
      </c>
      <c r="L120" s="60" t="str">
        <f>IFERROR(VLOOKUP(MID(G120,J120,K120-J120),[6]skilldef!$C:$D,2,FALSE),"-") &amp; " / " &amp; IFERROR(VLOOKUP(MID(G120,H120,I120-H120),[6]skilldef!$A:$B,2,FALSE),"-")</f>
        <v>- / 何もしない</v>
      </c>
      <c r="M120" s="60" t="str">
        <f t="shared" si="37"/>
        <v>none</v>
      </c>
      <c r="N120" s="45" t="str">
        <f t="shared" si="48"/>
        <v>none</v>
      </c>
      <c r="O120" s="60" t="e">
        <f t="shared" si="38"/>
        <v>#VALUE!</v>
      </c>
      <c r="P120" s="60">
        <f t="shared" si="39"/>
        <v>4</v>
      </c>
      <c r="Q120" s="60" t="e">
        <f t="shared" si="40"/>
        <v>#VALUE!</v>
      </c>
      <c r="R120" s="60" t="e">
        <f t="shared" si="41"/>
        <v>#VALUE!</v>
      </c>
      <c r="S120" s="60" t="str">
        <f>IFERROR(VLOOKUP(MID(N120,Q120,R120-Q120),[6]skilldef!$C:$D,2,FALSE),"-") &amp; " / " &amp; IFERROR(VLOOKUP(MID(N120,O120,P120-O120),[6]skilldef!$A:$B,2,FALSE),"-")</f>
        <v>- / -</v>
      </c>
      <c r="T120" s="45" t="str">
        <f t="shared" si="42"/>
        <v>none</v>
      </c>
      <c r="U120" s="60" t="e">
        <f t="shared" si="43"/>
        <v>#VALUE!</v>
      </c>
      <c r="V120" s="60">
        <f t="shared" si="44"/>
        <v>4</v>
      </c>
      <c r="W120" s="60" t="e">
        <f t="shared" si="45"/>
        <v>#VALUE!</v>
      </c>
      <c r="X120" s="60" t="e">
        <f t="shared" si="46"/>
        <v>#VALUE!</v>
      </c>
      <c r="Y120" s="60" t="str">
        <f>IFERROR(VLOOKUP(MID(T120,W120,X120-W120),[6]skilldef!$C:$D,2,FALSE),"-") &amp; " / " &amp; IFERROR(VLOOKUP(MID(T120,U120,V120-U120),[6]skilldef!$A:$B,2,FALSE),"-")</f>
        <v>- / -</v>
      </c>
    </row>
    <row r="121" spans="1:25" ht="21" customHeight="1" x14ac:dyDescent="0.15">
      <c r="A121" s="44">
        <v>15031120</v>
      </c>
      <c r="B121" s="44" t="s">
        <v>239</v>
      </c>
      <c r="C121" s="47">
        <v>3</v>
      </c>
      <c r="D121" s="47" t="s">
        <v>127</v>
      </c>
      <c r="E121" s="44" t="s">
        <v>262</v>
      </c>
      <c r="F121" s="48" t="s">
        <v>230</v>
      </c>
      <c r="G121" s="60" t="str">
        <f t="shared" si="32"/>
        <v>[effect:nothing]</v>
      </c>
      <c r="H121" s="60">
        <f t="shared" si="33"/>
        <v>9</v>
      </c>
      <c r="I121" s="60">
        <f t="shared" si="34"/>
        <v>16</v>
      </c>
      <c r="J121" s="60" t="e">
        <f t="shared" si="35"/>
        <v>#VALUE!</v>
      </c>
      <c r="K121" s="60" t="e">
        <f t="shared" si="36"/>
        <v>#VALUE!</v>
      </c>
      <c r="L121" s="60" t="str">
        <f>IFERROR(VLOOKUP(MID(G121,J121,K121-J121),[6]skilldef!$C:$D,2,FALSE),"-") &amp; " / " &amp; IFERROR(VLOOKUP(MID(G121,H121,I121-H121),[6]skilldef!$A:$B,2,FALSE),"-")</f>
        <v>- / 何もしない</v>
      </c>
      <c r="M121" s="60" t="str">
        <f t="shared" si="37"/>
        <v>none</v>
      </c>
      <c r="N121" s="45" t="str">
        <f t="shared" si="48"/>
        <v>none</v>
      </c>
      <c r="O121" s="60" t="e">
        <f t="shared" si="38"/>
        <v>#VALUE!</v>
      </c>
      <c r="P121" s="60">
        <f t="shared" si="39"/>
        <v>4</v>
      </c>
      <c r="Q121" s="60" t="e">
        <f t="shared" si="40"/>
        <v>#VALUE!</v>
      </c>
      <c r="R121" s="60" t="e">
        <f t="shared" si="41"/>
        <v>#VALUE!</v>
      </c>
      <c r="S121" s="60" t="str">
        <f>IFERROR(VLOOKUP(MID(N121,Q121,R121-Q121),[6]skilldef!$C:$D,2,FALSE),"-") &amp; " / " &amp; IFERROR(VLOOKUP(MID(N121,O121,P121-O121),[6]skilldef!$A:$B,2,FALSE),"-")</f>
        <v>- / -</v>
      </c>
      <c r="T121" s="45" t="str">
        <f t="shared" si="42"/>
        <v>none</v>
      </c>
      <c r="U121" s="60" t="e">
        <f t="shared" si="43"/>
        <v>#VALUE!</v>
      </c>
      <c r="V121" s="60">
        <f t="shared" si="44"/>
        <v>4</v>
      </c>
      <c r="W121" s="60" t="e">
        <f t="shared" si="45"/>
        <v>#VALUE!</v>
      </c>
      <c r="X121" s="60" t="e">
        <f t="shared" si="46"/>
        <v>#VALUE!</v>
      </c>
      <c r="Y121" s="60" t="str">
        <f>IFERROR(VLOOKUP(MID(T121,W121,X121-W121),[6]skilldef!$C:$D,2,FALSE),"-") &amp; " / " &amp; IFERROR(VLOOKUP(MID(T121,U121,V121-U121),[6]skilldef!$A:$B,2,FALSE),"-")</f>
        <v>- / -</v>
      </c>
    </row>
    <row r="122" spans="1:25" ht="21" customHeight="1" x14ac:dyDescent="0.15">
      <c r="A122" s="44">
        <v>15031121</v>
      </c>
      <c r="B122" s="140" t="s">
        <v>345</v>
      </c>
      <c r="C122" s="47">
        <v>3</v>
      </c>
      <c r="D122" s="47" t="s">
        <v>335</v>
      </c>
      <c r="E122" s="139" t="s">
        <v>346</v>
      </c>
      <c r="F122" s="48" t="s">
        <v>347</v>
      </c>
      <c r="G122" s="60" t="str">
        <f t="shared" si="32"/>
        <v xml:space="preserve">[effect:damage_anti_abnormal, target:unit_all, target_effect01:virus, val1:1.6, val2:0.8]    </v>
      </c>
      <c r="H122" s="60">
        <f t="shared" si="33"/>
        <v>9</v>
      </c>
      <c r="I122" s="60">
        <f t="shared" si="34"/>
        <v>29</v>
      </c>
      <c r="J122" s="60">
        <f t="shared" si="35"/>
        <v>38</v>
      </c>
      <c r="K122" s="60">
        <f t="shared" si="36"/>
        <v>46</v>
      </c>
      <c r="L122" s="60" t="str">
        <f>IFERROR(VLOOKUP(MID(G122,J122,K122-J122),[6]skilldef!$C:$D,2,FALSE),"-") &amp; " / " &amp; IFERROR(VLOOKUP(MID(G122,H122,I122-H122),[6]skilldef!$A:$B,2,FALSE),"-")</f>
        <v>味方全体に / -</v>
      </c>
      <c r="M122" s="60" t="str">
        <f t="shared" si="37"/>
        <v>none</v>
      </c>
      <c r="N122" s="45" t="str">
        <f t="shared" si="48"/>
        <v>none</v>
      </c>
      <c r="O122" s="60" t="e">
        <f t="shared" si="38"/>
        <v>#VALUE!</v>
      </c>
      <c r="P122" s="60">
        <f t="shared" si="39"/>
        <v>4</v>
      </c>
      <c r="Q122" s="60" t="e">
        <f t="shared" si="40"/>
        <v>#VALUE!</v>
      </c>
      <c r="R122" s="60" t="e">
        <f t="shared" si="41"/>
        <v>#VALUE!</v>
      </c>
      <c r="S122" s="60" t="str">
        <f>IFERROR(VLOOKUP(MID(N122,Q122,R122-Q122),[6]skilldef!$C:$D,2,FALSE),"-") &amp; " / " &amp; IFERROR(VLOOKUP(MID(N122,O122,P122-O122),[6]skilldef!$A:$B,2,FALSE),"-")</f>
        <v>- / -</v>
      </c>
      <c r="T122" s="45" t="str">
        <f t="shared" si="42"/>
        <v>none</v>
      </c>
      <c r="U122" s="60" t="e">
        <f t="shared" si="43"/>
        <v>#VALUE!</v>
      </c>
      <c r="V122" s="60">
        <f t="shared" si="44"/>
        <v>4</v>
      </c>
      <c r="W122" s="60" t="e">
        <f t="shared" si="45"/>
        <v>#VALUE!</v>
      </c>
      <c r="X122" s="60" t="e">
        <f t="shared" si="46"/>
        <v>#VALUE!</v>
      </c>
      <c r="Y122" s="60" t="str">
        <f>IFERROR(VLOOKUP(MID(T122,W122,X122-W122),[6]skilldef!$C:$D,2,FALSE),"-") &amp; " / " &amp; IFERROR(VLOOKUP(MID(T122,U122,V122-U122),[6]skilldef!$A:$B,2,FALSE),"-")</f>
        <v>- / -</v>
      </c>
    </row>
    <row r="123" spans="1:25" ht="21" customHeight="1" x14ac:dyDescent="0.15">
      <c r="A123" s="44">
        <v>15031122</v>
      </c>
      <c r="B123" s="44" t="s">
        <v>408</v>
      </c>
      <c r="C123" s="47">
        <v>3</v>
      </c>
      <c r="D123" s="47" t="s">
        <v>335</v>
      </c>
      <c r="E123" s="44" t="s">
        <v>348</v>
      </c>
      <c r="F123" s="48" t="s">
        <v>378</v>
      </c>
      <c r="G123" s="60" t="str">
        <f t="shared" si="32"/>
        <v>[effect:virus, target:unit_all, turn:5, rate:1, val:0.1, animation:enemy_virus]</v>
      </c>
      <c r="H123" s="60">
        <f t="shared" si="33"/>
        <v>9</v>
      </c>
      <c r="I123" s="60">
        <f t="shared" si="34"/>
        <v>14</v>
      </c>
      <c r="J123" s="60">
        <f t="shared" si="35"/>
        <v>23</v>
      </c>
      <c r="K123" s="60">
        <f t="shared" si="36"/>
        <v>31</v>
      </c>
      <c r="L123" s="60" t="str">
        <f>IFERROR(VLOOKUP(MID(G123,J123,K123-J123),[6]skilldef!$C:$D,2,FALSE),"-") &amp; " / " &amp; IFERROR(VLOOKUP(MID(G123,H123,I123-H123),[6]skilldef!$A:$B,2,FALSE),"-")</f>
        <v>味方全体に / ウィルス</v>
      </c>
      <c r="M123" s="60" t="str">
        <f t="shared" si="37"/>
        <v>none</v>
      </c>
      <c r="N123" s="45" t="str">
        <f t="shared" si="47"/>
        <v>none</v>
      </c>
      <c r="O123" s="60" t="e">
        <f t="shared" si="38"/>
        <v>#VALUE!</v>
      </c>
      <c r="P123" s="60">
        <f t="shared" si="39"/>
        <v>4</v>
      </c>
      <c r="Q123" s="60" t="e">
        <f t="shared" si="40"/>
        <v>#VALUE!</v>
      </c>
      <c r="R123" s="60" t="e">
        <f t="shared" si="41"/>
        <v>#VALUE!</v>
      </c>
      <c r="S123" s="60" t="str">
        <f>IFERROR(VLOOKUP(MID(N123,Q123,R123-Q123),[6]skilldef!$C:$D,2,FALSE),"-") &amp; " / " &amp; IFERROR(VLOOKUP(MID(N123,O123,P123-O123),[6]skilldef!$A:$B,2,FALSE),"-")</f>
        <v>- / -</v>
      </c>
      <c r="T123" s="45" t="str">
        <f t="shared" si="42"/>
        <v>none</v>
      </c>
      <c r="U123" s="60" t="e">
        <f t="shared" si="43"/>
        <v>#VALUE!</v>
      </c>
      <c r="V123" s="60">
        <f t="shared" si="44"/>
        <v>4</v>
      </c>
      <c r="W123" s="60" t="e">
        <f t="shared" si="45"/>
        <v>#VALUE!</v>
      </c>
      <c r="X123" s="60" t="e">
        <f t="shared" si="46"/>
        <v>#VALUE!</v>
      </c>
      <c r="Y123" s="60" t="str">
        <f>IFERROR(VLOOKUP(MID(T123,W123,X123-W123),[6]skilldef!$C:$D,2,FALSE),"-") &amp; " / " &amp; IFERROR(VLOOKUP(MID(T123,U123,V123-U123),[6]skilldef!$A:$B,2,FALSE),"-")</f>
        <v>- / -</v>
      </c>
    </row>
    <row r="124" spans="1:25" ht="21" customHeight="1" x14ac:dyDescent="0.15">
      <c r="A124" s="44">
        <v>15031123</v>
      </c>
      <c r="B124" s="44" t="s">
        <v>239</v>
      </c>
      <c r="C124" s="47">
        <v>3</v>
      </c>
      <c r="D124" s="47" t="s">
        <v>127</v>
      </c>
      <c r="E124" s="44" t="s">
        <v>263</v>
      </c>
      <c r="F124" s="48" t="s">
        <v>230</v>
      </c>
      <c r="G124" s="60" t="str">
        <f t="shared" si="32"/>
        <v>[effect:nothing]</v>
      </c>
      <c r="H124" s="60">
        <f t="shared" si="33"/>
        <v>9</v>
      </c>
      <c r="I124" s="60">
        <f t="shared" si="34"/>
        <v>16</v>
      </c>
      <c r="J124" s="60" t="e">
        <f t="shared" si="35"/>
        <v>#VALUE!</v>
      </c>
      <c r="K124" s="60" t="e">
        <f t="shared" si="36"/>
        <v>#VALUE!</v>
      </c>
      <c r="L124" s="60" t="str">
        <f>IFERROR(VLOOKUP(MID(G124,J124,K124-J124),[6]skilldef!$C:$D,2,FALSE),"-") &amp; " / " &amp; IFERROR(VLOOKUP(MID(G124,H124,I124-H124),[6]skilldef!$A:$B,2,FALSE),"-")</f>
        <v>- / 何もしない</v>
      </c>
      <c r="M124" s="60" t="str">
        <f t="shared" si="37"/>
        <v>none</v>
      </c>
      <c r="N124" s="45" t="str">
        <f t="shared" si="47"/>
        <v>none</v>
      </c>
      <c r="O124" s="60" t="e">
        <f t="shared" si="38"/>
        <v>#VALUE!</v>
      </c>
      <c r="P124" s="60">
        <f t="shared" si="39"/>
        <v>4</v>
      </c>
      <c r="Q124" s="60" t="e">
        <f t="shared" si="40"/>
        <v>#VALUE!</v>
      </c>
      <c r="R124" s="60" t="e">
        <f t="shared" si="41"/>
        <v>#VALUE!</v>
      </c>
      <c r="S124" s="60" t="str">
        <f>IFERROR(VLOOKUP(MID(N124,Q124,R124-Q124),[6]skilldef!$C:$D,2,FALSE),"-") &amp; " / " &amp; IFERROR(VLOOKUP(MID(N124,O124,P124-O124),[6]skilldef!$A:$B,2,FALSE),"-")</f>
        <v>- / -</v>
      </c>
      <c r="T124" s="45" t="str">
        <f t="shared" si="42"/>
        <v>none</v>
      </c>
      <c r="U124" s="60" t="e">
        <f t="shared" si="43"/>
        <v>#VALUE!</v>
      </c>
      <c r="V124" s="60">
        <f t="shared" si="44"/>
        <v>4</v>
      </c>
      <c r="W124" s="60" t="e">
        <f t="shared" si="45"/>
        <v>#VALUE!</v>
      </c>
      <c r="X124" s="60" t="e">
        <f t="shared" si="46"/>
        <v>#VALUE!</v>
      </c>
      <c r="Y124" s="60" t="str">
        <f>IFERROR(VLOOKUP(MID(T124,W124,X124-W124),[6]skilldef!$C:$D,2,FALSE),"-") &amp; " / " &amp; IFERROR(VLOOKUP(MID(T124,U124,V124-U124),[6]skilldef!$A:$B,2,FALSE),"-")</f>
        <v>- / -</v>
      </c>
    </row>
    <row r="125" spans="1:25" ht="21" customHeight="1" x14ac:dyDescent="0.15">
      <c r="A125" s="44">
        <v>15031124</v>
      </c>
      <c r="B125" s="44" t="s">
        <v>239</v>
      </c>
      <c r="C125" s="47">
        <v>3</v>
      </c>
      <c r="D125" s="47" t="s">
        <v>127</v>
      </c>
      <c r="E125" s="44" t="s">
        <v>263</v>
      </c>
      <c r="F125" s="48" t="s">
        <v>230</v>
      </c>
      <c r="G125" s="60" t="str">
        <f t="shared" si="32"/>
        <v>[effect:nothing]</v>
      </c>
      <c r="H125" s="60">
        <f t="shared" si="33"/>
        <v>9</v>
      </c>
      <c r="I125" s="60">
        <f t="shared" si="34"/>
        <v>16</v>
      </c>
      <c r="J125" s="60" t="e">
        <f t="shared" si="35"/>
        <v>#VALUE!</v>
      </c>
      <c r="K125" s="60" t="e">
        <f t="shared" si="36"/>
        <v>#VALUE!</v>
      </c>
      <c r="L125" s="60" t="str">
        <f>IFERROR(VLOOKUP(MID(G125,J125,K125-J125),[6]skilldef!$C:$D,2,FALSE),"-") &amp; " / " &amp; IFERROR(VLOOKUP(MID(G125,H125,I125-H125),[6]skilldef!$A:$B,2,FALSE),"-")</f>
        <v>- / 何もしない</v>
      </c>
      <c r="M125" s="60" t="str">
        <f t="shared" si="37"/>
        <v>none</v>
      </c>
      <c r="N125" s="45" t="str">
        <f t="shared" si="47"/>
        <v>none</v>
      </c>
      <c r="O125" s="60" t="e">
        <f t="shared" si="38"/>
        <v>#VALUE!</v>
      </c>
      <c r="P125" s="60">
        <f t="shared" si="39"/>
        <v>4</v>
      </c>
      <c r="Q125" s="60" t="e">
        <f t="shared" si="40"/>
        <v>#VALUE!</v>
      </c>
      <c r="R125" s="60" t="e">
        <f t="shared" si="41"/>
        <v>#VALUE!</v>
      </c>
      <c r="S125" s="60" t="str">
        <f>IFERROR(VLOOKUP(MID(N125,Q125,R125-Q125),[6]skilldef!$C:$D,2,FALSE),"-") &amp; " / " &amp; IFERROR(VLOOKUP(MID(N125,O125,P125-O125),[6]skilldef!$A:$B,2,FALSE),"-")</f>
        <v>- / -</v>
      </c>
      <c r="T125" s="45" t="str">
        <f t="shared" si="42"/>
        <v>none</v>
      </c>
      <c r="U125" s="60" t="e">
        <f t="shared" si="43"/>
        <v>#VALUE!</v>
      </c>
      <c r="V125" s="60">
        <f t="shared" si="44"/>
        <v>4</v>
      </c>
      <c r="W125" s="60" t="e">
        <f t="shared" si="45"/>
        <v>#VALUE!</v>
      </c>
      <c r="X125" s="60" t="e">
        <f t="shared" si="46"/>
        <v>#VALUE!</v>
      </c>
      <c r="Y125" s="60" t="str">
        <f>IFERROR(VLOOKUP(MID(T125,W125,X125-W125),[6]skilldef!$C:$D,2,FALSE),"-") &amp; " / " &amp; IFERROR(VLOOKUP(MID(T125,U125,V125-U125),[6]skilldef!$A:$B,2,FALSE),"-")</f>
        <v>- / -</v>
      </c>
    </row>
    <row r="126" spans="1:25" ht="21" customHeight="1" x14ac:dyDescent="0.15">
      <c r="A126" s="44">
        <v>15031125</v>
      </c>
      <c r="B126" s="44" t="s">
        <v>239</v>
      </c>
      <c r="C126" s="47">
        <v>3</v>
      </c>
      <c r="D126" s="47" t="s">
        <v>127</v>
      </c>
      <c r="E126" s="44" t="s">
        <v>263</v>
      </c>
      <c r="F126" s="48" t="s">
        <v>230</v>
      </c>
      <c r="G126" s="60" t="str">
        <f t="shared" si="32"/>
        <v>[effect:nothing]</v>
      </c>
      <c r="H126" s="60">
        <f t="shared" si="33"/>
        <v>9</v>
      </c>
      <c r="I126" s="60">
        <f t="shared" si="34"/>
        <v>16</v>
      </c>
      <c r="J126" s="60" t="e">
        <f t="shared" si="35"/>
        <v>#VALUE!</v>
      </c>
      <c r="K126" s="60" t="e">
        <f t="shared" si="36"/>
        <v>#VALUE!</v>
      </c>
      <c r="L126" s="60" t="str">
        <f>IFERROR(VLOOKUP(MID(G126,J126,K126-J126),[6]skilldef!$C:$D,2,FALSE),"-") &amp; " / " &amp; IFERROR(VLOOKUP(MID(G126,H126,I126-H126),[6]skilldef!$A:$B,2,FALSE),"-")</f>
        <v>- / 何もしない</v>
      </c>
      <c r="M126" s="60" t="str">
        <f t="shared" si="37"/>
        <v>none</v>
      </c>
      <c r="N126" s="45" t="str">
        <f t="shared" si="47"/>
        <v>none</v>
      </c>
      <c r="O126" s="60" t="e">
        <f t="shared" si="38"/>
        <v>#VALUE!</v>
      </c>
      <c r="P126" s="60">
        <f t="shared" si="39"/>
        <v>4</v>
      </c>
      <c r="Q126" s="60" t="e">
        <f t="shared" si="40"/>
        <v>#VALUE!</v>
      </c>
      <c r="R126" s="60" t="e">
        <f t="shared" si="41"/>
        <v>#VALUE!</v>
      </c>
      <c r="S126" s="60" t="str">
        <f>IFERROR(VLOOKUP(MID(N126,Q126,R126-Q126),[6]skilldef!$C:$D,2,FALSE),"-") &amp; " / " &amp; IFERROR(VLOOKUP(MID(N126,O126,P126-O126),[6]skilldef!$A:$B,2,FALSE),"-")</f>
        <v>- / -</v>
      </c>
      <c r="T126" s="45" t="str">
        <f t="shared" si="42"/>
        <v>none</v>
      </c>
      <c r="U126" s="60" t="e">
        <f t="shared" si="43"/>
        <v>#VALUE!</v>
      </c>
      <c r="V126" s="60">
        <f t="shared" si="44"/>
        <v>4</v>
      </c>
      <c r="W126" s="60" t="e">
        <f t="shared" si="45"/>
        <v>#VALUE!</v>
      </c>
      <c r="X126" s="60" t="e">
        <f t="shared" si="46"/>
        <v>#VALUE!</v>
      </c>
      <c r="Y126" s="60" t="str">
        <f>IFERROR(VLOOKUP(MID(T126,W126,X126-W126),[6]skilldef!$C:$D,2,FALSE),"-") &amp; " / " &amp; IFERROR(VLOOKUP(MID(T126,U126,V126-U126),[6]skilldef!$A:$B,2,FALSE),"-")</f>
        <v>- / -</v>
      </c>
    </row>
    <row r="127" spans="1:25" ht="21" customHeight="1" x14ac:dyDescent="0.15">
      <c r="A127" s="44">
        <v>15031126</v>
      </c>
      <c r="B127" s="44" t="s">
        <v>330</v>
      </c>
      <c r="C127" s="47">
        <v>3</v>
      </c>
      <c r="D127" s="47" t="s">
        <v>335</v>
      </c>
      <c r="E127" s="139" t="s">
        <v>332</v>
      </c>
      <c r="F127" s="48" t="s">
        <v>333</v>
      </c>
      <c r="G127" s="60" t="str">
        <f t="shared" si="32"/>
        <v>[effect:remove_enhancement, target:unit_all, target_effect:all, target_type:debuff, count:-1, animation:frozen_wave]</v>
      </c>
      <c r="H127" s="60">
        <f t="shared" si="33"/>
        <v>9</v>
      </c>
      <c r="I127" s="60">
        <f t="shared" si="34"/>
        <v>27</v>
      </c>
      <c r="J127" s="60">
        <f t="shared" si="35"/>
        <v>36</v>
      </c>
      <c r="K127" s="60">
        <f t="shared" si="36"/>
        <v>44</v>
      </c>
      <c r="L127" s="60" t="str">
        <f>IFERROR(VLOOKUP(MID(G127,J127,K127-J127),[6]skilldef!$C:$D,2,FALSE),"-") &amp; " / " &amp; IFERROR(VLOOKUP(MID(G127,H127,I127-H127),[6]skilldef!$A:$B,2,FALSE),"-")</f>
        <v>味方全体に / -</v>
      </c>
      <c r="M127" s="60" t="str">
        <f t="shared" si="37"/>
        <v>none</v>
      </c>
      <c r="N127" s="45" t="str">
        <f t="shared" si="47"/>
        <v>none</v>
      </c>
      <c r="O127" s="60" t="e">
        <f t="shared" si="38"/>
        <v>#VALUE!</v>
      </c>
      <c r="P127" s="60">
        <f t="shared" si="39"/>
        <v>4</v>
      </c>
      <c r="Q127" s="60" t="e">
        <f t="shared" si="40"/>
        <v>#VALUE!</v>
      </c>
      <c r="R127" s="60" t="e">
        <f t="shared" si="41"/>
        <v>#VALUE!</v>
      </c>
      <c r="S127" s="60" t="str">
        <f>IFERROR(VLOOKUP(MID(N127,Q127,R127-Q127),[6]skilldef!$C:$D,2,FALSE),"-") &amp; " / " &amp; IFERROR(VLOOKUP(MID(N127,O127,P127-O127),[6]skilldef!$A:$B,2,FALSE),"-")</f>
        <v>- / -</v>
      </c>
      <c r="T127" s="45" t="str">
        <f t="shared" si="42"/>
        <v>none</v>
      </c>
      <c r="U127" s="60" t="e">
        <f t="shared" si="43"/>
        <v>#VALUE!</v>
      </c>
      <c r="V127" s="60">
        <f t="shared" si="44"/>
        <v>4</v>
      </c>
      <c r="W127" s="60" t="e">
        <f t="shared" si="45"/>
        <v>#VALUE!</v>
      </c>
      <c r="X127" s="60" t="e">
        <f t="shared" si="46"/>
        <v>#VALUE!</v>
      </c>
      <c r="Y127" s="60" t="str">
        <f>IFERROR(VLOOKUP(MID(T127,W127,X127-W127),[6]skilldef!$C:$D,2,FALSE),"-") &amp; " / " &amp; IFERROR(VLOOKUP(MID(T127,U127,V127-U127),[6]skilldef!$A:$B,2,FALSE),"-")</f>
        <v>- / -</v>
      </c>
    </row>
    <row r="128" spans="1:25" ht="21" customHeight="1" x14ac:dyDescent="0.15">
      <c r="A128" s="44">
        <v>15031127</v>
      </c>
      <c r="B128" s="44" t="s">
        <v>239</v>
      </c>
      <c r="C128" s="47">
        <v>3</v>
      </c>
      <c r="D128" s="47" t="s">
        <v>127</v>
      </c>
      <c r="E128" s="44" t="s">
        <v>264</v>
      </c>
      <c r="F128" s="48" t="s">
        <v>230</v>
      </c>
      <c r="G128" s="60" t="str">
        <f t="shared" si="32"/>
        <v>[effect:nothing]</v>
      </c>
      <c r="H128" s="60">
        <f t="shared" si="33"/>
        <v>9</v>
      </c>
      <c r="I128" s="60">
        <f t="shared" si="34"/>
        <v>16</v>
      </c>
      <c r="J128" s="60" t="e">
        <f t="shared" si="35"/>
        <v>#VALUE!</v>
      </c>
      <c r="K128" s="60" t="e">
        <f t="shared" si="36"/>
        <v>#VALUE!</v>
      </c>
      <c r="L128" s="60" t="str">
        <f>IFERROR(VLOOKUP(MID(G128,J128,K128-J128),[6]skilldef!$C:$D,2,FALSE),"-") &amp; " / " &amp; IFERROR(VLOOKUP(MID(G128,H128,I128-H128),[6]skilldef!$A:$B,2,FALSE),"-")</f>
        <v>- / 何もしない</v>
      </c>
      <c r="M128" s="60" t="str">
        <f t="shared" si="37"/>
        <v>none</v>
      </c>
      <c r="N128" s="45" t="str">
        <f t="shared" si="47"/>
        <v>none</v>
      </c>
      <c r="O128" s="60" t="e">
        <f t="shared" si="38"/>
        <v>#VALUE!</v>
      </c>
      <c r="P128" s="60">
        <f t="shared" si="39"/>
        <v>4</v>
      </c>
      <c r="Q128" s="60" t="e">
        <f t="shared" si="40"/>
        <v>#VALUE!</v>
      </c>
      <c r="R128" s="60" t="e">
        <f t="shared" si="41"/>
        <v>#VALUE!</v>
      </c>
      <c r="S128" s="60" t="str">
        <f>IFERROR(VLOOKUP(MID(N128,Q128,R128-Q128),[6]skilldef!$C:$D,2,FALSE),"-") &amp; " / " &amp; IFERROR(VLOOKUP(MID(N128,O128,P128-O128),[6]skilldef!$A:$B,2,FALSE),"-")</f>
        <v>- / -</v>
      </c>
      <c r="T128" s="45" t="str">
        <f t="shared" si="42"/>
        <v>none</v>
      </c>
      <c r="U128" s="60" t="e">
        <f t="shared" si="43"/>
        <v>#VALUE!</v>
      </c>
      <c r="V128" s="60">
        <f t="shared" si="44"/>
        <v>4</v>
      </c>
      <c r="W128" s="60" t="e">
        <f t="shared" si="45"/>
        <v>#VALUE!</v>
      </c>
      <c r="X128" s="60" t="e">
        <f t="shared" si="46"/>
        <v>#VALUE!</v>
      </c>
      <c r="Y128" s="60" t="str">
        <f>IFERROR(VLOOKUP(MID(T128,W128,X128-W128),[6]skilldef!$C:$D,2,FALSE),"-") &amp; " / " &amp; IFERROR(VLOOKUP(MID(T128,U128,V128-U128),[6]skilldef!$A:$B,2,FALSE),"-")</f>
        <v>- / -</v>
      </c>
    </row>
    <row r="129" spans="1:25" ht="21" customHeight="1" x14ac:dyDescent="0.15">
      <c r="A129" s="44">
        <v>15031128</v>
      </c>
      <c r="B129" s="44" t="s">
        <v>239</v>
      </c>
      <c r="C129" s="47">
        <v>3</v>
      </c>
      <c r="D129" s="47" t="s">
        <v>127</v>
      </c>
      <c r="E129" s="44" t="s">
        <v>264</v>
      </c>
      <c r="F129" s="48" t="s">
        <v>230</v>
      </c>
      <c r="G129" s="60" t="str">
        <f t="shared" si="32"/>
        <v>[effect:nothing]</v>
      </c>
      <c r="H129" s="60">
        <f t="shared" si="33"/>
        <v>9</v>
      </c>
      <c r="I129" s="60">
        <f t="shared" si="34"/>
        <v>16</v>
      </c>
      <c r="J129" s="60" t="e">
        <f t="shared" si="35"/>
        <v>#VALUE!</v>
      </c>
      <c r="K129" s="60" t="e">
        <f t="shared" si="36"/>
        <v>#VALUE!</v>
      </c>
      <c r="L129" s="60" t="str">
        <f>IFERROR(VLOOKUP(MID(G129,J129,K129-J129),[6]skilldef!$C:$D,2,FALSE),"-") &amp; " / " &amp; IFERROR(VLOOKUP(MID(G129,H129,I129-H129),[6]skilldef!$A:$B,2,FALSE),"-")</f>
        <v>- / 何もしない</v>
      </c>
      <c r="M129" s="60" t="str">
        <f t="shared" si="37"/>
        <v>none</v>
      </c>
      <c r="N129" s="45" t="str">
        <f t="shared" si="47"/>
        <v>none</v>
      </c>
      <c r="O129" s="60" t="e">
        <f t="shared" si="38"/>
        <v>#VALUE!</v>
      </c>
      <c r="P129" s="60">
        <f t="shared" si="39"/>
        <v>4</v>
      </c>
      <c r="Q129" s="60" t="e">
        <f t="shared" si="40"/>
        <v>#VALUE!</v>
      </c>
      <c r="R129" s="60" t="e">
        <f t="shared" si="41"/>
        <v>#VALUE!</v>
      </c>
      <c r="S129" s="60" t="str">
        <f>IFERROR(VLOOKUP(MID(N129,Q129,R129-Q129),[6]skilldef!$C:$D,2,FALSE),"-") &amp; " / " &amp; IFERROR(VLOOKUP(MID(N129,O129,P129-O129),[6]skilldef!$A:$B,2,FALSE),"-")</f>
        <v>- / -</v>
      </c>
      <c r="T129" s="45" t="str">
        <f t="shared" si="42"/>
        <v>none</v>
      </c>
      <c r="U129" s="60" t="e">
        <f t="shared" si="43"/>
        <v>#VALUE!</v>
      </c>
      <c r="V129" s="60">
        <f t="shared" si="44"/>
        <v>4</v>
      </c>
      <c r="W129" s="60" t="e">
        <f t="shared" si="45"/>
        <v>#VALUE!</v>
      </c>
      <c r="X129" s="60" t="e">
        <f t="shared" si="46"/>
        <v>#VALUE!</v>
      </c>
      <c r="Y129" s="60" t="str">
        <f>IFERROR(VLOOKUP(MID(T129,W129,X129-W129),[6]skilldef!$C:$D,2,FALSE),"-") &amp; " / " &amp; IFERROR(VLOOKUP(MID(T129,U129,V129-U129),[6]skilldef!$A:$B,2,FALSE),"-")</f>
        <v>- / -</v>
      </c>
    </row>
    <row r="130" spans="1:25" ht="21" customHeight="1" x14ac:dyDescent="0.15">
      <c r="A130" s="44">
        <v>15031129</v>
      </c>
      <c r="B130" s="44" t="s">
        <v>239</v>
      </c>
      <c r="C130" s="47">
        <v>3</v>
      </c>
      <c r="D130" s="47" t="s">
        <v>127</v>
      </c>
      <c r="E130" s="44" t="s">
        <v>264</v>
      </c>
      <c r="F130" s="48" t="s">
        <v>230</v>
      </c>
      <c r="G130" s="60" t="str">
        <f t="shared" si="32"/>
        <v>[effect:nothing]</v>
      </c>
      <c r="H130" s="60">
        <f t="shared" si="33"/>
        <v>9</v>
      </c>
      <c r="I130" s="60">
        <f t="shared" si="34"/>
        <v>16</v>
      </c>
      <c r="J130" s="60" t="e">
        <f t="shared" si="35"/>
        <v>#VALUE!</v>
      </c>
      <c r="K130" s="60" t="e">
        <f t="shared" si="36"/>
        <v>#VALUE!</v>
      </c>
      <c r="L130" s="60" t="str">
        <f>IFERROR(VLOOKUP(MID(G130,J130,K130-J130),[6]skilldef!$C:$D,2,FALSE),"-") &amp; " / " &amp; IFERROR(VLOOKUP(MID(G130,H130,I130-H130),[6]skilldef!$A:$B,2,FALSE),"-")</f>
        <v>- / 何もしない</v>
      </c>
      <c r="M130" s="60" t="str">
        <f t="shared" si="37"/>
        <v>none</v>
      </c>
      <c r="N130" s="45" t="str">
        <f t="shared" si="47"/>
        <v>none</v>
      </c>
      <c r="O130" s="60" t="e">
        <f t="shared" si="38"/>
        <v>#VALUE!</v>
      </c>
      <c r="P130" s="60">
        <f t="shared" si="39"/>
        <v>4</v>
      </c>
      <c r="Q130" s="60" t="e">
        <f t="shared" si="40"/>
        <v>#VALUE!</v>
      </c>
      <c r="R130" s="60" t="e">
        <f t="shared" si="41"/>
        <v>#VALUE!</v>
      </c>
      <c r="S130" s="60" t="str">
        <f>IFERROR(VLOOKUP(MID(N130,Q130,R130-Q130),[6]skilldef!$C:$D,2,FALSE),"-") &amp; " / " &amp; IFERROR(VLOOKUP(MID(N130,O130,P130-O130),[6]skilldef!$A:$B,2,FALSE),"-")</f>
        <v>- / -</v>
      </c>
      <c r="T130" s="45" t="str">
        <f t="shared" si="42"/>
        <v>none</v>
      </c>
      <c r="U130" s="60" t="e">
        <f t="shared" si="43"/>
        <v>#VALUE!</v>
      </c>
      <c r="V130" s="60">
        <f t="shared" si="44"/>
        <v>4</v>
      </c>
      <c r="W130" s="60" t="e">
        <f t="shared" si="45"/>
        <v>#VALUE!</v>
      </c>
      <c r="X130" s="60" t="e">
        <f t="shared" si="46"/>
        <v>#VALUE!</v>
      </c>
      <c r="Y130" s="60" t="str">
        <f>IFERROR(VLOOKUP(MID(T130,W130,X130-W130),[6]skilldef!$C:$D,2,FALSE),"-") &amp; " / " &amp; IFERROR(VLOOKUP(MID(T130,U130,V130-U130),[6]skilldef!$A:$B,2,FALSE),"-")</f>
        <v>- / -</v>
      </c>
    </row>
    <row r="131" spans="1:25" ht="21" customHeight="1" x14ac:dyDescent="0.15">
      <c r="A131" s="44">
        <v>15031130</v>
      </c>
      <c r="B131" s="44" t="s">
        <v>239</v>
      </c>
      <c r="C131" s="47">
        <v>3</v>
      </c>
      <c r="D131" s="47" t="s">
        <v>127</v>
      </c>
      <c r="E131" s="44" t="s">
        <v>264</v>
      </c>
      <c r="F131" s="48" t="s">
        <v>230</v>
      </c>
      <c r="G131" s="60" t="str">
        <f t="shared" si="32"/>
        <v>[effect:nothing]</v>
      </c>
      <c r="H131" s="60">
        <f t="shared" si="33"/>
        <v>9</v>
      </c>
      <c r="I131" s="60">
        <f t="shared" si="34"/>
        <v>16</v>
      </c>
      <c r="J131" s="60" t="e">
        <f t="shared" si="35"/>
        <v>#VALUE!</v>
      </c>
      <c r="K131" s="60" t="e">
        <f t="shared" si="36"/>
        <v>#VALUE!</v>
      </c>
      <c r="L131" s="60" t="str">
        <f>IFERROR(VLOOKUP(MID(G131,J131,K131-J131),[6]skilldef!$C:$D,2,FALSE),"-") &amp; " / " &amp; IFERROR(VLOOKUP(MID(G131,H131,I131-H131),[6]skilldef!$A:$B,2,FALSE),"-")</f>
        <v>- / 何もしない</v>
      </c>
      <c r="M131" s="60" t="str">
        <f t="shared" si="37"/>
        <v>none</v>
      </c>
      <c r="N131" s="45" t="str">
        <f t="shared" si="47"/>
        <v>none</v>
      </c>
      <c r="O131" s="60" t="e">
        <f t="shared" si="38"/>
        <v>#VALUE!</v>
      </c>
      <c r="P131" s="60">
        <f t="shared" si="39"/>
        <v>4</v>
      </c>
      <c r="Q131" s="60" t="e">
        <f t="shared" si="40"/>
        <v>#VALUE!</v>
      </c>
      <c r="R131" s="60" t="e">
        <f t="shared" si="41"/>
        <v>#VALUE!</v>
      </c>
      <c r="S131" s="60" t="str">
        <f>IFERROR(VLOOKUP(MID(N131,Q131,R131-Q131),[6]skilldef!$C:$D,2,FALSE),"-") &amp; " / " &amp; IFERROR(VLOOKUP(MID(N131,O131,P131-O131),[6]skilldef!$A:$B,2,FALSE),"-")</f>
        <v>- / -</v>
      </c>
      <c r="T131" s="45" t="str">
        <f t="shared" si="42"/>
        <v>none</v>
      </c>
      <c r="U131" s="60" t="e">
        <f t="shared" si="43"/>
        <v>#VALUE!</v>
      </c>
      <c r="V131" s="60">
        <f t="shared" si="44"/>
        <v>4</v>
      </c>
      <c r="W131" s="60" t="e">
        <f t="shared" si="45"/>
        <v>#VALUE!</v>
      </c>
      <c r="X131" s="60" t="e">
        <f t="shared" si="46"/>
        <v>#VALUE!</v>
      </c>
      <c r="Y131" s="60" t="str">
        <f>IFERROR(VLOOKUP(MID(T131,W131,X131-W131),[6]skilldef!$C:$D,2,FALSE),"-") &amp; " / " &amp; IFERROR(VLOOKUP(MID(T131,U131,V131-U131),[6]skilldef!$A:$B,2,FALSE),"-")</f>
        <v>- / -</v>
      </c>
    </row>
    <row r="132" spans="1:25" ht="21" customHeight="1" x14ac:dyDescent="0.15">
      <c r="A132" s="44">
        <v>15031131</v>
      </c>
      <c r="B132" s="44" t="s">
        <v>281</v>
      </c>
      <c r="C132" s="47">
        <v>3</v>
      </c>
      <c r="D132" s="47" t="s">
        <v>127</v>
      </c>
      <c r="E132" s="139" t="s">
        <v>290</v>
      </c>
      <c r="F132" s="48" t="s">
        <v>278</v>
      </c>
      <c r="G132" s="60" t="str">
        <f t="shared" si="32"/>
        <v>[effect:critical, val:1.2]</v>
      </c>
      <c r="H132" s="60">
        <f t="shared" si="33"/>
        <v>9</v>
      </c>
      <c r="I132" s="60">
        <f t="shared" si="34"/>
        <v>17</v>
      </c>
      <c r="J132" s="60" t="e">
        <f t="shared" si="35"/>
        <v>#VALUE!</v>
      </c>
      <c r="K132" s="60" t="e">
        <f t="shared" si="36"/>
        <v>#VALUE!</v>
      </c>
      <c r="L132" s="60" t="str">
        <f>IFERROR(VLOOKUP(MID(G132,J132,K132-J132),[6]skilldef!$C:$D,2,FALSE),"-") &amp; " / " &amp; IFERROR(VLOOKUP(MID(G132,H132,I132-H132),[6]skilldef!$A:$B,2,FALSE),"-")</f>
        <v>- / 大攻撃</v>
      </c>
      <c r="M132" s="60" t="str">
        <f t="shared" si="37"/>
        <v>none</v>
      </c>
      <c r="N132" s="45" t="str">
        <f t="shared" si="47"/>
        <v>none</v>
      </c>
      <c r="O132" s="60" t="e">
        <f t="shared" si="38"/>
        <v>#VALUE!</v>
      </c>
      <c r="P132" s="60">
        <f t="shared" si="39"/>
        <v>4</v>
      </c>
      <c r="Q132" s="60" t="e">
        <f t="shared" si="40"/>
        <v>#VALUE!</v>
      </c>
      <c r="R132" s="60" t="e">
        <f t="shared" si="41"/>
        <v>#VALUE!</v>
      </c>
      <c r="S132" s="60" t="str">
        <f>IFERROR(VLOOKUP(MID(N132,Q132,R132-Q132),[6]skilldef!$C:$D,2,FALSE),"-") &amp; " / " &amp; IFERROR(VLOOKUP(MID(N132,O132,P132-O132),[6]skilldef!$A:$B,2,FALSE),"-")</f>
        <v>- / -</v>
      </c>
      <c r="T132" s="45" t="str">
        <f t="shared" si="42"/>
        <v>none</v>
      </c>
      <c r="U132" s="60" t="e">
        <f t="shared" si="43"/>
        <v>#VALUE!</v>
      </c>
      <c r="V132" s="60">
        <f t="shared" si="44"/>
        <v>4</v>
      </c>
      <c r="W132" s="60" t="e">
        <f t="shared" si="45"/>
        <v>#VALUE!</v>
      </c>
      <c r="X132" s="60" t="e">
        <f t="shared" si="46"/>
        <v>#VALUE!</v>
      </c>
      <c r="Y132" s="60" t="str">
        <f>IFERROR(VLOOKUP(MID(T132,W132,X132-W132),[6]skilldef!$C:$D,2,FALSE),"-") &amp; " / " &amp; IFERROR(VLOOKUP(MID(T132,U132,V132-U132),[6]skilldef!$A:$B,2,FALSE),"-")</f>
        <v>- / -</v>
      </c>
    </row>
    <row r="133" spans="1:25" ht="21" customHeight="1" x14ac:dyDescent="0.15">
      <c r="A133" s="44">
        <v>15031132</v>
      </c>
      <c r="B133" s="44" t="s">
        <v>239</v>
      </c>
      <c r="C133" s="47">
        <v>3</v>
      </c>
      <c r="D133" s="47" t="s">
        <v>127</v>
      </c>
      <c r="E133" s="44" t="s">
        <v>261</v>
      </c>
      <c r="F133" s="48" t="s">
        <v>230</v>
      </c>
      <c r="G133" s="60" t="str">
        <f t="shared" si="32"/>
        <v>[effect:nothing]</v>
      </c>
      <c r="H133" s="60">
        <f t="shared" si="33"/>
        <v>9</v>
      </c>
      <c r="I133" s="60">
        <f t="shared" si="34"/>
        <v>16</v>
      </c>
      <c r="J133" s="60" t="e">
        <f t="shared" si="35"/>
        <v>#VALUE!</v>
      </c>
      <c r="K133" s="60" t="e">
        <f t="shared" si="36"/>
        <v>#VALUE!</v>
      </c>
      <c r="L133" s="60" t="str">
        <f>IFERROR(VLOOKUP(MID(G133,J133,K133-J133),[6]skilldef!$C:$D,2,FALSE),"-") &amp; " / " &amp; IFERROR(VLOOKUP(MID(G133,H133,I133-H133),[6]skilldef!$A:$B,2,FALSE),"-")</f>
        <v>- / 何もしない</v>
      </c>
      <c r="M133" s="60" t="str">
        <f t="shared" si="37"/>
        <v>none</v>
      </c>
      <c r="N133" s="45" t="str">
        <f t="shared" si="47"/>
        <v>none</v>
      </c>
      <c r="O133" s="60" t="e">
        <f t="shared" si="38"/>
        <v>#VALUE!</v>
      </c>
      <c r="P133" s="60">
        <f t="shared" si="39"/>
        <v>4</v>
      </c>
      <c r="Q133" s="60" t="e">
        <f t="shared" si="40"/>
        <v>#VALUE!</v>
      </c>
      <c r="R133" s="60" t="e">
        <f t="shared" si="41"/>
        <v>#VALUE!</v>
      </c>
      <c r="S133" s="60" t="str">
        <f>IFERROR(VLOOKUP(MID(N133,Q133,R133-Q133),[6]skilldef!$C:$D,2,FALSE),"-") &amp; " / " &amp; IFERROR(VLOOKUP(MID(N133,O133,P133-O133),[6]skilldef!$A:$B,2,FALSE),"-")</f>
        <v>- / -</v>
      </c>
      <c r="T133" s="45" t="str">
        <f t="shared" si="42"/>
        <v>none</v>
      </c>
      <c r="U133" s="60" t="e">
        <f t="shared" si="43"/>
        <v>#VALUE!</v>
      </c>
      <c r="V133" s="60">
        <f t="shared" si="44"/>
        <v>4</v>
      </c>
      <c r="W133" s="60" t="e">
        <f t="shared" si="45"/>
        <v>#VALUE!</v>
      </c>
      <c r="X133" s="60" t="e">
        <f t="shared" si="46"/>
        <v>#VALUE!</v>
      </c>
      <c r="Y133" s="60" t="str">
        <f>IFERROR(VLOOKUP(MID(T133,W133,X133-W133),[6]skilldef!$C:$D,2,FALSE),"-") &amp; " / " &amp; IFERROR(VLOOKUP(MID(T133,U133,V133-U133),[6]skilldef!$A:$B,2,FALSE),"-")</f>
        <v>- / -</v>
      </c>
    </row>
    <row r="134" spans="1:25" ht="21" customHeight="1" x14ac:dyDescent="0.15">
      <c r="A134" s="44">
        <v>15031133</v>
      </c>
      <c r="B134" s="44" t="s">
        <v>239</v>
      </c>
      <c r="C134" s="47">
        <v>3</v>
      </c>
      <c r="D134" s="47" t="s">
        <v>127</v>
      </c>
      <c r="E134" s="44" t="s">
        <v>261</v>
      </c>
      <c r="F134" s="48" t="s">
        <v>230</v>
      </c>
      <c r="G134" s="60" t="str">
        <f t="shared" si="32"/>
        <v>[effect:nothing]</v>
      </c>
      <c r="H134" s="60">
        <f t="shared" si="33"/>
        <v>9</v>
      </c>
      <c r="I134" s="60">
        <f t="shared" si="34"/>
        <v>16</v>
      </c>
      <c r="J134" s="60" t="e">
        <f t="shared" si="35"/>
        <v>#VALUE!</v>
      </c>
      <c r="K134" s="60" t="e">
        <f t="shared" si="36"/>
        <v>#VALUE!</v>
      </c>
      <c r="L134" s="60" t="str">
        <f>IFERROR(VLOOKUP(MID(G134,J134,K134-J134),[6]skilldef!$C:$D,2,FALSE),"-") &amp; " / " &amp; IFERROR(VLOOKUP(MID(G134,H134,I134-H134),[6]skilldef!$A:$B,2,FALSE),"-")</f>
        <v>- / 何もしない</v>
      </c>
      <c r="M134" s="60" t="str">
        <f t="shared" si="37"/>
        <v>none</v>
      </c>
      <c r="N134" s="45" t="str">
        <f t="shared" si="47"/>
        <v>none</v>
      </c>
      <c r="O134" s="60" t="e">
        <f t="shared" si="38"/>
        <v>#VALUE!</v>
      </c>
      <c r="P134" s="60">
        <f t="shared" si="39"/>
        <v>4</v>
      </c>
      <c r="Q134" s="60" t="e">
        <f t="shared" si="40"/>
        <v>#VALUE!</v>
      </c>
      <c r="R134" s="60" t="e">
        <f t="shared" si="41"/>
        <v>#VALUE!</v>
      </c>
      <c r="S134" s="60" t="str">
        <f>IFERROR(VLOOKUP(MID(N134,Q134,R134-Q134),[6]skilldef!$C:$D,2,FALSE),"-") &amp; " / " &amp; IFERROR(VLOOKUP(MID(N134,O134,P134-O134),[6]skilldef!$A:$B,2,FALSE),"-")</f>
        <v>- / -</v>
      </c>
      <c r="T134" s="45" t="str">
        <f t="shared" si="42"/>
        <v>none</v>
      </c>
      <c r="U134" s="60" t="e">
        <f t="shared" si="43"/>
        <v>#VALUE!</v>
      </c>
      <c r="V134" s="60">
        <f t="shared" si="44"/>
        <v>4</v>
      </c>
      <c r="W134" s="60" t="e">
        <f t="shared" si="45"/>
        <v>#VALUE!</v>
      </c>
      <c r="X134" s="60" t="e">
        <f t="shared" si="46"/>
        <v>#VALUE!</v>
      </c>
      <c r="Y134" s="60" t="str">
        <f>IFERROR(VLOOKUP(MID(T134,W134,X134-W134),[6]skilldef!$C:$D,2,FALSE),"-") &amp; " / " &amp; IFERROR(VLOOKUP(MID(T134,U134,V134-U134),[6]skilldef!$A:$B,2,FALSE),"-")</f>
        <v>- / -</v>
      </c>
    </row>
    <row r="135" spans="1:25" ht="21" customHeight="1" x14ac:dyDescent="0.15">
      <c r="A135" s="44">
        <v>15031134</v>
      </c>
      <c r="B135" s="44" t="s">
        <v>239</v>
      </c>
      <c r="C135" s="47">
        <v>3</v>
      </c>
      <c r="D135" s="47" t="s">
        <v>127</v>
      </c>
      <c r="E135" s="44" t="s">
        <v>261</v>
      </c>
      <c r="F135" s="48" t="s">
        <v>230</v>
      </c>
      <c r="G135" s="60" t="str">
        <f t="shared" si="32"/>
        <v>[effect:nothing]</v>
      </c>
      <c r="H135" s="60">
        <f t="shared" si="33"/>
        <v>9</v>
      </c>
      <c r="I135" s="60">
        <f t="shared" si="34"/>
        <v>16</v>
      </c>
      <c r="J135" s="60" t="e">
        <f t="shared" si="35"/>
        <v>#VALUE!</v>
      </c>
      <c r="K135" s="60" t="e">
        <f t="shared" si="36"/>
        <v>#VALUE!</v>
      </c>
      <c r="L135" s="60" t="str">
        <f>IFERROR(VLOOKUP(MID(G135,J135,K135-J135),[6]skilldef!$C:$D,2,FALSE),"-") &amp; " / " &amp; IFERROR(VLOOKUP(MID(G135,H135,I135-H135),[6]skilldef!$A:$B,2,FALSE),"-")</f>
        <v>- / 何もしない</v>
      </c>
      <c r="M135" s="60" t="str">
        <f t="shared" si="37"/>
        <v>none</v>
      </c>
      <c r="N135" s="45" t="str">
        <f t="shared" si="47"/>
        <v>none</v>
      </c>
      <c r="O135" s="60" t="e">
        <f t="shared" si="38"/>
        <v>#VALUE!</v>
      </c>
      <c r="P135" s="60">
        <f t="shared" si="39"/>
        <v>4</v>
      </c>
      <c r="Q135" s="60" t="e">
        <f t="shared" si="40"/>
        <v>#VALUE!</v>
      </c>
      <c r="R135" s="60" t="e">
        <f t="shared" si="41"/>
        <v>#VALUE!</v>
      </c>
      <c r="S135" s="60" t="str">
        <f>IFERROR(VLOOKUP(MID(N135,Q135,R135-Q135),[6]skilldef!$C:$D,2,FALSE),"-") &amp; " / " &amp; IFERROR(VLOOKUP(MID(N135,O135,P135-O135),[6]skilldef!$A:$B,2,FALSE),"-")</f>
        <v>- / -</v>
      </c>
      <c r="T135" s="45" t="str">
        <f t="shared" si="42"/>
        <v>none</v>
      </c>
      <c r="U135" s="60" t="e">
        <f t="shared" si="43"/>
        <v>#VALUE!</v>
      </c>
      <c r="V135" s="60">
        <f t="shared" si="44"/>
        <v>4</v>
      </c>
      <c r="W135" s="60" t="e">
        <f t="shared" si="45"/>
        <v>#VALUE!</v>
      </c>
      <c r="X135" s="60" t="e">
        <f t="shared" si="46"/>
        <v>#VALUE!</v>
      </c>
      <c r="Y135" s="60" t="str">
        <f>IFERROR(VLOOKUP(MID(T135,W135,X135-W135),[6]skilldef!$C:$D,2,FALSE),"-") &amp; " / " &amp; IFERROR(VLOOKUP(MID(T135,U135,V135-U135),[6]skilldef!$A:$B,2,FALSE),"-")</f>
        <v>- / -</v>
      </c>
    </row>
    <row r="136" spans="1:25" ht="21" customHeight="1" x14ac:dyDescent="0.15">
      <c r="A136" s="44">
        <v>15031135</v>
      </c>
      <c r="B136" s="44" t="s">
        <v>239</v>
      </c>
      <c r="C136" s="47">
        <v>3</v>
      </c>
      <c r="D136" s="47" t="s">
        <v>127</v>
      </c>
      <c r="E136" s="44" t="s">
        <v>261</v>
      </c>
      <c r="F136" s="48" t="s">
        <v>230</v>
      </c>
      <c r="G136" s="60" t="str">
        <f t="shared" si="32"/>
        <v>[effect:nothing]</v>
      </c>
      <c r="H136" s="60">
        <f t="shared" si="33"/>
        <v>9</v>
      </c>
      <c r="I136" s="60">
        <f t="shared" si="34"/>
        <v>16</v>
      </c>
      <c r="J136" s="60" t="e">
        <f t="shared" si="35"/>
        <v>#VALUE!</v>
      </c>
      <c r="K136" s="60" t="e">
        <f t="shared" si="36"/>
        <v>#VALUE!</v>
      </c>
      <c r="L136" s="60" t="str">
        <f>IFERROR(VLOOKUP(MID(G136,J136,K136-J136),[6]skilldef!$C:$D,2,FALSE),"-") &amp; " / " &amp; IFERROR(VLOOKUP(MID(G136,H136,I136-H136),[6]skilldef!$A:$B,2,FALSE),"-")</f>
        <v>- / 何もしない</v>
      </c>
      <c r="M136" s="60" t="str">
        <f t="shared" si="37"/>
        <v>none</v>
      </c>
      <c r="N136" s="45" t="str">
        <f t="shared" si="47"/>
        <v>none</v>
      </c>
      <c r="O136" s="60" t="e">
        <f t="shared" si="38"/>
        <v>#VALUE!</v>
      </c>
      <c r="P136" s="60">
        <f t="shared" si="39"/>
        <v>4</v>
      </c>
      <c r="Q136" s="60" t="e">
        <f t="shared" si="40"/>
        <v>#VALUE!</v>
      </c>
      <c r="R136" s="60" t="e">
        <f t="shared" si="41"/>
        <v>#VALUE!</v>
      </c>
      <c r="S136" s="60" t="str">
        <f>IFERROR(VLOOKUP(MID(N136,Q136,R136-Q136),[6]skilldef!$C:$D,2,FALSE),"-") &amp; " / " &amp; IFERROR(VLOOKUP(MID(N136,O136,P136-O136),[6]skilldef!$A:$B,2,FALSE),"-")</f>
        <v>- / -</v>
      </c>
      <c r="T136" s="45" t="str">
        <f t="shared" si="42"/>
        <v>none</v>
      </c>
      <c r="U136" s="60" t="e">
        <f t="shared" si="43"/>
        <v>#VALUE!</v>
      </c>
      <c r="V136" s="60">
        <f t="shared" si="44"/>
        <v>4</v>
      </c>
      <c r="W136" s="60" t="e">
        <f t="shared" si="45"/>
        <v>#VALUE!</v>
      </c>
      <c r="X136" s="60" t="e">
        <f t="shared" si="46"/>
        <v>#VALUE!</v>
      </c>
      <c r="Y136" s="60" t="str">
        <f>IFERROR(VLOOKUP(MID(T136,W136,X136-W136),[6]skilldef!$C:$D,2,FALSE),"-") &amp; " / " &amp; IFERROR(VLOOKUP(MID(T136,U136,V136-U136),[6]skilldef!$A:$B,2,FALSE),"-")</f>
        <v>- / -</v>
      </c>
    </row>
    <row r="137" spans="1:25" ht="21" customHeight="1" x14ac:dyDescent="0.15">
      <c r="A137" s="44">
        <v>15031136</v>
      </c>
      <c r="B137" s="44" t="s">
        <v>281</v>
      </c>
      <c r="C137" s="47">
        <v>3</v>
      </c>
      <c r="D137" s="47" t="s">
        <v>127</v>
      </c>
      <c r="E137" s="139" t="s">
        <v>290</v>
      </c>
      <c r="F137" s="48" t="s">
        <v>278</v>
      </c>
      <c r="G137" s="60" t="str">
        <f t="shared" si="32"/>
        <v>[effect:critical, val:1.2]</v>
      </c>
      <c r="H137" s="60">
        <f t="shared" si="33"/>
        <v>9</v>
      </c>
      <c r="I137" s="60">
        <f t="shared" si="34"/>
        <v>17</v>
      </c>
      <c r="J137" s="60" t="e">
        <f t="shared" si="35"/>
        <v>#VALUE!</v>
      </c>
      <c r="K137" s="60" t="e">
        <f t="shared" si="36"/>
        <v>#VALUE!</v>
      </c>
      <c r="L137" s="60" t="str">
        <f>IFERROR(VLOOKUP(MID(G137,J137,K137-J137),[6]skilldef!$C:$D,2,FALSE),"-") &amp; " / " &amp; IFERROR(VLOOKUP(MID(G137,H137,I137-H137),[6]skilldef!$A:$B,2,FALSE),"-")</f>
        <v>- / 大攻撃</v>
      </c>
      <c r="M137" s="60" t="str">
        <f t="shared" si="37"/>
        <v>none</v>
      </c>
      <c r="N137" s="45" t="str">
        <f t="shared" si="47"/>
        <v>none</v>
      </c>
      <c r="O137" s="60" t="e">
        <f t="shared" si="38"/>
        <v>#VALUE!</v>
      </c>
      <c r="P137" s="60">
        <f t="shared" si="39"/>
        <v>4</v>
      </c>
      <c r="Q137" s="60" t="e">
        <f t="shared" si="40"/>
        <v>#VALUE!</v>
      </c>
      <c r="R137" s="60" t="e">
        <f t="shared" si="41"/>
        <v>#VALUE!</v>
      </c>
      <c r="S137" s="60" t="str">
        <f>IFERROR(VLOOKUP(MID(N137,Q137,R137-Q137),[6]skilldef!$C:$D,2,FALSE),"-") &amp; " / " &amp; IFERROR(VLOOKUP(MID(N137,O137,P137-O137),[6]skilldef!$A:$B,2,FALSE),"-")</f>
        <v>- / -</v>
      </c>
      <c r="T137" s="45" t="str">
        <f t="shared" si="42"/>
        <v>none</v>
      </c>
      <c r="U137" s="60" t="e">
        <f t="shared" si="43"/>
        <v>#VALUE!</v>
      </c>
      <c r="V137" s="60">
        <f t="shared" si="44"/>
        <v>4</v>
      </c>
      <c r="W137" s="60" t="e">
        <f t="shared" si="45"/>
        <v>#VALUE!</v>
      </c>
      <c r="X137" s="60" t="e">
        <f t="shared" si="46"/>
        <v>#VALUE!</v>
      </c>
      <c r="Y137" s="60" t="str">
        <f>IFERROR(VLOOKUP(MID(T137,W137,X137-W137),[6]skilldef!$C:$D,2,FALSE),"-") &amp; " / " &amp; IFERROR(VLOOKUP(MID(T137,U137,V137-U137),[6]skilldef!$A:$B,2,FALSE),"-")</f>
        <v>- / -</v>
      </c>
    </row>
    <row r="138" spans="1:25" ht="21" customHeight="1" x14ac:dyDescent="0.15">
      <c r="A138" s="44">
        <v>15031137</v>
      </c>
      <c r="B138" s="44" t="s">
        <v>239</v>
      </c>
      <c r="C138" s="47">
        <v>3</v>
      </c>
      <c r="D138" s="47" t="s">
        <v>127</v>
      </c>
      <c r="E138" s="44" t="s">
        <v>265</v>
      </c>
      <c r="F138" s="48" t="s">
        <v>230</v>
      </c>
      <c r="G138" s="60" t="str">
        <f t="shared" si="32"/>
        <v>[effect:nothing]</v>
      </c>
      <c r="H138" s="60">
        <f t="shared" si="33"/>
        <v>9</v>
      </c>
      <c r="I138" s="60">
        <f t="shared" si="34"/>
        <v>16</v>
      </c>
      <c r="J138" s="60" t="e">
        <f t="shared" si="35"/>
        <v>#VALUE!</v>
      </c>
      <c r="K138" s="60" t="e">
        <f t="shared" si="36"/>
        <v>#VALUE!</v>
      </c>
      <c r="L138" s="60" t="str">
        <f>IFERROR(VLOOKUP(MID(G138,J138,K138-J138),[6]skilldef!$C:$D,2,FALSE),"-") &amp; " / " &amp; IFERROR(VLOOKUP(MID(G138,H138,I138-H138),[6]skilldef!$A:$B,2,FALSE),"-")</f>
        <v>- / 何もしない</v>
      </c>
      <c r="M138" s="60" t="str">
        <f t="shared" si="37"/>
        <v>none</v>
      </c>
      <c r="N138" s="45" t="str">
        <f t="shared" si="47"/>
        <v>none</v>
      </c>
      <c r="O138" s="60" t="e">
        <f t="shared" si="38"/>
        <v>#VALUE!</v>
      </c>
      <c r="P138" s="60">
        <f t="shared" si="39"/>
        <v>4</v>
      </c>
      <c r="Q138" s="60" t="e">
        <f t="shared" si="40"/>
        <v>#VALUE!</v>
      </c>
      <c r="R138" s="60" t="e">
        <f t="shared" si="41"/>
        <v>#VALUE!</v>
      </c>
      <c r="S138" s="60" t="str">
        <f>IFERROR(VLOOKUP(MID(N138,Q138,R138-Q138),[6]skilldef!$C:$D,2,FALSE),"-") &amp; " / " &amp; IFERROR(VLOOKUP(MID(N138,O138,P138-O138),[6]skilldef!$A:$B,2,FALSE),"-")</f>
        <v>- / -</v>
      </c>
      <c r="T138" s="45" t="str">
        <f t="shared" si="42"/>
        <v>none</v>
      </c>
      <c r="U138" s="60" t="e">
        <f t="shared" si="43"/>
        <v>#VALUE!</v>
      </c>
      <c r="V138" s="60">
        <f t="shared" si="44"/>
        <v>4</v>
      </c>
      <c r="W138" s="60" t="e">
        <f t="shared" si="45"/>
        <v>#VALUE!</v>
      </c>
      <c r="X138" s="60" t="e">
        <f t="shared" si="46"/>
        <v>#VALUE!</v>
      </c>
      <c r="Y138" s="60" t="str">
        <f>IFERROR(VLOOKUP(MID(T138,W138,X138-W138),[6]skilldef!$C:$D,2,FALSE),"-") &amp; " / " &amp; IFERROR(VLOOKUP(MID(T138,U138,V138-U138),[6]skilldef!$A:$B,2,FALSE),"-")</f>
        <v>- / -</v>
      </c>
    </row>
    <row r="139" spans="1:25" ht="21" customHeight="1" x14ac:dyDescent="0.15">
      <c r="A139" s="44">
        <v>15031138</v>
      </c>
      <c r="B139" s="44" t="s">
        <v>239</v>
      </c>
      <c r="C139" s="47">
        <v>3</v>
      </c>
      <c r="D139" s="47" t="s">
        <v>127</v>
      </c>
      <c r="E139" s="44" t="s">
        <v>265</v>
      </c>
      <c r="F139" s="48" t="s">
        <v>230</v>
      </c>
      <c r="G139" s="60" t="str">
        <f t="shared" si="32"/>
        <v>[effect:nothing]</v>
      </c>
      <c r="H139" s="60">
        <f t="shared" si="33"/>
        <v>9</v>
      </c>
      <c r="I139" s="60">
        <f t="shared" si="34"/>
        <v>16</v>
      </c>
      <c r="J139" s="60" t="e">
        <f t="shared" si="35"/>
        <v>#VALUE!</v>
      </c>
      <c r="K139" s="60" t="e">
        <f t="shared" si="36"/>
        <v>#VALUE!</v>
      </c>
      <c r="L139" s="60" t="str">
        <f>IFERROR(VLOOKUP(MID(G139,J139,K139-J139),[6]skilldef!$C:$D,2,FALSE),"-") &amp; " / " &amp; IFERROR(VLOOKUP(MID(G139,H139,I139-H139),[6]skilldef!$A:$B,2,FALSE),"-")</f>
        <v>- / 何もしない</v>
      </c>
      <c r="M139" s="60" t="str">
        <f t="shared" si="37"/>
        <v>none</v>
      </c>
      <c r="N139" s="45" t="str">
        <f t="shared" si="47"/>
        <v>none</v>
      </c>
      <c r="O139" s="60" t="e">
        <f t="shared" si="38"/>
        <v>#VALUE!</v>
      </c>
      <c r="P139" s="60">
        <f t="shared" si="39"/>
        <v>4</v>
      </c>
      <c r="Q139" s="60" t="e">
        <f t="shared" si="40"/>
        <v>#VALUE!</v>
      </c>
      <c r="R139" s="60" t="e">
        <f t="shared" si="41"/>
        <v>#VALUE!</v>
      </c>
      <c r="S139" s="60" t="str">
        <f>IFERROR(VLOOKUP(MID(N139,Q139,R139-Q139),[6]skilldef!$C:$D,2,FALSE),"-") &amp; " / " &amp; IFERROR(VLOOKUP(MID(N139,O139,P139-O139),[6]skilldef!$A:$B,2,FALSE),"-")</f>
        <v>- / -</v>
      </c>
      <c r="T139" s="45" t="str">
        <f t="shared" si="42"/>
        <v>none</v>
      </c>
      <c r="U139" s="60" t="e">
        <f t="shared" si="43"/>
        <v>#VALUE!</v>
      </c>
      <c r="V139" s="60">
        <f t="shared" si="44"/>
        <v>4</v>
      </c>
      <c r="W139" s="60" t="e">
        <f t="shared" si="45"/>
        <v>#VALUE!</v>
      </c>
      <c r="X139" s="60" t="e">
        <f t="shared" si="46"/>
        <v>#VALUE!</v>
      </c>
      <c r="Y139" s="60" t="str">
        <f>IFERROR(VLOOKUP(MID(T139,W139,X139-W139),[6]skilldef!$C:$D,2,FALSE),"-") &amp; " / " &amp; IFERROR(VLOOKUP(MID(T139,U139,V139-U139),[6]skilldef!$A:$B,2,FALSE),"-")</f>
        <v>- / -</v>
      </c>
    </row>
    <row r="140" spans="1:25" ht="21" customHeight="1" x14ac:dyDescent="0.15">
      <c r="A140" s="44">
        <v>15031139</v>
      </c>
      <c r="B140" s="44" t="s">
        <v>239</v>
      </c>
      <c r="C140" s="47">
        <v>3</v>
      </c>
      <c r="D140" s="47" t="s">
        <v>127</v>
      </c>
      <c r="E140" s="44" t="s">
        <v>265</v>
      </c>
      <c r="F140" s="48" t="s">
        <v>230</v>
      </c>
      <c r="G140" s="60" t="str">
        <f t="shared" si="32"/>
        <v>[effect:nothing]</v>
      </c>
      <c r="H140" s="60">
        <f t="shared" si="33"/>
        <v>9</v>
      </c>
      <c r="I140" s="60">
        <f t="shared" si="34"/>
        <v>16</v>
      </c>
      <c r="J140" s="60" t="e">
        <f t="shared" si="35"/>
        <v>#VALUE!</v>
      </c>
      <c r="K140" s="60" t="e">
        <f t="shared" si="36"/>
        <v>#VALUE!</v>
      </c>
      <c r="L140" s="60" t="str">
        <f>IFERROR(VLOOKUP(MID(G140,J140,K140-J140),[6]skilldef!$C:$D,2,FALSE),"-") &amp; " / " &amp; IFERROR(VLOOKUP(MID(G140,H140,I140-H140),[6]skilldef!$A:$B,2,FALSE),"-")</f>
        <v>- / 何もしない</v>
      </c>
      <c r="M140" s="60" t="str">
        <f t="shared" si="37"/>
        <v>none</v>
      </c>
      <c r="N140" s="45" t="str">
        <f t="shared" si="47"/>
        <v>none</v>
      </c>
      <c r="O140" s="60" t="e">
        <f t="shared" si="38"/>
        <v>#VALUE!</v>
      </c>
      <c r="P140" s="60">
        <f t="shared" si="39"/>
        <v>4</v>
      </c>
      <c r="Q140" s="60" t="e">
        <f t="shared" si="40"/>
        <v>#VALUE!</v>
      </c>
      <c r="R140" s="60" t="e">
        <f t="shared" si="41"/>
        <v>#VALUE!</v>
      </c>
      <c r="S140" s="60" t="str">
        <f>IFERROR(VLOOKUP(MID(N140,Q140,R140-Q140),[6]skilldef!$C:$D,2,FALSE),"-") &amp; " / " &amp; IFERROR(VLOOKUP(MID(N140,O140,P140-O140),[6]skilldef!$A:$B,2,FALSE),"-")</f>
        <v>- / -</v>
      </c>
      <c r="T140" s="45" t="str">
        <f t="shared" si="42"/>
        <v>none</v>
      </c>
      <c r="U140" s="60" t="e">
        <f t="shared" si="43"/>
        <v>#VALUE!</v>
      </c>
      <c r="V140" s="60">
        <f t="shared" si="44"/>
        <v>4</v>
      </c>
      <c r="W140" s="60" t="e">
        <f t="shared" si="45"/>
        <v>#VALUE!</v>
      </c>
      <c r="X140" s="60" t="e">
        <f t="shared" si="46"/>
        <v>#VALUE!</v>
      </c>
      <c r="Y140" s="60" t="str">
        <f>IFERROR(VLOOKUP(MID(T140,W140,X140-W140),[6]skilldef!$C:$D,2,FALSE),"-") &amp; " / " &amp; IFERROR(VLOOKUP(MID(T140,U140,V140-U140),[6]skilldef!$A:$B,2,FALSE),"-")</f>
        <v>- / -</v>
      </c>
    </row>
    <row r="141" spans="1:25" ht="21" customHeight="1" x14ac:dyDescent="0.15">
      <c r="A141" s="44">
        <v>15031140</v>
      </c>
      <c r="B141" s="44" t="s">
        <v>239</v>
      </c>
      <c r="C141" s="47">
        <v>3</v>
      </c>
      <c r="D141" s="47" t="s">
        <v>127</v>
      </c>
      <c r="E141" s="44" t="s">
        <v>265</v>
      </c>
      <c r="F141" s="48" t="s">
        <v>230</v>
      </c>
      <c r="G141" s="60" t="str">
        <f t="shared" si="32"/>
        <v>[effect:nothing]</v>
      </c>
      <c r="H141" s="60">
        <f t="shared" si="33"/>
        <v>9</v>
      </c>
      <c r="I141" s="60">
        <f t="shared" si="34"/>
        <v>16</v>
      </c>
      <c r="J141" s="60" t="e">
        <f t="shared" si="35"/>
        <v>#VALUE!</v>
      </c>
      <c r="K141" s="60" t="e">
        <f t="shared" si="36"/>
        <v>#VALUE!</v>
      </c>
      <c r="L141" s="60" t="str">
        <f>IFERROR(VLOOKUP(MID(G141,J141,K141-J141),[6]skilldef!$C:$D,2,FALSE),"-") &amp; " / " &amp; IFERROR(VLOOKUP(MID(G141,H141,I141-H141),[6]skilldef!$A:$B,2,FALSE),"-")</f>
        <v>- / 何もしない</v>
      </c>
      <c r="M141" s="60" t="str">
        <f t="shared" si="37"/>
        <v>none</v>
      </c>
      <c r="N141" s="45" t="str">
        <f t="shared" si="47"/>
        <v>none</v>
      </c>
      <c r="O141" s="60" t="e">
        <f t="shared" si="38"/>
        <v>#VALUE!</v>
      </c>
      <c r="P141" s="60">
        <f t="shared" si="39"/>
        <v>4</v>
      </c>
      <c r="Q141" s="60" t="e">
        <f t="shared" si="40"/>
        <v>#VALUE!</v>
      </c>
      <c r="R141" s="60" t="e">
        <f t="shared" si="41"/>
        <v>#VALUE!</v>
      </c>
      <c r="S141" s="60" t="str">
        <f>IFERROR(VLOOKUP(MID(N141,Q141,R141-Q141),[6]skilldef!$C:$D,2,FALSE),"-") &amp; " / " &amp; IFERROR(VLOOKUP(MID(N141,O141,P141-O141),[6]skilldef!$A:$B,2,FALSE),"-")</f>
        <v>- / -</v>
      </c>
      <c r="T141" s="45" t="str">
        <f t="shared" si="42"/>
        <v>none</v>
      </c>
      <c r="U141" s="60" t="e">
        <f t="shared" si="43"/>
        <v>#VALUE!</v>
      </c>
      <c r="V141" s="60">
        <f t="shared" si="44"/>
        <v>4</v>
      </c>
      <c r="W141" s="60" t="e">
        <f t="shared" si="45"/>
        <v>#VALUE!</v>
      </c>
      <c r="X141" s="60" t="e">
        <f t="shared" si="46"/>
        <v>#VALUE!</v>
      </c>
      <c r="Y141" s="60" t="str">
        <f>IFERROR(VLOOKUP(MID(T141,W141,X141-W141),[6]skilldef!$C:$D,2,FALSE),"-") &amp; " / " &amp; IFERROR(VLOOKUP(MID(T141,U141,V141-U141),[6]skilldef!$A:$B,2,FALSE),"-")</f>
        <v>- / -</v>
      </c>
    </row>
    <row r="142" spans="1:25" ht="21" customHeight="1" x14ac:dyDescent="0.15">
      <c r="A142" s="44">
        <v>15031141</v>
      </c>
      <c r="B142" s="44" t="s">
        <v>280</v>
      </c>
      <c r="C142" s="47">
        <v>3</v>
      </c>
      <c r="D142" s="47" t="s">
        <v>127</v>
      </c>
      <c r="E142" s="139" t="s">
        <v>284</v>
      </c>
      <c r="F142" s="48" t="s">
        <v>82</v>
      </c>
      <c r="G142" s="60" t="str">
        <f t="shared" si="32"/>
        <v>[effect:heal, target:enemy_one, val:0.5, animation:enemy_heal]</v>
      </c>
      <c r="H142" s="60">
        <f t="shared" si="33"/>
        <v>9</v>
      </c>
      <c r="I142" s="60">
        <f t="shared" si="34"/>
        <v>13</v>
      </c>
      <c r="J142" s="60">
        <f t="shared" si="35"/>
        <v>22</v>
      </c>
      <c r="K142" s="60">
        <f t="shared" si="36"/>
        <v>31</v>
      </c>
      <c r="L142" s="60" t="str">
        <f>IFERROR(VLOOKUP(MID(G142,J142,K142-J142),[6]skilldef!$C:$D,2,FALSE),"-") &amp; " / " &amp; IFERROR(VLOOKUP(MID(G142,H142,I142-H142),[6]skilldef!$A:$B,2,FALSE),"-")</f>
        <v>敵単体に / 回復</v>
      </c>
      <c r="M142" s="60" t="str">
        <f t="shared" si="37"/>
        <v>none</v>
      </c>
      <c r="N142" s="45" t="str">
        <f t="shared" si="47"/>
        <v>none</v>
      </c>
      <c r="O142" s="60" t="e">
        <f t="shared" si="38"/>
        <v>#VALUE!</v>
      </c>
      <c r="P142" s="60">
        <f t="shared" si="39"/>
        <v>4</v>
      </c>
      <c r="Q142" s="60" t="e">
        <f t="shared" si="40"/>
        <v>#VALUE!</v>
      </c>
      <c r="R142" s="60" t="e">
        <f t="shared" si="41"/>
        <v>#VALUE!</v>
      </c>
      <c r="S142" s="60" t="str">
        <f>IFERROR(VLOOKUP(MID(N142,Q142,R142-Q142),[6]skilldef!$C:$D,2,FALSE),"-") &amp; " / " &amp; IFERROR(VLOOKUP(MID(N142,O142,P142-O142),[6]skilldef!$A:$B,2,FALSE),"-")</f>
        <v>- / -</v>
      </c>
      <c r="T142" s="45" t="str">
        <f t="shared" si="42"/>
        <v>none</v>
      </c>
      <c r="U142" s="60" t="e">
        <f t="shared" si="43"/>
        <v>#VALUE!</v>
      </c>
      <c r="V142" s="60">
        <f t="shared" si="44"/>
        <v>4</v>
      </c>
      <c r="W142" s="60" t="e">
        <f t="shared" si="45"/>
        <v>#VALUE!</v>
      </c>
      <c r="X142" s="60" t="e">
        <f t="shared" si="46"/>
        <v>#VALUE!</v>
      </c>
      <c r="Y142" s="60" t="str">
        <f>IFERROR(VLOOKUP(MID(T142,W142,X142-W142),[6]skilldef!$C:$D,2,FALSE),"-") &amp; " / " &amp; IFERROR(VLOOKUP(MID(T142,U142,V142-U142),[6]skilldef!$A:$B,2,FALSE),"-")</f>
        <v>- / -</v>
      </c>
    </row>
    <row r="143" spans="1:25" ht="21" customHeight="1" x14ac:dyDescent="0.15">
      <c r="A143" s="44">
        <v>15031142</v>
      </c>
      <c r="B143" s="44" t="s">
        <v>239</v>
      </c>
      <c r="C143" s="47">
        <v>3</v>
      </c>
      <c r="D143" s="47" t="s">
        <v>127</v>
      </c>
      <c r="E143" s="44" t="s">
        <v>259</v>
      </c>
      <c r="F143" s="48" t="s">
        <v>230</v>
      </c>
      <c r="G143" s="60" t="str">
        <f t="shared" si="32"/>
        <v>[effect:nothing]</v>
      </c>
      <c r="H143" s="60">
        <f t="shared" si="33"/>
        <v>9</v>
      </c>
      <c r="I143" s="60">
        <f t="shared" si="34"/>
        <v>16</v>
      </c>
      <c r="J143" s="60" t="e">
        <f t="shared" si="35"/>
        <v>#VALUE!</v>
      </c>
      <c r="K143" s="60" t="e">
        <f t="shared" si="36"/>
        <v>#VALUE!</v>
      </c>
      <c r="L143" s="60" t="str">
        <f>IFERROR(VLOOKUP(MID(G143,J143,K143-J143),[6]skilldef!$C:$D,2,FALSE),"-") &amp; " / " &amp; IFERROR(VLOOKUP(MID(G143,H143,I143-H143),[6]skilldef!$A:$B,2,FALSE),"-")</f>
        <v>- / 何もしない</v>
      </c>
      <c r="M143" s="60" t="str">
        <f t="shared" si="37"/>
        <v>none</v>
      </c>
      <c r="N143" s="45" t="str">
        <f t="shared" si="47"/>
        <v>none</v>
      </c>
      <c r="O143" s="60" t="e">
        <f t="shared" si="38"/>
        <v>#VALUE!</v>
      </c>
      <c r="P143" s="60">
        <f t="shared" si="39"/>
        <v>4</v>
      </c>
      <c r="Q143" s="60" t="e">
        <f t="shared" si="40"/>
        <v>#VALUE!</v>
      </c>
      <c r="R143" s="60" t="e">
        <f t="shared" si="41"/>
        <v>#VALUE!</v>
      </c>
      <c r="S143" s="60" t="str">
        <f>IFERROR(VLOOKUP(MID(N143,Q143,R143-Q143),[6]skilldef!$C:$D,2,FALSE),"-") &amp; " / " &amp; IFERROR(VLOOKUP(MID(N143,O143,P143-O143),[6]skilldef!$A:$B,2,FALSE),"-")</f>
        <v>- / -</v>
      </c>
      <c r="T143" s="45" t="str">
        <f t="shared" si="42"/>
        <v>none</v>
      </c>
      <c r="U143" s="60" t="e">
        <f t="shared" si="43"/>
        <v>#VALUE!</v>
      </c>
      <c r="V143" s="60">
        <f t="shared" si="44"/>
        <v>4</v>
      </c>
      <c r="W143" s="60" t="e">
        <f t="shared" si="45"/>
        <v>#VALUE!</v>
      </c>
      <c r="X143" s="60" t="e">
        <f t="shared" si="46"/>
        <v>#VALUE!</v>
      </c>
      <c r="Y143" s="60" t="str">
        <f>IFERROR(VLOOKUP(MID(T143,W143,X143-W143),[6]skilldef!$C:$D,2,FALSE),"-") &amp; " / " &amp; IFERROR(VLOOKUP(MID(T143,U143,V143-U143),[6]skilldef!$A:$B,2,FALSE),"-")</f>
        <v>- / -</v>
      </c>
    </row>
    <row r="144" spans="1:25" ht="21" customHeight="1" x14ac:dyDescent="0.15">
      <c r="A144" s="44">
        <v>15031143</v>
      </c>
      <c r="B144" s="44" t="s">
        <v>239</v>
      </c>
      <c r="C144" s="47">
        <v>3</v>
      </c>
      <c r="D144" s="47" t="s">
        <v>127</v>
      </c>
      <c r="E144" s="44" t="s">
        <v>259</v>
      </c>
      <c r="F144" s="48" t="s">
        <v>230</v>
      </c>
      <c r="G144" s="60" t="str">
        <f t="shared" si="32"/>
        <v>[effect:nothing]</v>
      </c>
      <c r="H144" s="60">
        <f t="shared" si="33"/>
        <v>9</v>
      </c>
      <c r="I144" s="60">
        <f t="shared" si="34"/>
        <v>16</v>
      </c>
      <c r="J144" s="60" t="e">
        <f t="shared" si="35"/>
        <v>#VALUE!</v>
      </c>
      <c r="K144" s="60" t="e">
        <f t="shared" si="36"/>
        <v>#VALUE!</v>
      </c>
      <c r="L144" s="60" t="str">
        <f>IFERROR(VLOOKUP(MID(G144,J144,K144-J144),[6]skilldef!$C:$D,2,FALSE),"-") &amp; " / " &amp; IFERROR(VLOOKUP(MID(G144,H144,I144-H144),[6]skilldef!$A:$B,2,FALSE),"-")</f>
        <v>- / 何もしない</v>
      </c>
      <c r="M144" s="60" t="str">
        <f t="shared" si="37"/>
        <v>none</v>
      </c>
      <c r="N144" s="45" t="str">
        <f t="shared" si="47"/>
        <v>none</v>
      </c>
      <c r="O144" s="60" t="e">
        <f t="shared" si="38"/>
        <v>#VALUE!</v>
      </c>
      <c r="P144" s="60">
        <f t="shared" si="39"/>
        <v>4</v>
      </c>
      <c r="Q144" s="60" t="e">
        <f t="shared" si="40"/>
        <v>#VALUE!</v>
      </c>
      <c r="R144" s="60" t="e">
        <f t="shared" si="41"/>
        <v>#VALUE!</v>
      </c>
      <c r="S144" s="60" t="str">
        <f>IFERROR(VLOOKUP(MID(N144,Q144,R144-Q144),[6]skilldef!$C:$D,2,FALSE),"-") &amp; " / " &amp; IFERROR(VLOOKUP(MID(N144,O144,P144-O144),[6]skilldef!$A:$B,2,FALSE),"-")</f>
        <v>- / -</v>
      </c>
      <c r="T144" s="45" t="str">
        <f t="shared" si="42"/>
        <v>none</v>
      </c>
      <c r="U144" s="60" t="e">
        <f t="shared" si="43"/>
        <v>#VALUE!</v>
      </c>
      <c r="V144" s="60">
        <f t="shared" si="44"/>
        <v>4</v>
      </c>
      <c r="W144" s="60" t="e">
        <f t="shared" si="45"/>
        <v>#VALUE!</v>
      </c>
      <c r="X144" s="60" t="e">
        <f t="shared" si="46"/>
        <v>#VALUE!</v>
      </c>
      <c r="Y144" s="60" t="str">
        <f>IFERROR(VLOOKUP(MID(T144,W144,X144-W144),[6]skilldef!$C:$D,2,FALSE),"-") &amp; " / " &amp; IFERROR(VLOOKUP(MID(T144,U144,V144-U144),[6]skilldef!$A:$B,2,FALSE),"-")</f>
        <v>- / -</v>
      </c>
    </row>
    <row r="145" spans="1:25" ht="21" customHeight="1" x14ac:dyDescent="0.15">
      <c r="A145" s="44">
        <v>15031144</v>
      </c>
      <c r="B145" s="44" t="s">
        <v>239</v>
      </c>
      <c r="C145" s="47">
        <v>3</v>
      </c>
      <c r="D145" s="47" t="s">
        <v>127</v>
      </c>
      <c r="E145" s="44" t="s">
        <v>259</v>
      </c>
      <c r="F145" s="48" t="s">
        <v>230</v>
      </c>
      <c r="G145" s="60" t="str">
        <f t="shared" ref="G145:G203" si="49">IFERROR(LEFT(B145,FIND("],",B145)),B145)</f>
        <v>[effect:nothing]</v>
      </c>
      <c r="H145" s="60">
        <f t="shared" ref="H145:H203" si="50">FIND("effect:",G145)+7</f>
        <v>9</v>
      </c>
      <c r="I145" s="60">
        <f t="shared" ref="I145:I203" si="51">IFERROR(FIND(",",G145),LEN(G145))</f>
        <v>16</v>
      </c>
      <c r="J145" s="60" t="e">
        <f t="shared" ref="J145:J203" si="52">FIND("target:",G145)+7</f>
        <v>#VALUE!</v>
      </c>
      <c r="K145" s="60" t="e">
        <f t="shared" ref="K145:K203" si="53">FIND(",",G145,I145+1)</f>
        <v>#VALUE!</v>
      </c>
      <c r="L145" s="60" t="str">
        <f>IFERROR(VLOOKUP(MID(G145,J145,K145-J145),[6]skilldef!$C:$D,2,FALSE),"-") &amp; " / " &amp; IFERROR(VLOOKUP(MID(G145,H145,I145-H145),[6]skilldef!$A:$B,2,FALSE),"-")</f>
        <v>- / 何もしない</v>
      </c>
      <c r="M145" s="60" t="str">
        <f t="shared" ref="M145:M203" si="54">IFERROR(RIGHT(B145,LEN(B145)-FIND("],",B145)-1),"none")</f>
        <v>none</v>
      </c>
      <c r="N145" s="45" t="str">
        <f t="shared" ref="N145:N191" si="55">IFERROR(LEFT(M145,FIND("],",M145)+S155),M145)</f>
        <v>none</v>
      </c>
      <c r="O145" s="60" t="e">
        <f t="shared" ref="O145:O203" si="56">FIND("effect:",N145)+7</f>
        <v>#VALUE!</v>
      </c>
      <c r="P145" s="60">
        <f t="shared" ref="P145:P203" si="57">IFERROR(FIND(",",N145),LEN(N145))</f>
        <v>4</v>
      </c>
      <c r="Q145" s="60" t="e">
        <f t="shared" ref="Q145:Q203" si="58">FIND("target:",N145)+7</f>
        <v>#VALUE!</v>
      </c>
      <c r="R145" s="60" t="e">
        <f t="shared" ref="R145:R203" si="59">FIND(",",N145,P145+1)</f>
        <v>#VALUE!</v>
      </c>
      <c r="S145" s="60" t="str">
        <f>IFERROR(VLOOKUP(MID(N145,Q145,R145-Q145),[6]skilldef!$C:$D,2,FALSE),"-") &amp; " / " &amp; IFERROR(VLOOKUP(MID(N145,O145,P145-O145),[6]skilldef!$A:$B,2,FALSE),"-")</f>
        <v>- / -</v>
      </c>
      <c r="T145" s="45" t="str">
        <f t="shared" ref="T145:T203" si="60">IFERROR(RIGHT(M145,LEN(M145)-FIND("],",M145)-1),"none")</f>
        <v>none</v>
      </c>
      <c r="U145" s="60" t="e">
        <f t="shared" ref="U145:U203" si="61">FIND("effect:",T145)+7</f>
        <v>#VALUE!</v>
      </c>
      <c r="V145" s="60">
        <f t="shared" ref="V145:V203" si="62">IFERROR(FIND(",",T145),LEN(T145))</f>
        <v>4</v>
      </c>
      <c r="W145" s="60" t="e">
        <f t="shared" ref="W145:W203" si="63">FIND("target:",T145)+7</f>
        <v>#VALUE!</v>
      </c>
      <c r="X145" s="60" t="e">
        <f t="shared" ref="X145:X203" si="64">FIND(",",T145,V145+1)</f>
        <v>#VALUE!</v>
      </c>
      <c r="Y145" s="60" t="str">
        <f>IFERROR(VLOOKUP(MID(T145,W145,X145-W145),[6]skilldef!$C:$D,2,FALSE),"-") &amp; " / " &amp; IFERROR(VLOOKUP(MID(T145,U145,V145-U145),[6]skilldef!$A:$B,2,FALSE),"-")</f>
        <v>- / -</v>
      </c>
    </row>
    <row r="146" spans="1:25" ht="21" customHeight="1" x14ac:dyDescent="0.15">
      <c r="A146" s="44">
        <v>15031145</v>
      </c>
      <c r="B146" s="44" t="s">
        <v>239</v>
      </c>
      <c r="C146" s="47">
        <v>3</v>
      </c>
      <c r="D146" s="47" t="s">
        <v>127</v>
      </c>
      <c r="E146" s="44" t="s">
        <v>259</v>
      </c>
      <c r="F146" s="48" t="s">
        <v>230</v>
      </c>
      <c r="G146" s="60" t="str">
        <f t="shared" si="49"/>
        <v>[effect:nothing]</v>
      </c>
      <c r="H146" s="60">
        <f t="shared" si="50"/>
        <v>9</v>
      </c>
      <c r="I146" s="60">
        <f t="shared" si="51"/>
        <v>16</v>
      </c>
      <c r="J146" s="60" t="e">
        <f t="shared" si="52"/>
        <v>#VALUE!</v>
      </c>
      <c r="K146" s="60" t="e">
        <f t="shared" si="53"/>
        <v>#VALUE!</v>
      </c>
      <c r="L146" s="60" t="str">
        <f>IFERROR(VLOOKUP(MID(G146,J146,K146-J146),[6]skilldef!$C:$D,2,FALSE),"-") &amp; " / " &amp; IFERROR(VLOOKUP(MID(G146,H146,I146-H146),[6]skilldef!$A:$B,2,FALSE),"-")</f>
        <v>- / 何もしない</v>
      </c>
      <c r="M146" s="60" t="str">
        <f t="shared" si="54"/>
        <v>none</v>
      </c>
      <c r="N146" s="45" t="str">
        <f t="shared" si="55"/>
        <v>none</v>
      </c>
      <c r="O146" s="60" t="e">
        <f t="shared" si="56"/>
        <v>#VALUE!</v>
      </c>
      <c r="P146" s="60">
        <f t="shared" si="57"/>
        <v>4</v>
      </c>
      <c r="Q146" s="60" t="e">
        <f t="shared" si="58"/>
        <v>#VALUE!</v>
      </c>
      <c r="R146" s="60" t="e">
        <f t="shared" si="59"/>
        <v>#VALUE!</v>
      </c>
      <c r="S146" s="60" t="str">
        <f>IFERROR(VLOOKUP(MID(N146,Q146,R146-Q146),[6]skilldef!$C:$D,2,FALSE),"-") &amp; " / " &amp; IFERROR(VLOOKUP(MID(N146,O146,P146-O146),[6]skilldef!$A:$B,2,FALSE),"-")</f>
        <v>- / -</v>
      </c>
      <c r="T146" s="45" t="str">
        <f t="shared" si="60"/>
        <v>none</v>
      </c>
      <c r="U146" s="60" t="e">
        <f t="shared" si="61"/>
        <v>#VALUE!</v>
      </c>
      <c r="V146" s="60">
        <f t="shared" si="62"/>
        <v>4</v>
      </c>
      <c r="W146" s="60" t="e">
        <f t="shared" si="63"/>
        <v>#VALUE!</v>
      </c>
      <c r="X146" s="60" t="e">
        <f t="shared" si="64"/>
        <v>#VALUE!</v>
      </c>
      <c r="Y146" s="60" t="str">
        <f>IFERROR(VLOOKUP(MID(T146,W146,X146-W146),[6]skilldef!$C:$D,2,FALSE),"-") &amp; " / " &amp; IFERROR(VLOOKUP(MID(T146,U146,V146-U146),[6]skilldef!$A:$B,2,FALSE),"-")</f>
        <v>- / -</v>
      </c>
    </row>
    <row r="147" spans="1:25" ht="21" customHeight="1" x14ac:dyDescent="0.15">
      <c r="A147" s="44">
        <v>15031146</v>
      </c>
      <c r="B147" s="44" t="s">
        <v>280</v>
      </c>
      <c r="C147" s="47">
        <v>3</v>
      </c>
      <c r="D147" s="47" t="s">
        <v>127</v>
      </c>
      <c r="E147" s="139" t="s">
        <v>284</v>
      </c>
      <c r="F147" s="48" t="s">
        <v>82</v>
      </c>
      <c r="G147" s="60" t="str">
        <f t="shared" si="49"/>
        <v>[effect:heal, target:enemy_one, val:0.5, animation:enemy_heal]</v>
      </c>
      <c r="H147" s="60">
        <f t="shared" si="50"/>
        <v>9</v>
      </c>
      <c r="I147" s="60">
        <f t="shared" si="51"/>
        <v>13</v>
      </c>
      <c r="J147" s="60">
        <f t="shared" si="52"/>
        <v>22</v>
      </c>
      <c r="K147" s="60">
        <f t="shared" si="53"/>
        <v>31</v>
      </c>
      <c r="L147" s="60" t="str">
        <f>IFERROR(VLOOKUP(MID(G147,J147,K147-J147),[6]skilldef!$C:$D,2,FALSE),"-") &amp; " / " &amp; IFERROR(VLOOKUP(MID(G147,H147,I147-H147),[6]skilldef!$A:$B,2,FALSE),"-")</f>
        <v>敵単体に / 回復</v>
      </c>
      <c r="M147" s="60" t="str">
        <f t="shared" si="54"/>
        <v>none</v>
      </c>
      <c r="N147" s="45" t="str">
        <f t="shared" si="55"/>
        <v>none</v>
      </c>
      <c r="O147" s="60" t="e">
        <f t="shared" si="56"/>
        <v>#VALUE!</v>
      </c>
      <c r="P147" s="60">
        <f t="shared" si="57"/>
        <v>4</v>
      </c>
      <c r="Q147" s="60" t="e">
        <f t="shared" si="58"/>
        <v>#VALUE!</v>
      </c>
      <c r="R147" s="60" t="e">
        <f t="shared" si="59"/>
        <v>#VALUE!</v>
      </c>
      <c r="S147" s="60" t="str">
        <f>IFERROR(VLOOKUP(MID(N147,Q147,R147-Q147),[6]skilldef!$C:$D,2,FALSE),"-") &amp; " / " &amp; IFERROR(VLOOKUP(MID(N147,O147,P147-O147),[6]skilldef!$A:$B,2,FALSE),"-")</f>
        <v>- / -</v>
      </c>
      <c r="T147" s="45" t="str">
        <f t="shared" si="60"/>
        <v>none</v>
      </c>
      <c r="U147" s="60" t="e">
        <f t="shared" si="61"/>
        <v>#VALUE!</v>
      </c>
      <c r="V147" s="60">
        <f t="shared" si="62"/>
        <v>4</v>
      </c>
      <c r="W147" s="60" t="e">
        <f t="shared" si="63"/>
        <v>#VALUE!</v>
      </c>
      <c r="X147" s="60" t="e">
        <f t="shared" si="64"/>
        <v>#VALUE!</v>
      </c>
      <c r="Y147" s="60" t="str">
        <f>IFERROR(VLOOKUP(MID(T147,W147,X147-W147),[6]skilldef!$C:$D,2,FALSE),"-") &amp; " / " &amp; IFERROR(VLOOKUP(MID(T147,U147,V147-U147),[6]skilldef!$A:$B,2,FALSE),"-")</f>
        <v>- / -</v>
      </c>
    </row>
    <row r="148" spans="1:25" ht="21" customHeight="1" x14ac:dyDescent="0.15">
      <c r="A148" s="44">
        <v>15031147</v>
      </c>
      <c r="B148" s="44" t="s">
        <v>239</v>
      </c>
      <c r="C148" s="47">
        <v>3</v>
      </c>
      <c r="D148" s="47" t="s">
        <v>127</v>
      </c>
      <c r="E148" s="44" t="s">
        <v>260</v>
      </c>
      <c r="F148" s="48" t="s">
        <v>230</v>
      </c>
      <c r="G148" s="60" t="str">
        <f t="shared" si="49"/>
        <v>[effect:nothing]</v>
      </c>
      <c r="H148" s="60">
        <f t="shared" si="50"/>
        <v>9</v>
      </c>
      <c r="I148" s="60">
        <f t="shared" si="51"/>
        <v>16</v>
      </c>
      <c r="J148" s="60" t="e">
        <f t="shared" si="52"/>
        <v>#VALUE!</v>
      </c>
      <c r="K148" s="60" t="e">
        <f t="shared" si="53"/>
        <v>#VALUE!</v>
      </c>
      <c r="L148" s="60" t="str">
        <f>IFERROR(VLOOKUP(MID(G148,J148,K148-J148),[6]skilldef!$C:$D,2,FALSE),"-") &amp; " / " &amp; IFERROR(VLOOKUP(MID(G148,H148,I148-H148),[6]skilldef!$A:$B,2,FALSE),"-")</f>
        <v>- / 何もしない</v>
      </c>
      <c r="M148" s="60" t="str">
        <f t="shared" si="54"/>
        <v>none</v>
      </c>
      <c r="N148" s="45" t="str">
        <f t="shared" si="55"/>
        <v>none</v>
      </c>
      <c r="O148" s="60" t="e">
        <f t="shared" si="56"/>
        <v>#VALUE!</v>
      </c>
      <c r="P148" s="60">
        <f t="shared" si="57"/>
        <v>4</v>
      </c>
      <c r="Q148" s="60" t="e">
        <f t="shared" si="58"/>
        <v>#VALUE!</v>
      </c>
      <c r="R148" s="60" t="e">
        <f t="shared" si="59"/>
        <v>#VALUE!</v>
      </c>
      <c r="S148" s="60" t="str">
        <f>IFERROR(VLOOKUP(MID(N148,Q148,R148-Q148),[6]skilldef!$C:$D,2,FALSE),"-") &amp; " / " &amp; IFERROR(VLOOKUP(MID(N148,O148,P148-O148),[6]skilldef!$A:$B,2,FALSE),"-")</f>
        <v>- / -</v>
      </c>
      <c r="T148" s="45" t="str">
        <f t="shared" si="60"/>
        <v>none</v>
      </c>
      <c r="U148" s="60" t="e">
        <f t="shared" si="61"/>
        <v>#VALUE!</v>
      </c>
      <c r="V148" s="60">
        <f t="shared" si="62"/>
        <v>4</v>
      </c>
      <c r="W148" s="60" t="e">
        <f t="shared" si="63"/>
        <v>#VALUE!</v>
      </c>
      <c r="X148" s="60" t="e">
        <f t="shared" si="64"/>
        <v>#VALUE!</v>
      </c>
      <c r="Y148" s="60" t="str">
        <f>IFERROR(VLOOKUP(MID(T148,W148,X148-W148),[6]skilldef!$C:$D,2,FALSE),"-") &amp; " / " &amp; IFERROR(VLOOKUP(MID(T148,U148,V148-U148),[6]skilldef!$A:$B,2,FALSE),"-")</f>
        <v>- / -</v>
      </c>
    </row>
    <row r="149" spans="1:25" ht="21" customHeight="1" x14ac:dyDescent="0.15">
      <c r="A149" s="44">
        <v>15031148</v>
      </c>
      <c r="B149" s="44" t="s">
        <v>239</v>
      </c>
      <c r="C149" s="47">
        <v>3</v>
      </c>
      <c r="D149" s="47" t="s">
        <v>127</v>
      </c>
      <c r="E149" s="44" t="s">
        <v>260</v>
      </c>
      <c r="F149" s="48" t="s">
        <v>230</v>
      </c>
      <c r="G149" s="60" t="str">
        <f t="shared" si="49"/>
        <v>[effect:nothing]</v>
      </c>
      <c r="H149" s="60">
        <f t="shared" si="50"/>
        <v>9</v>
      </c>
      <c r="I149" s="60">
        <f t="shared" si="51"/>
        <v>16</v>
      </c>
      <c r="J149" s="60" t="e">
        <f t="shared" si="52"/>
        <v>#VALUE!</v>
      </c>
      <c r="K149" s="60" t="e">
        <f t="shared" si="53"/>
        <v>#VALUE!</v>
      </c>
      <c r="L149" s="60" t="str">
        <f>IFERROR(VLOOKUP(MID(G149,J149,K149-J149),[6]skilldef!$C:$D,2,FALSE),"-") &amp; " / " &amp; IFERROR(VLOOKUP(MID(G149,H149,I149-H149),[6]skilldef!$A:$B,2,FALSE),"-")</f>
        <v>- / 何もしない</v>
      </c>
      <c r="M149" s="60" t="str">
        <f t="shared" si="54"/>
        <v>none</v>
      </c>
      <c r="N149" s="45" t="str">
        <f t="shared" si="55"/>
        <v>none</v>
      </c>
      <c r="O149" s="60" t="e">
        <f t="shared" si="56"/>
        <v>#VALUE!</v>
      </c>
      <c r="P149" s="60">
        <f t="shared" si="57"/>
        <v>4</v>
      </c>
      <c r="Q149" s="60" t="e">
        <f t="shared" si="58"/>
        <v>#VALUE!</v>
      </c>
      <c r="R149" s="60" t="e">
        <f t="shared" si="59"/>
        <v>#VALUE!</v>
      </c>
      <c r="S149" s="60" t="str">
        <f>IFERROR(VLOOKUP(MID(N149,Q149,R149-Q149),[6]skilldef!$C:$D,2,FALSE),"-") &amp; " / " &amp; IFERROR(VLOOKUP(MID(N149,O149,P149-O149),[6]skilldef!$A:$B,2,FALSE),"-")</f>
        <v>- / -</v>
      </c>
      <c r="T149" s="45" t="str">
        <f t="shared" si="60"/>
        <v>none</v>
      </c>
      <c r="U149" s="60" t="e">
        <f t="shared" si="61"/>
        <v>#VALUE!</v>
      </c>
      <c r="V149" s="60">
        <f t="shared" si="62"/>
        <v>4</v>
      </c>
      <c r="W149" s="60" t="e">
        <f t="shared" si="63"/>
        <v>#VALUE!</v>
      </c>
      <c r="X149" s="60" t="e">
        <f t="shared" si="64"/>
        <v>#VALUE!</v>
      </c>
      <c r="Y149" s="60" t="str">
        <f>IFERROR(VLOOKUP(MID(T149,W149,X149-W149),[6]skilldef!$C:$D,2,FALSE),"-") &amp; " / " &amp; IFERROR(VLOOKUP(MID(T149,U149,V149-U149),[6]skilldef!$A:$B,2,FALSE),"-")</f>
        <v>- / -</v>
      </c>
    </row>
    <row r="150" spans="1:25" ht="21" customHeight="1" x14ac:dyDescent="0.15">
      <c r="A150" s="44">
        <v>15031149</v>
      </c>
      <c r="B150" s="44" t="s">
        <v>239</v>
      </c>
      <c r="C150" s="47">
        <v>3</v>
      </c>
      <c r="D150" s="47" t="s">
        <v>127</v>
      </c>
      <c r="E150" s="44" t="s">
        <v>260</v>
      </c>
      <c r="F150" s="48" t="s">
        <v>230</v>
      </c>
      <c r="G150" s="60" t="str">
        <f t="shared" si="49"/>
        <v>[effect:nothing]</v>
      </c>
      <c r="H150" s="60">
        <f t="shared" si="50"/>
        <v>9</v>
      </c>
      <c r="I150" s="60">
        <f t="shared" si="51"/>
        <v>16</v>
      </c>
      <c r="J150" s="60" t="e">
        <f t="shared" si="52"/>
        <v>#VALUE!</v>
      </c>
      <c r="K150" s="60" t="e">
        <f t="shared" si="53"/>
        <v>#VALUE!</v>
      </c>
      <c r="L150" s="60" t="str">
        <f>IFERROR(VLOOKUP(MID(G150,J150,K150-J150),[6]skilldef!$C:$D,2,FALSE),"-") &amp; " / " &amp; IFERROR(VLOOKUP(MID(G150,H150,I150-H150),[6]skilldef!$A:$B,2,FALSE),"-")</f>
        <v>- / 何もしない</v>
      </c>
      <c r="M150" s="60" t="str">
        <f t="shared" si="54"/>
        <v>none</v>
      </c>
      <c r="N150" s="45" t="str">
        <f t="shared" si="55"/>
        <v>none</v>
      </c>
      <c r="O150" s="60" t="e">
        <f t="shared" si="56"/>
        <v>#VALUE!</v>
      </c>
      <c r="P150" s="60">
        <f t="shared" si="57"/>
        <v>4</v>
      </c>
      <c r="Q150" s="60" t="e">
        <f t="shared" si="58"/>
        <v>#VALUE!</v>
      </c>
      <c r="R150" s="60" t="e">
        <f t="shared" si="59"/>
        <v>#VALUE!</v>
      </c>
      <c r="S150" s="60" t="str">
        <f>IFERROR(VLOOKUP(MID(N150,Q150,R150-Q150),[6]skilldef!$C:$D,2,FALSE),"-") &amp; " / " &amp; IFERROR(VLOOKUP(MID(N150,O150,P150-O150),[6]skilldef!$A:$B,2,FALSE),"-")</f>
        <v>- / -</v>
      </c>
      <c r="T150" s="45" t="str">
        <f t="shared" si="60"/>
        <v>none</v>
      </c>
      <c r="U150" s="60" t="e">
        <f t="shared" si="61"/>
        <v>#VALUE!</v>
      </c>
      <c r="V150" s="60">
        <f t="shared" si="62"/>
        <v>4</v>
      </c>
      <c r="W150" s="60" t="e">
        <f t="shared" si="63"/>
        <v>#VALUE!</v>
      </c>
      <c r="X150" s="60" t="e">
        <f t="shared" si="64"/>
        <v>#VALUE!</v>
      </c>
      <c r="Y150" s="60" t="str">
        <f>IFERROR(VLOOKUP(MID(T150,W150,X150-W150),[6]skilldef!$C:$D,2,FALSE),"-") &amp; " / " &amp; IFERROR(VLOOKUP(MID(T150,U150,V150-U150),[6]skilldef!$A:$B,2,FALSE),"-")</f>
        <v>- / -</v>
      </c>
    </row>
    <row r="151" spans="1:25" ht="21" customHeight="1" x14ac:dyDescent="0.15">
      <c r="A151" s="44">
        <v>15031150</v>
      </c>
      <c r="B151" s="44" t="s">
        <v>239</v>
      </c>
      <c r="C151" s="47">
        <v>3</v>
      </c>
      <c r="D151" s="47" t="s">
        <v>127</v>
      </c>
      <c r="E151" s="44" t="s">
        <v>260</v>
      </c>
      <c r="F151" s="48" t="s">
        <v>230</v>
      </c>
      <c r="G151" s="60" t="str">
        <f t="shared" si="49"/>
        <v>[effect:nothing]</v>
      </c>
      <c r="H151" s="60">
        <f t="shared" si="50"/>
        <v>9</v>
      </c>
      <c r="I151" s="60">
        <f t="shared" si="51"/>
        <v>16</v>
      </c>
      <c r="J151" s="60" t="e">
        <f t="shared" si="52"/>
        <v>#VALUE!</v>
      </c>
      <c r="K151" s="60" t="e">
        <f t="shared" si="53"/>
        <v>#VALUE!</v>
      </c>
      <c r="L151" s="60" t="str">
        <f>IFERROR(VLOOKUP(MID(G151,J151,K151-J151),[6]skilldef!$C:$D,2,FALSE),"-") &amp; " / " &amp; IFERROR(VLOOKUP(MID(G151,H151,I151-H151),[6]skilldef!$A:$B,2,FALSE),"-")</f>
        <v>- / 何もしない</v>
      </c>
      <c r="M151" s="60" t="str">
        <f t="shared" si="54"/>
        <v>none</v>
      </c>
      <c r="N151" s="45" t="str">
        <f t="shared" si="55"/>
        <v>none</v>
      </c>
      <c r="O151" s="60" t="e">
        <f t="shared" si="56"/>
        <v>#VALUE!</v>
      </c>
      <c r="P151" s="60">
        <f t="shared" si="57"/>
        <v>4</v>
      </c>
      <c r="Q151" s="60" t="e">
        <f t="shared" si="58"/>
        <v>#VALUE!</v>
      </c>
      <c r="R151" s="60" t="e">
        <f t="shared" si="59"/>
        <v>#VALUE!</v>
      </c>
      <c r="S151" s="60" t="str">
        <f>IFERROR(VLOOKUP(MID(N151,Q151,R151-Q151),[6]skilldef!$C:$D,2,FALSE),"-") &amp; " / " &amp; IFERROR(VLOOKUP(MID(N151,O151,P151-O151),[6]skilldef!$A:$B,2,FALSE),"-")</f>
        <v>- / -</v>
      </c>
      <c r="T151" s="45" t="str">
        <f t="shared" si="60"/>
        <v>none</v>
      </c>
      <c r="U151" s="60" t="e">
        <f t="shared" si="61"/>
        <v>#VALUE!</v>
      </c>
      <c r="V151" s="60">
        <f t="shared" si="62"/>
        <v>4</v>
      </c>
      <c r="W151" s="60" t="e">
        <f t="shared" si="63"/>
        <v>#VALUE!</v>
      </c>
      <c r="X151" s="60" t="e">
        <f t="shared" si="64"/>
        <v>#VALUE!</v>
      </c>
      <c r="Y151" s="60" t="str">
        <f>IFERROR(VLOOKUP(MID(T151,W151,X151-W151),[6]skilldef!$C:$D,2,FALSE),"-") &amp; " / " &amp; IFERROR(VLOOKUP(MID(T151,U151,V151-U151),[6]skilldef!$A:$B,2,FALSE),"-")</f>
        <v>- / -</v>
      </c>
    </row>
    <row r="152" spans="1:25" ht="21" customHeight="1" x14ac:dyDescent="0.15">
      <c r="A152" s="44">
        <v>15031151</v>
      </c>
      <c r="B152" s="44" t="s">
        <v>339</v>
      </c>
      <c r="C152" s="47">
        <v>3</v>
      </c>
      <c r="D152" s="47" t="s">
        <v>335</v>
      </c>
      <c r="E152" s="139" t="s">
        <v>338</v>
      </c>
      <c r="F152" s="48" t="s">
        <v>393</v>
      </c>
      <c r="G152" s="60" t="str">
        <f t="shared" si="49"/>
        <v xml:space="preserve">[effect:break_attack, val:0.05, lowest_val:0, count:8, block:block_blue, target:unit_all]    </v>
      </c>
      <c r="H152" s="60">
        <f t="shared" si="50"/>
        <v>9</v>
      </c>
      <c r="I152" s="60">
        <f t="shared" si="51"/>
        <v>21</v>
      </c>
      <c r="J152" s="60">
        <f t="shared" si="52"/>
        <v>81</v>
      </c>
      <c r="K152" s="60">
        <f t="shared" si="53"/>
        <v>31</v>
      </c>
      <c r="L152" s="60" t="str">
        <f>IFERROR(VLOOKUP(MID(G152,J152,K152-J152),[6]skilldef!$C:$D,2,FALSE),"-") &amp; " / " &amp; IFERROR(VLOOKUP(MID(G152,H152,I152-H152),[6]skilldef!$A:$B,2,FALSE),"-")</f>
        <v>- / -</v>
      </c>
      <c r="M152" s="60" t="str">
        <f t="shared" si="54"/>
        <v>none</v>
      </c>
      <c r="N152" s="45" t="str">
        <f t="shared" si="55"/>
        <v>none</v>
      </c>
      <c r="O152" s="60" t="e">
        <f t="shared" si="56"/>
        <v>#VALUE!</v>
      </c>
      <c r="P152" s="60">
        <f t="shared" si="57"/>
        <v>4</v>
      </c>
      <c r="Q152" s="60" t="e">
        <f t="shared" si="58"/>
        <v>#VALUE!</v>
      </c>
      <c r="R152" s="60" t="e">
        <f t="shared" si="59"/>
        <v>#VALUE!</v>
      </c>
      <c r="S152" s="60" t="str">
        <f>IFERROR(VLOOKUP(MID(N152,Q152,R152-Q152),[6]skilldef!$C:$D,2,FALSE),"-") &amp; " / " &amp; IFERROR(VLOOKUP(MID(N152,O152,P152-O152),[6]skilldef!$A:$B,2,FALSE),"-")</f>
        <v>- / -</v>
      </c>
      <c r="T152" s="45" t="str">
        <f t="shared" si="60"/>
        <v>none</v>
      </c>
      <c r="U152" s="60" t="e">
        <f t="shared" si="61"/>
        <v>#VALUE!</v>
      </c>
      <c r="V152" s="60">
        <f t="shared" si="62"/>
        <v>4</v>
      </c>
      <c r="W152" s="60" t="e">
        <f t="shared" si="63"/>
        <v>#VALUE!</v>
      </c>
      <c r="X152" s="60" t="e">
        <f t="shared" si="64"/>
        <v>#VALUE!</v>
      </c>
      <c r="Y152" s="60" t="str">
        <f>IFERROR(VLOOKUP(MID(T152,W152,X152-W152),[6]skilldef!$C:$D,2,FALSE),"-") &amp; " / " &amp; IFERROR(VLOOKUP(MID(T152,U152,V152-U152),[6]skilldef!$A:$B,2,FALSE),"-")</f>
        <v>- / -</v>
      </c>
    </row>
    <row r="153" spans="1:25" ht="21" customHeight="1" x14ac:dyDescent="0.15">
      <c r="A153" s="44">
        <v>15031152</v>
      </c>
      <c r="B153" s="44" t="s">
        <v>239</v>
      </c>
      <c r="C153" s="47">
        <v>3</v>
      </c>
      <c r="D153" s="47" t="s">
        <v>127</v>
      </c>
      <c r="E153" s="44" t="s">
        <v>256</v>
      </c>
      <c r="F153" s="48" t="s">
        <v>230</v>
      </c>
      <c r="G153" s="60" t="str">
        <f t="shared" si="49"/>
        <v>[effect:nothing]</v>
      </c>
      <c r="H153" s="60">
        <f t="shared" si="50"/>
        <v>9</v>
      </c>
      <c r="I153" s="60">
        <f t="shared" si="51"/>
        <v>16</v>
      </c>
      <c r="J153" s="60" t="e">
        <f t="shared" si="52"/>
        <v>#VALUE!</v>
      </c>
      <c r="K153" s="60" t="e">
        <f t="shared" si="53"/>
        <v>#VALUE!</v>
      </c>
      <c r="L153" s="60" t="str">
        <f>IFERROR(VLOOKUP(MID(G153,J153,K153-J153),[6]skilldef!$C:$D,2,FALSE),"-") &amp; " / " &amp; IFERROR(VLOOKUP(MID(G153,H153,I153-H153),[6]skilldef!$A:$B,2,FALSE),"-")</f>
        <v>- / 何もしない</v>
      </c>
      <c r="M153" s="60" t="str">
        <f t="shared" si="54"/>
        <v>none</v>
      </c>
      <c r="N153" s="45" t="str">
        <f t="shared" si="55"/>
        <v>none</v>
      </c>
      <c r="O153" s="60" t="e">
        <f t="shared" si="56"/>
        <v>#VALUE!</v>
      </c>
      <c r="P153" s="60">
        <f t="shared" si="57"/>
        <v>4</v>
      </c>
      <c r="Q153" s="60" t="e">
        <f t="shared" si="58"/>
        <v>#VALUE!</v>
      </c>
      <c r="R153" s="60" t="e">
        <f t="shared" si="59"/>
        <v>#VALUE!</v>
      </c>
      <c r="S153" s="60" t="str">
        <f>IFERROR(VLOOKUP(MID(N153,Q153,R153-Q153),[6]skilldef!$C:$D,2,FALSE),"-") &amp; " / " &amp; IFERROR(VLOOKUP(MID(N153,O153,P153-O153),[6]skilldef!$A:$B,2,FALSE),"-")</f>
        <v>- / -</v>
      </c>
      <c r="T153" s="45" t="str">
        <f t="shared" si="60"/>
        <v>none</v>
      </c>
      <c r="U153" s="60" t="e">
        <f t="shared" si="61"/>
        <v>#VALUE!</v>
      </c>
      <c r="V153" s="60">
        <f t="shared" si="62"/>
        <v>4</v>
      </c>
      <c r="W153" s="60" t="e">
        <f t="shared" si="63"/>
        <v>#VALUE!</v>
      </c>
      <c r="X153" s="60" t="e">
        <f t="shared" si="64"/>
        <v>#VALUE!</v>
      </c>
      <c r="Y153" s="60" t="str">
        <f>IFERROR(VLOOKUP(MID(T153,W153,X153-W153),[6]skilldef!$C:$D,2,FALSE),"-") &amp; " / " &amp; IFERROR(VLOOKUP(MID(T153,U153,V153-U153),[6]skilldef!$A:$B,2,FALSE),"-")</f>
        <v>- / -</v>
      </c>
    </row>
    <row r="154" spans="1:25" ht="21" customHeight="1" x14ac:dyDescent="0.15">
      <c r="A154" s="44">
        <v>15031153</v>
      </c>
      <c r="B154" s="44" t="s">
        <v>239</v>
      </c>
      <c r="C154" s="47">
        <v>3</v>
      </c>
      <c r="D154" s="47" t="s">
        <v>127</v>
      </c>
      <c r="E154" s="44" t="s">
        <v>256</v>
      </c>
      <c r="F154" s="48" t="s">
        <v>230</v>
      </c>
      <c r="G154" s="60" t="str">
        <f t="shared" si="49"/>
        <v>[effect:nothing]</v>
      </c>
      <c r="H154" s="60">
        <f t="shared" si="50"/>
        <v>9</v>
      </c>
      <c r="I154" s="60">
        <f t="shared" si="51"/>
        <v>16</v>
      </c>
      <c r="J154" s="60" t="e">
        <f t="shared" si="52"/>
        <v>#VALUE!</v>
      </c>
      <c r="K154" s="60" t="e">
        <f t="shared" si="53"/>
        <v>#VALUE!</v>
      </c>
      <c r="L154" s="60" t="str">
        <f>IFERROR(VLOOKUP(MID(G154,J154,K154-J154),[6]skilldef!$C:$D,2,FALSE),"-") &amp; " / " &amp; IFERROR(VLOOKUP(MID(G154,H154,I154-H154),[6]skilldef!$A:$B,2,FALSE),"-")</f>
        <v>- / 何もしない</v>
      </c>
      <c r="M154" s="60" t="str">
        <f t="shared" si="54"/>
        <v>none</v>
      </c>
      <c r="N154" s="45" t="str">
        <f t="shared" si="55"/>
        <v>none</v>
      </c>
      <c r="O154" s="60" t="e">
        <f t="shared" si="56"/>
        <v>#VALUE!</v>
      </c>
      <c r="P154" s="60">
        <f t="shared" si="57"/>
        <v>4</v>
      </c>
      <c r="Q154" s="60" t="e">
        <f t="shared" si="58"/>
        <v>#VALUE!</v>
      </c>
      <c r="R154" s="60" t="e">
        <f t="shared" si="59"/>
        <v>#VALUE!</v>
      </c>
      <c r="S154" s="60" t="str">
        <f>IFERROR(VLOOKUP(MID(N154,Q154,R154-Q154),[6]skilldef!$C:$D,2,FALSE),"-") &amp; " / " &amp; IFERROR(VLOOKUP(MID(N154,O154,P154-O154),[6]skilldef!$A:$B,2,FALSE),"-")</f>
        <v>- / -</v>
      </c>
      <c r="T154" s="45" t="str">
        <f t="shared" si="60"/>
        <v>none</v>
      </c>
      <c r="U154" s="60" t="e">
        <f t="shared" si="61"/>
        <v>#VALUE!</v>
      </c>
      <c r="V154" s="60">
        <f t="shared" si="62"/>
        <v>4</v>
      </c>
      <c r="W154" s="60" t="e">
        <f t="shared" si="63"/>
        <v>#VALUE!</v>
      </c>
      <c r="X154" s="60" t="e">
        <f t="shared" si="64"/>
        <v>#VALUE!</v>
      </c>
      <c r="Y154" s="60" t="str">
        <f>IFERROR(VLOOKUP(MID(T154,W154,X154-W154),[6]skilldef!$C:$D,2,FALSE),"-") &amp; " / " &amp; IFERROR(VLOOKUP(MID(T154,U154,V154-U154),[6]skilldef!$A:$B,2,FALSE),"-")</f>
        <v>- / -</v>
      </c>
    </row>
    <row r="155" spans="1:25" ht="21" customHeight="1" x14ac:dyDescent="0.15">
      <c r="A155" s="44">
        <v>15031154</v>
      </c>
      <c r="B155" s="44" t="s">
        <v>239</v>
      </c>
      <c r="C155" s="47">
        <v>3</v>
      </c>
      <c r="D155" s="47" t="s">
        <v>127</v>
      </c>
      <c r="E155" s="44" t="s">
        <v>256</v>
      </c>
      <c r="F155" s="48" t="s">
        <v>230</v>
      </c>
      <c r="G155" s="60" t="str">
        <f t="shared" si="49"/>
        <v>[effect:nothing]</v>
      </c>
      <c r="H155" s="60">
        <f t="shared" si="50"/>
        <v>9</v>
      </c>
      <c r="I155" s="60">
        <f t="shared" si="51"/>
        <v>16</v>
      </c>
      <c r="J155" s="60" t="e">
        <f t="shared" si="52"/>
        <v>#VALUE!</v>
      </c>
      <c r="K155" s="60" t="e">
        <f t="shared" si="53"/>
        <v>#VALUE!</v>
      </c>
      <c r="L155" s="60" t="str">
        <f>IFERROR(VLOOKUP(MID(G155,J155,K155-J155),[6]skilldef!$C:$D,2,FALSE),"-") &amp; " / " &amp; IFERROR(VLOOKUP(MID(G155,H155,I155-H155),[6]skilldef!$A:$B,2,FALSE),"-")</f>
        <v>- / 何もしない</v>
      </c>
      <c r="M155" s="60" t="str">
        <f t="shared" si="54"/>
        <v>none</v>
      </c>
      <c r="N155" s="45" t="str">
        <f t="shared" si="55"/>
        <v>none</v>
      </c>
      <c r="O155" s="60" t="e">
        <f t="shared" si="56"/>
        <v>#VALUE!</v>
      </c>
      <c r="P155" s="60">
        <f t="shared" si="57"/>
        <v>4</v>
      </c>
      <c r="Q155" s="60" t="e">
        <f t="shared" si="58"/>
        <v>#VALUE!</v>
      </c>
      <c r="R155" s="60" t="e">
        <f t="shared" si="59"/>
        <v>#VALUE!</v>
      </c>
      <c r="S155" s="60" t="str">
        <f>IFERROR(VLOOKUP(MID(N155,Q155,R155-Q155),[6]skilldef!$C:$D,2,FALSE),"-") &amp; " / " &amp; IFERROR(VLOOKUP(MID(N155,O155,P155-O155),[6]skilldef!$A:$B,2,FALSE),"-")</f>
        <v>- / -</v>
      </c>
      <c r="T155" s="45" t="str">
        <f t="shared" si="60"/>
        <v>none</v>
      </c>
      <c r="U155" s="60" t="e">
        <f t="shared" si="61"/>
        <v>#VALUE!</v>
      </c>
      <c r="V155" s="60">
        <f t="shared" si="62"/>
        <v>4</v>
      </c>
      <c r="W155" s="60" t="e">
        <f t="shared" si="63"/>
        <v>#VALUE!</v>
      </c>
      <c r="X155" s="60" t="e">
        <f t="shared" si="64"/>
        <v>#VALUE!</v>
      </c>
      <c r="Y155" s="60" t="str">
        <f>IFERROR(VLOOKUP(MID(T155,W155,X155-W155),[6]skilldef!$C:$D,2,FALSE),"-") &amp; " / " &amp; IFERROR(VLOOKUP(MID(T155,U155,V155-U155),[6]skilldef!$A:$B,2,FALSE),"-")</f>
        <v>- / -</v>
      </c>
    </row>
    <row r="156" spans="1:25" ht="21" customHeight="1" x14ac:dyDescent="0.15">
      <c r="A156" s="44">
        <v>15031155</v>
      </c>
      <c r="B156" s="44" t="s">
        <v>239</v>
      </c>
      <c r="C156" s="47">
        <v>3</v>
      </c>
      <c r="D156" s="47" t="s">
        <v>127</v>
      </c>
      <c r="E156" s="44" t="s">
        <v>256</v>
      </c>
      <c r="F156" s="48" t="s">
        <v>230</v>
      </c>
      <c r="G156" s="60" t="str">
        <f t="shared" si="49"/>
        <v>[effect:nothing]</v>
      </c>
      <c r="H156" s="60">
        <f t="shared" si="50"/>
        <v>9</v>
      </c>
      <c r="I156" s="60">
        <f t="shared" si="51"/>
        <v>16</v>
      </c>
      <c r="J156" s="60" t="e">
        <f t="shared" si="52"/>
        <v>#VALUE!</v>
      </c>
      <c r="K156" s="60" t="e">
        <f t="shared" si="53"/>
        <v>#VALUE!</v>
      </c>
      <c r="L156" s="60" t="str">
        <f>IFERROR(VLOOKUP(MID(G156,J156,K156-J156),[6]skilldef!$C:$D,2,FALSE),"-") &amp; " / " &amp; IFERROR(VLOOKUP(MID(G156,H156,I156-H156),[6]skilldef!$A:$B,2,FALSE),"-")</f>
        <v>- / 何もしない</v>
      </c>
      <c r="M156" s="60" t="str">
        <f t="shared" si="54"/>
        <v>none</v>
      </c>
      <c r="N156" s="45" t="str">
        <f t="shared" si="55"/>
        <v>none</v>
      </c>
      <c r="O156" s="60" t="e">
        <f t="shared" si="56"/>
        <v>#VALUE!</v>
      </c>
      <c r="P156" s="60">
        <f t="shared" si="57"/>
        <v>4</v>
      </c>
      <c r="Q156" s="60" t="e">
        <f t="shared" si="58"/>
        <v>#VALUE!</v>
      </c>
      <c r="R156" s="60" t="e">
        <f t="shared" si="59"/>
        <v>#VALUE!</v>
      </c>
      <c r="S156" s="60" t="str">
        <f>IFERROR(VLOOKUP(MID(N156,Q156,R156-Q156),[6]skilldef!$C:$D,2,FALSE),"-") &amp; " / " &amp; IFERROR(VLOOKUP(MID(N156,O156,P156-O156),[6]skilldef!$A:$B,2,FALSE),"-")</f>
        <v>- / -</v>
      </c>
      <c r="T156" s="45" t="str">
        <f t="shared" si="60"/>
        <v>none</v>
      </c>
      <c r="U156" s="60" t="e">
        <f t="shared" si="61"/>
        <v>#VALUE!</v>
      </c>
      <c r="V156" s="60">
        <f t="shared" si="62"/>
        <v>4</v>
      </c>
      <c r="W156" s="60" t="e">
        <f t="shared" si="63"/>
        <v>#VALUE!</v>
      </c>
      <c r="X156" s="60" t="e">
        <f t="shared" si="64"/>
        <v>#VALUE!</v>
      </c>
      <c r="Y156" s="60" t="str">
        <f>IFERROR(VLOOKUP(MID(T156,W156,X156-W156),[6]skilldef!$C:$D,2,FALSE),"-") &amp; " / " &amp; IFERROR(VLOOKUP(MID(T156,U156,V156-U156),[6]skilldef!$A:$B,2,FALSE),"-")</f>
        <v>- / -</v>
      </c>
    </row>
    <row r="157" spans="1:25" ht="21" customHeight="1" x14ac:dyDescent="0.15">
      <c r="A157" s="44">
        <v>15031156</v>
      </c>
      <c r="B157" s="44" t="s">
        <v>334</v>
      </c>
      <c r="C157" s="47">
        <v>3</v>
      </c>
      <c r="D157" s="47" t="s">
        <v>335</v>
      </c>
      <c r="E157" s="139" t="s">
        <v>336</v>
      </c>
      <c r="F157" s="48" t="s">
        <v>385</v>
      </c>
      <c r="G157" s="60" t="str">
        <f t="shared" si="49"/>
        <v>[effect:dis_heart, turn:3, animation:enemy_dis_heart]</v>
      </c>
      <c r="H157" s="60">
        <f t="shared" si="50"/>
        <v>9</v>
      </c>
      <c r="I157" s="60">
        <f t="shared" si="51"/>
        <v>18</v>
      </c>
      <c r="J157" s="60" t="e">
        <f t="shared" si="52"/>
        <v>#VALUE!</v>
      </c>
      <c r="K157" s="60">
        <f t="shared" si="53"/>
        <v>26</v>
      </c>
      <c r="L157" s="60" t="str">
        <f>IFERROR(VLOOKUP(MID(G157,J157,K157-J157),[6]skilldef!$C:$D,2,FALSE),"-") &amp; " / " &amp; IFERROR(VLOOKUP(MID(G157,H157,I157-H157),[6]skilldef!$A:$B,2,FALSE),"-")</f>
        <v>- / ディスハート</v>
      </c>
      <c r="M157" s="60" t="str">
        <f t="shared" si="54"/>
        <v>none</v>
      </c>
      <c r="N157" s="45" t="str">
        <f t="shared" si="55"/>
        <v>none</v>
      </c>
      <c r="O157" s="60" t="e">
        <f t="shared" si="56"/>
        <v>#VALUE!</v>
      </c>
      <c r="P157" s="60">
        <f t="shared" si="57"/>
        <v>4</v>
      </c>
      <c r="Q157" s="60" t="e">
        <f t="shared" si="58"/>
        <v>#VALUE!</v>
      </c>
      <c r="R157" s="60" t="e">
        <f t="shared" si="59"/>
        <v>#VALUE!</v>
      </c>
      <c r="S157" s="60" t="str">
        <f>IFERROR(VLOOKUP(MID(N157,Q157,R157-Q157),[6]skilldef!$C:$D,2,FALSE),"-") &amp; " / " &amp; IFERROR(VLOOKUP(MID(N157,O157,P157-O157),[6]skilldef!$A:$B,2,FALSE),"-")</f>
        <v>- / -</v>
      </c>
      <c r="T157" s="45" t="str">
        <f t="shared" si="60"/>
        <v>none</v>
      </c>
      <c r="U157" s="60" t="e">
        <f t="shared" si="61"/>
        <v>#VALUE!</v>
      </c>
      <c r="V157" s="60">
        <f t="shared" si="62"/>
        <v>4</v>
      </c>
      <c r="W157" s="60" t="e">
        <f t="shared" si="63"/>
        <v>#VALUE!</v>
      </c>
      <c r="X157" s="60" t="e">
        <f t="shared" si="64"/>
        <v>#VALUE!</v>
      </c>
      <c r="Y157" s="60" t="str">
        <f>IFERROR(VLOOKUP(MID(T157,W157,X157-W157),[6]skilldef!$C:$D,2,FALSE),"-") &amp; " / " &amp; IFERROR(VLOOKUP(MID(T157,U157,V157-U157),[6]skilldef!$A:$B,2,FALSE),"-")</f>
        <v>- / -</v>
      </c>
    </row>
    <row r="158" spans="1:25" ht="21" customHeight="1" x14ac:dyDescent="0.15">
      <c r="A158" s="44">
        <v>15031157</v>
      </c>
      <c r="B158" s="44" t="s">
        <v>239</v>
      </c>
      <c r="C158" s="47">
        <v>3</v>
      </c>
      <c r="D158" s="47" t="s">
        <v>127</v>
      </c>
      <c r="E158" s="44" t="s">
        <v>258</v>
      </c>
      <c r="F158" s="48" t="s">
        <v>230</v>
      </c>
      <c r="G158" s="60" t="str">
        <f t="shared" si="49"/>
        <v>[effect:nothing]</v>
      </c>
      <c r="H158" s="60">
        <f t="shared" si="50"/>
        <v>9</v>
      </c>
      <c r="I158" s="60">
        <f t="shared" si="51"/>
        <v>16</v>
      </c>
      <c r="J158" s="60" t="e">
        <f t="shared" si="52"/>
        <v>#VALUE!</v>
      </c>
      <c r="K158" s="60" t="e">
        <f t="shared" si="53"/>
        <v>#VALUE!</v>
      </c>
      <c r="L158" s="60" t="str">
        <f>IFERROR(VLOOKUP(MID(G158,J158,K158-J158),[6]skilldef!$C:$D,2,FALSE),"-") &amp; " / " &amp; IFERROR(VLOOKUP(MID(G158,H158,I158-H158),[6]skilldef!$A:$B,2,FALSE),"-")</f>
        <v>- / 何もしない</v>
      </c>
      <c r="M158" s="60" t="str">
        <f t="shared" si="54"/>
        <v>none</v>
      </c>
      <c r="N158" s="45" t="str">
        <f t="shared" si="55"/>
        <v>none</v>
      </c>
      <c r="O158" s="60" t="e">
        <f t="shared" si="56"/>
        <v>#VALUE!</v>
      </c>
      <c r="P158" s="60">
        <f t="shared" si="57"/>
        <v>4</v>
      </c>
      <c r="Q158" s="60" t="e">
        <f t="shared" si="58"/>
        <v>#VALUE!</v>
      </c>
      <c r="R158" s="60" t="e">
        <f t="shared" si="59"/>
        <v>#VALUE!</v>
      </c>
      <c r="S158" s="60" t="str">
        <f>IFERROR(VLOOKUP(MID(N158,Q158,R158-Q158),[6]skilldef!$C:$D,2,FALSE),"-") &amp; " / " &amp; IFERROR(VLOOKUP(MID(N158,O158,P158-O158),[6]skilldef!$A:$B,2,FALSE),"-")</f>
        <v>- / -</v>
      </c>
      <c r="T158" s="45" t="str">
        <f t="shared" si="60"/>
        <v>none</v>
      </c>
      <c r="U158" s="60" t="e">
        <f t="shared" si="61"/>
        <v>#VALUE!</v>
      </c>
      <c r="V158" s="60">
        <f t="shared" si="62"/>
        <v>4</v>
      </c>
      <c r="W158" s="60" t="e">
        <f t="shared" si="63"/>
        <v>#VALUE!</v>
      </c>
      <c r="X158" s="60" t="e">
        <f t="shared" si="64"/>
        <v>#VALUE!</v>
      </c>
      <c r="Y158" s="60" t="str">
        <f>IFERROR(VLOOKUP(MID(T158,W158,X158-W158),[6]skilldef!$C:$D,2,FALSE),"-") &amp; " / " &amp; IFERROR(VLOOKUP(MID(T158,U158,V158-U158),[6]skilldef!$A:$B,2,FALSE),"-")</f>
        <v>- / -</v>
      </c>
    </row>
    <row r="159" spans="1:25" ht="21" customHeight="1" x14ac:dyDescent="0.15">
      <c r="A159" s="44">
        <v>15031158</v>
      </c>
      <c r="B159" s="44" t="s">
        <v>239</v>
      </c>
      <c r="C159" s="47">
        <v>3</v>
      </c>
      <c r="D159" s="47" t="s">
        <v>127</v>
      </c>
      <c r="E159" s="44" t="s">
        <v>258</v>
      </c>
      <c r="F159" s="48" t="s">
        <v>230</v>
      </c>
      <c r="G159" s="60" t="str">
        <f t="shared" si="49"/>
        <v>[effect:nothing]</v>
      </c>
      <c r="H159" s="60">
        <f t="shared" si="50"/>
        <v>9</v>
      </c>
      <c r="I159" s="60">
        <f t="shared" si="51"/>
        <v>16</v>
      </c>
      <c r="J159" s="60" t="e">
        <f t="shared" si="52"/>
        <v>#VALUE!</v>
      </c>
      <c r="K159" s="60" t="e">
        <f t="shared" si="53"/>
        <v>#VALUE!</v>
      </c>
      <c r="L159" s="60" t="str">
        <f>IFERROR(VLOOKUP(MID(G159,J159,K159-J159),[6]skilldef!$C:$D,2,FALSE),"-") &amp; " / " &amp; IFERROR(VLOOKUP(MID(G159,H159,I159-H159),[6]skilldef!$A:$B,2,FALSE),"-")</f>
        <v>- / 何もしない</v>
      </c>
      <c r="M159" s="60" t="str">
        <f t="shared" si="54"/>
        <v>none</v>
      </c>
      <c r="N159" s="45" t="str">
        <f t="shared" si="55"/>
        <v>none</v>
      </c>
      <c r="O159" s="60" t="e">
        <f t="shared" si="56"/>
        <v>#VALUE!</v>
      </c>
      <c r="P159" s="60">
        <f t="shared" si="57"/>
        <v>4</v>
      </c>
      <c r="Q159" s="60" t="e">
        <f t="shared" si="58"/>
        <v>#VALUE!</v>
      </c>
      <c r="R159" s="60" t="e">
        <f t="shared" si="59"/>
        <v>#VALUE!</v>
      </c>
      <c r="S159" s="60" t="str">
        <f>IFERROR(VLOOKUP(MID(N159,Q159,R159-Q159),[6]skilldef!$C:$D,2,FALSE),"-") &amp; " / " &amp; IFERROR(VLOOKUP(MID(N159,O159,P159-O159),[6]skilldef!$A:$B,2,FALSE),"-")</f>
        <v>- / -</v>
      </c>
      <c r="T159" s="45" t="str">
        <f t="shared" si="60"/>
        <v>none</v>
      </c>
      <c r="U159" s="60" t="e">
        <f t="shared" si="61"/>
        <v>#VALUE!</v>
      </c>
      <c r="V159" s="60">
        <f t="shared" si="62"/>
        <v>4</v>
      </c>
      <c r="W159" s="60" t="e">
        <f t="shared" si="63"/>
        <v>#VALUE!</v>
      </c>
      <c r="X159" s="60" t="e">
        <f t="shared" si="64"/>
        <v>#VALUE!</v>
      </c>
      <c r="Y159" s="60" t="str">
        <f>IFERROR(VLOOKUP(MID(T159,W159,X159-W159),[6]skilldef!$C:$D,2,FALSE),"-") &amp; " / " &amp; IFERROR(VLOOKUP(MID(T159,U159,V159-U159),[6]skilldef!$A:$B,2,FALSE),"-")</f>
        <v>- / -</v>
      </c>
    </row>
    <row r="160" spans="1:25" ht="21" customHeight="1" x14ac:dyDescent="0.15">
      <c r="A160" s="44">
        <v>15031159</v>
      </c>
      <c r="B160" s="44" t="s">
        <v>239</v>
      </c>
      <c r="C160" s="47">
        <v>3</v>
      </c>
      <c r="D160" s="47" t="s">
        <v>127</v>
      </c>
      <c r="E160" s="44" t="s">
        <v>258</v>
      </c>
      <c r="F160" s="48" t="s">
        <v>230</v>
      </c>
      <c r="G160" s="60" t="str">
        <f t="shared" si="49"/>
        <v>[effect:nothing]</v>
      </c>
      <c r="H160" s="60">
        <f t="shared" si="50"/>
        <v>9</v>
      </c>
      <c r="I160" s="60">
        <f t="shared" si="51"/>
        <v>16</v>
      </c>
      <c r="J160" s="60" t="e">
        <f t="shared" si="52"/>
        <v>#VALUE!</v>
      </c>
      <c r="K160" s="60" t="e">
        <f t="shared" si="53"/>
        <v>#VALUE!</v>
      </c>
      <c r="L160" s="60" t="str">
        <f>IFERROR(VLOOKUP(MID(G160,J160,K160-J160),[6]skilldef!$C:$D,2,FALSE),"-") &amp; " / " &amp; IFERROR(VLOOKUP(MID(G160,H160,I160-H160),[6]skilldef!$A:$B,2,FALSE),"-")</f>
        <v>- / 何もしない</v>
      </c>
      <c r="M160" s="60" t="str">
        <f t="shared" si="54"/>
        <v>none</v>
      </c>
      <c r="N160" s="45" t="str">
        <f t="shared" si="55"/>
        <v>none</v>
      </c>
      <c r="O160" s="60" t="e">
        <f t="shared" si="56"/>
        <v>#VALUE!</v>
      </c>
      <c r="P160" s="60">
        <f t="shared" si="57"/>
        <v>4</v>
      </c>
      <c r="Q160" s="60" t="e">
        <f t="shared" si="58"/>
        <v>#VALUE!</v>
      </c>
      <c r="R160" s="60" t="e">
        <f t="shared" si="59"/>
        <v>#VALUE!</v>
      </c>
      <c r="S160" s="60" t="str">
        <f>IFERROR(VLOOKUP(MID(N160,Q160,R160-Q160),[6]skilldef!$C:$D,2,FALSE),"-") &amp; " / " &amp; IFERROR(VLOOKUP(MID(N160,O160,P160-O160),[6]skilldef!$A:$B,2,FALSE),"-")</f>
        <v>- / -</v>
      </c>
      <c r="T160" s="45" t="str">
        <f t="shared" si="60"/>
        <v>none</v>
      </c>
      <c r="U160" s="60" t="e">
        <f t="shared" si="61"/>
        <v>#VALUE!</v>
      </c>
      <c r="V160" s="60">
        <f t="shared" si="62"/>
        <v>4</v>
      </c>
      <c r="W160" s="60" t="e">
        <f t="shared" si="63"/>
        <v>#VALUE!</v>
      </c>
      <c r="X160" s="60" t="e">
        <f t="shared" si="64"/>
        <v>#VALUE!</v>
      </c>
      <c r="Y160" s="60" t="str">
        <f>IFERROR(VLOOKUP(MID(T160,W160,X160-W160),[6]skilldef!$C:$D,2,FALSE),"-") &amp; " / " &amp; IFERROR(VLOOKUP(MID(T160,U160,V160-U160),[6]skilldef!$A:$B,2,FALSE),"-")</f>
        <v>- / -</v>
      </c>
    </row>
    <row r="161" spans="1:25" ht="21" customHeight="1" x14ac:dyDescent="0.15">
      <c r="A161" s="44">
        <v>15031160</v>
      </c>
      <c r="B161" s="44" t="s">
        <v>239</v>
      </c>
      <c r="C161" s="47">
        <v>3</v>
      </c>
      <c r="D161" s="47" t="s">
        <v>127</v>
      </c>
      <c r="E161" s="44" t="s">
        <v>258</v>
      </c>
      <c r="F161" s="48" t="s">
        <v>230</v>
      </c>
      <c r="G161" s="60" t="str">
        <f t="shared" si="49"/>
        <v>[effect:nothing]</v>
      </c>
      <c r="H161" s="60">
        <f t="shared" si="50"/>
        <v>9</v>
      </c>
      <c r="I161" s="60">
        <f t="shared" si="51"/>
        <v>16</v>
      </c>
      <c r="J161" s="60" t="e">
        <f t="shared" si="52"/>
        <v>#VALUE!</v>
      </c>
      <c r="K161" s="60" t="e">
        <f t="shared" si="53"/>
        <v>#VALUE!</v>
      </c>
      <c r="L161" s="60" t="str">
        <f>IFERROR(VLOOKUP(MID(G161,J161,K161-J161),[6]skilldef!$C:$D,2,FALSE),"-") &amp; " / " &amp; IFERROR(VLOOKUP(MID(G161,H161,I161-H161),[6]skilldef!$A:$B,2,FALSE),"-")</f>
        <v>- / 何もしない</v>
      </c>
      <c r="M161" s="60" t="str">
        <f t="shared" si="54"/>
        <v>none</v>
      </c>
      <c r="N161" s="45" t="str">
        <f t="shared" si="55"/>
        <v>none</v>
      </c>
      <c r="O161" s="60" t="e">
        <f t="shared" si="56"/>
        <v>#VALUE!</v>
      </c>
      <c r="P161" s="60">
        <f t="shared" si="57"/>
        <v>4</v>
      </c>
      <c r="Q161" s="60" t="e">
        <f t="shared" si="58"/>
        <v>#VALUE!</v>
      </c>
      <c r="R161" s="60" t="e">
        <f t="shared" si="59"/>
        <v>#VALUE!</v>
      </c>
      <c r="S161" s="60" t="str">
        <f>IFERROR(VLOOKUP(MID(N161,Q161,R161-Q161),[6]skilldef!$C:$D,2,FALSE),"-") &amp; " / " &amp; IFERROR(VLOOKUP(MID(N161,O161,P161-O161),[6]skilldef!$A:$B,2,FALSE),"-")</f>
        <v>- / -</v>
      </c>
      <c r="T161" s="45" t="str">
        <f t="shared" si="60"/>
        <v>none</v>
      </c>
      <c r="U161" s="60" t="e">
        <f t="shared" si="61"/>
        <v>#VALUE!</v>
      </c>
      <c r="V161" s="60">
        <f t="shared" si="62"/>
        <v>4</v>
      </c>
      <c r="W161" s="60" t="e">
        <f t="shared" si="63"/>
        <v>#VALUE!</v>
      </c>
      <c r="X161" s="60" t="e">
        <f t="shared" si="64"/>
        <v>#VALUE!</v>
      </c>
      <c r="Y161" s="60" t="str">
        <f>IFERROR(VLOOKUP(MID(T161,W161,X161-W161),[6]skilldef!$C:$D,2,FALSE),"-") &amp; " / " &amp; IFERROR(VLOOKUP(MID(T161,U161,V161-U161),[6]skilldef!$A:$B,2,FALSE),"-")</f>
        <v>- / -</v>
      </c>
    </row>
    <row r="162" spans="1:25" ht="21" customHeight="1" x14ac:dyDescent="0.15">
      <c r="A162" s="44">
        <v>15031161</v>
      </c>
      <c r="B162" s="140" t="s">
        <v>345</v>
      </c>
      <c r="C162" s="47">
        <v>3</v>
      </c>
      <c r="D162" s="47" t="s">
        <v>335</v>
      </c>
      <c r="E162" s="139" t="s">
        <v>346</v>
      </c>
      <c r="F162" s="48" t="s">
        <v>347</v>
      </c>
      <c r="G162" s="60" t="str">
        <f t="shared" si="49"/>
        <v xml:space="preserve">[effect:damage_anti_abnormal, target:unit_all, target_effect01:virus, val1:1.6, val2:0.8]    </v>
      </c>
      <c r="H162" s="60">
        <f t="shared" si="50"/>
        <v>9</v>
      </c>
      <c r="I162" s="60">
        <f t="shared" si="51"/>
        <v>29</v>
      </c>
      <c r="J162" s="60">
        <f t="shared" si="52"/>
        <v>38</v>
      </c>
      <c r="K162" s="60">
        <f t="shared" si="53"/>
        <v>46</v>
      </c>
      <c r="L162" s="60" t="str">
        <f>IFERROR(VLOOKUP(MID(G162,J162,K162-J162),[6]skilldef!$C:$D,2,FALSE),"-") &amp; " / " &amp; IFERROR(VLOOKUP(MID(G162,H162,I162-H162),[6]skilldef!$A:$B,2,FALSE),"-")</f>
        <v>味方全体に / -</v>
      </c>
      <c r="M162" s="60" t="str">
        <f t="shared" si="54"/>
        <v>none</v>
      </c>
      <c r="N162" s="45" t="str">
        <f>IFERROR(LEFT(M162,FIND("],",M162)+#REF!),M162)</f>
        <v>none</v>
      </c>
      <c r="O162" s="60" t="e">
        <f t="shared" si="56"/>
        <v>#VALUE!</v>
      </c>
      <c r="P162" s="60">
        <f t="shared" si="57"/>
        <v>4</v>
      </c>
      <c r="Q162" s="60" t="e">
        <f t="shared" si="58"/>
        <v>#VALUE!</v>
      </c>
      <c r="R162" s="60" t="e">
        <f t="shared" si="59"/>
        <v>#VALUE!</v>
      </c>
      <c r="S162" s="60" t="str">
        <f>IFERROR(VLOOKUP(MID(N162,Q162,R162-Q162),[6]skilldef!$C:$D,2,FALSE),"-") &amp; " / " &amp; IFERROR(VLOOKUP(MID(N162,O162,P162-O162),[6]skilldef!$A:$B,2,FALSE),"-")</f>
        <v>- / -</v>
      </c>
      <c r="T162" s="45" t="str">
        <f t="shared" si="60"/>
        <v>none</v>
      </c>
      <c r="U162" s="60" t="e">
        <f t="shared" si="61"/>
        <v>#VALUE!</v>
      </c>
      <c r="V162" s="60">
        <f t="shared" si="62"/>
        <v>4</v>
      </c>
      <c r="W162" s="60" t="e">
        <f t="shared" si="63"/>
        <v>#VALUE!</v>
      </c>
      <c r="X162" s="60" t="e">
        <f t="shared" si="64"/>
        <v>#VALUE!</v>
      </c>
      <c r="Y162" s="60" t="str">
        <f>IFERROR(VLOOKUP(MID(T162,W162,X162-W162),[6]skilldef!$C:$D,2,FALSE),"-") &amp; " / " &amp; IFERROR(VLOOKUP(MID(T162,U162,V162-U162),[6]skilldef!$A:$B,2,FALSE),"-")</f>
        <v>- / -</v>
      </c>
    </row>
    <row r="163" spans="1:25" ht="21" customHeight="1" x14ac:dyDescent="0.15">
      <c r="A163" s="44">
        <v>15031162</v>
      </c>
      <c r="B163" s="44" t="s">
        <v>409</v>
      </c>
      <c r="C163" s="47">
        <v>3</v>
      </c>
      <c r="D163" s="47" t="s">
        <v>335</v>
      </c>
      <c r="E163" s="44" t="s">
        <v>348</v>
      </c>
      <c r="F163" s="48" t="s">
        <v>378</v>
      </c>
      <c r="G163" s="60" t="str">
        <f t="shared" si="49"/>
        <v>[effect:virus, target:unit_all, turn:5, rate:1, val:0.1, animation:enemy_virus]</v>
      </c>
      <c r="H163" s="60">
        <f t="shared" si="50"/>
        <v>9</v>
      </c>
      <c r="I163" s="60">
        <f t="shared" si="51"/>
        <v>14</v>
      </c>
      <c r="J163" s="60">
        <f t="shared" si="52"/>
        <v>23</v>
      </c>
      <c r="K163" s="60">
        <f t="shared" si="53"/>
        <v>31</v>
      </c>
      <c r="L163" s="60" t="str">
        <f>IFERROR(VLOOKUP(MID(G163,J163,K163-J163),[6]skilldef!$C:$D,2,FALSE),"-") &amp; " / " &amp; IFERROR(VLOOKUP(MID(G163,H163,I163-H163),[6]skilldef!$A:$B,2,FALSE),"-")</f>
        <v>味方全体に / ウィルス</v>
      </c>
      <c r="M163" s="60" t="str">
        <f t="shared" si="54"/>
        <v>none</v>
      </c>
      <c r="N163" s="45" t="str">
        <f>IFERROR(LEFT(M163,FIND("],",M163)+#REF!),M163)</f>
        <v>none</v>
      </c>
      <c r="O163" s="60" t="e">
        <f t="shared" si="56"/>
        <v>#VALUE!</v>
      </c>
      <c r="P163" s="60">
        <f t="shared" si="57"/>
        <v>4</v>
      </c>
      <c r="Q163" s="60" t="e">
        <f t="shared" si="58"/>
        <v>#VALUE!</v>
      </c>
      <c r="R163" s="60" t="e">
        <f t="shared" si="59"/>
        <v>#VALUE!</v>
      </c>
      <c r="S163" s="60" t="str">
        <f>IFERROR(VLOOKUP(MID(N163,Q163,R163-Q163),[6]skilldef!$C:$D,2,FALSE),"-") &amp; " / " &amp; IFERROR(VLOOKUP(MID(N163,O163,P163-O163),[6]skilldef!$A:$B,2,FALSE),"-")</f>
        <v>- / -</v>
      </c>
      <c r="T163" s="45" t="str">
        <f t="shared" si="60"/>
        <v>none</v>
      </c>
      <c r="U163" s="60" t="e">
        <f t="shared" si="61"/>
        <v>#VALUE!</v>
      </c>
      <c r="V163" s="60">
        <f t="shared" si="62"/>
        <v>4</v>
      </c>
      <c r="W163" s="60" t="e">
        <f t="shared" si="63"/>
        <v>#VALUE!</v>
      </c>
      <c r="X163" s="60" t="e">
        <f t="shared" si="64"/>
        <v>#VALUE!</v>
      </c>
      <c r="Y163" s="60" t="str">
        <f>IFERROR(VLOOKUP(MID(T163,W163,X163-W163),[6]skilldef!$C:$D,2,FALSE),"-") &amp; " / " &amp; IFERROR(VLOOKUP(MID(T163,U163,V163-U163),[6]skilldef!$A:$B,2,FALSE),"-")</f>
        <v>- / -</v>
      </c>
    </row>
    <row r="164" spans="1:25" ht="21" customHeight="1" x14ac:dyDescent="0.15">
      <c r="A164" s="44">
        <v>15031163</v>
      </c>
      <c r="B164" s="44" t="s">
        <v>239</v>
      </c>
      <c r="C164" s="47">
        <v>3</v>
      </c>
      <c r="D164" s="47" t="s">
        <v>127</v>
      </c>
      <c r="E164" s="44" t="s">
        <v>263</v>
      </c>
      <c r="F164" s="48" t="s">
        <v>230</v>
      </c>
      <c r="G164" s="60" t="str">
        <f t="shared" si="49"/>
        <v>[effect:nothing]</v>
      </c>
      <c r="H164" s="60">
        <f t="shared" si="50"/>
        <v>9</v>
      </c>
      <c r="I164" s="60">
        <f t="shared" si="51"/>
        <v>16</v>
      </c>
      <c r="J164" s="60" t="e">
        <f t="shared" si="52"/>
        <v>#VALUE!</v>
      </c>
      <c r="K164" s="60" t="e">
        <f t="shared" si="53"/>
        <v>#VALUE!</v>
      </c>
      <c r="L164" s="60" t="str">
        <f>IFERROR(VLOOKUP(MID(G164,J164,K164-J164),[6]skilldef!$C:$D,2,FALSE),"-") &amp; " / " &amp; IFERROR(VLOOKUP(MID(G164,H164,I164-H164),[6]skilldef!$A:$B,2,FALSE),"-")</f>
        <v>- / 何もしない</v>
      </c>
      <c r="M164" s="60" t="str">
        <f t="shared" si="54"/>
        <v>none</v>
      </c>
      <c r="N164" s="45" t="str">
        <f>IFERROR(LEFT(M164,FIND("],",M164)+#REF!),M164)</f>
        <v>none</v>
      </c>
      <c r="O164" s="60" t="e">
        <f t="shared" si="56"/>
        <v>#VALUE!</v>
      </c>
      <c r="P164" s="60">
        <f t="shared" si="57"/>
        <v>4</v>
      </c>
      <c r="Q164" s="60" t="e">
        <f t="shared" si="58"/>
        <v>#VALUE!</v>
      </c>
      <c r="R164" s="60" t="e">
        <f t="shared" si="59"/>
        <v>#VALUE!</v>
      </c>
      <c r="S164" s="60" t="str">
        <f>IFERROR(VLOOKUP(MID(N164,Q164,R164-Q164),[6]skilldef!$C:$D,2,FALSE),"-") &amp; " / " &amp; IFERROR(VLOOKUP(MID(N164,O164,P164-O164),[6]skilldef!$A:$B,2,FALSE),"-")</f>
        <v>- / -</v>
      </c>
      <c r="T164" s="45" t="str">
        <f t="shared" si="60"/>
        <v>none</v>
      </c>
      <c r="U164" s="60" t="e">
        <f t="shared" si="61"/>
        <v>#VALUE!</v>
      </c>
      <c r="V164" s="60">
        <f t="shared" si="62"/>
        <v>4</v>
      </c>
      <c r="W164" s="60" t="e">
        <f t="shared" si="63"/>
        <v>#VALUE!</v>
      </c>
      <c r="X164" s="60" t="e">
        <f t="shared" si="64"/>
        <v>#VALUE!</v>
      </c>
      <c r="Y164" s="60" t="str">
        <f>IFERROR(VLOOKUP(MID(T164,W164,X164-W164),[6]skilldef!$C:$D,2,FALSE),"-") &amp; " / " &amp; IFERROR(VLOOKUP(MID(T164,U164,V164-U164),[6]skilldef!$A:$B,2,FALSE),"-")</f>
        <v>- / -</v>
      </c>
    </row>
    <row r="165" spans="1:25" ht="21" customHeight="1" x14ac:dyDescent="0.15">
      <c r="A165" s="44">
        <v>15031164</v>
      </c>
      <c r="B165" s="44" t="s">
        <v>239</v>
      </c>
      <c r="C165" s="47">
        <v>3</v>
      </c>
      <c r="D165" s="47" t="s">
        <v>127</v>
      </c>
      <c r="E165" s="44" t="s">
        <v>263</v>
      </c>
      <c r="F165" s="48" t="s">
        <v>230</v>
      </c>
      <c r="G165" s="60" t="str">
        <f t="shared" si="49"/>
        <v>[effect:nothing]</v>
      </c>
      <c r="H165" s="60">
        <f t="shared" si="50"/>
        <v>9</v>
      </c>
      <c r="I165" s="60">
        <f t="shared" si="51"/>
        <v>16</v>
      </c>
      <c r="J165" s="60" t="e">
        <f t="shared" si="52"/>
        <v>#VALUE!</v>
      </c>
      <c r="K165" s="60" t="e">
        <f t="shared" si="53"/>
        <v>#VALUE!</v>
      </c>
      <c r="L165" s="60" t="str">
        <f>IFERROR(VLOOKUP(MID(G165,J165,K165-J165),[6]skilldef!$C:$D,2,FALSE),"-") &amp; " / " &amp; IFERROR(VLOOKUP(MID(G165,H165,I165-H165),[6]skilldef!$A:$B,2,FALSE),"-")</f>
        <v>- / 何もしない</v>
      </c>
      <c r="M165" s="60" t="str">
        <f t="shared" si="54"/>
        <v>none</v>
      </c>
      <c r="N165" s="45" t="str">
        <f>IFERROR(LEFT(M165,FIND("],",M165)+#REF!),M165)</f>
        <v>none</v>
      </c>
      <c r="O165" s="60" t="e">
        <f t="shared" si="56"/>
        <v>#VALUE!</v>
      </c>
      <c r="P165" s="60">
        <f t="shared" si="57"/>
        <v>4</v>
      </c>
      <c r="Q165" s="60" t="e">
        <f t="shared" si="58"/>
        <v>#VALUE!</v>
      </c>
      <c r="R165" s="60" t="e">
        <f t="shared" si="59"/>
        <v>#VALUE!</v>
      </c>
      <c r="S165" s="60" t="str">
        <f>IFERROR(VLOOKUP(MID(N165,Q165,R165-Q165),[6]skilldef!$C:$D,2,FALSE),"-") &amp; " / " &amp; IFERROR(VLOOKUP(MID(N165,O165,P165-O165),[6]skilldef!$A:$B,2,FALSE),"-")</f>
        <v>- / -</v>
      </c>
      <c r="T165" s="45" t="str">
        <f t="shared" si="60"/>
        <v>none</v>
      </c>
      <c r="U165" s="60" t="e">
        <f t="shared" si="61"/>
        <v>#VALUE!</v>
      </c>
      <c r="V165" s="60">
        <f t="shared" si="62"/>
        <v>4</v>
      </c>
      <c r="W165" s="60" t="e">
        <f t="shared" si="63"/>
        <v>#VALUE!</v>
      </c>
      <c r="X165" s="60" t="e">
        <f t="shared" si="64"/>
        <v>#VALUE!</v>
      </c>
      <c r="Y165" s="60" t="str">
        <f>IFERROR(VLOOKUP(MID(T165,W165,X165-W165),[6]skilldef!$C:$D,2,FALSE),"-") &amp; " / " &amp; IFERROR(VLOOKUP(MID(T165,U165,V165-U165),[6]skilldef!$A:$B,2,FALSE),"-")</f>
        <v>- / -</v>
      </c>
    </row>
    <row r="166" spans="1:25" ht="21" customHeight="1" x14ac:dyDescent="0.15">
      <c r="A166" s="44">
        <v>15031165</v>
      </c>
      <c r="B166" s="44" t="s">
        <v>239</v>
      </c>
      <c r="C166" s="47">
        <v>3</v>
      </c>
      <c r="D166" s="47" t="s">
        <v>127</v>
      </c>
      <c r="E166" s="44" t="s">
        <v>263</v>
      </c>
      <c r="F166" s="48" t="s">
        <v>230</v>
      </c>
      <c r="G166" s="60" t="str">
        <f t="shared" si="49"/>
        <v>[effect:nothing]</v>
      </c>
      <c r="H166" s="60">
        <f t="shared" si="50"/>
        <v>9</v>
      </c>
      <c r="I166" s="60">
        <f t="shared" si="51"/>
        <v>16</v>
      </c>
      <c r="J166" s="60" t="e">
        <f t="shared" si="52"/>
        <v>#VALUE!</v>
      </c>
      <c r="K166" s="60" t="e">
        <f t="shared" si="53"/>
        <v>#VALUE!</v>
      </c>
      <c r="L166" s="60" t="str">
        <f>IFERROR(VLOOKUP(MID(G166,J166,K166-J166),[6]skilldef!$C:$D,2,FALSE),"-") &amp; " / " &amp; IFERROR(VLOOKUP(MID(G166,H166,I166-H166),[6]skilldef!$A:$B,2,FALSE),"-")</f>
        <v>- / 何もしない</v>
      </c>
      <c r="M166" s="60" t="str">
        <f t="shared" si="54"/>
        <v>none</v>
      </c>
      <c r="N166" s="45" t="str">
        <f>IFERROR(LEFT(M166,FIND("],",M166)+#REF!),M166)</f>
        <v>none</v>
      </c>
      <c r="O166" s="60" t="e">
        <f t="shared" si="56"/>
        <v>#VALUE!</v>
      </c>
      <c r="P166" s="60">
        <f t="shared" si="57"/>
        <v>4</v>
      </c>
      <c r="Q166" s="60" t="e">
        <f t="shared" si="58"/>
        <v>#VALUE!</v>
      </c>
      <c r="R166" s="60" t="e">
        <f t="shared" si="59"/>
        <v>#VALUE!</v>
      </c>
      <c r="S166" s="60" t="str">
        <f>IFERROR(VLOOKUP(MID(N166,Q166,R166-Q166),[6]skilldef!$C:$D,2,FALSE),"-") &amp; " / " &amp; IFERROR(VLOOKUP(MID(N166,O166,P166-O166),[6]skilldef!$A:$B,2,FALSE),"-")</f>
        <v>- / -</v>
      </c>
      <c r="T166" s="45" t="str">
        <f t="shared" si="60"/>
        <v>none</v>
      </c>
      <c r="U166" s="60" t="e">
        <f t="shared" si="61"/>
        <v>#VALUE!</v>
      </c>
      <c r="V166" s="60">
        <f t="shared" si="62"/>
        <v>4</v>
      </c>
      <c r="W166" s="60" t="e">
        <f t="shared" si="63"/>
        <v>#VALUE!</v>
      </c>
      <c r="X166" s="60" t="e">
        <f t="shared" si="64"/>
        <v>#VALUE!</v>
      </c>
      <c r="Y166" s="60" t="str">
        <f>IFERROR(VLOOKUP(MID(T166,W166,X166-W166),[6]skilldef!$C:$D,2,FALSE),"-") &amp; " / " &amp; IFERROR(VLOOKUP(MID(T166,U166,V166-U166),[6]skilldef!$A:$B,2,FALSE),"-")</f>
        <v>- / -</v>
      </c>
    </row>
    <row r="167" spans="1:25" ht="21" customHeight="1" x14ac:dyDescent="0.15">
      <c r="A167" s="44">
        <v>15031166</v>
      </c>
      <c r="B167" s="44" t="s">
        <v>330</v>
      </c>
      <c r="C167" s="47">
        <v>3</v>
      </c>
      <c r="D167" s="47" t="s">
        <v>335</v>
      </c>
      <c r="E167" s="139" t="s">
        <v>332</v>
      </c>
      <c r="F167" s="48" t="s">
        <v>333</v>
      </c>
      <c r="G167" s="60" t="str">
        <f t="shared" si="49"/>
        <v>[effect:remove_enhancement, target:unit_all, target_effect:all, target_type:debuff, count:-1, animation:frozen_wave]</v>
      </c>
      <c r="H167" s="60">
        <f t="shared" si="50"/>
        <v>9</v>
      </c>
      <c r="I167" s="60">
        <f t="shared" si="51"/>
        <v>27</v>
      </c>
      <c r="J167" s="60">
        <f t="shared" si="52"/>
        <v>36</v>
      </c>
      <c r="K167" s="60">
        <f t="shared" si="53"/>
        <v>44</v>
      </c>
      <c r="L167" s="60" t="str">
        <f>IFERROR(VLOOKUP(MID(G167,J167,K167-J167),[6]skilldef!$C:$D,2,FALSE),"-") &amp; " / " &amp; IFERROR(VLOOKUP(MID(G167,H167,I167-H167),[6]skilldef!$A:$B,2,FALSE),"-")</f>
        <v>味方全体に / -</v>
      </c>
      <c r="M167" s="60" t="str">
        <f t="shared" si="54"/>
        <v>none</v>
      </c>
      <c r="N167" s="45" t="str">
        <f>IFERROR(LEFT(M167,FIND("],",M167)+#REF!),M167)</f>
        <v>none</v>
      </c>
      <c r="O167" s="60" t="e">
        <f t="shared" si="56"/>
        <v>#VALUE!</v>
      </c>
      <c r="P167" s="60">
        <f t="shared" si="57"/>
        <v>4</v>
      </c>
      <c r="Q167" s="60" t="e">
        <f t="shared" si="58"/>
        <v>#VALUE!</v>
      </c>
      <c r="R167" s="60" t="e">
        <f t="shared" si="59"/>
        <v>#VALUE!</v>
      </c>
      <c r="S167" s="60" t="str">
        <f>IFERROR(VLOOKUP(MID(N167,Q167,R167-Q167),[6]skilldef!$C:$D,2,FALSE),"-") &amp; " / " &amp; IFERROR(VLOOKUP(MID(N167,O167,P167-O167),[6]skilldef!$A:$B,2,FALSE),"-")</f>
        <v>- / -</v>
      </c>
      <c r="T167" s="45" t="str">
        <f t="shared" si="60"/>
        <v>none</v>
      </c>
      <c r="U167" s="60" t="e">
        <f t="shared" si="61"/>
        <v>#VALUE!</v>
      </c>
      <c r="V167" s="60">
        <f t="shared" si="62"/>
        <v>4</v>
      </c>
      <c r="W167" s="60" t="e">
        <f t="shared" si="63"/>
        <v>#VALUE!</v>
      </c>
      <c r="X167" s="60" t="e">
        <f t="shared" si="64"/>
        <v>#VALUE!</v>
      </c>
      <c r="Y167" s="60" t="str">
        <f>IFERROR(VLOOKUP(MID(T167,W167,X167-W167),[6]skilldef!$C:$D,2,FALSE),"-") &amp; " / " &amp; IFERROR(VLOOKUP(MID(T167,U167,V167-U167),[6]skilldef!$A:$B,2,FALSE),"-")</f>
        <v>- / -</v>
      </c>
    </row>
    <row r="168" spans="1:25" ht="21" customHeight="1" x14ac:dyDescent="0.15">
      <c r="A168" s="44">
        <v>15031167</v>
      </c>
      <c r="B168" s="44" t="s">
        <v>239</v>
      </c>
      <c r="C168" s="47">
        <v>3</v>
      </c>
      <c r="D168" s="47" t="s">
        <v>127</v>
      </c>
      <c r="E168" s="44" t="s">
        <v>264</v>
      </c>
      <c r="F168" s="48" t="s">
        <v>230</v>
      </c>
      <c r="G168" s="60" t="str">
        <f t="shared" si="49"/>
        <v>[effect:nothing]</v>
      </c>
      <c r="H168" s="60">
        <f t="shared" si="50"/>
        <v>9</v>
      </c>
      <c r="I168" s="60">
        <f t="shared" si="51"/>
        <v>16</v>
      </c>
      <c r="J168" s="60" t="e">
        <f t="shared" si="52"/>
        <v>#VALUE!</v>
      </c>
      <c r="K168" s="60" t="e">
        <f t="shared" si="53"/>
        <v>#VALUE!</v>
      </c>
      <c r="L168" s="60" t="str">
        <f>IFERROR(VLOOKUP(MID(G168,J168,K168-J168),[6]skilldef!$C:$D,2,FALSE),"-") &amp; " / " &amp; IFERROR(VLOOKUP(MID(G168,H168,I168-H168),[6]skilldef!$A:$B,2,FALSE),"-")</f>
        <v>- / 何もしない</v>
      </c>
      <c r="M168" s="60" t="str">
        <f t="shared" si="54"/>
        <v>none</v>
      </c>
      <c r="N168" s="45" t="str">
        <f>IFERROR(LEFT(M168,FIND("],",M168)+#REF!),M168)</f>
        <v>none</v>
      </c>
      <c r="O168" s="60" t="e">
        <f t="shared" si="56"/>
        <v>#VALUE!</v>
      </c>
      <c r="P168" s="60">
        <f t="shared" si="57"/>
        <v>4</v>
      </c>
      <c r="Q168" s="60" t="e">
        <f t="shared" si="58"/>
        <v>#VALUE!</v>
      </c>
      <c r="R168" s="60" t="e">
        <f t="shared" si="59"/>
        <v>#VALUE!</v>
      </c>
      <c r="S168" s="60" t="str">
        <f>IFERROR(VLOOKUP(MID(N168,Q168,R168-Q168),[6]skilldef!$C:$D,2,FALSE),"-") &amp; " / " &amp; IFERROR(VLOOKUP(MID(N168,O168,P168-O168),[6]skilldef!$A:$B,2,FALSE),"-")</f>
        <v>- / -</v>
      </c>
      <c r="T168" s="45" t="str">
        <f t="shared" si="60"/>
        <v>none</v>
      </c>
      <c r="U168" s="60" t="e">
        <f t="shared" si="61"/>
        <v>#VALUE!</v>
      </c>
      <c r="V168" s="60">
        <f t="shared" si="62"/>
        <v>4</v>
      </c>
      <c r="W168" s="60" t="e">
        <f t="shared" si="63"/>
        <v>#VALUE!</v>
      </c>
      <c r="X168" s="60" t="e">
        <f t="shared" si="64"/>
        <v>#VALUE!</v>
      </c>
      <c r="Y168" s="60" t="str">
        <f>IFERROR(VLOOKUP(MID(T168,W168,X168-W168),[6]skilldef!$C:$D,2,FALSE),"-") &amp; " / " &amp; IFERROR(VLOOKUP(MID(T168,U168,V168-U168),[6]skilldef!$A:$B,2,FALSE),"-")</f>
        <v>- / -</v>
      </c>
    </row>
    <row r="169" spans="1:25" ht="21" customHeight="1" x14ac:dyDescent="0.15">
      <c r="A169" s="44">
        <v>15031168</v>
      </c>
      <c r="B169" s="44" t="s">
        <v>239</v>
      </c>
      <c r="C169" s="47">
        <v>3</v>
      </c>
      <c r="D169" s="47" t="s">
        <v>127</v>
      </c>
      <c r="E169" s="44" t="s">
        <v>264</v>
      </c>
      <c r="F169" s="48" t="s">
        <v>230</v>
      </c>
      <c r="G169" s="60" t="str">
        <f t="shared" si="49"/>
        <v>[effect:nothing]</v>
      </c>
      <c r="H169" s="60">
        <f t="shared" si="50"/>
        <v>9</v>
      </c>
      <c r="I169" s="60">
        <f t="shared" si="51"/>
        <v>16</v>
      </c>
      <c r="J169" s="60" t="e">
        <f t="shared" si="52"/>
        <v>#VALUE!</v>
      </c>
      <c r="K169" s="60" t="e">
        <f t="shared" si="53"/>
        <v>#VALUE!</v>
      </c>
      <c r="L169" s="60" t="str">
        <f>IFERROR(VLOOKUP(MID(G169,J169,K169-J169),[6]skilldef!$C:$D,2,FALSE),"-") &amp; " / " &amp; IFERROR(VLOOKUP(MID(G169,H169,I169-H169),[6]skilldef!$A:$B,2,FALSE),"-")</f>
        <v>- / 何もしない</v>
      </c>
      <c r="M169" s="60" t="str">
        <f t="shared" si="54"/>
        <v>none</v>
      </c>
      <c r="N169" s="45" t="str">
        <f>IFERROR(LEFT(M169,FIND("],",M169)+#REF!),M169)</f>
        <v>none</v>
      </c>
      <c r="O169" s="60" t="e">
        <f t="shared" si="56"/>
        <v>#VALUE!</v>
      </c>
      <c r="P169" s="60">
        <f t="shared" si="57"/>
        <v>4</v>
      </c>
      <c r="Q169" s="60" t="e">
        <f t="shared" si="58"/>
        <v>#VALUE!</v>
      </c>
      <c r="R169" s="60" t="e">
        <f t="shared" si="59"/>
        <v>#VALUE!</v>
      </c>
      <c r="S169" s="60" t="str">
        <f>IFERROR(VLOOKUP(MID(N169,Q169,R169-Q169),[6]skilldef!$C:$D,2,FALSE),"-") &amp; " / " &amp; IFERROR(VLOOKUP(MID(N169,O169,P169-O169),[6]skilldef!$A:$B,2,FALSE),"-")</f>
        <v>- / -</v>
      </c>
      <c r="T169" s="45" t="str">
        <f t="shared" si="60"/>
        <v>none</v>
      </c>
      <c r="U169" s="60" t="e">
        <f t="shared" si="61"/>
        <v>#VALUE!</v>
      </c>
      <c r="V169" s="60">
        <f t="shared" si="62"/>
        <v>4</v>
      </c>
      <c r="W169" s="60" t="e">
        <f t="shared" si="63"/>
        <v>#VALUE!</v>
      </c>
      <c r="X169" s="60" t="e">
        <f t="shared" si="64"/>
        <v>#VALUE!</v>
      </c>
      <c r="Y169" s="60" t="str">
        <f>IFERROR(VLOOKUP(MID(T169,W169,X169-W169),[6]skilldef!$C:$D,2,FALSE),"-") &amp; " / " &amp; IFERROR(VLOOKUP(MID(T169,U169,V169-U169),[6]skilldef!$A:$B,2,FALSE),"-")</f>
        <v>- / -</v>
      </c>
    </row>
    <row r="170" spans="1:25" ht="21" customHeight="1" x14ac:dyDescent="0.15">
      <c r="A170" s="44">
        <v>15031169</v>
      </c>
      <c r="B170" s="44" t="s">
        <v>239</v>
      </c>
      <c r="C170" s="47">
        <v>3</v>
      </c>
      <c r="D170" s="47" t="s">
        <v>127</v>
      </c>
      <c r="E170" s="44" t="s">
        <v>264</v>
      </c>
      <c r="F170" s="48" t="s">
        <v>230</v>
      </c>
      <c r="G170" s="60" t="str">
        <f t="shared" si="49"/>
        <v>[effect:nothing]</v>
      </c>
      <c r="H170" s="60">
        <f t="shared" si="50"/>
        <v>9</v>
      </c>
      <c r="I170" s="60">
        <f t="shared" si="51"/>
        <v>16</v>
      </c>
      <c r="J170" s="60" t="e">
        <f t="shared" si="52"/>
        <v>#VALUE!</v>
      </c>
      <c r="K170" s="60" t="e">
        <f t="shared" si="53"/>
        <v>#VALUE!</v>
      </c>
      <c r="L170" s="60" t="str">
        <f>IFERROR(VLOOKUP(MID(G170,J170,K170-J170),[6]skilldef!$C:$D,2,FALSE),"-") &amp; " / " &amp; IFERROR(VLOOKUP(MID(G170,H170,I170-H170),[6]skilldef!$A:$B,2,FALSE),"-")</f>
        <v>- / 何もしない</v>
      </c>
      <c r="M170" s="60" t="str">
        <f t="shared" si="54"/>
        <v>none</v>
      </c>
      <c r="N170" s="45" t="str">
        <f>IFERROR(LEFT(M170,FIND("],",M170)+#REF!),M170)</f>
        <v>none</v>
      </c>
      <c r="O170" s="60" t="e">
        <f t="shared" si="56"/>
        <v>#VALUE!</v>
      </c>
      <c r="P170" s="60">
        <f t="shared" si="57"/>
        <v>4</v>
      </c>
      <c r="Q170" s="60" t="e">
        <f t="shared" si="58"/>
        <v>#VALUE!</v>
      </c>
      <c r="R170" s="60" t="e">
        <f t="shared" si="59"/>
        <v>#VALUE!</v>
      </c>
      <c r="S170" s="60" t="str">
        <f>IFERROR(VLOOKUP(MID(N170,Q170,R170-Q170),[6]skilldef!$C:$D,2,FALSE),"-") &amp; " / " &amp; IFERROR(VLOOKUP(MID(N170,O170,P170-O170),[6]skilldef!$A:$B,2,FALSE),"-")</f>
        <v>- / -</v>
      </c>
      <c r="T170" s="45" t="str">
        <f t="shared" si="60"/>
        <v>none</v>
      </c>
      <c r="U170" s="60" t="e">
        <f t="shared" si="61"/>
        <v>#VALUE!</v>
      </c>
      <c r="V170" s="60">
        <f t="shared" si="62"/>
        <v>4</v>
      </c>
      <c r="W170" s="60" t="e">
        <f t="shared" si="63"/>
        <v>#VALUE!</v>
      </c>
      <c r="X170" s="60" t="e">
        <f t="shared" si="64"/>
        <v>#VALUE!</v>
      </c>
      <c r="Y170" s="60" t="str">
        <f>IFERROR(VLOOKUP(MID(T170,W170,X170-W170),[6]skilldef!$C:$D,2,FALSE),"-") &amp; " / " &amp; IFERROR(VLOOKUP(MID(T170,U170,V170-U170),[6]skilldef!$A:$B,2,FALSE),"-")</f>
        <v>- / -</v>
      </c>
    </row>
    <row r="171" spans="1:25" ht="21" customHeight="1" x14ac:dyDescent="0.15">
      <c r="A171" s="44">
        <v>15031170</v>
      </c>
      <c r="B171" s="44" t="s">
        <v>239</v>
      </c>
      <c r="C171" s="47">
        <v>3</v>
      </c>
      <c r="D171" s="47" t="s">
        <v>127</v>
      </c>
      <c r="E171" s="44" t="s">
        <v>264</v>
      </c>
      <c r="F171" s="48" t="s">
        <v>230</v>
      </c>
      <c r="G171" s="60" t="str">
        <f t="shared" si="49"/>
        <v>[effect:nothing]</v>
      </c>
      <c r="H171" s="60">
        <f t="shared" si="50"/>
        <v>9</v>
      </c>
      <c r="I171" s="60">
        <f t="shared" si="51"/>
        <v>16</v>
      </c>
      <c r="J171" s="60" t="e">
        <f t="shared" si="52"/>
        <v>#VALUE!</v>
      </c>
      <c r="K171" s="60" t="e">
        <f t="shared" si="53"/>
        <v>#VALUE!</v>
      </c>
      <c r="L171" s="60" t="str">
        <f>IFERROR(VLOOKUP(MID(G171,J171,K171-J171),[6]skilldef!$C:$D,2,FALSE),"-") &amp; " / " &amp; IFERROR(VLOOKUP(MID(G171,H171,I171-H171),[6]skilldef!$A:$B,2,FALSE),"-")</f>
        <v>- / 何もしない</v>
      </c>
      <c r="M171" s="60" t="str">
        <f t="shared" si="54"/>
        <v>none</v>
      </c>
      <c r="N171" s="45" t="str">
        <f>IFERROR(LEFT(M171,FIND("],",M171)+#REF!),M171)</f>
        <v>none</v>
      </c>
      <c r="O171" s="60" t="e">
        <f t="shared" si="56"/>
        <v>#VALUE!</v>
      </c>
      <c r="P171" s="60">
        <f t="shared" si="57"/>
        <v>4</v>
      </c>
      <c r="Q171" s="60" t="e">
        <f t="shared" si="58"/>
        <v>#VALUE!</v>
      </c>
      <c r="R171" s="60" t="e">
        <f t="shared" si="59"/>
        <v>#VALUE!</v>
      </c>
      <c r="S171" s="60" t="str">
        <f>IFERROR(VLOOKUP(MID(N171,Q171,R171-Q171),[6]skilldef!$C:$D,2,FALSE),"-") &amp; " / " &amp; IFERROR(VLOOKUP(MID(N171,O171,P171-O171),[6]skilldef!$A:$B,2,FALSE),"-")</f>
        <v>- / -</v>
      </c>
      <c r="T171" s="45" t="str">
        <f t="shared" si="60"/>
        <v>none</v>
      </c>
      <c r="U171" s="60" t="e">
        <f t="shared" si="61"/>
        <v>#VALUE!</v>
      </c>
      <c r="V171" s="60">
        <f t="shared" si="62"/>
        <v>4</v>
      </c>
      <c r="W171" s="60" t="e">
        <f t="shared" si="63"/>
        <v>#VALUE!</v>
      </c>
      <c r="X171" s="60" t="e">
        <f t="shared" si="64"/>
        <v>#VALUE!</v>
      </c>
      <c r="Y171" s="60" t="str">
        <f>IFERROR(VLOOKUP(MID(T171,W171,X171-W171),[6]skilldef!$C:$D,2,FALSE),"-") &amp; " / " &amp; IFERROR(VLOOKUP(MID(T171,U171,V171-U171),[6]skilldef!$A:$B,2,FALSE),"-")</f>
        <v>- / -</v>
      </c>
    </row>
    <row r="172" spans="1:25" ht="21" customHeight="1" x14ac:dyDescent="0.15">
      <c r="A172" s="44">
        <v>15031171</v>
      </c>
      <c r="B172" s="44" t="s">
        <v>407</v>
      </c>
      <c r="C172" s="47">
        <v>3</v>
      </c>
      <c r="D172" s="47" t="s">
        <v>127</v>
      </c>
      <c r="E172" s="139" t="s">
        <v>294</v>
      </c>
      <c r="F172" s="48" t="s">
        <v>402</v>
      </c>
      <c r="G172" s="60" t="str">
        <f t="shared" si="49"/>
        <v>[effect:enemy_counter, target:myself, invoke_condition:unit_all, counter_target:attacker, turn:2, val:1.3, animation:counter_buff03]</v>
      </c>
      <c r="H172" s="60">
        <f t="shared" si="50"/>
        <v>9</v>
      </c>
      <c r="I172" s="60">
        <f t="shared" si="51"/>
        <v>22</v>
      </c>
      <c r="J172" s="60">
        <f t="shared" si="52"/>
        <v>31</v>
      </c>
      <c r="K172" s="60">
        <f t="shared" si="53"/>
        <v>37</v>
      </c>
      <c r="L172" s="60" t="str">
        <f>IFERROR(VLOOKUP(MID(G172,J172,K172-J172),[6]skilldef!$C:$D,2,FALSE),"-") &amp; " / " &amp; IFERROR(VLOOKUP(MID(G172,H172,I172-H172),[6]skilldef!$A:$B,2,FALSE),"-")</f>
        <v>自分自身に / カウンター</v>
      </c>
      <c r="M172" s="60" t="str">
        <f t="shared" si="54"/>
        <v>none</v>
      </c>
      <c r="N172" s="45" t="str">
        <f t="shared" ref="N172:N186" si="65">IFERROR(LEFT(M172,FIND("],",M172)+S192),M172)</f>
        <v>none</v>
      </c>
      <c r="O172" s="60" t="e">
        <f t="shared" si="56"/>
        <v>#VALUE!</v>
      </c>
      <c r="P172" s="60">
        <f t="shared" si="57"/>
        <v>4</v>
      </c>
      <c r="Q172" s="60" t="e">
        <f t="shared" si="58"/>
        <v>#VALUE!</v>
      </c>
      <c r="R172" s="60" t="e">
        <f t="shared" si="59"/>
        <v>#VALUE!</v>
      </c>
      <c r="S172" s="60" t="str">
        <f>IFERROR(VLOOKUP(MID(N172,Q172,R172-Q172),[6]skilldef!$C:$D,2,FALSE),"-") &amp; " / " &amp; IFERROR(VLOOKUP(MID(N172,O172,P172-O172),[6]skilldef!$A:$B,2,FALSE),"-")</f>
        <v>- / -</v>
      </c>
      <c r="T172" s="45" t="str">
        <f t="shared" si="60"/>
        <v>none</v>
      </c>
      <c r="U172" s="60" t="e">
        <f t="shared" si="61"/>
        <v>#VALUE!</v>
      </c>
      <c r="V172" s="60">
        <f t="shared" si="62"/>
        <v>4</v>
      </c>
      <c r="W172" s="60" t="e">
        <f t="shared" si="63"/>
        <v>#VALUE!</v>
      </c>
      <c r="X172" s="60" t="e">
        <f t="shared" si="64"/>
        <v>#VALUE!</v>
      </c>
      <c r="Y172" s="60" t="str">
        <f>IFERROR(VLOOKUP(MID(T172,W172,X172-W172),[6]skilldef!$C:$D,2,FALSE),"-") &amp; " / " &amp; IFERROR(VLOOKUP(MID(T172,U172,V172-U172),[6]skilldef!$A:$B,2,FALSE),"-")</f>
        <v>- / -</v>
      </c>
    </row>
    <row r="173" spans="1:25" ht="21" customHeight="1" x14ac:dyDescent="0.15">
      <c r="A173" s="44">
        <v>15031172</v>
      </c>
      <c r="B173" s="44" t="s">
        <v>254</v>
      </c>
      <c r="C173" s="47">
        <v>3</v>
      </c>
      <c r="D173" s="47" t="s">
        <v>127</v>
      </c>
      <c r="E173" s="44" t="s">
        <v>295</v>
      </c>
      <c r="F173" s="48" t="s">
        <v>235</v>
      </c>
      <c r="G173" s="60" t="str">
        <f t="shared" si="49"/>
        <v>[effect:spread, val:0.3]</v>
      </c>
      <c r="H173" s="60">
        <f t="shared" si="50"/>
        <v>9</v>
      </c>
      <c r="I173" s="60">
        <f t="shared" si="51"/>
        <v>15</v>
      </c>
      <c r="J173" s="60" t="e">
        <f t="shared" si="52"/>
        <v>#VALUE!</v>
      </c>
      <c r="K173" s="60" t="e">
        <f t="shared" si="53"/>
        <v>#VALUE!</v>
      </c>
      <c r="L173" s="60" t="str">
        <f>IFERROR(VLOOKUP(MID(G173,J173,K173-J173),[6]skilldef!$C:$D,2,FALSE),"-") &amp; " / " &amp; IFERROR(VLOOKUP(MID(G173,H173,I173-H173),[6]skilldef!$A:$B,2,FALSE),"-")</f>
        <v>- / 全体攻撃</v>
      </c>
      <c r="M173" s="60" t="str">
        <f t="shared" si="54"/>
        <v>none</v>
      </c>
      <c r="N173" s="45" t="str">
        <f t="shared" si="65"/>
        <v>none</v>
      </c>
      <c r="O173" s="60" t="e">
        <f t="shared" si="56"/>
        <v>#VALUE!</v>
      </c>
      <c r="P173" s="60">
        <f t="shared" si="57"/>
        <v>4</v>
      </c>
      <c r="Q173" s="60" t="e">
        <f t="shared" si="58"/>
        <v>#VALUE!</v>
      </c>
      <c r="R173" s="60" t="e">
        <f t="shared" si="59"/>
        <v>#VALUE!</v>
      </c>
      <c r="S173" s="60" t="str">
        <f>IFERROR(VLOOKUP(MID(N173,Q173,R173-Q173),[6]skilldef!$C:$D,2,FALSE),"-") &amp; " / " &amp; IFERROR(VLOOKUP(MID(N173,O173,P173-O173),[6]skilldef!$A:$B,2,FALSE),"-")</f>
        <v>- / -</v>
      </c>
      <c r="T173" s="45" t="str">
        <f t="shared" si="60"/>
        <v>none</v>
      </c>
      <c r="U173" s="60" t="e">
        <f t="shared" si="61"/>
        <v>#VALUE!</v>
      </c>
      <c r="V173" s="60">
        <f t="shared" si="62"/>
        <v>4</v>
      </c>
      <c r="W173" s="60" t="e">
        <f t="shared" si="63"/>
        <v>#VALUE!</v>
      </c>
      <c r="X173" s="60" t="e">
        <f t="shared" si="64"/>
        <v>#VALUE!</v>
      </c>
      <c r="Y173" s="60" t="str">
        <f>IFERROR(VLOOKUP(MID(T173,W173,X173-W173),[6]skilldef!$C:$D,2,FALSE),"-") &amp; " / " &amp; IFERROR(VLOOKUP(MID(T173,U173,V173-U173),[6]skilldef!$A:$B,2,FALSE),"-")</f>
        <v>- / -</v>
      </c>
    </row>
    <row r="174" spans="1:25" ht="21" customHeight="1" x14ac:dyDescent="0.15">
      <c r="A174" s="44">
        <v>15031173</v>
      </c>
      <c r="B174" s="44" t="s">
        <v>229</v>
      </c>
      <c r="C174" s="47">
        <v>3</v>
      </c>
      <c r="D174" s="47" t="s">
        <v>127</v>
      </c>
      <c r="E174" s="44" t="s">
        <v>241</v>
      </c>
      <c r="F174" s="48" t="s">
        <v>230</v>
      </c>
      <c r="G174" s="60" t="str">
        <f t="shared" si="49"/>
        <v>[effect:nothing]</v>
      </c>
      <c r="H174" s="60">
        <f t="shared" si="50"/>
        <v>9</v>
      </c>
      <c r="I174" s="60">
        <f t="shared" si="51"/>
        <v>16</v>
      </c>
      <c r="J174" s="60" t="e">
        <f t="shared" si="52"/>
        <v>#VALUE!</v>
      </c>
      <c r="K174" s="60" t="e">
        <f t="shared" si="53"/>
        <v>#VALUE!</v>
      </c>
      <c r="L174" s="60" t="str">
        <f>IFERROR(VLOOKUP(MID(G174,J174,K174-J174),[6]skilldef!$C:$D,2,FALSE),"-") &amp; " / " &amp; IFERROR(VLOOKUP(MID(G174,H174,I174-H174),[6]skilldef!$A:$B,2,FALSE),"-")</f>
        <v>- / 何もしない</v>
      </c>
      <c r="M174" s="60" t="str">
        <f t="shared" si="54"/>
        <v>none</v>
      </c>
      <c r="N174" s="45" t="str">
        <f t="shared" si="65"/>
        <v>none</v>
      </c>
      <c r="O174" s="60" t="e">
        <f t="shared" si="56"/>
        <v>#VALUE!</v>
      </c>
      <c r="P174" s="60">
        <f t="shared" si="57"/>
        <v>4</v>
      </c>
      <c r="Q174" s="60" t="e">
        <f t="shared" si="58"/>
        <v>#VALUE!</v>
      </c>
      <c r="R174" s="60" t="e">
        <f t="shared" si="59"/>
        <v>#VALUE!</v>
      </c>
      <c r="S174" s="60" t="str">
        <f>IFERROR(VLOOKUP(MID(N174,Q174,R174-Q174),[6]skilldef!$C:$D,2,FALSE),"-") &amp; " / " &amp; IFERROR(VLOOKUP(MID(N174,O174,P174-O174),[6]skilldef!$A:$B,2,FALSE),"-")</f>
        <v>- / -</v>
      </c>
      <c r="T174" s="45" t="str">
        <f t="shared" si="60"/>
        <v>none</v>
      </c>
      <c r="U174" s="60" t="e">
        <f t="shared" si="61"/>
        <v>#VALUE!</v>
      </c>
      <c r="V174" s="60">
        <f t="shared" si="62"/>
        <v>4</v>
      </c>
      <c r="W174" s="60" t="e">
        <f t="shared" si="63"/>
        <v>#VALUE!</v>
      </c>
      <c r="X174" s="60" t="e">
        <f t="shared" si="64"/>
        <v>#VALUE!</v>
      </c>
      <c r="Y174" s="60" t="str">
        <f>IFERROR(VLOOKUP(MID(T174,W174,X174-W174),[6]skilldef!$C:$D,2,FALSE),"-") &amp; " / " &amp; IFERROR(VLOOKUP(MID(T174,U174,V174-U174),[6]skilldef!$A:$B,2,FALSE),"-")</f>
        <v>- / -</v>
      </c>
    </row>
    <row r="175" spans="1:25" ht="21" customHeight="1" x14ac:dyDescent="0.15">
      <c r="A175" s="44">
        <v>15031174</v>
      </c>
      <c r="B175" s="44" t="s">
        <v>229</v>
      </c>
      <c r="C175" s="47">
        <v>3</v>
      </c>
      <c r="D175" s="47" t="s">
        <v>127</v>
      </c>
      <c r="E175" s="44" t="s">
        <v>241</v>
      </c>
      <c r="F175" s="48" t="s">
        <v>230</v>
      </c>
      <c r="G175" s="60" t="str">
        <f t="shared" si="49"/>
        <v>[effect:nothing]</v>
      </c>
      <c r="H175" s="60">
        <f t="shared" si="50"/>
        <v>9</v>
      </c>
      <c r="I175" s="60">
        <f t="shared" si="51"/>
        <v>16</v>
      </c>
      <c r="J175" s="60" t="e">
        <f t="shared" si="52"/>
        <v>#VALUE!</v>
      </c>
      <c r="K175" s="60" t="e">
        <f t="shared" si="53"/>
        <v>#VALUE!</v>
      </c>
      <c r="L175" s="60" t="str">
        <f>IFERROR(VLOOKUP(MID(G175,J175,K175-J175),[6]skilldef!$C:$D,2,FALSE),"-") &amp; " / " &amp; IFERROR(VLOOKUP(MID(G175,H175,I175-H175),[6]skilldef!$A:$B,2,FALSE),"-")</f>
        <v>- / 何もしない</v>
      </c>
      <c r="M175" s="60" t="str">
        <f t="shared" si="54"/>
        <v>none</v>
      </c>
      <c r="N175" s="45" t="str">
        <f t="shared" si="65"/>
        <v>none</v>
      </c>
      <c r="O175" s="60" t="e">
        <f t="shared" si="56"/>
        <v>#VALUE!</v>
      </c>
      <c r="P175" s="60">
        <f t="shared" si="57"/>
        <v>4</v>
      </c>
      <c r="Q175" s="60" t="e">
        <f t="shared" si="58"/>
        <v>#VALUE!</v>
      </c>
      <c r="R175" s="60" t="e">
        <f t="shared" si="59"/>
        <v>#VALUE!</v>
      </c>
      <c r="S175" s="60" t="str">
        <f>IFERROR(VLOOKUP(MID(N175,Q175,R175-Q175),[6]skilldef!$C:$D,2,FALSE),"-") &amp; " / " &amp; IFERROR(VLOOKUP(MID(N175,O175,P175-O175),[6]skilldef!$A:$B,2,FALSE),"-")</f>
        <v>- / -</v>
      </c>
      <c r="T175" s="45" t="str">
        <f t="shared" si="60"/>
        <v>none</v>
      </c>
      <c r="U175" s="60" t="e">
        <f t="shared" si="61"/>
        <v>#VALUE!</v>
      </c>
      <c r="V175" s="60">
        <f t="shared" si="62"/>
        <v>4</v>
      </c>
      <c r="W175" s="60" t="e">
        <f t="shared" si="63"/>
        <v>#VALUE!</v>
      </c>
      <c r="X175" s="60" t="e">
        <f t="shared" si="64"/>
        <v>#VALUE!</v>
      </c>
      <c r="Y175" s="60" t="str">
        <f>IFERROR(VLOOKUP(MID(T175,W175,X175-W175),[6]skilldef!$C:$D,2,FALSE),"-") &amp; " / " &amp; IFERROR(VLOOKUP(MID(T175,U175,V175-U175),[6]skilldef!$A:$B,2,FALSE),"-")</f>
        <v>- / -</v>
      </c>
    </row>
    <row r="176" spans="1:25" ht="21" customHeight="1" x14ac:dyDescent="0.15">
      <c r="A176" s="44">
        <v>15031175</v>
      </c>
      <c r="B176" s="44" t="s">
        <v>229</v>
      </c>
      <c r="C176" s="47">
        <v>3</v>
      </c>
      <c r="D176" s="47" t="s">
        <v>127</v>
      </c>
      <c r="E176" s="44" t="s">
        <v>241</v>
      </c>
      <c r="F176" s="48" t="s">
        <v>230</v>
      </c>
      <c r="G176" s="60" t="str">
        <f t="shared" si="49"/>
        <v>[effect:nothing]</v>
      </c>
      <c r="H176" s="60">
        <f t="shared" si="50"/>
        <v>9</v>
      </c>
      <c r="I176" s="60">
        <f t="shared" si="51"/>
        <v>16</v>
      </c>
      <c r="J176" s="60" t="e">
        <f t="shared" si="52"/>
        <v>#VALUE!</v>
      </c>
      <c r="K176" s="60" t="e">
        <f t="shared" si="53"/>
        <v>#VALUE!</v>
      </c>
      <c r="L176" s="60" t="str">
        <f>IFERROR(VLOOKUP(MID(G176,J176,K176-J176),[6]skilldef!$C:$D,2,FALSE),"-") &amp; " / " &amp; IFERROR(VLOOKUP(MID(G176,H176,I176-H176),[6]skilldef!$A:$B,2,FALSE),"-")</f>
        <v>- / 何もしない</v>
      </c>
      <c r="M176" s="60" t="str">
        <f t="shared" si="54"/>
        <v>none</v>
      </c>
      <c r="N176" s="45" t="str">
        <f t="shared" si="65"/>
        <v>none</v>
      </c>
      <c r="O176" s="60" t="e">
        <f t="shared" si="56"/>
        <v>#VALUE!</v>
      </c>
      <c r="P176" s="60">
        <f t="shared" si="57"/>
        <v>4</v>
      </c>
      <c r="Q176" s="60" t="e">
        <f t="shared" si="58"/>
        <v>#VALUE!</v>
      </c>
      <c r="R176" s="60" t="e">
        <f t="shared" si="59"/>
        <v>#VALUE!</v>
      </c>
      <c r="S176" s="60" t="str">
        <f>IFERROR(VLOOKUP(MID(N176,Q176,R176-Q176),[6]skilldef!$C:$D,2,FALSE),"-") &amp; " / " &amp; IFERROR(VLOOKUP(MID(N176,O176,P176-O176),[6]skilldef!$A:$B,2,FALSE),"-")</f>
        <v>- / -</v>
      </c>
      <c r="T176" s="45" t="str">
        <f t="shared" si="60"/>
        <v>none</v>
      </c>
      <c r="U176" s="60" t="e">
        <f t="shared" si="61"/>
        <v>#VALUE!</v>
      </c>
      <c r="V176" s="60">
        <f t="shared" si="62"/>
        <v>4</v>
      </c>
      <c r="W176" s="60" t="e">
        <f t="shared" si="63"/>
        <v>#VALUE!</v>
      </c>
      <c r="X176" s="60" t="e">
        <f t="shared" si="64"/>
        <v>#VALUE!</v>
      </c>
      <c r="Y176" s="60" t="str">
        <f>IFERROR(VLOOKUP(MID(T176,W176,X176-W176),[6]skilldef!$C:$D,2,FALSE),"-") &amp; " / " &amp; IFERROR(VLOOKUP(MID(T176,U176,V176-U176),[6]skilldef!$A:$B,2,FALSE),"-")</f>
        <v>- / -</v>
      </c>
    </row>
    <row r="177" spans="1:25" ht="21" customHeight="1" x14ac:dyDescent="0.15">
      <c r="A177" s="44">
        <v>15031176</v>
      </c>
      <c r="B177" s="44" t="s">
        <v>478</v>
      </c>
      <c r="C177" s="47">
        <v>3</v>
      </c>
      <c r="D177" s="47" t="s">
        <v>127</v>
      </c>
      <c r="E177" s="139" t="s">
        <v>296</v>
      </c>
      <c r="F177" s="48" t="s">
        <v>252</v>
      </c>
      <c r="G177" s="60" t="str">
        <f t="shared" ref="G177:G181" si="66">IFERROR(LEFT(B177,FIND("],",B177)),B177)</f>
        <v>[effect:change_attribute, target:myself, color:blue, turn:-1]</v>
      </c>
      <c r="H177" s="60">
        <f t="shared" si="50"/>
        <v>9</v>
      </c>
      <c r="I177" s="60">
        <f t="shared" ref="I177:I181" si="67">IFERROR(FIND(",",G177),LEN(G177))</f>
        <v>25</v>
      </c>
      <c r="J177" s="60">
        <f t="shared" ref="J177:J181" si="68">FIND("target:",G177)+7</f>
        <v>34</v>
      </c>
      <c r="K177" s="60">
        <f t="shared" ref="K177:K181" si="69">FIND(",",G177,I177+1)</f>
        <v>40</v>
      </c>
      <c r="L177" s="60" t="str">
        <f>IFERROR(VLOOKUP(MID(G177,J177,K177-J177),[6]skilldef!$C:$D,2,FALSE),"-") &amp; " / " &amp; IFERROR(VLOOKUP(MID(G177,H177,I177-H177),[6]skilldef!$A:$B,2,FALSE),"-")</f>
        <v>自分自身に / -</v>
      </c>
      <c r="M177" s="60" t="str">
        <f t="shared" ref="M177:M181" si="70">IFERROR(RIGHT(B177,LEN(B177)-FIND("],",B177)-1),"none")</f>
        <v>none</v>
      </c>
      <c r="N177" s="45" t="str">
        <f t="shared" si="65"/>
        <v>none</v>
      </c>
      <c r="O177" s="60" t="e">
        <f t="shared" si="56"/>
        <v>#VALUE!</v>
      </c>
      <c r="P177" s="60">
        <f t="shared" ref="P177:P181" si="71">IFERROR(FIND(",",N177),LEN(N177))</f>
        <v>4</v>
      </c>
      <c r="Q177" s="60" t="e">
        <f t="shared" ref="Q177:Q181" si="72">FIND("target:",N177)+7</f>
        <v>#VALUE!</v>
      </c>
      <c r="R177" s="60" t="e">
        <f t="shared" ref="R177:R181" si="73">FIND(",",N177,P177+1)</f>
        <v>#VALUE!</v>
      </c>
      <c r="S177" s="60" t="str">
        <f>IFERROR(VLOOKUP(MID(N177,Q177,R177-Q177),[6]skilldef!$C:$D,2,FALSE),"-") &amp; " / " &amp; IFERROR(VLOOKUP(MID(N177,O177,P177-O177),[6]skilldef!$A:$B,2,FALSE),"-")</f>
        <v>- / -</v>
      </c>
      <c r="T177" s="45" t="str">
        <f t="shared" ref="T177:T181" si="74">IFERROR(RIGHT(M177,LEN(M177)-FIND("],",M177)-1),"none")</f>
        <v>none</v>
      </c>
      <c r="U177" s="60" t="e">
        <f t="shared" si="61"/>
        <v>#VALUE!</v>
      </c>
      <c r="V177" s="60">
        <f t="shared" ref="V177:V181" si="75">IFERROR(FIND(",",T177),LEN(T177))</f>
        <v>4</v>
      </c>
      <c r="W177" s="60" t="e">
        <f t="shared" ref="W177:W181" si="76">FIND("target:",T177)+7</f>
        <v>#VALUE!</v>
      </c>
      <c r="X177" s="60" t="e">
        <f t="shared" ref="X177:X181" si="77">FIND(",",T177,V177+1)</f>
        <v>#VALUE!</v>
      </c>
      <c r="Y177" s="60" t="str">
        <f>IFERROR(VLOOKUP(MID(T177,W177,X177-W177),[6]skilldef!$C:$D,2,FALSE),"-") &amp; " / " &amp; IFERROR(VLOOKUP(MID(T177,U177,V177-U177),[6]skilldef!$A:$B,2,FALSE),"-")</f>
        <v>- / -</v>
      </c>
    </row>
    <row r="178" spans="1:25" ht="21" customHeight="1" x14ac:dyDescent="0.15">
      <c r="A178" s="44">
        <v>15031177</v>
      </c>
      <c r="B178" s="44" t="s">
        <v>380</v>
      </c>
      <c r="C178" s="47">
        <v>3</v>
      </c>
      <c r="D178" s="47" t="s">
        <v>127</v>
      </c>
      <c r="E178" s="44" t="s">
        <v>297</v>
      </c>
      <c r="F178" s="48" t="s">
        <v>403</v>
      </c>
      <c r="G178" s="60" t="str">
        <f t="shared" si="66"/>
        <v>[effect:change_block, new_block:time_bomb, target:block_all, count:4, val:0.3, animation:change_block]</v>
      </c>
      <c r="H178" s="60">
        <f t="shared" si="50"/>
        <v>9</v>
      </c>
      <c r="I178" s="60">
        <f t="shared" si="67"/>
        <v>21</v>
      </c>
      <c r="J178" s="60">
        <f t="shared" si="68"/>
        <v>51</v>
      </c>
      <c r="K178" s="60">
        <f t="shared" si="69"/>
        <v>42</v>
      </c>
      <c r="L178" s="60" t="str">
        <f>IFERROR(VLOOKUP(MID(G178,J178,K178-J178),[6]skilldef!$C:$D,2,FALSE),"-") &amp; " / " &amp; IFERROR(VLOOKUP(MID(G178,H178,I178-H178),[6]skilldef!$A:$B,2,FALSE),"-")</f>
        <v>- / ブロック変換</v>
      </c>
      <c r="M178" s="60" t="str">
        <f t="shared" si="70"/>
        <v>none</v>
      </c>
      <c r="N178" s="45" t="str">
        <f t="shared" si="65"/>
        <v>none</v>
      </c>
      <c r="O178" s="60" t="e">
        <f t="shared" si="56"/>
        <v>#VALUE!</v>
      </c>
      <c r="P178" s="60">
        <f t="shared" si="71"/>
        <v>4</v>
      </c>
      <c r="Q178" s="60" t="e">
        <f t="shared" si="72"/>
        <v>#VALUE!</v>
      </c>
      <c r="R178" s="60" t="e">
        <f t="shared" si="73"/>
        <v>#VALUE!</v>
      </c>
      <c r="S178" s="60" t="str">
        <f>IFERROR(VLOOKUP(MID(N178,Q178,R178-Q178),[6]skilldef!$C:$D,2,FALSE),"-") &amp; " / " &amp; IFERROR(VLOOKUP(MID(N178,O178,P178-O178),[6]skilldef!$A:$B,2,FALSE),"-")</f>
        <v>- / -</v>
      </c>
      <c r="T178" s="45" t="str">
        <f t="shared" si="74"/>
        <v>none</v>
      </c>
      <c r="U178" s="60" t="e">
        <f t="shared" si="61"/>
        <v>#VALUE!</v>
      </c>
      <c r="V178" s="60">
        <f t="shared" si="75"/>
        <v>4</v>
      </c>
      <c r="W178" s="60" t="e">
        <f t="shared" si="76"/>
        <v>#VALUE!</v>
      </c>
      <c r="X178" s="60" t="e">
        <f t="shared" si="77"/>
        <v>#VALUE!</v>
      </c>
      <c r="Y178" s="60" t="str">
        <f>IFERROR(VLOOKUP(MID(T178,W178,X178-W178),[6]skilldef!$C:$D,2,FALSE),"-") &amp; " / " &amp; IFERROR(VLOOKUP(MID(T178,U178,V178-U178),[6]skilldef!$A:$B,2,FALSE),"-")</f>
        <v>- / -</v>
      </c>
    </row>
    <row r="179" spans="1:25" ht="21" customHeight="1" x14ac:dyDescent="0.15">
      <c r="A179" s="44">
        <v>15031178</v>
      </c>
      <c r="B179" s="44" t="s">
        <v>254</v>
      </c>
      <c r="C179" s="47">
        <v>3</v>
      </c>
      <c r="D179" s="47" t="s">
        <v>127</v>
      </c>
      <c r="E179" s="44" t="s">
        <v>293</v>
      </c>
      <c r="F179" s="48" t="s">
        <v>235</v>
      </c>
      <c r="G179" s="60" t="str">
        <f t="shared" si="66"/>
        <v>[effect:spread, val:0.3]</v>
      </c>
      <c r="H179" s="60">
        <f t="shared" si="50"/>
        <v>9</v>
      </c>
      <c r="I179" s="60">
        <f t="shared" si="67"/>
        <v>15</v>
      </c>
      <c r="J179" s="60" t="e">
        <f t="shared" si="68"/>
        <v>#VALUE!</v>
      </c>
      <c r="K179" s="60" t="e">
        <f t="shared" si="69"/>
        <v>#VALUE!</v>
      </c>
      <c r="L179" s="60" t="str">
        <f>IFERROR(VLOOKUP(MID(G179,J179,K179-J179),[6]skilldef!$C:$D,2,FALSE),"-") &amp; " / " &amp; IFERROR(VLOOKUP(MID(G179,H179,I179-H179),[6]skilldef!$A:$B,2,FALSE),"-")</f>
        <v>- / 全体攻撃</v>
      </c>
      <c r="M179" s="60" t="str">
        <f t="shared" si="70"/>
        <v>none</v>
      </c>
      <c r="N179" s="45" t="str">
        <f t="shared" si="65"/>
        <v>none</v>
      </c>
      <c r="O179" s="60" t="e">
        <f t="shared" si="56"/>
        <v>#VALUE!</v>
      </c>
      <c r="P179" s="60">
        <f t="shared" si="71"/>
        <v>4</v>
      </c>
      <c r="Q179" s="60" t="e">
        <f t="shared" si="72"/>
        <v>#VALUE!</v>
      </c>
      <c r="R179" s="60" t="e">
        <f t="shared" si="73"/>
        <v>#VALUE!</v>
      </c>
      <c r="S179" s="60" t="str">
        <f>IFERROR(VLOOKUP(MID(N179,Q179,R179-Q179),[6]skilldef!$C:$D,2,FALSE),"-") &amp; " / " &amp; IFERROR(VLOOKUP(MID(N179,O179,P179-O179),[6]skilldef!$A:$B,2,FALSE),"-")</f>
        <v>- / -</v>
      </c>
      <c r="T179" s="45" t="str">
        <f t="shared" si="74"/>
        <v>none</v>
      </c>
      <c r="U179" s="60" t="e">
        <f t="shared" si="61"/>
        <v>#VALUE!</v>
      </c>
      <c r="V179" s="60">
        <f t="shared" si="75"/>
        <v>4</v>
      </c>
      <c r="W179" s="60" t="e">
        <f t="shared" si="76"/>
        <v>#VALUE!</v>
      </c>
      <c r="X179" s="60" t="e">
        <f t="shared" si="77"/>
        <v>#VALUE!</v>
      </c>
      <c r="Y179" s="60" t="str">
        <f>IFERROR(VLOOKUP(MID(T179,W179,X179-W179),[6]skilldef!$C:$D,2,FALSE),"-") &amp; " / " &amp; IFERROR(VLOOKUP(MID(T179,U179,V179-U179),[6]skilldef!$A:$B,2,FALSE),"-")</f>
        <v>- / -</v>
      </c>
    </row>
    <row r="180" spans="1:25" ht="21" customHeight="1" x14ac:dyDescent="0.15">
      <c r="A180" s="44">
        <v>15031179</v>
      </c>
      <c r="B180" s="44" t="s">
        <v>228</v>
      </c>
      <c r="C180" s="47">
        <v>3</v>
      </c>
      <c r="D180" s="47" t="s">
        <v>127</v>
      </c>
      <c r="E180" s="44" t="s">
        <v>244</v>
      </c>
      <c r="F180" s="48" t="s">
        <v>230</v>
      </c>
      <c r="G180" s="60" t="str">
        <f t="shared" si="66"/>
        <v>[effect:nothing]</v>
      </c>
      <c r="H180" s="60">
        <f t="shared" si="50"/>
        <v>9</v>
      </c>
      <c r="I180" s="60">
        <f t="shared" si="67"/>
        <v>16</v>
      </c>
      <c r="J180" s="60" t="e">
        <f t="shared" si="68"/>
        <v>#VALUE!</v>
      </c>
      <c r="K180" s="60" t="e">
        <f t="shared" si="69"/>
        <v>#VALUE!</v>
      </c>
      <c r="L180" s="60" t="str">
        <f>IFERROR(VLOOKUP(MID(G180,J180,K180-J180),[6]skilldef!$C:$D,2,FALSE),"-") &amp; " / " &amp; IFERROR(VLOOKUP(MID(G180,H180,I180-H180),[6]skilldef!$A:$B,2,FALSE),"-")</f>
        <v>- / 何もしない</v>
      </c>
      <c r="M180" s="60" t="str">
        <f t="shared" si="70"/>
        <v>none</v>
      </c>
      <c r="N180" s="45" t="str">
        <f t="shared" si="65"/>
        <v>none</v>
      </c>
      <c r="O180" s="60" t="e">
        <f t="shared" si="56"/>
        <v>#VALUE!</v>
      </c>
      <c r="P180" s="60">
        <f t="shared" si="71"/>
        <v>4</v>
      </c>
      <c r="Q180" s="60" t="e">
        <f t="shared" si="72"/>
        <v>#VALUE!</v>
      </c>
      <c r="R180" s="60" t="e">
        <f t="shared" si="73"/>
        <v>#VALUE!</v>
      </c>
      <c r="S180" s="60" t="str">
        <f>IFERROR(VLOOKUP(MID(N180,Q180,R180-Q180),[6]skilldef!$C:$D,2,FALSE),"-") &amp; " / " &amp; IFERROR(VLOOKUP(MID(N180,O180,P180-O180),[6]skilldef!$A:$B,2,FALSE),"-")</f>
        <v>- / -</v>
      </c>
      <c r="T180" s="45" t="str">
        <f t="shared" si="74"/>
        <v>none</v>
      </c>
      <c r="U180" s="60" t="e">
        <f t="shared" si="61"/>
        <v>#VALUE!</v>
      </c>
      <c r="V180" s="60">
        <f t="shared" si="75"/>
        <v>4</v>
      </c>
      <c r="W180" s="60" t="e">
        <f t="shared" si="76"/>
        <v>#VALUE!</v>
      </c>
      <c r="X180" s="60" t="e">
        <f t="shared" si="77"/>
        <v>#VALUE!</v>
      </c>
      <c r="Y180" s="60" t="str">
        <f>IFERROR(VLOOKUP(MID(T180,W180,X180-W180),[6]skilldef!$C:$D,2,FALSE),"-") &amp; " / " &amp; IFERROR(VLOOKUP(MID(T180,U180,V180-U180),[6]skilldef!$A:$B,2,FALSE),"-")</f>
        <v>- / -</v>
      </c>
    </row>
    <row r="181" spans="1:25" ht="21" customHeight="1" x14ac:dyDescent="0.15">
      <c r="A181" s="44">
        <v>15031180</v>
      </c>
      <c r="B181" s="44" t="s">
        <v>228</v>
      </c>
      <c r="C181" s="47">
        <v>3</v>
      </c>
      <c r="D181" s="47" t="s">
        <v>245</v>
      </c>
      <c r="E181" s="44" t="s">
        <v>244</v>
      </c>
      <c r="F181" s="48" t="s">
        <v>230</v>
      </c>
      <c r="G181" s="60" t="str">
        <f t="shared" si="66"/>
        <v>[effect:nothing]</v>
      </c>
      <c r="H181" s="60">
        <f t="shared" si="50"/>
        <v>9</v>
      </c>
      <c r="I181" s="60">
        <f t="shared" si="67"/>
        <v>16</v>
      </c>
      <c r="J181" s="60" t="e">
        <f t="shared" si="68"/>
        <v>#VALUE!</v>
      </c>
      <c r="K181" s="60" t="e">
        <f t="shared" si="69"/>
        <v>#VALUE!</v>
      </c>
      <c r="L181" s="60" t="str">
        <f>IFERROR(VLOOKUP(MID(G181,J181,K181-J181),[6]skilldef!$C:$D,2,FALSE),"-") &amp; " / " &amp; IFERROR(VLOOKUP(MID(G181,H181,I181-H181),[6]skilldef!$A:$B,2,FALSE),"-")</f>
        <v>- / 何もしない</v>
      </c>
      <c r="M181" s="60" t="str">
        <f t="shared" si="70"/>
        <v>none</v>
      </c>
      <c r="N181" s="45" t="str">
        <f t="shared" si="65"/>
        <v>none</v>
      </c>
      <c r="O181" s="60" t="e">
        <f t="shared" si="56"/>
        <v>#VALUE!</v>
      </c>
      <c r="P181" s="60">
        <f t="shared" si="71"/>
        <v>4</v>
      </c>
      <c r="Q181" s="60" t="e">
        <f t="shared" si="72"/>
        <v>#VALUE!</v>
      </c>
      <c r="R181" s="60" t="e">
        <f t="shared" si="73"/>
        <v>#VALUE!</v>
      </c>
      <c r="S181" s="60" t="str">
        <f>IFERROR(VLOOKUP(MID(N181,Q181,R181-Q181),[6]skilldef!$C:$D,2,FALSE),"-") &amp; " / " &amp; IFERROR(VLOOKUP(MID(N181,O181,P181-O181),[6]skilldef!$A:$B,2,FALSE),"-")</f>
        <v>- / -</v>
      </c>
      <c r="T181" s="45" t="str">
        <f t="shared" si="74"/>
        <v>none</v>
      </c>
      <c r="U181" s="60" t="e">
        <f t="shared" si="61"/>
        <v>#VALUE!</v>
      </c>
      <c r="V181" s="60">
        <f t="shared" si="75"/>
        <v>4</v>
      </c>
      <c r="W181" s="60" t="e">
        <f t="shared" si="76"/>
        <v>#VALUE!</v>
      </c>
      <c r="X181" s="60" t="e">
        <f t="shared" si="77"/>
        <v>#VALUE!</v>
      </c>
      <c r="Y181" s="60" t="str">
        <f>IFERROR(VLOOKUP(MID(T181,W181,X181-W181),[6]skilldef!$C:$D,2,FALSE),"-") &amp; " / " &amp; IFERROR(VLOOKUP(MID(T181,U181,V181-U181),[6]skilldef!$A:$B,2,FALSE),"-")</f>
        <v>- / -</v>
      </c>
    </row>
    <row r="182" spans="1:25" ht="21" customHeight="1" x14ac:dyDescent="0.15">
      <c r="A182" s="44">
        <v>15031181</v>
      </c>
      <c r="B182" s="44" t="s">
        <v>479</v>
      </c>
      <c r="C182" s="47">
        <v>3</v>
      </c>
      <c r="D182" s="47" t="s">
        <v>127</v>
      </c>
      <c r="E182" s="139" t="s">
        <v>296</v>
      </c>
      <c r="F182" s="48" t="s">
        <v>253</v>
      </c>
      <c r="G182" s="60" t="str">
        <f t="shared" ref="G182:G186" si="78">IFERROR(LEFT(B182,FIND("],",B182)),B182)</f>
        <v>[effect:change_attribute, target:myself, color:red, turn:-1]</v>
      </c>
      <c r="H182" s="60">
        <f t="shared" si="50"/>
        <v>9</v>
      </c>
      <c r="I182" s="60">
        <f t="shared" ref="I182:I186" si="79">IFERROR(FIND(",",G182),LEN(G182))</f>
        <v>25</v>
      </c>
      <c r="J182" s="60">
        <f t="shared" ref="J182:J186" si="80">FIND("target:",G182)+7</f>
        <v>34</v>
      </c>
      <c r="K182" s="60">
        <f t="shared" ref="K182:K186" si="81">FIND(",",G182,I182+1)</f>
        <v>40</v>
      </c>
      <c r="L182" s="60" t="str">
        <f>IFERROR(VLOOKUP(MID(G182,J182,K182-J182),[6]skilldef!$C:$D,2,FALSE),"-") &amp; " / " &amp; IFERROR(VLOOKUP(MID(G182,H182,I182-H182),[6]skilldef!$A:$B,2,FALSE),"-")</f>
        <v>自分自身に / -</v>
      </c>
      <c r="M182" s="60" t="str">
        <f t="shared" ref="M182:M186" si="82">IFERROR(RIGHT(B182,LEN(B182)-FIND("],",B182)-1),"none")</f>
        <v>none</v>
      </c>
      <c r="N182" s="45" t="str">
        <f t="shared" si="65"/>
        <v>none</v>
      </c>
      <c r="O182" s="60" t="e">
        <f t="shared" si="56"/>
        <v>#VALUE!</v>
      </c>
      <c r="P182" s="60">
        <f t="shared" ref="P182:P186" si="83">IFERROR(FIND(",",N182),LEN(N182))</f>
        <v>4</v>
      </c>
      <c r="Q182" s="60" t="e">
        <f t="shared" ref="Q182:Q186" si="84">FIND("target:",N182)+7</f>
        <v>#VALUE!</v>
      </c>
      <c r="R182" s="60" t="e">
        <f t="shared" ref="R182:R186" si="85">FIND(",",N182,P182+1)</f>
        <v>#VALUE!</v>
      </c>
      <c r="S182" s="60" t="str">
        <f>IFERROR(VLOOKUP(MID(N182,Q182,R182-Q182),[6]skilldef!$C:$D,2,FALSE),"-") &amp; " / " &amp; IFERROR(VLOOKUP(MID(N182,O182,P182-O182),[6]skilldef!$A:$B,2,FALSE),"-")</f>
        <v>- / -</v>
      </c>
      <c r="T182" s="45" t="str">
        <f t="shared" ref="T182:T186" si="86">IFERROR(RIGHT(M182,LEN(M182)-FIND("],",M182)-1),"none")</f>
        <v>none</v>
      </c>
      <c r="U182" s="60" t="e">
        <f t="shared" si="61"/>
        <v>#VALUE!</v>
      </c>
      <c r="V182" s="60">
        <f t="shared" ref="V182:V186" si="87">IFERROR(FIND(",",T182),LEN(T182))</f>
        <v>4</v>
      </c>
      <c r="W182" s="60" t="e">
        <f t="shared" ref="W182:W186" si="88">FIND("target:",T182)+7</f>
        <v>#VALUE!</v>
      </c>
      <c r="X182" s="60" t="e">
        <f t="shared" ref="X182:X186" si="89">FIND(",",T182,V182+1)</f>
        <v>#VALUE!</v>
      </c>
      <c r="Y182" s="60" t="str">
        <f>IFERROR(VLOOKUP(MID(T182,W182,X182-W182),[6]skilldef!$C:$D,2,FALSE),"-") &amp; " / " &amp; IFERROR(VLOOKUP(MID(T182,U182,V182-U182),[6]skilldef!$A:$B,2,FALSE),"-")</f>
        <v>- / -</v>
      </c>
    </row>
    <row r="183" spans="1:25" ht="21" customHeight="1" x14ac:dyDescent="0.15">
      <c r="A183" s="44">
        <v>15031182</v>
      </c>
      <c r="B183" s="44" t="s">
        <v>398</v>
      </c>
      <c r="C183" s="47">
        <v>3</v>
      </c>
      <c r="D183" s="47" t="s">
        <v>127</v>
      </c>
      <c r="E183" s="44" t="s">
        <v>299</v>
      </c>
      <c r="F183" s="48" t="s">
        <v>399</v>
      </c>
      <c r="G183" s="60" t="str">
        <f t="shared" si="78"/>
        <v>[effect:invalidate_change_block, target:unit_all, block_type01:crack_bomb, turn:3, animation:panel_conversion_off]</v>
      </c>
      <c r="H183" s="60">
        <f t="shared" si="50"/>
        <v>9</v>
      </c>
      <c r="I183" s="60">
        <f t="shared" si="79"/>
        <v>32</v>
      </c>
      <c r="J183" s="60">
        <f t="shared" si="80"/>
        <v>41</v>
      </c>
      <c r="K183" s="60">
        <f t="shared" si="81"/>
        <v>49</v>
      </c>
      <c r="L183" s="60" t="str">
        <f>IFERROR(VLOOKUP(MID(G183,J183,K183-J183),[6]skilldef!$C:$D,2,FALSE),"-") &amp; " / " &amp; IFERROR(VLOOKUP(MID(G183,H183,I183-H183),[6]skilldef!$A:$B,2,FALSE),"-")</f>
        <v>味方全体に / -</v>
      </c>
      <c r="M183" s="60" t="str">
        <f t="shared" si="82"/>
        <v>none</v>
      </c>
      <c r="N183" s="45" t="str">
        <f t="shared" si="65"/>
        <v>none</v>
      </c>
      <c r="O183" s="60" t="e">
        <f t="shared" si="56"/>
        <v>#VALUE!</v>
      </c>
      <c r="P183" s="60">
        <f t="shared" si="83"/>
        <v>4</v>
      </c>
      <c r="Q183" s="60" t="e">
        <f t="shared" si="84"/>
        <v>#VALUE!</v>
      </c>
      <c r="R183" s="60" t="e">
        <f t="shared" si="85"/>
        <v>#VALUE!</v>
      </c>
      <c r="S183" s="60" t="str">
        <f>IFERROR(VLOOKUP(MID(N183,Q183,R183-Q183),[6]skilldef!$C:$D,2,FALSE),"-") &amp; " / " &amp; IFERROR(VLOOKUP(MID(N183,O183,P183-O183),[6]skilldef!$A:$B,2,FALSE),"-")</f>
        <v>- / -</v>
      </c>
      <c r="T183" s="45" t="str">
        <f t="shared" si="86"/>
        <v>none</v>
      </c>
      <c r="U183" s="60" t="e">
        <f t="shared" si="61"/>
        <v>#VALUE!</v>
      </c>
      <c r="V183" s="60">
        <f t="shared" si="87"/>
        <v>4</v>
      </c>
      <c r="W183" s="60" t="e">
        <f t="shared" si="88"/>
        <v>#VALUE!</v>
      </c>
      <c r="X183" s="60" t="e">
        <f t="shared" si="89"/>
        <v>#VALUE!</v>
      </c>
      <c r="Y183" s="60" t="str">
        <f>IFERROR(VLOOKUP(MID(T183,W183,X183-W183),[6]skilldef!$C:$D,2,FALSE),"-") &amp; " / " &amp; IFERROR(VLOOKUP(MID(T183,U183,V183-U183),[6]skilldef!$A:$B,2,FALSE),"-")</f>
        <v>- / -</v>
      </c>
    </row>
    <row r="184" spans="1:25" ht="21" customHeight="1" x14ac:dyDescent="0.15">
      <c r="A184" s="44">
        <v>15031183</v>
      </c>
      <c r="B184" s="44" t="s">
        <v>401</v>
      </c>
      <c r="C184" s="47">
        <v>3</v>
      </c>
      <c r="D184" s="47" t="s">
        <v>127</v>
      </c>
      <c r="E184" s="44" t="s">
        <v>298</v>
      </c>
      <c r="F184" s="48" t="s">
        <v>400</v>
      </c>
      <c r="G184" s="60" t="str">
        <f t="shared" si="78"/>
        <v>[effect:panel_freeze, target:block_green, count:30]</v>
      </c>
      <c r="H184" s="60">
        <f t="shared" si="50"/>
        <v>9</v>
      </c>
      <c r="I184" s="60">
        <f t="shared" si="79"/>
        <v>21</v>
      </c>
      <c r="J184" s="60">
        <f t="shared" si="80"/>
        <v>30</v>
      </c>
      <c r="K184" s="60">
        <f t="shared" si="81"/>
        <v>41</v>
      </c>
      <c r="L184" s="60" t="str">
        <f>IFERROR(VLOOKUP(MID(G184,J184,K184-J184),[6]skilldef!$C:$D,2,FALSE),"-") &amp; " / " &amp; IFERROR(VLOOKUP(MID(G184,H184,I184-H184),[6]skilldef!$A:$B,2,FALSE),"-")</f>
        <v>緑パネルを / -</v>
      </c>
      <c r="M184" s="60" t="str">
        <f t="shared" si="82"/>
        <v>none</v>
      </c>
      <c r="N184" s="45" t="str">
        <f t="shared" si="65"/>
        <v>none</v>
      </c>
      <c r="O184" s="60" t="e">
        <f t="shared" si="56"/>
        <v>#VALUE!</v>
      </c>
      <c r="P184" s="60">
        <f t="shared" si="83"/>
        <v>4</v>
      </c>
      <c r="Q184" s="60" t="e">
        <f t="shared" si="84"/>
        <v>#VALUE!</v>
      </c>
      <c r="R184" s="60" t="e">
        <f t="shared" si="85"/>
        <v>#VALUE!</v>
      </c>
      <c r="S184" s="60" t="str">
        <f>IFERROR(VLOOKUP(MID(N184,Q184,R184-Q184),[6]skilldef!$C:$D,2,FALSE),"-") &amp; " / " &amp; IFERROR(VLOOKUP(MID(N184,O184,P184-O184),[6]skilldef!$A:$B,2,FALSE),"-")</f>
        <v>- / -</v>
      </c>
      <c r="T184" s="45" t="str">
        <f t="shared" si="86"/>
        <v>none</v>
      </c>
      <c r="U184" s="60" t="e">
        <f t="shared" si="61"/>
        <v>#VALUE!</v>
      </c>
      <c r="V184" s="60">
        <f t="shared" si="87"/>
        <v>4</v>
      </c>
      <c r="W184" s="60" t="e">
        <f t="shared" si="88"/>
        <v>#VALUE!</v>
      </c>
      <c r="X184" s="60" t="e">
        <f t="shared" si="89"/>
        <v>#VALUE!</v>
      </c>
      <c r="Y184" s="60" t="str">
        <f>IFERROR(VLOOKUP(MID(T184,W184,X184-W184),[6]skilldef!$C:$D,2,FALSE),"-") &amp; " / " &amp; IFERROR(VLOOKUP(MID(T184,U184,V184-U184),[6]skilldef!$A:$B,2,FALSE),"-")</f>
        <v>- / -</v>
      </c>
    </row>
    <row r="185" spans="1:25" ht="21" customHeight="1" x14ac:dyDescent="0.15">
      <c r="A185" s="44">
        <v>15031184</v>
      </c>
      <c r="B185" s="44" t="s">
        <v>254</v>
      </c>
      <c r="C185" s="47">
        <v>3</v>
      </c>
      <c r="D185" s="47" t="s">
        <v>127</v>
      </c>
      <c r="E185" s="44" t="s">
        <v>293</v>
      </c>
      <c r="F185" s="48" t="s">
        <v>235</v>
      </c>
      <c r="G185" s="60" t="str">
        <f t="shared" si="78"/>
        <v>[effect:spread, val:0.3]</v>
      </c>
      <c r="H185" s="60">
        <f t="shared" si="50"/>
        <v>9</v>
      </c>
      <c r="I185" s="60">
        <f t="shared" si="79"/>
        <v>15</v>
      </c>
      <c r="J185" s="60" t="e">
        <f t="shared" si="80"/>
        <v>#VALUE!</v>
      </c>
      <c r="K185" s="60" t="e">
        <f t="shared" si="81"/>
        <v>#VALUE!</v>
      </c>
      <c r="L185" s="60" t="str">
        <f>IFERROR(VLOOKUP(MID(G185,J185,K185-J185),[6]skilldef!$C:$D,2,FALSE),"-") &amp; " / " &amp; IFERROR(VLOOKUP(MID(G185,H185,I185-H185),[6]skilldef!$A:$B,2,FALSE),"-")</f>
        <v>- / 全体攻撃</v>
      </c>
      <c r="M185" s="60" t="str">
        <f t="shared" si="82"/>
        <v>none</v>
      </c>
      <c r="N185" s="45" t="str">
        <f t="shared" si="65"/>
        <v>none</v>
      </c>
      <c r="O185" s="60" t="e">
        <f t="shared" si="56"/>
        <v>#VALUE!</v>
      </c>
      <c r="P185" s="60">
        <f t="shared" si="83"/>
        <v>4</v>
      </c>
      <c r="Q185" s="60" t="e">
        <f t="shared" si="84"/>
        <v>#VALUE!</v>
      </c>
      <c r="R185" s="60" t="e">
        <f t="shared" si="85"/>
        <v>#VALUE!</v>
      </c>
      <c r="S185" s="60" t="str">
        <f>IFERROR(VLOOKUP(MID(N185,Q185,R185-Q185),[6]skilldef!$C:$D,2,FALSE),"-") &amp; " / " &amp; IFERROR(VLOOKUP(MID(N185,O185,P185-O185),[6]skilldef!$A:$B,2,FALSE),"-")</f>
        <v>- / -</v>
      </c>
      <c r="T185" s="45" t="str">
        <f t="shared" si="86"/>
        <v>none</v>
      </c>
      <c r="U185" s="60" t="e">
        <f t="shared" si="61"/>
        <v>#VALUE!</v>
      </c>
      <c r="V185" s="60">
        <f t="shared" si="87"/>
        <v>4</v>
      </c>
      <c r="W185" s="60" t="e">
        <f t="shared" si="88"/>
        <v>#VALUE!</v>
      </c>
      <c r="X185" s="60" t="e">
        <f t="shared" si="89"/>
        <v>#VALUE!</v>
      </c>
      <c r="Y185" s="60" t="str">
        <f>IFERROR(VLOOKUP(MID(T185,W185,X185-W185),[6]skilldef!$C:$D,2,FALSE),"-") &amp; " / " &amp; IFERROR(VLOOKUP(MID(T185,U185,V185-U185),[6]skilldef!$A:$B,2,FALSE),"-")</f>
        <v>- / -</v>
      </c>
    </row>
    <row r="186" spans="1:25" ht="21" customHeight="1" x14ac:dyDescent="0.15">
      <c r="A186" s="44">
        <v>15031185</v>
      </c>
      <c r="B186" s="44" t="s">
        <v>228</v>
      </c>
      <c r="C186" s="47">
        <v>3</v>
      </c>
      <c r="D186" s="47" t="s">
        <v>245</v>
      </c>
      <c r="E186" s="44" t="s">
        <v>251</v>
      </c>
      <c r="F186" s="48" t="s">
        <v>230</v>
      </c>
      <c r="G186" s="60" t="str">
        <f t="shared" si="78"/>
        <v>[effect:nothing]</v>
      </c>
      <c r="H186" s="60">
        <f t="shared" si="50"/>
        <v>9</v>
      </c>
      <c r="I186" s="60">
        <f t="shared" si="79"/>
        <v>16</v>
      </c>
      <c r="J186" s="60" t="e">
        <f t="shared" si="80"/>
        <v>#VALUE!</v>
      </c>
      <c r="K186" s="60" t="e">
        <f t="shared" si="81"/>
        <v>#VALUE!</v>
      </c>
      <c r="L186" s="60" t="str">
        <f>IFERROR(VLOOKUP(MID(G186,J186,K186-J186),[6]skilldef!$C:$D,2,FALSE),"-") &amp; " / " &amp; IFERROR(VLOOKUP(MID(G186,H186,I186-H186),[6]skilldef!$A:$B,2,FALSE),"-")</f>
        <v>- / 何もしない</v>
      </c>
      <c r="M186" s="60" t="str">
        <f t="shared" si="82"/>
        <v>none</v>
      </c>
      <c r="N186" s="45" t="str">
        <f t="shared" si="65"/>
        <v>none</v>
      </c>
      <c r="O186" s="60" t="e">
        <f t="shared" si="56"/>
        <v>#VALUE!</v>
      </c>
      <c r="P186" s="60">
        <f t="shared" si="83"/>
        <v>4</v>
      </c>
      <c r="Q186" s="60" t="e">
        <f t="shared" si="84"/>
        <v>#VALUE!</v>
      </c>
      <c r="R186" s="60" t="e">
        <f t="shared" si="85"/>
        <v>#VALUE!</v>
      </c>
      <c r="S186" s="60" t="str">
        <f>IFERROR(VLOOKUP(MID(N186,Q186,R186-Q186),[6]skilldef!$C:$D,2,FALSE),"-") &amp; " / " &amp; IFERROR(VLOOKUP(MID(N186,O186,P186-O186),[6]skilldef!$A:$B,2,FALSE),"-")</f>
        <v>- / -</v>
      </c>
      <c r="T186" s="45" t="str">
        <f t="shared" si="86"/>
        <v>none</v>
      </c>
      <c r="U186" s="60" t="e">
        <f t="shared" si="61"/>
        <v>#VALUE!</v>
      </c>
      <c r="V186" s="60">
        <f t="shared" si="87"/>
        <v>4</v>
      </c>
      <c r="W186" s="60" t="e">
        <f t="shared" si="88"/>
        <v>#VALUE!</v>
      </c>
      <c r="X186" s="60" t="e">
        <f t="shared" si="89"/>
        <v>#VALUE!</v>
      </c>
      <c r="Y186" s="60" t="str">
        <f>IFERROR(VLOOKUP(MID(T186,W186,X186-W186),[6]skilldef!$C:$D,2,FALSE),"-") &amp; " / " &amp; IFERROR(VLOOKUP(MID(T186,U186,V186-U186),[6]skilldef!$A:$B,2,FALSE),"-")</f>
        <v>- / -</v>
      </c>
    </row>
    <row r="187" spans="1:25" ht="21" customHeight="1" x14ac:dyDescent="0.15">
      <c r="A187" s="44">
        <v>15031186</v>
      </c>
      <c r="B187" s="44" t="s">
        <v>229</v>
      </c>
      <c r="C187" s="47">
        <v>3</v>
      </c>
      <c r="D187" s="47" t="s">
        <v>127</v>
      </c>
      <c r="E187" s="140" t="s">
        <v>211</v>
      </c>
      <c r="F187" s="48" t="s">
        <v>230</v>
      </c>
      <c r="G187" s="60" t="str">
        <f t="shared" si="49"/>
        <v>[effect:nothing]</v>
      </c>
      <c r="H187" s="60">
        <f t="shared" si="50"/>
        <v>9</v>
      </c>
      <c r="I187" s="60">
        <f t="shared" si="51"/>
        <v>16</v>
      </c>
      <c r="J187" s="60" t="e">
        <f t="shared" si="52"/>
        <v>#VALUE!</v>
      </c>
      <c r="K187" s="60" t="e">
        <f t="shared" si="53"/>
        <v>#VALUE!</v>
      </c>
      <c r="L187" s="60" t="str">
        <f>IFERROR(VLOOKUP(MID(G187,J187,K187-J187),[6]skilldef!$C:$D,2,FALSE),"-") &amp; " / " &amp; IFERROR(VLOOKUP(MID(G187,H187,I187-H187),[6]skilldef!$A:$B,2,FALSE),"-")</f>
        <v>- / 何もしない</v>
      </c>
      <c r="M187" s="60" t="str">
        <f t="shared" si="54"/>
        <v>none</v>
      </c>
      <c r="N187" s="45" t="str">
        <f t="shared" si="55"/>
        <v>none</v>
      </c>
      <c r="O187" s="60" t="e">
        <f t="shared" si="56"/>
        <v>#VALUE!</v>
      </c>
      <c r="P187" s="60">
        <f t="shared" si="57"/>
        <v>4</v>
      </c>
      <c r="Q187" s="60" t="e">
        <f t="shared" si="58"/>
        <v>#VALUE!</v>
      </c>
      <c r="R187" s="60" t="e">
        <f t="shared" si="59"/>
        <v>#VALUE!</v>
      </c>
      <c r="S187" s="60" t="str">
        <f>IFERROR(VLOOKUP(MID(N187,Q187,R187-Q187),[6]skilldef!$C:$D,2,FALSE),"-") &amp; " / " &amp; IFERROR(VLOOKUP(MID(N187,O187,P187-O187),[6]skilldef!$A:$B,2,FALSE),"-")</f>
        <v>- / -</v>
      </c>
      <c r="T187" s="45" t="str">
        <f t="shared" si="60"/>
        <v>none</v>
      </c>
      <c r="U187" s="60" t="e">
        <f t="shared" si="61"/>
        <v>#VALUE!</v>
      </c>
      <c r="V187" s="60">
        <f t="shared" si="62"/>
        <v>4</v>
      </c>
      <c r="W187" s="60" t="e">
        <f t="shared" si="63"/>
        <v>#VALUE!</v>
      </c>
      <c r="X187" s="60" t="e">
        <f t="shared" si="64"/>
        <v>#VALUE!</v>
      </c>
      <c r="Y187" s="60" t="str">
        <f>IFERROR(VLOOKUP(MID(T187,W187,X187-W187),[6]skilldef!$C:$D,2,FALSE),"-") &amp; " / " &amp; IFERROR(VLOOKUP(MID(T187,U187,V187-U187),[6]skilldef!$A:$B,2,FALSE),"-")</f>
        <v>- / -</v>
      </c>
    </row>
    <row r="188" spans="1:25" ht="21" customHeight="1" x14ac:dyDescent="0.15">
      <c r="A188" s="44">
        <v>15031187</v>
      </c>
      <c r="B188" s="44" t="s">
        <v>229</v>
      </c>
      <c r="C188" s="47">
        <v>3</v>
      </c>
      <c r="D188" s="47" t="s">
        <v>127</v>
      </c>
      <c r="E188" s="44" t="s">
        <v>211</v>
      </c>
      <c r="F188" s="48" t="s">
        <v>230</v>
      </c>
      <c r="G188" s="60" t="str">
        <f t="shared" si="49"/>
        <v>[effect:nothing]</v>
      </c>
      <c r="H188" s="60">
        <f t="shared" si="50"/>
        <v>9</v>
      </c>
      <c r="I188" s="60">
        <f t="shared" si="51"/>
        <v>16</v>
      </c>
      <c r="J188" s="60" t="e">
        <f t="shared" si="52"/>
        <v>#VALUE!</v>
      </c>
      <c r="K188" s="60" t="e">
        <f t="shared" si="53"/>
        <v>#VALUE!</v>
      </c>
      <c r="L188" s="60" t="str">
        <f>IFERROR(VLOOKUP(MID(G188,J188,K188-J188),[6]skilldef!$C:$D,2,FALSE),"-") &amp; " / " &amp; IFERROR(VLOOKUP(MID(G188,H188,I188-H188),[6]skilldef!$A:$B,2,FALSE),"-")</f>
        <v>- / 何もしない</v>
      </c>
      <c r="M188" s="60" t="str">
        <f t="shared" si="54"/>
        <v>none</v>
      </c>
      <c r="N188" s="45" t="str">
        <f t="shared" si="55"/>
        <v>none</v>
      </c>
      <c r="O188" s="60" t="e">
        <f t="shared" si="56"/>
        <v>#VALUE!</v>
      </c>
      <c r="P188" s="60">
        <f t="shared" si="57"/>
        <v>4</v>
      </c>
      <c r="Q188" s="60" t="e">
        <f t="shared" si="58"/>
        <v>#VALUE!</v>
      </c>
      <c r="R188" s="60" t="e">
        <f t="shared" si="59"/>
        <v>#VALUE!</v>
      </c>
      <c r="S188" s="60" t="str">
        <f>IFERROR(VLOOKUP(MID(N188,Q188,R188-Q188),[6]skilldef!$C:$D,2,FALSE),"-") &amp; " / " &amp; IFERROR(VLOOKUP(MID(N188,O188,P188-O188),[6]skilldef!$A:$B,2,FALSE),"-")</f>
        <v>- / -</v>
      </c>
      <c r="T188" s="45" t="str">
        <f t="shared" si="60"/>
        <v>none</v>
      </c>
      <c r="U188" s="60" t="e">
        <f t="shared" si="61"/>
        <v>#VALUE!</v>
      </c>
      <c r="V188" s="60">
        <f t="shared" si="62"/>
        <v>4</v>
      </c>
      <c r="W188" s="60" t="e">
        <f t="shared" si="63"/>
        <v>#VALUE!</v>
      </c>
      <c r="X188" s="60" t="e">
        <f t="shared" si="64"/>
        <v>#VALUE!</v>
      </c>
      <c r="Y188" s="60" t="str">
        <f>IFERROR(VLOOKUP(MID(T188,W188,X188-W188),[6]skilldef!$C:$D,2,FALSE),"-") &amp; " / " &amp; IFERROR(VLOOKUP(MID(T188,U188,V188-U188),[6]skilldef!$A:$B,2,FALSE),"-")</f>
        <v>- / -</v>
      </c>
    </row>
    <row r="189" spans="1:25" ht="21" customHeight="1" x14ac:dyDescent="0.15">
      <c r="A189" s="44">
        <v>15031188</v>
      </c>
      <c r="B189" s="44" t="s">
        <v>229</v>
      </c>
      <c r="C189" s="47">
        <v>3</v>
      </c>
      <c r="D189" s="47" t="s">
        <v>127</v>
      </c>
      <c r="E189" s="44" t="s">
        <v>211</v>
      </c>
      <c r="F189" s="48" t="s">
        <v>230</v>
      </c>
      <c r="G189" s="60" t="str">
        <f t="shared" si="49"/>
        <v>[effect:nothing]</v>
      </c>
      <c r="H189" s="60">
        <f t="shared" si="50"/>
        <v>9</v>
      </c>
      <c r="I189" s="60">
        <f t="shared" si="51"/>
        <v>16</v>
      </c>
      <c r="J189" s="60" t="e">
        <f t="shared" si="52"/>
        <v>#VALUE!</v>
      </c>
      <c r="K189" s="60" t="e">
        <f t="shared" si="53"/>
        <v>#VALUE!</v>
      </c>
      <c r="L189" s="60" t="str">
        <f>IFERROR(VLOOKUP(MID(G189,J189,K189-J189),[6]skilldef!$C:$D,2,FALSE),"-") &amp; " / " &amp; IFERROR(VLOOKUP(MID(G189,H189,I189-H189),[6]skilldef!$A:$B,2,FALSE),"-")</f>
        <v>- / 何もしない</v>
      </c>
      <c r="M189" s="60" t="str">
        <f t="shared" si="54"/>
        <v>none</v>
      </c>
      <c r="N189" s="45" t="str">
        <f t="shared" si="55"/>
        <v>none</v>
      </c>
      <c r="O189" s="60" t="e">
        <f t="shared" si="56"/>
        <v>#VALUE!</v>
      </c>
      <c r="P189" s="60">
        <f t="shared" si="57"/>
        <v>4</v>
      </c>
      <c r="Q189" s="60" t="e">
        <f t="shared" si="58"/>
        <v>#VALUE!</v>
      </c>
      <c r="R189" s="60" t="e">
        <f t="shared" si="59"/>
        <v>#VALUE!</v>
      </c>
      <c r="S189" s="60" t="str">
        <f>IFERROR(VLOOKUP(MID(N189,Q189,R189-Q189),[6]skilldef!$C:$D,2,FALSE),"-") &amp; " / " &amp; IFERROR(VLOOKUP(MID(N189,O189,P189-O189),[6]skilldef!$A:$B,2,FALSE),"-")</f>
        <v>- / -</v>
      </c>
      <c r="T189" s="45" t="str">
        <f t="shared" si="60"/>
        <v>none</v>
      </c>
      <c r="U189" s="60" t="e">
        <f t="shared" si="61"/>
        <v>#VALUE!</v>
      </c>
      <c r="V189" s="60">
        <f t="shared" si="62"/>
        <v>4</v>
      </c>
      <c r="W189" s="60" t="e">
        <f t="shared" si="63"/>
        <v>#VALUE!</v>
      </c>
      <c r="X189" s="60" t="e">
        <f t="shared" si="64"/>
        <v>#VALUE!</v>
      </c>
      <c r="Y189" s="60" t="str">
        <f>IFERROR(VLOOKUP(MID(T189,W189,X189-W189),[6]skilldef!$C:$D,2,FALSE),"-") &amp; " / " &amp; IFERROR(VLOOKUP(MID(T189,U189,V189-U189),[6]skilldef!$A:$B,2,FALSE),"-")</f>
        <v>- / -</v>
      </c>
    </row>
    <row r="190" spans="1:25" ht="21" customHeight="1" x14ac:dyDescent="0.15">
      <c r="A190" s="44">
        <v>15031189</v>
      </c>
      <c r="B190" s="44" t="s">
        <v>229</v>
      </c>
      <c r="C190" s="47">
        <v>3</v>
      </c>
      <c r="D190" s="47" t="s">
        <v>127</v>
      </c>
      <c r="E190" s="44" t="s">
        <v>211</v>
      </c>
      <c r="F190" s="48" t="s">
        <v>230</v>
      </c>
      <c r="G190" s="60" t="str">
        <f t="shared" si="49"/>
        <v>[effect:nothing]</v>
      </c>
      <c r="H190" s="60">
        <f t="shared" si="50"/>
        <v>9</v>
      </c>
      <c r="I190" s="60">
        <f t="shared" si="51"/>
        <v>16</v>
      </c>
      <c r="J190" s="60" t="e">
        <f t="shared" si="52"/>
        <v>#VALUE!</v>
      </c>
      <c r="K190" s="60" t="e">
        <f t="shared" si="53"/>
        <v>#VALUE!</v>
      </c>
      <c r="L190" s="60" t="str">
        <f>IFERROR(VLOOKUP(MID(G190,J190,K190-J190),[6]skilldef!$C:$D,2,FALSE),"-") &amp; " / " &amp; IFERROR(VLOOKUP(MID(G190,H190,I190-H190),[6]skilldef!$A:$B,2,FALSE),"-")</f>
        <v>- / 何もしない</v>
      </c>
      <c r="M190" s="60" t="str">
        <f t="shared" si="54"/>
        <v>none</v>
      </c>
      <c r="N190" s="45" t="str">
        <f t="shared" si="55"/>
        <v>none</v>
      </c>
      <c r="O190" s="60" t="e">
        <f t="shared" si="56"/>
        <v>#VALUE!</v>
      </c>
      <c r="P190" s="60">
        <f t="shared" si="57"/>
        <v>4</v>
      </c>
      <c r="Q190" s="60" t="e">
        <f t="shared" si="58"/>
        <v>#VALUE!</v>
      </c>
      <c r="R190" s="60" t="e">
        <f t="shared" si="59"/>
        <v>#VALUE!</v>
      </c>
      <c r="S190" s="60" t="str">
        <f>IFERROR(VLOOKUP(MID(N190,Q190,R190-Q190),[6]skilldef!$C:$D,2,FALSE),"-") &amp; " / " &amp; IFERROR(VLOOKUP(MID(N190,O190,P190-O190),[6]skilldef!$A:$B,2,FALSE),"-")</f>
        <v>- / -</v>
      </c>
      <c r="T190" s="45" t="str">
        <f t="shared" si="60"/>
        <v>none</v>
      </c>
      <c r="U190" s="60" t="e">
        <f t="shared" si="61"/>
        <v>#VALUE!</v>
      </c>
      <c r="V190" s="60">
        <f t="shared" si="62"/>
        <v>4</v>
      </c>
      <c r="W190" s="60" t="e">
        <f t="shared" si="63"/>
        <v>#VALUE!</v>
      </c>
      <c r="X190" s="60" t="e">
        <f t="shared" si="64"/>
        <v>#VALUE!</v>
      </c>
      <c r="Y190" s="60" t="str">
        <f>IFERROR(VLOOKUP(MID(T190,W190,X190-W190),[6]skilldef!$C:$D,2,FALSE),"-") &amp; " / " &amp; IFERROR(VLOOKUP(MID(T190,U190,V190-U190),[6]skilldef!$A:$B,2,FALSE),"-")</f>
        <v>- / -</v>
      </c>
    </row>
    <row r="191" spans="1:25" ht="21" customHeight="1" x14ac:dyDescent="0.15">
      <c r="A191" s="44">
        <v>15031190</v>
      </c>
      <c r="B191" s="44" t="s">
        <v>229</v>
      </c>
      <c r="C191" s="47">
        <v>3</v>
      </c>
      <c r="D191" s="47" t="s">
        <v>127</v>
      </c>
      <c r="E191" s="44" t="s">
        <v>211</v>
      </c>
      <c r="F191" s="48" t="s">
        <v>230</v>
      </c>
      <c r="G191" s="60" t="str">
        <f t="shared" si="49"/>
        <v>[effect:nothing]</v>
      </c>
      <c r="H191" s="60">
        <f t="shared" si="50"/>
        <v>9</v>
      </c>
      <c r="I191" s="60">
        <f t="shared" si="51"/>
        <v>16</v>
      </c>
      <c r="J191" s="60" t="e">
        <f t="shared" si="52"/>
        <v>#VALUE!</v>
      </c>
      <c r="K191" s="60" t="e">
        <f t="shared" si="53"/>
        <v>#VALUE!</v>
      </c>
      <c r="L191" s="60" t="str">
        <f>IFERROR(VLOOKUP(MID(G191,J191,K191-J191),[6]skilldef!$C:$D,2,FALSE),"-") &amp; " / " &amp; IFERROR(VLOOKUP(MID(G191,H191,I191-H191),[6]skilldef!$A:$B,2,FALSE),"-")</f>
        <v>- / 何もしない</v>
      </c>
      <c r="M191" s="60" t="str">
        <f t="shared" si="54"/>
        <v>none</v>
      </c>
      <c r="N191" s="45" t="str">
        <f t="shared" si="55"/>
        <v>none</v>
      </c>
      <c r="O191" s="60" t="e">
        <f t="shared" si="56"/>
        <v>#VALUE!</v>
      </c>
      <c r="P191" s="60">
        <f t="shared" si="57"/>
        <v>4</v>
      </c>
      <c r="Q191" s="60" t="e">
        <f t="shared" si="58"/>
        <v>#VALUE!</v>
      </c>
      <c r="R191" s="60" t="e">
        <f t="shared" si="59"/>
        <v>#VALUE!</v>
      </c>
      <c r="S191" s="60" t="str">
        <f>IFERROR(VLOOKUP(MID(N191,Q191,R191-Q191),[6]skilldef!$C:$D,2,FALSE),"-") &amp; " / " &amp; IFERROR(VLOOKUP(MID(N191,O191,P191-O191),[6]skilldef!$A:$B,2,FALSE),"-")</f>
        <v>- / -</v>
      </c>
      <c r="T191" s="45" t="str">
        <f t="shared" si="60"/>
        <v>none</v>
      </c>
      <c r="U191" s="60" t="e">
        <f t="shared" si="61"/>
        <v>#VALUE!</v>
      </c>
      <c r="V191" s="60">
        <f t="shared" si="62"/>
        <v>4</v>
      </c>
      <c r="W191" s="60" t="e">
        <f t="shared" si="63"/>
        <v>#VALUE!</v>
      </c>
      <c r="X191" s="60" t="e">
        <f t="shared" si="64"/>
        <v>#VALUE!</v>
      </c>
      <c r="Y191" s="60" t="str">
        <f>IFERROR(VLOOKUP(MID(T191,W191,X191-W191),[6]skilldef!$C:$D,2,FALSE),"-") &amp; " / " &amp; IFERROR(VLOOKUP(MID(T191,U191,V191-U191),[6]skilldef!$A:$B,2,FALSE),"-")</f>
        <v>- / -</v>
      </c>
    </row>
    <row r="192" spans="1:25" ht="21" customHeight="1" x14ac:dyDescent="0.15">
      <c r="A192" s="44">
        <v>15031191</v>
      </c>
      <c r="B192" s="44" t="s">
        <v>229</v>
      </c>
      <c r="C192" s="47">
        <v>3</v>
      </c>
      <c r="D192" s="47" t="s">
        <v>127</v>
      </c>
      <c r="E192" s="140" t="s">
        <v>212</v>
      </c>
      <c r="F192" s="48" t="s">
        <v>230</v>
      </c>
      <c r="G192" s="60" t="str">
        <f t="shared" si="49"/>
        <v>[effect:nothing]</v>
      </c>
      <c r="H192" s="60">
        <f t="shared" si="50"/>
        <v>9</v>
      </c>
      <c r="I192" s="60">
        <f t="shared" si="51"/>
        <v>16</v>
      </c>
      <c r="J192" s="60" t="e">
        <f t="shared" si="52"/>
        <v>#VALUE!</v>
      </c>
      <c r="K192" s="60" t="e">
        <f t="shared" si="53"/>
        <v>#VALUE!</v>
      </c>
      <c r="L192" s="60" t="str">
        <f>IFERROR(VLOOKUP(MID(G192,J192,K192-J192),[6]skilldef!$C:$D,2,FALSE),"-") &amp; " / " &amp; IFERROR(VLOOKUP(MID(G192,H192,I192-H192),[6]skilldef!$A:$B,2,FALSE),"-")</f>
        <v>- / 何もしない</v>
      </c>
      <c r="M192" s="60" t="str">
        <f t="shared" si="54"/>
        <v>none</v>
      </c>
      <c r="N192" s="45" t="str">
        <f>IFERROR(LEFT(M192,FIND("],",M192)+S202),M192)</f>
        <v>none</v>
      </c>
      <c r="O192" s="60" t="e">
        <f t="shared" si="56"/>
        <v>#VALUE!</v>
      </c>
      <c r="P192" s="60">
        <f t="shared" si="57"/>
        <v>4</v>
      </c>
      <c r="Q192" s="60" t="e">
        <f t="shared" si="58"/>
        <v>#VALUE!</v>
      </c>
      <c r="R192" s="60" t="e">
        <f t="shared" si="59"/>
        <v>#VALUE!</v>
      </c>
      <c r="S192" s="60" t="str">
        <f>IFERROR(VLOOKUP(MID(N192,Q192,R192-Q192),[6]skilldef!$C:$D,2,FALSE),"-") &amp; " / " &amp; IFERROR(VLOOKUP(MID(N192,O192,P192-O192),[6]skilldef!$A:$B,2,FALSE),"-")</f>
        <v>- / -</v>
      </c>
      <c r="T192" s="45" t="str">
        <f t="shared" si="60"/>
        <v>none</v>
      </c>
      <c r="U192" s="60" t="e">
        <f t="shared" si="61"/>
        <v>#VALUE!</v>
      </c>
      <c r="V192" s="60">
        <f t="shared" si="62"/>
        <v>4</v>
      </c>
      <c r="W192" s="60" t="e">
        <f t="shared" si="63"/>
        <v>#VALUE!</v>
      </c>
      <c r="X192" s="60" t="e">
        <f t="shared" si="64"/>
        <v>#VALUE!</v>
      </c>
      <c r="Y192" s="60" t="str">
        <f>IFERROR(VLOOKUP(MID(T192,W192,X192-W192),[6]skilldef!$C:$D,2,FALSE),"-") &amp; " / " &amp; IFERROR(VLOOKUP(MID(T192,U192,V192-U192),[6]skilldef!$A:$B,2,FALSE),"-")</f>
        <v>- / -</v>
      </c>
    </row>
    <row r="193" spans="1:25" ht="21" customHeight="1" x14ac:dyDescent="0.15">
      <c r="A193" s="44">
        <v>15031192</v>
      </c>
      <c r="B193" s="44" t="s">
        <v>229</v>
      </c>
      <c r="C193" s="47">
        <v>3</v>
      </c>
      <c r="D193" s="47" t="s">
        <v>127</v>
      </c>
      <c r="E193" s="44" t="s">
        <v>212</v>
      </c>
      <c r="F193" s="48" t="s">
        <v>230</v>
      </c>
      <c r="G193" s="60" t="str">
        <f t="shared" si="49"/>
        <v>[effect:nothing]</v>
      </c>
      <c r="H193" s="60">
        <f t="shared" si="50"/>
        <v>9</v>
      </c>
      <c r="I193" s="60">
        <f t="shared" si="51"/>
        <v>16</v>
      </c>
      <c r="J193" s="60" t="e">
        <f t="shared" si="52"/>
        <v>#VALUE!</v>
      </c>
      <c r="K193" s="60" t="e">
        <f t="shared" si="53"/>
        <v>#VALUE!</v>
      </c>
      <c r="L193" s="60" t="str">
        <f>IFERROR(VLOOKUP(MID(G193,J193,K193-J193),[6]skilldef!$C:$D,2,FALSE),"-") &amp; " / " &amp; IFERROR(VLOOKUP(MID(G193,H193,I193-H193),[6]skilldef!$A:$B,2,FALSE),"-")</f>
        <v>- / 何もしない</v>
      </c>
      <c r="M193" s="60" t="str">
        <f t="shared" si="54"/>
        <v>none</v>
      </c>
      <c r="N193" s="45" t="str">
        <f>IFERROR(LEFT(M193,FIND("],",M193)+S203),M193)</f>
        <v>none</v>
      </c>
      <c r="O193" s="60" t="e">
        <f t="shared" si="56"/>
        <v>#VALUE!</v>
      </c>
      <c r="P193" s="60">
        <f t="shared" si="57"/>
        <v>4</v>
      </c>
      <c r="Q193" s="60" t="e">
        <f t="shared" si="58"/>
        <v>#VALUE!</v>
      </c>
      <c r="R193" s="60" t="e">
        <f t="shared" si="59"/>
        <v>#VALUE!</v>
      </c>
      <c r="S193" s="60" t="str">
        <f>IFERROR(VLOOKUP(MID(N193,Q193,R193-Q193),[6]skilldef!$C:$D,2,FALSE),"-") &amp; " / " &amp; IFERROR(VLOOKUP(MID(N193,O193,P193-O193),[6]skilldef!$A:$B,2,FALSE),"-")</f>
        <v>- / -</v>
      </c>
      <c r="T193" s="45" t="str">
        <f t="shared" si="60"/>
        <v>none</v>
      </c>
      <c r="U193" s="60" t="e">
        <f t="shared" si="61"/>
        <v>#VALUE!</v>
      </c>
      <c r="V193" s="60">
        <f t="shared" si="62"/>
        <v>4</v>
      </c>
      <c r="W193" s="60" t="e">
        <f t="shared" si="63"/>
        <v>#VALUE!</v>
      </c>
      <c r="X193" s="60" t="e">
        <f t="shared" si="64"/>
        <v>#VALUE!</v>
      </c>
      <c r="Y193" s="60" t="str">
        <f>IFERROR(VLOOKUP(MID(T193,W193,X193-W193),[6]skilldef!$C:$D,2,FALSE),"-") &amp; " / " &amp; IFERROR(VLOOKUP(MID(T193,U193,V193-U193),[6]skilldef!$A:$B,2,FALSE),"-")</f>
        <v>- / -</v>
      </c>
    </row>
    <row r="194" spans="1:25" ht="21" customHeight="1" x14ac:dyDescent="0.15">
      <c r="A194" s="44">
        <v>15031193</v>
      </c>
      <c r="B194" s="44" t="s">
        <v>229</v>
      </c>
      <c r="C194" s="47">
        <v>3</v>
      </c>
      <c r="D194" s="47" t="s">
        <v>127</v>
      </c>
      <c r="E194" s="44" t="s">
        <v>212</v>
      </c>
      <c r="F194" s="48" t="s">
        <v>230</v>
      </c>
      <c r="G194" s="60" t="str">
        <f t="shared" si="49"/>
        <v>[effect:nothing]</v>
      </c>
      <c r="H194" s="60">
        <f t="shared" si="50"/>
        <v>9</v>
      </c>
      <c r="I194" s="60">
        <f t="shared" si="51"/>
        <v>16</v>
      </c>
      <c r="J194" s="60" t="e">
        <f t="shared" si="52"/>
        <v>#VALUE!</v>
      </c>
      <c r="K194" s="60" t="e">
        <f t="shared" si="53"/>
        <v>#VALUE!</v>
      </c>
      <c r="L194" s="60" t="str">
        <f>IFERROR(VLOOKUP(MID(G194,J194,K194-J194),[6]skilldef!$C:$D,2,FALSE),"-") &amp; " / " &amp; IFERROR(VLOOKUP(MID(G194,H194,I194-H194),[6]skilldef!$A:$B,2,FALSE),"-")</f>
        <v>- / 何もしない</v>
      </c>
      <c r="M194" s="60" t="str">
        <f t="shared" si="54"/>
        <v>none</v>
      </c>
      <c r="N194" s="45" t="str">
        <f>IFERROR(LEFT(M194,FIND("],",M194)+S204),M194)</f>
        <v>none</v>
      </c>
      <c r="O194" s="60" t="e">
        <f t="shared" si="56"/>
        <v>#VALUE!</v>
      </c>
      <c r="P194" s="60">
        <f t="shared" si="57"/>
        <v>4</v>
      </c>
      <c r="Q194" s="60" t="e">
        <f t="shared" si="58"/>
        <v>#VALUE!</v>
      </c>
      <c r="R194" s="60" t="e">
        <f t="shared" si="59"/>
        <v>#VALUE!</v>
      </c>
      <c r="S194" s="60" t="str">
        <f>IFERROR(VLOOKUP(MID(N194,Q194,R194-Q194),[6]skilldef!$C:$D,2,FALSE),"-") &amp; " / " &amp; IFERROR(VLOOKUP(MID(N194,O194,P194-O194),[6]skilldef!$A:$B,2,FALSE),"-")</f>
        <v>- / -</v>
      </c>
      <c r="T194" s="45" t="str">
        <f t="shared" si="60"/>
        <v>none</v>
      </c>
      <c r="U194" s="60" t="e">
        <f t="shared" si="61"/>
        <v>#VALUE!</v>
      </c>
      <c r="V194" s="60">
        <f t="shared" si="62"/>
        <v>4</v>
      </c>
      <c r="W194" s="60" t="e">
        <f t="shared" si="63"/>
        <v>#VALUE!</v>
      </c>
      <c r="X194" s="60" t="e">
        <f t="shared" si="64"/>
        <v>#VALUE!</v>
      </c>
      <c r="Y194" s="60" t="str">
        <f>IFERROR(VLOOKUP(MID(T194,W194,X194-W194),[6]skilldef!$C:$D,2,FALSE),"-") &amp; " / " &amp; IFERROR(VLOOKUP(MID(T194,U194,V194-U194),[6]skilldef!$A:$B,2,FALSE),"-")</f>
        <v>- / -</v>
      </c>
    </row>
    <row r="195" spans="1:25" ht="21" customHeight="1" x14ac:dyDescent="0.15">
      <c r="A195" s="44">
        <v>15031194</v>
      </c>
      <c r="B195" s="44" t="s">
        <v>229</v>
      </c>
      <c r="C195" s="47">
        <v>3</v>
      </c>
      <c r="D195" s="47" t="s">
        <v>127</v>
      </c>
      <c r="E195" s="44" t="s">
        <v>212</v>
      </c>
      <c r="F195" s="48" t="s">
        <v>230</v>
      </c>
      <c r="G195" s="60" t="str">
        <f t="shared" si="49"/>
        <v>[effect:nothing]</v>
      </c>
      <c r="H195" s="60">
        <f t="shared" si="50"/>
        <v>9</v>
      </c>
      <c r="I195" s="60">
        <f t="shared" si="51"/>
        <v>16</v>
      </c>
      <c r="J195" s="60" t="e">
        <f t="shared" si="52"/>
        <v>#VALUE!</v>
      </c>
      <c r="K195" s="60" t="e">
        <f t="shared" si="53"/>
        <v>#VALUE!</v>
      </c>
      <c r="L195" s="60" t="str">
        <f>IFERROR(VLOOKUP(MID(G195,J195,K195-J195),[6]skilldef!$C:$D,2,FALSE),"-") &amp; " / " &amp; IFERROR(VLOOKUP(MID(G195,H195,I195-H195),[6]skilldef!$A:$B,2,FALSE),"-")</f>
        <v>- / 何もしない</v>
      </c>
      <c r="M195" s="60" t="str">
        <f t="shared" si="54"/>
        <v>none</v>
      </c>
      <c r="N195" s="45" t="str">
        <f>IFERROR(LEFT(M195,FIND("],",M195)+S205),M195)</f>
        <v>none</v>
      </c>
      <c r="O195" s="60" t="e">
        <f t="shared" si="56"/>
        <v>#VALUE!</v>
      </c>
      <c r="P195" s="60">
        <f t="shared" si="57"/>
        <v>4</v>
      </c>
      <c r="Q195" s="60" t="e">
        <f t="shared" si="58"/>
        <v>#VALUE!</v>
      </c>
      <c r="R195" s="60" t="e">
        <f t="shared" si="59"/>
        <v>#VALUE!</v>
      </c>
      <c r="S195" s="60" t="str">
        <f>IFERROR(VLOOKUP(MID(N195,Q195,R195-Q195),[6]skilldef!$C:$D,2,FALSE),"-") &amp; " / " &amp; IFERROR(VLOOKUP(MID(N195,O195,P195-O195),[6]skilldef!$A:$B,2,FALSE),"-")</f>
        <v>- / -</v>
      </c>
      <c r="T195" s="45" t="str">
        <f t="shared" si="60"/>
        <v>none</v>
      </c>
      <c r="U195" s="60" t="e">
        <f t="shared" si="61"/>
        <v>#VALUE!</v>
      </c>
      <c r="V195" s="60">
        <f t="shared" si="62"/>
        <v>4</v>
      </c>
      <c r="W195" s="60" t="e">
        <f t="shared" si="63"/>
        <v>#VALUE!</v>
      </c>
      <c r="X195" s="60" t="e">
        <f t="shared" si="64"/>
        <v>#VALUE!</v>
      </c>
      <c r="Y195" s="60" t="str">
        <f>IFERROR(VLOOKUP(MID(T195,W195,X195-W195),[6]skilldef!$C:$D,2,FALSE),"-") &amp; " / " &amp; IFERROR(VLOOKUP(MID(T195,U195,V195-U195),[6]skilldef!$A:$B,2,FALSE),"-")</f>
        <v>- / -</v>
      </c>
    </row>
    <row r="196" spans="1:25" ht="21" customHeight="1" x14ac:dyDescent="0.15">
      <c r="A196" s="44">
        <v>15031195</v>
      </c>
      <c r="B196" s="44" t="s">
        <v>229</v>
      </c>
      <c r="C196" s="47">
        <v>3</v>
      </c>
      <c r="D196" s="47" t="s">
        <v>127</v>
      </c>
      <c r="E196" s="44" t="s">
        <v>212</v>
      </c>
      <c r="F196" s="48" t="s">
        <v>230</v>
      </c>
      <c r="G196" s="60" t="str">
        <f t="shared" si="49"/>
        <v>[effect:nothing]</v>
      </c>
      <c r="H196" s="60">
        <f t="shared" si="50"/>
        <v>9</v>
      </c>
      <c r="I196" s="60">
        <f t="shared" si="51"/>
        <v>16</v>
      </c>
      <c r="J196" s="60" t="e">
        <f t="shared" si="52"/>
        <v>#VALUE!</v>
      </c>
      <c r="K196" s="60" t="e">
        <f t="shared" si="53"/>
        <v>#VALUE!</v>
      </c>
      <c r="L196" s="60" t="str">
        <f>IFERROR(VLOOKUP(MID(G196,J196,K196-J196),[6]skilldef!$C:$D,2,FALSE),"-") &amp; " / " &amp; IFERROR(VLOOKUP(MID(G196,H196,I196-H196),[6]skilldef!$A:$B,2,FALSE),"-")</f>
        <v>- / 何もしない</v>
      </c>
      <c r="M196" s="60" t="str">
        <f t="shared" si="54"/>
        <v>none</v>
      </c>
      <c r="N196" s="45" t="str">
        <f>IFERROR(LEFT(M196,FIND("],",M196)+S206),M196)</f>
        <v>none</v>
      </c>
      <c r="O196" s="60" t="e">
        <f t="shared" si="56"/>
        <v>#VALUE!</v>
      </c>
      <c r="P196" s="60">
        <f t="shared" si="57"/>
        <v>4</v>
      </c>
      <c r="Q196" s="60" t="e">
        <f t="shared" si="58"/>
        <v>#VALUE!</v>
      </c>
      <c r="R196" s="60" t="e">
        <f t="shared" si="59"/>
        <v>#VALUE!</v>
      </c>
      <c r="S196" s="60" t="str">
        <f>IFERROR(VLOOKUP(MID(N196,Q196,R196-Q196),[6]skilldef!$C:$D,2,FALSE),"-") &amp; " / " &amp; IFERROR(VLOOKUP(MID(N196,O196,P196-O196),[6]skilldef!$A:$B,2,FALSE),"-")</f>
        <v>- / -</v>
      </c>
      <c r="T196" s="45" t="str">
        <f t="shared" si="60"/>
        <v>none</v>
      </c>
      <c r="U196" s="60" t="e">
        <f t="shared" si="61"/>
        <v>#VALUE!</v>
      </c>
      <c r="V196" s="60">
        <f t="shared" si="62"/>
        <v>4</v>
      </c>
      <c r="W196" s="60" t="e">
        <f t="shared" si="63"/>
        <v>#VALUE!</v>
      </c>
      <c r="X196" s="60" t="e">
        <f t="shared" si="64"/>
        <v>#VALUE!</v>
      </c>
      <c r="Y196" s="60" t="str">
        <f>IFERROR(VLOOKUP(MID(T196,W196,X196-W196),[6]skilldef!$C:$D,2,FALSE),"-") &amp; " / " &amp; IFERROR(VLOOKUP(MID(T196,U196,V196-U196),[6]skilldef!$A:$B,2,FALSE),"-")</f>
        <v>- / -</v>
      </c>
    </row>
    <row r="197" spans="1:25" ht="21" customHeight="1" x14ac:dyDescent="0.15">
      <c r="A197" s="44">
        <v>15031196</v>
      </c>
      <c r="B197" s="44" t="s">
        <v>229</v>
      </c>
      <c r="C197" s="47">
        <v>3</v>
      </c>
      <c r="D197" s="47" t="s">
        <v>127</v>
      </c>
      <c r="E197" s="140" t="s">
        <v>213</v>
      </c>
      <c r="F197" s="48" t="s">
        <v>230</v>
      </c>
      <c r="G197" s="60" t="str">
        <f t="shared" si="49"/>
        <v>[effect:nothing]</v>
      </c>
      <c r="H197" s="60">
        <f t="shared" si="50"/>
        <v>9</v>
      </c>
      <c r="I197" s="60">
        <f t="shared" si="51"/>
        <v>16</v>
      </c>
      <c r="J197" s="60" t="e">
        <f t="shared" si="52"/>
        <v>#VALUE!</v>
      </c>
      <c r="K197" s="60" t="e">
        <f t="shared" si="53"/>
        <v>#VALUE!</v>
      </c>
      <c r="L197" s="60" t="str">
        <f>IFERROR(VLOOKUP(MID(G197,J197,K197-J197),[6]skilldef!$C:$D,2,FALSE),"-") &amp; " / " &amp; IFERROR(VLOOKUP(MID(G197,H197,I197-H197),[6]skilldef!$A:$B,2,FALSE),"-")</f>
        <v>- / 何もしない</v>
      </c>
      <c r="M197" s="60" t="str">
        <f t="shared" si="54"/>
        <v>none</v>
      </c>
      <c r="N197" s="45" t="str">
        <f>IFERROR(LEFT(M197,FIND("],",M197)+#REF!),M197)</f>
        <v>none</v>
      </c>
      <c r="O197" s="60" t="e">
        <f t="shared" si="56"/>
        <v>#VALUE!</v>
      </c>
      <c r="P197" s="60">
        <f t="shared" si="57"/>
        <v>4</v>
      </c>
      <c r="Q197" s="60" t="e">
        <f t="shared" si="58"/>
        <v>#VALUE!</v>
      </c>
      <c r="R197" s="60" t="e">
        <f t="shared" si="59"/>
        <v>#VALUE!</v>
      </c>
      <c r="S197" s="60" t="str">
        <f>IFERROR(VLOOKUP(MID(N197,Q197,R197-Q197),[6]skilldef!$C:$D,2,FALSE),"-") &amp; " / " &amp; IFERROR(VLOOKUP(MID(N197,O197,P197-O197),[6]skilldef!$A:$B,2,FALSE),"-")</f>
        <v>- / -</v>
      </c>
      <c r="T197" s="45" t="str">
        <f t="shared" si="60"/>
        <v>none</v>
      </c>
      <c r="U197" s="60" t="e">
        <f t="shared" si="61"/>
        <v>#VALUE!</v>
      </c>
      <c r="V197" s="60">
        <f t="shared" si="62"/>
        <v>4</v>
      </c>
      <c r="W197" s="60" t="e">
        <f t="shared" si="63"/>
        <v>#VALUE!</v>
      </c>
      <c r="X197" s="60" t="e">
        <f t="shared" si="64"/>
        <v>#VALUE!</v>
      </c>
      <c r="Y197" s="60" t="str">
        <f>IFERROR(VLOOKUP(MID(T197,W197,X197-W197),[6]skilldef!$C:$D,2,FALSE),"-") &amp; " / " &amp; IFERROR(VLOOKUP(MID(T197,U197,V197-U197),[6]skilldef!$A:$B,2,FALSE),"-")</f>
        <v>- / -</v>
      </c>
    </row>
    <row r="198" spans="1:25" ht="21" customHeight="1" x14ac:dyDescent="0.15">
      <c r="A198" s="44">
        <v>15031197</v>
      </c>
      <c r="B198" s="44" t="s">
        <v>229</v>
      </c>
      <c r="C198" s="47">
        <v>3</v>
      </c>
      <c r="D198" s="47" t="s">
        <v>127</v>
      </c>
      <c r="E198" s="44" t="s">
        <v>213</v>
      </c>
      <c r="F198" s="48" t="s">
        <v>230</v>
      </c>
      <c r="G198" s="60" t="str">
        <f t="shared" si="49"/>
        <v>[effect:nothing]</v>
      </c>
      <c r="H198" s="60">
        <f t="shared" si="50"/>
        <v>9</v>
      </c>
      <c r="I198" s="60">
        <f t="shared" si="51"/>
        <v>16</v>
      </c>
      <c r="J198" s="60" t="e">
        <f t="shared" si="52"/>
        <v>#VALUE!</v>
      </c>
      <c r="K198" s="60" t="e">
        <f t="shared" si="53"/>
        <v>#VALUE!</v>
      </c>
      <c r="L198" s="60" t="str">
        <f>IFERROR(VLOOKUP(MID(G198,J198,K198-J198),[6]skilldef!$C:$D,2,FALSE),"-") &amp; " / " &amp; IFERROR(VLOOKUP(MID(G198,H198,I198-H198),[6]skilldef!$A:$B,2,FALSE),"-")</f>
        <v>- / 何もしない</v>
      </c>
      <c r="M198" s="60" t="str">
        <f t="shared" si="54"/>
        <v>none</v>
      </c>
      <c r="N198" s="45" t="str">
        <f>IFERROR(LEFT(M198,FIND("],",M198)+#REF!),M198)</f>
        <v>none</v>
      </c>
      <c r="O198" s="60" t="e">
        <f t="shared" si="56"/>
        <v>#VALUE!</v>
      </c>
      <c r="P198" s="60">
        <f t="shared" si="57"/>
        <v>4</v>
      </c>
      <c r="Q198" s="60" t="e">
        <f t="shared" si="58"/>
        <v>#VALUE!</v>
      </c>
      <c r="R198" s="60" t="e">
        <f t="shared" si="59"/>
        <v>#VALUE!</v>
      </c>
      <c r="S198" s="60" t="str">
        <f>IFERROR(VLOOKUP(MID(N198,Q198,R198-Q198),[6]skilldef!$C:$D,2,FALSE),"-") &amp; " / " &amp; IFERROR(VLOOKUP(MID(N198,O198,P198-O198),[6]skilldef!$A:$B,2,FALSE),"-")</f>
        <v>- / -</v>
      </c>
      <c r="T198" s="45" t="str">
        <f t="shared" si="60"/>
        <v>none</v>
      </c>
      <c r="U198" s="60" t="e">
        <f t="shared" si="61"/>
        <v>#VALUE!</v>
      </c>
      <c r="V198" s="60">
        <f t="shared" si="62"/>
        <v>4</v>
      </c>
      <c r="W198" s="60" t="e">
        <f t="shared" si="63"/>
        <v>#VALUE!</v>
      </c>
      <c r="X198" s="60" t="e">
        <f t="shared" si="64"/>
        <v>#VALUE!</v>
      </c>
      <c r="Y198" s="60" t="str">
        <f>IFERROR(VLOOKUP(MID(T198,W198,X198-W198),[6]skilldef!$C:$D,2,FALSE),"-") &amp; " / " &amp; IFERROR(VLOOKUP(MID(T198,U198,V198-U198),[6]skilldef!$A:$B,2,FALSE),"-")</f>
        <v>- / -</v>
      </c>
    </row>
    <row r="199" spans="1:25" ht="21" customHeight="1" x14ac:dyDescent="0.15">
      <c r="A199" s="44">
        <v>15031198</v>
      </c>
      <c r="B199" s="44" t="s">
        <v>229</v>
      </c>
      <c r="C199" s="47">
        <v>3</v>
      </c>
      <c r="D199" s="47" t="s">
        <v>127</v>
      </c>
      <c r="E199" s="44" t="s">
        <v>213</v>
      </c>
      <c r="F199" s="48" t="s">
        <v>230</v>
      </c>
      <c r="G199" s="60" t="str">
        <f t="shared" si="49"/>
        <v>[effect:nothing]</v>
      </c>
      <c r="H199" s="60">
        <f t="shared" si="50"/>
        <v>9</v>
      </c>
      <c r="I199" s="60">
        <f t="shared" si="51"/>
        <v>16</v>
      </c>
      <c r="J199" s="60" t="e">
        <f t="shared" si="52"/>
        <v>#VALUE!</v>
      </c>
      <c r="K199" s="60" t="e">
        <f t="shared" si="53"/>
        <v>#VALUE!</v>
      </c>
      <c r="L199" s="60" t="str">
        <f>IFERROR(VLOOKUP(MID(G199,J199,K199-J199),[6]skilldef!$C:$D,2,FALSE),"-") &amp; " / " &amp; IFERROR(VLOOKUP(MID(G199,H199,I199-H199),[6]skilldef!$A:$B,2,FALSE),"-")</f>
        <v>- / 何もしない</v>
      </c>
      <c r="M199" s="60" t="str">
        <f t="shared" si="54"/>
        <v>none</v>
      </c>
      <c r="N199" s="45" t="str">
        <f>IFERROR(LEFT(M199,FIND("],",M199)+#REF!),M199)</f>
        <v>none</v>
      </c>
      <c r="O199" s="60" t="e">
        <f t="shared" si="56"/>
        <v>#VALUE!</v>
      </c>
      <c r="P199" s="60">
        <f t="shared" si="57"/>
        <v>4</v>
      </c>
      <c r="Q199" s="60" t="e">
        <f t="shared" si="58"/>
        <v>#VALUE!</v>
      </c>
      <c r="R199" s="60" t="e">
        <f t="shared" si="59"/>
        <v>#VALUE!</v>
      </c>
      <c r="S199" s="60" t="str">
        <f>IFERROR(VLOOKUP(MID(N199,Q199,R199-Q199),[6]skilldef!$C:$D,2,FALSE),"-") &amp; " / " &amp; IFERROR(VLOOKUP(MID(N199,O199,P199-O199),[6]skilldef!$A:$B,2,FALSE),"-")</f>
        <v>- / -</v>
      </c>
      <c r="T199" s="45" t="str">
        <f t="shared" si="60"/>
        <v>none</v>
      </c>
      <c r="U199" s="60" t="e">
        <f t="shared" si="61"/>
        <v>#VALUE!</v>
      </c>
      <c r="V199" s="60">
        <f t="shared" si="62"/>
        <v>4</v>
      </c>
      <c r="W199" s="60" t="e">
        <f t="shared" si="63"/>
        <v>#VALUE!</v>
      </c>
      <c r="X199" s="60" t="e">
        <f t="shared" si="64"/>
        <v>#VALUE!</v>
      </c>
      <c r="Y199" s="60" t="str">
        <f>IFERROR(VLOOKUP(MID(T199,W199,X199-W199),[6]skilldef!$C:$D,2,FALSE),"-") &amp; " / " &amp; IFERROR(VLOOKUP(MID(T199,U199,V199-U199),[6]skilldef!$A:$B,2,FALSE),"-")</f>
        <v>- / -</v>
      </c>
    </row>
    <row r="200" spans="1:25" ht="21" customHeight="1" x14ac:dyDescent="0.15">
      <c r="A200" s="44">
        <v>15031199</v>
      </c>
      <c r="B200" s="44" t="s">
        <v>229</v>
      </c>
      <c r="C200" s="47">
        <v>3</v>
      </c>
      <c r="D200" s="47" t="s">
        <v>127</v>
      </c>
      <c r="E200" s="44" t="s">
        <v>213</v>
      </c>
      <c r="F200" s="48" t="s">
        <v>230</v>
      </c>
      <c r="G200" s="60" t="str">
        <f t="shared" si="49"/>
        <v>[effect:nothing]</v>
      </c>
      <c r="H200" s="60">
        <f t="shared" si="50"/>
        <v>9</v>
      </c>
      <c r="I200" s="60">
        <f t="shared" si="51"/>
        <v>16</v>
      </c>
      <c r="J200" s="60" t="e">
        <f t="shared" si="52"/>
        <v>#VALUE!</v>
      </c>
      <c r="K200" s="60" t="e">
        <f t="shared" si="53"/>
        <v>#VALUE!</v>
      </c>
      <c r="L200" s="60" t="str">
        <f>IFERROR(VLOOKUP(MID(G200,J200,K200-J200),[6]skilldef!$C:$D,2,FALSE),"-") &amp; " / " &amp; IFERROR(VLOOKUP(MID(G200,H200,I200-H200),[6]skilldef!$A:$B,2,FALSE),"-")</f>
        <v>- / 何もしない</v>
      </c>
      <c r="M200" s="60" t="str">
        <f t="shared" si="54"/>
        <v>none</v>
      </c>
      <c r="N200" s="45" t="str">
        <f t="shared" ref="N200:N206" si="90">IFERROR(LEFT(M200,FIND("],",M200)+S207),M200)</f>
        <v>none</v>
      </c>
      <c r="O200" s="60" t="e">
        <f t="shared" si="56"/>
        <v>#VALUE!</v>
      </c>
      <c r="P200" s="60">
        <f t="shared" si="57"/>
        <v>4</v>
      </c>
      <c r="Q200" s="60" t="e">
        <f t="shared" si="58"/>
        <v>#VALUE!</v>
      </c>
      <c r="R200" s="60" t="e">
        <f t="shared" si="59"/>
        <v>#VALUE!</v>
      </c>
      <c r="S200" s="60" t="str">
        <f>IFERROR(VLOOKUP(MID(N200,Q200,R200-Q200),[6]skilldef!$C:$D,2,FALSE),"-") &amp; " / " &amp; IFERROR(VLOOKUP(MID(N200,O200,P200-O200),[6]skilldef!$A:$B,2,FALSE),"-")</f>
        <v>- / -</v>
      </c>
      <c r="T200" s="45" t="str">
        <f t="shared" si="60"/>
        <v>none</v>
      </c>
      <c r="U200" s="60" t="e">
        <f t="shared" si="61"/>
        <v>#VALUE!</v>
      </c>
      <c r="V200" s="60">
        <f t="shared" si="62"/>
        <v>4</v>
      </c>
      <c r="W200" s="60" t="e">
        <f t="shared" si="63"/>
        <v>#VALUE!</v>
      </c>
      <c r="X200" s="60" t="e">
        <f t="shared" si="64"/>
        <v>#VALUE!</v>
      </c>
      <c r="Y200" s="60" t="str">
        <f>IFERROR(VLOOKUP(MID(T200,W200,X200-W200),[6]skilldef!$C:$D,2,FALSE),"-") &amp; " / " &amp; IFERROR(VLOOKUP(MID(T200,U200,V200-U200),[6]skilldef!$A:$B,2,FALSE),"-")</f>
        <v>- / -</v>
      </c>
    </row>
    <row r="201" spans="1:25" ht="21" customHeight="1" x14ac:dyDescent="0.15">
      <c r="A201" s="44">
        <v>15031200</v>
      </c>
      <c r="B201" s="44" t="s">
        <v>229</v>
      </c>
      <c r="C201" s="47">
        <v>3</v>
      </c>
      <c r="D201" s="47" t="s">
        <v>127</v>
      </c>
      <c r="E201" s="44" t="s">
        <v>213</v>
      </c>
      <c r="F201" s="48" t="s">
        <v>230</v>
      </c>
      <c r="G201" s="60" t="str">
        <f t="shared" si="49"/>
        <v>[effect:nothing]</v>
      </c>
      <c r="H201" s="60">
        <f t="shared" si="50"/>
        <v>9</v>
      </c>
      <c r="I201" s="60">
        <f t="shared" si="51"/>
        <v>16</v>
      </c>
      <c r="J201" s="60" t="e">
        <f t="shared" si="52"/>
        <v>#VALUE!</v>
      </c>
      <c r="K201" s="60" t="e">
        <f t="shared" si="53"/>
        <v>#VALUE!</v>
      </c>
      <c r="L201" s="60" t="str">
        <f>IFERROR(VLOOKUP(MID(G201,J201,K201-J201),[6]skilldef!$C:$D,2,FALSE),"-") &amp; " / " &amp; IFERROR(VLOOKUP(MID(G201,H201,I201-H201),[6]skilldef!$A:$B,2,FALSE),"-")</f>
        <v>- / 何もしない</v>
      </c>
      <c r="M201" s="60" t="str">
        <f t="shared" si="54"/>
        <v>none</v>
      </c>
      <c r="N201" s="45" t="str">
        <f t="shared" si="90"/>
        <v>none</v>
      </c>
      <c r="O201" s="60" t="e">
        <f t="shared" si="56"/>
        <v>#VALUE!</v>
      </c>
      <c r="P201" s="60">
        <f t="shared" si="57"/>
        <v>4</v>
      </c>
      <c r="Q201" s="60" t="e">
        <f t="shared" si="58"/>
        <v>#VALUE!</v>
      </c>
      <c r="R201" s="60" t="e">
        <f t="shared" si="59"/>
        <v>#VALUE!</v>
      </c>
      <c r="S201" s="60" t="str">
        <f>IFERROR(VLOOKUP(MID(N201,Q201,R201-Q201),[6]skilldef!$C:$D,2,FALSE),"-") &amp; " / " &amp; IFERROR(VLOOKUP(MID(N201,O201,P201-O201),[6]skilldef!$A:$B,2,FALSE),"-")</f>
        <v>- / -</v>
      </c>
      <c r="T201" s="45" t="str">
        <f t="shared" si="60"/>
        <v>none</v>
      </c>
      <c r="U201" s="60" t="e">
        <f t="shared" si="61"/>
        <v>#VALUE!</v>
      </c>
      <c r="V201" s="60">
        <f t="shared" si="62"/>
        <v>4</v>
      </c>
      <c r="W201" s="60" t="e">
        <f t="shared" si="63"/>
        <v>#VALUE!</v>
      </c>
      <c r="X201" s="60" t="e">
        <f t="shared" si="64"/>
        <v>#VALUE!</v>
      </c>
      <c r="Y201" s="60" t="str">
        <f>IFERROR(VLOOKUP(MID(T201,W201,X201-W201),[6]skilldef!$C:$D,2,FALSE),"-") &amp; " / " &amp; IFERROR(VLOOKUP(MID(T201,U201,V201-U201),[6]skilldef!$A:$B,2,FALSE),"-")</f>
        <v>- / -</v>
      </c>
    </row>
    <row r="202" spans="1:25" ht="21" customHeight="1" x14ac:dyDescent="0.15">
      <c r="A202" s="44">
        <v>15031201</v>
      </c>
      <c r="B202" s="44" t="s">
        <v>229</v>
      </c>
      <c r="C202" s="47">
        <v>3</v>
      </c>
      <c r="D202" s="47" t="s">
        <v>127</v>
      </c>
      <c r="E202" s="140" t="s">
        <v>214</v>
      </c>
      <c r="F202" s="48" t="s">
        <v>230</v>
      </c>
      <c r="G202" s="60" t="str">
        <f t="shared" si="49"/>
        <v>[effect:nothing]</v>
      </c>
      <c r="H202" s="60">
        <f t="shared" si="50"/>
        <v>9</v>
      </c>
      <c r="I202" s="60">
        <f t="shared" si="51"/>
        <v>16</v>
      </c>
      <c r="J202" s="60" t="e">
        <f t="shared" si="52"/>
        <v>#VALUE!</v>
      </c>
      <c r="K202" s="60" t="e">
        <f t="shared" si="53"/>
        <v>#VALUE!</v>
      </c>
      <c r="L202" s="60" t="str">
        <f>IFERROR(VLOOKUP(MID(G202,J202,K202-J202),[6]skilldef!$C:$D,2,FALSE),"-") &amp; " / " &amp; IFERROR(VLOOKUP(MID(G202,H202,I202-H202),[6]skilldef!$A:$B,2,FALSE),"-")</f>
        <v>- / 何もしない</v>
      </c>
      <c r="M202" s="60" t="str">
        <f t="shared" si="54"/>
        <v>none</v>
      </c>
      <c r="N202" s="45" t="str">
        <f t="shared" si="90"/>
        <v>none</v>
      </c>
      <c r="O202" s="60" t="e">
        <f t="shared" si="56"/>
        <v>#VALUE!</v>
      </c>
      <c r="P202" s="60">
        <f t="shared" si="57"/>
        <v>4</v>
      </c>
      <c r="Q202" s="60" t="e">
        <f t="shared" si="58"/>
        <v>#VALUE!</v>
      </c>
      <c r="R202" s="60" t="e">
        <f t="shared" si="59"/>
        <v>#VALUE!</v>
      </c>
      <c r="S202" s="60" t="str">
        <f>IFERROR(VLOOKUP(MID(N202,Q202,R202-Q202),[6]skilldef!$C:$D,2,FALSE),"-") &amp; " / " &amp; IFERROR(VLOOKUP(MID(N202,O202,P202-O202),[6]skilldef!$A:$B,2,FALSE),"-")</f>
        <v>- / -</v>
      </c>
      <c r="T202" s="45" t="str">
        <f t="shared" si="60"/>
        <v>none</v>
      </c>
      <c r="U202" s="60" t="e">
        <f t="shared" si="61"/>
        <v>#VALUE!</v>
      </c>
      <c r="V202" s="60">
        <f t="shared" si="62"/>
        <v>4</v>
      </c>
      <c r="W202" s="60" t="e">
        <f t="shared" si="63"/>
        <v>#VALUE!</v>
      </c>
      <c r="X202" s="60" t="e">
        <f t="shared" si="64"/>
        <v>#VALUE!</v>
      </c>
      <c r="Y202" s="60" t="str">
        <f>IFERROR(VLOOKUP(MID(T202,W202,X202-W202),[6]skilldef!$C:$D,2,FALSE),"-") &amp; " / " &amp; IFERROR(VLOOKUP(MID(T202,U202,V202-U202),[6]skilldef!$A:$B,2,FALSE),"-")</f>
        <v>- / -</v>
      </c>
    </row>
    <row r="203" spans="1:25" ht="21" customHeight="1" x14ac:dyDescent="0.15">
      <c r="A203" s="44">
        <v>15031202</v>
      </c>
      <c r="B203" s="44" t="s">
        <v>229</v>
      </c>
      <c r="C203" s="47">
        <v>3</v>
      </c>
      <c r="D203" s="47" t="s">
        <v>127</v>
      </c>
      <c r="E203" s="44" t="s">
        <v>214</v>
      </c>
      <c r="F203" s="48" t="s">
        <v>230</v>
      </c>
      <c r="G203" s="60" t="str">
        <f t="shared" si="49"/>
        <v>[effect:nothing]</v>
      </c>
      <c r="H203" s="60">
        <f t="shared" si="50"/>
        <v>9</v>
      </c>
      <c r="I203" s="60">
        <f t="shared" si="51"/>
        <v>16</v>
      </c>
      <c r="J203" s="60" t="e">
        <f t="shared" si="52"/>
        <v>#VALUE!</v>
      </c>
      <c r="K203" s="60" t="e">
        <f t="shared" si="53"/>
        <v>#VALUE!</v>
      </c>
      <c r="L203" s="60" t="str">
        <f>IFERROR(VLOOKUP(MID(G203,J203,K203-J203),[6]skilldef!$C:$D,2,FALSE),"-") &amp; " / " &amp; IFERROR(VLOOKUP(MID(G203,H203,I203-H203),[6]skilldef!$A:$B,2,FALSE),"-")</f>
        <v>- / 何もしない</v>
      </c>
      <c r="M203" s="60" t="str">
        <f t="shared" si="54"/>
        <v>none</v>
      </c>
      <c r="N203" s="45" t="str">
        <f t="shared" si="90"/>
        <v>none</v>
      </c>
      <c r="O203" s="60" t="e">
        <f t="shared" si="56"/>
        <v>#VALUE!</v>
      </c>
      <c r="P203" s="60">
        <f t="shared" si="57"/>
        <v>4</v>
      </c>
      <c r="Q203" s="60" t="e">
        <f t="shared" si="58"/>
        <v>#VALUE!</v>
      </c>
      <c r="R203" s="60" t="e">
        <f t="shared" si="59"/>
        <v>#VALUE!</v>
      </c>
      <c r="S203" s="60" t="str">
        <f>IFERROR(VLOOKUP(MID(N203,Q203,R203-Q203),[6]skilldef!$C:$D,2,FALSE),"-") &amp; " / " &amp; IFERROR(VLOOKUP(MID(N203,O203,P203-O203),[6]skilldef!$A:$B,2,FALSE),"-")</f>
        <v>- / -</v>
      </c>
      <c r="T203" s="45" t="str">
        <f t="shared" si="60"/>
        <v>none</v>
      </c>
      <c r="U203" s="60" t="e">
        <f t="shared" si="61"/>
        <v>#VALUE!</v>
      </c>
      <c r="V203" s="60">
        <f t="shared" si="62"/>
        <v>4</v>
      </c>
      <c r="W203" s="60" t="e">
        <f t="shared" si="63"/>
        <v>#VALUE!</v>
      </c>
      <c r="X203" s="60" t="e">
        <f t="shared" si="64"/>
        <v>#VALUE!</v>
      </c>
      <c r="Y203" s="60" t="str">
        <f>IFERROR(VLOOKUP(MID(T203,W203,X203-W203),[6]skilldef!$C:$D,2,FALSE),"-") &amp; " / " &amp; IFERROR(VLOOKUP(MID(T203,U203,V203-U203),[6]skilldef!$A:$B,2,FALSE),"-")</f>
        <v>- / -</v>
      </c>
    </row>
    <row r="204" spans="1:25" ht="21" customHeight="1" x14ac:dyDescent="0.15">
      <c r="A204" s="44">
        <v>15031203</v>
      </c>
      <c r="B204" s="44" t="s">
        <v>229</v>
      </c>
      <c r="C204" s="47">
        <v>3</v>
      </c>
      <c r="D204" s="47" t="s">
        <v>127</v>
      </c>
      <c r="E204" s="44" t="s">
        <v>214</v>
      </c>
      <c r="F204" s="48" t="s">
        <v>230</v>
      </c>
      <c r="G204" s="60" t="str">
        <f t="shared" ref="G204:G264" si="91">IFERROR(LEFT(B204,FIND("],",B204)),B204)</f>
        <v>[effect:nothing]</v>
      </c>
      <c r="H204" s="60">
        <f t="shared" ref="H204:H264" si="92">FIND("effect:",G204)+7</f>
        <v>9</v>
      </c>
      <c r="I204" s="60">
        <f t="shared" ref="I204:I264" si="93">IFERROR(FIND(",",G204),LEN(G204))</f>
        <v>16</v>
      </c>
      <c r="J204" s="60" t="e">
        <f t="shared" ref="J204:J264" si="94">FIND("target:",G204)+7</f>
        <v>#VALUE!</v>
      </c>
      <c r="K204" s="60" t="e">
        <f t="shared" ref="K204:K264" si="95">FIND(",",G204,I204+1)</f>
        <v>#VALUE!</v>
      </c>
      <c r="L204" s="60" t="str">
        <f>IFERROR(VLOOKUP(MID(G204,J204,K204-J204),[6]skilldef!$C:$D,2,FALSE),"-") &amp; " / " &amp; IFERROR(VLOOKUP(MID(G204,H204,I204-H204),[6]skilldef!$A:$B,2,FALSE),"-")</f>
        <v>- / 何もしない</v>
      </c>
      <c r="M204" s="60" t="str">
        <f t="shared" ref="M204:M264" si="96">IFERROR(RIGHT(B204,LEN(B204)-FIND("],",B204)-1),"none")</f>
        <v>none</v>
      </c>
      <c r="N204" s="45" t="str">
        <f t="shared" si="90"/>
        <v>none</v>
      </c>
      <c r="O204" s="60" t="e">
        <f t="shared" ref="O204:O264" si="97">FIND("effect:",N204)+7</f>
        <v>#VALUE!</v>
      </c>
      <c r="P204" s="60">
        <f t="shared" ref="P204:P264" si="98">IFERROR(FIND(",",N204),LEN(N204))</f>
        <v>4</v>
      </c>
      <c r="Q204" s="60" t="e">
        <f t="shared" ref="Q204:Q264" si="99">FIND("target:",N204)+7</f>
        <v>#VALUE!</v>
      </c>
      <c r="R204" s="60" t="e">
        <f t="shared" ref="R204:R264" si="100">FIND(",",N204,P204+1)</f>
        <v>#VALUE!</v>
      </c>
      <c r="S204" s="60" t="str">
        <f>IFERROR(VLOOKUP(MID(N204,Q204,R204-Q204),[6]skilldef!$C:$D,2,FALSE),"-") &amp; " / " &amp; IFERROR(VLOOKUP(MID(N204,O204,P204-O204),[6]skilldef!$A:$B,2,FALSE),"-")</f>
        <v>- / -</v>
      </c>
      <c r="T204" s="45" t="str">
        <f t="shared" ref="T204:T264" si="101">IFERROR(RIGHT(M204,LEN(M204)-FIND("],",M204)-1),"none")</f>
        <v>none</v>
      </c>
      <c r="U204" s="60" t="e">
        <f t="shared" ref="U204:U264" si="102">FIND("effect:",T204)+7</f>
        <v>#VALUE!</v>
      </c>
      <c r="V204" s="60">
        <f t="shared" ref="V204:V264" si="103">IFERROR(FIND(",",T204),LEN(T204))</f>
        <v>4</v>
      </c>
      <c r="W204" s="60" t="e">
        <f t="shared" ref="W204:W264" si="104">FIND("target:",T204)+7</f>
        <v>#VALUE!</v>
      </c>
      <c r="X204" s="60" t="e">
        <f t="shared" ref="X204:X264" si="105">FIND(",",T204,V204+1)</f>
        <v>#VALUE!</v>
      </c>
      <c r="Y204" s="60" t="str">
        <f>IFERROR(VLOOKUP(MID(T204,W204,X204-W204),[6]skilldef!$C:$D,2,FALSE),"-") &amp; " / " &amp; IFERROR(VLOOKUP(MID(T204,U204,V204-U204),[6]skilldef!$A:$B,2,FALSE),"-")</f>
        <v>- / -</v>
      </c>
    </row>
    <row r="205" spans="1:25" ht="21" customHeight="1" x14ac:dyDescent="0.15">
      <c r="A205" s="44">
        <v>15031204</v>
      </c>
      <c r="B205" s="44" t="s">
        <v>229</v>
      </c>
      <c r="C205" s="47">
        <v>3</v>
      </c>
      <c r="D205" s="47" t="s">
        <v>127</v>
      </c>
      <c r="E205" s="44" t="s">
        <v>214</v>
      </c>
      <c r="F205" s="48" t="s">
        <v>230</v>
      </c>
      <c r="G205" s="60" t="str">
        <f t="shared" si="91"/>
        <v>[effect:nothing]</v>
      </c>
      <c r="H205" s="60">
        <f t="shared" si="92"/>
        <v>9</v>
      </c>
      <c r="I205" s="60">
        <f t="shared" si="93"/>
        <v>16</v>
      </c>
      <c r="J205" s="60" t="e">
        <f t="shared" si="94"/>
        <v>#VALUE!</v>
      </c>
      <c r="K205" s="60" t="e">
        <f t="shared" si="95"/>
        <v>#VALUE!</v>
      </c>
      <c r="L205" s="60" t="str">
        <f>IFERROR(VLOOKUP(MID(G205,J205,K205-J205),[6]skilldef!$C:$D,2,FALSE),"-") &amp; " / " &amp; IFERROR(VLOOKUP(MID(G205,H205,I205-H205),[6]skilldef!$A:$B,2,FALSE),"-")</f>
        <v>- / 何もしない</v>
      </c>
      <c r="M205" s="60" t="str">
        <f t="shared" si="96"/>
        <v>none</v>
      </c>
      <c r="N205" s="45" t="str">
        <f t="shared" si="90"/>
        <v>none</v>
      </c>
      <c r="O205" s="60" t="e">
        <f t="shared" si="97"/>
        <v>#VALUE!</v>
      </c>
      <c r="P205" s="60">
        <f t="shared" si="98"/>
        <v>4</v>
      </c>
      <c r="Q205" s="60" t="e">
        <f t="shared" si="99"/>
        <v>#VALUE!</v>
      </c>
      <c r="R205" s="60" t="e">
        <f t="shared" si="100"/>
        <v>#VALUE!</v>
      </c>
      <c r="S205" s="60" t="str">
        <f>IFERROR(VLOOKUP(MID(N205,Q205,R205-Q205),[6]skilldef!$C:$D,2,FALSE),"-") &amp; " / " &amp; IFERROR(VLOOKUP(MID(N205,O205,P205-O205),[6]skilldef!$A:$B,2,FALSE),"-")</f>
        <v>- / -</v>
      </c>
      <c r="T205" s="45" t="str">
        <f t="shared" si="101"/>
        <v>none</v>
      </c>
      <c r="U205" s="60" t="e">
        <f t="shared" si="102"/>
        <v>#VALUE!</v>
      </c>
      <c r="V205" s="60">
        <f t="shared" si="103"/>
        <v>4</v>
      </c>
      <c r="W205" s="60" t="e">
        <f t="shared" si="104"/>
        <v>#VALUE!</v>
      </c>
      <c r="X205" s="60" t="e">
        <f t="shared" si="105"/>
        <v>#VALUE!</v>
      </c>
      <c r="Y205" s="60" t="str">
        <f>IFERROR(VLOOKUP(MID(T205,W205,X205-W205),[6]skilldef!$C:$D,2,FALSE),"-") &amp; " / " &amp; IFERROR(VLOOKUP(MID(T205,U205,V205-U205),[6]skilldef!$A:$B,2,FALSE),"-")</f>
        <v>- / -</v>
      </c>
    </row>
    <row r="206" spans="1:25" ht="21" customHeight="1" x14ac:dyDescent="0.15">
      <c r="A206" s="44">
        <v>15031205</v>
      </c>
      <c r="B206" s="44" t="s">
        <v>229</v>
      </c>
      <c r="C206" s="47">
        <v>3</v>
      </c>
      <c r="D206" s="47" t="s">
        <v>127</v>
      </c>
      <c r="E206" s="44" t="s">
        <v>214</v>
      </c>
      <c r="F206" s="48" t="s">
        <v>230</v>
      </c>
      <c r="G206" s="60" t="str">
        <f t="shared" si="91"/>
        <v>[effect:nothing]</v>
      </c>
      <c r="H206" s="60">
        <f t="shared" si="92"/>
        <v>9</v>
      </c>
      <c r="I206" s="60">
        <f t="shared" si="93"/>
        <v>16</v>
      </c>
      <c r="J206" s="60" t="e">
        <f t="shared" si="94"/>
        <v>#VALUE!</v>
      </c>
      <c r="K206" s="60" t="e">
        <f t="shared" si="95"/>
        <v>#VALUE!</v>
      </c>
      <c r="L206" s="60" t="str">
        <f>IFERROR(VLOOKUP(MID(G206,J206,K206-J206),[6]skilldef!$C:$D,2,FALSE),"-") &amp; " / " &amp; IFERROR(VLOOKUP(MID(G206,H206,I206-H206),[6]skilldef!$A:$B,2,FALSE),"-")</f>
        <v>- / 何もしない</v>
      </c>
      <c r="M206" s="60" t="str">
        <f t="shared" si="96"/>
        <v>none</v>
      </c>
      <c r="N206" s="45" t="str">
        <f t="shared" si="90"/>
        <v>none</v>
      </c>
      <c r="O206" s="60" t="e">
        <f t="shared" si="97"/>
        <v>#VALUE!</v>
      </c>
      <c r="P206" s="60">
        <f t="shared" si="98"/>
        <v>4</v>
      </c>
      <c r="Q206" s="60" t="e">
        <f t="shared" si="99"/>
        <v>#VALUE!</v>
      </c>
      <c r="R206" s="60" t="e">
        <f t="shared" si="100"/>
        <v>#VALUE!</v>
      </c>
      <c r="S206" s="60" t="str">
        <f>IFERROR(VLOOKUP(MID(N206,Q206,R206-Q206),[6]skilldef!$C:$D,2,FALSE),"-") &amp; " / " &amp; IFERROR(VLOOKUP(MID(N206,O206,P206-O206),[6]skilldef!$A:$B,2,FALSE),"-")</f>
        <v>- / -</v>
      </c>
      <c r="T206" s="45" t="str">
        <f t="shared" si="101"/>
        <v>none</v>
      </c>
      <c r="U206" s="60" t="e">
        <f t="shared" si="102"/>
        <v>#VALUE!</v>
      </c>
      <c r="V206" s="60">
        <f t="shared" si="103"/>
        <v>4</v>
      </c>
      <c r="W206" s="60" t="e">
        <f t="shared" si="104"/>
        <v>#VALUE!</v>
      </c>
      <c r="X206" s="60" t="e">
        <f t="shared" si="105"/>
        <v>#VALUE!</v>
      </c>
      <c r="Y206" s="60" t="str">
        <f>IFERROR(VLOOKUP(MID(T206,W206,X206-W206),[6]skilldef!$C:$D,2,FALSE),"-") &amp; " / " &amp; IFERROR(VLOOKUP(MID(T206,U206,V206-U206),[6]skilldef!$A:$B,2,FALSE),"-")</f>
        <v>- / -</v>
      </c>
    </row>
    <row r="207" spans="1:25" ht="21" customHeight="1" x14ac:dyDescent="0.15">
      <c r="A207" s="44">
        <v>15031206</v>
      </c>
      <c r="B207" s="44" t="s">
        <v>229</v>
      </c>
      <c r="C207" s="47">
        <v>3</v>
      </c>
      <c r="D207" s="47" t="s">
        <v>127</v>
      </c>
      <c r="E207" s="140" t="s">
        <v>246</v>
      </c>
      <c r="F207" s="48" t="s">
        <v>230</v>
      </c>
      <c r="G207" s="60" t="str">
        <f t="shared" si="91"/>
        <v>[effect:nothing]</v>
      </c>
      <c r="H207" s="60">
        <f t="shared" si="92"/>
        <v>9</v>
      </c>
      <c r="I207" s="60">
        <f t="shared" si="93"/>
        <v>16</v>
      </c>
      <c r="J207" s="60" t="e">
        <f t="shared" si="94"/>
        <v>#VALUE!</v>
      </c>
      <c r="K207" s="60" t="e">
        <f t="shared" si="95"/>
        <v>#VALUE!</v>
      </c>
      <c r="L207" s="60" t="str">
        <f>IFERROR(VLOOKUP(MID(G207,J207,K207-J207),[6]skilldef!$C:$D,2,FALSE),"-") &amp; " / " &amp; IFERROR(VLOOKUP(MID(G207,H207,I207-H207),[6]skilldef!$A:$B,2,FALSE),"-")</f>
        <v>- / 何もしない</v>
      </c>
      <c r="M207" s="60" t="str">
        <f t="shared" si="96"/>
        <v>none</v>
      </c>
      <c r="N207" s="45" t="str">
        <f t="shared" ref="N207:N264" si="106">IFERROR(LEFT(M207,FIND("],",M207)+S217),M207)</f>
        <v>none</v>
      </c>
      <c r="O207" s="60" t="e">
        <f t="shared" si="97"/>
        <v>#VALUE!</v>
      </c>
      <c r="P207" s="60">
        <f t="shared" si="98"/>
        <v>4</v>
      </c>
      <c r="Q207" s="60" t="e">
        <f t="shared" si="99"/>
        <v>#VALUE!</v>
      </c>
      <c r="R207" s="60" t="e">
        <f t="shared" si="100"/>
        <v>#VALUE!</v>
      </c>
      <c r="S207" s="60" t="str">
        <f>IFERROR(VLOOKUP(MID(N207,Q207,R207-Q207),[6]skilldef!$C:$D,2,FALSE),"-") &amp; " / " &amp; IFERROR(VLOOKUP(MID(N207,O207,P207-O207),[6]skilldef!$A:$B,2,FALSE),"-")</f>
        <v>- / -</v>
      </c>
      <c r="T207" s="45" t="str">
        <f t="shared" si="101"/>
        <v>none</v>
      </c>
      <c r="U207" s="60" t="e">
        <f t="shared" si="102"/>
        <v>#VALUE!</v>
      </c>
      <c r="V207" s="60">
        <f t="shared" si="103"/>
        <v>4</v>
      </c>
      <c r="W207" s="60" t="e">
        <f t="shared" si="104"/>
        <v>#VALUE!</v>
      </c>
      <c r="X207" s="60" t="e">
        <f t="shared" si="105"/>
        <v>#VALUE!</v>
      </c>
      <c r="Y207" s="60" t="str">
        <f>IFERROR(VLOOKUP(MID(T207,W207,X207-W207),[6]skilldef!$C:$D,2,FALSE),"-") &amp; " / " &amp; IFERROR(VLOOKUP(MID(T207,U207,V207-U207),[6]skilldef!$A:$B,2,FALSE),"-")</f>
        <v>- / -</v>
      </c>
    </row>
    <row r="208" spans="1:25" ht="21" customHeight="1" x14ac:dyDescent="0.15">
      <c r="A208" s="44">
        <v>15031207</v>
      </c>
      <c r="B208" s="44" t="s">
        <v>229</v>
      </c>
      <c r="C208" s="47">
        <v>3</v>
      </c>
      <c r="D208" s="47" t="s">
        <v>127</v>
      </c>
      <c r="E208" s="44" t="s">
        <v>215</v>
      </c>
      <c r="F208" s="48" t="s">
        <v>230</v>
      </c>
      <c r="G208" s="60" t="str">
        <f t="shared" si="91"/>
        <v>[effect:nothing]</v>
      </c>
      <c r="H208" s="60">
        <f t="shared" si="92"/>
        <v>9</v>
      </c>
      <c r="I208" s="60">
        <f t="shared" si="93"/>
        <v>16</v>
      </c>
      <c r="J208" s="60" t="e">
        <f t="shared" si="94"/>
        <v>#VALUE!</v>
      </c>
      <c r="K208" s="60" t="e">
        <f t="shared" si="95"/>
        <v>#VALUE!</v>
      </c>
      <c r="L208" s="60" t="str">
        <f>IFERROR(VLOOKUP(MID(G208,J208,K208-J208),[6]skilldef!$C:$D,2,FALSE),"-") &amp; " / " &amp; IFERROR(VLOOKUP(MID(G208,H208,I208-H208),[6]skilldef!$A:$B,2,FALSE),"-")</f>
        <v>- / 何もしない</v>
      </c>
      <c r="M208" s="60" t="str">
        <f t="shared" si="96"/>
        <v>none</v>
      </c>
      <c r="N208" s="45" t="str">
        <f t="shared" si="106"/>
        <v>none</v>
      </c>
      <c r="O208" s="60" t="e">
        <f t="shared" si="97"/>
        <v>#VALUE!</v>
      </c>
      <c r="P208" s="60">
        <f t="shared" si="98"/>
        <v>4</v>
      </c>
      <c r="Q208" s="60" t="e">
        <f t="shared" si="99"/>
        <v>#VALUE!</v>
      </c>
      <c r="R208" s="60" t="e">
        <f t="shared" si="100"/>
        <v>#VALUE!</v>
      </c>
      <c r="S208" s="60" t="str">
        <f>IFERROR(VLOOKUP(MID(N208,Q208,R208-Q208),[6]skilldef!$C:$D,2,FALSE),"-") &amp; " / " &amp; IFERROR(VLOOKUP(MID(N208,O208,P208-O208),[6]skilldef!$A:$B,2,FALSE),"-")</f>
        <v>- / -</v>
      </c>
      <c r="T208" s="45" t="str">
        <f t="shared" si="101"/>
        <v>none</v>
      </c>
      <c r="U208" s="60" t="e">
        <f t="shared" si="102"/>
        <v>#VALUE!</v>
      </c>
      <c r="V208" s="60">
        <f t="shared" si="103"/>
        <v>4</v>
      </c>
      <c r="W208" s="60" t="e">
        <f t="shared" si="104"/>
        <v>#VALUE!</v>
      </c>
      <c r="X208" s="60" t="e">
        <f t="shared" si="105"/>
        <v>#VALUE!</v>
      </c>
      <c r="Y208" s="60" t="str">
        <f>IFERROR(VLOOKUP(MID(T208,W208,X208-W208),[6]skilldef!$C:$D,2,FALSE),"-") &amp; " / " &amp; IFERROR(VLOOKUP(MID(T208,U208,V208-U208),[6]skilldef!$A:$B,2,FALSE),"-")</f>
        <v>- / -</v>
      </c>
    </row>
    <row r="209" spans="1:25" ht="21" customHeight="1" x14ac:dyDescent="0.15">
      <c r="A209" s="44">
        <v>15031208</v>
      </c>
      <c r="B209" s="44" t="s">
        <v>229</v>
      </c>
      <c r="C209" s="47">
        <v>3</v>
      </c>
      <c r="D209" s="47" t="s">
        <v>127</v>
      </c>
      <c r="E209" s="44" t="s">
        <v>215</v>
      </c>
      <c r="F209" s="48" t="s">
        <v>230</v>
      </c>
      <c r="G209" s="60" t="str">
        <f t="shared" si="91"/>
        <v>[effect:nothing]</v>
      </c>
      <c r="H209" s="60">
        <f t="shared" si="92"/>
        <v>9</v>
      </c>
      <c r="I209" s="60">
        <f t="shared" si="93"/>
        <v>16</v>
      </c>
      <c r="J209" s="60" t="e">
        <f t="shared" si="94"/>
        <v>#VALUE!</v>
      </c>
      <c r="K209" s="60" t="e">
        <f t="shared" si="95"/>
        <v>#VALUE!</v>
      </c>
      <c r="L209" s="60" t="str">
        <f>IFERROR(VLOOKUP(MID(G209,J209,K209-J209),[6]skilldef!$C:$D,2,FALSE),"-") &amp; " / " &amp; IFERROR(VLOOKUP(MID(G209,H209,I209-H209),[6]skilldef!$A:$B,2,FALSE),"-")</f>
        <v>- / 何もしない</v>
      </c>
      <c r="M209" s="60" t="str">
        <f t="shared" si="96"/>
        <v>none</v>
      </c>
      <c r="N209" s="45" t="str">
        <f t="shared" si="106"/>
        <v>none</v>
      </c>
      <c r="O209" s="60" t="e">
        <f t="shared" si="97"/>
        <v>#VALUE!</v>
      </c>
      <c r="P209" s="60">
        <f t="shared" si="98"/>
        <v>4</v>
      </c>
      <c r="Q209" s="60" t="e">
        <f t="shared" si="99"/>
        <v>#VALUE!</v>
      </c>
      <c r="R209" s="60" t="e">
        <f t="shared" si="100"/>
        <v>#VALUE!</v>
      </c>
      <c r="S209" s="60" t="str">
        <f>IFERROR(VLOOKUP(MID(N209,Q209,R209-Q209),[6]skilldef!$C:$D,2,FALSE),"-") &amp; " / " &amp; IFERROR(VLOOKUP(MID(N209,O209,P209-O209),[6]skilldef!$A:$B,2,FALSE),"-")</f>
        <v>- / -</v>
      </c>
      <c r="T209" s="45" t="str">
        <f t="shared" si="101"/>
        <v>none</v>
      </c>
      <c r="U209" s="60" t="e">
        <f t="shared" si="102"/>
        <v>#VALUE!</v>
      </c>
      <c r="V209" s="60">
        <f t="shared" si="103"/>
        <v>4</v>
      </c>
      <c r="W209" s="60" t="e">
        <f t="shared" si="104"/>
        <v>#VALUE!</v>
      </c>
      <c r="X209" s="60" t="e">
        <f t="shared" si="105"/>
        <v>#VALUE!</v>
      </c>
      <c r="Y209" s="60" t="str">
        <f>IFERROR(VLOOKUP(MID(T209,W209,X209-W209),[6]skilldef!$C:$D,2,FALSE),"-") &amp; " / " &amp; IFERROR(VLOOKUP(MID(T209,U209,V209-U209),[6]skilldef!$A:$B,2,FALSE),"-")</f>
        <v>- / -</v>
      </c>
    </row>
    <row r="210" spans="1:25" ht="21" customHeight="1" x14ac:dyDescent="0.15">
      <c r="A210" s="44">
        <v>15031209</v>
      </c>
      <c r="B210" s="44" t="s">
        <v>229</v>
      </c>
      <c r="C210" s="47">
        <v>3</v>
      </c>
      <c r="D210" s="47" t="s">
        <v>127</v>
      </c>
      <c r="E210" s="44" t="s">
        <v>215</v>
      </c>
      <c r="F210" s="48" t="s">
        <v>230</v>
      </c>
      <c r="G210" s="60" t="str">
        <f t="shared" si="91"/>
        <v>[effect:nothing]</v>
      </c>
      <c r="H210" s="60">
        <f t="shared" si="92"/>
        <v>9</v>
      </c>
      <c r="I210" s="60">
        <f t="shared" si="93"/>
        <v>16</v>
      </c>
      <c r="J210" s="60" t="e">
        <f t="shared" si="94"/>
        <v>#VALUE!</v>
      </c>
      <c r="K210" s="60" t="e">
        <f t="shared" si="95"/>
        <v>#VALUE!</v>
      </c>
      <c r="L210" s="60" t="str">
        <f>IFERROR(VLOOKUP(MID(G210,J210,K210-J210),[6]skilldef!$C:$D,2,FALSE),"-") &amp; " / " &amp; IFERROR(VLOOKUP(MID(G210,H210,I210-H210),[6]skilldef!$A:$B,2,FALSE),"-")</f>
        <v>- / 何もしない</v>
      </c>
      <c r="M210" s="60" t="str">
        <f t="shared" si="96"/>
        <v>none</v>
      </c>
      <c r="N210" s="45" t="str">
        <f t="shared" si="106"/>
        <v>none</v>
      </c>
      <c r="O210" s="60" t="e">
        <f t="shared" si="97"/>
        <v>#VALUE!</v>
      </c>
      <c r="P210" s="60">
        <f t="shared" si="98"/>
        <v>4</v>
      </c>
      <c r="Q210" s="60" t="e">
        <f t="shared" si="99"/>
        <v>#VALUE!</v>
      </c>
      <c r="R210" s="60" t="e">
        <f t="shared" si="100"/>
        <v>#VALUE!</v>
      </c>
      <c r="S210" s="60" t="str">
        <f>IFERROR(VLOOKUP(MID(N210,Q210,R210-Q210),[6]skilldef!$C:$D,2,FALSE),"-") &amp; " / " &amp; IFERROR(VLOOKUP(MID(N210,O210,P210-O210),[6]skilldef!$A:$B,2,FALSE),"-")</f>
        <v>- / -</v>
      </c>
      <c r="T210" s="45" t="str">
        <f t="shared" si="101"/>
        <v>none</v>
      </c>
      <c r="U210" s="60" t="e">
        <f t="shared" si="102"/>
        <v>#VALUE!</v>
      </c>
      <c r="V210" s="60">
        <f t="shared" si="103"/>
        <v>4</v>
      </c>
      <c r="W210" s="60" t="e">
        <f t="shared" si="104"/>
        <v>#VALUE!</v>
      </c>
      <c r="X210" s="60" t="e">
        <f t="shared" si="105"/>
        <v>#VALUE!</v>
      </c>
      <c r="Y210" s="60" t="str">
        <f>IFERROR(VLOOKUP(MID(T210,W210,X210-W210),[6]skilldef!$C:$D,2,FALSE),"-") &amp; " / " &amp; IFERROR(VLOOKUP(MID(T210,U210,V210-U210),[6]skilldef!$A:$B,2,FALSE),"-")</f>
        <v>- / -</v>
      </c>
    </row>
    <row r="211" spans="1:25" ht="21" customHeight="1" x14ac:dyDescent="0.15">
      <c r="A211" s="44">
        <v>15031210</v>
      </c>
      <c r="B211" s="44" t="s">
        <v>229</v>
      </c>
      <c r="C211" s="47">
        <v>3</v>
      </c>
      <c r="D211" s="47" t="s">
        <v>127</v>
      </c>
      <c r="E211" s="44" t="s">
        <v>215</v>
      </c>
      <c r="F211" s="48" t="s">
        <v>230</v>
      </c>
      <c r="G211" s="60" t="str">
        <f t="shared" si="91"/>
        <v>[effect:nothing]</v>
      </c>
      <c r="H211" s="60">
        <f t="shared" si="92"/>
        <v>9</v>
      </c>
      <c r="I211" s="60">
        <f t="shared" si="93"/>
        <v>16</v>
      </c>
      <c r="J211" s="60" t="e">
        <f t="shared" si="94"/>
        <v>#VALUE!</v>
      </c>
      <c r="K211" s="60" t="e">
        <f t="shared" si="95"/>
        <v>#VALUE!</v>
      </c>
      <c r="L211" s="60" t="str">
        <f>IFERROR(VLOOKUP(MID(G211,J211,K211-J211),[6]skilldef!$C:$D,2,FALSE),"-") &amp; " / " &amp; IFERROR(VLOOKUP(MID(G211,H211,I211-H211),[6]skilldef!$A:$B,2,FALSE),"-")</f>
        <v>- / 何もしない</v>
      </c>
      <c r="M211" s="60" t="str">
        <f t="shared" si="96"/>
        <v>none</v>
      </c>
      <c r="N211" s="45" t="str">
        <f t="shared" si="106"/>
        <v>none</v>
      </c>
      <c r="O211" s="60" t="e">
        <f t="shared" si="97"/>
        <v>#VALUE!</v>
      </c>
      <c r="P211" s="60">
        <f t="shared" si="98"/>
        <v>4</v>
      </c>
      <c r="Q211" s="60" t="e">
        <f t="shared" si="99"/>
        <v>#VALUE!</v>
      </c>
      <c r="R211" s="60" t="e">
        <f t="shared" si="100"/>
        <v>#VALUE!</v>
      </c>
      <c r="S211" s="60" t="str">
        <f>IFERROR(VLOOKUP(MID(N211,Q211,R211-Q211),[6]skilldef!$C:$D,2,FALSE),"-") &amp; " / " &amp; IFERROR(VLOOKUP(MID(N211,O211,P211-O211),[6]skilldef!$A:$B,2,FALSE),"-")</f>
        <v>- / -</v>
      </c>
      <c r="T211" s="45" t="str">
        <f t="shared" si="101"/>
        <v>none</v>
      </c>
      <c r="U211" s="60" t="e">
        <f t="shared" si="102"/>
        <v>#VALUE!</v>
      </c>
      <c r="V211" s="60">
        <f t="shared" si="103"/>
        <v>4</v>
      </c>
      <c r="W211" s="60" t="e">
        <f t="shared" si="104"/>
        <v>#VALUE!</v>
      </c>
      <c r="X211" s="60" t="e">
        <f t="shared" si="105"/>
        <v>#VALUE!</v>
      </c>
      <c r="Y211" s="60" t="str">
        <f>IFERROR(VLOOKUP(MID(T211,W211,X211-W211),[6]skilldef!$C:$D,2,FALSE),"-") &amp; " / " &amp; IFERROR(VLOOKUP(MID(T211,U211,V211-U211),[6]skilldef!$A:$B,2,FALSE),"-")</f>
        <v>- / -</v>
      </c>
    </row>
    <row r="212" spans="1:25" ht="21" customHeight="1" x14ac:dyDescent="0.15">
      <c r="A212" s="44">
        <v>15031211</v>
      </c>
      <c r="B212" s="44" t="s">
        <v>229</v>
      </c>
      <c r="C212" s="47">
        <v>3</v>
      </c>
      <c r="D212" s="47" t="s">
        <v>127</v>
      </c>
      <c r="E212" s="140" t="s">
        <v>247</v>
      </c>
      <c r="F212" s="48" t="s">
        <v>230</v>
      </c>
      <c r="G212" s="60" t="str">
        <f t="shared" si="91"/>
        <v>[effect:nothing]</v>
      </c>
      <c r="H212" s="60">
        <f t="shared" si="92"/>
        <v>9</v>
      </c>
      <c r="I212" s="60">
        <f t="shared" si="93"/>
        <v>16</v>
      </c>
      <c r="J212" s="60" t="e">
        <f t="shared" si="94"/>
        <v>#VALUE!</v>
      </c>
      <c r="K212" s="60" t="e">
        <f t="shared" si="95"/>
        <v>#VALUE!</v>
      </c>
      <c r="L212" s="60" t="str">
        <f>IFERROR(VLOOKUP(MID(G212,J212,K212-J212),[6]skilldef!$C:$D,2,FALSE),"-") &amp; " / " &amp; IFERROR(VLOOKUP(MID(G212,H212,I212-H212),[6]skilldef!$A:$B,2,FALSE),"-")</f>
        <v>- / 何もしない</v>
      </c>
      <c r="M212" s="60" t="str">
        <f t="shared" si="96"/>
        <v>none</v>
      </c>
      <c r="N212" s="45" t="str">
        <f t="shared" si="106"/>
        <v>none</v>
      </c>
      <c r="O212" s="60" t="e">
        <f t="shared" si="97"/>
        <v>#VALUE!</v>
      </c>
      <c r="P212" s="60">
        <f t="shared" si="98"/>
        <v>4</v>
      </c>
      <c r="Q212" s="60" t="e">
        <f t="shared" si="99"/>
        <v>#VALUE!</v>
      </c>
      <c r="R212" s="60" t="e">
        <f t="shared" si="100"/>
        <v>#VALUE!</v>
      </c>
      <c r="S212" s="60" t="str">
        <f>IFERROR(VLOOKUP(MID(N212,Q212,R212-Q212),[6]skilldef!$C:$D,2,FALSE),"-") &amp; " / " &amp; IFERROR(VLOOKUP(MID(N212,O212,P212-O212),[6]skilldef!$A:$B,2,FALSE),"-")</f>
        <v>- / -</v>
      </c>
      <c r="T212" s="45" t="str">
        <f t="shared" si="101"/>
        <v>none</v>
      </c>
      <c r="U212" s="60" t="e">
        <f t="shared" si="102"/>
        <v>#VALUE!</v>
      </c>
      <c r="V212" s="60">
        <f t="shared" si="103"/>
        <v>4</v>
      </c>
      <c r="W212" s="60" t="e">
        <f t="shared" si="104"/>
        <v>#VALUE!</v>
      </c>
      <c r="X212" s="60" t="e">
        <f t="shared" si="105"/>
        <v>#VALUE!</v>
      </c>
      <c r="Y212" s="60" t="str">
        <f>IFERROR(VLOOKUP(MID(T212,W212,X212-W212),[6]skilldef!$C:$D,2,FALSE),"-") &amp; " / " &amp; IFERROR(VLOOKUP(MID(T212,U212,V212-U212),[6]skilldef!$A:$B,2,FALSE),"-")</f>
        <v>- / -</v>
      </c>
    </row>
    <row r="213" spans="1:25" ht="21" customHeight="1" x14ac:dyDescent="0.15">
      <c r="A213" s="44">
        <v>15031212</v>
      </c>
      <c r="B213" s="44" t="s">
        <v>229</v>
      </c>
      <c r="C213" s="47">
        <v>3</v>
      </c>
      <c r="D213" s="47" t="s">
        <v>127</v>
      </c>
      <c r="E213" s="44" t="s">
        <v>216</v>
      </c>
      <c r="F213" s="48" t="s">
        <v>230</v>
      </c>
      <c r="G213" s="60" t="str">
        <f t="shared" si="91"/>
        <v>[effect:nothing]</v>
      </c>
      <c r="H213" s="60">
        <f t="shared" si="92"/>
        <v>9</v>
      </c>
      <c r="I213" s="60">
        <f t="shared" si="93"/>
        <v>16</v>
      </c>
      <c r="J213" s="60" t="e">
        <f t="shared" si="94"/>
        <v>#VALUE!</v>
      </c>
      <c r="K213" s="60" t="e">
        <f t="shared" si="95"/>
        <v>#VALUE!</v>
      </c>
      <c r="L213" s="60" t="str">
        <f>IFERROR(VLOOKUP(MID(G213,J213,K213-J213),[6]skilldef!$C:$D,2,FALSE),"-") &amp; " / " &amp; IFERROR(VLOOKUP(MID(G213,H213,I213-H213),[6]skilldef!$A:$B,2,FALSE),"-")</f>
        <v>- / 何もしない</v>
      </c>
      <c r="M213" s="60" t="str">
        <f t="shared" si="96"/>
        <v>none</v>
      </c>
      <c r="N213" s="45" t="str">
        <f t="shared" si="106"/>
        <v>none</v>
      </c>
      <c r="O213" s="60" t="e">
        <f t="shared" si="97"/>
        <v>#VALUE!</v>
      </c>
      <c r="P213" s="60">
        <f t="shared" si="98"/>
        <v>4</v>
      </c>
      <c r="Q213" s="60" t="e">
        <f t="shared" si="99"/>
        <v>#VALUE!</v>
      </c>
      <c r="R213" s="60" t="e">
        <f t="shared" si="100"/>
        <v>#VALUE!</v>
      </c>
      <c r="S213" s="60" t="str">
        <f>IFERROR(VLOOKUP(MID(N213,Q213,R213-Q213),[6]skilldef!$C:$D,2,FALSE),"-") &amp; " / " &amp; IFERROR(VLOOKUP(MID(N213,O213,P213-O213),[6]skilldef!$A:$B,2,FALSE),"-")</f>
        <v>- / -</v>
      </c>
      <c r="T213" s="45" t="str">
        <f t="shared" si="101"/>
        <v>none</v>
      </c>
      <c r="U213" s="60" t="e">
        <f t="shared" si="102"/>
        <v>#VALUE!</v>
      </c>
      <c r="V213" s="60">
        <f t="shared" si="103"/>
        <v>4</v>
      </c>
      <c r="W213" s="60" t="e">
        <f t="shared" si="104"/>
        <v>#VALUE!</v>
      </c>
      <c r="X213" s="60" t="e">
        <f t="shared" si="105"/>
        <v>#VALUE!</v>
      </c>
      <c r="Y213" s="60" t="str">
        <f>IFERROR(VLOOKUP(MID(T213,W213,X213-W213),[6]skilldef!$C:$D,2,FALSE),"-") &amp; " / " &amp; IFERROR(VLOOKUP(MID(T213,U213,V213-U213),[6]skilldef!$A:$B,2,FALSE),"-")</f>
        <v>- / -</v>
      </c>
    </row>
    <row r="214" spans="1:25" ht="21" customHeight="1" x14ac:dyDescent="0.15">
      <c r="A214" s="44">
        <v>15031213</v>
      </c>
      <c r="B214" s="44" t="s">
        <v>229</v>
      </c>
      <c r="C214" s="47">
        <v>3</v>
      </c>
      <c r="D214" s="47" t="s">
        <v>127</v>
      </c>
      <c r="E214" s="44" t="s">
        <v>216</v>
      </c>
      <c r="F214" s="48" t="s">
        <v>230</v>
      </c>
      <c r="G214" s="60" t="str">
        <f t="shared" si="91"/>
        <v>[effect:nothing]</v>
      </c>
      <c r="H214" s="60">
        <f t="shared" si="92"/>
        <v>9</v>
      </c>
      <c r="I214" s="60">
        <f t="shared" si="93"/>
        <v>16</v>
      </c>
      <c r="J214" s="60" t="e">
        <f t="shared" si="94"/>
        <v>#VALUE!</v>
      </c>
      <c r="K214" s="60" t="e">
        <f t="shared" si="95"/>
        <v>#VALUE!</v>
      </c>
      <c r="L214" s="60" t="str">
        <f>IFERROR(VLOOKUP(MID(G214,J214,K214-J214),[6]skilldef!$C:$D,2,FALSE),"-") &amp; " / " &amp; IFERROR(VLOOKUP(MID(G214,H214,I214-H214),[6]skilldef!$A:$B,2,FALSE),"-")</f>
        <v>- / 何もしない</v>
      </c>
      <c r="M214" s="60" t="str">
        <f t="shared" si="96"/>
        <v>none</v>
      </c>
      <c r="N214" s="45" t="str">
        <f t="shared" si="106"/>
        <v>none</v>
      </c>
      <c r="O214" s="60" t="e">
        <f t="shared" si="97"/>
        <v>#VALUE!</v>
      </c>
      <c r="P214" s="60">
        <f t="shared" si="98"/>
        <v>4</v>
      </c>
      <c r="Q214" s="60" t="e">
        <f t="shared" si="99"/>
        <v>#VALUE!</v>
      </c>
      <c r="R214" s="60" t="e">
        <f t="shared" si="100"/>
        <v>#VALUE!</v>
      </c>
      <c r="S214" s="60" t="str">
        <f>IFERROR(VLOOKUP(MID(N214,Q214,R214-Q214),[6]skilldef!$C:$D,2,FALSE),"-") &amp; " / " &amp; IFERROR(VLOOKUP(MID(N214,O214,P214-O214),[6]skilldef!$A:$B,2,FALSE),"-")</f>
        <v>- / -</v>
      </c>
      <c r="T214" s="45" t="str">
        <f t="shared" si="101"/>
        <v>none</v>
      </c>
      <c r="U214" s="60" t="e">
        <f t="shared" si="102"/>
        <v>#VALUE!</v>
      </c>
      <c r="V214" s="60">
        <f t="shared" si="103"/>
        <v>4</v>
      </c>
      <c r="W214" s="60" t="e">
        <f t="shared" si="104"/>
        <v>#VALUE!</v>
      </c>
      <c r="X214" s="60" t="e">
        <f t="shared" si="105"/>
        <v>#VALUE!</v>
      </c>
      <c r="Y214" s="60" t="str">
        <f>IFERROR(VLOOKUP(MID(T214,W214,X214-W214),[6]skilldef!$C:$D,2,FALSE),"-") &amp; " / " &amp; IFERROR(VLOOKUP(MID(T214,U214,V214-U214),[6]skilldef!$A:$B,2,FALSE),"-")</f>
        <v>- / -</v>
      </c>
    </row>
    <row r="215" spans="1:25" ht="21" customHeight="1" x14ac:dyDescent="0.15">
      <c r="A215" s="44">
        <v>15031214</v>
      </c>
      <c r="B215" s="44" t="s">
        <v>229</v>
      </c>
      <c r="C215" s="47">
        <v>3</v>
      </c>
      <c r="D215" s="47" t="s">
        <v>127</v>
      </c>
      <c r="E215" s="44" t="s">
        <v>216</v>
      </c>
      <c r="F215" s="48" t="s">
        <v>230</v>
      </c>
      <c r="G215" s="60" t="str">
        <f t="shared" si="91"/>
        <v>[effect:nothing]</v>
      </c>
      <c r="H215" s="60">
        <f t="shared" si="92"/>
        <v>9</v>
      </c>
      <c r="I215" s="60">
        <f t="shared" si="93"/>
        <v>16</v>
      </c>
      <c r="J215" s="60" t="e">
        <f t="shared" si="94"/>
        <v>#VALUE!</v>
      </c>
      <c r="K215" s="60" t="e">
        <f t="shared" si="95"/>
        <v>#VALUE!</v>
      </c>
      <c r="L215" s="60" t="str">
        <f>IFERROR(VLOOKUP(MID(G215,J215,K215-J215),[6]skilldef!$C:$D,2,FALSE),"-") &amp; " / " &amp; IFERROR(VLOOKUP(MID(G215,H215,I215-H215),[6]skilldef!$A:$B,2,FALSE),"-")</f>
        <v>- / 何もしない</v>
      </c>
      <c r="M215" s="60" t="str">
        <f t="shared" si="96"/>
        <v>none</v>
      </c>
      <c r="N215" s="45" t="str">
        <f t="shared" si="106"/>
        <v>none</v>
      </c>
      <c r="O215" s="60" t="e">
        <f t="shared" si="97"/>
        <v>#VALUE!</v>
      </c>
      <c r="P215" s="60">
        <f t="shared" si="98"/>
        <v>4</v>
      </c>
      <c r="Q215" s="60" t="e">
        <f t="shared" si="99"/>
        <v>#VALUE!</v>
      </c>
      <c r="R215" s="60" t="e">
        <f t="shared" si="100"/>
        <v>#VALUE!</v>
      </c>
      <c r="S215" s="60" t="str">
        <f>IFERROR(VLOOKUP(MID(N215,Q215,R215-Q215),[6]skilldef!$C:$D,2,FALSE),"-") &amp; " / " &amp; IFERROR(VLOOKUP(MID(N215,O215,P215-O215),[6]skilldef!$A:$B,2,FALSE),"-")</f>
        <v>- / -</v>
      </c>
      <c r="T215" s="45" t="str">
        <f t="shared" si="101"/>
        <v>none</v>
      </c>
      <c r="U215" s="60" t="e">
        <f t="shared" si="102"/>
        <v>#VALUE!</v>
      </c>
      <c r="V215" s="60">
        <f t="shared" si="103"/>
        <v>4</v>
      </c>
      <c r="W215" s="60" t="e">
        <f t="shared" si="104"/>
        <v>#VALUE!</v>
      </c>
      <c r="X215" s="60" t="e">
        <f t="shared" si="105"/>
        <v>#VALUE!</v>
      </c>
      <c r="Y215" s="60" t="str">
        <f>IFERROR(VLOOKUP(MID(T215,W215,X215-W215),[6]skilldef!$C:$D,2,FALSE),"-") &amp; " / " &amp; IFERROR(VLOOKUP(MID(T215,U215,V215-U215),[6]skilldef!$A:$B,2,FALSE),"-")</f>
        <v>- / -</v>
      </c>
    </row>
    <row r="216" spans="1:25" ht="21" customHeight="1" x14ac:dyDescent="0.15">
      <c r="A216" s="44">
        <v>15031215</v>
      </c>
      <c r="B216" s="44" t="s">
        <v>229</v>
      </c>
      <c r="C216" s="47">
        <v>3</v>
      </c>
      <c r="D216" s="47" t="s">
        <v>127</v>
      </c>
      <c r="E216" s="44" t="s">
        <v>216</v>
      </c>
      <c r="F216" s="48" t="s">
        <v>230</v>
      </c>
      <c r="G216" s="60" t="str">
        <f t="shared" si="91"/>
        <v>[effect:nothing]</v>
      </c>
      <c r="H216" s="60">
        <f t="shared" si="92"/>
        <v>9</v>
      </c>
      <c r="I216" s="60">
        <f t="shared" si="93"/>
        <v>16</v>
      </c>
      <c r="J216" s="60" t="e">
        <f t="shared" si="94"/>
        <v>#VALUE!</v>
      </c>
      <c r="K216" s="60" t="e">
        <f t="shared" si="95"/>
        <v>#VALUE!</v>
      </c>
      <c r="L216" s="60" t="str">
        <f>IFERROR(VLOOKUP(MID(G216,J216,K216-J216),[6]skilldef!$C:$D,2,FALSE),"-") &amp; " / " &amp; IFERROR(VLOOKUP(MID(G216,H216,I216-H216),[6]skilldef!$A:$B,2,FALSE),"-")</f>
        <v>- / 何もしない</v>
      </c>
      <c r="M216" s="60" t="str">
        <f t="shared" si="96"/>
        <v>none</v>
      </c>
      <c r="N216" s="45" t="str">
        <f t="shared" si="106"/>
        <v>none</v>
      </c>
      <c r="O216" s="60" t="e">
        <f t="shared" si="97"/>
        <v>#VALUE!</v>
      </c>
      <c r="P216" s="60">
        <f t="shared" si="98"/>
        <v>4</v>
      </c>
      <c r="Q216" s="60" t="e">
        <f t="shared" si="99"/>
        <v>#VALUE!</v>
      </c>
      <c r="R216" s="60" t="e">
        <f t="shared" si="100"/>
        <v>#VALUE!</v>
      </c>
      <c r="S216" s="60" t="str">
        <f>IFERROR(VLOOKUP(MID(N216,Q216,R216-Q216),[6]skilldef!$C:$D,2,FALSE),"-") &amp; " / " &amp; IFERROR(VLOOKUP(MID(N216,O216,P216-O216),[6]skilldef!$A:$B,2,FALSE),"-")</f>
        <v>- / -</v>
      </c>
      <c r="T216" s="45" t="str">
        <f t="shared" si="101"/>
        <v>none</v>
      </c>
      <c r="U216" s="60" t="e">
        <f t="shared" si="102"/>
        <v>#VALUE!</v>
      </c>
      <c r="V216" s="60">
        <f t="shared" si="103"/>
        <v>4</v>
      </c>
      <c r="W216" s="60" t="e">
        <f t="shared" si="104"/>
        <v>#VALUE!</v>
      </c>
      <c r="X216" s="60" t="e">
        <f t="shared" si="105"/>
        <v>#VALUE!</v>
      </c>
      <c r="Y216" s="60" t="str">
        <f>IFERROR(VLOOKUP(MID(T216,W216,X216-W216),[6]skilldef!$C:$D,2,FALSE),"-") &amp; " / " &amp; IFERROR(VLOOKUP(MID(T216,U216,V216-U216),[6]skilldef!$A:$B,2,FALSE),"-")</f>
        <v>- / -</v>
      </c>
    </row>
    <row r="217" spans="1:25" ht="21" customHeight="1" x14ac:dyDescent="0.15">
      <c r="A217" s="44">
        <v>15031216</v>
      </c>
      <c r="B217" s="44" t="s">
        <v>229</v>
      </c>
      <c r="C217" s="47">
        <v>3</v>
      </c>
      <c r="D217" s="47" t="s">
        <v>127</v>
      </c>
      <c r="E217" s="140" t="s">
        <v>248</v>
      </c>
      <c r="F217" s="48" t="s">
        <v>230</v>
      </c>
      <c r="G217" s="60" t="str">
        <f t="shared" si="91"/>
        <v>[effect:nothing]</v>
      </c>
      <c r="H217" s="60">
        <f t="shared" si="92"/>
        <v>9</v>
      </c>
      <c r="I217" s="60">
        <f t="shared" si="93"/>
        <v>16</v>
      </c>
      <c r="J217" s="60" t="e">
        <f t="shared" si="94"/>
        <v>#VALUE!</v>
      </c>
      <c r="K217" s="60" t="e">
        <f t="shared" si="95"/>
        <v>#VALUE!</v>
      </c>
      <c r="L217" s="60" t="str">
        <f>IFERROR(VLOOKUP(MID(G217,J217,K217-J217),[6]skilldef!$C:$D,2,FALSE),"-") &amp; " / " &amp; IFERROR(VLOOKUP(MID(G217,H217,I217-H217),[6]skilldef!$A:$B,2,FALSE),"-")</f>
        <v>- / 何もしない</v>
      </c>
      <c r="M217" s="60" t="str">
        <f t="shared" si="96"/>
        <v>none</v>
      </c>
      <c r="N217" s="45" t="str">
        <f t="shared" si="106"/>
        <v>none</v>
      </c>
      <c r="O217" s="60" t="e">
        <f t="shared" si="97"/>
        <v>#VALUE!</v>
      </c>
      <c r="P217" s="60">
        <f t="shared" si="98"/>
        <v>4</v>
      </c>
      <c r="Q217" s="60" t="e">
        <f t="shared" si="99"/>
        <v>#VALUE!</v>
      </c>
      <c r="R217" s="60" t="e">
        <f t="shared" si="100"/>
        <v>#VALUE!</v>
      </c>
      <c r="S217" s="60" t="str">
        <f>IFERROR(VLOOKUP(MID(N217,Q217,R217-Q217),[6]skilldef!$C:$D,2,FALSE),"-") &amp; " / " &amp; IFERROR(VLOOKUP(MID(N217,O217,P217-O217),[6]skilldef!$A:$B,2,FALSE),"-")</f>
        <v>- / -</v>
      </c>
      <c r="T217" s="45" t="str">
        <f t="shared" si="101"/>
        <v>none</v>
      </c>
      <c r="U217" s="60" t="e">
        <f t="shared" si="102"/>
        <v>#VALUE!</v>
      </c>
      <c r="V217" s="60">
        <f t="shared" si="103"/>
        <v>4</v>
      </c>
      <c r="W217" s="60" t="e">
        <f t="shared" si="104"/>
        <v>#VALUE!</v>
      </c>
      <c r="X217" s="60" t="e">
        <f t="shared" si="105"/>
        <v>#VALUE!</v>
      </c>
      <c r="Y217" s="60" t="str">
        <f>IFERROR(VLOOKUP(MID(T217,W217,X217-W217),[6]skilldef!$C:$D,2,FALSE),"-") &amp; " / " &amp; IFERROR(VLOOKUP(MID(T217,U217,V217-U217),[6]skilldef!$A:$B,2,FALSE),"-")</f>
        <v>- / -</v>
      </c>
    </row>
    <row r="218" spans="1:25" ht="21" customHeight="1" x14ac:dyDescent="0.15">
      <c r="A218" s="44">
        <v>15031217</v>
      </c>
      <c r="B218" s="44" t="s">
        <v>229</v>
      </c>
      <c r="C218" s="47">
        <v>3</v>
      </c>
      <c r="D218" s="47" t="s">
        <v>127</v>
      </c>
      <c r="E218" s="44" t="s">
        <v>217</v>
      </c>
      <c r="F218" s="48" t="s">
        <v>230</v>
      </c>
      <c r="G218" s="60" t="str">
        <f t="shared" si="91"/>
        <v>[effect:nothing]</v>
      </c>
      <c r="H218" s="60">
        <f t="shared" si="92"/>
        <v>9</v>
      </c>
      <c r="I218" s="60">
        <f t="shared" si="93"/>
        <v>16</v>
      </c>
      <c r="J218" s="60" t="e">
        <f t="shared" si="94"/>
        <v>#VALUE!</v>
      </c>
      <c r="K218" s="60" t="e">
        <f t="shared" si="95"/>
        <v>#VALUE!</v>
      </c>
      <c r="L218" s="60" t="str">
        <f>IFERROR(VLOOKUP(MID(G218,J218,K218-J218),[6]skilldef!$C:$D,2,FALSE),"-") &amp; " / " &amp; IFERROR(VLOOKUP(MID(G218,H218,I218-H218),[6]skilldef!$A:$B,2,FALSE),"-")</f>
        <v>- / 何もしない</v>
      </c>
      <c r="M218" s="60" t="str">
        <f t="shared" si="96"/>
        <v>none</v>
      </c>
      <c r="N218" s="45" t="str">
        <f t="shared" si="106"/>
        <v>none</v>
      </c>
      <c r="O218" s="60" t="e">
        <f t="shared" si="97"/>
        <v>#VALUE!</v>
      </c>
      <c r="P218" s="60">
        <f t="shared" si="98"/>
        <v>4</v>
      </c>
      <c r="Q218" s="60" t="e">
        <f t="shared" si="99"/>
        <v>#VALUE!</v>
      </c>
      <c r="R218" s="60" t="e">
        <f t="shared" si="100"/>
        <v>#VALUE!</v>
      </c>
      <c r="S218" s="60" t="str">
        <f>IFERROR(VLOOKUP(MID(N218,Q218,R218-Q218),[6]skilldef!$C:$D,2,FALSE),"-") &amp; " / " &amp; IFERROR(VLOOKUP(MID(N218,O218,P218-O218),[6]skilldef!$A:$B,2,FALSE),"-")</f>
        <v>- / -</v>
      </c>
      <c r="T218" s="45" t="str">
        <f t="shared" si="101"/>
        <v>none</v>
      </c>
      <c r="U218" s="60" t="e">
        <f t="shared" si="102"/>
        <v>#VALUE!</v>
      </c>
      <c r="V218" s="60">
        <f t="shared" si="103"/>
        <v>4</v>
      </c>
      <c r="W218" s="60" t="e">
        <f t="shared" si="104"/>
        <v>#VALUE!</v>
      </c>
      <c r="X218" s="60" t="e">
        <f t="shared" si="105"/>
        <v>#VALUE!</v>
      </c>
      <c r="Y218" s="60" t="str">
        <f>IFERROR(VLOOKUP(MID(T218,W218,X218-W218),[6]skilldef!$C:$D,2,FALSE),"-") &amp; " / " &amp; IFERROR(VLOOKUP(MID(T218,U218,V218-U218),[6]skilldef!$A:$B,2,FALSE),"-")</f>
        <v>- / -</v>
      </c>
    </row>
    <row r="219" spans="1:25" ht="21" customHeight="1" x14ac:dyDescent="0.15">
      <c r="A219" s="44">
        <v>15031218</v>
      </c>
      <c r="B219" s="44" t="s">
        <v>229</v>
      </c>
      <c r="C219" s="47">
        <v>3</v>
      </c>
      <c r="D219" s="47" t="s">
        <v>127</v>
      </c>
      <c r="E219" s="44" t="s">
        <v>217</v>
      </c>
      <c r="F219" s="48" t="s">
        <v>230</v>
      </c>
      <c r="G219" s="60" t="str">
        <f t="shared" si="91"/>
        <v>[effect:nothing]</v>
      </c>
      <c r="H219" s="60">
        <f t="shared" si="92"/>
        <v>9</v>
      </c>
      <c r="I219" s="60">
        <f t="shared" si="93"/>
        <v>16</v>
      </c>
      <c r="J219" s="60" t="e">
        <f t="shared" si="94"/>
        <v>#VALUE!</v>
      </c>
      <c r="K219" s="60" t="e">
        <f t="shared" si="95"/>
        <v>#VALUE!</v>
      </c>
      <c r="L219" s="60" t="str">
        <f>IFERROR(VLOOKUP(MID(G219,J219,K219-J219),[6]skilldef!$C:$D,2,FALSE),"-") &amp; " / " &amp; IFERROR(VLOOKUP(MID(G219,H219,I219-H219),[6]skilldef!$A:$B,2,FALSE),"-")</f>
        <v>- / 何もしない</v>
      </c>
      <c r="M219" s="60" t="str">
        <f t="shared" si="96"/>
        <v>none</v>
      </c>
      <c r="N219" s="45" t="str">
        <f t="shared" si="106"/>
        <v>none</v>
      </c>
      <c r="O219" s="60" t="e">
        <f t="shared" si="97"/>
        <v>#VALUE!</v>
      </c>
      <c r="P219" s="60">
        <f t="shared" si="98"/>
        <v>4</v>
      </c>
      <c r="Q219" s="60" t="e">
        <f t="shared" si="99"/>
        <v>#VALUE!</v>
      </c>
      <c r="R219" s="60" t="e">
        <f t="shared" si="100"/>
        <v>#VALUE!</v>
      </c>
      <c r="S219" s="60" t="str">
        <f>IFERROR(VLOOKUP(MID(N219,Q219,R219-Q219),[6]skilldef!$C:$D,2,FALSE),"-") &amp; " / " &amp; IFERROR(VLOOKUP(MID(N219,O219,P219-O219),[6]skilldef!$A:$B,2,FALSE),"-")</f>
        <v>- / -</v>
      </c>
      <c r="T219" s="45" t="str">
        <f t="shared" si="101"/>
        <v>none</v>
      </c>
      <c r="U219" s="60" t="e">
        <f t="shared" si="102"/>
        <v>#VALUE!</v>
      </c>
      <c r="V219" s="60">
        <f t="shared" si="103"/>
        <v>4</v>
      </c>
      <c r="W219" s="60" t="e">
        <f t="shared" si="104"/>
        <v>#VALUE!</v>
      </c>
      <c r="X219" s="60" t="e">
        <f t="shared" si="105"/>
        <v>#VALUE!</v>
      </c>
      <c r="Y219" s="60" t="str">
        <f>IFERROR(VLOOKUP(MID(T219,W219,X219-W219),[6]skilldef!$C:$D,2,FALSE),"-") &amp; " / " &amp; IFERROR(VLOOKUP(MID(T219,U219,V219-U219),[6]skilldef!$A:$B,2,FALSE),"-")</f>
        <v>- / -</v>
      </c>
    </row>
    <row r="220" spans="1:25" ht="21" customHeight="1" x14ac:dyDescent="0.15">
      <c r="A220" s="44">
        <v>15031219</v>
      </c>
      <c r="B220" s="44" t="s">
        <v>229</v>
      </c>
      <c r="C220" s="47">
        <v>3</v>
      </c>
      <c r="D220" s="47" t="s">
        <v>127</v>
      </c>
      <c r="E220" s="44" t="s">
        <v>217</v>
      </c>
      <c r="F220" s="48" t="s">
        <v>230</v>
      </c>
      <c r="G220" s="60" t="str">
        <f t="shared" si="91"/>
        <v>[effect:nothing]</v>
      </c>
      <c r="H220" s="60">
        <f t="shared" si="92"/>
        <v>9</v>
      </c>
      <c r="I220" s="60">
        <f t="shared" si="93"/>
        <v>16</v>
      </c>
      <c r="J220" s="60" t="e">
        <f t="shared" si="94"/>
        <v>#VALUE!</v>
      </c>
      <c r="K220" s="60" t="e">
        <f t="shared" si="95"/>
        <v>#VALUE!</v>
      </c>
      <c r="L220" s="60" t="str">
        <f>IFERROR(VLOOKUP(MID(G220,J220,K220-J220),[6]skilldef!$C:$D,2,FALSE),"-") &amp; " / " &amp; IFERROR(VLOOKUP(MID(G220,H220,I220-H220),[6]skilldef!$A:$B,2,FALSE),"-")</f>
        <v>- / 何もしない</v>
      </c>
      <c r="M220" s="60" t="str">
        <f t="shared" si="96"/>
        <v>none</v>
      </c>
      <c r="N220" s="45" t="str">
        <f t="shared" si="106"/>
        <v>none</v>
      </c>
      <c r="O220" s="60" t="e">
        <f t="shared" si="97"/>
        <v>#VALUE!</v>
      </c>
      <c r="P220" s="60">
        <f t="shared" si="98"/>
        <v>4</v>
      </c>
      <c r="Q220" s="60" t="e">
        <f t="shared" si="99"/>
        <v>#VALUE!</v>
      </c>
      <c r="R220" s="60" t="e">
        <f t="shared" si="100"/>
        <v>#VALUE!</v>
      </c>
      <c r="S220" s="60" t="str">
        <f>IFERROR(VLOOKUP(MID(N220,Q220,R220-Q220),[6]skilldef!$C:$D,2,FALSE),"-") &amp; " / " &amp; IFERROR(VLOOKUP(MID(N220,O220,P220-O220),[6]skilldef!$A:$B,2,FALSE),"-")</f>
        <v>- / -</v>
      </c>
      <c r="T220" s="45" t="str">
        <f t="shared" si="101"/>
        <v>none</v>
      </c>
      <c r="U220" s="60" t="e">
        <f t="shared" si="102"/>
        <v>#VALUE!</v>
      </c>
      <c r="V220" s="60">
        <f t="shared" si="103"/>
        <v>4</v>
      </c>
      <c r="W220" s="60" t="e">
        <f t="shared" si="104"/>
        <v>#VALUE!</v>
      </c>
      <c r="X220" s="60" t="e">
        <f t="shared" si="105"/>
        <v>#VALUE!</v>
      </c>
      <c r="Y220" s="60" t="str">
        <f>IFERROR(VLOOKUP(MID(T220,W220,X220-W220),[6]skilldef!$C:$D,2,FALSE),"-") &amp; " / " &amp; IFERROR(VLOOKUP(MID(T220,U220,V220-U220),[6]skilldef!$A:$B,2,FALSE),"-")</f>
        <v>- / -</v>
      </c>
    </row>
    <row r="221" spans="1:25" ht="21" customHeight="1" x14ac:dyDescent="0.15">
      <c r="A221" s="44">
        <v>15031220</v>
      </c>
      <c r="B221" s="44" t="s">
        <v>229</v>
      </c>
      <c r="C221" s="47">
        <v>3</v>
      </c>
      <c r="D221" s="47" t="s">
        <v>127</v>
      </c>
      <c r="E221" s="44" t="s">
        <v>217</v>
      </c>
      <c r="F221" s="48" t="s">
        <v>230</v>
      </c>
      <c r="G221" s="60" t="str">
        <f t="shared" si="91"/>
        <v>[effect:nothing]</v>
      </c>
      <c r="H221" s="60">
        <f t="shared" si="92"/>
        <v>9</v>
      </c>
      <c r="I221" s="60">
        <f t="shared" si="93"/>
        <v>16</v>
      </c>
      <c r="J221" s="60" t="e">
        <f t="shared" si="94"/>
        <v>#VALUE!</v>
      </c>
      <c r="K221" s="60" t="e">
        <f t="shared" si="95"/>
        <v>#VALUE!</v>
      </c>
      <c r="L221" s="60" t="str">
        <f>IFERROR(VLOOKUP(MID(G221,J221,K221-J221),[6]skilldef!$C:$D,2,FALSE),"-") &amp; " / " &amp; IFERROR(VLOOKUP(MID(G221,H221,I221-H221),[6]skilldef!$A:$B,2,FALSE),"-")</f>
        <v>- / 何もしない</v>
      </c>
      <c r="M221" s="60" t="str">
        <f t="shared" si="96"/>
        <v>none</v>
      </c>
      <c r="N221" s="45" t="str">
        <f t="shared" si="106"/>
        <v>none</v>
      </c>
      <c r="O221" s="60" t="e">
        <f t="shared" si="97"/>
        <v>#VALUE!</v>
      </c>
      <c r="P221" s="60">
        <f t="shared" si="98"/>
        <v>4</v>
      </c>
      <c r="Q221" s="60" t="e">
        <f t="shared" si="99"/>
        <v>#VALUE!</v>
      </c>
      <c r="R221" s="60" t="e">
        <f t="shared" si="100"/>
        <v>#VALUE!</v>
      </c>
      <c r="S221" s="60" t="str">
        <f>IFERROR(VLOOKUP(MID(N221,Q221,R221-Q221),[6]skilldef!$C:$D,2,FALSE),"-") &amp; " / " &amp; IFERROR(VLOOKUP(MID(N221,O221,P221-O221),[6]skilldef!$A:$B,2,FALSE),"-")</f>
        <v>- / -</v>
      </c>
      <c r="T221" s="45" t="str">
        <f t="shared" si="101"/>
        <v>none</v>
      </c>
      <c r="U221" s="60" t="e">
        <f t="shared" si="102"/>
        <v>#VALUE!</v>
      </c>
      <c r="V221" s="60">
        <f t="shared" si="103"/>
        <v>4</v>
      </c>
      <c r="W221" s="60" t="e">
        <f t="shared" si="104"/>
        <v>#VALUE!</v>
      </c>
      <c r="X221" s="60" t="e">
        <f t="shared" si="105"/>
        <v>#VALUE!</v>
      </c>
      <c r="Y221" s="60" t="str">
        <f>IFERROR(VLOOKUP(MID(T221,W221,X221-W221),[6]skilldef!$C:$D,2,FALSE),"-") &amp; " / " &amp; IFERROR(VLOOKUP(MID(T221,U221,V221-U221),[6]skilldef!$A:$B,2,FALSE),"-")</f>
        <v>- / -</v>
      </c>
    </row>
    <row r="222" spans="1:25" ht="21" customHeight="1" x14ac:dyDescent="0.15">
      <c r="A222" s="44">
        <v>15031221</v>
      </c>
      <c r="B222" s="44" t="s">
        <v>229</v>
      </c>
      <c r="C222" s="47">
        <v>3</v>
      </c>
      <c r="D222" s="47" t="s">
        <v>127</v>
      </c>
      <c r="E222" s="140" t="s">
        <v>249</v>
      </c>
      <c r="F222" s="48" t="s">
        <v>230</v>
      </c>
      <c r="G222" s="60" t="str">
        <f t="shared" si="91"/>
        <v>[effect:nothing]</v>
      </c>
      <c r="H222" s="60">
        <f t="shared" si="92"/>
        <v>9</v>
      </c>
      <c r="I222" s="60">
        <f t="shared" si="93"/>
        <v>16</v>
      </c>
      <c r="J222" s="60" t="e">
        <f t="shared" si="94"/>
        <v>#VALUE!</v>
      </c>
      <c r="K222" s="60" t="e">
        <f t="shared" si="95"/>
        <v>#VALUE!</v>
      </c>
      <c r="L222" s="60" t="str">
        <f>IFERROR(VLOOKUP(MID(G222,J222,K222-J222),[6]skilldef!$C:$D,2,FALSE),"-") &amp; " / " &amp; IFERROR(VLOOKUP(MID(G222,H222,I222-H222),[6]skilldef!$A:$B,2,FALSE),"-")</f>
        <v>- / 何もしない</v>
      </c>
      <c r="M222" s="60" t="str">
        <f t="shared" si="96"/>
        <v>none</v>
      </c>
      <c r="N222" s="45" t="str">
        <f t="shared" si="106"/>
        <v>none</v>
      </c>
      <c r="O222" s="60" t="e">
        <f t="shared" si="97"/>
        <v>#VALUE!</v>
      </c>
      <c r="P222" s="60">
        <f t="shared" si="98"/>
        <v>4</v>
      </c>
      <c r="Q222" s="60" t="e">
        <f t="shared" si="99"/>
        <v>#VALUE!</v>
      </c>
      <c r="R222" s="60" t="e">
        <f t="shared" si="100"/>
        <v>#VALUE!</v>
      </c>
      <c r="S222" s="60" t="str">
        <f>IFERROR(VLOOKUP(MID(N222,Q222,R222-Q222),[6]skilldef!$C:$D,2,FALSE),"-") &amp; " / " &amp; IFERROR(VLOOKUP(MID(N222,O222,P222-O222),[6]skilldef!$A:$B,2,FALSE),"-")</f>
        <v>- / -</v>
      </c>
      <c r="T222" s="45" t="str">
        <f t="shared" si="101"/>
        <v>none</v>
      </c>
      <c r="U222" s="60" t="e">
        <f t="shared" si="102"/>
        <v>#VALUE!</v>
      </c>
      <c r="V222" s="60">
        <f t="shared" si="103"/>
        <v>4</v>
      </c>
      <c r="W222" s="60" t="e">
        <f t="shared" si="104"/>
        <v>#VALUE!</v>
      </c>
      <c r="X222" s="60" t="e">
        <f t="shared" si="105"/>
        <v>#VALUE!</v>
      </c>
      <c r="Y222" s="60" t="str">
        <f>IFERROR(VLOOKUP(MID(T222,W222,X222-W222),[6]skilldef!$C:$D,2,FALSE),"-") &amp; " / " &amp; IFERROR(VLOOKUP(MID(T222,U222,V222-U222),[6]skilldef!$A:$B,2,FALSE),"-")</f>
        <v>- / -</v>
      </c>
    </row>
    <row r="223" spans="1:25" ht="21" customHeight="1" x14ac:dyDescent="0.15">
      <c r="A223" s="44">
        <v>15031222</v>
      </c>
      <c r="B223" s="44" t="s">
        <v>229</v>
      </c>
      <c r="C223" s="47">
        <v>3</v>
      </c>
      <c r="D223" s="47" t="s">
        <v>127</v>
      </c>
      <c r="E223" s="44" t="s">
        <v>218</v>
      </c>
      <c r="F223" s="48" t="s">
        <v>230</v>
      </c>
      <c r="G223" s="60" t="str">
        <f t="shared" si="91"/>
        <v>[effect:nothing]</v>
      </c>
      <c r="H223" s="60">
        <f t="shared" si="92"/>
        <v>9</v>
      </c>
      <c r="I223" s="60">
        <f t="shared" si="93"/>
        <v>16</v>
      </c>
      <c r="J223" s="60" t="e">
        <f t="shared" si="94"/>
        <v>#VALUE!</v>
      </c>
      <c r="K223" s="60" t="e">
        <f t="shared" si="95"/>
        <v>#VALUE!</v>
      </c>
      <c r="L223" s="60" t="str">
        <f>IFERROR(VLOOKUP(MID(G223,J223,K223-J223),[6]skilldef!$C:$D,2,FALSE),"-") &amp; " / " &amp; IFERROR(VLOOKUP(MID(G223,H223,I223-H223),[6]skilldef!$A:$B,2,FALSE),"-")</f>
        <v>- / 何もしない</v>
      </c>
      <c r="M223" s="60" t="str">
        <f t="shared" si="96"/>
        <v>none</v>
      </c>
      <c r="N223" s="45" t="str">
        <f t="shared" si="106"/>
        <v>none</v>
      </c>
      <c r="O223" s="60" t="e">
        <f t="shared" si="97"/>
        <v>#VALUE!</v>
      </c>
      <c r="P223" s="60">
        <f t="shared" si="98"/>
        <v>4</v>
      </c>
      <c r="Q223" s="60" t="e">
        <f t="shared" si="99"/>
        <v>#VALUE!</v>
      </c>
      <c r="R223" s="60" t="e">
        <f t="shared" si="100"/>
        <v>#VALUE!</v>
      </c>
      <c r="S223" s="60" t="str">
        <f>IFERROR(VLOOKUP(MID(N223,Q223,R223-Q223),[6]skilldef!$C:$D,2,FALSE),"-") &amp; " / " &amp; IFERROR(VLOOKUP(MID(N223,O223,P223-O223),[6]skilldef!$A:$B,2,FALSE),"-")</f>
        <v>- / -</v>
      </c>
      <c r="T223" s="45" t="str">
        <f t="shared" si="101"/>
        <v>none</v>
      </c>
      <c r="U223" s="60" t="e">
        <f t="shared" si="102"/>
        <v>#VALUE!</v>
      </c>
      <c r="V223" s="60">
        <f t="shared" si="103"/>
        <v>4</v>
      </c>
      <c r="W223" s="60" t="e">
        <f t="shared" si="104"/>
        <v>#VALUE!</v>
      </c>
      <c r="X223" s="60" t="e">
        <f t="shared" si="105"/>
        <v>#VALUE!</v>
      </c>
      <c r="Y223" s="60" t="str">
        <f>IFERROR(VLOOKUP(MID(T223,W223,X223-W223),[6]skilldef!$C:$D,2,FALSE),"-") &amp; " / " &amp; IFERROR(VLOOKUP(MID(T223,U223,V223-U223),[6]skilldef!$A:$B,2,FALSE),"-")</f>
        <v>- / -</v>
      </c>
    </row>
    <row r="224" spans="1:25" ht="21" customHeight="1" x14ac:dyDescent="0.15">
      <c r="A224" s="44">
        <v>15031223</v>
      </c>
      <c r="B224" s="44" t="s">
        <v>229</v>
      </c>
      <c r="C224" s="47">
        <v>3</v>
      </c>
      <c r="D224" s="47" t="s">
        <v>127</v>
      </c>
      <c r="E224" s="44" t="s">
        <v>250</v>
      </c>
      <c r="F224" s="48" t="s">
        <v>230</v>
      </c>
      <c r="G224" s="60" t="str">
        <f t="shared" si="91"/>
        <v>[effect:nothing]</v>
      </c>
      <c r="H224" s="60">
        <f t="shared" si="92"/>
        <v>9</v>
      </c>
      <c r="I224" s="60">
        <f t="shared" si="93"/>
        <v>16</v>
      </c>
      <c r="J224" s="60" t="e">
        <f t="shared" si="94"/>
        <v>#VALUE!</v>
      </c>
      <c r="K224" s="60" t="e">
        <f t="shared" si="95"/>
        <v>#VALUE!</v>
      </c>
      <c r="L224" s="60" t="str">
        <f>IFERROR(VLOOKUP(MID(G224,J224,K224-J224),[6]skilldef!$C:$D,2,FALSE),"-") &amp; " / " &amp; IFERROR(VLOOKUP(MID(G224,H224,I224-H224),[6]skilldef!$A:$B,2,FALSE),"-")</f>
        <v>- / 何もしない</v>
      </c>
      <c r="M224" s="60" t="str">
        <f t="shared" si="96"/>
        <v>none</v>
      </c>
      <c r="N224" s="45" t="str">
        <f t="shared" si="106"/>
        <v>none</v>
      </c>
      <c r="O224" s="60" t="e">
        <f t="shared" si="97"/>
        <v>#VALUE!</v>
      </c>
      <c r="P224" s="60">
        <f t="shared" si="98"/>
        <v>4</v>
      </c>
      <c r="Q224" s="60" t="e">
        <f t="shared" si="99"/>
        <v>#VALUE!</v>
      </c>
      <c r="R224" s="60" t="e">
        <f t="shared" si="100"/>
        <v>#VALUE!</v>
      </c>
      <c r="S224" s="60" t="str">
        <f>IFERROR(VLOOKUP(MID(N224,Q224,R224-Q224),[6]skilldef!$C:$D,2,FALSE),"-") &amp; " / " &amp; IFERROR(VLOOKUP(MID(N224,O224,P224-O224),[6]skilldef!$A:$B,2,FALSE),"-")</f>
        <v>- / -</v>
      </c>
      <c r="T224" s="45" t="str">
        <f t="shared" si="101"/>
        <v>none</v>
      </c>
      <c r="U224" s="60" t="e">
        <f t="shared" si="102"/>
        <v>#VALUE!</v>
      </c>
      <c r="V224" s="60">
        <f t="shared" si="103"/>
        <v>4</v>
      </c>
      <c r="W224" s="60" t="e">
        <f t="shared" si="104"/>
        <v>#VALUE!</v>
      </c>
      <c r="X224" s="60" t="e">
        <f t="shared" si="105"/>
        <v>#VALUE!</v>
      </c>
      <c r="Y224" s="60" t="str">
        <f>IFERROR(VLOOKUP(MID(T224,W224,X224-W224),[6]skilldef!$C:$D,2,FALSE),"-") &amp; " / " &amp; IFERROR(VLOOKUP(MID(T224,U224,V224-U224),[6]skilldef!$A:$B,2,FALSE),"-")</f>
        <v>- / -</v>
      </c>
    </row>
    <row r="225" spans="1:25" ht="21" customHeight="1" x14ac:dyDescent="0.15">
      <c r="A225" s="44">
        <v>15031224</v>
      </c>
      <c r="B225" s="44" t="s">
        <v>229</v>
      </c>
      <c r="C225" s="47">
        <v>3</v>
      </c>
      <c r="D225" s="47" t="s">
        <v>127</v>
      </c>
      <c r="E225" s="44" t="s">
        <v>218</v>
      </c>
      <c r="F225" s="48" t="s">
        <v>230</v>
      </c>
      <c r="G225" s="60" t="str">
        <f t="shared" si="91"/>
        <v>[effect:nothing]</v>
      </c>
      <c r="H225" s="60">
        <f t="shared" si="92"/>
        <v>9</v>
      </c>
      <c r="I225" s="60">
        <f t="shared" si="93"/>
        <v>16</v>
      </c>
      <c r="J225" s="60" t="e">
        <f t="shared" si="94"/>
        <v>#VALUE!</v>
      </c>
      <c r="K225" s="60" t="e">
        <f t="shared" si="95"/>
        <v>#VALUE!</v>
      </c>
      <c r="L225" s="60" t="str">
        <f>IFERROR(VLOOKUP(MID(G225,J225,K225-J225),[6]skilldef!$C:$D,2,FALSE),"-") &amp; " / " &amp; IFERROR(VLOOKUP(MID(G225,H225,I225-H225),[6]skilldef!$A:$B,2,FALSE),"-")</f>
        <v>- / 何もしない</v>
      </c>
      <c r="M225" s="60" t="str">
        <f t="shared" si="96"/>
        <v>none</v>
      </c>
      <c r="N225" s="45" t="str">
        <f t="shared" si="106"/>
        <v>none</v>
      </c>
      <c r="O225" s="60" t="e">
        <f t="shared" si="97"/>
        <v>#VALUE!</v>
      </c>
      <c r="P225" s="60">
        <f t="shared" si="98"/>
        <v>4</v>
      </c>
      <c r="Q225" s="60" t="e">
        <f t="shared" si="99"/>
        <v>#VALUE!</v>
      </c>
      <c r="R225" s="60" t="e">
        <f t="shared" si="100"/>
        <v>#VALUE!</v>
      </c>
      <c r="S225" s="60" t="str">
        <f>IFERROR(VLOOKUP(MID(N225,Q225,R225-Q225),[6]skilldef!$C:$D,2,FALSE),"-") &amp; " / " &amp; IFERROR(VLOOKUP(MID(N225,O225,P225-O225),[6]skilldef!$A:$B,2,FALSE),"-")</f>
        <v>- / -</v>
      </c>
      <c r="T225" s="45" t="str">
        <f t="shared" si="101"/>
        <v>none</v>
      </c>
      <c r="U225" s="60" t="e">
        <f t="shared" si="102"/>
        <v>#VALUE!</v>
      </c>
      <c r="V225" s="60">
        <f t="shared" si="103"/>
        <v>4</v>
      </c>
      <c r="W225" s="60" t="e">
        <f t="shared" si="104"/>
        <v>#VALUE!</v>
      </c>
      <c r="X225" s="60" t="e">
        <f t="shared" si="105"/>
        <v>#VALUE!</v>
      </c>
      <c r="Y225" s="60" t="str">
        <f>IFERROR(VLOOKUP(MID(T225,W225,X225-W225),[6]skilldef!$C:$D,2,FALSE),"-") &amp; " / " &amp; IFERROR(VLOOKUP(MID(T225,U225,V225-U225),[6]skilldef!$A:$B,2,FALSE),"-")</f>
        <v>- / -</v>
      </c>
    </row>
    <row r="226" spans="1:25" ht="21" customHeight="1" x14ac:dyDescent="0.15">
      <c r="A226" s="44">
        <v>15031225</v>
      </c>
      <c r="B226" s="44" t="s">
        <v>229</v>
      </c>
      <c r="C226" s="47">
        <v>3</v>
      </c>
      <c r="D226" s="47" t="s">
        <v>127</v>
      </c>
      <c r="E226" s="44" t="s">
        <v>218</v>
      </c>
      <c r="F226" s="48" t="s">
        <v>230</v>
      </c>
      <c r="G226" s="60" t="str">
        <f t="shared" si="91"/>
        <v>[effect:nothing]</v>
      </c>
      <c r="H226" s="60">
        <f t="shared" si="92"/>
        <v>9</v>
      </c>
      <c r="I226" s="60">
        <f t="shared" si="93"/>
        <v>16</v>
      </c>
      <c r="J226" s="60" t="e">
        <f t="shared" si="94"/>
        <v>#VALUE!</v>
      </c>
      <c r="K226" s="60" t="e">
        <f t="shared" si="95"/>
        <v>#VALUE!</v>
      </c>
      <c r="L226" s="60" t="str">
        <f>IFERROR(VLOOKUP(MID(G226,J226,K226-J226),[6]skilldef!$C:$D,2,FALSE),"-") &amp; " / " &amp; IFERROR(VLOOKUP(MID(G226,H226,I226-H226),[6]skilldef!$A:$B,2,FALSE),"-")</f>
        <v>- / 何もしない</v>
      </c>
      <c r="M226" s="60" t="str">
        <f t="shared" si="96"/>
        <v>none</v>
      </c>
      <c r="N226" s="45" t="str">
        <f t="shared" si="106"/>
        <v>none</v>
      </c>
      <c r="O226" s="60" t="e">
        <f t="shared" si="97"/>
        <v>#VALUE!</v>
      </c>
      <c r="P226" s="60">
        <f t="shared" si="98"/>
        <v>4</v>
      </c>
      <c r="Q226" s="60" t="e">
        <f t="shared" si="99"/>
        <v>#VALUE!</v>
      </c>
      <c r="R226" s="60" t="e">
        <f t="shared" si="100"/>
        <v>#VALUE!</v>
      </c>
      <c r="S226" s="60" t="str">
        <f>IFERROR(VLOOKUP(MID(N226,Q226,R226-Q226),[6]skilldef!$C:$D,2,FALSE),"-") &amp; " / " &amp; IFERROR(VLOOKUP(MID(N226,O226,P226-O226),[6]skilldef!$A:$B,2,FALSE),"-")</f>
        <v>- / -</v>
      </c>
      <c r="T226" s="45" t="str">
        <f t="shared" si="101"/>
        <v>none</v>
      </c>
      <c r="U226" s="60" t="e">
        <f t="shared" si="102"/>
        <v>#VALUE!</v>
      </c>
      <c r="V226" s="60">
        <f t="shared" si="103"/>
        <v>4</v>
      </c>
      <c r="W226" s="60" t="e">
        <f t="shared" si="104"/>
        <v>#VALUE!</v>
      </c>
      <c r="X226" s="60" t="e">
        <f t="shared" si="105"/>
        <v>#VALUE!</v>
      </c>
      <c r="Y226" s="60" t="str">
        <f>IFERROR(VLOOKUP(MID(T226,W226,X226-W226),[6]skilldef!$C:$D,2,FALSE),"-") &amp; " / " &amp; IFERROR(VLOOKUP(MID(T226,U226,V226-U226),[6]skilldef!$A:$B,2,FALSE),"-")</f>
        <v>- / -</v>
      </c>
    </row>
    <row r="227" spans="1:25" ht="21" customHeight="1" x14ac:dyDescent="0.15">
      <c r="A227" s="44">
        <v>15031226</v>
      </c>
      <c r="B227" s="44" t="s">
        <v>229</v>
      </c>
      <c r="C227" s="47">
        <v>3</v>
      </c>
      <c r="D227" s="47" t="s">
        <v>127</v>
      </c>
      <c r="E227" s="140" t="s">
        <v>219</v>
      </c>
      <c r="F227" s="48" t="s">
        <v>230</v>
      </c>
      <c r="G227" s="60" t="str">
        <f t="shared" si="91"/>
        <v>[effect:nothing]</v>
      </c>
      <c r="H227" s="60">
        <f t="shared" si="92"/>
        <v>9</v>
      </c>
      <c r="I227" s="60">
        <f t="shared" si="93"/>
        <v>16</v>
      </c>
      <c r="J227" s="60" t="e">
        <f t="shared" si="94"/>
        <v>#VALUE!</v>
      </c>
      <c r="K227" s="60" t="e">
        <f t="shared" si="95"/>
        <v>#VALUE!</v>
      </c>
      <c r="L227" s="60" t="str">
        <f>IFERROR(VLOOKUP(MID(G227,J227,K227-J227),[6]skilldef!$C:$D,2,FALSE),"-") &amp; " / " &amp; IFERROR(VLOOKUP(MID(G227,H227,I227-H227),[6]skilldef!$A:$B,2,FALSE),"-")</f>
        <v>- / 何もしない</v>
      </c>
      <c r="M227" s="60" t="str">
        <f t="shared" si="96"/>
        <v>none</v>
      </c>
      <c r="N227" s="45" t="str">
        <f t="shared" si="106"/>
        <v>none</v>
      </c>
      <c r="O227" s="60" t="e">
        <f t="shared" si="97"/>
        <v>#VALUE!</v>
      </c>
      <c r="P227" s="60">
        <f t="shared" si="98"/>
        <v>4</v>
      </c>
      <c r="Q227" s="60" t="e">
        <f t="shared" si="99"/>
        <v>#VALUE!</v>
      </c>
      <c r="R227" s="60" t="e">
        <f t="shared" si="100"/>
        <v>#VALUE!</v>
      </c>
      <c r="S227" s="60" t="str">
        <f>IFERROR(VLOOKUP(MID(N227,Q227,R227-Q227),[6]skilldef!$C:$D,2,FALSE),"-") &amp; " / " &amp; IFERROR(VLOOKUP(MID(N227,O227,P227-O227),[6]skilldef!$A:$B,2,FALSE),"-")</f>
        <v>- / -</v>
      </c>
      <c r="T227" s="45" t="str">
        <f t="shared" si="101"/>
        <v>none</v>
      </c>
      <c r="U227" s="60" t="e">
        <f t="shared" si="102"/>
        <v>#VALUE!</v>
      </c>
      <c r="V227" s="60">
        <f t="shared" si="103"/>
        <v>4</v>
      </c>
      <c r="W227" s="60" t="e">
        <f t="shared" si="104"/>
        <v>#VALUE!</v>
      </c>
      <c r="X227" s="60" t="e">
        <f t="shared" si="105"/>
        <v>#VALUE!</v>
      </c>
      <c r="Y227" s="60" t="str">
        <f>IFERROR(VLOOKUP(MID(T227,W227,X227-W227),[6]skilldef!$C:$D,2,FALSE),"-") &amp; " / " &amp; IFERROR(VLOOKUP(MID(T227,U227,V227-U227),[6]skilldef!$A:$B,2,FALSE),"-")</f>
        <v>- / -</v>
      </c>
    </row>
    <row r="228" spans="1:25" ht="21" customHeight="1" x14ac:dyDescent="0.15">
      <c r="A228" s="44">
        <v>15031227</v>
      </c>
      <c r="B228" s="44" t="s">
        <v>229</v>
      </c>
      <c r="C228" s="47">
        <v>3</v>
      </c>
      <c r="D228" s="47" t="s">
        <v>127</v>
      </c>
      <c r="E228" s="44" t="s">
        <v>219</v>
      </c>
      <c r="F228" s="48" t="s">
        <v>230</v>
      </c>
      <c r="G228" s="60" t="str">
        <f t="shared" si="91"/>
        <v>[effect:nothing]</v>
      </c>
      <c r="H228" s="60">
        <f t="shared" si="92"/>
        <v>9</v>
      </c>
      <c r="I228" s="60">
        <f t="shared" si="93"/>
        <v>16</v>
      </c>
      <c r="J228" s="60" t="e">
        <f t="shared" si="94"/>
        <v>#VALUE!</v>
      </c>
      <c r="K228" s="60" t="e">
        <f t="shared" si="95"/>
        <v>#VALUE!</v>
      </c>
      <c r="L228" s="60" t="str">
        <f>IFERROR(VLOOKUP(MID(G228,J228,K228-J228),[6]skilldef!$C:$D,2,FALSE),"-") &amp; " / " &amp; IFERROR(VLOOKUP(MID(G228,H228,I228-H228),[6]skilldef!$A:$B,2,FALSE),"-")</f>
        <v>- / 何もしない</v>
      </c>
      <c r="M228" s="60" t="str">
        <f t="shared" si="96"/>
        <v>none</v>
      </c>
      <c r="N228" s="45" t="str">
        <f t="shared" si="106"/>
        <v>none</v>
      </c>
      <c r="O228" s="60" t="e">
        <f t="shared" si="97"/>
        <v>#VALUE!</v>
      </c>
      <c r="P228" s="60">
        <f t="shared" si="98"/>
        <v>4</v>
      </c>
      <c r="Q228" s="60" t="e">
        <f t="shared" si="99"/>
        <v>#VALUE!</v>
      </c>
      <c r="R228" s="60" t="e">
        <f t="shared" si="100"/>
        <v>#VALUE!</v>
      </c>
      <c r="S228" s="60" t="str">
        <f>IFERROR(VLOOKUP(MID(N228,Q228,R228-Q228),[6]skilldef!$C:$D,2,FALSE),"-") &amp; " / " &amp; IFERROR(VLOOKUP(MID(N228,O228,P228-O228),[6]skilldef!$A:$B,2,FALSE),"-")</f>
        <v>- / -</v>
      </c>
      <c r="T228" s="45" t="str">
        <f t="shared" si="101"/>
        <v>none</v>
      </c>
      <c r="U228" s="60" t="e">
        <f t="shared" si="102"/>
        <v>#VALUE!</v>
      </c>
      <c r="V228" s="60">
        <f t="shared" si="103"/>
        <v>4</v>
      </c>
      <c r="W228" s="60" t="e">
        <f t="shared" si="104"/>
        <v>#VALUE!</v>
      </c>
      <c r="X228" s="60" t="e">
        <f t="shared" si="105"/>
        <v>#VALUE!</v>
      </c>
      <c r="Y228" s="60" t="str">
        <f>IFERROR(VLOOKUP(MID(T228,W228,X228-W228),[6]skilldef!$C:$D,2,FALSE),"-") &amp; " / " &amp; IFERROR(VLOOKUP(MID(T228,U228,V228-U228),[6]skilldef!$A:$B,2,FALSE),"-")</f>
        <v>- / -</v>
      </c>
    </row>
    <row r="229" spans="1:25" ht="21" customHeight="1" x14ac:dyDescent="0.15">
      <c r="A229" s="44">
        <v>15031228</v>
      </c>
      <c r="B229" s="44" t="s">
        <v>229</v>
      </c>
      <c r="C229" s="47">
        <v>3</v>
      </c>
      <c r="D229" s="47" t="s">
        <v>127</v>
      </c>
      <c r="E229" s="44" t="s">
        <v>219</v>
      </c>
      <c r="F229" s="48" t="s">
        <v>230</v>
      </c>
      <c r="G229" s="60" t="str">
        <f t="shared" si="91"/>
        <v>[effect:nothing]</v>
      </c>
      <c r="H229" s="60">
        <f t="shared" si="92"/>
        <v>9</v>
      </c>
      <c r="I229" s="60">
        <f t="shared" si="93"/>
        <v>16</v>
      </c>
      <c r="J229" s="60" t="e">
        <f t="shared" si="94"/>
        <v>#VALUE!</v>
      </c>
      <c r="K229" s="60" t="e">
        <f t="shared" si="95"/>
        <v>#VALUE!</v>
      </c>
      <c r="L229" s="60" t="str">
        <f>IFERROR(VLOOKUP(MID(G229,J229,K229-J229),[6]skilldef!$C:$D,2,FALSE),"-") &amp; " / " &amp; IFERROR(VLOOKUP(MID(G229,H229,I229-H229),[6]skilldef!$A:$B,2,FALSE),"-")</f>
        <v>- / 何もしない</v>
      </c>
      <c r="M229" s="60" t="str">
        <f t="shared" si="96"/>
        <v>none</v>
      </c>
      <c r="N229" s="45" t="str">
        <f t="shared" si="106"/>
        <v>none</v>
      </c>
      <c r="O229" s="60" t="e">
        <f t="shared" si="97"/>
        <v>#VALUE!</v>
      </c>
      <c r="P229" s="60">
        <f t="shared" si="98"/>
        <v>4</v>
      </c>
      <c r="Q229" s="60" t="e">
        <f t="shared" si="99"/>
        <v>#VALUE!</v>
      </c>
      <c r="R229" s="60" t="e">
        <f t="shared" si="100"/>
        <v>#VALUE!</v>
      </c>
      <c r="S229" s="60" t="str">
        <f>IFERROR(VLOOKUP(MID(N229,Q229,R229-Q229),[6]skilldef!$C:$D,2,FALSE),"-") &amp; " / " &amp; IFERROR(VLOOKUP(MID(N229,O229,P229-O229),[6]skilldef!$A:$B,2,FALSE),"-")</f>
        <v>- / -</v>
      </c>
      <c r="T229" s="45" t="str">
        <f t="shared" si="101"/>
        <v>none</v>
      </c>
      <c r="U229" s="60" t="e">
        <f t="shared" si="102"/>
        <v>#VALUE!</v>
      </c>
      <c r="V229" s="60">
        <f t="shared" si="103"/>
        <v>4</v>
      </c>
      <c r="W229" s="60" t="e">
        <f t="shared" si="104"/>
        <v>#VALUE!</v>
      </c>
      <c r="X229" s="60" t="e">
        <f t="shared" si="105"/>
        <v>#VALUE!</v>
      </c>
      <c r="Y229" s="60" t="str">
        <f>IFERROR(VLOOKUP(MID(T229,W229,X229-W229),[6]skilldef!$C:$D,2,FALSE),"-") &amp; " / " &amp; IFERROR(VLOOKUP(MID(T229,U229,V229-U229),[6]skilldef!$A:$B,2,FALSE),"-")</f>
        <v>- / -</v>
      </c>
    </row>
    <row r="230" spans="1:25" ht="21" customHeight="1" x14ac:dyDescent="0.15">
      <c r="A230" s="44">
        <v>15031229</v>
      </c>
      <c r="B230" s="44" t="s">
        <v>229</v>
      </c>
      <c r="C230" s="47">
        <v>3</v>
      </c>
      <c r="D230" s="47" t="s">
        <v>127</v>
      </c>
      <c r="E230" s="44" t="s">
        <v>219</v>
      </c>
      <c r="F230" s="48" t="s">
        <v>230</v>
      </c>
      <c r="G230" s="60" t="str">
        <f t="shared" si="91"/>
        <v>[effect:nothing]</v>
      </c>
      <c r="H230" s="60">
        <f t="shared" si="92"/>
        <v>9</v>
      </c>
      <c r="I230" s="60">
        <f t="shared" si="93"/>
        <v>16</v>
      </c>
      <c r="J230" s="60" t="e">
        <f t="shared" si="94"/>
        <v>#VALUE!</v>
      </c>
      <c r="K230" s="60" t="e">
        <f t="shared" si="95"/>
        <v>#VALUE!</v>
      </c>
      <c r="L230" s="60" t="str">
        <f>IFERROR(VLOOKUP(MID(G230,J230,K230-J230),[6]skilldef!$C:$D,2,FALSE),"-") &amp; " / " &amp; IFERROR(VLOOKUP(MID(G230,H230,I230-H230),[6]skilldef!$A:$B,2,FALSE),"-")</f>
        <v>- / 何もしない</v>
      </c>
      <c r="M230" s="60" t="str">
        <f t="shared" si="96"/>
        <v>none</v>
      </c>
      <c r="N230" s="45" t="str">
        <f t="shared" si="106"/>
        <v>none</v>
      </c>
      <c r="O230" s="60" t="e">
        <f t="shared" si="97"/>
        <v>#VALUE!</v>
      </c>
      <c r="P230" s="60">
        <f t="shared" si="98"/>
        <v>4</v>
      </c>
      <c r="Q230" s="60" t="e">
        <f t="shared" si="99"/>
        <v>#VALUE!</v>
      </c>
      <c r="R230" s="60" t="e">
        <f t="shared" si="100"/>
        <v>#VALUE!</v>
      </c>
      <c r="S230" s="60" t="str">
        <f>IFERROR(VLOOKUP(MID(N230,Q230,R230-Q230),[6]skilldef!$C:$D,2,FALSE),"-") &amp; " / " &amp; IFERROR(VLOOKUP(MID(N230,O230,P230-O230),[6]skilldef!$A:$B,2,FALSE),"-")</f>
        <v>- / -</v>
      </c>
      <c r="T230" s="45" t="str">
        <f t="shared" si="101"/>
        <v>none</v>
      </c>
      <c r="U230" s="60" t="e">
        <f t="shared" si="102"/>
        <v>#VALUE!</v>
      </c>
      <c r="V230" s="60">
        <f t="shared" si="103"/>
        <v>4</v>
      </c>
      <c r="W230" s="60" t="e">
        <f t="shared" si="104"/>
        <v>#VALUE!</v>
      </c>
      <c r="X230" s="60" t="e">
        <f t="shared" si="105"/>
        <v>#VALUE!</v>
      </c>
      <c r="Y230" s="60" t="str">
        <f>IFERROR(VLOOKUP(MID(T230,W230,X230-W230),[6]skilldef!$C:$D,2,FALSE),"-") &amp; " / " &amp; IFERROR(VLOOKUP(MID(T230,U230,V230-U230),[6]skilldef!$A:$B,2,FALSE),"-")</f>
        <v>- / -</v>
      </c>
    </row>
    <row r="231" spans="1:25" ht="21" customHeight="1" x14ac:dyDescent="0.15">
      <c r="A231" s="44">
        <v>15031230</v>
      </c>
      <c r="B231" s="44" t="s">
        <v>229</v>
      </c>
      <c r="C231" s="47">
        <v>3</v>
      </c>
      <c r="D231" s="47" t="s">
        <v>127</v>
      </c>
      <c r="E231" s="44" t="s">
        <v>219</v>
      </c>
      <c r="F231" s="48" t="s">
        <v>230</v>
      </c>
      <c r="G231" s="60" t="str">
        <f t="shared" si="91"/>
        <v>[effect:nothing]</v>
      </c>
      <c r="H231" s="60">
        <f t="shared" si="92"/>
        <v>9</v>
      </c>
      <c r="I231" s="60">
        <f t="shared" si="93"/>
        <v>16</v>
      </c>
      <c r="J231" s="60" t="e">
        <f t="shared" si="94"/>
        <v>#VALUE!</v>
      </c>
      <c r="K231" s="60" t="e">
        <f t="shared" si="95"/>
        <v>#VALUE!</v>
      </c>
      <c r="L231" s="60" t="str">
        <f>IFERROR(VLOOKUP(MID(G231,J231,K231-J231),[6]skilldef!$C:$D,2,FALSE),"-") &amp; " / " &amp; IFERROR(VLOOKUP(MID(G231,H231,I231-H231),[6]skilldef!$A:$B,2,FALSE),"-")</f>
        <v>- / 何もしない</v>
      </c>
      <c r="M231" s="60" t="str">
        <f t="shared" si="96"/>
        <v>none</v>
      </c>
      <c r="N231" s="45" t="str">
        <f t="shared" si="106"/>
        <v>none</v>
      </c>
      <c r="O231" s="60" t="e">
        <f t="shared" si="97"/>
        <v>#VALUE!</v>
      </c>
      <c r="P231" s="60">
        <f t="shared" si="98"/>
        <v>4</v>
      </c>
      <c r="Q231" s="60" t="e">
        <f t="shared" si="99"/>
        <v>#VALUE!</v>
      </c>
      <c r="R231" s="60" t="e">
        <f t="shared" si="100"/>
        <v>#VALUE!</v>
      </c>
      <c r="S231" s="60" t="str">
        <f>IFERROR(VLOOKUP(MID(N231,Q231,R231-Q231),[6]skilldef!$C:$D,2,FALSE),"-") &amp; " / " &amp; IFERROR(VLOOKUP(MID(N231,O231,P231-O231),[6]skilldef!$A:$B,2,FALSE),"-")</f>
        <v>- / -</v>
      </c>
      <c r="T231" s="45" t="str">
        <f t="shared" si="101"/>
        <v>none</v>
      </c>
      <c r="U231" s="60" t="e">
        <f t="shared" si="102"/>
        <v>#VALUE!</v>
      </c>
      <c r="V231" s="60">
        <f t="shared" si="103"/>
        <v>4</v>
      </c>
      <c r="W231" s="60" t="e">
        <f t="shared" si="104"/>
        <v>#VALUE!</v>
      </c>
      <c r="X231" s="60" t="e">
        <f t="shared" si="105"/>
        <v>#VALUE!</v>
      </c>
      <c r="Y231" s="60" t="str">
        <f>IFERROR(VLOOKUP(MID(T231,W231,X231-W231),[6]skilldef!$C:$D,2,FALSE),"-") &amp; " / " &amp; IFERROR(VLOOKUP(MID(T231,U231,V231-U231),[6]skilldef!$A:$B,2,FALSE),"-")</f>
        <v>- / -</v>
      </c>
    </row>
    <row r="232" spans="1:25" ht="21" customHeight="1" x14ac:dyDescent="0.15">
      <c r="A232" s="44">
        <v>15031231</v>
      </c>
      <c r="B232" s="44" t="s">
        <v>229</v>
      </c>
      <c r="C232" s="47">
        <v>3</v>
      </c>
      <c r="D232" s="47" t="s">
        <v>127</v>
      </c>
      <c r="E232" s="140" t="s">
        <v>220</v>
      </c>
      <c r="F232" s="48" t="s">
        <v>230</v>
      </c>
      <c r="G232" s="60" t="str">
        <f t="shared" si="91"/>
        <v>[effect:nothing]</v>
      </c>
      <c r="H232" s="60">
        <f t="shared" si="92"/>
        <v>9</v>
      </c>
      <c r="I232" s="60">
        <f t="shared" si="93"/>
        <v>16</v>
      </c>
      <c r="J232" s="60" t="e">
        <f t="shared" si="94"/>
        <v>#VALUE!</v>
      </c>
      <c r="K232" s="60" t="e">
        <f t="shared" si="95"/>
        <v>#VALUE!</v>
      </c>
      <c r="L232" s="60" t="str">
        <f>IFERROR(VLOOKUP(MID(G232,J232,K232-J232),[6]skilldef!$C:$D,2,FALSE),"-") &amp; " / " &amp; IFERROR(VLOOKUP(MID(G232,H232,I232-H232),[6]skilldef!$A:$B,2,FALSE),"-")</f>
        <v>- / 何もしない</v>
      </c>
      <c r="M232" s="60" t="str">
        <f t="shared" si="96"/>
        <v>none</v>
      </c>
      <c r="N232" s="45" t="str">
        <f t="shared" si="106"/>
        <v>none</v>
      </c>
      <c r="O232" s="60" t="e">
        <f t="shared" si="97"/>
        <v>#VALUE!</v>
      </c>
      <c r="P232" s="60">
        <f t="shared" si="98"/>
        <v>4</v>
      </c>
      <c r="Q232" s="60" t="e">
        <f t="shared" si="99"/>
        <v>#VALUE!</v>
      </c>
      <c r="R232" s="60" t="e">
        <f t="shared" si="100"/>
        <v>#VALUE!</v>
      </c>
      <c r="S232" s="60" t="str">
        <f>IFERROR(VLOOKUP(MID(N232,Q232,R232-Q232),[6]skilldef!$C:$D,2,FALSE),"-") &amp; " / " &amp; IFERROR(VLOOKUP(MID(N232,O232,P232-O232),[6]skilldef!$A:$B,2,FALSE),"-")</f>
        <v>- / -</v>
      </c>
      <c r="T232" s="45" t="str">
        <f t="shared" si="101"/>
        <v>none</v>
      </c>
      <c r="U232" s="60" t="e">
        <f t="shared" si="102"/>
        <v>#VALUE!</v>
      </c>
      <c r="V232" s="60">
        <f t="shared" si="103"/>
        <v>4</v>
      </c>
      <c r="W232" s="60" t="e">
        <f t="shared" si="104"/>
        <v>#VALUE!</v>
      </c>
      <c r="X232" s="60" t="e">
        <f t="shared" si="105"/>
        <v>#VALUE!</v>
      </c>
      <c r="Y232" s="60" t="str">
        <f>IFERROR(VLOOKUP(MID(T232,W232,X232-W232),[6]skilldef!$C:$D,2,FALSE),"-") &amp; " / " &amp; IFERROR(VLOOKUP(MID(T232,U232,V232-U232),[6]skilldef!$A:$B,2,FALSE),"-")</f>
        <v>- / -</v>
      </c>
    </row>
    <row r="233" spans="1:25" ht="21" customHeight="1" x14ac:dyDescent="0.15">
      <c r="A233" s="44">
        <v>15031232</v>
      </c>
      <c r="B233" s="44" t="s">
        <v>229</v>
      </c>
      <c r="C233" s="47">
        <v>3</v>
      </c>
      <c r="D233" s="47" t="s">
        <v>127</v>
      </c>
      <c r="E233" s="44" t="s">
        <v>220</v>
      </c>
      <c r="F233" s="48" t="s">
        <v>230</v>
      </c>
      <c r="G233" s="60" t="str">
        <f t="shared" si="91"/>
        <v>[effect:nothing]</v>
      </c>
      <c r="H233" s="60">
        <f t="shared" si="92"/>
        <v>9</v>
      </c>
      <c r="I233" s="60">
        <f t="shared" si="93"/>
        <v>16</v>
      </c>
      <c r="J233" s="60" t="e">
        <f t="shared" si="94"/>
        <v>#VALUE!</v>
      </c>
      <c r="K233" s="60" t="e">
        <f t="shared" si="95"/>
        <v>#VALUE!</v>
      </c>
      <c r="L233" s="60" t="str">
        <f>IFERROR(VLOOKUP(MID(G233,J233,K233-J233),[6]skilldef!$C:$D,2,FALSE),"-") &amp; " / " &amp; IFERROR(VLOOKUP(MID(G233,H233,I233-H233),[6]skilldef!$A:$B,2,FALSE),"-")</f>
        <v>- / 何もしない</v>
      </c>
      <c r="M233" s="60" t="str">
        <f t="shared" si="96"/>
        <v>none</v>
      </c>
      <c r="N233" s="45" t="str">
        <f t="shared" si="106"/>
        <v>none</v>
      </c>
      <c r="O233" s="60" t="e">
        <f t="shared" si="97"/>
        <v>#VALUE!</v>
      </c>
      <c r="P233" s="60">
        <f t="shared" si="98"/>
        <v>4</v>
      </c>
      <c r="Q233" s="60" t="e">
        <f t="shared" si="99"/>
        <v>#VALUE!</v>
      </c>
      <c r="R233" s="60" t="e">
        <f t="shared" si="100"/>
        <v>#VALUE!</v>
      </c>
      <c r="S233" s="60" t="str">
        <f>IFERROR(VLOOKUP(MID(N233,Q233,R233-Q233),[6]skilldef!$C:$D,2,FALSE),"-") &amp; " / " &amp; IFERROR(VLOOKUP(MID(N233,O233,P233-O233),[6]skilldef!$A:$B,2,FALSE),"-")</f>
        <v>- / -</v>
      </c>
      <c r="T233" s="45" t="str">
        <f t="shared" si="101"/>
        <v>none</v>
      </c>
      <c r="U233" s="60" t="e">
        <f t="shared" si="102"/>
        <v>#VALUE!</v>
      </c>
      <c r="V233" s="60">
        <f t="shared" si="103"/>
        <v>4</v>
      </c>
      <c r="W233" s="60" t="e">
        <f t="shared" si="104"/>
        <v>#VALUE!</v>
      </c>
      <c r="X233" s="60" t="e">
        <f t="shared" si="105"/>
        <v>#VALUE!</v>
      </c>
      <c r="Y233" s="60" t="str">
        <f>IFERROR(VLOOKUP(MID(T233,W233,X233-W233),[6]skilldef!$C:$D,2,FALSE),"-") &amp; " / " &amp; IFERROR(VLOOKUP(MID(T233,U233,V233-U233),[6]skilldef!$A:$B,2,FALSE),"-")</f>
        <v>- / -</v>
      </c>
    </row>
    <row r="234" spans="1:25" ht="21" customHeight="1" x14ac:dyDescent="0.15">
      <c r="A234" s="44">
        <v>15031233</v>
      </c>
      <c r="B234" s="44" t="s">
        <v>229</v>
      </c>
      <c r="C234" s="47">
        <v>3</v>
      </c>
      <c r="D234" s="47" t="s">
        <v>127</v>
      </c>
      <c r="E234" s="44" t="s">
        <v>220</v>
      </c>
      <c r="F234" s="48" t="s">
        <v>230</v>
      </c>
      <c r="G234" s="60" t="str">
        <f t="shared" si="91"/>
        <v>[effect:nothing]</v>
      </c>
      <c r="H234" s="60">
        <f t="shared" si="92"/>
        <v>9</v>
      </c>
      <c r="I234" s="60">
        <f t="shared" si="93"/>
        <v>16</v>
      </c>
      <c r="J234" s="60" t="e">
        <f t="shared" si="94"/>
        <v>#VALUE!</v>
      </c>
      <c r="K234" s="60" t="e">
        <f t="shared" si="95"/>
        <v>#VALUE!</v>
      </c>
      <c r="L234" s="60" t="str">
        <f>IFERROR(VLOOKUP(MID(G234,J234,K234-J234),[6]skilldef!$C:$D,2,FALSE),"-") &amp; " / " &amp; IFERROR(VLOOKUP(MID(G234,H234,I234-H234),[6]skilldef!$A:$B,2,FALSE),"-")</f>
        <v>- / 何もしない</v>
      </c>
      <c r="M234" s="60" t="str">
        <f t="shared" si="96"/>
        <v>none</v>
      </c>
      <c r="N234" s="45" t="str">
        <f t="shared" si="106"/>
        <v>none</v>
      </c>
      <c r="O234" s="60" t="e">
        <f t="shared" si="97"/>
        <v>#VALUE!</v>
      </c>
      <c r="P234" s="60">
        <f t="shared" si="98"/>
        <v>4</v>
      </c>
      <c r="Q234" s="60" t="e">
        <f t="shared" si="99"/>
        <v>#VALUE!</v>
      </c>
      <c r="R234" s="60" t="e">
        <f t="shared" si="100"/>
        <v>#VALUE!</v>
      </c>
      <c r="S234" s="60" t="str">
        <f>IFERROR(VLOOKUP(MID(N234,Q234,R234-Q234),[6]skilldef!$C:$D,2,FALSE),"-") &amp; " / " &amp; IFERROR(VLOOKUP(MID(N234,O234,P234-O234),[6]skilldef!$A:$B,2,FALSE),"-")</f>
        <v>- / -</v>
      </c>
      <c r="T234" s="45" t="str">
        <f t="shared" si="101"/>
        <v>none</v>
      </c>
      <c r="U234" s="60" t="e">
        <f t="shared" si="102"/>
        <v>#VALUE!</v>
      </c>
      <c r="V234" s="60">
        <f t="shared" si="103"/>
        <v>4</v>
      </c>
      <c r="W234" s="60" t="e">
        <f t="shared" si="104"/>
        <v>#VALUE!</v>
      </c>
      <c r="X234" s="60" t="e">
        <f t="shared" si="105"/>
        <v>#VALUE!</v>
      </c>
      <c r="Y234" s="60" t="str">
        <f>IFERROR(VLOOKUP(MID(T234,W234,X234-W234),[6]skilldef!$C:$D,2,FALSE),"-") &amp; " / " &amp; IFERROR(VLOOKUP(MID(T234,U234,V234-U234),[6]skilldef!$A:$B,2,FALSE),"-")</f>
        <v>- / -</v>
      </c>
    </row>
    <row r="235" spans="1:25" ht="21" customHeight="1" x14ac:dyDescent="0.15">
      <c r="A235" s="44">
        <v>15031234</v>
      </c>
      <c r="B235" s="44" t="s">
        <v>229</v>
      </c>
      <c r="C235" s="47">
        <v>3</v>
      </c>
      <c r="D235" s="47" t="s">
        <v>127</v>
      </c>
      <c r="E235" s="44" t="s">
        <v>220</v>
      </c>
      <c r="F235" s="48" t="s">
        <v>230</v>
      </c>
      <c r="G235" s="60" t="str">
        <f t="shared" si="91"/>
        <v>[effect:nothing]</v>
      </c>
      <c r="H235" s="60">
        <f t="shared" si="92"/>
        <v>9</v>
      </c>
      <c r="I235" s="60">
        <f t="shared" si="93"/>
        <v>16</v>
      </c>
      <c r="J235" s="60" t="e">
        <f t="shared" si="94"/>
        <v>#VALUE!</v>
      </c>
      <c r="K235" s="60" t="e">
        <f t="shared" si="95"/>
        <v>#VALUE!</v>
      </c>
      <c r="L235" s="60" t="str">
        <f>IFERROR(VLOOKUP(MID(G235,J235,K235-J235),[6]skilldef!$C:$D,2,FALSE),"-") &amp; " / " &amp; IFERROR(VLOOKUP(MID(G235,H235,I235-H235),[6]skilldef!$A:$B,2,FALSE),"-")</f>
        <v>- / 何もしない</v>
      </c>
      <c r="M235" s="60" t="str">
        <f t="shared" si="96"/>
        <v>none</v>
      </c>
      <c r="N235" s="45" t="str">
        <f t="shared" si="106"/>
        <v>none</v>
      </c>
      <c r="O235" s="60" t="e">
        <f t="shared" si="97"/>
        <v>#VALUE!</v>
      </c>
      <c r="P235" s="60">
        <f t="shared" si="98"/>
        <v>4</v>
      </c>
      <c r="Q235" s="60" t="e">
        <f t="shared" si="99"/>
        <v>#VALUE!</v>
      </c>
      <c r="R235" s="60" t="e">
        <f t="shared" si="100"/>
        <v>#VALUE!</v>
      </c>
      <c r="S235" s="60" t="str">
        <f>IFERROR(VLOOKUP(MID(N235,Q235,R235-Q235),[6]skilldef!$C:$D,2,FALSE),"-") &amp; " / " &amp; IFERROR(VLOOKUP(MID(N235,O235,P235-O235),[6]skilldef!$A:$B,2,FALSE),"-")</f>
        <v>- / -</v>
      </c>
      <c r="T235" s="45" t="str">
        <f t="shared" si="101"/>
        <v>none</v>
      </c>
      <c r="U235" s="60" t="e">
        <f t="shared" si="102"/>
        <v>#VALUE!</v>
      </c>
      <c r="V235" s="60">
        <f t="shared" si="103"/>
        <v>4</v>
      </c>
      <c r="W235" s="60" t="e">
        <f t="shared" si="104"/>
        <v>#VALUE!</v>
      </c>
      <c r="X235" s="60" t="e">
        <f t="shared" si="105"/>
        <v>#VALUE!</v>
      </c>
      <c r="Y235" s="60" t="str">
        <f>IFERROR(VLOOKUP(MID(T235,W235,X235-W235),[6]skilldef!$C:$D,2,FALSE),"-") &amp; " / " &amp; IFERROR(VLOOKUP(MID(T235,U235,V235-U235),[6]skilldef!$A:$B,2,FALSE),"-")</f>
        <v>- / -</v>
      </c>
    </row>
    <row r="236" spans="1:25" ht="21" customHeight="1" x14ac:dyDescent="0.15">
      <c r="A236" s="44">
        <v>15031235</v>
      </c>
      <c r="B236" s="44" t="s">
        <v>229</v>
      </c>
      <c r="C236" s="47">
        <v>3</v>
      </c>
      <c r="D236" s="47" t="s">
        <v>127</v>
      </c>
      <c r="E236" s="44" t="s">
        <v>220</v>
      </c>
      <c r="F236" s="48" t="s">
        <v>230</v>
      </c>
      <c r="G236" s="60" t="str">
        <f t="shared" si="91"/>
        <v>[effect:nothing]</v>
      </c>
      <c r="H236" s="60">
        <f t="shared" si="92"/>
        <v>9</v>
      </c>
      <c r="I236" s="60">
        <f t="shared" si="93"/>
        <v>16</v>
      </c>
      <c r="J236" s="60" t="e">
        <f t="shared" si="94"/>
        <v>#VALUE!</v>
      </c>
      <c r="K236" s="60" t="e">
        <f t="shared" si="95"/>
        <v>#VALUE!</v>
      </c>
      <c r="L236" s="60" t="str">
        <f>IFERROR(VLOOKUP(MID(G236,J236,K236-J236),[6]skilldef!$C:$D,2,FALSE),"-") &amp; " / " &amp; IFERROR(VLOOKUP(MID(G236,H236,I236-H236),[6]skilldef!$A:$B,2,FALSE),"-")</f>
        <v>- / 何もしない</v>
      </c>
      <c r="M236" s="60" t="str">
        <f t="shared" si="96"/>
        <v>none</v>
      </c>
      <c r="N236" s="45" t="str">
        <f t="shared" si="106"/>
        <v>none</v>
      </c>
      <c r="O236" s="60" t="e">
        <f t="shared" si="97"/>
        <v>#VALUE!</v>
      </c>
      <c r="P236" s="60">
        <f t="shared" si="98"/>
        <v>4</v>
      </c>
      <c r="Q236" s="60" t="e">
        <f t="shared" si="99"/>
        <v>#VALUE!</v>
      </c>
      <c r="R236" s="60" t="e">
        <f t="shared" si="100"/>
        <v>#VALUE!</v>
      </c>
      <c r="S236" s="60" t="str">
        <f>IFERROR(VLOOKUP(MID(N236,Q236,R236-Q236),[6]skilldef!$C:$D,2,FALSE),"-") &amp; " / " &amp; IFERROR(VLOOKUP(MID(N236,O236,P236-O236),[6]skilldef!$A:$B,2,FALSE),"-")</f>
        <v>- / -</v>
      </c>
      <c r="T236" s="45" t="str">
        <f t="shared" si="101"/>
        <v>none</v>
      </c>
      <c r="U236" s="60" t="e">
        <f t="shared" si="102"/>
        <v>#VALUE!</v>
      </c>
      <c r="V236" s="60">
        <f t="shared" si="103"/>
        <v>4</v>
      </c>
      <c r="W236" s="60" t="e">
        <f t="shared" si="104"/>
        <v>#VALUE!</v>
      </c>
      <c r="X236" s="60" t="e">
        <f t="shared" si="105"/>
        <v>#VALUE!</v>
      </c>
      <c r="Y236" s="60" t="str">
        <f>IFERROR(VLOOKUP(MID(T236,W236,X236-W236),[6]skilldef!$C:$D,2,FALSE),"-") &amp; " / " &amp; IFERROR(VLOOKUP(MID(T236,U236,V236-U236),[6]skilldef!$A:$B,2,FALSE),"-")</f>
        <v>- / -</v>
      </c>
    </row>
    <row r="237" spans="1:25" ht="21" customHeight="1" x14ac:dyDescent="0.15">
      <c r="A237" s="44">
        <v>15031236</v>
      </c>
      <c r="B237" s="44" t="s">
        <v>229</v>
      </c>
      <c r="C237" s="47">
        <v>3</v>
      </c>
      <c r="D237" s="47" t="s">
        <v>127</v>
      </c>
      <c r="E237" s="140" t="s">
        <v>221</v>
      </c>
      <c r="F237" s="48" t="s">
        <v>230</v>
      </c>
      <c r="G237" s="60" t="str">
        <f t="shared" si="91"/>
        <v>[effect:nothing]</v>
      </c>
      <c r="H237" s="60">
        <f t="shared" si="92"/>
        <v>9</v>
      </c>
      <c r="I237" s="60">
        <f t="shared" si="93"/>
        <v>16</v>
      </c>
      <c r="J237" s="60" t="e">
        <f t="shared" si="94"/>
        <v>#VALUE!</v>
      </c>
      <c r="K237" s="60" t="e">
        <f t="shared" si="95"/>
        <v>#VALUE!</v>
      </c>
      <c r="L237" s="60" t="str">
        <f>IFERROR(VLOOKUP(MID(G237,J237,K237-J237),[6]skilldef!$C:$D,2,FALSE),"-") &amp; " / " &amp; IFERROR(VLOOKUP(MID(G237,H237,I237-H237),[6]skilldef!$A:$B,2,FALSE),"-")</f>
        <v>- / 何もしない</v>
      </c>
      <c r="M237" s="60" t="str">
        <f t="shared" si="96"/>
        <v>none</v>
      </c>
      <c r="N237" s="45" t="str">
        <f t="shared" si="106"/>
        <v>none</v>
      </c>
      <c r="O237" s="60" t="e">
        <f t="shared" si="97"/>
        <v>#VALUE!</v>
      </c>
      <c r="P237" s="60">
        <f t="shared" si="98"/>
        <v>4</v>
      </c>
      <c r="Q237" s="60" t="e">
        <f t="shared" si="99"/>
        <v>#VALUE!</v>
      </c>
      <c r="R237" s="60" t="e">
        <f t="shared" si="100"/>
        <v>#VALUE!</v>
      </c>
      <c r="S237" s="60" t="str">
        <f>IFERROR(VLOOKUP(MID(N237,Q237,R237-Q237),[6]skilldef!$C:$D,2,FALSE),"-") &amp; " / " &amp; IFERROR(VLOOKUP(MID(N237,O237,P237-O237),[6]skilldef!$A:$B,2,FALSE),"-")</f>
        <v>- / -</v>
      </c>
      <c r="T237" s="45" t="str">
        <f t="shared" si="101"/>
        <v>none</v>
      </c>
      <c r="U237" s="60" t="e">
        <f t="shared" si="102"/>
        <v>#VALUE!</v>
      </c>
      <c r="V237" s="60">
        <f t="shared" si="103"/>
        <v>4</v>
      </c>
      <c r="W237" s="60" t="e">
        <f t="shared" si="104"/>
        <v>#VALUE!</v>
      </c>
      <c r="X237" s="60" t="e">
        <f t="shared" si="105"/>
        <v>#VALUE!</v>
      </c>
      <c r="Y237" s="60" t="str">
        <f>IFERROR(VLOOKUP(MID(T237,W237,X237-W237),[6]skilldef!$C:$D,2,FALSE),"-") &amp; " / " &amp; IFERROR(VLOOKUP(MID(T237,U237,V237-U237),[6]skilldef!$A:$B,2,FALSE),"-")</f>
        <v>- / -</v>
      </c>
    </row>
    <row r="238" spans="1:25" ht="21" customHeight="1" x14ac:dyDescent="0.15">
      <c r="A238" s="44">
        <v>15031237</v>
      </c>
      <c r="B238" s="44" t="s">
        <v>229</v>
      </c>
      <c r="C238" s="47">
        <v>3</v>
      </c>
      <c r="D238" s="47" t="s">
        <v>127</v>
      </c>
      <c r="E238" s="44" t="s">
        <v>221</v>
      </c>
      <c r="F238" s="48" t="s">
        <v>230</v>
      </c>
      <c r="G238" s="60" t="str">
        <f t="shared" si="91"/>
        <v>[effect:nothing]</v>
      </c>
      <c r="H238" s="60">
        <f t="shared" si="92"/>
        <v>9</v>
      </c>
      <c r="I238" s="60">
        <f t="shared" si="93"/>
        <v>16</v>
      </c>
      <c r="J238" s="60" t="e">
        <f t="shared" si="94"/>
        <v>#VALUE!</v>
      </c>
      <c r="K238" s="60" t="e">
        <f t="shared" si="95"/>
        <v>#VALUE!</v>
      </c>
      <c r="L238" s="60" t="str">
        <f>IFERROR(VLOOKUP(MID(G238,J238,K238-J238),[6]skilldef!$C:$D,2,FALSE),"-") &amp; " / " &amp; IFERROR(VLOOKUP(MID(G238,H238,I238-H238),[6]skilldef!$A:$B,2,FALSE),"-")</f>
        <v>- / 何もしない</v>
      </c>
      <c r="M238" s="60" t="str">
        <f t="shared" si="96"/>
        <v>none</v>
      </c>
      <c r="N238" s="45" t="str">
        <f t="shared" si="106"/>
        <v>none</v>
      </c>
      <c r="O238" s="60" t="e">
        <f t="shared" si="97"/>
        <v>#VALUE!</v>
      </c>
      <c r="P238" s="60">
        <f t="shared" si="98"/>
        <v>4</v>
      </c>
      <c r="Q238" s="60" t="e">
        <f t="shared" si="99"/>
        <v>#VALUE!</v>
      </c>
      <c r="R238" s="60" t="e">
        <f t="shared" si="100"/>
        <v>#VALUE!</v>
      </c>
      <c r="S238" s="60" t="str">
        <f>IFERROR(VLOOKUP(MID(N238,Q238,R238-Q238),[6]skilldef!$C:$D,2,FALSE),"-") &amp; " / " &amp; IFERROR(VLOOKUP(MID(N238,O238,P238-O238),[6]skilldef!$A:$B,2,FALSE),"-")</f>
        <v>- / -</v>
      </c>
      <c r="T238" s="45" t="str">
        <f t="shared" si="101"/>
        <v>none</v>
      </c>
      <c r="U238" s="60" t="e">
        <f t="shared" si="102"/>
        <v>#VALUE!</v>
      </c>
      <c r="V238" s="60">
        <f t="shared" si="103"/>
        <v>4</v>
      </c>
      <c r="W238" s="60" t="e">
        <f t="shared" si="104"/>
        <v>#VALUE!</v>
      </c>
      <c r="X238" s="60" t="e">
        <f t="shared" si="105"/>
        <v>#VALUE!</v>
      </c>
      <c r="Y238" s="60" t="str">
        <f>IFERROR(VLOOKUP(MID(T238,W238,X238-W238),[6]skilldef!$C:$D,2,FALSE),"-") &amp; " / " &amp; IFERROR(VLOOKUP(MID(T238,U238,V238-U238),[6]skilldef!$A:$B,2,FALSE),"-")</f>
        <v>- / -</v>
      </c>
    </row>
    <row r="239" spans="1:25" ht="21" customHeight="1" x14ac:dyDescent="0.15">
      <c r="A239" s="44">
        <v>15031238</v>
      </c>
      <c r="B239" s="44" t="s">
        <v>229</v>
      </c>
      <c r="C239" s="47">
        <v>3</v>
      </c>
      <c r="D239" s="47" t="s">
        <v>127</v>
      </c>
      <c r="E239" s="44" t="s">
        <v>221</v>
      </c>
      <c r="F239" s="48" t="s">
        <v>230</v>
      </c>
      <c r="G239" s="60" t="str">
        <f t="shared" si="91"/>
        <v>[effect:nothing]</v>
      </c>
      <c r="H239" s="60">
        <f t="shared" si="92"/>
        <v>9</v>
      </c>
      <c r="I239" s="60">
        <f t="shared" si="93"/>
        <v>16</v>
      </c>
      <c r="J239" s="60" t="e">
        <f t="shared" si="94"/>
        <v>#VALUE!</v>
      </c>
      <c r="K239" s="60" t="e">
        <f t="shared" si="95"/>
        <v>#VALUE!</v>
      </c>
      <c r="L239" s="60" t="str">
        <f>IFERROR(VLOOKUP(MID(G239,J239,K239-J239),[6]skilldef!$C:$D,2,FALSE),"-") &amp; " / " &amp; IFERROR(VLOOKUP(MID(G239,H239,I239-H239),[6]skilldef!$A:$B,2,FALSE),"-")</f>
        <v>- / 何もしない</v>
      </c>
      <c r="M239" s="60" t="str">
        <f t="shared" si="96"/>
        <v>none</v>
      </c>
      <c r="N239" s="45" t="str">
        <f t="shared" si="106"/>
        <v>none</v>
      </c>
      <c r="O239" s="60" t="e">
        <f t="shared" si="97"/>
        <v>#VALUE!</v>
      </c>
      <c r="P239" s="60">
        <f t="shared" si="98"/>
        <v>4</v>
      </c>
      <c r="Q239" s="60" t="e">
        <f t="shared" si="99"/>
        <v>#VALUE!</v>
      </c>
      <c r="R239" s="60" t="e">
        <f t="shared" si="100"/>
        <v>#VALUE!</v>
      </c>
      <c r="S239" s="60" t="str">
        <f>IFERROR(VLOOKUP(MID(N239,Q239,R239-Q239),[6]skilldef!$C:$D,2,FALSE),"-") &amp; " / " &amp; IFERROR(VLOOKUP(MID(N239,O239,P239-O239),[6]skilldef!$A:$B,2,FALSE),"-")</f>
        <v>- / -</v>
      </c>
      <c r="T239" s="45" t="str">
        <f t="shared" si="101"/>
        <v>none</v>
      </c>
      <c r="U239" s="60" t="e">
        <f t="shared" si="102"/>
        <v>#VALUE!</v>
      </c>
      <c r="V239" s="60">
        <f t="shared" si="103"/>
        <v>4</v>
      </c>
      <c r="W239" s="60" t="e">
        <f t="shared" si="104"/>
        <v>#VALUE!</v>
      </c>
      <c r="X239" s="60" t="e">
        <f t="shared" si="105"/>
        <v>#VALUE!</v>
      </c>
      <c r="Y239" s="60" t="str">
        <f>IFERROR(VLOOKUP(MID(T239,W239,X239-W239),[6]skilldef!$C:$D,2,FALSE),"-") &amp; " / " &amp; IFERROR(VLOOKUP(MID(T239,U239,V239-U239),[6]skilldef!$A:$B,2,FALSE),"-")</f>
        <v>- / -</v>
      </c>
    </row>
    <row r="240" spans="1:25" ht="21" customHeight="1" x14ac:dyDescent="0.15">
      <c r="A240" s="44">
        <v>15031239</v>
      </c>
      <c r="B240" s="44" t="s">
        <v>229</v>
      </c>
      <c r="C240" s="47">
        <v>3</v>
      </c>
      <c r="D240" s="47" t="s">
        <v>127</v>
      </c>
      <c r="E240" s="44" t="s">
        <v>221</v>
      </c>
      <c r="F240" s="48" t="s">
        <v>230</v>
      </c>
      <c r="G240" s="60" t="str">
        <f t="shared" si="91"/>
        <v>[effect:nothing]</v>
      </c>
      <c r="H240" s="60">
        <f t="shared" si="92"/>
        <v>9</v>
      </c>
      <c r="I240" s="60">
        <f t="shared" si="93"/>
        <v>16</v>
      </c>
      <c r="J240" s="60" t="e">
        <f t="shared" si="94"/>
        <v>#VALUE!</v>
      </c>
      <c r="K240" s="60" t="e">
        <f t="shared" si="95"/>
        <v>#VALUE!</v>
      </c>
      <c r="L240" s="60" t="str">
        <f>IFERROR(VLOOKUP(MID(G240,J240,K240-J240),[6]skilldef!$C:$D,2,FALSE),"-") &amp; " / " &amp; IFERROR(VLOOKUP(MID(G240,H240,I240-H240),[6]skilldef!$A:$B,2,FALSE),"-")</f>
        <v>- / 何もしない</v>
      </c>
      <c r="M240" s="60" t="str">
        <f t="shared" si="96"/>
        <v>none</v>
      </c>
      <c r="N240" s="45" t="str">
        <f t="shared" si="106"/>
        <v>none</v>
      </c>
      <c r="O240" s="60" t="e">
        <f t="shared" si="97"/>
        <v>#VALUE!</v>
      </c>
      <c r="P240" s="60">
        <f t="shared" si="98"/>
        <v>4</v>
      </c>
      <c r="Q240" s="60" t="e">
        <f t="shared" si="99"/>
        <v>#VALUE!</v>
      </c>
      <c r="R240" s="60" t="e">
        <f t="shared" si="100"/>
        <v>#VALUE!</v>
      </c>
      <c r="S240" s="60" t="str">
        <f>IFERROR(VLOOKUP(MID(N240,Q240,R240-Q240),[6]skilldef!$C:$D,2,FALSE),"-") &amp; " / " &amp; IFERROR(VLOOKUP(MID(N240,O240,P240-O240),[6]skilldef!$A:$B,2,FALSE),"-")</f>
        <v>- / -</v>
      </c>
      <c r="T240" s="45" t="str">
        <f t="shared" si="101"/>
        <v>none</v>
      </c>
      <c r="U240" s="60" t="e">
        <f t="shared" si="102"/>
        <v>#VALUE!</v>
      </c>
      <c r="V240" s="60">
        <f t="shared" si="103"/>
        <v>4</v>
      </c>
      <c r="W240" s="60" t="e">
        <f t="shared" si="104"/>
        <v>#VALUE!</v>
      </c>
      <c r="X240" s="60" t="e">
        <f t="shared" si="105"/>
        <v>#VALUE!</v>
      </c>
      <c r="Y240" s="60" t="str">
        <f>IFERROR(VLOOKUP(MID(T240,W240,X240-W240),[6]skilldef!$C:$D,2,FALSE),"-") &amp; " / " &amp; IFERROR(VLOOKUP(MID(T240,U240,V240-U240),[6]skilldef!$A:$B,2,FALSE),"-")</f>
        <v>- / -</v>
      </c>
    </row>
    <row r="241" spans="1:25" ht="21" customHeight="1" x14ac:dyDescent="0.15">
      <c r="A241" s="44">
        <v>15031240</v>
      </c>
      <c r="B241" s="44" t="s">
        <v>229</v>
      </c>
      <c r="C241" s="47">
        <v>3</v>
      </c>
      <c r="D241" s="47" t="s">
        <v>127</v>
      </c>
      <c r="E241" s="44" t="s">
        <v>221</v>
      </c>
      <c r="F241" s="48" t="s">
        <v>230</v>
      </c>
      <c r="G241" s="60" t="str">
        <f t="shared" si="91"/>
        <v>[effect:nothing]</v>
      </c>
      <c r="H241" s="60">
        <f t="shared" si="92"/>
        <v>9</v>
      </c>
      <c r="I241" s="60">
        <f t="shared" si="93"/>
        <v>16</v>
      </c>
      <c r="J241" s="60" t="e">
        <f t="shared" si="94"/>
        <v>#VALUE!</v>
      </c>
      <c r="K241" s="60" t="e">
        <f t="shared" si="95"/>
        <v>#VALUE!</v>
      </c>
      <c r="L241" s="60" t="str">
        <f>IFERROR(VLOOKUP(MID(G241,J241,K241-J241),[6]skilldef!$C:$D,2,FALSE),"-") &amp; " / " &amp; IFERROR(VLOOKUP(MID(G241,H241,I241-H241),[6]skilldef!$A:$B,2,FALSE),"-")</f>
        <v>- / 何もしない</v>
      </c>
      <c r="M241" s="60" t="str">
        <f t="shared" si="96"/>
        <v>none</v>
      </c>
      <c r="N241" s="45" t="str">
        <f t="shared" si="106"/>
        <v>none</v>
      </c>
      <c r="O241" s="60" t="e">
        <f t="shared" si="97"/>
        <v>#VALUE!</v>
      </c>
      <c r="P241" s="60">
        <f t="shared" si="98"/>
        <v>4</v>
      </c>
      <c r="Q241" s="60" t="e">
        <f t="shared" si="99"/>
        <v>#VALUE!</v>
      </c>
      <c r="R241" s="60" t="e">
        <f t="shared" si="100"/>
        <v>#VALUE!</v>
      </c>
      <c r="S241" s="60" t="str">
        <f>IFERROR(VLOOKUP(MID(N241,Q241,R241-Q241),[6]skilldef!$C:$D,2,FALSE),"-") &amp; " / " &amp; IFERROR(VLOOKUP(MID(N241,O241,P241-O241),[6]skilldef!$A:$B,2,FALSE),"-")</f>
        <v>- / -</v>
      </c>
      <c r="T241" s="45" t="str">
        <f t="shared" si="101"/>
        <v>none</v>
      </c>
      <c r="U241" s="60" t="e">
        <f t="shared" si="102"/>
        <v>#VALUE!</v>
      </c>
      <c r="V241" s="60">
        <f t="shared" si="103"/>
        <v>4</v>
      </c>
      <c r="W241" s="60" t="e">
        <f t="shared" si="104"/>
        <v>#VALUE!</v>
      </c>
      <c r="X241" s="60" t="e">
        <f t="shared" si="105"/>
        <v>#VALUE!</v>
      </c>
      <c r="Y241" s="60" t="str">
        <f>IFERROR(VLOOKUP(MID(T241,W241,X241-W241),[6]skilldef!$C:$D,2,FALSE),"-") &amp; " / " &amp; IFERROR(VLOOKUP(MID(T241,U241,V241-U241),[6]skilldef!$A:$B,2,FALSE),"-")</f>
        <v>- / -</v>
      </c>
    </row>
    <row r="242" spans="1:25" ht="21" customHeight="1" x14ac:dyDescent="0.15">
      <c r="A242" s="44">
        <v>15031241</v>
      </c>
      <c r="B242" s="44" t="s">
        <v>229</v>
      </c>
      <c r="C242" s="47">
        <v>3</v>
      </c>
      <c r="D242" s="47" t="s">
        <v>127</v>
      </c>
      <c r="E242" s="140" t="s">
        <v>222</v>
      </c>
      <c r="F242" s="48" t="s">
        <v>230</v>
      </c>
      <c r="G242" s="60" t="str">
        <f t="shared" si="91"/>
        <v>[effect:nothing]</v>
      </c>
      <c r="H242" s="60">
        <f t="shared" si="92"/>
        <v>9</v>
      </c>
      <c r="I242" s="60">
        <f t="shared" si="93"/>
        <v>16</v>
      </c>
      <c r="J242" s="60" t="e">
        <f t="shared" si="94"/>
        <v>#VALUE!</v>
      </c>
      <c r="K242" s="60" t="e">
        <f t="shared" si="95"/>
        <v>#VALUE!</v>
      </c>
      <c r="L242" s="60" t="str">
        <f>IFERROR(VLOOKUP(MID(G242,J242,K242-J242),[6]skilldef!$C:$D,2,FALSE),"-") &amp; " / " &amp; IFERROR(VLOOKUP(MID(G242,H242,I242-H242),[6]skilldef!$A:$B,2,FALSE),"-")</f>
        <v>- / 何もしない</v>
      </c>
      <c r="M242" s="60" t="str">
        <f t="shared" si="96"/>
        <v>none</v>
      </c>
      <c r="N242" s="45" t="str">
        <f t="shared" si="106"/>
        <v>none</v>
      </c>
      <c r="O242" s="60" t="e">
        <f t="shared" si="97"/>
        <v>#VALUE!</v>
      </c>
      <c r="P242" s="60">
        <f t="shared" si="98"/>
        <v>4</v>
      </c>
      <c r="Q242" s="60" t="e">
        <f t="shared" si="99"/>
        <v>#VALUE!</v>
      </c>
      <c r="R242" s="60" t="e">
        <f t="shared" si="100"/>
        <v>#VALUE!</v>
      </c>
      <c r="S242" s="60" t="str">
        <f>IFERROR(VLOOKUP(MID(N242,Q242,R242-Q242),[6]skilldef!$C:$D,2,FALSE),"-") &amp; " / " &amp; IFERROR(VLOOKUP(MID(N242,O242,P242-O242),[6]skilldef!$A:$B,2,FALSE),"-")</f>
        <v>- / -</v>
      </c>
      <c r="T242" s="45" t="str">
        <f t="shared" si="101"/>
        <v>none</v>
      </c>
      <c r="U242" s="60" t="e">
        <f t="shared" si="102"/>
        <v>#VALUE!</v>
      </c>
      <c r="V242" s="60">
        <f t="shared" si="103"/>
        <v>4</v>
      </c>
      <c r="W242" s="60" t="e">
        <f t="shared" si="104"/>
        <v>#VALUE!</v>
      </c>
      <c r="X242" s="60" t="e">
        <f t="shared" si="105"/>
        <v>#VALUE!</v>
      </c>
      <c r="Y242" s="60" t="str">
        <f>IFERROR(VLOOKUP(MID(T242,W242,X242-W242),[6]skilldef!$C:$D,2,FALSE),"-") &amp; " / " &amp; IFERROR(VLOOKUP(MID(T242,U242,V242-U242),[6]skilldef!$A:$B,2,FALSE),"-")</f>
        <v>- / -</v>
      </c>
    </row>
    <row r="243" spans="1:25" ht="21" customHeight="1" x14ac:dyDescent="0.15">
      <c r="A243" s="44">
        <v>15031242</v>
      </c>
      <c r="B243" s="44" t="s">
        <v>229</v>
      </c>
      <c r="C243" s="47">
        <v>3</v>
      </c>
      <c r="D243" s="47" t="s">
        <v>127</v>
      </c>
      <c r="E243" s="44" t="s">
        <v>222</v>
      </c>
      <c r="F243" s="48" t="s">
        <v>230</v>
      </c>
      <c r="G243" s="60" t="str">
        <f t="shared" si="91"/>
        <v>[effect:nothing]</v>
      </c>
      <c r="H243" s="60">
        <f t="shared" si="92"/>
        <v>9</v>
      </c>
      <c r="I243" s="60">
        <f t="shared" si="93"/>
        <v>16</v>
      </c>
      <c r="J243" s="60" t="e">
        <f t="shared" si="94"/>
        <v>#VALUE!</v>
      </c>
      <c r="K243" s="60" t="e">
        <f t="shared" si="95"/>
        <v>#VALUE!</v>
      </c>
      <c r="L243" s="60" t="str">
        <f>IFERROR(VLOOKUP(MID(G243,J243,K243-J243),[6]skilldef!$C:$D,2,FALSE),"-") &amp; " / " &amp; IFERROR(VLOOKUP(MID(G243,H243,I243-H243),[6]skilldef!$A:$B,2,FALSE),"-")</f>
        <v>- / 何もしない</v>
      </c>
      <c r="M243" s="60" t="str">
        <f t="shared" si="96"/>
        <v>none</v>
      </c>
      <c r="N243" s="45" t="str">
        <f t="shared" si="106"/>
        <v>none</v>
      </c>
      <c r="O243" s="60" t="e">
        <f t="shared" si="97"/>
        <v>#VALUE!</v>
      </c>
      <c r="P243" s="60">
        <f t="shared" si="98"/>
        <v>4</v>
      </c>
      <c r="Q243" s="60" t="e">
        <f t="shared" si="99"/>
        <v>#VALUE!</v>
      </c>
      <c r="R243" s="60" t="e">
        <f t="shared" si="100"/>
        <v>#VALUE!</v>
      </c>
      <c r="S243" s="60" t="str">
        <f>IFERROR(VLOOKUP(MID(N243,Q243,R243-Q243),[6]skilldef!$C:$D,2,FALSE),"-") &amp; " / " &amp; IFERROR(VLOOKUP(MID(N243,O243,P243-O243),[6]skilldef!$A:$B,2,FALSE),"-")</f>
        <v>- / -</v>
      </c>
      <c r="T243" s="45" t="str">
        <f t="shared" si="101"/>
        <v>none</v>
      </c>
      <c r="U243" s="60" t="e">
        <f t="shared" si="102"/>
        <v>#VALUE!</v>
      </c>
      <c r="V243" s="60">
        <f t="shared" si="103"/>
        <v>4</v>
      </c>
      <c r="W243" s="60" t="e">
        <f t="shared" si="104"/>
        <v>#VALUE!</v>
      </c>
      <c r="X243" s="60" t="e">
        <f t="shared" si="105"/>
        <v>#VALUE!</v>
      </c>
      <c r="Y243" s="60" t="str">
        <f>IFERROR(VLOOKUP(MID(T243,W243,X243-W243),[6]skilldef!$C:$D,2,FALSE),"-") &amp; " / " &amp; IFERROR(VLOOKUP(MID(T243,U243,V243-U243),[6]skilldef!$A:$B,2,FALSE),"-")</f>
        <v>- / -</v>
      </c>
    </row>
    <row r="244" spans="1:25" ht="21" customHeight="1" x14ac:dyDescent="0.15">
      <c r="A244" s="44">
        <v>15031243</v>
      </c>
      <c r="B244" s="44" t="s">
        <v>229</v>
      </c>
      <c r="C244" s="47">
        <v>3</v>
      </c>
      <c r="D244" s="47" t="s">
        <v>127</v>
      </c>
      <c r="E244" s="44" t="s">
        <v>222</v>
      </c>
      <c r="F244" s="48" t="s">
        <v>230</v>
      </c>
      <c r="G244" s="60" t="str">
        <f t="shared" si="91"/>
        <v>[effect:nothing]</v>
      </c>
      <c r="H244" s="60">
        <f t="shared" si="92"/>
        <v>9</v>
      </c>
      <c r="I244" s="60">
        <f t="shared" si="93"/>
        <v>16</v>
      </c>
      <c r="J244" s="60" t="e">
        <f t="shared" si="94"/>
        <v>#VALUE!</v>
      </c>
      <c r="K244" s="60" t="e">
        <f t="shared" si="95"/>
        <v>#VALUE!</v>
      </c>
      <c r="L244" s="60" t="str">
        <f>IFERROR(VLOOKUP(MID(G244,J244,K244-J244),[6]skilldef!$C:$D,2,FALSE),"-") &amp; " / " &amp; IFERROR(VLOOKUP(MID(G244,H244,I244-H244),[6]skilldef!$A:$B,2,FALSE),"-")</f>
        <v>- / 何もしない</v>
      </c>
      <c r="M244" s="60" t="str">
        <f t="shared" si="96"/>
        <v>none</v>
      </c>
      <c r="N244" s="45" t="str">
        <f t="shared" si="106"/>
        <v>none</v>
      </c>
      <c r="O244" s="60" t="e">
        <f t="shared" si="97"/>
        <v>#VALUE!</v>
      </c>
      <c r="P244" s="60">
        <f t="shared" si="98"/>
        <v>4</v>
      </c>
      <c r="Q244" s="60" t="e">
        <f t="shared" si="99"/>
        <v>#VALUE!</v>
      </c>
      <c r="R244" s="60" t="e">
        <f t="shared" si="100"/>
        <v>#VALUE!</v>
      </c>
      <c r="S244" s="60" t="str">
        <f>IFERROR(VLOOKUP(MID(N244,Q244,R244-Q244),[6]skilldef!$C:$D,2,FALSE),"-") &amp; " / " &amp; IFERROR(VLOOKUP(MID(N244,O244,P244-O244),[6]skilldef!$A:$B,2,FALSE),"-")</f>
        <v>- / -</v>
      </c>
      <c r="T244" s="45" t="str">
        <f t="shared" si="101"/>
        <v>none</v>
      </c>
      <c r="U244" s="60" t="e">
        <f t="shared" si="102"/>
        <v>#VALUE!</v>
      </c>
      <c r="V244" s="60">
        <f t="shared" si="103"/>
        <v>4</v>
      </c>
      <c r="W244" s="60" t="e">
        <f t="shared" si="104"/>
        <v>#VALUE!</v>
      </c>
      <c r="X244" s="60" t="e">
        <f t="shared" si="105"/>
        <v>#VALUE!</v>
      </c>
      <c r="Y244" s="60" t="str">
        <f>IFERROR(VLOOKUP(MID(T244,W244,X244-W244),[6]skilldef!$C:$D,2,FALSE),"-") &amp; " / " &amp; IFERROR(VLOOKUP(MID(T244,U244,V244-U244),[6]skilldef!$A:$B,2,FALSE),"-")</f>
        <v>- / -</v>
      </c>
    </row>
    <row r="245" spans="1:25" ht="21" customHeight="1" x14ac:dyDescent="0.15">
      <c r="A245" s="44">
        <v>15031244</v>
      </c>
      <c r="B245" s="44" t="s">
        <v>229</v>
      </c>
      <c r="C245" s="47">
        <v>3</v>
      </c>
      <c r="D245" s="47" t="s">
        <v>127</v>
      </c>
      <c r="E245" s="44" t="s">
        <v>222</v>
      </c>
      <c r="F245" s="48" t="s">
        <v>230</v>
      </c>
      <c r="G245" s="60" t="str">
        <f t="shared" si="91"/>
        <v>[effect:nothing]</v>
      </c>
      <c r="H245" s="60">
        <f t="shared" si="92"/>
        <v>9</v>
      </c>
      <c r="I245" s="60">
        <f t="shared" si="93"/>
        <v>16</v>
      </c>
      <c r="J245" s="60" t="e">
        <f t="shared" si="94"/>
        <v>#VALUE!</v>
      </c>
      <c r="K245" s="60" t="e">
        <f t="shared" si="95"/>
        <v>#VALUE!</v>
      </c>
      <c r="L245" s="60" t="str">
        <f>IFERROR(VLOOKUP(MID(G245,J245,K245-J245),[6]skilldef!$C:$D,2,FALSE),"-") &amp; " / " &amp; IFERROR(VLOOKUP(MID(G245,H245,I245-H245),[6]skilldef!$A:$B,2,FALSE),"-")</f>
        <v>- / 何もしない</v>
      </c>
      <c r="M245" s="60" t="str">
        <f t="shared" si="96"/>
        <v>none</v>
      </c>
      <c r="N245" s="45" t="str">
        <f t="shared" si="106"/>
        <v>none</v>
      </c>
      <c r="O245" s="60" t="e">
        <f t="shared" si="97"/>
        <v>#VALUE!</v>
      </c>
      <c r="P245" s="60">
        <f t="shared" si="98"/>
        <v>4</v>
      </c>
      <c r="Q245" s="60" t="e">
        <f t="shared" si="99"/>
        <v>#VALUE!</v>
      </c>
      <c r="R245" s="60" t="e">
        <f t="shared" si="100"/>
        <v>#VALUE!</v>
      </c>
      <c r="S245" s="60" t="str">
        <f>IFERROR(VLOOKUP(MID(N245,Q245,R245-Q245),[6]skilldef!$C:$D,2,FALSE),"-") &amp; " / " &amp; IFERROR(VLOOKUP(MID(N245,O245,P245-O245),[6]skilldef!$A:$B,2,FALSE),"-")</f>
        <v>- / -</v>
      </c>
      <c r="T245" s="45" t="str">
        <f t="shared" si="101"/>
        <v>none</v>
      </c>
      <c r="U245" s="60" t="e">
        <f t="shared" si="102"/>
        <v>#VALUE!</v>
      </c>
      <c r="V245" s="60">
        <f t="shared" si="103"/>
        <v>4</v>
      </c>
      <c r="W245" s="60" t="e">
        <f t="shared" si="104"/>
        <v>#VALUE!</v>
      </c>
      <c r="X245" s="60" t="e">
        <f t="shared" si="105"/>
        <v>#VALUE!</v>
      </c>
      <c r="Y245" s="60" t="str">
        <f>IFERROR(VLOOKUP(MID(T245,W245,X245-W245),[6]skilldef!$C:$D,2,FALSE),"-") &amp; " / " &amp; IFERROR(VLOOKUP(MID(T245,U245,V245-U245),[6]skilldef!$A:$B,2,FALSE),"-")</f>
        <v>- / -</v>
      </c>
    </row>
    <row r="246" spans="1:25" ht="21" customHeight="1" x14ac:dyDescent="0.15">
      <c r="A246" s="44">
        <v>15031245</v>
      </c>
      <c r="B246" s="44" t="s">
        <v>229</v>
      </c>
      <c r="C246" s="47">
        <v>3</v>
      </c>
      <c r="D246" s="47" t="s">
        <v>127</v>
      </c>
      <c r="E246" s="44" t="s">
        <v>222</v>
      </c>
      <c r="F246" s="48" t="s">
        <v>230</v>
      </c>
      <c r="G246" s="60" t="str">
        <f t="shared" si="91"/>
        <v>[effect:nothing]</v>
      </c>
      <c r="H246" s="60">
        <f t="shared" si="92"/>
        <v>9</v>
      </c>
      <c r="I246" s="60">
        <f t="shared" si="93"/>
        <v>16</v>
      </c>
      <c r="J246" s="60" t="e">
        <f t="shared" si="94"/>
        <v>#VALUE!</v>
      </c>
      <c r="K246" s="60" t="e">
        <f t="shared" si="95"/>
        <v>#VALUE!</v>
      </c>
      <c r="L246" s="60" t="str">
        <f>IFERROR(VLOOKUP(MID(G246,J246,K246-J246),[6]skilldef!$C:$D,2,FALSE),"-") &amp; " / " &amp; IFERROR(VLOOKUP(MID(G246,H246,I246-H246),[6]skilldef!$A:$B,2,FALSE),"-")</f>
        <v>- / 何もしない</v>
      </c>
      <c r="M246" s="60" t="str">
        <f t="shared" si="96"/>
        <v>none</v>
      </c>
      <c r="N246" s="45" t="str">
        <f t="shared" si="106"/>
        <v>none</v>
      </c>
      <c r="O246" s="60" t="e">
        <f t="shared" si="97"/>
        <v>#VALUE!</v>
      </c>
      <c r="P246" s="60">
        <f t="shared" si="98"/>
        <v>4</v>
      </c>
      <c r="Q246" s="60" t="e">
        <f t="shared" si="99"/>
        <v>#VALUE!</v>
      </c>
      <c r="R246" s="60" t="e">
        <f t="shared" si="100"/>
        <v>#VALUE!</v>
      </c>
      <c r="S246" s="60" t="str">
        <f>IFERROR(VLOOKUP(MID(N246,Q246,R246-Q246),[6]skilldef!$C:$D,2,FALSE),"-") &amp; " / " &amp; IFERROR(VLOOKUP(MID(N246,O246,P246-O246),[6]skilldef!$A:$B,2,FALSE),"-")</f>
        <v>- / -</v>
      </c>
      <c r="T246" s="45" t="str">
        <f t="shared" si="101"/>
        <v>none</v>
      </c>
      <c r="U246" s="60" t="e">
        <f t="shared" si="102"/>
        <v>#VALUE!</v>
      </c>
      <c r="V246" s="60">
        <f t="shared" si="103"/>
        <v>4</v>
      </c>
      <c r="W246" s="60" t="e">
        <f t="shared" si="104"/>
        <v>#VALUE!</v>
      </c>
      <c r="X246" s="60" t="e">
        <f t="shared" si="105"/>
        <v>#VALUE!</v>
      </c>
      <c r="Y246" s="60" t="str">
        <f>IFERROR(VLOOKUP(MID(T246,W246,X246-W246),[6]skilldef!$C:$D,2,FALSE),"-") &amp; " / " &amp; IFERROR(VLOOKUP(MID(T246,U246,V246-U246),[6]skilldef!$A:$B,2,FALSE),"-")</f>
        <v>- / -</v>
      </c>
    </row>
    <row r="247" spans="1:25" ht="21" customHeight="1" x14ac:dyDescent="0.15">
      <c r="A247" s="44">
        <v>15031246</v>
      </c>
      <c r="B247" s="44" t="s">
        <v>229</v>
      </c>
      <c r="C247" s="47">
        <v>3</v>
      </c>
      <c r="D247" s="47" t="s">
        <v>127</v>
      </c>
      <c r="E247" s="140" t="s">
        <v>223</v>
      </c>
      <c r="F247" s="48" t="s">
        <v>230</v>
      </c>
      <c r="G247" s="60" t="str">
        <f t="shared" si="91"/>
        <v>[effect:nothing]</v>
      </c>
      <c r="H247" s="60">
        <f t="shared" si="92"/>
        <v>9</v>
      </c>
      <c r="I247" s="60">
        <f t="shared" si="93"/>
        <v>16</v>
      </c>
      <c r="J247" s="60" t="e">
        <f t="shared" si="94"/>
        <v>#VALUE!</v>
      </c>
      <c r="K247" s="60" t="e">
        <f t="shared" si="95"/>
        <v>#VALUE!</v>
      </c>
      <c r="L247" s="60" t="str">
        <f>IFERROR(VLOOKUP(MID(G247,J247,K247-J247),[6]skilldef!$C:$D,2,FALSE),"-") &amp; " / " &amp; IFERROR(VLOOKUP(MID(G247,H247,I247-H247),[6]skilldef!$A:$B,2,FALSE),"-")</f>
        <v>- / 何もしない</v>
      </c>
      <c r="M247" s="60" t="str">
        <f t="shared" si="96"/>
        <v>none</v>
      </c>
      <c r="N247" s="45" t="str">
        <f t="shared" si="106"/>
        <v>none</v>
      </c>
      <c r="O247" s="60" t="e">
        <f t="shared" si="97"/>
        <v>#VALUE!</v>
      </c>
      <c r="P247" s="60">
        <f t="shared" si="98"/>
        <v>4</v>
      </c>
      <c r="Q247" s="60" t="e">
        <f t="shared" si="99"/>
        <v>#VALUE!</v>
      </c>
      <c r="R247" s="60" t="e">
        <f t="shared" si="100"/>
        <v>#VALUE!</v>
      </c>
      <c r="S247" s="60" t="str">
        <f>IFERROR(VLOOKUP(MID(N247,Q247,R247-Q247),[6]skilldef!$C:$D,2,FALSE),"-") &amp; " / " &amp; IFERROR(VLOOKUP(MID(N247,O247,P247-O247),[6]skilldef!$A:$B,2,FALSE),"-")</f>
        <v>- / -</v>
      </c>
      <c r="T247" s="45" t="str">
        <f t="shared" si="101"/>
        <v>none</v>
      </c>
      <c r="U247" s="60" t="e">
        <f t="shared" si="102"/>
        <v>#VALUE!</v>
      </c>
      <c r="V247" s="60">
        <f t="shared" si="103"/>
        <v>4</v>
      </c>
      <c r="W247" s="60" t="e">
        <f t="shared" si="104"/>
        <v>#VALUE!</v>
      </c>
      <c r="X247" s="60" t="e">
        <f t="shared" si="105"/>
        <v>#VALUE!</v>
      </c>
      <c r="Y247" s="60" t="str">
        <f>IFERROR(VLOOKUP(MID(T247,W247,X247-W247),[6]skilldef!$C:$D,2,FALSE),"-") &amp; " / " &amp; IFERROR(VLOOKUP(MID(T247,U247,V247-U247),[6]skilldef!$A:$B,2,FALSE),"-")</f>
        <v>- / -</v>
      </c>
    </row>
    <row r="248" spans="1:25" ht="21" customHeight="1" x14ac:dyDescent="0.15">
      <c r="A248" s="44">
        <v>15031247</v>
      </c>
      <c r="B248" s="44" t="s">
        <v>229</v>
      </c>
      <c r="C248" s="47">
        <v>3</v>
      </c>
      <c r="D248" s="47" t="s">
        <v>127</v>
      </c>
      <c r="E248" s="44" t="s">
        <v>223</v>
      </c>
      <c r="F248" s="48" t="s">
        <v>230</v>
      </c>
      <c r="G248" s="60" t="str">
        <f t="shared" si="91"/>
        <v>[effect:nothing]</v>
      </c>
      <c r="H248" s="60">
        <f t="shared" si="92"/>
        <v>9</v>
      </c>
      <c r="I248" s="60">
        <f t="shared" si="93"/>
        <v>16</v>
      </c>
      <c r="J248" s="60" t="e">
        <f t="shared" si="94"/>
        <v>#VALUE!</v>
      </c>
      <c r="K248" s="60" t="e">
        <f t="shared" si="95"/>
        <v>#VALUE!</v>
      </c>
      <c r="L248" s="60" t="str">
        <f>IFERROR(VLOOKUP(MID(G248,J248,K248-J248),[6]skilldef!$C:$D,2,FALSE),"-") &amp; " / " &amp; IFERROR(VLOOKUP(MID(G248,H248,I248-H248),[6]skilldef!$A:$B,2,FALSE),"-")</f>
        <v>- / 何もしない</v>
      </c>
      <c r="M248" s="60" t="str">
        <f t="shared" si="96"/>
        <v>none</v>
      </c>
      <c r="N248" s="45" t="str">
        <f t="shared" si="106"/>
        <v>none</v>
      </c>
      <c r="O248" s="60" t="e">
        <f t="shared" si="97"/>
        <v>#VALUE!</v>
      </c>
      <c r="P248" s="60">
        <f t="shared" si="98"/>
        <v>4</v>
      </c>
      <c r="Q248" s="60" t="e">
        <f t="shared" si="99"/>
        <v>#VALUE!</v>
      </c>
      <c r="R248" s="60" t="e">
        <f t="shared" si="100"/>
        <v>#VALUE!</v>
      </c>
      <c r="S248" s="60" t="str">
        <f>IFERROR(VLOOKUP(MID(N248,Q248,R248-Q248),[6]skilldef!$C:$D,2,FALSE),"-") &amp; " / " &amp; IFERROR(VLOOKUP(MID(N248,O248,P248-O248),[6]skilldef!$A:$B,2,FALSE),"-")</f>
        <v>- / -</v>
      </c>
      <c r="T248" s="45" t="str">
        <f t="shared" si="101"/>
        <v>none</v>
      </c>
      <c r="U248" s="60" t="e">
        <f t="shared" si="102"/>
        <v>#VALUE!</v>
      </c>
      <c r="V248" s="60">
        <f t="shared" si="103"/>
        <v>4</v>
      </c>
      <c r="W248" s="60" t="e">
        <f t="shared" si="104"/>
        <v>#VALUE!</v>
      </c>
      <c r="X248" s="60" t="e">
        <f t="shared" si="105"/>
        <v>#VALUE!</v>
      </c>
      <c r="Y248" s="60" t="str">
        <f>IFERROR(VLOOKUP(MID(T248,W248,X248-W248),[6]skilldef!$C:$D,2,FALSE),"-") &amp; " / " &amp; IFERROR(VLOOKUP(MID(T248,U248,V248-U248),[6]skilldef!$A:$B,2,FALSE),"-")</f>
        <v>- / -</v>
      </c>
    </row>
    <row r="249" spans="1:25" ht="21" customHeight="1" x14ac:dyDescent="0.15">
      <c r="A249" s="44">
        <v>15031248</v>
      </c>
      <c r="B249" s="44" t="s">
        <v>229</v>
      </c>
      <c r="C249" s="47">
        <v>3</v>
      </c>
      <c r="D249" s="47" t="s">
        <v>127</v>
      </c>
      <c r="E249" s="44" t="s">
        <v>223</v>
      </c>
      <c r="F249" s="48" t="s">
        <v>230</v>
      </c>
      <c r="G249" s="60" t="str">
        <f t="shared" si="91"/>
        <v>[effect:nothing]</v>
      </c>
      <c r="H249" s="60">
        <f t="shared" si="92"/>
        <v>9</v>
      </c>
      <c r="I249" s="60">
        <f t="shared" si="93"/>
        <v>16</v>
      </c>
      <c r="J249" s="60" t="e">
        <f t="shared" si="94"/>
        <v>#VALUE!</v>
      </c>
      <c r="K249" s="60" t="e">
        <f t="shared" si="95"/>
        <v>#VALUE!</v>
      </c>
      <c r="L249" s="60" t="str">
        <f>IFERROR(VLOOKUP(MID(G249,J249,K249-J249),[6]skilldef!$C:$D,2,FALSE),"-") &amp; " / " &amp; IFERROR(VLOOKUP(MID(G249,H249,I249-H249),[6]skilldef!$A:$B,2,FALSE),"-")</f>
        <v>- / 何もしない</v>
      </c>
      <c r="M249" s="60" t="str">
        <f t="shared" si="96"/>
        <v>none</v>
      </c>
      <c r="N249" s="45" t="str">
        <f t="shared" si="106"/>
        <v>none</v>
      </c>
      <c r="O249" s="60" t="e">
        <f t="shared" si="97"/>
        <v>#VALUE!</v>
      </c>
      <c r="P249" s="60">
        <f t="shared" si="98"/>
        <v>4</v>
      </c>
      <c r="Q249" s="60" t="e">
        <f t="shared" si="99"/>
        <v>#VALUE!</v>
      </c>
      <c r="R249" s="60" t="e">
        <f t="shared" si="100"/>
        <v>#VALUE!</v>
      </c>
      <c r="S249" s="60" t="str">
        <f>IFERROR(VLOOKUP(MID(N249,Q249,R249-Q249),[6]skilldef!$C:$D,2,FALSE),"-") &amp; " / " &amp; IFERROR(VLOOKUP(MID(N249,O249,P249-O249),[6]skilldef!$A:$B,2,FALSE),"-")</f>
        <v>- / -</v>
      </c>
      <c r="T249" s="45" t="str">
        <f t="shared" si="101"/>
        <v>none</v>
      </c>
      <c r="U249" s="60" t="e">
        <f t="shared" si="102"/>
        <v>#VALUE!</v>
      </c>
      <c r="V249" s="60">
        <f t="shared" si="103"/>
        <v>4</v>
      </c>
      <c r="W249" s="60" t="e">
        <f t="shared" si="104"/>
        <v>#VALUE!</v>
      </c>
      <c r="X249" s="60" t="e">
        <f t="shared" si="105"/>
        <v>#VALUE!</v>
      </c>
      <c r="Y249" s="60" t="str">
        <f>IFERROR(VLOOKUP(MID(T249,W249,X249-W249),[6]skilldef!$C:$D,2,FALSE),"-") &amp; " / " &amp; IFERROR(VLOOKUP(MID(T249,U249,V249-U249),[6]skilldef!$A:$B,2,FALSE),"-")</f>
        <v>- / -</v>
      </c>
    </row>
    <row r="250" spans="1:25" ht="21" customHeight="1" x14ac:dyDescent="0.15">
      <c r="A250" s="44">
        <v>15031249</v>
      </c>
      <c r="B250" s="44" t="s">
        <v>229</v>
      </c>
      <c r="C250" s="47">
        <v>3</v>
      </c>
      <c r="D250" s="47" t="s">
        <v>127</v>
      </c>
      <c r="E250" s="44" t="s">
        <v>223</v>
      </c>
      <c r="F250" s="48" t="s">
        <v>230</v>
      </c>
      <c r="G250" s="60" t="str">
        <f t="shared" si="91"/>
        <v>[effect:nothing]</v>
      </c>
      <c r="H250" s="60">
        <f t="shared" si="92"/>
        <v>9</v>
      </c>
      <c r="I250" s="60">
        <f t="shared" si="93"/>
        <v>16</v>
      </c>
      <c r="J250" s="60" t="e">
        <f t="shared" si="94"/>
        <v>#VALUE!</v>
      </c>
      <c r="K250" s="60" t="e">
        <f t="shared" si="95"/>
        <v>#VALUE!</v>
      </c>
      <c r="L250" s="60" t="str">
        <f>IFERROR(VLOOKUP(MID(G250,J250,K250-J250),[6]skilldef!$C:$D,2,FALSE),"-") &amp; " / " &amp; IFERROR(VLOOKUP(MID(G250,H250,I250-H250),[6]skilldef!$A:$B,2,FALSE),"-")</f>
        <v>- / 何もしない</v>
      </c>
      <c r="M250" s="60" t="str">
        <f t="shared" si="96"/>
        <v>none</v>
      </c>
      <c r="N250" s="45" t="str">
        <f t="shared" si="106"/>
        <v>none</v>
      </c>
      <c r="O250" s="60" t="e">
        <f t="shared" si="97"/>
        <v>#VALUE!</v>
      </c>
      <c r="P250" s="60">
        <f t="shared" si="98"/>
        <v>4</v>
      </c>
      <c r="Q250" s="60" t="e">
        <f t="shared" si="99"/>
        <v>#VALUE!</v>
      </c>
      <c r="R250" s="60" t="e">
        <f t="shared" si="100"/>
        <v>#VALUE!</v>
      </c>
      <c r="S250" s="60" t="str">
        <f>IFERROR(VLOOKUP(MID(N250,Q250,R250-Q250),[6]skilldef!$C:$D,2,FALSE),"-") &amp; " / " &amp; IFERROR(VLOOKUP(MID(N250,O250,P250-O250),[6]skilldef!$A:$B,2,FALSE),"-")</f>
        <v>- / -</v>
      </c>
      <c r="T250" s="45" t="str">
        <f t="shared" si="101"/>
        <v>none</v>
      </c>
      <c r="U250" s="60" t="e">
        <f t="shared" si="102"/>
        <v>#VALUE!</v>
      </c>
      <c r="V250" s="60">
        <f t="shared" si="103"/>
        <v>4</v>
      </c>
      <c r="W250" s="60" t="e">
        <f t="shared" si="104"/>
        <v>#VALUE!</v>
      </c>
      <c r="X250" s="60" t="e">
        <f t="shared" si="105"/>
        <v>#VALUE!</v>
      </c>
      <c r="Y250" s="60" t="str">
        <f>IFERROR(VLOOKUP(MID(T250,W250,X250-W250),[6]skilldef!$C:$D,2,FALSE),"-") &amp; " / " &amp; IFERROR(VLOOKUP(MID(T250,U250,V250-U250),[6]skilldef!$A:$B,2,FALSE),"-")</f>
        <v>- / -</v>
      </c>
    </row>
    <row r="251" spans="1:25" ht="21" customHeight="1" x14ac:dyDescent="0.15">
      <c r="A251" s="44">
        <v>15031250</v>
      </c>
      <c r="B251" s="44" t="s">
        <v>229</v>
      </c>
      <c r="C251" s="47">
        <v>3</v>
      </c>
      <c r="D251" s="47" t="s">
        <v>127</v>
      </c>
      <c r="E251" s="44" t="s">
        <v>223</v>
      </c>
      <c r="F251" s="48" t="s">
        <v>230</v>
      </c>
      <c r="G251" s="60" t="str">
        <f t="shared" si="91"/>
        <v>[effect:nothing]</v>
      </c>
      <c r="H251" s="60">
        <f t="shared" si="92"/>
        <v>9</v>
      </c>
      <c r="I251" s="60">
        <f t="shared" si="93"/>
        <v>16</v>
      </c>
      <c r="J251" s="60" t="e">
        <f t="shared" si="94"/>
        <v>#VALUE!</v>
      </c>
      <c r="K251" s="60" t="e">
        <f t="shared" si="95"/>
        <v>#VALUE!</v>
      </c>
      <c r="L251" s="60" t="str">
        <f>IFERROR(VLOOKUP(MID(G251,J251,K251-J251),[6]skilldef!$C:$D,2,FALSE),"-") &amp; " / " &amp; IFERROR(VLOOKUP(MID(G251,H251,I251-H251),[6]skilldef!$A:$B,2,FALSE),"-")</f>
        <v>- / 何もしない</v>
      </c>
      <c r="M251" s="60" t="str">
        <f t="shared" si="96"/>
        <v>none</v>
      </c>
      <c r="N251" s="45" t="str">
        <f t="shared" si="106"/>
        <v>none</v>
      </c>
      <c r="O251" s="60" t="e">
        <f t="shared" si="97"/>
        <v>#VALUE!</v>
      </c>
      <c r="P251" s="60">
        <f t="shared" si="98"/>
        <v>4</v>
      </c>
      <c r="Q251" s="60" t="e">
        <f t="shared" si="99"/>
        <v>#VALUE!</v>
      </c>
      <c r="R251" s="60" t="e">
        <f t="shared" si="100"/>
        <v>#VALUE!</v>
      </c>
      <c r="S251" s="60" t="str">
        <f>IFERROR(VLOOKUP(MID(N251,Q251,R251-Q251),[6]skilldef!$C:$D,2,FALSE),"-") &amp; " / " &amp; IFERROR(VLOOKUP(MID(N251,O251,P251-O251),[6]skilldef!$A:$B,2,FALSE),"-")</f>
        <v>- / -</v>
      </c>
      <c r="T251" s="45" t="str">
        <f t="shared" si="101"/>
        <v>none</v>
      </c>
      <c r="U251" s="60" t="e">
        <f t="shared" si="102"/>
        <v>#VALUE!</v>
      </c>
      <c r="V251" s="60">
        <f t="shared" si="103"/>
        <v>4</v>
      </c>
      <c r="W251" s="60" t="e">
        <f t="shared" si="104"/>
        <v>#VALUE!</v>
      </c>
      <c r="X251" s="60" t="e">
        <f t="shared" si="105"/>
        <v>#VALUE!</v>
      </c>
      <c r="Y251" s="60" t="str">
        <f>IFERROR(VLOOKUP(MID(T251,W251,X251-W251),[6]skilldef!$C:$D,2,FALSE),"-") &amp; " / " &amp; IFERROR(VLOOKUP(MID(T251,U251,V251-U251),[6]skilldef!$A:$B,2,FALSE),"-")</f>
        <v>- / -</v>
      </c>
    </row>
    <row r="252" spans="1:25" ht="21" customHeight="1" x14ac:dyDescent="0.15">
      <c r="A252" s="44">
        <v>15031251</v>
      </c>
      <c r="B252" s="44" t="s">
        <v>229</v>
      </c>
      <c r="C252" s="47">
        <v>3</v>
      </c>
      <c r="D252" s="47" t="s">
        <v>127</v>
      </c>
      <c r="E252" s="140" t="s">
        <v>224</v>
      </c>
      <c r="F252" s="48" t="s">
        <v>230</v>
      </c>
      <c r="G252" s="60" t="str">
        <f t="shared" si="91"/>
        <v>[effect:nothing]</v>
      </c>
      <c r="H252" s="60">
        <f t="shared" si="92"/>
        <v>9</v>
      </c>
      <c r="I252" s="60">
        <f t="shared" si="93"/>
        <v>16</v>
      </c>
      <c r="J252" s="60" t="e">
        <f t="shared" si="94"/>
        <v>#VALUE!</v>
      </c>
      <c r="K252" s="60" t="e">
        <f t="shared" si="95"/>
        <v>#VALUE!</v>
      </c>
      <c r="L252" s="60" t="str">
        <f>IFERROR(VLOOKUP(MID(G252,J252,K252-J252),[6]skilldef!$C:$D,2,FALSE),"-") &amp; " / " &amp; IFERROR(VLOOKUP(MID(G252,H252,I252-H252),[6]skilldef!$A:$B,2,FALSE),"-")</f>
        <v>- / 何もしない</v>
      </c>
      <c r="M252" s="60" t="str">
        <f t="shared" si="96"/>
        <v>none</v>
      </c>
      <c r="N252" s="45" t="str">
        <f t="shared" si="106"/>
        <v>none</v>
      </c>
      <c r="O252" s="60" t="e">
        <f t="shared" si="97"/>
        <v>#VALUE!</v>
      </c>
      <c r="P252" s="60">
        <f t="shared" si="98"/>
        <v>4</v>
      </c>
      <c r="Q252" s="60" t="e">
        <f t="shared" si="99"/>
        <v>#VALUE!</v>
      </c>
      <c r="R252" s="60" t="e">
        <f t="shared" si="100"/>
        <v>#VALUE!</v>
      </c>
      <c r="S252" s="60" t="str">
        <f>IFERROR(VLOOKUP(MID(N252,Q252,R252-Q252),[6]skilldef!$C:$D,2,FALSE),"-") &amp; " / " &amp; IFERROR(VLOOKUP(MID(N252,O252,P252-O252),[6]skilldef!$A:$B,2,FALSE),"-")</f>
        <v>- / -</v>
      </c>
      <c r="T252" s="45" t="str">
        <f t="shared" si="101"/>
        <v>none</v>
      </c>
      <c r="U252" s="60" t="e">
        <f t="shared" si="102"/>
        <v>#VALUE!</v>
      </c>
      <c r="V252" s="60">
        <f t="shared" si="103"/>
        <v>4</v>
      </c>
      <c r="W252" s="60" t="e">
        <f t="shared" si="104"/>
        <v>#VALUE!</v>
      </c>
      <c r="X252" s="60" t="e">
        <f t="shared" si="105"/>
        <v>#VALUE!</v>
      </c>
      <c r="Y252" s="60" t="str">
        <f>IFERROR(VLOOKUP(MID(T252,W252,X252-W252),[6]skilldef!$C:$D,2,FALSE),"-") &amp; " / " &amp; IFERROR(VLOOKUP(MID(T252,U252,V252-U252),[6]skilldef!$A:$B,2,FALSE),"-")</f>
        <v>- / -</v>
      </c>
    </row>
    <row r="253" spans="1:25" ht="21" customHeight="1" x14ac:dyDescent="0.15">
      <c r="A253" s="44">
        <v>15031252</v>
      </c>
      <c r="B253" s="44" t="s">
        <v>229</v>
      </c>
      <c r="C253" s="47">
        <v>3</v>
      </c>
      <c r="D253" s="47" t="s">
        <v>127</v>
      </c>
      <c r="E253" s="44" t="s">
        <v>224</v>
      </c>
      <c r="F253" s="48" t="s">
        <v>230</v>
      </c>
      <c r="G253" s="60" t="str">
        <f t="shared" si="91"/>
        <v>[effect:nothing]</v>
      </c>
      <c r="H253" s="60">
        <f t="shared" si="92"/>
        <v>9</v>
      </c>
      <c r="I253" s="60">
        <f t="shared" si="93"/>
        <v>16</v>
      </c>
      <c r="J253" s="60" t="e">
        <f t="shared" si="94"/>
        <v>#VALUE!</v>
      </c>
      <c r="K253" s="60" t="e">
        <f t="shared" si="95"/>
        <v>#VALUE!</v>
      </c>
      <c r="L253" s="60" t="str">
        <f>IFERROR(VLOOKUP(MID(G253,J253,K253-J253),[6]skilldef!$C:$D,2,FALSE),"-") &amp; " / " &amp; IFERROR(VLOOKUP(MID(G253,H253,I253-H253),[6]skilldef!$A:$B,2,FALSE),"-")</f>
        <v>- / 何もしない</v>
      </c>
      <c r="M253" s="60" t="str">
        <f t="shared" si="96"/>
        <v>none</v>
      </c>
      <c r="N253" s="45" t="str">
        <f t="shared" si="106"/>
        <v>none</v>
      </c>
      <c r="O253" s="60" t="e">
        <f t="shared" si="97"/>
        <v>#VALUE!</v>
      </c>
      <c r="P253" s="60">
        <f t="shared" si="98"/>
        <v>4</v>
      </c>
      <c r="Q253" s="60" t="e">
        <f t="shared" si="99"/>
        <v>#VALUE!</v>
      </c>
      <c r="R253" s="60" t="e">
        <f t="shared" si="100"/>
        <v>#VALUE!</v>
      </c>
      <c r="S253" s="60" t="str">
        <f>IFERROR(VLOOKUP(MID(N253,Q253,R253-Q253),[6]skilldef!$C:$D,2,FALSE),"-") &amp; " / " &amp; IFERROR(VLOOKUP(MID(N253,O253,P253-O253),[6]skilldef!$A:$B,2,FALSE),"-")</f>
        <v>- / -</v>
      </c>
      <c r="T253" s="45" t="str">
        <f t="shared" si="101"/>
        <v>none</v>
      </c>
      <c r="U253" s="60" t="e">
        <f t="shared" si="102"/>
        <v>#VALUE!</v>
      </c>
      <c r="V253" s="60">
        <f t="shared" si="103"/>
        <v>4</v>
      </c>
      <c r="W253" s="60" t="e">
        <f t="shared" si="104"/>
        <v>#VALUE!</v>
      </c>
      <c r="X253" s="60" t="e">
        <f t="shared" si="105"/>
        <v>#VALUE!</v>
      </c>
      <c r="Y253" s="60" t="str">
        <f>IFERROR(VLOOKUP(MID(T253,W253,X253-W253),[6]skilldef!$C:$D,2,FALSE),"-") &amp; " / " &amp; IFERROR(VLOOKUP(MID(T253,U253,V253-U253),[6]skilldef!$A:$B,2,FALSE),"-")</f>
        <v>- / -</v>
      </c>
    </row>
    <row r="254" spans="1:25" ht="21" customHeight="1" x14ac:dyDescent="0.15">
      <c r="A254" s="44">
        <v>15031253</v>
      </c>
      <c r="B254" s="44" t="s">
        <v>229</v>
      </c>
      <c r="C254" s="47">
        <v>3</v>
      </c>
      <c r="D254" s="47" t="s">
        <v>127</v>
      </c>
      <c r="E254" s="44" t="s">
        <v>224</v>
      </c>
      <c r="F254" s="48" t="s">
        <v>230</v>
      </c>
      <c r="G254" s="60" t="str">
        <f t="shared" si="91"/>
        <v>[effect:nothing]</v>
      </c>
      <c r="H254" s="60">
        <f t="shared" si="92"/>
        <v>9</v>
      </c>
      <c r="I254" s="60">
        <f t="shared" si="93"/>
        <v>16</v>
      </c>
      <c r="J254" s="60" t="e">
        <f t="shared" si="94"/>
        <v>#VALUE!</v>
      </c>
      <c r="K254" s="60" t="e">
        <f t="shared" si="95"/>
        <v>#VALUE!</v>
      </c>
      <c r="L254" s="60" t="str">
        <f>IFERROR(VLOOKUP(MID(G254,J254,K254-J254),[6]skilldef!$C:$D,2,FALSE),"-") &amp; " / " &amp; IFERROR(VLOOKUP(MID(G254,H254,I254-H254),[6]skilldef!$A:$B,2,FALSE),"-")</f>
        <v>- / 何もしない</v>
      </c>
      <c r="M254" s="60" t="str">
        <f t="shared" si="96"/>
        <v>none</v>
      </c>
      <c r="N254" s="45" t="str">
        <f t="shared" si="106"/>
        <v>none</v>
      </c>
      <c r="O254" s="60" t="e">
        <f t="shared" si="97"/>
        <v>#VALUE!</v>
      </c>
      <c r="P254" s="60">
        <f t="shared" si="98"/>
        <v>4</v>
      </c>
      <c r="Q254" s="60" t="e">
        <f t="shared" si="99"/>
        <v>#VALUE!</v>
      </c>
      <c r="R254" s="60" t="e">
        <f t="shared" si="100"/>
        <v>#VALUE!</v>
      </c>
      <c r="S254" s="60" t="str">
        <f>IFERROR(VLOOKUP(MID(N254,Q254,R254-Q254),[6]skilldef!$C:$D,2,FALSE),"-") &amp; " / " &amp; IFERROR(VLOOKUP(MID(N254,O254,P254-O254),[6]skilldef!$A:$B,2,FALSE),"-")</f>
        <v>- / -</v>
      </c>
      <c r="T254" s="45" t="str">
        <f t="shared" si="101"/>
        <v>none</v>
      </c>
      <c r="U254" s="60" t="e">
        <f t="shared" si="102"/>
        <v>#VALUE!</v>
      </c>
      <c r="V254" s="60">
        <f t="shared" si="103"/>
        <v>4</v>
      </c>
      <c r="W254" s="60" t="e">
        <f t="shared" si="104"/>
        <v>#VALUE!</v>
      </c>
      <c r="X254" s="60" t="e">
        <f t="shared" si="105"/>
        <v>#VALUE!</v>
      </c>
      <c r="Y254" s="60" t="str">
        <f>IFERROR(VLOOKUP(MID(T254,W254,X254-W254),[6]skilldef!$C:$D,2,FALSE),"-") &amp; " / " &amp; IFERROR(VLOOKUP(MID(T254,U254,V254-U254),[6]skilldef!$A:$B,2,FALSE),"-")</f>
        <v>- / -</v>
      </c>
    </row>
    <row r="255" spans="1:25" ht="21" customHeight="1" x14ac:dyDescent="0.15">
      <c r="A255" s="44">
        <v>15031254</v>
      </c>
      <c r="B255" s="44" t="s">
        <v>229</v>
      </c>
      <c r="C255" s="47">
        <v>3</v>
      </c>
      <c r="D255" s="47" t="s">
        <v>127</v>
      </c>
      <c r="E255" s="44" t="s">
        <v>224</v>
      </c>
      <c r="F255" s="48" t="s">
        <v>230</v>
      </c>
      <c r="G255" s="60" t="str">
        <f t="shared" si="91"/>
        <v>[effect:nothing]</v>
      </c>
      <c r="H255" s="60">
        <f t="shared" si="92"/>
        <v>9</v>
      </c>
      <c r="I255" s="60">
        <f t="shared" si="93"/>
        <v>16</v>
      </c>
      <c r="J255" s="60" t="e">
        <f t="shared" si="94"/>
        <v>#VALUE!</v>
      </c>
      <c r="K255" s="60" t="e">
        <f t="shared" si="95"/>
        <v>#VALUE!</v>
      </c>
      <c r="L255" s="60" t="str">
        <f>IFERROR(VLOOKUP(MID(G255,J255,K255-J255),[6]skilldef!$C:$D,2,FALSE),"-") &amp; " / " &amp; IFERROR(VLOOKUP(MID(G255,H255,I255-H255),[6]skilldef!$A:$B,2,FALSE),"-")</f>
        <v>- / 何もしない</v>
      </c>
      <c r="M255" s="60" t="str">
        <f t="shared" si="96"/>
        <v>none</v>
      </c>
      <c r="N255" s="45" t="str">
        <f t="shared" si="106"/>
        <v>none</v>
      </c>
      <c r="O255" s="60" t="e">
        <f t="shared" si="97"/>
        <v>#VALUE!</v>
      </c>
      <c r="P255" s="60">
        <f t="shared" si="98"/>
        <v>4</v>
      </c>
      <c r="Q255" s="60" t="e">
        <f t="shared" si="99"/>
        <v>#VALUE!</v>
      </c>
      <c r="R255" s="60" t="e">
        <f t="shared" si="100"/>
        <v>#VALUE!</v>
      </c>
      <c r="S255" s="60" t="str">
        <f>IFERROR(VLOOKUP(MID(N255,Q255,R255-Q255),[6]skilldef!$C:$D,2,FALSE),"-") &amp; " / " &amp; IFERROR(VLOOKUP(MID(N255,O255,P255-O255),[6]skilldef!$A:$B,2,FALSE),"-")</f>
        <v>- / -</v>
      </c>
      <c r="T255" s="45" t="str">
        <f t="shared" si="101"/>
        <v>none</v>
      </c>
      <c r="U255" s="60" t="e">
        <f t="shared" si="102"/>
        <v>#VALUE!</v>
      </c>
      <c r="V255" s="60">
        <f t="shared" si="103"/>
        <v>4</v>
      </c>
      <c r="W255" s="60" t="e">
        <f t="shared" si="104"/>
        <v>#VALUE!</v>
      </c>
      <c r="X255" s="60" t="e">
        <f t="shared" si="105"/>
        <v>#VALUE!</v>
      </c>
      <c r="Y255" s="60" t="str">
        <f>IFERROR(VLOOKUP(MID(T255,W255,X255-W255),[6]skilldef!$C:$D,2,FALSE),"-") &amp; " / " &amp; IFERROR(VLOOKUP(MID(T255,U255,V255-U255),[6]skilldef!$A:$B,2,FALSE),"-")</f>
        <v>- / -</v>
      </c>
    </row>
    <row r="256" spans="1:25" ht="21" customHeight="1" x14ac:dyDescent="0.15">
      <c r="A256" s="44">
        <v>15031255</v>
      </c>
      <c r="B256" s="44" t="s">
        <v>229</v>
      </c>
      <c r="C256" s="47">
        <v>3</v>
      </c>
      <c r="D256" s="47" t="s">
        <v>127</v>
      </c>
      <c r="E256" s="44" t="s">
        <v>224</v>
      </c>
      <c r="F256" s="48" t="s">
        <v>230</v>
      </c>
      <c r="G256" s="60" t="str">
        <f t="shared" si="91"/>
        <v>[effect:nothing]</v>
      </c>
      <c r="H256" s="60">
        <f t="shared" si="92"/>
        <v>9</v>
      </c>
      <c r="I256" s="60">
        <f t="shared" si="93"/>
        <v>16</v>
      </c>
      <c r="J256" s="60" t="e">
        <f t="shared" si="94"/>
        <v>#VALUE!</v>
      </c>
      <c r="K256" s="60" t="e">
        <f t="shared" si="95"/>
        <v>#VALUE!</v>
      </c>
      <c r="L256" s="60" t="str">
        <f>IFERROR(VLOOKUP(MID(G256,J256,K256-J256),[6]skilldef!$C:$D,2,FALSE),"-") &amp; " / " &amp; IFERROR(VLOOKUP(MID(G256,H256,I256-H256),[6]skilldef!$A:$B,2,FALSE),"-")</f>
        <v>- / 何もしない</v>
      </c>
      <c r="M256" s="60" t="str">
        <f t="shared" si="96"/>
        <v>none</v>
      </c>
      <c r="N256" s="45" t="str">
        <f t="shared" si="106"/>
        <v>none</v>
      </c>
      <c r="O256" s="60" t="e">
        <f t="shared" si="97"/>
        <v>#VALUE!</v>
      </c>
      <c r="P256" s="60">
        <f t="shared" si="98"/>
        <v>4</v>
      </c>
      <c r="Q256" s="60" t="e">
        <f t="shared" si="99"/>
        <v>#VALUE!</v>
      </c>
      <c r="R256" s="60" t="e">
        <f t="shared" si="100"/>
        <v>#VALUE!</v>
      </c>
      <c r="S256" s="60" t="str">
        <f>IFERROR(VLOOKUP(MID(N256,Q256,R256-Q256),[6]skilldef!$C:$D,2,FALSE),"-") &amp; " / " &amp; IFERROR(VLOOKUP(MID(N256,O256,P256-O256),[6]skilldef!$A:$B,2,FALSE),"-")</f>
        <v>- / -</v>
      </c>
      <c r="T256" s="45" t="str">
        <f t="shared" si="101"/>
        <v>none</v>
      </c>
      <c r="U256" s="60" t="e">
        <f t="shared" si="102"/>
        <v>#VALUE!</v>
      </c>
      <c r="V256" s="60">
        <f t="shared" si="103"/>
        <v>4</v>
      </c>
      <c r="W256" s="60" t="e">
        <f t="shared" si="104"/>
        <v>#VALUE!</v>
      </c>
      <c r="X256" s="60" t="e">
        <f t="shared" si="105"/>
        <v>#VALUE!</v>
      </c>
      <c r="Y256" s="60" t="str">
        <f>IFERROR(VLOOKUP(MID(T256,W256,X256-W256),[6]skilldef!$C:$D,2,FALSE),"-") &amp; " / " &amp; IFERROR(VLOOKUP(MID(T256,U256,V256-U256),[6]skilldef!$A:$B,2,FALSE),"-")</f>
        <v>- / -</v>
      </c>
    </row>
    <row r="257" spans="1:25" ht="21" customHeight="1" x14ac:dyDescent="0.15">
      <c r="A257" s="44">
        <v>15031256</v>
      </c>
      <c r="B257" s="44" t="s">
        <v>229</v>
      </c>
      <c r="C257" s="47">
        <v>3</v>
      </c>
      <c r="D257" s="47" t="s">
        <v>127</v>
      </c>
      <c r="E257" s="140" t="s">
        <v>225</v>
      </c>
      <c r="F257" s="48" t="s">
        <v>230</v>
      </c>
      <c r="G257" s="60" t="str">
        <f t="shared" si="91"/>
        <v>[effect:nothing]</v>
      </c>
      <c r="H257" s="60">
        <f t="shared" si="92"/>
        <v>9</v>
      </c>
      <c r="I257" s="60">
        <f t="shared" si="93"/>
        <v>16</v>
      </c>
      <c r="J257" s="60" t="e">
        <f t="shared" si="94"/>
        <v>#VALUE!</v>
      </c>
      <c r="K257" s="60" t="e">
        <f t="shared" si="95"/>
        <v>#VALUE!</v>
      </c>
      <c r="L257" s="60" t="str">
        <f>IFERROR(VLOOKUP(MID(G257,J257,K257-J257),[6]skilldef!$C:$D,2,FALSE),"-") &amp; " / " &amp; IFERROR(VLOOKUP(MID(G257,H257,I257-H257),[6]skilldef!$A:$B,2,FALSE),"-")</f>
        <v>- / 何もしない</v>
      </c>
      <c r="M257" s="60" t="str">
        <f t="shared" si="96"/>
        <v>none</v>
      </c>
      <c r="N257" s="45" t="str">
        <f t="shared" si="106"/>
        <v>none</v>
      </c>
      <c r="O257" s="60" t="e">
        <f t="shared" si="97"/>
        <v>#VALUE!</v>
      </c>
      <c r="P257" s="60">
        <f t="shared" si="98"/>
        <v>4</v>
      </c>
      <c r="Q257" s="60" t="e">
        <f t="shared" si="99"/>
        <v>#VALUE!</v>
      </c>
      <c r="R257" s="60" t="e">
        <f t="shared" si="100"/>
        <v>#VALUE!</v>
      </c>
      <c r="S257" s="60" t="str">
        <f>IFERROR(VLOOKUP(MID(N257,Q257,R257-Q257),[6]skilldef!$C:$D,2,FALSE),"-") &amp; " / " &amp; IFERROR(VLOOKUP(MID(N257,O257,P257-O257),[6]skilldef!$A:$B,2,FALSE),"-")</f>
        <v>- / -</v>
      </c>
      <c r="T257" s="45" t="str">
        <f t="shared" si="101"/>
        <v>none</v>
      </c>
      <c r="U257" s="60" t="e">
        <f t="shared" si="102"/>
        <v>#VALUE!</v>
      </c>
      <c r="V257" s="60">
        <f t="shared" si="103"/>
        <v>4</v>
      </c>
      <c r="W257" s="60" t="e">
        <f t="shared" si="104"/>
        <v>#VALUE!</v>
      </c>
      <c r="X257" s="60" t="e">
        <f t="shared" si="105"/>
        <v>#VALUE!</v>
      </c>
      <c r="Y257" s="60" t="str">
        <f>IFERROR(VLOOKUP(MID(T257,W257,X257-W257),[6]skilldef!$C:$D,2,FALSE),"-") &amp; " / " &amp; IFERROR(VLOOKUP(MID(T257,U257,V257-U257),[6]skilldef!$A:$B,2,FALSE),"-")</f>
        <v>- / -</v>
      </c>
    </row>
    <row r="258" spans="1:25" ht="21" customHeight="1" x14ac:dyDescent="0.15">
      <c r="A258" s="44">
        <v>15031257</v>
      </c>
      <c r="B258" s="44" t="s">
        <v>229</v>
      </c>
      <c r="C258" s="47">
        <v>3</v>
      </c>
      <c r="D258" s="47" t="s">
        <v>127</v>
      </c>
      <c r="E258" s="44" t="s">
        <v>225</v>
      </c>
      <c r="F258" s="48" t="s">
        <v>230</v>
      </c>
      <c r="G258" s="60" t="str">
        <f t="shared" si="91"/>
        <v>[effect:nothing]</v>
      </c>
      <c r="H258" s="60">
        <f t="shared" si="92"/>
        <v>9</v>
      </c>
      <c r="I258" s="60">
        <f t="shared" si="93"/>
        <v>16</v>
      </c>
      <c r="J258" s="60" t="e">
        <f t="shared" si="94"/>
        <v>#VALUE!</v>
      </c>
      <c r="K258" s="60" t="e">
        <f t="shared" si="95"/>
        <v>#VALUE!</v>
      </c>
      <c r="L258" s="60" t="str">
        <f>IFERROR(VLOOKUP(MID(G258,J258,K258-J258),[6]skilldef!$C:$D,2,FALSE),"-") &amp; " / " &amp; IFERROR(VLOOKUP(MID(G258,H258,I258-H258),[6]skilldef!$A:$B,2,FALSE),"-")</f>
        <v>- / 何もしない</v>
      </c>
      <c r="M258" s="60" t="str">
        <f t="shared" si="96"/>
        <v>none</v>
      </c>
      <c r="N258" s="45" t="str">
        <f t="shared" si="106"/>
        <v>none</v>
      </c>
      <c r="O258" s="60" t="e">
        <f t="shared" si="97"/>
        <v>#VALUE!</v>
      </c>
      <c r="P258" s="60">
        <f t="shared" si="98"/>
        <v>4</v>
      </c>
      <c r="Q258" s="60" t="e">
        <f t="shared" si="99"/>
        <v>#VALUE!</v>
      </c>
      <c r="R258" s="60" t="e">
        <f t="shared" si="100"/>
        <v>#VALUE!</v>
      </c>
      <c r="S258" s="60" t="str">
        <f>IFERROR(VLOOKUP(MID(N258,Q258,R258-Q258),[6]skilldef!$C:$D,2,FALSE),"-") &amp; " / " &amp; IFERROR(VLOOKUP(MID(N258,O258,P258-O258),[6]skilldef!$A:$B,2,FALSE),"-")</f>
        <v>- / -</v>
      </c>
      <c r="T258" s="45" t="str">
        <f t="shared" si="101"/>
        <v>none</v>
      </c>
      <c r="U258" s="60" t="e">
        <f t="shared" si="102"/>
        <v>#VALUE!</v>
      </c>
      <c r="V258" s="60">
        <f t="shared" si="103"/>
        <v>4</v>
      </c>
      <c r="W258" s="60" t="e">
        <f t="shared" si="104"/>
        <v>#VALUE!</v>
      </c>
      <c r="X258" s="60" t="e">
        <f t="shared" si="105"/>
        <v>#VALUE!</v>
      </c>
      <c r="Y258" s="60" t="str">
        <f>IFERROR(VLOOKUP(MID(T258,W258,X258-W258),[6]skilldef!$C:$D,2,FALSE),"-") &amp; " / " &amp; IFERROR(VLOOKUP(MID(T258,U258,V258-U258),[6]skilldef!$A:$B,2,FALSE),"-")</f>
        <v>- / -</v>
      </c>
    </row>
    <row r="259" spans="1:25" ht="21" customHeight="1" x14ac:dyDescent="0.15">
      <c r="A259" s="44">
        <v>15031258</v>
      </c>
      <c r="B259" s="44" t="s">
        <v>229</v>
      </c>
      <c r="C259" s="47">
        <v>3</v>
      </c>
      <c r="D259" s="47" t="s">
        <v>127</v>
      </c>
      <c r="E259" s="44" t="s">
        <v>225</v>
      </c>
      <c r="F259" s="48" t="s">
        <v>230</v>
      </c>
      <c r="G259" s="60" t="str">
        <f t="shared" si="91"/>
        <v>[effect:nothing]</v>
      </c>
      <c r="H259" s="60">
        <f t="shared" si="92"/>
        <v>9</v>
      </c>
      <c r="I259" s="60">
        <f t="shared" si="93"/>
        <v>16</v>
      </c>
      <c r="J259" s="60" t="e">
        <f t="shared" si="94"/>
        <v>#VALUE!</v>
      </c>
      <c r="K259" s="60" t="e">
        <f t="shared" si="95"/>
        <v>#VALUE!</v>
      </c>
      <c r="L259" s="60" t="str">
        <f>IFERROR(VLOOKUP(MID(G259,J259,K259-J259),[6]skilldef!$C:$D,2,FALSE),"-") &amp; " / " &amp; IFERROR(VLOOKUP(MID(G259,H259,I259-H259),[6]skilldef!$A:$B,2,FALSE),"-")</f>
        <v>- / 何もしない</v>
      </c>
      <c r="M259" s="60" t="str">
        <f t="shared" si="96"/>
        <v>none</v>
      </c>
      <c r="N259" s="45" t="str">
        <f t="shared" si="106"/>
        <v>none</v>
      </c>
      <c r="O259" s="60" t="e">
        <f t="shared" si="97"/>
        <v>#VALUE!</v>
      </c>
      <c r="P259" s="60">
        <f t="shared" si="98"/>
        <v>4</v>
      </c>
      <c r="Q259" s="60" t="e">
        <f t="shared" si="99"/>
        <v>#VALUE!</v>
      </c>
      <c r="R259" s="60" t="e">
        <f t="shared" si="100"/>
        <v>#VALUE!</v>
      </c>
      <c r="S259" s="60" t="str">
        <f>IFERROR(VLOOKUP(MID(N259,Q259,R259-Q259),[6]skilldef!$C:$D,2,FALSE),"-") &amp; " / " &amp; IFERROR(VLOOKUP(MID(N259,O259,P259-O259),[6]skilldef!$A:$B,2,FALSE),"-")</f>
        <v>- / -</v>
      </c>
      <c r="T259" s="45" t="str">
        <f t="shared" si="101"/>
        <v>none</v>
      </c>
      <c r="U259" s="60" t="e">
        <f t="shared" si="102"/>
        <v>#VALUE!</v>
      </c>
      <c r="V259" s="60">
        <f t="shared" si="103"/>
        <v>4</v>
      </c>
      <c r="W259" s="60" t="e">
        <f t="shared" si="104"/>
        <v>#VALUE!</v>
      </c>
      <c r="X259" s="60" t="e">
        <f t="shared" si="105"/>
        <v>#VALUE!</v>
      </c>
      <c r="Y259" s="60" t="str">
        <f>IFERROR(VLOOKUP(MID(T259,W259,X259-W259),[6]skilldef!$C:$D,2,FALSE),"-") &amp; " / " &amp; IFERROR(VLOOKUP(MID(T259,U259,V259-U259),[6]skilldef!$A:$B,2,FALSE),"-")</f>
        <v>- / -</v>
      </c>
    </row>
    <row r="260" spans="1:25" ht="21" customHeight="1" x14ac:dyDescent="0.15">
      <c r="A260" s="44">
        <v>15031259</v>
      </c>
      <c r="B260" s="44" t="s">
        <v>229</v>
      </c>
      <c r="C260" s="47">
        <v>3</v>
      </c>
      <c r="D260" s="47" t="s">
        <v>127</v>
      </c>
      <c r="E260" s="44" t="s">
        <v>225</v>
      </c>
      <c r="F260" s="48" t="s">
        <v>230</v>
      </c>
      <c r="G260" s="60" t="str">
        <f t="shared" si="91"/>
        <v>[effect:nothing]</v>
      </c>
      <c r="H260" s="60">
        <f t="shared" si="92"/>
        <v>9</v>
      </c>
      <c r="I260" s="60">
        <f t="shared" si="93"/>
        <v>16</v>
      </c>
      <c r="J260" s="60" t="e">
        <f t="shared" si="94"/>
        <v>#VALUE!</v>
      </c>
      <c r="K260" s="60" t="e">
        <f t="shared" si="95"/>
        <v>#VALUE!</v>
      </c>
      <c r="L260" s="60" t="str">
        <f>IFERROR(VLOOKUP(MID(G260,J260,K260-J260),[6]skilldef!$C:$D,2,FALSE),"-") &amp; " / " &amp; IFERROR(VLOOKUP(MID(G260,H260,I260-H260),[6]skilldef!$A:$B,2,FALSE),"-")</f>
        <v>- / 何もしない</v>
      </c>
      <c r="M260" s="60" t="str">
        <f t="shared" si="96"/>
        <v>none</v>
      </c>
      <c r="N260" s="45" t="str">
        <f t="shared" si="106"/>
        <v>none</v>
      </c>
      <c r="O260" s="60" t="e">
        <f t="shared" si="97"/>
        <v>#VALUE!</v>
      </c>
      <c r="P260" s="60">
        <f t="shared" si="98"/>
        <v>4</v>
      </c>
      <c r="Q260" s="60" t="e">
        <f t="shared" si="99"/>
        <v>#VALUE!</v>
      </c>
      <c r="R260" s="60" t="e">
        <f t="shared" si="100"/>
        <v>#VALUE!</v>
      </c>
      <c r="S260" s="60" t="str">
        <f>IFERROR(VLOOKUP(MID(N260,Q260,R260-Q260),[6]skilldef!$C:$D,2,FALSE),"-") &amp; " / " &amp; IFERROR(VLOOKUP(MID(N260,O260,P260-O260),[6]skilldef!$A:$B,2,FALSE),"-")</f>
        <v>- / -</v>
      </c>
      <c r="T260" s="45" t="str">
        <f t="shared" si="101"/>
        <v>none</v>
      </c>
      <c r="U260" s="60" t="e">
        <f t="shared" si="102"/>
        <v>#VALUE!</v>
      </c>
      <c r="V260" s="60">
        <f t="shared" si="103"/>
        <v>4</v>
      </c>
      <c r="W260" s="60" t="e">
        <f t="shared" si="104"/>
        <v>#VALUE!</v>
      </c>
      <c r="X260" s="60" t="e">
        <f t="shared" si="105"/>
        <v>#VALUE!</v>
      </c>
      <c r="Y260" s="60" t="str">
        <f>IFERROR(VLOOKUP(MID(T260,W260,X260-W260),[6]skilldef!$C:$D,2,FALSE),"-") &amp; " / " &amp; IFERROR(VLOOKUP(MID(T260,U260,V260-U260),[6]skilldef!$A:$B,2,FALSE),"-")</f>
        <v>- / -</v>
      </c>
    </row>
    <row r="261" spans="1:25" ht="21" customHeight="1" x14ac:dyDescent="0.15">
      <c r="A261" s="44">
        <v>15031260</v>
      </c>
      <c r="B261" s="44" t="s">
        <v>229</v>
      </c>
      <c r="C261" s="47">
        <v>3</v>
      </c>
      <c r="D261" s="47" t="s">
        <v>127</v>
      </c>
      <c r="E261" s="44" t="s">
        <v>225</v>
      </c>
      <c r="F261" s="48" t="s">
        <v>230</v>
      </c>
      <c r="G261" s="60" t="str">
        <f t="shared" si="91"/>
        <v>[effect:nothing]</v>
      </c>
      <c r="H261" s="60">
        <f t="shared" si="92"/>
        <v>9</v>
      </c>
      <c r="I261" s="60">
        <f t="shared" si="93"/>
        <v>16</v>
      </c>
      <c r="J261" s="60" t="e">
        <f t="shared" si="94"/>
        <v>#VALUE!</v>
      </c>
      <c r="K261" s="60" t="e">
        <f t="shared" si="95"/>
        <v>#VALUE!</v>
      </c>
      <c r="L261" s="60" t="str">
        <f>IFERROR(VLOOKUP(MID(G261,J261,K261-J261),[6]skilldef!$C:$D,2,FALSE),"-") &amp; " / " &amp; IFERROR(VLOOKUP(MID(G261,H261,I261-H261),[6]skilldef!$A:$B,2,FALSE),"-")</f>
        <v>- / 何もしない</v>
      </c>
      <c r="M261" s="60" t="str">
        <f t="shared" si="96"/>
        <v>none</v>
      </c>
      <c r="N261" s="45" t="str">
        <f t="shared" si="106"/>
        <v>none</v>
      </c>
      <c r="O261" s="60" t="e">
        <f t="shared" si="97"/>
        <v>#VALUE!</v>
      </c>
      <c r="P261" s="60">
        <f t="shared" si="98"/>
        <v>4</v>
      </c>
      <c r="Q261" s="60" t="e">
        <f t="shared" si="99"/>
        <v>#VALUE!</v>
      </c>
      <c r="R261" s="60" t="e">
        <f t="shared" si="100"/>
        <v>#VALUE!</v>
      </c>
      <c r="S261" s="60" t="str">
        <f>IFERROR(VLOOKUP(MID(N261,Q261,R261-Q261),[6]skilldef!$C:$D,2,FALSE),"-") &amp; " / " &amp; IFERROR(VLOOKUP(MID(N261,O261,P261-O261),[6]skilldef!$A:$B,2,FALSE),"-")</f>
        <v>- / -</v>
      </c>
      <c r="T261" s="45" t="str">
        <f t="shared" si="101"/>
        <v>none</v>
      </c>
      <c r="U261" s="60" t="e">
        <f t="shared" si="102"/>
        <v>#VALUE!</v>
      </c>
      <c r="V261" s="60">
        <f t="shared" si="103"/>
        <v>4</v>
      </c>
      <c r="W261" s="60" t="e">
        <f t="shared" si="104"/>
        <v>#VALUE!</v>
      </c>
      <c r="X261" s="60" t="e">
        <f t="shared" si="105"/>
        <v>#VALUE!</v>
      </c>
      <c r="Y261" s="60" t="str">
        <f>IFERROR(VLOOKUP(MID(T261,W261,X261-W261),[6]skilldef!$C:$D,2,FALSE),"-") &amp; " / " &amp; IFERROR(VLOOKUP(MID(T261,U261,V261-U261),[6]skilldef!$A:$B,2,FALSE),"-")</f>
        <v>- / -</v>
      </c>
    </row>
    <row r="262" spans="1:25" ht="21" customHeight="1" x14ac:dyDescent="0.15">
      <c r="A262" s="44">
        <v>15031261</v>
      </c>
      <c r="B262" s="44" t="s">
        <v>229</v>
      </c>
      <c r="C262" s="47">
        <v>3</v>
      </c>
      <c r="D262" s="47" t="s">
        <v>127</v>
      </c>
      <c r="E262" s="140" t="s">
        <v>226</v>
      </c>
      <c r="F262" s="48" t="s">
        <v>230</v>
      </c>
      <c r="G262" s="60" t="str">
        <f t="shared" si="91"/>
        <v>[effect:nothing]</v>
      </c>
      <c r="H262" s="60">
        <f t="shared" si="92"/>
        <v>9</v>
      </c>
      <c r="I262" s="60">
        <f t="shared" si="93"/>
        <v>16</v>
      </c>
      <c r="J262" s="60" t="e">
        <f t="shared" si="94"/>
        <v>#VALUE!</v>
      </c>
      <c r="K262" s="60" t="e">
        <f t="shared" si="95"/>
        <v>#VALUE!</v>
      </c>
      <c r="L262" s="60" t="str">
        <f>IFERROR(VLOOKUP(MID(G262,J262,K262-J262),[6]skilldef!$C:$D,2,FALSE),"-") &amp; " / " &amp; IFERROR(VLOOKUP(MID(G262,H262,I262-H262),[6]skilldef!$A:$B,2,FALSE),"-")</f>
        <v>- / 何もしない</v>
      </c>
      <c r="M262" s="60" t="str">
        <f t="shared" si="96"/>
        <v>none</v>
      </c>
      <c r="N262" s="45" t="str">
        <f t="shared" si="106"/>
        <v>none</v>
      </c>
      <c r="O262" s="60" t="e">
        <f t="shared" si="97"/>
        <v>#VALUE!</v>
      </c>
      <c r="P262" s="60">
        <f t="shared" si="98"/>
        <v>4</v>
      </c>
      <c r="Q262" s="60" t="e">
        <f t="shared" si="99"/>
        <v>#VALUE!</v>
      </c>
      <c r="R262" s="60" t="e">
        <f t="shared" si="100"/>
        <v>#VALUE!</v>
      </c>
      <c r="S262" s="60" t="str">
        <f>IFERROR(VLOOKUP(MID(N262,Q262,R262-Q262),[6]skilldef!$C:$D,2,FALSE),"-") &amp; " / " &amp; IFERROR(VLOOKUP(MID(N262,O262,P262-O262),[6]skilldef!$A:$B,2,FALSE),"-")</f>
        <v>- / -</v>
      </c>
      <c r="T262" s="45" t="str">
        <f t="shared" si="101"/>
        <v>none</v>
      </c>
      <c r="U262" s="60" t="e">
        <f t="shared" si="102"/>
        <v>#VALUE!</v>
      </c>
      <c r="V262" s="60">
        <f t="shared" si="103"/>
        <v>4</v>
      </c>
      <c r="W262" s="60" t="e">
        <f t="shared" si="104"/>
        <v>#VALUE!</v>
      </c>
      <c r="X262" s="60" t="e">
        <f t="shared" si="105"/>
        <v>#VALUE!</v>
      </c>
      <c r="Y262" s="60" t="str">
        <f>IFERROR(VLOOKUP(MID(T262,W262,X262-W262),[6]skilldef!$C:$D,2,FALSE),"-") &amp; " / " &amp; IFERROR(VLOOKUP(MID(T262,U262,V262-U262),[6]skilldef!$A:$B,2,FALSE),"-")</f>
        <v>- / -</v>
      </c>
    </row>
    <row r="263" spans="1:25" ht="21" customHeight="1" x14ac:dyDescent="0.15">
      <c r="A263" s="44">
        <v>15031262</v>
      </c>
      <c r="B263" s="44" t="s">
        <v>229</v>
      </c>
      <c r="C263" s="47">
        <v>3</v>
      </c>
      <c r="D263" s="47" t="s">
        <v>127</v>
      </c>
      <c r="E263" s="44" t="s">
        <v>226</v>
      </c>
      <c r="F263" s="48" t="s">
        <v>230</v>
      </c>
      <c r="G263" s="60" t="str">
        <f t="shared" si="91"/>
        <v>[effect:nothing]</v>
      </c>
      <c r="H263" s="60">
        <f t="shared" si="92"/>
        <v>9</v>
      </c>
      <c r="I263" s="60">
        <f t="shared" si="93"/>
        <v>16</v>
      </c>
      <c r="J263" s="60" t="e">
        <f t="shared" si="94"/>
        <v>#VALUE!</v>
      </c>
      <c r="K263" s="60" t="e">
        <f t="shared" si="95"/>
        <v>#VALUE!</v>
      </c>
      <c r="L263" s="60" t="str">
        <f>IFERROR(VLOOKUP(MID(G263,J263,K263-J263),[6]skilldef!$C:$D,2,FALSE),"-") &amp; " / " &amp; IFERROR(VLOOKUP(MID(G263,H263,I263-H263),[6]skilldef!$A:$B,2,FALSE),"-")</f>
        <v>- / 何もしない</v>
      </c>
      <c r="M263" s="60" t="str">
        <f t="shared" si="96"/>
        <v>none</v>
      </c>
      <c r="N263" s="45" t="str">
        <f t="shared" si="106"/>
        <v>none</v>
      </c>
      <c r="O263" s="60" t="e">
        <f t="shared" si="97"/>
        <v>#VALUE!</v>
      </c>
      <c r="P263" s="60">
        <f t="shared" si="98"/>
        <v>4</v>
      </c>
      <c r="Q263" s="60" t="e">
        <f t="shared" si="99"/>
        <v>#VALUE!</v>
      </c>
      <c r="R263" s="60" t="e">
        <f t="shared" si="100"/>
        <v>#VALUE!</v>
      </c>
      <c r="S263" s="60" t="str">
        <f>IFERROR(VLOOKUP(MID(N263,Q263,R263-Q263),[6]skilldef!$C:$D,2,FALSE),"-") &amp; " / " &amp; IFERROR(VLOOKUP(MID(N263,O263,P263-O263),[6]skilldef!$A:$B,2,FALSE),"-")</f>
        <v>- / -</v>
      </c>
      <c r="T263" s="45" t="str">
        <f t="shared" si="101"/>
        <v>none</v>
      </c>
      <c r="U263" s="60" t="e">
        <f t="shared" si="102"/>
        <v>#VALUE!</v>
      </c>
      <c r="V263" s="60">
        <f t="shared" si="103"/>
        <v>4</v>
      </c>
      <c r="W263" s="60" t="e">
        <f t="shared" si="104"/>
        <v>#VALUE!</v>
      </c>
      <c r="X263" s="60" t="e">
        <f t="shared" si="105"/>
        <v>#VALUE!</v>
      </c>
      <c r="Y263" s="60" t="str">
        <f>IFERROR(VLOOKUP(MID(T263,W263,X263-W263),[6]skilldef!$C:$D,2,FALSE),"-") &amp; " / " &amp; IFERROR(VLOOKUP(MID(T263,U263,V263-U263),[6]skilldef!$A:$B,2,FALSE),"-")</f>
        <v>- / -</v>
      </c>
    </row>
    <row r="264" spans="1:25" ht="21" customHeight="1" x14ac:dyDescent="0.15">
      <c r="A264" s="44">
        <v>15031263</v>
      </c>
      <c r="B264" s="44" t="s">
        <v>229</v>
      </c>
      <c r="C264" s="47">
        <v>3</v>
      </c>
      <c r="D264" s="47" t="s">
        <v>127</v>
      </c>
      <c r="E264" s="44" t="s">
        <v>226</v>
      </c>
      <c r="F264" s="48" t="s">
        <v>230</v>
      </c>
      <c r="G264" s="60" t="str">
        <f t="shared" si="91"/>
        <v>[effect:nothing]</v>
      </c>
      <c r="H264" s="60">
        <f t="shared" si="92"/>
        <v>9</v>
      </c>
      <c r="I264" s="60">
        <f t="shared" si="93"/>
        <v>16</v>
      </c>
      <c r="J264" s="60" t="e">
        <f t="shared" si="94"/>
        <v>#VALUE!</v>
      </c>
      <c r="K264" s="60" t="e">
        <f t="shared" si="95"/>
        <v>#VALUE!</v>
      </c>
      <c r="L264" s="60" t="str">
        <f>IFERROR(VLOOKUP(MID(G264,J264,K264-J264),[6]skilldef!$C:$D,2,FALSE),"-") &amp; " / " &amp; IFERROR(VLOOKUP(MID(G264,H264,I264-H264),[6]skilldef!$A:$B,2,FALSE),"-")</f>
        <v>- / 何もしない</v>
      </c>
      <c r="M264" s="60" t="str">
        <f t="shared" si="96"/>
        <v>none</v>
      </c>
      <c r="N264" s="45" t="str">
        <f t="shared" si="106"/>
        <v>none</v>
      </c>
      <c r="O264" s="60" t="e">
        <f t="shared" si="97"/>
        <v>#VALUE!</v>
      </c>
      <c r="P264" s="60">
        <f t="shared" si="98"/>
        <v>4</v>
      </c>
      <c r="Q264" s="60" t="e">
        <f t="shared" si="99"/>
        <v>#VALUE!</v>
      </c>
      <c r="R264" s="60" t="e">
        <f t="shared" si="100"/>
        <v>#VALUE!</v>
      </c>
      <c r="S264" s="60" t="str">
        <f>IFERROR(VLOOKUP(MID(N264,Q264,R264-Q264),[6]skilldef!$C:$D,2,FALSE),"-") &amp; " / " &amp; IFERROR(VLOOKUP(MID(N264,O264,P264-O264),[6]skilldef!$A:$B,2,FALSE),"-")</f>
        <v>- / -</v>
      </c>
      <c r="T264" s="45" t="str">
        <f t="shared" si="101"/>
        <v>none</v>
      </c>
      <c r="U264" s="60" t="e">
        <f t="shared" si="102"/>
        <v>#VALUE!</v>
      </c>
      <c r="V264" s="60">
        <f t="shared" si="103"/>
        <v>4</v>
      </c>
      <c r="W264" s="60" t="e">
        <f t="shared" si="104"/>
        <v>#VALUE!</v>
      </c>
      <c r="X264" s="60" t="e">
        <f t="shared" si="105"/>
        <v>#VALUE!</v>
      </c>
      <c r="Y264" s="60" t="str">
        <f>IFERROR(VLOOKUP(MID(T264,W264,X264-W264),[6]skilldef!$C:$D,2,FALSE),"-") &amp; " / " &amp; IFERROR(VLOOKUP(MID(T264,U264,V264-U264),[6]skilldef!$A:$B,2,FALSE),"-")</f>
        <v>- / -</v>
      </c>
    </row>
    <row r="265" spans="1:25" ht="21" customHeight="1" x14ac:dyDescent="0.15">
      <c r="A265" s="44">
        <v>15031264</v>
      </c>
      <c r="B265" s="44" t="s">
        <v>229</v>
      </c>
      <c r="C265" s="47">
        <v>3</v>
      </c>
      <c r="D265" s="47" t="s">
        <v>127</v>
      </c>
      <c r="E265" s="44" t="s">
        <v>226</v>
      </c>
      <c r="F265" s="48" t="s">
        <v>230</v>
      </c>
      <c r="G265" s="60" t="str">
        <f t="shared" ref="G265:G271" si="107">IFERROR(LEFT(B265,FIND("],",B265)),B265)</f>
        <v>[effect:nothing]</v>
      </c>
      <c r="H265" s="60">
        <f t="shared" ref="H265:H271" si="108">FIND("effect:",G265)+7</f>
        <v>9</v>
      </c>
      <c r="I265" s="60">
        <f t="shared" ref="I265:I271" si="109">IFERROR(FIND(",",G265),LEN(G265))</f>
        <v>16</v>
      </c>
      <c r="J265" s="60" t="e">
        <f t="shared" ref="J265:J271" si="110">FIND("target:",G265)+7</f>
        <v>#VALUE!</v>
      </c>
      <c r="K265" s="60" t="e">
        <f t="shared" ref="K265:K271" si="111">FIND(",",G265,I265+1)</f>
        <v>#VALUE!</v>
      </c>
      <c r="L265" s="60" t="str">
        <f>IFERROR(VLOOKUP(MID(G265,J265,K265-J265),[6]skilldef!$C:$D,2,FALSE),"-") &amp; " / " &amp; IFERROR(VLOOKUP(MID(G265,H265,I265-H265),[6]skilldef!$A:$B,2,FALSE),"-")</f>
        <v>- / 何もしない</v>
      </c>
      <c r="M265" s="60" t="str">
        <f t="shared" ref="M265:M271" si="112">IFERROR(RIGHT(B265,LEN(B265)-FIND("],",B265)-1),"none")</f>
        <v>none</v>
      </c>
      <c r="N265" s="45" t="str">
        <f t="shared" ref="N265:N271" si="113">IFERROR(LEFT(M265,FIND("],",M265)+S275),M265)</f>
        <v>none</v>
      </c>
      <c r="O265" s="60" t="e">
        <f t="shared" ref="O265:O271" si="114">FIND("effect:",N265)+7</f>
        <v>#VALUE!</v>
      </c>
      <c r="P265" s="60">
        <f t="shared" ref="P265:P271" si="115">IFERROR(FIND(",",N265),LEN(N265))</f>
        <v>4</v>
      </c>
      <c r="Q265" s="60" t="e">
        <f t="shared" ref="Q265:Q271" si="116">FIND("target:",N265)+7</f>
        <v>#VALUE!</v>
      </c>
      <c r="R265" s="60" t="e">
        <f t="shared" ref="R265:R271" si="117">FIND(",",N265,P265+1)</f>
        <v>#VALUE!</v>
      </c>
      <c r="S265" s="60" t="str">
        <f>IFERROR(VLOOKUP(MID(N265,Q265,R265-Q265),[6]skilldef!$C:$D,2,FALSE),"-") &amp; " / " &amp; IFERROR(VLOOKUP(MID(N265,O265,P265-O265),[6]skilldef!$A:$B,2,FALSE),"-")</f>
        <v>- / -</v>
      </c>
      <c r="T265" s="45" t="str">
        <f t="shared" ref="T265:T271" si="118">IFERROR(RIGHT(M265,LEN(M265)-FIND("],",M265)-1),"none")</f>
        <v>none</v>
      </c>
      <c r="U265" s="60" t="e">
        <f t="shared" ref="U265:U271" si="119">FIND("effect:",T265)+7</f>
        <v>#VALUE!</v>
      </c>
      <c r="V265" s="60">
        <f t="shared" ref="V265:V271" si="120">IFERROR(FIND(",",T265),LEN(T265))</f>
        <v>4</v>
      </c>
      <c r="W265" s="60" t="e">
        <f t="shared" ref="W265:W271" si="121">FIND("target:",T265)+7</f>
        <v>#VALUE!</v>
      </c>
      <c r="X265" s="60" t="e">
        <f t="shared" ref="X265:X271" si="122">FIND(",",T265,V265+1)</f>
        <v>#VALUE!</v>
      </c>
      <c r="Y265" s="60" t="str">
        <f>IFERROR(VLOOKUP(MID(T265,W265,X265-W265),[6]skilldef!$C:$D,2,FALSE),"-") &amp; " / " &amp; IFERROR(VLOOKUP(MID(T265,U265,V265-U265),[6]skilldef!$A:$B,2,FALSE),"-")</f>
        <v>- / -</v>
      </c>
    </row>
    <row r="266" spans="1:25" ht="21" customHeight="1" x14ac:dyDescent="0.15">
      <c r="A266" s="44">
        <v>15031265</v>
      </c>
      <c r="B266" s="44" t="s">
        <v>229</v>
      </c>
      <c r="C266" s="47">
        <v>3</v>
      </c>
      <c r="D266" s="47" t="s">
        <v>127</v>
      </c>
      <c r="E266" s="44" t="s">
        <v>226</v>
      </c>
      <c r="F266" s="48" t="s">
        <v>230</v>
      </c>
      <c r="G266" s="60" t="str">
        <f t="shared" si="107"/>
        <v>[effect:nothing]</v>
      </c>
      <c r="H266" s="60">
        <f t="shared" si="108"/>
        <v>9</v>
      </c>
      <c r="I266" s="60">
        <f t="shared" si="109"/>
        <v>16</v>
      </c>
      <c r="J266" s="60" t="e">
        <f t="shared" si="110"/>
        <v>#VALUE!</v>
      </c>
      <c r="K266" s="60" t="e">
        <f t="shared" si="111"/>
        <v>#VALUE!</v>
      </c>
      <c r="L266" s="60" t="str">
        <f>IFERROR(VLOOKUP(MID(G266,J266,K266-J266),[6]skilldef!$C:$D,2,FALSE),"-") &amp; " / " &amp; IFERROR(VLOOKUP(MID(G266,H266,I266-H266),[6]skilldef!$A:$B,2,FALSE),"-")</f>
        <v>- / 何もしない</v>
      </c>
      <c r="M266" s="60" t="str">
        <f t="shared" si="112"/>
        <v>none</v>
      </c>
      <c r="N266" s="45" t="str">
        <f t="shared" si="113"/>
        <v>none</v>
      </c>
      <c r="O266" s="60" t="e">
        <f t="shared" si="114"/>
        <v>#VALUE!</v>
      </c>
      <c r="P266" s="60">
        <f t="shared" si="115"/>
        <v>4</v>
      </c>
      <c r="Q266" s="60" t="e">
        <f t="shared" si="116"/>
        <v>#VALUE!</v>
      </c>
      <c r="R266" s="60" t="e">
        <f t="shared" si="117"/>
        <v>#VALUE!</v>
      </c>
      <c r="S266" s="60" t="str">
        <f>IFERROR(VLOOKUP(MID(N266,Q266,R266-Q266),[6]skilldef!$C:$D,2,FALSE),"-") &amp; " / " &amp; IFERROR(VLOOKUP(MID(N266,O266,P266-O266),[6]skilldef!$A:$B,2,FALSE),"-")</f>
        <v>- / -</v>
      </c>
      <c r="T266" s="45" t="str">
        <f t="shared" si="118"/>
        <v>none</v>
      </c>
      <c r="U266" s="60" t="e">
        <f t="shared" si="119"/>
        <v>#VALUE!</v>
      </c>
      <c r="V266" s="60">
        <f t="shared" si="120"/>
        <v>4</v>
      </c>
      <c r="W266" s="60" t="e">
        <f t="shared" si="121"/>
        <v>#VALUE!</v>
      </c>
      <c r="X266" s="60" t="e">
        <f t="shared" si="122"/>
        <v>#VALUE!</v>
      </c>
      <c r="Y266" s="60" t="str">
        <f>IFERROR(VLOOKUP(MID(T266,W266,X266-W266),[6]skilldef!$C:$D,2,FALSE),"-") &amp; " / " &amp; IFERROR(VLOOKUP(MID(T266,U266,V266-U266),[6]skilldef!$A:$B,2,FALSE),"-")</f>
        <v>- / -</v>
      </c>
    </row>
    <row r="267" spans="1:25" ht="21" customHeight="1" x14ac:dyDescent="0.15">
      <c r="A267" s="44">
        <v>15031266</v>
      </c>
      <c r="B267" s="44" t="s">
        <v>229</v>
      </c>
      <c r="C267" s="47">
        <v>3</v>
      </c>
      <c r="D267" s="47" t="s">
        <v>127</v>
      </c>
      <c r="E267" s="140" t="s">
        <v>227</v>
      </c>
      <c r="F267" s="48" t="s">
        <v>230</v>
      </c>
      <c r="G267" s="60" t="str">
        <f t="shared" si="107"/>
        <v>[effect:nothing]</v>
      </c>
      <c r="H267" s="60">
        <f t="shared" si="108"/>
        <v>9</v>
      </c>
      <c r="I267" s="60">
        <f t="shared" si="109"/>
        <v>16</v>
      </c>
      <c r="J267" s="60" t="e">
        <f t="shared" si="110"/>
        <v>#VALUE!</v>
      </c>
      <c r="K267" s="60" t="e">
        <f t="shared" si="111"/>
        <v>#VALUE!</v>
      </c>
      <c r="L267" s="60" t="str">
        <f>IFERROR(VLOOKUP(MID(G267,J267,K267-J267),[6]skilldef!$C:$D,2,FALSE),"-") &amp; " / " &amp; IFERROR(VLOOKUP(MID(G267,H267,I267-H267),[6]skilldef!$A:$B,2,FALSE),"-")</f>
        <v>- / 何もしない</v>
      </c>
      <c r="M267" s="60" t="str">
        <f t="shared" si="112"/>
        <v>none</v>
      </c>
      <c r="N267" s="45" t="str">
        <f t="shared" si="113"/>
        <v>none</v>
      </c>
      <c r="O267" s="60" t="e">
        <f t="shared" si="114"/>
        <v>#VALUE!</v>
      </c>
      <c r="P267" s="60">
        <f t="shared" si="115"/>
        <v>4</v>
      </c>
      <c r="Q267" s="60" t="e">
        <f t="shared" si="116"/>
        <v>#VALUE!</v>
      </c>
      <c r="R267" s="60" t="e">
        <f t="shared" si="117"/>
        <v>#VALUE!</v>
      </c>
      <c r="S267" s="60" t="str">
        <f>IFERROR(VLOOKUP(MID(N267,Q267,R267-Q267),[6]skilldef!$C:$D,2,FALSE),"-") &amp; " / " &amp; IFERROR(VLOOKUP(MID(N267,O267,P267-O267),[6]skilldef!$A:$B,2,FALSE),"-")</f>
        <v>- / -</v>
      </c>
      <c r="T267" s="45" t="str">
        <f t="shared" si="118"/>
        <v>none</v>
      </c>
      <c r="U267" s="60" t="e">
        <f t="shared" si="119"/>
        <v>#VALUE!</v>
      </c>
      <c r="V267" s="60">
        <f t="shared" si="120"/>
        <v>4</v>
      </c>
      <c r="W267" s="60" t="e">
        <f t="shared" si="121"/>
        <v>#VALUE!</v>
      </c>
      <c r="X267" s="60" t="e">
        <f t="shared" si="122"/>
        <v>#VALUE!</v>
      </c>
      <c r="Y267" s="60" t="str">
        <f>IFERROR(VLOOKUP(MID(T267,W267,X267-W267),[6]skilldef!$C:$D,2,FALSE),"-") &amp; " / " &amp; IFERROR(VLOOKUP(MID(T267,U267,V267-U267),[6]skilldef!$A:$B,2,FALSE),"-")</f>
        <v>- / -</v>
      </c>
    </row>
    <row r="268" spans="1:25" ht="21" customHeight="1" x14ac:dyDescent="0.15">
      <c r="A268" s="44">
        <v>15031267</v>
      </c>
      <c r="B268" s="44" t="s">
        <v>229</v>
      </c>
      <c r="C268" s="47">
        <v>3</v>
      </c>
      <c r="D268" s="47" t="s">
        <v>127</v>
      </c>
      <c r="E268" s="44" t="s">
        <v>227</v>
      </c>
      <c r="F268" s="48" t="s">
        <v>230</v>
      </c>
      <c r="G268" s="60" t="str">
        <f t="shared" si="107"/>
        <v>[effect:nothing]</v>
      </c>
      <c r="H268" s="60">
        <f t="shared" si="108"/>
        <v>9</v>
      </c>
      <c r="I268" s="60">
        <f t="shared" si="109"/>
        <v>16</v>
      </c>
      <c r="J268" s="60" t="e">
        <f t="shared" si="110"/>
        <v>#VALUE!</v>
      </c>
      <c r="K268" s="60" t="e">
        <f t="shared" si="111"/>
        <v>#VALUE!</v>
      </c>
      <c r="L268" s="60" t="str">
        <f>IFERROR(VLOOKUP(MID(G268,J268,K268-J268),[6]skilldef!$C:$D,2,FALSE),"-") &amp; " / " &amp; IFERROR(VLOOKUP(MID(G268,H268,I268-H268),[6]skilldef!$A:$B,2,FALSE),"-")</f>
        <v>- / 何もしない</v>
      </c>
      <c r="M268" s="60" t="str">
        <f t="shared" si="112"/>
        <v>none</v>
      </c>
      <c r="N268" s="45" t="str">
        <f t="shared" si="113"/>
        <v>none</v>
      </c>
      <c r="O268" s="60" t="e">
        <f t="shared" si="114"/>
        <v>#VALUE!</v>
      </c>
      <c r="P268" s="60">
        <f t="shared" si="115"/>
        <v>4</v>
      </c>
      <c r="Q268" s="60" t="e">
        <f t="shared" si="116"/>
        <v>#VALUE!</v>
      </c>
      <c r="R268" s="60" t="e">
        <f t="shared" si="117"/>
        <v>#VALUE!</v>
      </c>
      <c r="S268" s="60" t="str">
        <f>IFERROR(VLOOKUP(MID(N268,Q268,R268-Q268),[6]skilldef!$C:$D,2,FALSE),"-") &amp; " / " &amp; IFERROR(VLOOKUP(MID(N268,O268,P268-O268),[6]skilldef!$A:$B,2,FALSE),"-")</f>
        <v>- / -</v>
      </c>
      <c r="T268" s="45" t="str">
        <f t="shared" si="118"/>
        <v>none</v>
      </c>
      <c r="U268" s="60" t="e">
        <f t="shared" si="119"/>
        <v>#VALUE!</v>
      </c>
      <c r="V268" s="60">
        <f t="shared" si="120"/>
        <v>4</v>
      </c>
      <c r="W268" s="60" t="e">
        <f t="shared" si="121"/>
        <v>#VALUE!</v>
      </c>
      <c r="X268" s="60" t="e">
        <f t="shared" si="122"/>
        <v>#VALUE!</v>
      </c>
      <c r="Y268" s="60" t="str">
        <f>IFERROR(VLOOKUP(MID(T268,W268,X268-W268),[6]skilldef!$C:$D,2,FALSE),"-") &amp; " / " &amp; IFERROR(VLOOKUP(MID(T268,U268,V268-U268),[6]skilldef!$A:$B,2,FALSE),"-")</f>
        <v>- / -</v>
      </c>
    </row>
    <row r="269" spans="1:25" ht="21" customHeight="1" x14ac:dyDescent="0.15">
      <c r="A269" s="44">
        <v>15031268</v>
      </c>
      <c r="B269" s="44" t="s">
        <v>229</v>
      </c>
      <c r="C269" s="47">
        <v>3</v>
      </c>
      <c r="D269" s="47" t="s">
        <v>127</v>
      </c>
      <c r="E269" s="44" t="s">
        <v>227</v>
      </c>
      <c r="F269" s="48" t="s">
        <v>230</v>
      </c>
      <c r="G269" s="60" t="str">
        <f t="shared" si="107"/>
        <v>[effect:nothing]</v>
      </c>
      <c r="H269" s="60">
        <f t="shared" si="108"/>
        <v>9</v>
      </c>
      <c r="I269" s="60">
        <f t="shared" si="109"/>
        <v>16</v>
      </c>
      <c r="J269" s="60" t="e">
        <f t="shared" si="110"/>
        <v>#VALUE!</v>
      </c>
      <c r="K269" s="60" t="e">
        <f t="shared" si="111"/>
        <v>#VALUE!</v>
      </c>
      <c r="L269" s="60" t="str">
        <f>IFERROR(VLOOKUP(MID(G269,J269,K269-J269),[6]skilldef!$C:$D,2,FALSE),"-") &amp; " / " &amp; IFERROR(VLOOKUP(MID(G269,H269,I269-H269),[6]skilldef!$A:$B,2,FALSE),"-")</f>
        <v>- / 何もしない</v>
      </c>
      <c r="M269" s="60" t="str">
        <f t="shared" si="112"/>
        <v>none</v>
      </c>
      <c r="N269" s="45" t="str">
        <f t="shared" si="113"/>
        <v>none</v>
      </c>
      <c r="O269" s="60" t="e">
        <f t="shared" si="114"/>
        <v>#VALUE!</v>
      </c>
      <c r="P269" s="60">
        <f t="shared" si="115"/>
        <v>4</v>
      </c>
      <c r="Q269" s="60" t="e">
        <f t="shared" si="116"/>
        <v>#VALUE!</v>
      </c>
      <c r="R269" s="60" t="e">
        <f t="shared" si="117"/>
        <v>#VALUE!</v>
      </c>
      <c r="S269" s="60" t="str">
        <f>IFERROR(VLOOKUP(MID(N269,Q269,R269-Q269),[6]skilldef!$C:$D,2,FALSE),"-") &amp; " / " &amp; IFERROR(VLOOKUP(MID(N269,O269,P269-O269),[6]skilldef!$A:$B,2,FALSE),"-")</f>
        <v>- / -</v>
      </c>
      <c r="T269" s="45" t="str">
        <f t="shared" si="118"/>
        <v>none</v>
      </c>
      <c r="U269" s="60" t="e">
        <f t="shared" si="119"/>
        <v>#VALUE!</v>
      </c>
      <c r="V269" s="60">
        <f t="shared" si="120"/>
        <v>4</v>
      </c>
      <c r="W269" s="60" t="e">
        <f t="shared" si="121"/>
        <v>#VALUE!</v>
      </c>
      <c r="X269" s="60" t="e">
        <f t="shared" si="122"/>
        <v>#VALUE!</v>
      </c>
      <c r="Y269" s="60" t="str">
        <f>IFERROR(VLOOKUP(MID(T269,W269,X269-W269),[6]skilldef!$C:$D,2,FALSE),"-") &amp; " / " &amp; IFERROR(VLOOKUP(MID(T269,U269,V269-U269),[6]skilldef!$A:$B,2,FALSE),"-")</f>
        <v>- / -</v>
      </c>
    </row>
    <row r="270" spans="1:25" ht="21" customHeight="1" x14ac:dyDescent="0.15">
      <c r="A270" s="44">
        <v>15031269</v>
      </c>
      <c r="B270" s="44" t="s">
        <v>229</v>
      </c>
      <c r="C270" s="47">
        <v>3</v>
      </c>
      <c r="D270" s="47" t="s">
        <v>127</v>
      </c>
      <c r="E270" s="44" t="s">
        <v>227</v>
      </c>
      <c r="F270" s="48" t="s">
        <v>230</v>
      </c>
      <c r="G270" s="60" t="str">
        <f t="shared" si="107"/>
        <v>[effect:nothing]</v>
      </c>
      <c r="H270" s="60">
        <f t="shared" si="108"/>
        <v>9</v>
      </c>
      <c r="I270" s="60">
        <f t="shared" si="109"/>
        <v>16</v>
      </c>
      <c r="J270" s="60" t="e">
        <f t="shared" si="110"/>
        <v>#VALUE!</v>
      </c>
      <c r="K270" s="60" t="e">
        <f t="shared" si="111"/>
        <v>#VALUE!</v>
      </c>
      <c r="L270" s="60" t="str">
        <f>IFERROR(VLOOKUP(MID(G270,J270,K270-J270),[6]skilldef!$C:$D,2,FALSE),"-") &amp; " / " &amp; IFERROR(VLOOKUP(MID(G270,H270,I270-H270),[6]skilldef!$A:$B,2,FALSE),"-")</f>
        <v>- / 何もしない</v>
      </c>
      <c r="M270" s="60" t="str">
        <f t="shared" si="112"/>
        <v>none</v>
      </c>
      <c r="N270" s="45" t="str">
        <f t="shared" si="113"/>
        <v>none</v>
      </c>
      <c r="O270" s="60" t="e">
        <f t="shared" si="114"/>
        <v>#VALUE!</v>
      </c>
      <c r="P270" s="60">
        <f t="shared" si="115"/>
        <v>4</v>
      </c>
      <c r="Q270" s="60" t="e">
        <f t="shared" si="116"/>
        <v>#VALUE!</v>
      </c>
      <c r="R270" s="60" t="e">
        <f t="shared" si="117"/>
        <v>#VALUE!</v>
      </c>
      <c r="S270" s="60" t="str">
        <f>IFERROR(VLOOKUP(MID(N270,Q270,R270-Q270),[6]skilldef!$C:$D,2,FALSE),"-") &amp; " / " &amp; IFERROR(VLOOKUP(MID(N270,O270,P270-O270),[6]skilldef!$A:$B,2,FALSE),"-")</f>
        <v>- / -</v>
      </c>
      <c r="T270" s="45" t="str">
        <f t="shared" si="118"/>
        <v>none</v>
      </c>
      <c r="U270" s="60" t="e">
        <f t="shared" si="119"/>
        <v>#VALUE!</v>
      </c>
      <c r="V270" s="60">
        <f t="shared" si="120"/>
        <v>4</v>
      </c>
      <c r="W270" s="60" t="e">
        <f t="shared" si="121"/>
        <v>#VALUE!</v>
      </c>
      <c r="X270" s="60" t="e">
        <f t="shared" si="122"/>
        <v>#VALUE!</v>
      </c>
      <c r="Y270" s="60" t="str">
        <f>IFERROR(VLOOKUP(MID(T270,W270,X270-W270),[6]skilldef!$C:$D,2,FALSE),"-") &amp; " / " &amp; IFERROR(VLOOKUP(MID(T270,U270,V270-U270),[6]skilldef!$A:$B,2,FALSE),"-")</f>
        <v>- / -</v>
      </c>
    </row>
    <row r="271" spans="1:25" ht="21" customHeight="1" x14ac:dyDescent="0.15">
      <c r="A271" s="44">
        <v>15031270</v>
      </c>
      <c r="B271" s="44" t="s">
        <v>229</v>
      </c>
      <c r="C271" s="47">
        <v>3</v>
      </c>
      <c r="D271" s="47" t="s">
        <v>127</v>
      </c>
      <c r="E271" s="44" t="s">
        <v>227</v>
      </c>
      <c r="F271" s="48" t="s">
        <v>230</v>
      </c>
      <c r="G271" s="60" t="str">
        <f t="shared" si="107"/>
        <v>[effect:nothing]</v>
      </c>
      <c r="H271" s="60">
        <f t="shared" si="108"/>
        <v>9</v>
      </c>
      <c r="I271" s="60">
        <f t="shared" si="109"/>
        <v>16</v>
      </c>
      <c r="J271" s="60" t="e">
        <f t="shared" si="110"/>
        <v>#VALUE!</v>
      </c>
      <c r="K271" s="60" t="e">
        <f t="shared" si="111"/>
        <v>#VALUE!</v>
      </c>
      <c r="L271" s="60" t="str">
        <f>IFERROR(VLOOKUP(MID(G271,J271,K271-J271),[6]skilldef!$C:$D,2,FALSE),"-") &amp; " / " &amp; IFERROR(VLOOKUP(MID(G271,H271,I271-H271),[6]skilldef!$A:$B,2,FALSE),"-")</f>
        <v>- / 何もしない</v>
      </c>
      <c r="M271" s="60" t="str">
        <f t="shared" si="112"/>
        <v>none</v>
      </c>
      <c r="N271" s="45" t="str">
        <f t="shared" si="113"/>
        <v>none</v>
      </c>
      <c r="O271" s="60" t="e">
        <f t="shared" si="114"/>
        <v>#VALUE!</v>
      </c>
      <c r="P271" s="60">
        <f t="shared" si="115"/>
        <v>4</v>
      </c>
      <c r="Q271" s="60" t="e">
        <f t="shared" si="116"/>
        <v>#VALUE!</v>
      </c>
      <c r="R271" s="60" t="e">
        <f t="shared" si="117"/>
        <v>#VALUE!</v>
      </c>
      <c r="S271" s="60" t="str">
        <f>IFERROR(VLOOKUP(MID(N271,Q271,R271-Q271),[6]skilldef!$C:$D,2,FALSE),"-") &amp; " / " &amp; IFERROR(VLOOKUP(MID(N271,O271,P271-O271),[6]skilldef!$A:$B,2,FALSE),"-")</f>
        <v>- / -</v>
      </c>
      <c r="T271" s="45" t="str">
        <f t="shared" si="118"/>
        <v>none</v>
      </c>
      <c r="U271" s="60" t="e">
        <f t="shared" si="119"/>
        <v>#VALUE!</v>
      </c>
      <c r="V271" s="60">
        <f t="shared" si="120"/>
        <v>4</v>
      </c>
      <c r="W271" s="60" t="e">
        <f t="shared" si="121"/>
        <v>#VALUE!</v>
      </c>
      <c r="X271" s="60" t="e">
        <f t="shared" si="122"/>
        <v>#VALUE!</v>
      </c>
      <c r="Y271" s="60" t="str">
        <f>IFERROR(VLOOKUP(MID(T271,W271,X271-W271),[6]skilldef!$C:$D,2,FALSE),"-") &amp; " / " &amp; IFERROR(VLOOKUP(MID(T271,U271,V271-U271),[6]skilldef!$A:$B,2,FALSE),"-")</f>
        <v>- / -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M50"/>
  <sheetViews>
    <sheetView showGridLines="0" zoomScale="115" zoomScaleNormal="115" zoomScalePageLayoutView="115" workbookViewId="0">
      <pane ySplit="1" topLeftCell="A27" activePane="bottomLeft" state="frozenSplit"/>
      <selection pane="bottomLeft" activeCell="G33" sqref="G33"/>
    </sheetView>
  </sheetViews>
  <sheetFormatPr baseColWidth="12" defaultColWidth="12.83203125" defaultRowHeight="21" customHeight="1" x14ac:dyDescent="0.15"/>
  <cols>
    <col min="1" max="1" width="16.1640625" style="46" bestFit="1" customWidth="1"/>
    <col min="2" max="2" width="13.33203125" style="46" bestFit="1" customWidth="1"/>
    <col min="3" max="3" width="11.83203125" style="46" bestFit="1" customWidth="1"/>
    <col min="4" max="4" width="14.6640625" style="46" bestFit="1" customWidth="1"/>
    <col min="5" max="5" width="15.6640625" style="46" bestFit="1" customWidth="1"/>
    <col min="6" max="6" width="17" style="46" bestFit="1" customWidth="1"/>
    <col min="7" max="7" width="15.6640625" style="46" bestFit="1" customWidth="1"/>
    <col min="8" max="9" width="14.6640625" style="46" customWidth="1"/>
    <col min="10" max="10" width="14.6640625" style="46" bestFit="1" customWidth="1"/>
    <col min="11" max="11" width="22.83203125" style="36" bestFit="1" customWidth="1"/>
    <col min="12" max="16384" width="12.83203125" style="42"/>
  </cols>
  <sheetData>
    <row r="1" spans="1:13" ht="21" customHeight="1" x14ac:dyDescent="0.15">
      <c r="A1" s="39" t="s">
        <v>83</v>
      </c>
      <c r="B1" s="39" t="s">
        <v>84</v>
      </c>
      <c r="C1" s="39" t="s">
        <v>85</v>
      </c>
      <c r="D1" s="39" t="s">
        <v>86</v>
      </c>
      <c r="E1" s="39" t="s">
        <v>68</v>
      </c>
      <c r="F1" s="50" t="s">
        <v>69</v>
      </c>
      <c r="G1" s="50" t="s">
        <v>70</v>
      </c>
      <c r="H1" s="39" t="s">
        <v>71</v>
      </c>
      <c r="I1" s="39" t="s">
        <v>72</v>
      </c>
      <c r="J1" s="39" t="s">
        <v>73</v>
      </c>
      <c r="K1" s="51" t="s">
        <v>87</v>
      </c>
    </row>
    <row r="2" spans="1:13" ht="21" customHeight="1" x14ac:dyDescent="0.15">
      <c r="A2" s="142">
        <v>15031001</v>
      </c>
      <c r="B2" s="44">
        <v>0</v>
      </c>
      <c r="C2" s="44" t="s">
        <v>88</v>
      </c>
      <c r="D2" s="44">
        <v>20</v>
      </c>
      <c r="E2" s="44">
        <v>80</v>
      </c>
      <c r="F2" s="44" t="s">
        <v>89</v>
      </c>
      <c r="G2" s="44">
        <v>1</v>
      </c>
      <c r="H2" s="44" t="s">
        <v>89</v>
      </c>
      <c r="I2" s="44" t="s">
        <v>89</v>
      </c>
      <c r="J2" s="45">
        <f t="shared" ref="J2" si="0">D2</f>
        <v>20</v>
      </c>
      <c r="L2" s="42" t="s">
        <v>255</v>
      </c>
      <c r="M2" s="42" t="s">
        <v>354</v>
      </c>
    </row>
    <row r="3" spans="1:13" ht="21" customHeight="1" x14ac:dyDescent="0.15">
      <c r="A3" s="142">
        <v>15031006</v>
      </c>
      <c r="B3" s="44">
        <v>0</v>
      </c>
      <c r="C3" s="44" t="s">
        <v>88</v>
      </c>
      <c r="D3" s="44">
        <v>20</v>
      </c>
      <c r="E3" s="44">
        <v>100</v>
      </c>
      <c r="F3" s="44" t="s">
        <v>89</v>
      </c>
      <c r="G3" s="44" t="s">
        <v>89</v>
      </c>
      <c r="H3" s="44" t="s">
        <v>89</v>
      </c>
      <c r="I3" s="44" t="s">
        <v>89</v>
      </c>
      <c r="J3" s="45">
        <f t="shared" ref="J3:J15" si="1">D3</f>
        <v>20</v>
      </c>
      <c r="L3" s="42" t="s">
        <v>266</v>
      </c>
      <c r="M3" s="42" t="s">
        <v>355</v>
      </c>
    </row>
    <row r="4" spans="1:13" ht="21" customHeight="1" x14ac:dyDescent="0.15">
      <c r="A4" s="142">
        <v>15031011</v>
      </c>
      <c r="B4" s="44">
        <v>0</v>
      </c>
      <c r="C4" s="44" t="s">
        <v>88</v>
      </c>
      <c r="D4" s="44">
        <v>20</v>
      </c>
      <c r="E4" s="44">
        <v>80</v>
      </c>
      <c r="F4" s="44" t="s">
        <v>89</v>
      </c>
      <c r="G4" s="44">
        <v>1</v>
      </c>
      <c r="H4" s="44" t="s">
        <v>89</v>
      </c>
      <c r="I4" s="44" t="s">
        <v>89</v>
      </c>
      <c r="J4" s="45">
        <f t="shared" si="1"/>
        <v>20</v>
      </c>
      <c r="L4" s="42" t="s">
        <v>257</v>
      </c>
      <c r="M4" s="42" t="s">
        <v>356</v>
      </c>
    </row>
    <row r="5" spans="1:13" ht="21" customHeight="1" x14ac:dyDescent="0.15">
      <c r="A5" s="142">
        <v>15031016</v>
      </c>
      <c r="B5" s="44">
        <v>0</v>
      </c>
      <c r="C5" s="44" t="s">
        <v>88</v>
      </c>
      <c r="D5" s="44">
        <v>20</v>
      </c>
      <c r="E5" s="44">
        <v>100</v>
      </c>
      <c r="F5" s="44" t="s">
        <v>89</v>
      </c>
      <c r="G5" s="44" t="s">
        <v>89</v>
      </c>
      <c r="H5" s="44" t="s">
        <v>89</v>
      </c>
      <c r="I5" s="44" t="s">
        <v>89</v>
      </c>
      <c r="J5" s="45">
        <f t="shared" si="1"/>
        <v>20</v>
      </c>
      <c r="L5" s="42" t="s">
        <v>267</v>
      </c>
      <c r="M5" s="42" t="s">
        <v>355</v>
      </c>
    </row>
    <row r="6" spans="1:13" ht="21" customHeight="1" x14ac:dyDescent="0.15">
      <c r="A6" s="142">
        <v>15031021</v>
      </c>
      <c r="B6" s="44">
        <v>0</v>
      </c>
      <c r="C6" s="44" t="s">
        <v>88</v>
      </c>
      <c r="D6" s="44">
        <v>20</v>
      </c>
      <c r="E6" s="44">
        <v>80</v>
      </c>
      <c r="F6" s="44" t="s">
        <v>89</v>
      </c>
      <c r="G6" s="44" t="s">
        <v>89</v>
      </c>
      <c r="H6" s="44" t="s">
        <v>89</v>
      </c>
      <c r="I6" s="44" t="s">
        <v>89</v>
      </c>
      <c r="J6" s="45">
        <f t="shared" si="1"/>
        <v>20</v>
      </c>
      <c r="L6" s="42" t="s">
        <v>259</v>
      </c>
      <c r="M6" s="42" t="s">
        <v>357</v>
      </c>
    </row>
    <row r="7" spans="1:13" ht="21" customHeight="1" x14ac:dyDescent="0.15">
      <c r="A7" s="142">
        <v>15031026</v>
      </c>
      <c r="B7" s="44">
        <v>0</v>
      </c>
      <c r="C7" s="44" t="s">
        <v>88</v>
      </c>
      <c r="D7" s="44">
        <v>20</v>
      </c>
      <c r="E7" s="44">
        <v>80</v>
      </c>
      <c r="F7" s="44" t="s">
        <v>89</v>
      </c>
      <c r="G7" s="44" t="s">
        <v>89</v>
      </c>
      <c r="H7" s="44" t="s">
        <v>89</v>
      </c>
      <c r="I7" s="44" t="s">
        <v>89</v>
      </c>
      <c r="J7" s="45">
        <f t="shared" si="1"/>
        <v>20</v>
      </c>
      <c r="L7" s="42" t="s">
        <v>260</v>
      </c>
      <c r="M7" s="42" t="s">
        <v>357</v>
      </c>
    </row>
    <row r="8" spans="1:13" ht="21" customHeight="1" x14ac:dyDescent="0.15">
      <c r="A8" s="142">
        <v>15031031</v>
      </c>
      <c r="B8" s="44">
        <v>0</v>
      </c>
      <c r="C8" s="44" t="s">
        <v>88</v>
      </c>
      <c r="D8" s="44">
        <v>100</v>
      </c>
      <c r="E8" s="44">
        <v>100</v>
      </c>
      <c r="F8" s="44" t="s">
        <v>89</v>
      </c>
      <c r="G8" s="44">
        <v>1</v>
      </c>
      <c r="H8" s="44">
        <v>4</v>
      </c>
      <c r="I8" s="44" t="s">
        <v>89</v>
      </c>
      <c r="J8" s="45">
        <f t="shared" si="1"/>
        <v>100</v>
      </c>
      <c r="L8" s="42" t="s">
        <v>268</v>
      </c>
      <c r="M8" s="42" t="s">
        <v>352</v>
      </c>
    </row>
    <row r="9" spans="1:13" ht="21" customHeight="1" x14ac:dyDescent="0.15">
      <c r="A9" s="142">
        <v>15031032</v>
      </c>
      <c r="B9" s="44">
        <v>1</v>
      </c>
      <c r="C9" s="44">
        <v>1</v>
      </c>
      <c r="D9" s="44">
        <v>20</v>
      </c>
      <c r="E9" s="44">
        <v>100</v>
      </c>
      <c r="F9" s="44" t="s">
        <v>89</v>
      </c>
      <c r="G9" s="44">
        <v>1</v>
      </c>
      <c r="H9" s="44" t="s">
        <v>89</v>
      </c>
      <c r="I9" s="44" t="s">
        <v>89</v>
      </c>
      <c r="J9" s="45">
        <f t="shared" ref="J9" si="2">D9</f>
        <v>20</v>
      </c>
      <c r="L9" s="42" t="s">
        <v>268</v>
      </c>
      <c r="M9" s="42" t="s">
        <v>344</v>
      </c>
    </row>
    <row r="10" spans="1:13" ht="21" customHeight="1" x14ac:dyDescent="0.15">
      <c r="A10" s="142">
        <v>15031036</v>
      </c>
      <c r="B10" s="44">
        <v>0</v>
      </c>
      <c r="C10" s="44" t="s">
        <v>88</v>
      </c>
      <c r="D10" s="44">
        <v>100</v>
      </c>
      <c r="E10" s="44">
        <v>100</v>
      </c>
      <c r="F10" s="44" t="s">
        <v>89</v>
      </c>
      <c r="G10" s="44">
        <v>1</v>
      </c>
      <c r="H10" s="44">
        <v>2</v>
      </c>
      <c r="I10" s="44" t="s">
        <v>89</v>
      </c>
      <c r="J10" s="45">
        <f t="shared" si="1"/>
        <v>100</v>
      </c>
      <c r="L10" s="42" t="s">
        <v>269</v>
      </c>
      <c r="M10" s="42" t="s">
        <v>358</v>
      </c>
    </row>
    <row r="11" spans="1:13" ht="21" customHeight="1" x14ac:dyDescent="0.15">
      <c r="A11" s="142">
        <v>15031041</v>
      </c>
      <c r="B11" s="44">
        <v>0</v>
      </c>
      <c r="C11" s="44" t="s">
        <v>88</v>
      </c>
      <c r="D11" s="44">
        <v>100</v>
      </c>
      <c r="E11" s="44">
        <v>100</v>
      </c>
      <c r="F11" s="44" t="s">
        <v>89</v>
      </c>
      <c r="G11" s="44" t="s">
        <v>89</v>
      </c>
      <c r="H11" s="44">
        <v>3</v>
      </c>
      <c r="I11" s="44" t="s">
        <v>89</v>
      </c>
      <c r="J11" s="45">
        <f t="shared" si="1"/>
        <v>100</v>
      </c>
      <c r="L11" s="42" t="s">
        <v>270</v>
      </c>
      <c r="M11" s="42" t="s">
        <v>359</v>
      </c>
    </row>
    <row r="12" spans="1:13" ht="21" customHeight="1" x14ac:dyDescent="0.15">
      <c r="A12" s="142">
        <v>15031046</v>
      </c>
      <c r="B12" s="44">
        <v>0</v>
      </c>
      <c r="C12" s="44" t="s">
        <v>88</v>
      </c>
      <c r="D12" s="44">
        <v>100</v>
      </c>
      <c r="E12" s="44">
        <v>100</v>
      </c>
      <c r="F12" s="44" t="s">
        <v>89</v>
      </c>
      <c r="G12" s="44">
        <v>1</v>
      </c>
      <c r="H12" s="44" t="s">
        <v>379</v>
      </c>
      <c r="I12" s="44" t="s">
        <v>89</v>
      </c>
      <c r="J12" s="45">
        <f t="shared" si="1"/>
        <v>100</v>
      </c>
      <c r="L12" s="42" t="s">
        <v>271</v>
      </c>
      <c r="M12" s="42" t="s">
        <v>360</v>
      </c>
    </row>
    <row r="13" spans="1:13" ht="21" customHeight="1" x14ac:dyDescent="0.15">
      <c r="A13" s="142">
        <v>15031047</v>
      </c>
      <c r="B13" s="44">
        <v>0</v>
      </c>
      <c r="C13" s="44" t="s">
        <v>88</v>
      </c>
      <c r="D13" s="44">
        <v>100</v>
      </c>
      <c r="E13" s="44">
        <v>100</v>
      </c>
      <c r="F13" s="44" t="s">
        <v>89</v>
      </c>
      <c r="G13" s="44" t="s">
        <v>89</v>
      </c>
      <c r="H13" s="44">
        <v>5</v>
      </c>
      <c r="I13" s="44" t="s">
        <v>89</v>
      </c>
      <c r="J13" s="45">
        <f t="shared" si="1"/>
        <v>100</v>
      </c>
      <c r="L13" s="42" t="s">
        <v>271</v>
      </c>
      <c r="M13" s="42" t="s">
        <v>361</v>
      </c>
    </row>
    <row r="14" spans="1:13" ht="21" customHeight="1" x14ac:dyDescent="0.15">
      <c r="A14" s="142">
        <v>15031048</v>
      </c>
      <c r="B14" s="44">
        <v>0</v>
      </c>
      <c r="C14" s="44" t="s">
        <v>88</v>
      </c>
      <c r="D14" s="44">
        <v>25</v>
      </c>
      <c r="E14" s="44">
        <v>100</v>
      </c>
      <c r="F14" s="44" t="s">
        <v>89</v>
      </c>
      <c r="G14" s="44" t="s">
        <v>89</v>
      </c>
      <c r="H14" s="44" t="s">
        <v>89</v>
      </c>
      <c r="I14" s="44" t="s">
        <v>89</v>
      </c>
      <c r="J14" s="45">
        <f t="shared" si="1"/>
        <v>25</v>
      </c>
      <c r="L14" s="42" t="s">
        <v>271</v>
      </c>
      <c r="M14" s="42" t="s">
        <v>355</v>
      </c>
    </row>
    <row r="15" spans="1:13" ht="21" customHeight="1" x14ac:dyDescent="0.15">
      <c r="A15" s="142">
        <v>15031049</v>
      </c>
      <c r="B15" s="44">
        <v>0</v>
      </c>
      <c r="C15" s="44" t="s">
        <v>88</v>
      </c>
      <c r="D15" s="44">
        <v>25</v>
      </c>
      <c r="E15" s="44">
        <v>100</v>
      </c>
      <c r="F15" s="44" t="s">
        <v>89</v>
      </c>
      <c r="G15" s="44" t="s">
        <v>89</v>
      </c>
      <c r="H15" s="44" t="s">
        <v>89</v>
      </c>
      <c r="I15" s="44" t="s">
        <v>89</v>
      </c>
      <c r="J15" s="45">
        <f t="shared" si="1"/>
        <v>25</v>
      </c>
      <c r="L15" s="42" t="s">
        <v>271</v>
      </c>
      <c r="M15" s="42" t="s">
        <v>362</v>
      </c>
    </row>
    <row r="16" spans="1:13" ht="21" customHeight="1" x14ac:dyDescent="0.15">
      <c r="A16" s="141">
        <v>15031051</v>
      </c>
      <c r="B16" s="44">
        <v>0</v>
      </c>
      <c r="C16" s="44" t="s">
        <v>88</v>
      </c>
      <c r="D16" s="44">
        <v>20</v>
      </c>
      <c r="E16" s="44">
        <v>80</v>
      </c>
      <c r="F16" s="44" t="s">
        <v>89</v>
      </c>
      <c r="G16" s="44">
        <v>1</v>
      </c>
      <c r="H16" s="44" t="s">
        <v>89</v>
      </c>
      <c r="I16" s="44" t="s">
        <v>89</v>
      </c>
      <c r="J16" s="45">
        <f t="shared" ref="J16:J50" si="3">D16</f>
        <v>20</v>
      </c>
      <c r="L16" s="42" t="s">
        <v>255</v>
      </c>
      <c r="M16" s="42" t="s">
        <v>354</v>
      </c>
    </row>
    <row r="17" spans="1:13" ht="21" customHeight="1" x14ac:dyDescent="0.15">
      <c r="A17" s="141">
        <v>15031056</v>
      </c>
      <c r="B17" s="44">
        <v>0</v>
      </c>
      <c r="C17" s="44" t="s">
        <v>88</v>
      </c>
      <c r="D17" s="44">
        <v>20</v>
      </c>
      <c r="E17" s="44">
        <v>100</v>
      </c>
      <c r="F17" s="44" t="s">
        <v>89</v>
      </c>
      <c r="G17" s="44">
        <v>1</v>
      </c>
      <c r="H17" s="44" t="s">
        <v>89</v>
      </c>
      <c r="I17" s="44" t="s">
        <v>89</v>
      </c>
      <c r="J17" s="45">
        <f t="shared" si="3"/>
        <v>20</v>
      </c>
      <c r="L17" s="42" t="s">
        <v>256</v>
      </c>
      <c r="M17" s="42" t="s">
        <v>363</v>
      </c>
    </row>
    <row r="18" spans="1:13" ht="21" customHeight="1" x14ac:dyDescent="0.15">
      <c r="A18" s="141">
        <v>15031061</v>
      </c>
      <c r="B18" s="44">
        <v>0</v>
      </c>
      <c r="C18" s="44" t="s">
        <v>88</v>
      </c>
      <c r="D18" s="44">
        <v>20</v>
      </c>
      <c r="E18" s="44">
        <v>80</v>
      </c>
      <c r="F18" s="44" t="s">
        <v>89</v>
      </c>
      <c r="G18" s="44">
        <v>1</v>
      </c>
      <c r="H18" s="44" t="s">
        <v>89</v>
      </c>
      <c r="I18" s="44" t="s">
        <v>89</v>
      </c>
      <c r="J18" s="45">
        <f t="shared" si="3"/>
        <v>20</v>
      </c>
      <c r="L18" s="42" t="s">
        <v>257</v>
      </c>
      <c r="M18" s="42" t="s">
        <v>356</v>
      </c>
    </row>
    <row r="19" spans="1:13" ht="21" customHeight="1" x14ac:dyDescent="0.15">
      <c r="A19" s="141">
        <v>15031066</v>
      </c>
      <c r="B19" s="44">
        <v>0</v>
      </c>
      <c r="C19" s="44" t="s">
        <v>88</v>
      </c>
      <c r="D19" s="44">
        <v>20</v>
      </c>
      <c r="E19" s="44">
        <v>80</v>
      </c>
      <c r="F19" s="44" t="s">
        <v>89</v>
      </c>
      <c r="G19" s="44">
        <v>1</v>
      </c>
      <c r="H19" s="44" t="s">
        <v>89</v>
      </c>
      <c r="I19" s="44" t="s">
        <v>89</v>
      </c>
      <c r="J19" s="45">
        <f t="shared" si="3"/>
        <v>20</v>
      </c>
      <c r="L19" s="42" t="s">
        <v>258</v>
      </c>
      <c r="M19" s="42" t="s">
        <v>364</v>
      </c>
    </row>
    <row r="20" spans="1:13" ht="21" customHeight="1" x14ac:dyDescent="0.15">
      <c r="A20" s="141">
        <v>15031071</v>
      </c>
      <c r="B20" s="44">
        <v>0</v>
      </c>
      <c r="C20" s="44" t="s">
        <v>88</v>
      </c>
      <c r="D20" s="44">
        <v>20</v>
      </c>
      <c r="E20" s="44">
        <v>50</v>
      </c>
      <c r="F20" s="44" t="s">
        <v>89</v>
      </c>
      <c r="G20" s="44" t="s">
        <v>89</v>
      </c>
      <c r="H20" s="44" t="s">
        <v>89</v>
      </c>
      <c r="I20" s="44" t="s">
        <v>89</v>
      </c>
      <c r="J20" s="45">
        <f t="shared" si="3"/>
        <v>20</v>
      </c>
      <c r="L20" s="42" t="s">
        <v>259</v>
      </c>
      <c r="M20" s="42" t="s">
        <v>357</v>
      </c>
    </row>
    <row r="21" spans="1:13" ht="21" customHeight="1" x14ac:dyDescent="0.15">
      <c r="A21" s="140">
        <v>15031076</v>
      </c>
      <c r="B21" s="44">
        <v>0</v>
      </c>
      <c r="C21" s="44" t="s">
        <v>88</v>
      </c>
      <c r="D21" s="44">
        <v>20</v>
      </c>
      <c r="E21" s="44">
        <v>50</v>
      </c>
      <c r="F21" s="44" t="s">
        <v>89</v>
      </c>
      <c r="G21" s="44" t="s">
        <v>89</v>
      </c>
      <c r="H21" s="44" t="s">
        <v>89</v>
      </c>
      <c r="I21" s="44" t="s">
        <v>89</v>
      </c>
      <c r="J21" s="45">
        <f t="shared" si="3"/>
        <v>20</v>
      </c>
      <c r="L21" s="42" t="s">
        <v>260</v>
      </c>
      <c r="M21" s="42" t="s">
        <v>357</v>
      </c>
    </row>
    <row r="22" spans="1:13" ht="21" customHeight="1" x14ac:dyDescent="0.15">
      <c r="A22" s="140">
        <v>15031081</v>
      </c>
      <c r="B22" s="44">
        <v>0</v>
      </c>
      <c r="C22" s="44" t="s">
        <v>88</v>
      </c>
      <c r="D22" s="44">
        <v>20</v>
      </c>
      <c r="E22" s="44">
        <v>100</v>
      </c>
      <c r="F22" s="44" t="s">
        <v>89</v>
      </c>
      <c r="G22" s="44">
        <v>1</v>
      </c>
      <c r="H22" s="44" t="s">
        <v>89</v>
      </c>
      <c r="I22" s="44" t="s">
        <v>89</v>
      </c>
      <c r="J22" s="45">
        <f t="shared" si="3"/>
        <v>20</v>
      </c>
      <c r="L22" s="42" t="s">
        <v>256</v>
      </c>
      <c r="M22" s="42" t="s">
        <v>363</v>
      </c>
    </row>
    <row r="23" spans="1:13" ht="21" customHeight="1" x14ac:dyDescent="0.15">
      <c r="A23" s="140">
        <v>15031086</v>
      </c>
      <c r="B23" s="44">
        <v>0</v>
      </c>
      <c r="C23" s="44" t="s">
        <v>88</v>
      </c>
      <c r="D23" s="44">
        <v>20</v>
      </c>
      <c r="E23" s="44">
        <v>100</v>
      </c>
      <c r="F23" s="44" t="s">
        <v>89</v>
      </c>
      <c r="G23" s="44">
        <v>1</v>
      </c>
      <c r="H23" s="44" t="s">
        <v>89</v>
      </c>
      <c r="I23" s="44" t="s">
        <v>89</v>
      </c>
      <c r="J23" s="45">
        <f t="shared" si="3"/>
        <v>20</v>
      </c>
      <c r="L23" s="42" t="s">
        <v>258</v>
      </c>
      <c r="M23" s="42" t="s">
        <v>364</v>
      </c>
    </row>
    <row r="24" spans="1:13" ht="21" customHeight="1" x14ac:dyDescent="0.15">
      <c r="A24" s="140">
        <v>15031091</v>
      </c>
      <c r="B24" s="44">
        <v>0</v>
      </c>
      <c r="C24" s="44" t="s">
        <v>88</v>
      </c>
      <c r="D24" s="44">
        <v>50</v>
      </c>
      <c r="E24" s="44">
        <v>100</v>
      </c>
      <c r="F24" s="44" t="s">
        <v>89</v>
      </c>
      <c r="G24" s="44" t="s">
        <v>89</v>
      </c>
      <c r="H24" s="44">
        <v>2</v>
      </c>
      <c r="I24" s="44" t="s">
        <v>89</v>
      </c>
      <c r="J24" s="45">
        <f t="shared" si="3"/>
        <v>50</v>
      </c>
      <c r="L24" s="42" t="s">
        <v>272</v>
      </c>
      <c r="M24" s="42" t="s">
        <v>365</v>
      </c>
    </row>
    <row r="25" spans="1:13" ht="21" customHeight="1" x14ac:dyDescent="0.15">
      <c r="A25" s="140">
        <v>15031096</v>
      </c>
      <c r="B25" s="44">
        <v>0</v>
      </c>
      <c r="C25" s="44" t="s">
        <v>88</v>
      </c>
      <c r="D25" s="44">
        <v>50</v>
      </c>
      <c r="E25" s="44">
        <v>100</v>
      </c>
      <c r="F25" s="44" t="s">
        <v>89</v>
      </c>
      <c r="G25" s="44" t="s">
        <v>89</v>
      </c>
      <c r="H25" s="44">
        <v>2</v>
      </c>
      <c r="I25" s="44" t="s">
        <v>89</v>
      </c>
      <c r="J25" s="45">
        <f t="shared" si="3"/>
        <v>50</v>
      </c>
      <c r="L25" s="42" t="s">
        <v>273</v>
      </c>
      <c r="M25" s="42" t="s">
        <v>366</v>
      </c>
    </row>
    <row r="26" spans="1:13" ht="21" customHeight="1" x14ac:dyDescent="0.15">
      <c r="A26" s="44">
        <v>15031101</v>
      </c>
      <c r="B26" s="44">
        <v>0</v>
      </c>
      <c r="C26" s="44" t="s">
        <v>88</v>
      </c>
      <c r="D26" s="44">
        <v>20</v>
      </c>
      <c r="E26" s="44">
        <v>80</v>
      </c>
      <c r="F26" s="44" t="s">
        <v>89</v>
      </c>
      <c r="G26" s="44">
        <v>1</v>
      </c>
      <c r="H26" s="44" t="s">
        <v>89</v>
      </c>
      <c r="I26" s="44" t="s">
        <v>89</v>
      </c>
      <c r="J26" s="45">
        <f t="shared" si="3"/>
        <v>20</v>
      </c>
      <c r="L26" s="42" t="s">
        <v>256</v>
      </c>
      <c r="M26" s="42" t="s">
        <v>363</v>
      </c>
    </row>
    <row r="27" spans="1:13" ht="21" customHeight="1" x14ac:dyDescent="0.15">
      <c r="A27" s="44">
        <v>15031106</v>
      </c>
      <c r="B27" s="44">
        <v>0</v>
      </c>
      <c r="C27" s="44" t="s">
        <v>88</v>
      </c>
      <c r="D27" s="44">
        <v>20</v>
      </c>
      <c r="E27" s="44">
        <v>100</v>
      </c>
      <c r="F27" s="44" t="s">
        <v>89</v>
      </c>
      <c r="G27" s="44" t="s">
        <v>89</v>
      </c>
      <c r="H27" s="44" t="s">
        <v>89</v>
      </c>
      <c r="I27" s="44" t="s">
        <v>89</v>
      </c>
      <c r="J27" s="45">
        <f t="shared" si="3"/>
        <v>20</v>
      </c>
      <c r="L27" s="42" t="s">
        <v>261</v>
      </c>
      <c r="M27" s="42" t="s">
        <v>355</v>
      </c>
    </row>
    <row r="28" spans="1:13" ht="21" customHeight="1" x14ac:dyDescent="0.15">
      <c r="A28" s="44">
        <v>15031111</v>
      </c>
      <c r="B28" s="44">
        <v>0</v>
      </c>
      <c r="C28" s="44" t="s">
        <v>88</v>
      </c>
      <c r="D28" s="44">
        <v>20</v>
      </c>
      <c r="E28" s="44">
        <v>80</v>
      </c>
      <c r="F28" s="44" t="s">
        <v>89</v>
      </c>
      <c r="G28" s="44">
        <v>1</v>
      </c>
      <c r="H28" s="44" t="s">
        <v>89</v>
      </c>
      <c r="I28" s="44" t="s">
        <v>89</v>
      </c>
      <c r="J28" s="45">
        <f t="shared" si="3"/>
        <v>20</v>
      </c>
      <c r="L28" s="42" t="s">
        <v>258</v>
      </c>
      <c r="M28" s="42" t="s">
        <v>364</v>
      </c>
    </row>
    <row r="29" spans="1:13" ht="21" customHeight="1" x14ac:dyDescent="0.15">
      <c r="A29" s="44">
        <v>15031116</v>
      </c>
      <c r="B29" s="44">
        <v>0</v>
      </c>
      <c r="C29" s="44" t="s">
        <v>88</v>
      </c>
      <c r="D29" s="44">
        <v>20</v>
      </c>
      <c r="E29" s="44">
        <v>100</v>
      </c>
      <c r="F29" s="44" t="s">
        <v>89</v>
      </c>
      <c r="G29" s="44" t="s">
        <v>89</v>
      </c>
      <c r="H29" s="44" t="s">
        <v>89</v>
      </c>
      <c r="I29" s="44" t="s">
        <v>89</v>
      </c>
      <c r="J29" s="45">
        <f t="shared" si="3"/>
        <v>20</v>
      </c>
      <c r="L29" s="42" t="s">
        <v>262</v>
      </c>
      <c r="M29" s="42" t="s">
        <v>355</v>
      </c>
    </row>
    <row r="30" spans="1:13" ht="21" customHeight="1" x14ac:dyDescent="0.15">
      <c r="A30" s="44">
        <v>15031121</v>
      </c>
      <c r="B30" s="44">
        <v>0</v>
      </c>
      <c r="C30" s="44" t="s">
        <v>88</v>
      </c>
      <c r="D30" s="44">
        <v>100</v>
      </c>
      <c r="E30" s="44">
        <v>100</v>
      </c>
      <c r="F30" s="44" t="s">
        <v>89</v>
      </c>
      <c r="G30" s="44">
        <v>1</v>
      </c>
      <c r="H30" s="44">
        <v>4</v>
      </c>
      <c r="I30" s="44" t="s">
        <v>89</v>
      </c>
      <c r="J30" s="45">
        <f t="shared" si="3"/>
        <v>100</v>
      </c>
      <c r="L30" s="42" t="s">
        <v>263</v>
      </c>
      <c r="M30" s="42" t="s">
        <v>367</v>
      </c>
    </row>
    <row r="31" spans="1:13" ht="21" customHeight="1" x14ac:dyDescent="0.15">
      <c r="A31" s="44">
        <v>15031122</v>
      </c>
      <c r="B31" s="44">
        <v>1</v>
      </c>
      <c r="C31" s="44" t="s">
        <v>88</v>
      </c>
      <c r="D31" s="44">
        <v>30</v>
      </c>
      <c r="E31" s="44">
        <v>100</v>
      </c>
      <c r="F31" s="44" t="s">
        <v>89</v>
      </c>
      <c r="G31" s="44">
        <v>1</v>
      </c>
      <c r="H31" s="44" t="s">
        <v>89</v>
      </c>
      <c r="I31" s="44" t="s">
        <v>89</v>
      </c>
      <c r="J31" s="45">
        <f t="shared" ref="J31" si="4">D31</f>
        <v>30</v>
      </c>
      <c r="L31" s="42" t="s">
        <v>263</v>
      </c>
      <c r="M31" s="42" t="s">
        <v>374</v>
      </c>
    </row>
    <row r="32" spans="1:13" ht="21" customHeight="1" x14ac:dyDescent="0.15">
      <c r="A32" s="44">
        <v>15031126</v>
      </c>
      <c r="B32" s="44">
        <v>0</v>
      </c>
      <c r="C32" s="44" t="s">
        <v>373</v>
      </c>
      <c r="D32" s="44">
        <v>100</v>
      </c>
      <c r="E32" s="44">
        <v>100</v>
      </c>
      <c r="F32" s="44" t="s">
        <v>89</v>
      </c>
      <c r="G32" s="44">
        <v>1</v>
      </c>
      <c r="H32" s="44">
        <v>2</v>
      </c>
      <c r="I32" s="44" t="s">
        <v>89</v>
      </c>
      <c r="J32" s="45">
        <f t="shared" si="3"/>
        <v>100</v>
      </c>
      <c r="L32" s="42" t="s">
        <v>264</v>
      </c>
      <c r="M32" s="42" t="s">
        <v>358</v>
      </c>
    </row>
    <row r="33" spans="1:13" ht="21" customHeight="1" x14ac:dyDescent="0.15">
      <c r="A33" s="44">
        <v>15031131</v>
      </c>
      <c r="B33" s="44">
        <v>0</v>
      </c>
      <c r="C33" s="44" t="s">
        <v>88</v>
      </c>
      <c r="D33" s="44">
        <v>20</v>
      </c>
      <c r="E33" s="44">
        <v>100</v>
      </c>
      <c r="F33" s="44" t="s">
        <v>89</v>
      </c>
      <c r="G33" s="44" t="s">
        <v>89</v>
      </c>
      <c r="H33" s="44" t="s">
        <v>89</v>
      </c>
      <c r="I33" s="44" t="s">
        <v>89</v>
      </c>
      <c r="J33" s="45">
        <f t="shared" si="3"/>
        <v>20</v>
      </c>
      <c r="L33" s="42" t="s">
        <v>261</v>
      </c>
      <c r="M33" s="42" t="s">
        <v>277</v>
      </c>
    </row>
    <row r="34" spans="1:13" ht="21" customHeight="1" x14ac:dyDescent="0.15">
      <c r="A34" s="44">
        <v>15031136</v>
      </c>
      <c r="B34" s="44">
        <v>0</v>
      </c>
      <c r="C34" s="44" t="s">
        <v>88</v>
      </c>
      <c r="D34" s="44">
        <v>20</v>
      </c>
      <c r="E34" s="44">
        <v>100</v>
      </c>
      <c r="F34" s="44" t="s">
        <v>89</v>
      </c>
      <c r="G34" s="44" t="s">
        <v>89</v>
      </c>
      <c r="H34" s="44" t="s">
        <v>89</v>
      </c>
      <c r="I34" s="44" t="s">
        <v>89</v>
      </c>
      <c r="J34" s="45">
        <f t="shared" si="3"/>
        <v>20</v>
      </c>
      <c r="L34" s="42" t="s">
        <v>265</v>
      </c>
      <c r="M34" s="42" t="s">
        <v>277</v>
      </c>
    </row>
    <row r="35" spans="1:13" ht="21" customHeight="1" x14ac:dyDescent="0.15">
      <c r="A35" s="44">
        <v>15031141</v>
      </c>
      <c r="B35" s="44">
        <v>0</v>
      </c>
      <c r="C35" s="44" t="s">
        <v>88</v>
      </c>
      <c r="D35" s="44">
        <v>20</v>
      </c>
      <c r="E35" s="44">
        <v>50</v>
      </c>
      <c r="F35" s="44" t="s">
        <v>89</v>
      </c>
      <c r="G35" s="44" t="s">
        <v>89</v>
      </c>
      <c r="H35" s="44" t="s">
        <v>89</v>
      </c>
      <c r="I35" s="44" t="s">
        <v>89</v>
      </c>
      <c r="J35" s="45">
        <f t="shared" si="3"/>
        <v>20</v>
      </c>
      <c r="L35" s="42" t="s">
        <v>259</v>
      </c>
      <c r="M35" s="42" t="s">
        <v>357</v>
      </c>
    </row>
    <row r="36" spans="1:13" ht="21" customHeight="1" x14ac:dyDescent="0.15">
      <c r="A36" s="44">
        <v>15031146</v>
      </c>
      <c r="B36" s="44">
        <v>0</v>
      </c>
      <c r="C36" s="44" t="s">
        <v>88</v>
      </c>
      <c r="D36" s="44">
        <v>20</v>
      </c>
      <c r="E36" s="44">
        <v>50</v>
      </c>
      <c r="F36" s="44" t="s">
        <v>89</v>
      </c>
      <c r="G36" s="44" t="s">
        <v>89</v>
      </c>
      <c r="H36" s="44" t="s">
        <v>89</v>
      </c>
      <c r="I36" s="44" t="s">
        <v>89</v>
      </c>
      <c r="J36" s="45">
        <f t="shared" si="3"/>
        <v>20</v>
      </c>
      <c r="L36" s="42" t="s">
        <v>260</v>
      </c>
      <c r="M36" s="42" t="s">
        <v>357</v>
      </c>
    </row>
    <row r="37" spans="1:13" ht="21" customHeight="1" x14ac:dyDescent="0.15">
      <c r="A37" s="44">
        <v>15031151</v>
      </c>
      <c r="B37" s="44">
        <v>0</v>
      </c>
      <c r="C37" s="44" t="s">
        <v>88</v>
      </c>
      <c r="D37" s="44">
        <v>20</v>
      </c>
      <c r="E37" s="44">
        <v>100</v>
      </c>
      <c r="F37" s="44" t="s">
        <v>89</v>
      </c>
      <c r="G37" s="44">
        <v>1</v>
      </c>
      <c r="H37" s="44" t="s">
        <v>89</v>
      </c>
      <c r="I37" s="44" t="s">
        <v>89</v>
      </c>
      <c r="J37" s="45">
        <f t="shared" si="3"/>
        <v>20</v>
      </c>
      <c r="L37" s="42" t="s">
        <v>256</v>
      </c>
      <c r="M37" s="42" t="s">
        <v>363</v>
      </c>
    </row>
    <row r="38" spans="1:13" ht="21" customHeight="1" x14ac:dyDescent="0.15">
      <c r="A38" s="44">
        <v>15031156</v>
      </c>
      <c r="B38" s="44">
        <v>0</v>
      </c>
      <c r="C38" s="44" t="s">
        <v>88</v>
      </c>
      <c r="D38" s="44">
        <v>20</v>
      </c>
      <c r="E38" s="44">
        <v>100</v>
      </c>
      <c r="F38" s="44" t="s">
        <v>89</v>
      </c>
      <c r="G38" s="44">
        <v>1</v>
      </c>
      <c r="H38" s="44" t="s">
        <v>89</v>
      </c>
      <c r="I38" s="44" t="s">
        <v>89</v>
      </c>
      <c r="J38" s="45">
        <f t="shared" si="3"/>
        <v>20</v>
      </c>
      <c r="L38" s="42" t="s">
        <v>258</v>
      </c>
      <c r="M38" s="42" t="s">
        <v>356</v>
      </c>
    </row>
    <row r="39" spans="1:13" ht="21" customHeight="1" x14ac:dyDescent="0.15">
      <c r="A39" s="44">
        <v>15031161</v>
      </c>
      <c r="B39" s="44">
        <v>0</v>
      </c>
      <c r="C39" s="44" t="s">
        <v>88</v>
      </c>
      <c r="D39" s="44">
        <v>100</v>
      </c>
      <c r="E39" s="44">
        <v>100</v>
      </c>
      <c r="F39" s="44" t="s">
        <v>89</v>
      </c>
      <c r="G39" s="44">
        <v>1</v>
      </c>
      <c r="H39" s="44">
        <v>4</v>
      </c>
      <c r="I39" s="44" t="s">
        <v>89</v>
      </c>
      <c r="J39" s="45">
        <f t="shared" si="3"/>
        <v>100</v>
      </c>
      <c r="L39" s="42" t="s">
        <v>263</v>
      </c>
      <c r="M39" s="42" t="s">
        <v>367</v>
      </c>
    </row>
    <row r="40" spans="1:13" ht="21" customHeight="1" x14ac:dyDescent="0.15">
      <c r="A40" s="44">
        <v>15031162</v>
      </c>
      <c r="B40" s="44">
        <v>0</v>
      </c>
      <c r="C40" s="44" t="s">
        <v>88</v>
      </c>
      <c r="D40" s="44">
        <v>35</v>
      </c>
      <c r="E40" s="44">
        <v>100</v>
      </c>
      <c r="F40" s="44" t="s">
        <v>89</v>
      </c>
      <c r="G40" s="44">
        <v>1</v>
      </c>
      <c r="H40" s="44" t="s">
        <v>89</v>
      </c>
      <c r="I40" s="44" t="s">
        <v>89</v>
      </c>
      <c r="J40" s="45">
        <f t="shared" si="3"/>
        <v>35</v>
      </c>
      <c r="L40" s="42" t="s">
        <v>263</v>
      </c>
      <c r="M40" s="42" t="s">
        <v>374</v>
      </c>
    </row>
    <row r="41" spans="1:13" ht="21" customHeight="1" x14ac:dyDescent="0.15">
      <c r="A41" s="44">
        <v>15031166</v>
      </c>
      <c r="B41" s="44">
        <v>0</v>
      </c>
      <c r="C41" s="44" t="s">
        <v>88</v>
      </c>
      <c r="D41" s="44">
        <v>100</v>
      </c>
      <c r="E41" s="44">
        <v>100</v>
      </c>
      <c r="F41" s="44" t="s">
        <v>89</v>
      </c>
      <c r="G41" s="44">
        <v>1</v>
      </c>
      <c r="H41" s="44">
        <v>2</v>
      </c>
      <c r="I41" s="44" t="s">
        <v>89</v>
      </c>
      <c r="J41" s="45">
        <f t="shared" si="3"/>
        <v>100</v>
      </c>
      <c r="L41" s="42" t="s">
        <v>264</v>
      </c>
      <c r="M41" s="42" t="s">
        <v>358</v>
      </c>
    </row>
    <row r="42" spans="1:13" ht="21" customHeight="1" x14ac:dyDescent="0.15">
      <c r="A42" s="44">
        <v>15031171</v>
      </c>
      <c r="B42" s="44">
        <v>0</v>
      </c>
      <c r="C42" s="44" t="s">
        <v>88</v>
      </c>
      <c r="D42" s="44">
        <v>20</v>
      </c>
      <c r="E42" s="44">
        <v>100</v>
      </c>
      <c r="F42" s="44" t="s">
        <v>89</v>
      </c>
      <c r="G42" s="44" t="s">
        <v>89</v>
      </c>
      <c r="H42" s="44" t="s">
        <v>89</v>
      </c>
      <c r="I42" s="44" t="s">
        <v>89</v>
      </c>
      <c r="J42" s="45">
        <f t="shared" si="3"/>
        <v>20</v>
      </c>
      <c r="L42" s="42" t="s">
        <v>274</v>
      </c>
      <c r="M42" s="42" t="s">
        <v>368</v>
      </c>
    </row>
    <row r="43" spans="1:13" ht="21" customHeight="1" x14ac:dyDescent="0.15">
      <c r="A43" s="44">
        <v>15031172</v>
      </c>
      <c r="B43" s="44">
        <v>0</v>
      </c>
      <c r="C43" s="44" t="s">
        <v>88</v>
      </c>
      <c r="D43" s="44">
        <v>20</v>
      </c>
      <c r="E43" s="44">
        <v>100</v>
      </c>
      <c r="F43" s="44" t="s">
        <v>89</v>
      </c>
      <c r="G43" s="101" t="s">
        <v>282</v>
      </c>
      <c r="H43" s="44" t="s">
        <v>89</v>
      </c>
      <c r="I43" s="44" t="s">
        <v>89</v>
      </c>
      <c r="J43" s="45">
        <f t="shared" si="3"/>
        <v>20</v>
      </c>
      <c r="L43" s="42" t="s">
        <v>274</v>
      </c>
      <c r="M43" s="42" t="s">
        <v>355</v>
      </c>
    </row>
    <row r="44" spans="1:13" ht="21" customHeight="1" x14ac:dyDescent="0.15">
      <c r="A44" s="44">
        <v>15031176</v>
      </c>
      <c r="B44" s="44">
        <v>1</v>
      </c>
      <c r="C44" s="44">
        <v>1</v>
      </c>
      <c r="D44" s="44">
        <v>20</v>
      </c>
      <c r="E44" s="44">
        <v>100</v>
      </c>
      <c r="F44" s="44" t="s">
        <v>89</v>
      </c>
      <c r="G44" s="44">
        <v>1</v>
      </c>
      <c r="H44" s="44" t="s">
        <v>89</v>
      </c>
      <c r="I44" s="44" t="s">
        <v>89</v>
      </c>
      <c r="J44" s="45">
        <f t="shared" si="3"/>
        <v>20</v>
      </c>
      <c r="L44" s="42" t="s">
        <v>275</v>
      </c>
      <c r="M44" s="42" t="s">
        <v>369</v>
      </c>
    </row>
    <row r="45" spans="1:13" ht="21" customHeight="1" x14ac:dyDescent="0.15">
      <c r="A45" s="44">
        <v>15031177</v>
      </c>
      <c r="B45" s="44">
        <v>0</v>
      </c>
      <c r="C45" s="44" t="s">
        <v>88</v>
      </c>
      <c r="D45" s="44">
        <v>40</v>
      </c>
      <c r="E45" s="44">
        <v>100</v>
      </c>
      <c r="F45" s="44" t="s">
        <v>89</v>
      </c>
      <c r="G45" s="44" t="s">
        <v>89</v>
      </c>
      <c r="H45" s="44">
        <v>2</v>
      </c>
      <c r="I45" s="44" t="s">
        <v>89</v>
      </c>
      <c r="J45" s="45">
        <f t="shared" si="3"/>
        <v>40</v>
      </c>
      <c r="L45" s="42" t="s">
        <v>275</v>
      </c>
      <c r="M45" s="42" t="s">
        <v>370</v>
      </c>
    </row>
    <row r="46" spans="1:13" ht="21" customHeight="1" x14ac:dyDescent="0.15">
      <c r="A46" s="44">
        <v>15031178</v>
      </c>
      <c r="B46" s="44">
        <v>0</v>
      </c>
      <c r="C46" s="44" t="s">
        <v>88</v>
      </c>
      <c r="D46" s="44">
        <v>20</v>
      </c>
      <c r="E46" s="44">
        <v>100</v>
      </c>
      <c r="F46" s="44" t="s">
        <v>89</v>
      </c>
      <c r="G46" s="101" t="s">
        <v>282</v>
      </c>
      <c r="H46" s="44" t="s">
        <v>89</v>
      </c>
      <c r="I46" s="44" t="s">
        <v>89</v>
      </c>
      <c r="J46" s="45">
        <f t="shared" si="3"/>
        <v>20</v>
      </c>
      <c r="L46" s="42" t="s">
        <v>274</v>
      </c>
      <c r="M46" s="42" t="s">
        <v>355</v>
      </c>
    </row>
    <row r="47" spans="1:13" ht="21" customHeight="1" x14ac:dyDescent="0.15">
      <c r="A47" s="44">
        <v>15031181</v>
      </c>
      <c r="B47" s="44">
        <v>1</v>
      </c>
      <c r="C47" s="44">
        <v>1</v>
      </c>
      <c r="D47" s="44">
        <v>20</v>
      </c>
      <c r="E47" s="44">
        <v>100</v>
      </c>
      <c r="F47" s="44" t="s">
        <v>89</v>
      </c>
      <c r="G47" s="44">
        <v>1</v>
      </c>
      <c r="H47" s="44" t="s">
        <v>89</v>
      </c>
      <c r="I47" s="44" t="s">
        <v>89</v>
      </c>
      <c r="J47" s="45">
        <f t="shared" si="3"/>
        <v>20</v>
      </c>
      <c r="L47" s="42" t="s">
        <v>251</v>
      </c>
      <c r="M47" s="42" t="s">
        <v>371</v>
      </c>
    </row>
    <row r="48" spans="1:13" ht="21" customHeight="1" x14ac:dyDescent="0.15">
      <c r="A48" s="44">
        <v>15031182</v>
      </c>
      <c r="B48" s="44">
        <v>0</v>
      </c>
      <c r="C48" s="44" t="s">
        <v>88</v>
      </c>
      <c r="D48" s="44">
        <v>100</v>
      </c>
      <c r="E48" s="44">
        <v>100</v>
      </c>
      <c r="F48" s="44" t="s">
        <v>89</v>
      </c>
      <c r="G48" s="101" t="s">
        <v>282</v>
      </c>
      <c r="H48" s="44">
        <v>2</v>
      </c>
      <c r="I48" s="44" t="s">
        <v>89</v>
      </c>
      <c r="J48" s="45">
        <f t="shared" si="3"/>
        <v>100</v>
      </c>
      <c r="L48" s="42" t="s">
        <v>251</v>
      </c>
      <c r="M48" s="42" t="s">
        <v>372</v>
      </c>
    </row>
    <row r="49" spans="1:13" ht="21" customHeight="1" x14ac:dyDescent="0.15">
      <c r="A49" s="44">
        <v>15031183</v>
      </c>
      <c r="B49" s="44">
        <v>0</v>
      </c>
      <c r="C49" s="44" t="s">
        <v>88</v>
      </c>
      <c r="D49" s="44">
        <v>100</v>
      </c>
      <c r="E49" s="44">
        <v>100</v>
      </c>
      <c r="F49" s="44" t="s">
        <v>89</v>
      </c>
      <c r="G49" s="101" t="s">
        <v>282</v>
      </c>
      <c r="H49" s="44">
        <v>3</v>
      </c>
      <c r="I49" s="44" t="s">
        <v>89</v>
      </c>
      <c r="J49" s="45">
        <f t="shared" si="3"/>
        <v>100</v>
      </c>
      <c r="L49" s="42" t="s">
        <v>251</v>
      </c>
      <c r="M49" s="42" t="s">
        <v>276</v>
      </c>
    </row>
    <row r="50" spans="1:13" ht="21" customHeight="1" x14ac:dyDescent="0.15">
      <c r="A50" s="44">
        <v>15031184</v>
      </c>
      <c r="B50" s="44">
        <v>0</v>
      </c>
      <c r="C50" s="44" t="s">
        <v>88</v>
      </c>
      <c r="D50" s="44">
        <v>30</v>
      </c>
      <c r="E50" s="44">
        <v>100</v>
      </c>
      <c r="F50" s="44" t="s">
        <v>89</v>
      </c>
      <c r="G50" s="101" t="s">
        <v>282</v>
      </c>
      <c r="H50" s="44" t="s">
        <v>89</v>
      </c>
      <c r="I50" s="44" t="s">
        <v>89</v>
      </c>
      <c r="J50" s="45">
        <f t="shared" si="3"/>
        <v>30</v>
      </c>
      <c r="L50" s="42" t="s">
        <v>274</v>
      </c>
      <c r="M50" s="42" t="s">
        <v>355</v>
      </c>
    </row>
  </sheetData>
  <autoFilter ref="A1:G1"/>
  <phoneticPr fontId="5"/>
  <conditionalFormatting sqref="K19:K30 K1:K2 K32:K39 K41:K49 K51:K1048576">
    <cfRule type="duplicateValues" dxfId="5" priority="6"/>
  </conditionalFormatting>
  <conditionalFormatting sqref="K3:K8 K10:K18">
    <cfRule type="duplicateValues" dxfId="4" priority="8"/>
  </conditionalFormatting>
  <conditionalFormatting sqref="K9">
    <cfRule type="duplicateValues" dxfId="3" priority="4"/>
  </conditionalFormatting>
  <conditionalFormatting sqref="K31">
    <cfRule type="duplicateValues" dxfId="2" priority="3"/>
  </conditionalFormatting>
  <conditionalFormatting sqref="K40">
    <cfRule type="duplicateValues" dxfId="1" priority="2"/>
  </conditionalFormatting>
  <conditionalFormatting sqref="K50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40"/>
  <sheetViews>
    <sheetView topLeftCell="A19" workbookViewId="0">
      <selection activeCell="F45" sqref="F45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1" t="s">
        <v>150</v>
      </c>
      <c r="B1" s="61" t="s">
        <v>151</v>
      </c>
      <c r="C1" s="62" t="s">
        <v>152</v>
      </c>
      <c r="D1" s="69" t="s">
        <v>153</v>
      </c>
      <c r="E1" s="63" t="s">
        <v>154</v>
      </c>
      <c r="F1" s="61" t="s">
        <v>155</v>
      </c>
      <c r="G1" s="61" t="s">
        <v>156</v>
      </c>
      <c r="H1" s="61" t="s">
        <v>157</v>
      </c>
      <c r="I1" s="61" t="s">
        <v>158</v>
      </c>
      <c r="J1" s="61" t="s">
        <v>159</v>
      </c>
      <c r="K1" s="61" t="s">
        <v>160</v>
      </c>
      <c r="L1" s="61" t="s">
        <v>161</v>
      </c>
      <c r="M1" s="61" t="s">
        <v>162</v>
      </c>
      <c r="N1" s="61" t="s">
        <v>163</v>
      </c>
      <c r="O1" s="61" t="s">
        <v>164</v>
      </c>
      <c r="P1" s="61" t="s">
        <v>165</v>
      </c>
      <c r="Q1" s="61" t="s">
        <v>166</v>
      </c>
      <c r="R1" s="61" t="s">
        <v>167</v>
      </c>
    </row>
    <row r="2" spans="1:18" x14ac:dyDescent="0.15">
      <c r="A2" s="54">
        <v>15031</v>
      </c>
      <c r="B2" s="54">
        <v>1</v>
      </c>
      <c r="C2" s="68" t="str">
        <f>A2&amp; "_"&amp;B2</f>
        <v>15031_1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79">
        <v>1</v>
      </c>
      <c r="F2" s="79" t="s">
        <v>168</v>
      </c>
      <c r="G2" s="79">
        <v>3000</v>
      </c>
      <c r="H2" s="79" t="s">
        <v>382</v>
      </c>
      <c r="I2" s="79">
        <v>1</v>
      </c>
      <c r="J2" s="79">
        <v>1</v>
      </c>
      <c r="K2" s="54">
        <v>0</v>
      </c>
      <c r="L2" s="54">
        <v>0</v>
      </c>
      <c r="M2" s="54">
        <v>0</v>
      </c>
      <c r="N2" s="54">
        <v>0</v>
      </c>
      <c r="O2" s="54">
        <v>1</v>
      </c>
      <c r="P2" s="54">
        <v>2000</v>
      </c>
      <c r="Q2" s="54" t="s">
        <v>169</v>
      </c>
      <c r="R2" s="54" t="s">
        <v>170</v>
      </c>
    </row>
    <row r="3" spans="1:18" x14ac:dyDescent="0.15">
      <c r="A3" s="54">
        <v>15031</v>
      </c>
      <c r="B3" s="54">
        <v>1</v>
      </c>
      <c r="C3" s="68" t="str">
        <f t="shared" ref="C3:C4" si="0">A3&amp; "_"&amp;B3</f>
        <v>15031_1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79">
        <v>2</v>
      </c>
      <c r="F3" s="79" t="s">
        <v>384</v>
      </c>
      <c r="G3" s="79">
        <v>25</v>
      </c>
      <c r="H3" s="79" t="s">
        <v>382</v>
      </c>
      <c r="I3" s="79">
        <v>1</v>
      </c>
      <c r="J3" s="79">
        <v>1</v>
      </c>
      <c r="K3" s="54">
        <v>0</v>
      </c>
      <c r="L3" s="54">
        <v>0</v>
      </c>
      <c r="M3" s="54">
        <v>0</v>
      </c>
      <c r="N3" s="54">
        <v>0</v>
      </c>
      <c r="O3" s="54">
        <v>1</v>
      </c>
      <c r="P3" s="54">
        <v>3000</v>
      </c>
      <c r="Q3" s="54" t="s">
        <v>169</v>
      </c>
      <c r="R3" s="54" t="s">
        <v>170</v>
      </c>
    </row>
    <row r="4" spans="1:18" x14ac:dyDescent="0.15">
      <c r="A4" s="54">
        <v>15031</v>
      </c>
      <c r="B4" s="54">
        <v>1</v>
      </c>
      <c r="C4" s="68" t="str">
        <f t="shared" si="0"/>
        <v>15031_1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79">
        <v>3</v>
      </c>
      <c r="F4" s="79" t="s">
        <v>383</v>
      </c>
      <c r="G4" s="151">
        <v>334</v>
      </c>
      <c r="H4" s="79">
        <v>1</v>
      </c>
      <c r="I4" s="79">
        <v>1</v>
      </c>
      <c r="J4" s="79">
        <v>1</v>
      </c>
      <c r="K4" s="54">
        <v>0</v>
      </c>
      <c r="L4" s="54">
        <v>0</v>
      </c>
      <c r="M4" s="54">
        <v>0</v>
      </c>
      <c r="N4" s="54">
        <v>0</v>
      </c>
      <c r="O4" s="54">
        <v>1</v>
      </c>
      <c r="P4" s="54">
        <v>250</v>
      </c>
      <c r="Q4" s="54" t="s">
        <v>169</v>
      </c>
      <c r="R4" s="54" t="s">
        <v>170</v>
      </c>
    </row>
    <row r="5" spans="1:18" x14ac:dyDescent="0.15">
      <c r="A5" s="54">
        <v>15031</v>
      </c>
      <c r="B5" s="54">
        <v>1</v>
      </c>
      <c r="C5" s="68" t="str">
        <f t="shared" ref="C5:C11" si="1">A5&amp; "_"&amp;B5</f>
        <v>15031_1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79">
        <v>4</v>
      </c>
      <c r="F5" s="79" t="s">
        <v>383</v>
      </c>
      <c r="G5" s="151">
        <v>338</v>
      </c>
      <c r="H5" s="79">
        <v>1</v>
      </c>
      <c r="I5" s="79">
        <v>1</v>
      </c>
      <c r="J5" s="79">
        <v>1</v>
      </c>
      <c r="K5" s="54">
        <v>0</v>
      </c>
      <c r="L5" s="54">
        <v>0</v>
      </c>
      <c r="M5" s="54">
        <v>0</v>
      </c>
      <c r="N5" s="54">
        <v>0</v>
      </c>
      <c r="O5" s="54">
        <v>1</v>
      </c>
      <c r="P5" s="54">
        <v>250</v>
      </c>
      <c r="Q5" s="54" t="s">
        <v>169</v>
      </c>
      <c r="R5" s="54" t="s">
        <v>170</v>
      </c>
    </row>
    <row r="6" spans="1:18" x14ac:dyDescent="0.15">
      <c r="A6" s="54">
        <v>15031</v>
      </c>
      <c r="B6" s="54">
        <v>1</v>
      </c>
      <c r="C6" s="68" t="str">
        <f t="shared" si="1"/>
        <v>15031_1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79">
        <v>5</v>
      </c>
      <c r="F6" s="79" t="s">
        <v>383</v>
      </c>
      <c r="G6" s="151">
        <v>342</v>
      </c>
      <c r="H6" s="79">
        <v>1</v>
      </c>
      <c r="I6" s="79">
        <v>1</v>
      </c>
      <c r="J6" s="79">
        <v>1</v>
      </c>
      <c r="K6" s="54">
        <v>0</v>
      </c>
      <c r="L6" s="54">
        <v>0</v>
      </c>
      <c r="M6" s="54">
        <v>0</v>
      </c>
      <c r="N6" s="54">
        <v>0</v>
      </c>
      <c r="O6" s="54">
        <v>1</v>
      </c>
      <c r="P6" s="54">
        <v>250</v>
      </c>
      <c r="Q6" s="54" t="s">
        <v>169</v>
      </c>
      <c r="R6" s="54" t="s">
        <v>170</v>
      </c>
    </row>
    <row r="7" spans="1:18" x14ac:dyDescent="0.15">
      <c r="A7" s="54">
        <v>15031</v>
      </c>
      <c r="B7" s="54">
        <v>1</v>
      </c>
      <c r="C7" s="68" t="str">
        <f t="shared" si="1"/>
        <v>15031_1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79">
        <v>6</v>
      </c>
      <c r="F7" s="79" t="s">
        <v>383</v>
      </c>
      <c r="G7" s="151">
        <v>346</v>
      </c>
      <c r="H7" s="79">
        <v>1</v>
      </c>
      <c r="I7" s="79">
        <v>1</v>
      </c>
      <c r="J7" s="79">
        <v>1</v>
      </c>
      <c r="K7" s="54">
        <v>0</v>
      </c>
      <c r="L7" s="54">
        <v>0</v>
      </c>
      <c r="M7" s="54">
        <v>0</v>
      </c>
      <c r="N7" s="54">
        <v>0</v>
      </c>
      <c r="O7" s="54">
        <v>1</v>
      </c>
      <c r="P7" s="54">
        <v>250</v>
      </c>
      <c r="Q7" s="54" t="s">
        <v>169</v>
      </c>
      <c r="R7" s="54" t="s">
        <v>170</v>
      </c>
    </row>
    <row r="8" spans="1:18" x14ac:dyDescent="0.15">
      <c r="A8" s="54">
        <v>15031</v>
      </c>
      <c r="B8" s="54">
        <v>1</v>
      </c>
      <c r="C8" s="68" t="str">
        <f t="shared" si="1"/>
        <v>15031_1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79">
        <v>7</v>
      </c>
      <c r="F8" s="79" t="s">
        <v>383</v>
      </c>
      <c r="G8" s="152">
        <v>370</v>
      </c>
      <c r="H8" s="79">
        <v>1</v>
      </c>
      <c r="I8" s="79">
        <v>1</v>
      </c>
      <c r="J8" s="79">
        <v>1</v>
      </c>
      <c r="K8" s="54">
        <v>0</v>
      </c>
      <c r="L8" s="54">
        <v>0</v>
      </c>
      <c r="M8" s="54">
        <v>0</v>
      </c>
      <c r="N8" s="54">
        <v>0</v>
      </c>
      <c r="O8" s="54">
        <v>1</v>
      </c>
      <c r="P8" s="54">
        <v>250</v>
      </c>
      <c r="Q8" s="54" t="s">
        <v>169</v>
      </c>
      <c r="R8" s="54" t="s">
        <v>170</v>
      </c>
    </row>
    <row r="9" spans="1:18" x14ac:dyDescent="0.15">
      <c r="A9" s="54">
        <v>15031</v>
      </c>
      <c r="B9" s="54">
        <v>1</v>
      </c>
      <c r="C9" s="68" t="str">
        <f t="shared" si="1"/>
        <v>15031_1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79">
        <v>8</v>
      </c>
      <c r="F9" s="79" t="s">
        <v>383</v>
      </c>
      <c r="G9" s="152">
        <v>372</v>
      </c>
      <c r="H9" s="79">
        <v>1</v>
      </c>
      <c r="I9" s="79">
        <v>1</v>
      </c>
      <c r="J9" s="79">
        <v>1</v>
      </c>
      <c r="K9" s="54">
        <v>0</v>
      </c>
      <c r="L9" s="54">
        <v>0</v>
      </c>
      <c r="M9" s="54">
        <v>0</v>
      </c>
      <c r="N9" s="54">
        <v>0</v>
      </c>
      <c r="O9" s="54">
        <v>1</v>
      </c>
      <c r="P9" s="54">
        <v>250</v>
      </c>
      <c r="Q9" s="54" t="s">
        <v>169</v>
      </c>
      <c r="R9" s="54" t="s">
        <v>170</v>
      </c>
    </row>
    <row r="10" spans="1:18" x14ac:dyDescent="0.15">
      <c r="A10" s="54">
        <v>15031</v>
      </c>
      <c r="B10" s="54">
        <v>1</v>
      </c>
      <c r="C10" s="68" t="str">
        <f t="shared" si="1"/>
        <v>15031_1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79">
        <v>9</v>
      </c>
      <c r="F10" s="79" t="s">
        <v>383</v>
      </c>
      <c r="G10" s="152">
        <v>374</v>
      </c>
      <c r="H10" s="79">
        <v>1</v>
      </c>
      <c r="I10" s="79">
        <v>1</v>
      </c>
      <c r="J10" s="79">
        <v>1</v>
      </c>
      <c r="K10" s="54">
        <v>0</v>
      </c>
      <c r="L10" s="54">
        <v>0</v>
      </c>
      <c r="M10" s="54">
        <v>0</v>
      </c>
      <c r="N10" s="54">
        <v>0</v>
      </c>
      <c r="O10" s="54">
        <v>1</v>
      </c>
      <c r="P10" s="54">
        <v>250</v>
      </c>
      <c r="Q10" s="54" t="s">
        <v>169</v>
      </c>
      <c r="R10" s="54" t="s">
        <v>170</v>
      </c>
    </row>
    <row r="11" spans="1:18" x14ac:dyDescent="0.15">
      <c r="A11" s="54">
        <v>15031</v>
      </c>
      <c r="B11" s="54">
        <v>1</v>
      </c>
      <c r="C11" s="68" t="str">
        <f t="shared" si="1"/>
        <v>15031_1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79">
        <v>10</v>
      </c>
      <c r="F11" s="79" t="s">
        <v>383</v>
      </c>
      <c r="G11" s="152">
        <v>412</v>
      </c>
      <c r="H11" s="79">
        <v>1</v>
      </c>
      <c r="I11" s="79">
        <v>1</v>
      </c>
      <c r="J11" s="79">
        <v>1</v>
      </c>
      <c r="K11" s="54">
        <v>0</v>
      </c>
      <c r="L11" s="54">
        <v>0</v>
      </c>
      <c r="M11" s="54">
        <v>0</v>
      </c>
      <c r="N11" s="54">
        <v>0</v>
      </c>
      <c r="O11" s="54">
        <v>1</v>
      </c>
      <c r="P11" s="54">
        <v>250</v>
      </c>
      <c r="Q11" s="54" t="s">
        <v>169</v>
      </c>
      <c r="R11" s="54" t="s">
        <v>170</v>
      </c>
    </row>
    <row r="12" spans="1:18" x14ac:dyDescent="0.15">
      <c r="A12" s="54">
        <v>15031</v>
      </c>
      <c r="B12" s="54">
        <v>1</v>
      </c>
      <c r="C12" s="68" t="str">
        <f t="shared" ref="C12:C15" si="2">A12&amp; "_"&amp;B12</f>
        <v>15031_1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79">
        <v>11</v>
      </c>
      <c r="F12" s="79" t="s">
        <v>383</v>
      </c>
      <c r="G12" s="151">
        <v>348</v>
      </c>
      <c r="H12" s="79">
        <v>1</v>
      </c>
      <c r="I12" s="79">
        <v>1</v>
      </c>
      <c r="J12" s="79">
        <v>1</v>
      </c>
      <c r="K12" s="54">
        <v>0</v>
      </c>
      <c r="L12" s="54">
        <v>0</v>
      </c>
      <c r="M12" s="54">
        <v>0</v>
      </c>
      <c r="N12" s="54">
        <v>0</v>
      </c>
      <c r="O12" s="54">
        <v>1</v>
      </c>
      <c r="P12" s="54">
        <v>750</v>
      </c>
      <c r="Q12" s="54" t="s">
        <v>169</v>
      </c>
      <c r="R12" s="54" t="s">
        <v>170</v>
      </c>
    </row>
    <row r="13" spans="1:18" x14ac:dyDescent="0.15">
      <c r="A13" s="54">
        <v>15031</v>
      </c>
      <c r="B13" s="54">
        <v>1</v>
      </c>
      <c r="C13" s="68" t="str">
        <f t="shared" si="2"/>
        <v>15031_1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79">
        <v>12</v>
      </c>
      <c r="F13" s="79" t="s">
        <v>383</v>
      </c>
      <c r="G13" s="151">
        <v>350</v>
      </c>
      <c r="H13" s="79">
        <v>1</v>
      </c>
      <c r="I13" s="79">
        <v>1</v>
      </c>
      <c r="J13" s="79">
        <v>1</v>
      </c>
      <c r="K13" s="54">
        <v>0</v>
      </c>
      <c r="L13" s="54">
        <v>0</v>
      </c>
      <c r="M13" s="54">
        <v>0</v>
      </c>
      <c r="N13" s="54">
        <v>0</v>
      </c>
      <c r="O13" s="54">
        <v>1</v>
      </c>
      <c r="P13" s="54">
        <v>750</v>
      </c>
      <c r="Q13" s="54" t="s">
        <v>169</v>
      </c>
      <c r="R13" s="54" t="s">
        <v>170</v>
      </c>
    </row>
    <row r="14" spans="1:18" x14ac:dyDescent="0.15">
      <c r="A14" s="54">
        <v>15031</v>
      </c>
      <c r="B14" s="54">
        <v>1</v>
      </c>
      <c r="C14" s="68" t="str">
        <f t="shared" si="2"/>
        <v>15031_1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79">
        <v>13</v>
      </c>
      <c r="F14" s="79" t="s">
        <v>383</v>
      </c>
      <c r="G14" s="151">
        <v>352</v>
      </c>
      <c r="H14" s="79">
        <v>1</v>
      </c>
      <c r="I14" s="79">
        <v>1</v>
      </c>
      <c r="J14" s="79">
        <v>1</v>
      </c>
      <c r="K14" s="54">
        <v>0</v>
      </c>
      <c r="L14" s="54">
        <v>0</v>
      </c>
      <c r="M14" s="54">
        <v>0</v>
      </c>
      <c r="N14" s="54">
        <v>0</v>
      </c>
      <c r="O14" s="54">
        <v>1</v>
      </c>
      <c r="P14" s="54">
        <v>750</v>
      </c>
      <c r="Q14" s="54" t="s">
        <v>169</v>
      </c>
      <c r="R14" s="54" t="s">
        <v>170</v>
      </c>
    </row>
    <row r="15" spans="1:18" x14ac:dyDescent="0.15">
      <c r="A15" s="54">
        <v>15031</v>
      </c>
      <c r="B15" s="54">
        <v>1</v>
      </c>
      <c r="C15" s="68" t="str">
        <f t="shared" si="2"/>
        <v>15031_1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79">
        <v>14</v>
      </c>
      <c r="F15" s="79" t="s">
        <v>383</v>
      </c>
      <c r="G15" s="151">
        <v>354</v>
      </c>
      <c r="H15" s="79">
        <v>1</v>
      </c>
      <c r="I15" s="79">
        <v>1</v>
      </c>
      <c r="J15" s="79">
        <v>1</v>
      </c>
      <c r="K15" s="54">
        <v>0</v>
      </c>
      <c r="L15" s="54">
        <v>0</v>
      </c>
      <c r="M15" s="54">
        <v>0</v>
      </c>
      <c r="N15" s="54">
        <v>0</v>
      </c>
      <c r="O15" s="54">
        <v>1</v>
      </c>
      <c r="P15" s="54">
        <v>750</v>
      </c>
      <c r="Q15" s="54" t="s">
        <v>169</v>
      </c>
      <c r="R15" s="54" t="s">
        <v>170</v>
      </c>
    </row>
    <row r="16" spans="1:18" x14ac:dyDescent="0.15">
      <c r="A16" s="54">
        <v>15031</v>
      </c>
      <c r="B16" s="54">
        <v>2</v>
      </c>
      <c r="C16" s="68" t="str">
        <f t="shared" ref="C16:C30" si="3">A16&amp; "_"&amp;B16</f>
        <v>15031_2</v>
      </c>
      <c r="D16" s="11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79">
        <v>15</v>
      </c>
      <c r="F16" s="79" t="s">
        <v>168</v>
      </c>
      <c r="G16" s="79">
        <v>3200</v>
      </c>
      <c r="H16" s="79" t="s">
        <v>382</v>
      </c>
      <c r="I16" s="79">
        <v>1</v>
      </c>
      <c r="J16" s="79">
        <v>1</v>
      </c>
      <c r="K16" s="54">
        <v>0</v>
      </c>
      <c r="L16" s="54">
        <v>0</v>
      </c>
      <c r="M16" s="54">
        <v>0</v>
      </c>
      <c r="N16" s="54">
        <v>0</v>
      </c>
      <c r="O16" s="54">
        <v>1</v>
      </c>
      <c r="P16" s="54">
        <v>2000</v>
      </c>
      <c r="Q16" s="54" t="s">
        <v>169</v>
      </c>
      <c r="R16" s="54" t="s">
        <v>170</v>
      </c>
    </row>
    <row r="17" spans="1:18" x14ac:dyDescent="0.15">
      <c r="A17" s="54">
        <v>15031</v>
      </c>
      <c r="B17" s="54">
        <v>2</v>
      </c>
      <c r="C17" s="68" t="str">
        <f t="shared" si="3"/>
        <v>15031_2</v>
      </c>
      <c r="D17" s="11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79">
        <v>16</v>
      </c>
      <c r="F17" s="79" t="s">
        <v>384</v>
      </c>
      <c r="G17" s="79">
        <v>25</v>
      </c>
      <c r="H17" s="79" t="s">
        <v>382</v>
      </c>
      <c r="I17" s="79">
        <v>1</v>
      </c>
      <c r="J17" s="79">
        <v>1</v>
      </c>
      <c r="K17" s="54">
        <v>0</v>
      </c>
      <c r="L17" s="54">
        <v>0</v>
      </c>
      <c r="M17" s="54">
        <v>0</v>
      </c>
      <c r="N17" s="54">
        <v>0</v>
      </c>
      <c r="O17" s="54">
        <v>1</v>
      </c>
      <c r="P17" s="54">
        <v>3000</v>
      </c>
      <c r="Q17" s="54" t="s">
        <v>169</v>
      </c>
      <c r="R17" s="54" t="s">
        <v>170</v>
      </c>
    </row>
    <row r="18" spans="1:18" x14ac:dyDescent="0.15">
      <c r="A18" s="54">
        <v>15031</v>
      </c>
      <c r="B18" s="54">
        <v>2</v>
      </c>
      <c r="C18" s="68" t="str">
        <f t="shared" si="3"/>
        <v>15031_2</v>
      </c>
      <c r="D18" s="11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79">
        <v>17</v>
      </c>
      <c r="F18" s="79" t="s">
        <v>383</v>
      </c>
      <c r="G18" s="79">
        <v>334</v>
      </c>
      <c r="H18" s="79">
        <v>1</v>
      </c>
      <c r="I18" s="79">
        <v>1</v>
      </c>
      <c r="J18" s="79">
        <v>1</v>
      </c>
      <c r="K18" s="54">
        <v>0</v>
      </c>
      <c r="L18" s="54">
        <v>0</v>
      </c>
      <c r="M18" s="54">
        <v>0</v>
      </c>
      <c r="N18" s="54">
        <v>0</v>
      </c>
      <c r="O18" s="54">
        <v>1</v>
      </c>
      <c r="P18" s="54">
        <v>500</v>
      </c>
      <c r="Q18" s="54" t="s">
        <v>169</v>
      </c>
      <c r="R18" s="54" t="s">
        <v>170</v>
      </c>
    </row>
    <row r="19" spans="1:18" x14ac:dyDescent="0.15">
      <c r="A19" s="54">
        <v>15031</v>
      </c>
      <c r="B19" s="54">
        <v>2</v>
      </c>
      <c r="C19" s="68" t="str">
        <f t="shared" si="3"/>
        <v>15031_2</v>
      </c>
      <c r="D19" s="11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79">
        <v>18</v>
      </c>
      <c r="F19" s="79" t="s">
        <v>383</v>
      </c>
      <c r="G19" s="79">
        <v>338</v>
      </c>
      <c r="H19" s="79">
        <v>1</v>
      </c>
      <c r="I19" s="79">
        <v>1</v>
      </c>
      <c r="J19" s="79">
        <v>1</v>
      </c>
      <c r="K19" s="54">
        <v>0</v>
      </c>
      <c r="L19" s="54">
        <v>0</v>
      </c>
      <c r="M19" s="54">
        <v>0</v>
      </c>
      <c r="N19" s="54">
        <v>0</v>
      </c>
      <c r="O19" s="54">
        <v>1</v>
      </c>
      <c r="P19" s="54">
        <v>500</v>
      </c>
      <c r="Q19" s="54" t="s">
        <v>169</v>
      </c>
      <c r="R19" s="54" t="s">
        <v>170</v>
      </c>
    </row>
    <row r="20" spans="1:18" x14ac:dyDescent="0.15">
      <c r="A20" s="54">
        <v>15031</v>
      </c>
      <c r="B20" s="54">
        <v>2</v>
      </c>
      <c r="C20" s="68" t="str">
        <f t="shared" si="3"/>
        <v>15031_2</v>
      </c>
      <c r="D20" s="11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79">
        <v>19</v>
      </c>
      <c r="F20" s="79" t="s">
        <v>383</v>
      </c>
      <c r="G20" s="152">
        <v>370</v>
      </c>
      <c r="H20" s="79">
        <v>1</v>
      </c>
      <c r="I20" s="79">
        <v>1</v>
      </c>
      <c r="J20" s="79">
        <v>1</v>
      </c>
      <c r="K20" s="54">
        <v>0</v>
      </c>
      <c r="L20" s="54">
        <v>0</v>
      </c>
      <c r="M20" s="54">
        <v>0</v>
      </c>
      <c r="N20" s="54">
        <v>0</v>
      </c>
      <c r="O20" s="54">
        <v>1</v>
      </c>
      <c r="P20" s="54">
        <v>500</v>
      </c>
      <c r="Q20" s="54" t="s">
        <v>169</v>
      </c>
      <c r="R20" s="54" t="s">
        <v>170</v>
      </c>
    </row>
    <row r="21" spans="1:18" x14ac:dyDescent="0.15">
      <c r="A21" s="54">
        <v>15031</v>
      </c>
      <c r="B21" s="54">
        <v>2</v>
      </c>
      <c r="C21" s="68" t="str">
        <f t="shared" si="3"/>
        <v>15031_2</v>
      </c>
      <c r="D21" s="11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79">
        <v>20</v>
      </c>
      <c r="F21" s="79" t="s">
        <v>383</v>
      </c>
      <c r="G21" s="152">
        <v>372</v>
      </c>
      <c r="H21" s="79">
        <v>1</v>
      </c>
      <c r="I21" s="79">
        <v>1</v>
      </c>
      <c r="J21" s="79">
        <v>1</v>
      </c>
      <c r="K21" s="54">
        <v>0</v>
      </c>
      <c r="L21" s="54">
        <v>0</v>
      </c>
      <c r="M21" s="54">
        <v>0</v>
      </c>
      <c r="N21" s="54">
        <v>0</v>
      </c>
      <c r="O21" s="54">
        <v>1</v>
      </c>
      <c r="P21" s="54">
        <v>500</v>
      </c>
      <c r="Q21" s="54" t="s">
        <v>169</v>
      </c>
      <c r="R21" s="54" t="s">
        <v>170</v>
      </c>
    </row>
    <row r="22" spans="1:18" x14ac:dyDescent="0.15">
      <c r="A22" s="54">
        <v>15031</v>
      </c>
      <c r="B22" s="54">
        <v>2</v>
      </c>
      <c r="C22" s="68" t="str">
        <f t="shared" si="3"/>
        <v>15031_2</v>
      </c>
      <c r="D22" s="11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79">
        <v>21</v>
      </c>
      <c r="F22" s="79" t="s">
        <v>383</v>
      </c>
      <c r="G22" s="79">
        <v>348</v>
      </c>
      <c r="H22" s="79">
        <v>1</v>
      </c>
      <c r="I22" s="79">
        <v>1</v>
      </c>
      <c r="J22" s="79">
        <v>1</v>
      </c>
      <c r="K22" s="54">
        <v>0</v>
      </c>
      <c r="L22" s="54">
        <v>0</v>
      </c>
      <c r="M22" s="54">
        <v>0</v>
      </c>
      <c r="N22" s="54">
        <v>0</v>
      </c>
      <c r="O22" s="54">
        <v>1</v>
      </c>
      <c r="P22" s="54">
        <v>1500</v>
      </c>
      <c r="Q22" s="54" t="s">
        <v>169</v>
      </c>
      <c r="R22" s="54" t="s">
        <v>170</v>
      </c>
    </row>
    <row r="23" spans="1:18" x14ac:dyDescent="0.15">
      <c r="A23" s="54">
        <v>15031</v>
      </c>
      <c r="B23" s="54">
        <v>2</v>
      </c>
      <c r="C23" s="68" t="str">
        <f t="shared" si="3"/>
        <v>15031_2</v>
      </c>
      <c r="D23" s="11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79">
        <v>22</v>
      </c>
      <c r="F23" s="79" t="s">
        <v>383</v>
      </c>
      <c r="G23" s="79">
        <v>350</v>
      </c>
      <c r="H23" s="79">
        <v>1</v>
      </c>
      <c r="I23" s="79">
        <v>1</v>
      </c>
      <c r="J23" s="79">
        <v>1</v>
      </c>
      <c r="K23" s="54">
        <v>0</v>
      </c>
      <c r="L23" s="54">
        <v>0</v>
      </c>
      <c r="M23" s="54">
        <v>0</v>
      </c>
      <c r="N23" s="54">
        <v>0</v>
      </c>
      <c r="O23" s="54">
        <v>1</v>
      </c>
      <c r="P23" s="54">
        <v>1500</v>
      </c>
      <c r="Q23" s="54" t="s">
        <v>169</v>
      </c>
      <c r="R23" s="54" t="s">
        <v>170</v>
      </c>
    </row>
    <row r="24" spans="1:18" x14ac:dyDescent="0.15">
      <c r="A24" s="54">
        <v>15031</v>
      </c>
      <c r="B24" s="54">
        <v>3</v>
      </c>
      <c r="C24" s="68" t="str">
        <f t="shared" si="3"/>
        <v>15031_3</v>
      </c>
      <c r="D24" s="11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79">
        <v>23</v>
      </c>
      <c r="F24" s="79" t="s">
        <v>168</v>
      </c>
      <c r="G24" s="79">
        <v>3500</v>
      </c>
      <c r="H24" s="79" t="s">
        <v>382</v>
      </c>
      <c r="I24" s="79">
        <v>1</v>
      </c>
      <c r="J24" s="79">
        <v>1</v>
      </c>
      <c r="K24" s="54">
        <v>0</v>
      </c>
      <c r="L24" s="54">
        <v>0</v>
      </c>
      <c r="M24" s="54">
        <v>0</v>
      </c>
      <c r="N24" s="54">
        <v>0</v>
      </c>
      <c r="O24" s="54">
        <v>1</v>
      </c>
      <c r="P24" s="54">
        <v>2000</v>
      </c>
      <c r="Q24" s="54" t="s">
        <v>169</v>
      </c>
      <c r="R24" s="54" t="s">
        <v>170</v>
      </c>
    </row>
    <row r="25" spans="1:18" x14ac:dyDescent="0.15">
      <c r="A25" s="54">
        <v>15031</v>
      </c>
      <c r="B25" s="54">
        <v>3</v>
      </c>
      <c r="C25" s="68" t="str">
        <f t="shared" si="3"/>
        <v>15031_3</v>
      </c>
      <c r="D25" s="11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79">
        <v>24</v>
      </c>
      <c r="F25" s="79" t="s">
        <v>384</v>
      </c>
      <c r="G25" s="79">
        <v>25</v>
      </c>
      <c r="H25" s="79" t="s">
        <v>382</v>
      </c>
      <c r="I25" s="79">
        <v>1</v>
      </c>
      <c r="J25" s="79">
        <v>1</v>
      </c>
      <c r="K25" s="54">
        <v>0</v>
      </c>
      <c r="L25" s="54">
        <v>0</v>
      </c>
      <c r="M25" s="54">
        <v>0</v>
      </c>
      <c r="N25" s="54">
        <v>0</v>
      </c>
      <c r="O25" s="54">
        <v>1</v>
      </c>
      <c r="P25" s="54">
        <v>3000</v>
      </c>
      <c r="Q25" s="54" t="s">
        <v>169</v>
      </c>
      <c r="R25" s="54" t="s">
        <v>170</v>
      </c>
    </row>
    <row r="26" spans="1:18" x14ac:dyDescent="0.15">
      <c r="A26" s="54">
        <v>15031</v>
      </c>
      <c r="B26" s="54">
        <v>3</v>
      </c>
      <c r="C26" s="68" t="str">
        <f t="shared" si="3"/>
        <v>15031_3</v>
      </c>
      <c r="D26" s="11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79">
        <v>25</v>
      </c>
      <c r="F26" s="79" t="s">
        <v>383</v>
      </c>
      <c r="G26" s="79">
        <v>334</v>
      </c>
      <c r="H26" s="79">
        <v>1</v>
      </c>
      <c r="I26" s="79">
        <v>1</v>
      </c>
      <c r="J26" s="79">
        <v>1</v>
      </c>
      <c r="K26" s="54">
        <v>0</v>
      </c>
      <c r="L26" s="54">
        <v>0</v>
      </c>
      <c r="M26" s="54">
        <v>0</v>
      </c>
      <c r="N26" s="54">
        <v>0</v>
      </c>
      <c r="O26" s="54">
        <v>1</v>
      </c>
      <c r="P26" s="54">
        <v>250</v>
      </c>
      <c r="Q26" s="54" t="s">
        <v>169</v>
      </c>
      <c r="R26" s="54" t="s">
        <v>170</v>
      </c>
    </row>
    <row r="27" spans="1:18" x14ac:dyDescent="0.15">
      <c r="A27" s="54">
        <v>15031</v>
      </c>
      <c r="B27" s="54">
        <v>3</v>
      </c>
      <c r="C27" s="68" t="str">
        <f t="shared" si="3"/>
        <v>15031_3</v>
      </c>
      <c r="D27" s="11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79">
        <v>26</v>
      </c>
      <c r="F27" s="79" t="s">
        <v>383</v>
      </c>
      <c r="G27" s="79">
        <v>338</v>
      </c>
      <c r="H27" s="79">
        <v>1</v>
      </c>
      <c r="I27" s="79">
        <v>1</v>
      </c>
      <c r="J27" s="79">
        <v>1</v>
      </c>
      <c r="K27" s="54">
        <v>0</v>
      </c>
      <c r="L27" s="54">
        <v>0</v>
      </c>
      <c r="M27" s="54">
        <v>0</v>
      </c>
      <c r="N27" s="54">
        <v>0</v>
      </c>
      <c r="O27" s="54">
        <v>1</v>
      </c>
      <c r="P27" s="54">
        <v>250</v>
      </c>
      <c r="Q27" s="54" t="s">
        <v>169</v>
      </c>
      <c r="R27" s="54" t="s">
        <v>170</v>
      </c>
    </row>
    <row r="28" spans="1:18" x14ac:dyDescent="0.15">
      <c r="A28" s="54">
        <v>15031</v>
      </c>
      <c r="B28" s="54">
        <v>3</v>
      </c>
      <c r="C28" s="68" t="str">
        <f t="shared" si="3"/>
        <v>15031_3</v>
      </c>
      <c r="D28" s="11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79">
        <v>27</v>
      </c>
      <c r="F28" s="79" t="s">
        <v>383</v>
      </c>
      <c r="G28" s="79">
        <v>342</v>
      </c>
      <c r="H28" s="79">
        <v>1</v>
      </c>
      <c r="I28" s="79">
        <v>1</v>
      </c>
      <c r="J28" s="79">
        <v>1</v>
      </c>
      <c r="K28" s="54">
        <v>0</v>
      </c>
      <c r="L28" s="54">
        <v>0</v>
      </c>
      <c r="M28" s="54">
        <v>0</v>
      </c>
      <c r="N28" s="54">
        <v>0</v>
      </c>
      <c r="O28" s="54">
        <v>1</v>
      </c>
      <c r="P28" s="54">
        <v>250</v>
      </c>
      <c r="Q28" s="54" t="s">
        <v>169</v>
      </c>
      <c r="R28" s="54" t="s">
        <v>170</v>
      </c>
    </row>
    <row r="29" spans="1:18" x14ac:dyDescent="0.15">
      <c r="A29" s="54">
        <v>15031</v>
      </c>
      <c r="B29" s="54">
        <v>3</v>
      </c>
      <c r="C29" s="68" t="str">
        <f t="shared" si="3"/>
        <v>15031_3</v>
      </c>
      <c r="D29" s="11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79">
        <v>28</v>
      </c>
      <c r="F29" s="79" t="s">
        <v>383</v>
      </c>
      <c r="G29" s="79">
        <v>346</v>
      </c>
      <c r="H29" s="79">
        <v>1</v>
      </c>
      <c r="I29" s="79">
        <v>1</v>
      </c>
      <c r="J29" s="79">
        <v>1</v>
      </c>
      <c r="K29" s="54">
        <v>0</v>
      </c>
      <c r="L29" s="54">
        <v>0</v>
      </c>
      <c r="M29" s="54">
        <v>0</v>
      </c>
      <c r="N29" s="54">
        <v>0</v>
      </c>
      <c r="O29" s="54">
        <v>1</v>
      </c>
      <c r="P29" s="54">
        <v>250</v>
      </c>
      <c r="Q29" s="54" t="s">
        <v>169</v>
      </c>
      <c r="R29" s="54" t="s">
        <v>170</v>
      </c>
    </row>
    <row r="30" spans="1:18" x14ac:dyDescent="0.15">
      <c r="A30" s="54">
        <v>15031</v>
      </c>
      <c r="B30" s="54">
        <v>3</v>
      </c>
      <c r="C30" s="68" t="str">
        <f t="shared" si="3"/>
        <v>15031_3</v>
      </c>
      <c r="D30" s="11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79">
        <v>29</v>
      </c>
      <c r="F30" s="79" t="s">
        <v>383</v>
      </c>
      <c r="G30" s="152">
        <v>372</v>
      </c>
      <c r="H30" s="79">
        <v>1</v>
      </c>
      <c r="I30" s="79">
        <v>1</v>
      </c>
      <c r="J30" s="79">
        <v>1</v>
      </c>
      <c r="K30" s="54">
        <v>0</v>
      </c>
      <c r="L30" s="54">
        <v>0</v>
      </c>
      <c r="M30" s="54">
        <v>0</v>
      </c>
      <c r="N30" s="54">
        <v>0</v>
      </c>
      <c r="O30" s="54">
        <v>1</v>
      </c>
      <c r="P30" s="54">
        <v>334</v>
      </c>
      <c r="Q30" s="54" t="s">
        <v>169</v>
      </c>
      <c r="R30" s="54" t="s">
        <v>170</v>
      </c>
    </row>
    <row r="31" spans="1:18" x14ac:dyDescent="0.15">
      <c r="A31" s="54">
        <v>15031</v>
      </c>
      <c r="B31" s="54">
        <v>3</v>
      </c>
      <c r="C31" s="68" t="str">
        <f t="shared" ref="C31:C36" si="4">A31&amp; "_"&amp;B31</f>
        <v>15031_3</v>
      </c>
      <c r="D31" s="11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79">
        <v>30</v>
      </c>
      <c r="F31" s="79" t="s">
        <v>383</v>
      </c>
      <c r="G31" s="152">
        <v>374</v>
      </c>
      <c r="H31" s="79">
        <v>1</v>
      </c>
      <c r="I31" s="79">
        <v>1</v>
      </c>
      <c r="J31" s="79">
        <v>1</v>
      </c>
      <c r="K31" s="54">
        <v>0</v>
      </c>
      <c r="L31" s="54">
        <v>0</v>
      </c>
      <c r="M31" s="54">
        <v>0</v>
      </c>
      <c r="N31" s="54">
        <v>0</v>
      </c>
      <c r="O31" s="54">
        <v>1</v>
      </c>
      <c r="P31" s="54">
        <v>333</v>
      </c>
      <c r="Q31" s="54" t="s">
        <v>169</v>
      </c>
      <c r="R31" s="54" t="s">
        <v>170</v>
      </c>
    </row>
    <row r="32" spans="1:18" x14ac:dyDescent="0.15">
      <c r="A32" s="54">
        <v>15031</v>
      </c>
      <c r="B32" s="54">
        <v>3</v>
      </c>
      <c r="C32" s="68" t="str">
        <f t="shared" si="4"/>
        <v>15031_3</v>
      </c>
      <c r="D32" s="11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79">
        <v>31</v>
      </c>
      <c r="F32" s="79" t="s">
        <v>383</v>
      </c>
      <c r="G32" s="152">
        <v>412</v>
      </c>
      <c r="H32" s="79">
        <v>1</v>
      </c>
      <c r="I32" s="79">
        <v>1</v>
      </c>
      <c r="J32" s="79">
        <v>1</v>
      </c>
      <c r="K32" s="54">
        <v>0</v>
      </c>
      <c r="L32" s="54">
        <v>0</v>
      </c>
      <c r="M32" s="54">
        <v>0</v>
      </c>
      <c r="N32" s="54">
        <v>0</v>
      </c>
      <c r="O32" s="54">
        <v>1</v>
      </c>
      <c r="P32" s="54">
        <v>333</v>
      </c>
      <c r="Q32" s="54" t="s">
        <v>169</v>
      </c>
      <c r="R32" s="54" t="s">
        <v>170</v>
      </c>
    </row>
    <row r="33" spans="1:18" x14ac:dyDescent="0.15">
      <c r="A33" s="54">
        <v>15031</v>
      </c>
      <c r="B33" s="54">
        <v>3</v>
      </c>
      <c r="C33" s="68" t="str">
        <f t="shared" si="4"/>
        <v>15031_3</v>
      </c>
      <c r="D33" s="11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79">
        <v>32</v>
      </c>
      <c r="F33" s="79" t="s">
        <v>383</v>
      </c>
      <c r="G33" s="79">
        <v>348</v>
      </c>
      <c r="H33" s="79">
        <v>1</v>
      </c>
      <c r="I33" s="79">
        <v>1</v>
      </c>
      <c r="J33" s="79">
        <v>1</v>
      </c>
      <c r="K33" s="54">
        <v>0</v>
      </c>
      <c r="L33" s="54">
        <v>0</v>
      </c>
      <c r="M33" s="54">
        <v>0</v>
      </c>
      <c r="N33" s="54">
        <v>0</v>
      </c>
      <c r="O33" s="54">
        <v>1</v>
      </c>
      <c r="P33" s="54">
        <v>750</v>
      </c>
      <c r="Q33" s="54" t="s">
        <v>169</v>
      </c>
      <c r="R33" s="54" t="s">
        <v>170</v>
      </c>
    </row>
    <row r="34" spans="1:18" x14ac:dyDescent="0.15">
      <c r="A34" s="54">
        <v>15031</v>
      </c>
      <c r="B34" s="54">
        <v>3</v>
      </c>
      <c r="C34" s="68" t="str">
        <f t="shared" si="4"/>
        <v>15031_3</v>
      </c>
      <c r="D34" s="11" t="str">
        <f ca="1">VLOOKUP($C34,OFFSET([2]stages!$A$1,0,0,COUNTA([2]stages!$A:$A),MATCH(D$1,[2]stages!$2:$2,0)-MATCH($C$1,[2]stages!$2:$2,0)+1),MATCH(D$1,[2]stages!$2:$2,0)-MATCH($C$1,[2]stages!$2:$2,0)+1,FALSE)</f>
        <v>everyone</v>
      </c>
      <c r="E34" s="79">
        <v>33</v>
      </c>
      <c r="F34" s="79" t="s">
        <v>383</v>
      </c>
      <c r="G34" s="79">
        <v>350</v>
      </c>
      <c r="H34" s="79">
        <v>1</v>
      </c>
      <c r="I34" s="79">
        <v>1</v>
      </c>
      <c r="J34" s="79">
        <v>1</v>
      </c>
      <c r="K34" s="54">
        <v>0</v>
      </c>
      <c r="L34" s="54">
        <v>0</v>
      </c>
      <c r="M34" s="54">
        <v>0</v>
      </c>
      <c r="N34" s="54">
        <v>0</v>
      </c>
      <c r="O34" s="54">
        <v>1</v>
      </c>
      <c r="P34" s="54">
        <v>750</v>
      </c>
      <c r="Q34" s="54" t="s">
        <v>169</v>
      </c>
      <c r="R34" s="54" t="s">
        <v>170</v>
      </c>
    </row>
    <row r="35" spans="1:18" x14ac:dyDescent="0.15">
      <c r="A35" s="54">
        <v>15031</v>
      </c>
      <c r="B35" s="54">
        <v>3</v>
      </c>
      <c r="C35" s="68" t="str">
        <f t="shared" si="4"/>
        <v>15031_3</v>
      </c>
      <c r="D35" s="11" t="str">
        <f ca="1">VLOOKUP($C35,OFFSET([2]stages!$A$1,0,0,COUNTA([2]stages!$A:$A),MATCH(D$1,[2]stages!$2:$2,0)-MATCH($C$1,[2]stages!$2:$2,0)+1),MATCH(D$1,[2]stages!$2:$2,0)-MATCH($C$1,[2]stages!$2:$2,0)+1,FALSE)</f>
        <v>everyone</v>
      </c>
      <c r="E35" s="79">
        <v>34</v>
      </c>
      <c r="F35" s="79" t="s">
        <v>383</v>
      </c>
      <c r="G35" s="79">
        <v>352</v>
      </c>
      <c r="H35" s="79">
        <v>1</v>
      </c>
      <c r="I35" s="79">
        <v>1</v>
      </c>
      <c r="J35" s="79">
        <v>1</v>
      </c>
      <c r="K35" s="54">
        <v>0</v>
      </c>
      <c r="L35" s="54">
        <v>0</v>
      </c>
      <c r="M35" s="54">
        <v>0</v>
      </c>
      <c r="N35" s="54">
        <v>0</v>
      </c>
      <c r="O35" s="54">
        <v>1</v>
      </c>
      <c r="P35" s="54">
        <v>750</v>
      </c>
      <c r="Q35" s="54" t="s">
        <v>169</v>
      </c>
      <c r="R35" s="54" t="s">
        <v>170</v>
      </c>
    </row>
    <row r="36" spans="1:18" x14ac:dyDescent="0.15">
      <c r="A36" s="54">
        <v>15031</v>
      </c>
      <c r="B36" s="54">
        <v>3</v>
      </c>
      <c r="C36" s="68" t="str">
        <f t="shared" si="4"/>
        <v>15031_3</v>
      </c>
      <c r="D36" s="11" t="str">
        <f ca="1">VLOOKUP($C36,OFFSET([2]stages!$A$1,0,0,COUNTA([2]stages!$A:$A),MATCH(D$1,[2]stages!$2:$2,0)-MATCH($C$1,[2]stages!$2:$2,0)+1),MATCH(D$1,[2]stages!$2:$2,0)-MATCH($C$1,[2]stages!$2:$2,0)+1,FALSE)</f>
        <v>everyone</v>
      </c>
      <c r="E36" s="79">
        <v>35</v>
      </c>
      <c r="F36" s="79" t="s">
        <v>383</v>
      </c>
      <c r="G36" s="79">
        <v>354</v>
      </c>
      <c r="H36" s="79">
        <v>1</v>
      </c>
      <c r="I36" s="79">
        <v>1</v>
      </c>
      <c r="J36" s="79">
        <v>1</v>
      </c>
      <c r="K36" s="54">
        <v>0</v>
      </c>
      <c r="L36" s="54">
        <v>0</v>
      </c>
      <c r="M36" s="54">
        <v>0</v>
      </c>
      <c r="N36" s="54">
        <v>0</v>
      </c>
      <c r="O36" s="54">
        <v>1</v>
      </c>
      <c r="P36" s="54">
        <v>750</v>
      </c>
      <c r="Q36" s="54" t="s">
        <v>169</v>
      </c>
      <c r="R36" s="54" t="s">
        <v>170</v>
      </c>
    </row>
    <row r="37" spans="1:18" x14ac:dyDescent="0.15">
      <c r="A37" s="54">
        <v>15031</v>
      </c>
      <c r="B37" s="54">
        <v>4</v>
      </c>
      <c r="C37" s="68" t="str">
        <f t="shared" ref="C37:C38" si="5">A37&amp; "_"&amp;B37</f>
        <v>15031_4</v>
      </c>
      <c r="D37" s="11" t="str">
        <f ca="1">VLOOKUP($C37,OFFSET([2]stages!$A$1,0,0,COUNTA([2]stages!$A:$A),MATCH(D$1,[2]stages!$2:$2,0)-MATCH($C$1,[2]stages!$2:$2,0)+1),MATCH(D$1,[2]stages!$2:$2,0)-MATCH($C$1,[2]stages!$2:$2,0)+1,FALSE)</f>
        <v>singleonly</v>
      </c>
      <c r="E37" s="79">
        <v>36</v>
      </c>
      <c r="F37" s="79" t="s">
        <v>383</v>
      </c>
      <c r="G37" s="79">
        <v>334</v>
      </c>
      <c r="H37" s="79">
        <v>1</v>
      </c>
      <c r="I37" s="79">
        <v>1</v>
      </c>
      <c r="J37" s="79">
        <v>1</v>
      </c>
      <c r="K37" s="54">
        <v>0</v>
      </c>
      <c r="L37" s="54">
        <v>0</v>
      </c>
      <c r="M37" s="54">
        <v>0</v>
      </c>
      <c r="N37" s="54">
        <v>0</v>
      </c>
      <c r="O37" s="54">
        <v>1</v>
      </c>
      <c r="P37" s="54">
        <v>2500</v>
      </c>
      <c r="Q37" s="54" t="s">
        <v>169</v>
      </c>
      <c r="R37" s="54" t="s">
        <v>170</v>
      </c>
    </row>
    <row r="38" spans="1:18" x14ac:dyDescent="0.15">
      <c r="A38" s="54">
        <v>15031</v>
      </c>
      <c r="B38" s="54">
        <v>4</v>
      </c>
      <c r="C38" s="68" t="str">
        <f t="shared" si="5"/>
        <v>15031_4</v>
      </c>
      <c r="D38" s="11" t="str">
        <f ca="1">VLOOKUP($C38,OFFSET([2]stages!$A$1,0,0,COUNTA([2]stages!$A:$A),MATCH(D$1,[2]stages!$2:$2,0)-MATCH($C$1,[2]stages!$2:$2,0)+1),MATCH(D$1,[2]stages!$2:$2,0)-MATCH($C$1,[2]stages!$2:$2,0)+1,FALSE)</f>
        <v>singleonly</v>
      </c>
      <c r="E38" s="79">
        <v>37</v>
      </c>
      <c r="F38" s="79" t="s">
        <v>383</v>
      </c>
      <c r="G38" s="79">
        <v>338</v>
      </c>
      <c r="H38" s="79">
        <v>1</v>
      </c>
      <c r="I38" s="79">
        <v>1</v>
      </c>
      <c r="J38" s="79">
        <v>1</v>
      </c>
      <c r="K38" s="54">
        <v>0</v>
      </c>
      <c r="L38" s="54">
        <v>0</v>
      </c>
      <c r="M38" s="54">
        <v>0</v>
      </c>
      <c r="N38" s="54">
        <v>0</v>
      </c>
      <c r="O38" s="54">
        <v>1</v>
      </c>
      <c r="P38" s="54">
        <v>2500</v>
      </c>
      <c r="Q38" s="54" t="s">
        <v>169</v>
      </c>
      <c r="R38" s="54" t="s">
        <v>170</v>
      </c>
    </row>
    <row r="39" spans="1:18" x14ac:dyDescent="0.15">
      <c r="A39" s="54">
        <v>15031</v>
      </c>
      <c r="B39" s="54">
        <v>4</v>
      </c>
      <c r="C39" s="68" t="str">
        <f t="shared" ref="C39:C40" si="6">A39&amp; "_"&amp;B39</f>
        <v>15031_4</v>
      </c>
      <c r="D39" s="11" t="str">
        <f ca="1">VLOOKUP($C39,OFFSET([2]stages!$A$1,0,0,COUNTA([2]stages!$A:$A),MATCH(D$1,[2]stages!$2:$2,0)-MATCH($C$1,[2]stages!$2:$2,0)+1),MATCH(D$1,[2]stages!$2:$2,0)-MATCH($C$1,[2]stages!$2:$2,0)+1,FALSE)</f>
        <v>singleonly</v>
      </c>
      <c r="E39" s="79">
        <v>38</v>
      </c>
      <c r="F39" s="79" t="s">
        <v>383</v>
      </c>
      <c r="G39" s="79">
        <v>342</v>
      </c>
      <c r="H39" s="79">
        <v>1</v>
      </c>
      <c r="I39" s="79">
        <v>1</v>
      </c>
      <c r="J39" s="79">
        <v>1</v>
      </c>
      <c r="K39" s="54">
        <v>0</v>
      </c>
      <c r="L39" s="54">
        <v>0</v>
      </c>
      <c r="M39" s="54">
        <v>0</v>
      </c>
      <c r="N39" s="54">
        <v>0</v>
      </c>
      <c r="O39" s="54">
        <v>1</v>
      </c>
      <c r="P39" s="54">
        <v>2500</v>
      </c>
      <c r="Q39" s="54" t="s">
        <v>169</v>
      </c>
      <c r="R39" s="54" t="s">
        <v>170</v>
      </c>
    </row>
    <row r="40" spans="1:18" x14ac:dyDescent="0.15">
      <c r="A40" s="54">
        <v>15031</v>
      </c>
      <c r="B40" s="54">
        <v>4</v>
      </c>
      <c r="C40" s="68" t="str">
        <f t="shared" si="6"/>
        <v>15031_4</v>
      </c>
      <c r="D40" s="11" t="str">
        <f ca="1">VLOOKUP($C40,OFFSET([2]stages!$A$1,0,0,COUNTA([2]stages!$A:$A),MATCH(D$1,[2]stages!$2:$2,0)-MATCH($C$1,[2]stages!$2:$2,0)+1),MATCH(D$1,[2]stages!$2:$2,0)-MATCH($C$1,[2]stages!$2:$2,0)+1,FALSE)</f>
        <v>singleonly</v>
      </c>
      <c r="E40" s="79">
        <v>39</v>
      </c>
      <c r="F40" s="79" t="s">
        <v>383</v>
      </c>
      <c r="G40" s="79">
        <v>346</v>
      </c>
      <c r="H40" s="79">
        <v>1</v>
      </c>
      <c r="I40" s="79">
        <v>1</v>
      </c>
      <c r="J40" s="79">
        <v>1</v>
      </c>
      <c r="K40" s="54">
        <v>0</v>
      </c>
      <c r="L40" s="54">
        <v>0</v>
      </c>
      <c r="M40" s="54">
        <v>0</v>
      </c>
      <c r="N40" s="54">
        <v>0</v>
      </c>
      <c r="O40" s="54">
        <v>1</v>
      </c>
      <c r="P40" s="54">
        <v>2500</v>
      </c>
      <c r="Q40" s="54" t="s">
        <v>169</v>
      </c>
      <c r="R40" s="54" t="s">
        <v>170</v>
      </c>
    </row>
  </sheetData>
  <phoneticPr fontId="5"/>
  <dataValidations count="1">
    <dataValidation type="list" allowBlank="1" showInputMessage="1" showErrorMessage="1" sqref="F2:F40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82"/>
  <sheetViews>
    <sheetView showGridLines="0" workbookViewId="0">
      <pane ySplit="1" topLeftCell="A2" activePane="bottomLeft" state="frozen"/>
      <selection pane="bottomLeft" activeCell="H12" sqref="H12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0" width="11.1640625" customWidth="1"/>
    <col min="11" max="11" width="26.6640625" bestFit="1" customWidth="1"/>
    <col min="12" max="12" width="83" bestFit="1" customWidth="1"/>
  </cols>
  <sheetData>
    <row r="1" spans="1:13" x14ac:dyDescent="0.15">
      <c r="A1" s="74" t="s">
        <v>187</v>
      </c>
      <c r="B1" s="70" t="s">
        <v>188</v>
      </c>
      <c r="C1" s="75" t="s">
        <v>189</v>
      </c>
      <c r="D1" s="75" t="s">
        <v>32</v>
      </c>
      <c r="E1" s="70" t="s">
        <v>190</v>
      </c>
      <c r="F1" s="75" t="s">
        <v>191</v>
      </c>
      <c r="G1" s="75" t="s">
        <v>32</v>
      </c>
      <c r="H1" s="70" t="s">
        <v>192</v>
      </c>
      <c r="I1" s="89" t="s">
        <v>194</v>
      </c>
      <c r="J1" s="77" t="s">
        <v>126</v>
      </c>
      <c r="K1" s="76" t="s">
        <v>186</v>
      </c>
      <c r="L1" s="90" t="s">
        <v>185</v>
      </c>
      <c r="M1" s="78" t="s">
        <v>195</v>
      </c>
    </row>
    <row r="2" spans="1:13" x14ac:dyDescent="0.15">
      <c r="A2" s="79" t="s">
        <v>300</v>
      </c>
      <c r="B2" s="80">
        <v>15031</v>
      </c>
      <c r="C2" s="81" t="str">
        <f ca="1">VLOOKUP($B2,OFFSET([2]quests!$A$1,0,0,COUNTA([2]quests!$A:$A),MATCH(C$1,[2]quests!$1:$1,0)-MATCH($B$1,[2]quests!$1:$1,0)+1),MATCH(C$1,[2]quests!$1:$1,0)-MATCH($B$1,[2]quests!$1:$1,0)+1,FALSE)</f>
        <v>31. 桜花乱城</v>
      </c>
      <c r="D2" s="81" t="str">
        <f ca="1">VLOOKUP($B2,OFFSET([2]quests!$A$1,0,0,COUNTA([2]quests!$A:$A),MATCH(D$1,[2]quests!$1:$1,0)-MATCH($B$1,[2]quests!$1:$1,0)+1),MATCH(D$1,[2]quests!$1:$1,0)-MATCH($B$1,[2]quests!$1:$1,0)+1,FALSE)</f>
        <v>混色DL6</v>
      </c>
      <c r="E2" s="85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31-1. 忍び寄る影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混色DL6</v>
      </c>
      <c r="H2" s="83">
        <v>0</v>
      </c>
      <c r="I2">
        <v>3</v>
      </c>
      <c r="J2" s="82" t="s">
        <v>301</v>
      </c>
      <c r="K2" s="143" t="s">
        <v>410</v>
      </c>
      <c r="L2" s="144" t="s">
        <v>411</v>
      </c>
      <c r="M2" s="54" t="s">
        <v>303</v>
      </c>
    </row>
    <row r="3" spans="1:13" x14ac:dyDescent="0.15">
      <c r="A3" s="79" t="s">
        <v>300</v>
      </c>
      <c r="B3" s="80">
        <v>15031</v>
      </c>
      <c r="C3" s="81" t="str">
        <f ca="1">VLOOKUP($B3,OFFSET([2]quests!$A$1,0,0,COUNTA([2]quests!$A:$A),MATCH(C$1,[2]quests!$1:$1,0)-MATCH($B$1,[2]quests!$1:$1,0)+1),MATCH(C$1,[2]quests!$1:$1,0)-MATCH($B$1,[2]quests!$1:$1,0)+1,FALSE)</f>
        <v>31. 桜花乱城</v>
      </c>
      <c r="D3" s="81" t="str">
        <f ca="1">VLOOKUP($B3,OFFSET([2]quests!$A$1,0,0,COUNTA([2]quests!$A:$A),MATCH(D$1,[2]quests!$1:$1,0)-MATCH($B$1,[2]quests!$1:$1,0)+1),MATCH(D$1,[2]quests!$1:$1,0)-MATCH($B$1,[2]quests!$1:$1,0)+1,FALSE)</f>
        <v>混色DL6</v>
      </c>
      <c r="E3" s="85">
        <v>1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31-1. 忍び寄る影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混色DL6</v>
      </c>
      <c r="H3" s="83">
        <v>0</v>
      </c>
      <c r="I3">
        <v>6</v>
      </c>
      <c r="J3" s="82" t="s">
        <v>304</v>
      </c>
      <c r="K3" s="143" t="s">
        <v>412</v>
      </c>
      <c r="L3" s="144" t="s">
        <v>413</v>
      </c>
      <c r="M3" s="54" t="s">
        <v>303</v>
      </c>
    </row>
    <row r="4" spans="1:13" x14ac:dyDescent="0.15">
      <c r="A4" s="79" t="s">
        <v>300</v>
      </c>
      <c r="B4" s="80">
        <v>15031</v>
      </c>
      <c r="C4" s="81" t="str">
        <f ca="1">VLOOKUP($B4,OFFSET([2]quests!$A$1,0,0,COUNTA([2]quests!$A:$A),MATCH(C$1,[2]quests!$1:$1,0)-MATCH($B$1,[2]quests!$1:$1,0)+1),MATCH(C$1,[2]quests!$1:$1,0)-MATCH($B$1,[2]quests!$1:$1,0)+1,FALSE)</f>
        <v>31. 桜花乱城</v>
      </c>
      <c r="D4" s="81" t="str">
        <f ca="1">VLOOKUP($B4,OFFSET([2]quests!$A$1,0,0,COUNTA([2]quests!$A:$A),MATCH(D$1,[2]quests!$1:$1,0)-MATCH($B$1,[2]quests!$1:$1,0)+1),MATCH(D$1,[2]quests!$1:$1,0)-MATCH($B$1,[2]quests!$1:$1,0)+1,FALSE)</f>
        <v>混色DL6</v>
      </c>
      <c r="E4" s="85">
        <v>1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31-1. 忍び寄る影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混色DL6</v>
      </c>
      <c r="H4" s="83">
        <v>0</v>
      </c>
      <c r="I4">
        <v>7</v>
      </c>
      <c r="J4" s="82" t="s">
        <v>305</v>
      </c>
      <c r="K4" s="143" t="s">
        <v>414</v>
      </c>
      <c r="L4" s="144" t="s">
        <v>415</v>
      </c>
      <c r="M4" s="54" t="s">
        <v>306</v>
      </c>
    </row>
    <row r="5" spans="1:13" x14ac:dyDescent="0.15">
      <c r="A5" s="79" t="s">
        <v>300</v>
      </c>
      <c r="B5" s="80">
        <v>15031</v>
      </c>
      <c r="C5" s="81" t="str">
        <f ca="1">VLOOKUP($B5,OFFSET([2]quests!$A$1,0,0,COUNTA([2]quests!$A:$A),MATCH(C$1,[2]quests!$1:$1,0)-MATCH($B$1,[2]quests!$1:$1,0)+1),MATCH(C$1,[2]quests!$1:$1,0)-MATCH($B$1,[2]quests!$1:$1,0)+1,FALSE)</f>
        <v>31. 桜花乱城</v>
      </c>
      <c r="D5" s="81" t="str">
        <f ca="1">VLOOKUP($B5,OFFSET([2]quests!$A$1,0,0,COUNTA([2]quests!$A:$A),MATCH(D$1,[2]quests!$1:$1,0)-MATCH($B$1,[2]quests!$1:$1,0)+1),MATCH(D$1,[2]quests!$1:$1,0)-MATCH($B$1,[2]quests!$1:$1,0)+1,FALSE)</f>
        <v>混色DL6</v>
      </c>
      <c r="E5" s="85">
        <v>1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31-1. 忍び寄る影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混色DL6</v>
      </c>
      <c r="H5" s="83">
        <v>0</v>
      </c>
      <c r="I5">
        <v>8</v>
      </c>
      <c r="J5" s="82" t="s">
        <v>307</v>
      </c>
      <c r="K5" s="143" t="s">
        <v>416</v>
      </c>
      <c r="L5" s="144" t="s">
        <v>417</v>
      </c>
      <c r="M5" s="54" t="s">
        <v>308</v>
      </c>
    </row>
    <row r="6" spans="1:13" x14ac:dyDescent="0.15">
      <c r="A6" s="79" t="s">
        <v>300</v>
      </c>
      <c r="B6" s="80">
        <v>15031</v>
      </c>
      <c r="C6" s="81" t="str">
        <f ca="1">VLOOKUP($B6,OFFSET([2]quests!$A$1,0,0,COUNTA([2]quests!$A:$A),MATCH(C$1,[2]quests!$1:$1,0)-MATCH($B$1,[2]quests!$1:$1,0)+1),MATCH(C$1,[2]quests!$1:$1,0)-MATCH($B$1,[2]quests!$1:$1,0)+1,FALSE)</f>
        <v>31. 桜花乱城</v>
      </c>
      <c r="D6" s="81" t="str">
        <f ca="1">VLOOKUP($B6,OFFSET([2]quests!$A$1,0,0,COUNTA([2]quests!$A:$A),MATCH(D$1,[2]quests!$1:$1,0)-MATCH($B$1,[2]quests!$1:$1,0)+1),MATCH(D$1,[2]quests!$1:$1,0)-MATCH($B$1,[2]quests!$1:$1,0)+1,FALSE)</f>
        <v>混色DL6</v>
      </c>
      <c r="E6" s="85">
        <v>1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31-1. 忍び寄る影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混色DL6</v>
      </c>
      <c r="H6" s="83">
        <v>0</v>
      </c>
      <c r="I6">
        <v>9</v>
      </c>
      <c r="J6" s="82" t="s">
        <v>305</v>
      </c>
      <c r="K6" s="143" t="s">
        <v>418</v>
      </c>
      <c r="L6" s="144" t="s">
        <v>419</v>
      </c>
      <c r="M6" s="54" t="s">
        <v>302</v>
      </c>
    </row>
    <row r="7" spans="1:13" x14ac:dyDescent="0.15">
      <c r="A7" s="79" t="s">
        <v>300</v>
      </c>
      <c r="B7" s="80">
        <v>15031</v>
      </c>
      <c r="C7" s="81" t="str">
        <f ca="1">VLOOKUP($B7,OFFSET([2]quests!$A$1,0,0,COUNTA([2]quests!$A:$A),MATCH(C$1,[2]quests!$1:$1,0)-MATCH($B$1,[2]quests!$1:$1,0)+1),MATCH(C$1,[2]quests!$1:$1,0)-MATCH($B$1,[2]quests!$1:$1,0)+1,FALSE)</f>
        <v>31. 桜花乱城</v>
      </c>
      <c r="D7" s="81" t="str">
        <f ca="1">VLOOKUP($B7,OFFSET([2]quests!$A$1,0,0,COUNTA([2]quests!$A:$A),MATCH(D$1,[2]quests!$1:$1,0)-MATCH($B$1,[2]quests!$1:$1,0)+1),MATCH(D$1,[2]quests!$1:$1,0)-MATCH($B$1,[2]quests!$1:$1,0)+1,FALSE)</f>
        <v>混色DL6</v>
      </c>
      <c r="E7" s="85">
        <v>1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>31-1. 忍び寄る影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混色DL6</v>
      </c>
      <c r="H7" s="83">
        <v>0</v>
      </c>
      <c r="I7">
        <v>10</v>
      </c>
      <c r="J7" s="82" t="s">
        <v>305</v>
      </c>
      <c r="K7" s="143" t="s">
        <v>420</v>
      </c>
      <c r="L7" s="144" t="s">
        <v>421</v>
      </c>
      <c r="M7" s="54" t="s">
        <v>302</v>
      </c>
    </row>
    <row r="8" spans="1:13" x14ac:dyDescent="0.15">
      <c r="A8" s="79" t="s">
        <v>300</v>
      </c>
      <c r="B8" s="80">
        <v>15031</v>
      </c>
      <c r="C8" s="81" t="str">
        <f ca="1">VLOOKUP($B8,OFFSET([2]quests!$A$1,0,0,COUNTA([2]quests!$A:$A),MATCH(C$1,[2]quests!$1:$1,0)-MATCH($B$1,[2]quests!$1:$1,0)+1),MATCH(C$1,[2]quests!$1:$1,0)-MATCH($B$1,[2]quests!$1:$1,0)+1,FALSE)</f>
        <v>31. 桜花乱城</v>
      </c>
      <c r="D8" s="81" t="str">
        <f ca="1">VLOOKUP($B8,OFFSET([2]quests!$A$1,0,0,COUNTA([2]quests!$A:$A),MATCH(D$1,[2]quests!$1:$1,0)-MATCH($B$1,[2]quests!$1:$1,0)+1),MATCH(D$1,[2]quests!$1:$1,0)-MATCH($B$1,[2]quests!$1:$1,0)+1,FALSE)</f>
        <v>混色DL6</v>
      </c>
      <c r="E8" s="85">
        <v>1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>31-1. 忍び寄る影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混色DL6</v>
      </c>
      <c r="H8" s="83">
        <v>0</v>
      </c>
      <c r="I8">
        <v>11</v>
      </c>
      <c r="J8" s="82" t="s">
        <v>305</v>
      </c>
      <c r="K8" s="143" t="s">
        <v>422</v>
      </c>
      <c r="L8" s="144" t="s">
        <v>423</v>
      </c>
      <c r="M8" s="54" t="s">
        <v>302</v>
      </c>
    </row>
    <row r="9" spans="1:13" x14ac:dyDescent="0.15">
      <c r="A9" s="79" t="s">
        <v>300</v>
      </c>
      <c r="B9" s="80">
        <v>15031</v>
      </c>
      <c r="C9" s="81" t="str">
        <f ca="1">VLOOKUP($B9,OFFSET([2]quests!$A$1,0,0,COUNTA([2]quests!$A:$A),MATCH(C$1,[2]quests!$1:$1,0)-MATCH($B$1,[2]quests!$1:$1,0)+1),MATCH(C$1,[2]quests!$1:$1,0)-MATCH($B$1,[2]quests!$1:$1,0)+1,FALSE)</f>
        <v>31. 桜花乱城</v>
      </c>
      <c r="D9" s="81" t="str">
        <f ca="1">VLOOKUP($B9,OFFSET([2]quests!$A$1,0,0,COUNTA([2]quests!$A:$A),MATCH(D$1,[2]quests!$1:$1,0)-MATCH($B$1,[2]quests!$1:$1,0)+1),MATCH(D$1,[2]quests!$1:$1,0)-MATCH($B$1,[2]quests!$1:$1,0)+1,FALSE)</f>
        <v>混色DL6</v>
      </c>
      <c r="E9" s="85">
        <v>1</v>
      </c>
      <c r="F9" s="81" t="str">
        <f ca="1">VLOOKUP($B9&amp;"_"&amp;$E9,OFFSET([2]stages!$A$1,0,0,COUNTA([2]stages!$A:$A),MATCH(F$1,[2]stages!$2:$2,0)-MATCH("temp_stage",[2]stages!$2:$2,0)+1),MATCH(F$1,[2]stages!$2:$2,0)-MATCH("temp_stage",[2]stages!$2:$2,0)+1,FALSE)</f>
        <v>31-1. 忍び寄る影</v>
      </c>
      <c r="G9" s="81" t="str">
        <f ca="1">VLOOKUP($B9&amp;"_"&amp;$E9,OFFSET([2]stages!$A$1,0,0,COUNTA([2]stages!$A:$A),MATCH(G$1,[2]stages!$2:$2,0)-MATCH("temp_stage",[2]stages!$2:$2,0)+1),MATCH(G$1,[2]stages!$2:$2,0)-MATCH("temp_stage",[2]stages!$2:$2,0)+1,FALSE)</f>
        <v>混色DL6</v>
      </c>
      <c r="H9" s="83">
        <v>0</v>
      </c>
      <c r="I9">
        <v>12</v>
      </c>
      <c r="J9" s="82" t="s">
        <v>304</v>
      </c>
      <c r="K9" s="143" t="s">
        <v>424</v>
      </c>
      <c r="L9" s="144" t="s">
        <v>425</v>
      </c>
      <c r="M9" s="54" t="s">
        <v>309</v>
      </c>
    </row>
    <row r="10" spans="1:13" x14ac:dyDescent="0.15">
      <c r="A10" s="79" t="s">
        <v>300</v>
      </c>
      <c r="B10" s="80">
        <v>15031</v>
      </c>
      <c r="C10" s="81" t="str">
        <f ca="1">VLOOKUP($B10,OFFSET([2]quests!$A$1,0,0,COUNTA([2]quests!$A:$A),MATCH(C$1,[2]quests!$1:$1,0)-MATCH($B$1,[2]quests!$1:$1,0)+1),MATCH(C$1,[2]quests!$1:$1,0)-MATCH($B$1,[2]quests!$1:$1,0)+1,FALSE)</f>
        <v>31. 桜花乱城</v>
      </c>
      <c r="D10" s="81" t="str">
        <f ca="1">VLOOKUP($B10,OFFSET([2]quests!$A$1,0,0,COUNTA([2]quests!$A:$A),MATCH(D$1,[2]quests!$1:$1,0)-MATCH($B$1,[2]quests!$1:$1,0)+1),MATCH(D$1,[2]quests!$1:$1,0)-MATCH($B$1,[2]quests!$1:$1,0)+1,FALSE)</f>
        <v>混色DL6</v>
      </c>
      <c r="E10" s="85">
        <v>1</v>
      </c>
      <c r="F10" s="81" t="str">
        <f ca="1">VLOOKUP($B10&amp;"_"&amp;$E10,OFFSET([2]stages!$A$1,0,0,COUNTA([2]stages!$A:$A),MATCH(F$1,[2]stages!$2:$2,0)-MATCH("temp_stage",[2]stages!$2:$2,0)+1),MATCH(F$1,[2]stages!$2:$2,0)-MATCH("temp_stage",[2]stages!$2:$2,0)+1,FALSE)</f>
        <v>31-1. 忍び寄る影</v>
      </c>
      <c r="G10" s="81" t="str">
        <f ca="1">VLOOKUP($B10&amp;"_"&amp;$E10,OFFSET([2]stages!$A$1,0,0,COUNTA([2]stages!$A:$A),MATCH(G$1,[2]stages!$2:$2,0)-MATCH("temp_stage",[2]stages!$2:$2,0)+1),MATCH(G$1,[2]stages!$2:$2,0)-MATCH("temp_stage",[2]stages!$2:$2,0)+1,FALSE)</f>
        <v>混色DL6</v>
      </c>
      <c r="H10" s="83">
        <v>0</v>
      </c>
      <c r="I10">
        <v>13</v>
      </c>
      <c r="J10" s="82" t="s">
        <v>305</v>
      </c>
      <c r="K10" s="143" t="s">
        <v>426</v>
      </c>
      <c r="L10" s="144" t="s">
        <v>427</v>
      </c>
      <c r="M10" s="54" t="s">
        <v>302</v>
      </c>
    </row>
    <row r="11" spans="1:13" x14ac:dyDescent="0.15">
      <c r="A11" s="79" t="s">
        <v>300</v>
      </c>
      <c r="B11" s="80">
        <v>15031</v>
      </c>
      <c r="C11" s="81" t="str">
        <f ca="1">VLOOKUP($B11,OFFSET([2]quests!$A$1,0,0,COUNTA([2]quests!$A:$A),MATCH(C$1,[2]quests!$1:$1,0)-MATCH($B$1,[2]quests!$1:$1,0)+1),MATCH(C$1,[2]quests!$1:$1,0)-MATCH($B$1,[2]quests!$1:$1,0)+1,FALSE)</f>
        <v>31. 桜花乱城</v>
      </c>
      <c r="D11" s="81" t="str">
        <f ca="1">VLOOKUP($B11,OFFSET([2]quests!$A$1,0,0,COUNTA([2]quests!$A:$A),MATCH(D$1,[2]quests!$1:$1,0)-MATCH($B$1,[2]quests!$1:$1,0)+1),MATCH(D$1,[2]quests!$1:$1,0)-MATCH($B$1,[2]quests!$1:$1,0)+1,FALSE)</f>
        <v>混色DL6</v>
      </c>
      <c r="E11" s="85">
        <v>1</v>
      </c>
      <c r="F11" s="81" t="str">
        <f ca="1">VLOOKUP($B11&amp;"_"&amp;$E11,OFFSET([2]stages!$A$1,0,0,COUNTA([2]stages!$A:$A),MATCH(F$1,[2]stages!$2:$2,0)-MATCH("temp_stage",[2]stages!$2:$2,0)+1),MATCH(F$1,[2]stages!$2:$2,0)-MATCH("temp_stage",[2]stages!$2:$2,0)+1,FALSE)</f>
        <v>31-1. 忍び寄る影</v>
      </c>
      <c r="G11" s="81" t="str">
        <f ca="1">VLOOKUP($B11&amp;"_"&amp;$E11,OFFSET([2]stages!$A$1,0,0,COUNTA([2]stages!$A:$A),MATCH(G$1,[2]stages!$2:$2,0)-MATCH("temp_stage",[2]stages!$2:$2,0)+1),MATCH(G$1,[2]stages!$2:$2,0)-MATCH("temp_stage",[2]stages!$2:$2,0)+1,FALSE)</f>
        <v>混色DL6</v>
      </c>
      <c r="H11" s="83">
        <v>0</v>
      </c>
      <c r="I11">
        <v>14</v>
      </c>
      <c r="J11" s="82" t="s">
        <v>305</v>
      </c>
      <c r="K11" s="143" t="s">
        <v>428</v>
      </c>
      <c r="L11" s="144" t="s">
        <v>429</v>
      </c>
      <c r="M11" s="54" t="s">
        <v>302</v>
      </c>
    </row>
    <row r="12" spans="1:13" x14ac:dyDescent="0.15">
      <c r="A12" s="79" t="s">
        <v>300</v>
      </c>
      <c r="B12" s="80">
        <v>15031</v>
      </c>
      <c r="C12" s="81" t="str">
        <f ca="1">VLOOKUP($B12,OFFSET([2]quests!$A$1,0,0,COUNTA([2]quests!$A:$A),MATCH(C$1,[2]quests!$1:$1,0)-MATCH($B$1,[2]quests!$1:$1,0)+1),MATCH(C$1,[2]quests!$1:$1,0)-MATCH($B$1,[2]quests!$1:$1,0)+1,FALSE)</f>
        <v>31. 桜花乱城</v>
      </c>
      <c r="D12" s="81" t="str">
        <f ca="1">VLOOKUP($B12,OFFSET([2]quests!$A$1,0,0,COUNTA([2]quests!$A:$A),MATCH(D$1,[2]quests!$1:$1,0)-MATCH($B$1,[2]quests!$1:$1,0)+1),MATCH(D$1,[2]quests!$1:$1,0)-MATCH($B$1,[2]quests!$1:$1,0)+1,FALSE)</f>
        <v>混色DL6</v>
      </c>
      <c r="E12" s="85">
        <v>1</v>
      </c>
      <c r="F12" s="81" t="str">
        <f ca="1">VLOOKUP($B12&amp;"_"&amp;$E12,OFFSET([2]stages!$A$1,0,0,COUNTA([2]stages!$A:$A),MATCH(F$1,[2]stages!$2:$2,0)-MATCH("temp_stage",[2]stages!$2:$2,0)+1),MATCH(F$1,[2]stages!$2:$2,0)-MATCH("temp_stage",[2]stages!$2:$2,0)+1,FALSE)</f>
        <v>31-1. 忍び寄る影</v>
      </c>
      <c r="G12" s="81" t="str">
        <f ca="1">VLOOKUP($B12&amp;"_"&amp;$E12,OFFSET([2]stages!$A$1,0,0,COUNTA([2]stages!$A:$A),MATCH(G$1,[2]stages!$2:$2,0)-MATCH("temp_stage",[2]stages!$2:$2,0)+1),MATCH(G$1,[2]stages!$2:$2,0)-MATCH("temp_stage",[2]stages!$2:$2,0)+1,FALSE)</f>
        <v>混色DL6</v>
      </c>
      <c r="H12" s="83">
        <v>0</v>
      </c>
      <c r="I12">
        <v>15</v>
      </c>
      <c r="J12" s="82" t="s">
        <v>305</v>
      </c>
      <c r="K12" s="143" t="s">
        <v>430</v>
      </c>
      <c r="L12" s="144" t="s">
        <v>431</v>
      </c>
      <c r="M12" s="54" t="s">
        <v>302</v>
      </c>
    </row>
    <row r="13" spans="1:13" x14ac:dyDescent="0.15">
      <c r="A13" s="79" t="s">
        <v>300</v>
      </c>
      <c r="B13" s="80">
        <v>15031</v>
      </c>
      <c r="C13" s="81" t="str">
        <f ca="1">VLOOKUP($B13,OFFSET([2]quests!$A$1,0,0,COUNTA([2]quests!$A:$A),MATCH(C$1,[2]quests!$1:$1,0)-MATCH($B$1,[2]quests!$1:$1,0)+1),MATCH(C$1,[2]quests!$1:$1,0)-MATCH($B$1,[2]quests!$1:$1,0)+1,FALSE)</f>
        <v>31. 桜花乱城</v>
      </c>
      <c r="D13" s="81" t="str">
        <f ca="1">VLOOKUP($B13,OFFSET([2]quests!$A$1,0,0,COUNTA([2]quests!$A:$A),MATCH(D$1,[2]quests!$1:$1,0)-MATCH($B$1,[2]quests!$1:$1,0)+1),MATCH(D$1,[2]quests!$1:$1,0)-MATCH($B$1,[2]quests!$1:$1,0)+1,FALSE)</f>
        <v>混色DL6</v>
      </c>
      <c r="E13" s="85">
        <v>1</v>
      </c>
      <c r="F13" s="81" t="str">
        <f ca="1">VLOOKUP($B13&amp;"_"&amp;$E13,OFFSET([2]stages!$A$1,0,0,COUNTA([2]stages!$A:$A),MATCH(F$1,[2]stages!$2:$2,0)-MATCH("temp_stage",[2]stages!$2:$2,0)+1),MATCH(F$1,[2]stages!$2:$2,0)-MATCH("temp_stage",[2]stages!$2:$2,0)+1,FALSE)</f>
        <v>31-1. 忍び寄る影</v>
      </c>
      <c r="G13" s="81" t="str">
        <f ca="1">VLOOKUP($B13&amp;"_"&amp;$E13,OFFSET([2]stages!$A$1,0,0,COUNTA([2]stages!$A:$A),MATCH(G$1,[2]stages!$2:$2,0)-MATCH("temp_stage",[2]stages!$2:$2,0)+1),MATCH(G$1,[2]stages!$2:$2,0)-MATCH("temp_stage",[2]stages!$2:$2,0)+1,FALSE)</f>
        <v>混色DL6</v>
      </c>
      <c r="H13" s="83">
        <v>0</v>
      </c>
      <c r="I13">
        <v>16</v>
      </c>
      <c r="J13" s="82" t="s">
        <v>305</v>
      </c>
      <c r="K13" s="143" t="s">
        <v>432</v>
      </c>
      <c r="L13" s="144" t="s">
        <v>433</v>
      </c>
      <c r="M13" s="54" t="s">
        <v>302</v>
      </c>
    </row>
    <row r="14" spans="1:13" x14ac:dyDescent="0.15">
      <c r="A14" s="79" t="s">
        <v>300</v>
      </c>
      <c r="B14" s="80">
        <v>15031</v>
      </c>
      <c r="C14" s="81" t="str">
        <f ca="1">VLOOKUP($B14,OFFSET([2]quests!$A$1,0,0,COUNTA([2]quests!$A:$A),MATCH(C$1,[2]quests!$1:$1,0)-MATCH($B$1,[2]quests!$1:$1,0)+1),MATCH(C$1,[2]quests!$1:$1,0)-MATCH($B$1,[2]quests!$1:$1,0)+1,FALSE)</f>
        <v>31. 桜花乱城</v>
      </c>
      <c r="D14" s="81" t="str">
        <f ca="1">VLOOKUP($B14,OFFSET([2]quests!$A$1,0,0,COUNTA([2]quests!$A:$A),MATCH(D$1,[2]quests!$1:$1,0)-MATCH($B$1,[2]quests!$1:$1,0)+1),MATCH(D$1,[2]quests!$1:$1,0)-MATCH($B$1,[2]quests!$1:$1,0)+1,FALSE)</f>
        <v>混色DL6</v>
      </c>
      <c r="E14" s="85">
        <v>1</v>
      </c>
      <c r="F14" s="81" t="str">
        <f ca="1">VLOOKUP($B14&amp;"_"&amp;$E14,OFFSET([2]stages!$A$1,0,0,COUNTA([2]stages!$A:$A),MATCH(F$1,[2]stages!$2:$2,0)-MATCH("temp_stage",[2]stages!$2:$2,0)+1),MATCH(F$1,[2]stages!$2:$2,0)-MATCH("temp_stage",[2]stages!$2:$2,0)+1,FALSE)</f>
        <v>31-1. 忍び寄る影</v>
      </c>
      <c r="G14" s="81" t="str">
        <f ca="1">VLOOKUP($B14&amp;"_"&amp;$E14,OFFSET([2]stages!$A$1,0,0,COUNTA([2]stages!$A:$A),MATCH(G$1,[2]stages!$2:$2,0)-MATCH("temp_stage",[2]stages!$2:$2,0)+1),MATCH(G$1,[2]stages!$2:$2,0)-MATCH("temp_stage",[2]stages!$2:$2,0)+1,FALSE)</f>
        <v>混色DL6</v>
      </c>
      <c r="H14" s="83">
        <v>0</v>
      </c>
      <c r="I14">
        <v>17</v>
      </c>
      <c r="J14" s="82" t="s">
        <v>305</v>
      </c>
      <c r="K14" s="143" t="s">
        <v>434</v>
      </c>
      <c r="L14" s="144" t="s">
        <v>435</v>
      </c>
      <c r="M14" s="54" t="s">
        <v>302</v>
      </c>
    </row>
    <row r="15" spans="1:13" x14ac:dyDescent="0.15">
      <c r="A15" s="79" t="s">
        <v>300</v>
      </c>
      <c r="B15" s="80">
        <v>15031</v>
      </c>
      <c r="C15" s="81" t="str">
        <f ca="1">VLOOKUP($B15,OFFSET([2]quests!$A$1,0,0,COUNTA([2]quests!$A:$A),MATCH(C$1,[2]quests!$1:$1,0)-MATCH($B$1,[2]quests!$1:$1,0)+1),MATCH(C$1,[2]quests!$1:$1,0)-MATCH($B$1,[2]quests!$1:$1,0)+1,FALSE)</f>
        <v>31. 桜花乱城</v>
      </c>
      <c r="D15" s="81" t="str">
        <f ca="1">VLOOKUP($B15,OFFSET([2]quests!$A$1,0,0,COUNTA([2]quests!$A:$A),MATCH(D$1,[2]quests!$1:$1,0)-MATCH($B$1,[2]quests!$1:$1,0)+1),MATCH(D$1,[2]quests!$1:$1,0)-MATCH($B$1,[2]quests!$1:$1,0)+1,FALSE)</f>
        <v>混色DL6</v>
      </c>
      <c r="E15" s="85">
        <v>1</v>
      </c>
      <c r="F15" s="81" t="str">
        <f ca="1">VLOOKUP($B15&amp;"_"&amp;$E15,OFFSET([2]stages!$A$1,0,0,COUNTA([2]stages!$A:$A),MATCH(F$1,[2]stages!$2:$2,0)-MATCH("temp_stage",[2]stages!$2:$2,0)+1),MATCH(F$1,[2]stages!$2:$2,0)-MATCH("temp_stage",[2]stages!$2:$2,0)+1,FALSE)</f>
        <v>31-1. 忍び寄る影</v>
      </c>
      <c r="G15" s="81" t="str">
        <f ca="1">VLOOKUP($B15&amp;"_"&amp;$E15,OFFSET([2]stages!$A$1,0,0,COUNTA([2]stages!$A:$A),MATCH(G$1,[2]stages!$2:$2,0)-MATCH("temp_stage",[2]stages!$2:$2,0)+1),MATCH(G$1,[2]stages!$2:$2,0)-MATCH("temp_stage",[2]stages!$2:$2,0)+1,FALSE)</f>
        <v>混色DL6</v>
      </c>
      <c r="H15" s="83">
        <v>0</v>
      </c>
      <c r="I15">
        <v>18</v>
      </c>
      <c r="J15" s="82" t="s">
        <v>305</v>
      </c>
      <c r="K15" s="143" t="s">
        <v>436</v>
      </c>
      <c r="L15" s="144" t="s">
        <v>437</v>
      </c>
      <c r="M15" s="54" t="s">
        <v>302</v>
      </c>
    </row>
    <row r="16" spans="1:13" x14ac:dyDescent="0.15">
      <c r="A16" s="79" t="s">
        <v>300</v>
      </c>
      <c r="B16" s="80">
        <v>15031</v>
      </c>
      <c r="C16" s="81" t="str">
        <f ca="1">VLOOKUP($B16,OFFSET([2]quests!$A$1,0,0,COUNTA([2]quests!$A:$A),MATCH(C$1,[2]quests!$1:$1,0)-MATCH($B$1,[2]quests!$1:$1,0)+1),MATCH(C$1,[2]quests!$1:$1,0)-MATCH($B$1,[2]quests!$1:$1,0)+1,FALSE)</f>
        <v>31. 桜花乱城</v>
      </c>
      <c r="D16" s="81" t="str">
        <f ca="1">VLOOKUP($B16,OFFSET([2]quests!$A$1,0,0,COUNTA([2]quests!$A:$A),MATCH(D$1,[2]quests!$1:$1,0)-MATCH($B$1,[2]quests!$1:$1,0)+1),MATCH(D$1,[2]quests!$1:$1,0)-MATCH($B$1,[2]quests!$1:$1,0)+1,FALSE)</f>
        <v>混色DL6</v>
      </c>
      <c r="E16" s="85">
        <v>1</v>
      </c>
      <c r="F16" s="81" t="str">
        <f ca="1">VLOOKUP($B16&amp;"_"&amp;$E16,OFFSET([2]stages!$A$1,0,0,COUNTA([2]stages!$A:$A),MATCH(F$1,[2]stages!$2:$2,0)-MATCH("temp_stage",[2]stages!$2:$2,0)+1),MATCH(F$1,[2]stages!$2:$2,0)-MATCH("temp_stage",[2]stages!$2:$2,0)+1,FALSE)</f>
        <v>31-1. 忍び寄る影</v>
      </c>
      <c r="G16" s="81" t="str">
        <f ca="1">VLOOKUP($B16&amp;"_"&amp;$E16,OFFSET([2]stages!$A$1,0,0,COUNTA([2]stages!$A:$A),MATCH(G$1,[2]stages!$2:$2,0)-MATCH("temp_stage",[2]stages!$2:$2,0)+1),MATCH(G$1,[2]stages!$2:$2,0)-MATCH("temp_stage",[2]stages!$2:$2,0)+1,FALSE)</f>
        <v>混色DL6</v>
      </c>
      <c r="H16" s="83">
        <v>0</v>
      </c>
      <c r="I16">
        <v>19</v>
      </c>
      <c r="J16" s="82" t="s">
        <v>305</v>
      </c>
      <c r="K16" s="143" t="s">
        <v>438</v>
      </c>
      <c r="L16" s="144" t="s">
        <v>439</v>
      </c>
      <c r="M16" s="54" t="s">
        <v>302</v>
      </c>
    </row>
    <row r="17" spans="1:13" x14ac:dyDescent="0.15">
      <c r="A17" s="79" t="s">
        <v>300</v>
      </c>
      <c r="B17" s="80">
        <v>15031</v>
      </c>
      <c r="C17" s="81" t="str">
        <f ca="1">VLOOKUP($B17,OFFSET([2]quests!$A$1,0,0,COUNTA([2]quests!$A:$A),MATCH(C$1,[2]quests!$1:$1,0)-MATCH($B$1,[2]quests!$1:$1,0)+1),MATCH(C$1,[2]quests!$1:$1,0)-MATCH($B$1,[2]quests!$1:$1,0)+1,FALSE)</f>
        <v>31. 桜花乱城</v>
      </c>
      <c r="D17" s="81" t="str">
        <f ca="1">VLOOKUP($B17,OFFSET([2]quests!$A$1,0,0,COUNTA([2]quests!$A:$A),MATCH(D$1,[2]quests!$1:$1,0)-MATCH($B$1,[2]quests!$1:$1,0)+1),MATCH(D$1,[2]quests!$1:$1,0)-MATCH($B$1,[2]quests!$1:$1,0)+1,FALSE)</f>
        <v>混色DL6</v>
      </c>
      <c r="E17" s="85">
        <v>1</v>
      </c>
      <c r="F17" s="81" t="str">
        <f ca="1">VLOOKUP($B17&amp;"_"&amp;$E17,OFFSET([2]stages!$A$1,0,0,COUNTA([2]stages!$A:$A),MATCH(F$1,[2]stages!$2:$2,0)-MATCH("temp_stage",[2]stages!$2:$2,0)+1),MATCH(F$1,[2]stages!$2:$2,0)-MATCH("temp_stage",[2]stages!$2:$2,0)+1,FALSE)</f>
        <v>31-1. 忍び寄る影</v>
      </c>
      <c r="G17" s="81" t="str">
        <f ca="1">VLOOKUP($B17&amp;"_"&amp;$E17,OFFSET([2]stages!$A$1,0,0,COUNTA([2]stages!$A:$A),MATCH(G$1,[2]stages!$2:$2,0)-MATCH("temp_stage",[2]stages!$2:$2,0)+1),MATCH(G$1,[2]stages!$2:$2,0)-MATCH("temp_stage",[2]stages!$2:$2,0)+1,FALSE)</f>
        <v>混色DL6</v>
      </c>
      <c r="H17" s="83">
        <v>0</v>
      </c>
      <c r="I17">
        <v>20</v>
      </c>
      <c r="J17" s="82" t="s">
        <v>305</v>
      </c>
      <c r="K17" s="143" t="s">
        <v>440</v>
      </c>
      <c r="L17" s="144" t="s">
        <v>441</v>
      </c>
      <c r="M17" s="54" t="s">
        <v>302</v>
      </c>
    </row>
    <row r="18" spans="1:13" x14ac:dyDescent="0.15">
      <c r="A18" s="79" t="s">
        <v>300</v>
      </c>
      <c r="B18" s="80">
        <v>15031</v>
      </c>
      <c r="C18" s="81" t="str">
        <f ca="1">VLOOKUP($B18,OFFSET([2]quests!$A$1,0,0,COUNTA([2]quests!$A:$A),MATCH(C$1,[2]quests!$1:$1,0)-MATCH($B$1,[2]quests!$1:$1,0)+1),MATCH(C$1,[2]quests!$1:$1,0)-MATCH($B$1,[2]quests!$1:$1,0)+1,FALSE)</f>
        <v>31. 桜花乱城</v>
      </c>
      <c r="D18" s="81" t="str">
        <f ca="1">VLOOKUP($B18,OFFSET([2]quests!$A$1,0,0,COUNTA([2]quests!$A:$A),MATCH(D$1,[2]quests!$1:$1,0)-MATCH($B$1,[2]quests!$1:$1,0)+1),MATCH(D$1,[2]quests!$1:$1,0)-MATCH($B$1,[2]quests!$1:$1,0)+1,FALSE)</f>
        <v>混色DL6</v>
      </c>
      <c r="E18" s="85">
        <v>1</v>
      </c>
      <c r="F18" s="81" t="str">
        <f ca="1">VLOOKUP($B18&amp;"_"&amp;$E18,OFFSET([2]stages!$A$1,0,0,COUNTA([2]stages!$A:$A),MATCH(F$1,[2]stages!$2:$2,0)-MATCH("temp_stage",[2]stages!$2:$2,0)+1),MATCH(F$1,[2]stages!$2:$2,0)-MATCH("temp_stage",[2]stages!$2:$2,0)+1,FALSE)</f>
        <v>31-1. 忍び寄る影</v>
      </c>
      <c r="G18" s="81" t="str">
        <f ca="1">VLOOKUP($B18&amp;"_"&amp;$E18,OFFSET([2]stages!$A$1,0,0,COUNTA([2]stages!$A:$A),MATCH(G$1,[2]stages!$2:$2,0)-MATCH("temp_stage",[2]stages!$2:$2,0)+1),MATCH(G$1,[2]stages!$2:$2,0)-MATCH("temp_stage",[2]stages!$2:$2,0)+1,FALSE)</f>
        <v>混色DL6</v>
      </c>
      <c r="H18" s="83">
        <v>0</v>
      </c>
      <c r="I18">
        <v>21</v>
      </c>
      <c r="J18" s="82" t="s">
        <v>305</v>
      </c>
      <c r="K18" s="143" t="s">
        <v>442</v>
      </c>
      <c r="L18" s="144" t="s">
        <v>443</v>
      </c>
      <c r="M18" s="54" t="s">
        <v>302</v>
      </c>
    </row>
    <row r="19" spans="1:13" x14ac:dyDescent="0.15">
      <c r="A19" s="79" t="s">
        <v>300</v>
      </c>
      <c r="B19" s="80">
        <v>15031</v>
      </c>
      <c r="C19" s="81" t="str">
        <f ca="1">VLOOKUP($B19,OFFSET([2]quests!$A$1,0,0,COUNTA([2]quests!$A:$A),MATCH(C$1,[2]quests!$1:$1,0)-MATCH($B$1,[2]quests!$1:$1,0)+1),MATCH(C$1,[2]quests!$1:$1,0)-MATCH($B$1,[2]quests!$1:$1,0)+1,FALSE)</f>
        <v>31. 桜花乱城</v>
      </c>
      <c r="D19" s="81" t="str">
        <f ca="1">VLOOKUP($B19,OFFSET([2]quests!$A$1,0,0,COUNTA([2]quests!$A:$A),MATCH(D$1,[2]quests!$1:$1,0)-MATCH($B$1,[2]quests!$1:$1,0)+1),MATCH(D$1,[2]quests!$1:$1,0)-MATCH($B$1,[2]quests!$1:$1,0)+1,FALSE)</f>
        <v>混色DL6</v>
      </c>
      <c r="E19" s="85">
        <v>1</v>
      </c>
      <c r="F19" s="81" t="str">
        <f ca="1">VLOOKUP($B19&amp;"_"&amp;$E19,OFFSET([2]stages!$A$1,0,0,COUNTA([2]stages!$A:$A),MATCH(F$1,[2]stages!$2:$2,0)-MATCH("temp_stage",[2]stages!$2:$2,0)+1),MATCH(F$1,[2]stages!$2:$2,0)-MATCH("temp_stage",[2]stages!$2:$2,0)+1,FALSE)</f>
        <v>31-1. 忍び寄る影</v>
      </c>
      <c r="G19" s="81" t="str">
        <f ca="1">VLOOKUP($B19&amp;"_"&amp;$E19,OFFSET([2]stages!$A$1,0,0,COUNTA([2]stages!$A:$A),MATCH(G$1,[2]stages!$2:$2,0)-MATCH("temp_stage",[2]stages!$2:$2,0)+1),MATCH(G$1,[2]stages!$2:$2,0)-MATCH("temp_stage",[2]stages!$2:$2,0)+1,FALSE)</f>
        <v>混色DL6</v>
      </c>
      <c r="H19" s="83">
        <v>0</v>
      </c>
      <c r="I19">
        <v>22</v>
      </c>
      <c r="J19" s="82" t="s">
        <v>305</v>
      </c>
      <c r="K19" s="143" t="s">
        <v>444</v>
      </c>
      <c r="L19" s="144" t="s">
        <v>445</v>
      </c>
      <c r="M19" s="54" t="s">
        <v>302</v>
      </c>
    </row>
    <row r="20" spans="1:13" x14ac:dyDescent="0.15">
      <c r="A20" s="79" t="s">
        <v>300</v>
      </c>
      <c r="B20" s="80">
        <v>15031</v>
      </c>
      <c r="C20" s="81" t="str">
        <f ca="1">VLOOKUP($B20,OFFSET([2]quests!$A$1,0,0,COUNTA([2]quests!$A:$A),MATCH(C$1,[2]quests!$1:$1,0)-MATCH($B$1,[2]quests!$1:$1,0)+1),MATCH(C$1,[2]quests!$1:$1,0)-MATCH($B$1,[2]quests!$1:$1,0)+1,FALSE)</f>
        <v>31. 桜花乱城</v>
      </c>
      <c r="D20" s="81" t="str">
        <f ca="1">VLOOKUP($B20,OFFSET([2]quests!$A$1,0,0,COUNTA([2]quests!$A:$A),MATCH(D$1,[2]quests!$1:$1,0)-MATCH($B$1,[2]quests!$1:$1,0)+1),MATCH(D$1,[2]quests!$1:$1,0)-MATCH($B$1,[2]quests!$1:$1,0)+1,FALSE)</f>
        <v>混色DL6</v>
      </c>
      <c r="E20" s="85">
        <v>1</v>
      </c>
      <c r="F20" s="81" t="str">
        <f ca="1">VLOOKUP($B20&amp;"_"&amp;$E20,OFFSET([2]stages!$A$1,0,0,COUNTA([2]stages!$A:$A),MATCH(F$1,[2]stages!$2:$2,0)-MATCH("temp_stage",[2]stages!$2:$2,0)+1),MATCH(F$1,[2]stages!$2:$2,0)-MATCH("temp_stage",[2]stages!$2:$2,0)+1,FALSE)</f>
        <v>31-1. 忍び寄る影</v>
      </c>
      <c r="G20" s="81" t="str">
        <f ca="1">VLOOKUP($B20&amp;"_"&amp;$E20,OFFSET([2]stages!$A$1,0,0,COUNTA([2]stages!$A:$A),MATCH(G$1,[2]stages!$2:$2,0)-MATCH("temp_stage",[2]stages!$2:$2,0)+1),MATCH(G$1,[2]stages!$2:$2,0)-MATCH("temp_stage",[2]stages!$2:$2,0)+1,FALSE)</f>
        <v>混色DL6</v>
      </c>
      <c r="H20" s="83">
        <v>0</v>
      </c>
      <c r="I20">
        <v>23</v>
      </c>
      <c r="J20" s="82" t="s">
        <v>305</v>
      </c>
      <c r="K20" s="143" t="s">
        <v>446</v>
      </c>
      <c r="L20" s="144" t="s">
        <v>447</v>
      </c>
      <c r="M20" s="54" t="s">
        <v>309</v>
      </c>
    </row>
    <row r="21" spans="1:13" x14ac:dyDescent="0.15">
      <c r="A21" s="79" t="s">
        <v>300</v>
      </c>
      <c r="B21" s="80">
        <v>15031</v>
      </c>
      <c r="C21" s="81" t="str">
        <f ca="1">VLOOKUP($B21,OFFSET([2]quests!$A$1,0,0,COUNTA([2]quests!$A:$A),MATCH(C$1,[2]quests!$1:$1,0)-MATCH($B$1,[2]quests!$1:$1,0)+1),MATCH(C$1,[2]quests!$1:$1,0)-MATCH($B$1,[2]quests!$1:$1,0)+1,FALSE)</f>
        <v>31. 桜花乱城</v>
      </c>
      <c r="D21" s="81" t="str">
        <f ca="1">VLOOKUP($B21,OFFSET([2]quests!$A$1,0,0,COUNTA([2]quests!$A:$A),MATCH(D$1,[2]quests!$1:$1,0)-MATCH($B$1,[2]quests!$1:$1,0)+1),MATCH(D$1,[2]quests!$1:$1,0)-MATCH($B$1,[2]quests!$1:$1,0)+1,FALSE)</f>
        <v>混色DL6</v>
      </c>
      <c r="E21" s="85">
        <v>1</v>
      </c>
      <c r="F21" s="81" t="str">
        <f ca="1">VLOOKUP($B21&amp;"_"&amp;$E21,OFFSET([2]stages!$A$1,0,0,COUNTA([2]stages!$A:$A),MATCH(F$1,[2]stages!$2:$2,0)-MATCH("temp_stage",[2]stages!$2:$2,0)+1),MATCH(F$1,[2]stages!$2:$2,0)-MATCH("temp_stage",[2]stages!$2:$2,0)+1,FALSE)</f>
        <v>31-1. 忍び寄る影</v>
      </c>
      <c r="G21" s="81" t="str">
        <f ca="1">VLOOKUP($B21&amp;"_"&amp;$E21,OFFSET([2]stages!$A$1,0,0,COUNTA([2]stages!$A:$A),MATCH(G$1,[2]stages!$2:$2,0)-MATCH("temp_stage",[2]stages!$2:$2,0)+1),MATCH(G$1,[2]stages!$2:$2,0)-MATCH("temp_stage",[2]stages!$2:$2,0)+1,FALSE)</f>
        <v>混色DL6</v>
      </c>
      <c r="H21" s="83">
        <v>0</v>
      </c>
      <c r="I21">
        <v>24</v>
      </c>
      <c r="J21" s="82" t="s">
        <v>305</v>
      </c>
      <c r="K21" s="143" t="s">
        <v>448</v>
      </c>
      <c r="L21" s="144" t="s">
        <v>449</v>
      </c>
      <c r="M21" s="54" t="s">
        <v>302</v>
      </c>
    </row>
    <row r="22" spans="1:13" x14ac:dyDescent="0.15">
      <c r="A22" s="79" t="s">
        <v>300</v>
      </c>
      <c r="B22" s="80">
        <v>15031</v>
      </c>
      <c r="C22" s="81" t="str">
        <f ca="1">VLOOKUP($B22,OFFSET([2]quests!$A$1,0,0,COUNTA([2]quests!$A:$A),MATCH(C$1,[2]quests!$1:$1,0)-MATCH($B$1,[2]quests!$1:$1,0)+1),MATCH(C$1,[2]quests!$1:$1,0)-MATCH($B$1,[2]quests!$1:$1,0)+1,FALSE)</f>
        <v>31. 桜花乱城</v>
      </c>
      <c r="D22" s="81" t="str">
        <f ca="1">VLOOKUP($B22,OFFSET([2]quests!$A$1,0,0,COUNTA([2]quests!$A:$A),MATCH(D$1,[2]quests!$1:$1,0)-MATCH($B$1,[2]quests!$1:$1,0)+1),MATCH(D$1,[2]quests!$1:$1,0)-MATCH($B$1,[2]quests!$1:$1,0)+1,FALSE)</f>
        <v>混色DL6</v>
      </c>
      <c r="E22" s="85">
        <v>1</v>
      </c>
      <c r="F22" s="81" t="str">
        <f ca="1">VLOOKUP($B22&amp;"_"&amp;$E22,OFFSET([2]stages!$A$1,0,0,COUNTA([2]stages!$A:$A),MATCH(F$1,[2]stages!$2:$2,0)-MATCH("temp_stage",[2]stages!$2:$2,0)+1),MATCH(F$1,[2]stages!$2:$2,0)-MATCH("temp_stage",[2]stages!$2:$2,0)+1,FALSE)</f>
        <v>31-1. 忍び寄る影</v>
      </c>
      <c r="G22" s="81" t="str">
        <f ca="1">VLOOKUP($B22&amp;"_"&amp;$E22,OFFSET([2]stages!$A$1,0,0,COUNTA([2]stages!$A:$A),MATCH(G$1,[2]stages!$2:$2,0)-MATCH("temp_stage",[2]stages!$2:$2,0)+1),MATCH(G$1,[2]stages!$2:$2,0)-MATCH("temp_stage",[2]stages!$2:$2,0)+1,FALSE)</f>
        <v>混色DL6</v>
      </c>
      <c r="H22" s="83">
        <v>0</v>
      </c>
      <c r="I22">
        <v>25</v>
      </c>
      <c r="J22" s="82" t="s">
        <v>305</v>
      </c>
      <c r="K22" s="143" t="s">
        <v>450</v>
      </c>
      <c r="L22" s="144" t="s">
        <v>451</v>
      </c>
      <c r="M22" s="54" t="s">
        <v>302</v>
      </c>
    </row>
    <row r="23" spans="1:13" x14ac:dyDescent="0.15">
      <c r="A23" s="79" t="s">
        <v>300</v>
      </c>
      <c r="B23" s="80">
        <v>15031</v>
      </c>
      <c r="C23" s="81" t="str">
        <f ca="1">VLOOKUP($B23,OFFSET([2]quests!$A$1,0,0,COUNTA([2]quests!$A:$A),MATCH(C$1,[2]quests!$1:$1,0)-MATCH($B$1,[2]quests!$1:$1,0)+1),MATCH(C$1,[2]quests!$1:$1,0)-MATCH($B$1,[2]quests!$1:$1,0)+1,FALSE)</f>
        <v>31. 桜花乱城</v>
      </c>
      <c r="D23" s="81" t="str">
        <f ca="1">VLOOKUP($B23,OFFSET([2]quests!$A$1,0,0,COUNTA([2]quests!$A:$A),MATCH(D$1,[2]quests!$1:$1,0)-MATCH($B$1,[2]quests!$1:$1,0)+1),MATCH(D$1,[2]quests!$1:$1,0)-MATCH($B$1,[2]quests!$1:$1,0)+1,FALSE)</f>
        <v>混色DL6</v>
      </c>
      <c r="E23" s="85">
        <v>1</v>
      </c>
      <c r="F23" s="81" t="str">
        <f ca="1">VLOOKUP($B23&amp;"_"&amp;$E23,OFFSET([2]stages!$A$1,0,0,COUNTA([2]stages!$A:$A),MATCH(F$1,[2]stages!$2:$2,0)-MATCH("temp_stage",[2]stages!$2:$2,0)+1),MATCH(F$1,[2]stages!$2:$2,0)-MATCH("temp_stage",[2]stages!$2:$2,0)+1,FALSE)</f>
        <v>31-1. 忍び寄る影</v>
      </c>
      <c r="G23" s="81" t="str">
        <f ca="1">VLOOKUP($B23&amp;"_"&amp;$E23,OFFSET([2]stages!$A$1,0,0,COUNTA([2]stages!$A:$A),MATCH(G$1,[2]stages!$2:$2,0)-MATCH("temp_stage",[2]stages!$2:$2,0)+1),MATCH(G$1,[2]stages!$2:$2,0)-MATCH("temp_stage",[2]stages!$2:$2,0)+1,FALSE)</f>
        <v>混色DL6</v>
      </c>
      <c r="H23" s="83">
        <v>0</v>
      </c>
      <c r="I23">
        <v>26</v>
      </c>
      <c r="J23" s="82" t="s">
        <v>305</v>
      </c>
      <c r="K23" s="143" t="s">
        <v>452</v>
      </c>
      <c r="L23" s="144" t="s">
        <v>453</v>
      </c>
      <c r="M23" s="54" t="s">
        <v>302</v>
      </c>
    </row>
    <row r="24" spans="1:13" x14ac:dyDescent="0.15">
      <c r="A24" s="79" t="s">
        <v>300</v>
      </c>
      <c r="B24" s="80">
        <v>15031</v>
      </c>
      <c r="C24" s="81" t="str">
        <f ca="1">VLOOKUP($B24,OFFSET([2]quests!$A$1,0,0,COUNTA([2]quests!$A:$A),MATCH(C$1,[2]quests!$1:$1,0)-MATCH($B$1,[2]quests!$1:$1,0)+1),MATCH(C$1,[2]quests!$1:$1,0)-MATCH($B$1,[2]quests!$1:$1,0)+1,FALSE)</f>
        <v>31. 桜花乱城</v>
      </c>
      <c r="D24" s="81" t="str">
        <f ca="1">VLOOKUP($B24,OFFSET([2]quests!$A$1,0,0,COUNTA([2]quests!$A:$A),MATCH(D$1,[2]quests!$1:$1,0)-MATCH($B$1,[2]quests!$1:$1,0)+1),MATCH(D$1,[2]quests!$1:$1,0)-MATCH($B$1,[2]quests!$1:$1,0)+1,FALSE)</f>
        <v>混色DL6</v>
      </c>
      <c r="E24" s="85">
        <v>1</v>
      </c>
      <c r="F24" s="81" t="str">
        <f ca="1">VLOOKUP($B24&amp;"_"&amp;$E24,OFFSET([2]stages!$A$1,0,0,COUNTA([2]stages!$A:$A),MATCH(F$1,[2]stages!$2:$2,0)-MATCH("temp_stage",[2]stages!$2:$2,0)+1),MATCH(F$1,[2]stages!$2:$2,0)-MATCH("temp_stage",[2]stages!$2:$2,0)+1,FALSE)</f>
        <v>31-1. 忍び寄る影</v>
      </c>
      <c r="G24" s="81" t="str">
        <f ca="1">VLOOKUP($B24&amp;"_"&amp;$E24,OFFSET([2]stages!$A$1,0,0,COUNTA([2]stages!$A:$A),MATCH(G$1,[2]stages!$2:$2,0)-MATCH("temp_stage",[2]stages!$2:$2,0)+1),MATCH(G$1,[2]stages!$2:$2,0)-MATCH("temp_stage",[2]stages!$2:$2,0)+1,FALSE)</f>
        <v>混色DL6</v>
      </c>
      <c r="H24" s="83">
        <v>0</v>
      </c>
      <c r="I24">
        <v>27</v>
      </c>
      <c r="J24" s="82" t="s">
        <v>310</v>
      </c>
      <c r="K24" s="143" t="s">
        <v>454</v>
      </c>
      <c r="L24" s="144" t="s">
        <v>455</v>
      </c>
      <c r="M24" s="54" t="s">
        <v>302</v>
      </c>
    </row>
    <row r="25" spans="1:13" x14ac:dyDescent="0.15">
      <c r="A25" s="79" t="s">
        <v>300</v>
      </c>
      <c r="B25" s="80">
        <v>15031</v>
      </c>
      <c r="C25" s="81" t="str">
        <f ca="1">VLOOKUP($B25,OFFSET([2]quests!$A$1,0,0,COUNTA([2]quests!$A:$A),MATCH(C$1,[2]quests!$1:$1,0)-MATCH($B$1,[2]quests!$1:$1,0)+1),MATCH(C$1,[2]quests!$1:$1,0)-MATCH($B$1,[2]quests!$1:$1,0)+1,FALSE)</f>
        <v>31. 桜花乱城</v>
      </c>
      <c r="D25" s="81" t="str">
        <f ca="1">VLOOKUP($B25,OFFSET([2]quests!$A$1,0,0,COUNTA([2]quests!$A:$A),MATCH(D$1,[2]quests!$1:$1,0)-MATCH($B$1,[2]quests!$1:$1,0)+1),MATCH(D$1,[2]quests!$1:$1,0)-MATCH($B$1,[2]quests!$1:$1,0)+1,FALSE)</f>
        <v>混色DL6</v>
      </c>
      <c r="E25" s="85">
        <v>1</v>
      </c>
      <c r="F25" s="81" t="str">
        <f ca="1">VLOOKUP($B25&amp;"_"&amp;$E25,OFFSET([2]stages!$A$1,0,0,COUNTA([2]stages!$A:$A),MATCH(F$1,[2]stages!$2:$2,0)-MATCH("temp_stage",[2]stages!$2:$2,0)+1),MATCH(F$1,[2]stages!$2:$2,0)-MATCH("temp_stage",[2]stages!$2:$2,0)+1,FALSE)</f>
        <v>31-1. 忍び寄る影</v>
      </c>
      <c r="G25" s="81" t="str">
        <f ca="1">VLOOKUP($B25&amp;"_"&amp;$E25,OFFSET([2]stages!$A$1,0,0,COUNTA([2]stages!$A:$A),MATCH(G$1,[2]stages!$2:$2,0)-MATCH("temp_stage",[2]stages!$2:$2,0)+1),MATCH(G$1,[2]stages!$2:$2,0)-MATCH("temp_stage",[2]stages!$2:$2,0)+1,FALSE)</f>
        <v>混色DL6</v>
      </c>
      <c r="H25" s="83">
        <v>0</v>
      </c>
      <c r="I25">
        <v>28</v>
      </c>
      <c r="J25" s="82" t="s">
        <v>311</v>
      </c>
      <c r="K25" s="143" t="s">
        <v>456</v>
      </c>
      <c r="L25" s="144" t="s">
        <v>457</v>
      </c>
      <c r="M25" s="54" t="s">
        <v>302</v>
      </c>
    </row>
    <row r="26" spans="1:13" x14ac:dyDescent="0.15">
      <c r="A26" s="79" t="s">
        <v>300</v>
      </c>
      <c r="B26" s="80">
        <v>15031</v>
      </c>
      <c r="C26" s="81" t="str">
        <f ca="1">VLOOKUP($B26,OFFSET([2]quests!$A$1,0,0,COUNTA([2]quests!$A:$A),MATCH(C$1,[2]quests!$1:$1,0)-MATCH($B$1,[2]quests!$1:$1,0)+1),MATCH(C$1,[2]quests!$1:$1,0)-MATCH($B$1,[2]quests!$1:$1,0)+1,FALSE)</f>
        <v>31. 桜花乱城</v>
      </c>
      <c r="D26" s="81" t="str">
        <f ca="1">VLOOKUP($B26,OFFSET([2]quests!$A$1,0,0,COUNTA([2]quests!$A:$A),MATCH(D$1,[2]quests!$1:$1,0)-MATCH($B$1,[2]quests!$1:$1,0)+1),MATCH(D$1,[2]quests!$1:$1,0)-MATCH($B$1,[2]quests!$1:$1,0)+1,FALSE)</f>
        <v>混色DL6</v>
      </c>
      <c r="E26" s="85">
        <v>1</v>
      </c>
      <c r="F26" s="81" t="str">
        <f ca="1">VLOOKUP($B26&amp;"_"&amp;$E26,OFFSET([2]stages!$A$1,0,0,COUNTA([2]stages!$A:$A),MATCH(F$1,[2]stages!$2:$2,0)-MATCH("temp_stage",[2]stages!$2:$2,0)+1),MATCH(F$1,[2]stages!$2:$2,0)-MATCH("temp_stage",[2]stages!$2:$2,0)+1,FALSE)</f>
        <v>31-1. 忍び寄る影</v>
      </c>
      <c r="G26" s="81" t="str">
        <f ca="1">VLOOKUP($B26&amp;"_"&amp;$E26,OFFSET([2]stages!$A$1,0,0,COUNTA([2]stages!$A:$A),MATCH(G$1,[2]stages!$2:$2,0)-MATCH("temp_stage",[2]stages!$2:$2,0)+1),MATCH(G$1,[2]stages!$2:$2,0)-MATCH("temp_stage",[2]stages!$2:$2,0)+1,FALSE)</f>
        <v>混色DL6</v>
      </c>
      <c r="H26" s="83">
        <v>0</v>
      </c>
      <c r="I26">
        <v>29</v>
      </c>
      <c r="J26" s="82" t="s">
        <v>305</v>
      </c>
      <c r="K26" s="143" t="s">
        <v>458</v>
      </c>
      <c r="L26" s="144" t="s">
        <v>459</v>
      </c>
      <c r="M26" s="54" t="s">
        <v>302</v>
      </c>
    </row>
    <row r="27" spans="1:13" x14ac:dyDescent="0.15">
      <c r="A27" s="79" t="s">
        <v>300</v>
      </c>
      <c r="B27" s="80">
        <v>15031</v>
      </c>
      <c r="C27" s="81" t="str">
        <f ca="1">VLOOKUP($B27,OFFSET([2]quests!$A$1,0,0,COUNTA([2]quests!$A:$A),MATCH(C$1,[2]quests!$1:$1,0)-MATCH($B$1,[2]quests!$1:$1,0)+1),MATCH(C$1,[2]quests!$1:$1,0)-MATCH($B$1,[2]quests!$1:$1,0)+1,FALSE)</f>
        <v>31. 桜花乱城</v>
      </c>
      <c r="D27" s="81" t="str">
        <f ca="1">VLOOKUP($B27,OFFSET([2]quests!$A$1,0,0,COUNTA([2]quests!$A:$A),MATCH(D$1,[2]quests!$1:$1,0)-MATCH($B$1,[2]quests!$1:$1,0)+1),MATCH(D$1,[2]quests!$1:$1,0)-MATCH($B$1,[2]quests!$1:$1,0)+1,FALSE)</f>
        <v>混色DL6</v>
      </c>
      <c r="E27" s="85">
        <v>1</v>
      </c>
      <c r="F27" s="81" t="str">
        <f ca="1">VLOOKUP($B27&amp;"_"&amp;$E27,OFFSET([2]stages!$A$1,0,0,COUNTA([2]stages!$A:$A),MATCH(F$1,[2]stages!$2:$2,0)-MATCH("temp_stage",[2]stages!$2:$2,0)+1),MATCH(F$1,[2]stages!$2:$2,0)-MATCH("temp_stage",[2]stages!$2:$2,0)+1,FALSE)</f>
        <v>31-1. 忍び寄る影</v>
      </c>
      <c r="G27" s="81" t="str">
        <f ca="1">VLOOKUP($B27&amp;"_"&amp;$E27,OFFSET([2]stages!$A$1,0,0,COUNTA([2]stages!$A:$A),MATCH(G$1,[2]stages!$2:$2,0)-MATCH("temp_stage",[2]stages!$2:$2,0)+1),MATCH(G$1,[2]stages!$2:$2,0)-MATCH("temp_stage",[2]stages!$2:$2,0)+1,FALSE)</f>
        <v>混色DL6</v>
      </c>
      <c r="H27" s="83">
        <v>0</v>
      </c>
      <c r="I27">
        <v>30</v>
      </c>
      <c r="J27" s="82" t="s">
        <v>305</v>
      </c>
      <c r="K27" s="143" t="s">
        <v>460</v>
      </c>
      <c r="L27" s="144" t="s">
        <v>461</v>
      </c>
      <c r="M27" s="54" t="s">
        <v>302</v>
      </c>
    </row>
    <row r="28" spans="1:13" x14ac:dyDescent="0.15">
      <c r="A28" s="79" t="s">
        <v>300</v>
      </c>
      <c r="B28" s="80">
        <v>15031</v>
      </c>
      <c r="C28" s="81" t="str">
        <f ca="1">VLOOKUP($B28,OFFSET([2]quests!$A$1,0,0,COUNTA([2]quests!$A:$A),MATCH(C$1,[2]quests!$1:$1,0)-MATCH($B$1,[2]quests!$1:$1,0)+1),MATCH(C$1,[2]quests!$1:$1,0)-MATCH($B$1,[2]quests!$1:$1,0)+1,FALSE)</f>
        <v>31. 桜花乱城</v>
      </c>
      <c r="D28" s="81" t="str">
        <f ca="1">VLOOKUP($B28,OFFSET([2]quests!$A$1,0,0,COUNTA([2]quests!$A:$A),MATCH(D$1,[2]quests!$1:$1,0)-MATCH($B$1,[2]quests!$1:$1,0)+1),MATCH(D$1,[2]quests!$1:$1,0)-MATCH($B$1,[2]quests!$1:$1,0)+1,FALSE)</f>
        <v>混色DL6</v>
      </c>
      <c r="E28" s="85">
        <v>1</v>
      </c>
      <c r="F28" s="81" t="str">
        <f ca="1">VLOOKUP($B28&amp;"_"&amp;$E28,OFFSET([2]stages!$A$1,0,0,COUNTA([2]stages!$A:$A),MATCH(F$1,[2]stages!$2:$2,0)-MATCH("temp_stage",[2]stages!$2:$2,0)+1),MATCH(F$1,[2]stages!$2:$2,0)-MATCH("temp_stage",[2]stages!$2:$2,0)+1,FALSE)</f>
        <v>31-1. 忍び寄る影</v>
      </c>
      <c r="G28" s="81" t="str">
        <f ca="1">VLOOKUP($B28&amp;"_"&amp;$E28,OFFSET([2]stages!$A$1,0,0,COUNTA([2]stages!$A:$A),MATCH(G$1,[2]stages!$2:$2,0)-MATCH("temp_stage",[2]stages!$2:$2,0)+1),MATCH(G$1,[2]stages!$2:$2,0)-MATCH("temp_stage",[2]stages!$2:$2,0)+1,FALSE)</f>
        <v>混色DL6</v>
      </c>
      <c r="H28" s="83">
        <v>0</v>
      </c>
      <c r="I28">
        <v>31</v>
      </c>
      <c r="J28" s="82" t="s">
        <v>312</v>
      </c>
      <c r="K28" s="143" t="s">
        <v>462</v>
      </c>
      <c r="L28" s="144" t="s">
        <v>463</v>
      </c>
      <c r="M28" s="54" t="s">
        <v>302</v>
      </c>
    </row>
    <row r="29" spans="1:13" x14ac:dyDescent="0.15">
      <c r="A29" s="79" t="s">
        <v>300</v>
      </c>
      <c r="B29" s="80">
        <v>15031</v>
      </c>
      <c r="C29" s="81" t="str">
        <f ca="1">VLOOKUP($B29,OFFSET([2]quests!$A$1,0,0,COUNTA([2]quests!$A:$A),MATCH(C$1,[2]quests!$1:$1,0)-MATCH($B$1,[2]quests!$1:$1,0)+1),MATCH(C$1,[2]quests!$1:$1,0)-MATCH($B$1,[2]quests!$1:$1,0)+1,FALSE)</f>
        <v>31. 桜花乱城</v>
      </c>
      <c r="D29" s="81" t="str">
        <f ca="1">VLOOKUP($B29,OFFSET([2]quests!$A$1,0,0,COUNTA([2]quests!$A:$A),MATCH(D$1,[2]quests!$1:$1,0)-MATCH($B$1,[2]quests!$1:$1,0)+1),MATCH(D$1,[2]quests!$1:$1,0)-MATCH($B$1,[2]quests!$1:$1,0)+1,FALSE)</f>
        <v>混色DL6</v>
      </c>
      <c r="E29" s="85">
        <v>1</v>
      </c>
      <c r="F29" s="81" t="str">
        <f ca="1">VLOOKUP($B29&amp;"_"&amp;$E29,OFFSET([2]stages!$A$1,0,0,COUNTA([2]stages!$A:$A),MATCH(F$1,[2]stages!$2:$2,0)-MATCH("temp_stage",[2]stages!$2:$2,0)+1),MATCH(F$1,[2]stages!$2:$2,0)-MATCH("temp_stage",[2]stages!$2:$2,0)+1,FALSE)</f>
        <v>31-1. 忍び寄る影</v>
      </c>
      <c r="G29" s="81" t="str">
        <f ca="1">VLOOKUP($B29&amp;"_"&amp;$E29,OFFSET([2]stages!$A$1,0,0,COUNTA([2]stages!$A:$A),MATCH(G$1,[2]stages!$2:$2,0)-MATCH("temp_stage",[2]stages!$2:$2,0)+1),MATCH(G$1,[2]stages!$2:$2,0)-MATCH("temp_stage",[2]stages!$2:$2,0)+1,FALSE)</f>
        <v>混色DL6</v>
      </c>
      <c r="H29" s="83">
        <v>0</v>
      </c>
      <c r="I29">
        <v>32</v>
      </c>
      <c r="J29" s="82" t="s">
        <v>305</v>
      </c>
      <c r="K29" s="143" t="s">
        <v>464</v>
      </c>
      <c r="L29" s="144" t="s">
        <v>465</v>
      </c>
      <c r="M29" s="54" t="s">
        <v>302</v>
      </c>
    </row>
    <row r="30" spans="1:13" x14ac:dyDescent="0.15">
      <c r="A30" s="79" t="s">
        <v>300</v>
      </c>
      <c r="B30" s="80">
        <v>15031</v>
      </c>
      <c r="C30" s="81" t="str">
        <f ca="1">VLOOKUP($B30,OFFSET([2]quests!$A$1,0,0,COUNTA([2]quests!$A:$A),MATCH(C$1,[2]quests!$1:$1,0)-MATCH($B$1,[2]quests!$1:$1,0)+1),MATCH(C$1,[2]quests!$1:$1,0)-MATCH($B$1,[2]quests!$1:$1,0)+1,FALSE)</f>
        <v>31. 桜花乱城</v>
      </c>
      <c r="D30" s="81" t="str">
        <f ca="1">VLOOKUP($B30,OFFSET([2]quests!$A$1,0,0,COUNTA([2]quests!$A:$A),MATCH(D$1,[2]quests!$1:$1,0)-MATCH($B$1,[2]quests!$1:$1,0)+1),MATCH(D$1,[2]quests!$1:$1,0)-MATCH($B$1,[2]quests!$1:$1,0)+1,FALSE)</f>
        <v>混色DL6</v>
      </c>
      <c r="E30" s="85">
        <v>1</v>
      </c>
      <c r="F30" s="81" t="str">
        <f ca="1">VLOOKUP($B30&amp;"_"&amp;$E30,OFFSET([2]stages!$A$1,0,0,COUNTA([2]stages!$A:$A),MATCH(F$1,[2]stages!$2:$2,0)-MATCH("temp_stage",[2]stages!$2:$2,0)+1),MATCH(F$1,[2]stages!$2:$2,0)-MATCH("temp_stage",[2]stages!$2:$2,0)+1,FALSE)</f>
        <v>31-1. 忍び寄る影</v>
      </c>
      <c r="G30" s="81" t="str">
        <f ca="1">VLOOKUP($B30&amp;"_"&amp;$E30,OFFSET([2]stages!$A$1,0,0,COUNTA([2]stages!$A:$A),MATCH(G$1,[2]stages!$2:$2,0)-MATCH("temp_stage",[2]stages!$2:$2,0)+1),MATCH(G$1,[2]stages!$2:$2,0)-MATCH("temp_stage",[2]stages!$2:$2,0)+1,FALSE)</f>
        <v>混色DL6</v>
      </c>
      <c r="H30" s="83">
        <v>0</v>
      </c>
      <c r="I30">
        <v>33</v>
      </c>
      <c r="J30" s="82" t="s">
        <v>305</v>
      </c>
      <c r="K30" s="143" t="s">
        <v>466</v>
      </c>
      <c r="L30" s="144" t="s">
        <v>467</v>
      </c>
      <c r="M30" s="54" t="s">
        <v>302</v>
      </c>
    </row>
    <row r="31" spans="1:13" x14ac:dyDescent="0.15">
      <c r="A31" s="79" t="s">
        <v>300</v>
      </c>
      <c r="B31" s="80">
        <v>15031</v>
      </c>
      <c r="C31" s="81" t="str">
        <f ca="1">VLOOKUP($B31,OFFSET([2]quests!$A$1,0,0,COUNTA([2]quests!$A:$A),MATCH(C$1,[2]quests!$1:$1,0)-MATCH($B$1,[2]quests!$1:$1,0)+1),MATCH(C$1,[2]quests!$1:$1,0)-MATCH($B$1,[2]quests!$1:$1,0)+1,FALSE)</f>
        <v>31. 桜花乱城</v>
      </c>
      <c r="D31" s="81" t="str">
        <f ca="1">VLOOKUP($B31,OFFSET([2]quests!$A$1,0,0,COUNTA([2]quests!$A:$A),MATCH(D$1,[2]quests!$1:$1,0)-MATCH($B$1,[2]quests!$1:$1,0)+1),MATCH(D$1,[2]quests!$1:$1,0)-MATCH($B$1,[2]quests!$1:$1,0)+1,FALSE)</f>
        <v>混色DL6</v>
      </c>
      <c r="E31" s="85">
        <v>1</v>
      </c>
      <c r="F31" s="81" t="str">
        <f ca="1">VLOOKUP($B31&amp;"_"&amp;$E31,OFFSET([2]stages!$A$1,0,0,COUNTA([2]stages!$A:$A),MATCH(F$1,[2]stages!$2:$2,0)-MATCH("temp_stage",[2]stages!$2:$2,0)+1),MATCH(F$1,[2]stages!$2:$2,0)-MATCH("temp_stage",[2]stages!$2:$2,0)+1,FALSE)</f>
        <v>31-1. 忍び寄る影</v>
      </c>
      <c r="G31" s="81" t="str">
        <f ca="1">VLOOKUP($B31&amp;"_"&amp;$E31,OFFSET([2]stages!$A$1,0,0,COUNTA([2]stages!$A:$A),MATCH(G$1,[2]stages!$2:$2,0)-MATCH("temp_stage",[2]stages!$2:$2,0)+1),MATCH(G$1,[2]stages!$2:$2,0)-MATCH("temp_stage",[2]stages!$2:$2,0)+1,FALSE)</f>
        <v>混色DL6</v>
      </c>
      <c r="H31" s="83">
        <v>0</v>
      </c>
      <c r="I31">
        <v>34</v>
      </c>
      <c r="J31" s="82" t="s">
        <v>305</v>
      </c>
      <c r="K31" s="143" t="s">
        <v>468</v>
      </c>
      <c r="L31" s="144" t="s">
        <v>469</v>
      </c>
      <c r="M31" s="54" t="s">
        <v>302</v>
      </c>
    </row>
    <row r="32" spans="1:13" x14ac:dyDescent="0.15">
      <c r="A32" s="79" t="s">
        <v>300</v>
      </c>
      <c r="B32" s="80">
        <v>15031</v>
      </c>
      <c r="C32" s="81" t="str">
        <f ca="1">VLOOKUP($B32,OFFSET([2]quests!$A$1,0,0,COUNTA([2]quests!$A:$A),MATCH(C$1,[2]quests!$1:$1,0)-MATCH($B$1,[2]quests!$1:$1,0)+1),MATCH(C$1,[2]quests!$1:$1,0)-MATCH($B$1,[2]quests!$1:$1,0)+1,FALSE)</f>
        <v>31. 桜花乱城</v>
      </c>
      <c r="D32" s="81" t="str">
        <f ca="1">VLOOKUP($B32,OFFSET([2]quests!$A$1,0,0,COUNTA([2]quests!$A:$A),MATCH(D$1,[2]quests!$1:$1,0)-MATCH($B$1,[2]quests!$1:$1,0)+1),MATCH(D$1,[2]quests!$1:$1,0)-MATCH($B$1,[2]quests!$1:$1,0)+1,FALSE)</f>
        <v>混色DL6</v>
      </c>
      <c r="E32" s="85">
        <v>1</v>
      </c>
      <c r="F32" s="81" t="str">
        <f ca="1">VLOOKUP($B32&amp;"_"&amp;$E32,OFFSET([2]stages!$A$1,0,0,COUNTA([2]stages!$A:$A),MATCH(F$1,[2]stages!$2:$2,0)-MATCH("temp_stage",[2]stages!$2:$2,0)+1),MATCH(F$1,[2]stages!$2:$2,0)-MATCH("temp_stage",[2]stages!$2:$2,0)+1,FALSE)</f>
        <v>31-1. 忍び寄る影</v>
      </c>
      <c r="G32" s="81" t="str">
        <f ca="1">VLOOKUP($B32&amp;"_"&amp;$E32,OFFSET([2]stages!$A$1,0,0,COUNTA([2]stages!$A:$A),MATCH(G$1,[2]stages!$2:$2,0)-MATCH("temp_stage",[2]stages!$2:$2,0)+1),MATCH(G$1,[2]stages!$2:$2,0)-MATCH("temp_stage",[2]stages!$2:$2,0)+1,FALSE)</f>
        <v>混色DL6</v>
      </c>
      <c r="H32" s="83">
        <v>0</v>
      </c>
      <c r="I32">
        <v>35</v>
      </c>
      <c r="J32" s="82" t="s">
        <v>305</v>
      </c>
      <c r="K32" s="143" t="s">
        <v>470</v>
      </c>
      <c r="L32" s="144" t="s">
        <v>471</v>
      </c>
      <c r="M32" s="54" t="s">
        <v>302</v>
      </c>
    </row>
    <row r="33" spans="1:13" x14ac:dyDescent="0.15">
      <c r="A33" s="79" t="s">
        <v>300</v>
      </c>
      <c r="B33" s="80">
        <v>15031</v>
      </c>
      <c r="C33" s="81" t="str">
        <f ca="1">VLOOKUP($B33,OFFSET([2]quests!$A$1,0,0,COUNTA([2]quests!$A:$A),MATCH(C$1,[2]quests!$1:$1,0)-MATCH($B$1,[2]quests!$1:$1,0)+1),MATCH(C$1,[2]quests!$1:$1,0)-MATCH($B$1,[2]quests!$1:$1,0)+1,FALSE)</f>
        <v>31. 桜花乱城</v>
      </c>
      <c r="D33" s="81" t="str">
        <f ca="1">VLOOKUP($B33,OFFSET([2]quests!$A$1,0,0,COUNTA([2]quests!$A:$A),MATCH(D$1,[2]quests!$1:$1,0)-MATCH($B$1,[2]quests!$1:$1,0)+1),MATCH(D$1,[2]quests!$1:$1,0)-MATCH($B$1,[2]quests!$1:$1,0)+1,FALSE)</f>
        <v>混色DL6</v>
      </c>
      <c r="E33" s="85">
        <v>1</v>
      </c>
      <c r="F33" s="81" t="str">
        <f ca="1">VLOOKUP($B33&amp;"_"&amp;$E33,OFFSET([2]stages!$A$1,0,0,COUNTA([2]stages!$A:$A),MATCH(F$1,[2]stages!$2:$2,0)-MATCH("temp_stage",[2]stages!$2:$2,0)+1),MATCH(F$1,[2]stages!$2:$2,0)-MATCH("temp_stage",[2]stages!$2:$2,0)+1,FALSE)</f>
        <v>31-1. 忍び寄る影</v>
      </c>
      <c r="G33" s="81" t="str">
        <f ca="1">VLOOKUP($B33&amp;"_"&amp;$E33,OFFSET([2]stages!$A$1,0,0,COUNTA([2]stages!$A:$A),MATCH(G$1,[2]stages!$2:$2,0)-MATCH("temp_stage",[2]stages!$2:$2,0)+1),MATCH(G$1,[2]stages!$2:$2,0)-MATCH("temp_stage",[2]stages!$2:$2,0)+1,FALSE)</f>
        <v>混色DL6</v>
      </c>
      <c r="H33" s="83">
        <v>0</v>
      </c>
      <c r="I33">
        <v>39</v>
      </c>
      <c r="J33" s="82" t="s">
        <v>305</v>
      </c>
      <c r="K33" s="143" t="s">
        <v>472</v>
      </c>
      <c r="L33" s="144" t="s">
        <v>473</v>
      </c>
      <c r="M33" s="54" t="s">
        <v>302</v>
      </c>
    </row>
    <row r="34" spans="1:13" x14ac:dyDescent="0.15">
      <c r="A34" s="79" t="s">
        <v>300</v>
      </c>
      <c r="B34" s="80">
        <v>15031</v>
      </c>
      <c r="C34" s="81" t="str">
        <f ca="1">VLOOKUP($B34,OFFSET([2]quests!$A$1,0,0,COUNTA([2]quests!$A:$A),MATCH(C$1,[2]quests!$1:$1,0)-MATCH($B$1,[2]quests!$1:$1,0)+1),MATCH(C$1,[2]quests!$1:$1,0)-MATCH($B$1,[2]quests!$1:$1,0)+1,FALSE)</f>
        <v>31. 桜花乱城</v>
      </c>
      <c r="D34" s="81" t="str">
        <f ca="1">VLOOKUP($B34,OFFSET([2]quests!$A$1,0,0,COUNTA([2]quests!$A:$A),MATCH(D$1,[2]quests!$1:$1,0)-MATCH($B$1,[2]quests!$1:$1,0)+1),MATCH(D$1,[2]quests!$1:$1,0)-MATCH($B$1,[2]quests!$1:$1,0)+1,FALSE)</f>
        <v>混色DL6</v>
      </c>
      <c r="E34" s="85">
        <v>2</v>
      </c>
      <c r="F34" s="81" t="str">
        <f ca="1">VLOOKUP($B34&amp;"_"&amp;$E34,OFFSET([2]stages!$A$1,0,0,COUNTA([2]stages!$A:$A),MATCH(F$1,[2]stages!$2:$2,0)-MATCH("temp_stage",[2]stages!$2:$2,0)+1),MATCH(F$1,[2]stages!$2:$2,0)-MATCH("temp_stage",[2]stages!$2:$2,0)+1,FALSE)</f>
        <v>31-2. 赤鉄の将</v>
      </c>
      <c r="G34" s="81" t="str">
        <f ca="1">VLOOKUP($B34&amp;"_"&amp;$E34,OFFSET([2]stages!$A$1,0,0,COUNTA([2]stages!$A:$A),MATCH(G$1,[2]stages!$2:$2,0)-MATCH("temp_stage",[2]stages!$2:$2,0)+1),MATCH(G$1,[2]stages!$2:$2,0)-MATCH("temp_stage",[2]stages!$2:$2,0)+1,FALSE)</f>
        <v>混色DL6</v>
      </c>
      <c r="H34" s="83">
        <v>0</v>
      </c>
      <c r="I34" s="145">
        <v>3</v>
      </c>
      <c r="J34" s="82" t="s">
        <v>310</v>
      </c>
      <c r="K34" s="143" t="s">
        <v>410</v>
      </c>
      <c r="L34" s="144" t="s">
        <v>411</v>
      </c>
      <c r="M34" s="54" t="s">
        <v>302</v>
      </c>
    </row>
    <row r="35" spans="1:13" x14ac:dyDescent="0.15">
      <c r="A35" s="79" t="s">
        <v>300</v>
      </c>
      <c r="B35" s="80">
        <v>15031</v>
      </c>
      <c r="C35" s="81" t="str">
        <f ca="1">VLOOKUP($B35,OFFSET([2]quests!$A$1,0,0,COUNTA([2]quests!$A:$A),MATCH(C$1,[2]quests!$1:$1,0)-MATCH($B$1,[2]quests!$1:$1,0)+1),MATCH(C$1,[2]quests!$1:$1,0)-MATCH($B$1,[2]quests!$1:$1,0)+1,FALSE)</f>
        <v>31. 桜花乱城</v>
      </c>
      <c r="D35" s="81" t="str">
        <f ca="1">VLOOKUP($B35,OFFSET([2]quests!$A$1,0,0,COUNTA([2]quests!$A:$A),MATCH(D$1,[2]quests!$1:$1,0)-MATCH($B$1,[2]quests!$1:$1,0)+1),MATCH(D$1,[2]quests!$1:$1,0)-MATCH($B$1,[2]quests!$1:$1,0)+1,FALSE)</f>
        <v>混色DL6</v>
      </c>
      <c r="E35" s="85">
        <v>2</v>
      </c>
      <c r="F35" s="81" t="str">
        <f ca="1">VLOOKUP($B35&amp;"_"&amp;$E35,OFFSET([2]stages!$A$1,0,0,COUNTA([2]stages!$A:$A),MATCH(F$1,[2]stages!$2:$2,0)-MATCH("temp_stage",[2]stages!$2:$2,0)+1),MATCH(F$1,[2]stages!$2:$2,0)-MATCH("temp_stage",[2]stages!$2:$2,0)+1,FALSE)</f>
        <v>31-2. 赤鉄の将</v>
      </c>
      <c r="G35" s="81" t="str">
        <f ca="1">VLOOKUP($B35&amp;"_"&amp;$E35,OFFSET([2]stages!$A$1,0,0,COUNTA([2]stages!$A:$A),MATCH(G$1,[2]stages!$2:$2,0)-MATCH("temp_stage",[2]stages!$2:$2,0)+1),MATCH(G$1,[2]stages!$2:$2,0)-MATCH("temp_stage",[2]stages!$2:$2,0)+1,FALSE)</f>
        <v>混色DL6</v>
      </c>
      <c r="H35" s="83">
        <v>0</v>
      </c>
      <c r="I35" s="145">
        <v>6</v>
      </c>
      <c r="J35" s="82" t="s">
        <v>305</v>
      </c>
      <c r="K35" s="143" t="s">
        <v>412</v>
      </c>
      <c r="L35" s="144" t="s">
        <v>413</v>
      </c>
      <c r="M35" s="54" t="s">
        <v>302</v>
      </c>
    </row>
    <row r="36" spans="1:13" x14ac:dyDescent="0.15">
      <c r="A36" s="79" t="s">
        <v>300</v>
      </c>
      <c r="B36" s="80">
        <v>15031</v>
      </c>
      <c r="C36" s="81" t="str">
        <f ca="1">VLOOKUP($B36,OFFSET([2]quests!$A$1,0,0,COUNTA([2]quests!$A:$A),MATCH(C$1,[2]quests!$1:$1,0)-MATCH($B$1,[2]quests!$1:$1,0)+1),MATCH(C$1,[2]quests!$1:$1,0)-MATCH($B$1,[2]quests!$1:$1,0)+1,FALSE)</f>
        <v>31. 桜花乱城</v>
      </c>
      <c r="D36" s="81" t="str">
        <f ca="1">VLOOKUP($B36,OFFSET([2]quests!$A$1,0,0,COUNTA([2]quests!$A:$A),MATCH(D$1,[2]quests!$1:$1,0)-MATCH($B$1,[2]quests!$1:$1,0)+1),MATCH(D$1,[2]quests!$1:$1,0)-MATCH($B$1,[2]quests!$1:$1,0)+1,FALSE)</f>
        <v>混色DL6</v>
      </c>
      <c r="E36" s="85">
        <v>2</v>
      </c>
      <c r="F36" s="81" t="str">
        <f ca="1">VLOOKUP($B36&amp;"_"&amp;$E36,OFFSET([2]stages!$A$1,0,0,COUNTA([2]stages!$A:$A),MATCH(F$1,[2]stages!$2:$2,0)-MATCH("temp_stage",[2]stages!$2:$2,0)+1),MATCH(F$1,[2]stages!$2:$2,0)-MATCH("temp_stage",[2]stages!$2:$2,0)+1,FALSE)</f>
        <v>31-2. 赤鉄の将</v>
      </c>
      <c r="G36" s="81" t="str">
        <f ca="1">VLOOKUP($B36&amp;"_"&amp;$E36,OFFSET([2]stages!$A$1,0,0,COUNTA([2]stages!$A:$A),MATCH(G$1,[2]stages!$2:$2,0)-MATCH("temp_stage",[2]stages!$2:$2,0)+1),MATCH(G$1,[2]stages!$2:$2,0)-MATCH("temp_stage",[2]stages!$2:$2,0)+1,FALSE)</f>
        <v>混色DL6</v>
      </c>
      <c r="H36" s="83">
        <v>0</v>
      </c>
      <c r="I36" s="145">
        <v>7</v>
      </c>
      <c r="J36" s="82" t="s">
        <v>305</v>
      </c>
      <c r="K36" s="143" t="s">
        <v>414</v>
      </c>
      <c r="L36" s="144" t="s">
        <v>415</v>
      </c>
      <c r="M36" s="54" t="s">
        <v>313</v>
      </c>
    </row>
    <row r="37" spans="1:13" x14ac:dyDescent="0.15">
      <c r="A37" s="79" t="s">
        <v>300</v>
      </c>
      <c r="B37" s="80">
        <v>15031</v>
      </c>
      <c r="C37" s="81" t="str">
        <f ca="1">VLOOKUP($B37,OFFSET([2]quests!$A$1,0,0,COUNTA([2]quests!$A:$A),MATCH(C$1,[2]quests!$1:$1,0)-MATCH($B$1,[2]quests!$1:$1,0)+1),MATCH(C$1,[2]quests!$1:$1,0)-MATCH($B$1,[2]quests!$1:$1,0)+1,FALSE)</f>
        <v>31. 桜花乱城</v>
      </c>
      <c r="D37" s="81" t="str">
        <f ca="1">VLOOKUP($B37,OFFSET([2]quests!$A$1,0,0,COUNTA([2]quests!$A:$A),MATCH(D$1,[2]quests!$1:$1,0)-MATCH($B$1,[2]quests!$1:$1,0)+1),MATCH(D$1,[2]quests!$1:$1,0)-MATCH($B$1,[2]quests!$1:$1,0)+1,FALSE)</f>
        <v>混色DL6</v>
      </c>
      <c r="E37" s="85">
        <v>2</v>
      </c>
      <c r="F37" s="81" t="str">
        <f ca="1">VLOOKUP($B37&amp;"_"&amp;$E37,OFFSET([2]stages!$A$1,0,0,COUNTA([2]stages!$A:$A),MATCH(F$1,[2]stages!$2:$2,0)-MATCH("temp_stage",[2]stages!$2:$2,0)+1),MATCH(F$1,[2]stages!$2:$2,0)-MATCH("temp_stage",[2]stages!$2:$2,0)+1,FALSE)</f>
        <v>31-2. 赤鉄の将</v>
      </c>
      <c r="G37" s="81" t="str">
        <f ca="1">VLOOKUP($B37&amp;"_"&amp;$E37,OFFSET([2]stages!$A$1,0,0,COUNTA([2]stages!$A:$A),MATCH(G$1,[2]stages!$2:$2,0)-MATCH("temp_stage",[2]stages!$2:$2,0)+1),MATCH(G$1,[2]stages!$2:$2,0)-MATCH("temp_stage",[2]stages!$2:$2,0)+1,FALSE)</f>
        <v>混色DL6</v>
      </c>
      <c r="H37" s="83">
        <v>0</v>
      </c>
      <c r="I37" s="145">
        <v>8</v>
      </c>
      <c r="J37" s="82" t="s">
        <v>305</v>
      </c>
      <c r="K37" s="143" t="s">
        <v>416</v>
      </c>
      <c r="L37" s="144" t="s">
        <v>417</v>
      </c>
      <c r="M37" s="54" t="s">
        <v>302</v>
      </c>
    </row>
    <row r="38" spans="1:13" x14ac:dyDescent="0.15">
      <c r="A38" s="79" t="s">
        <v>300</v>
      </c>
      <c r="B38" s="80">
        <v>15031</v>
      </c>
      <c r="C38" s="81" t="str">
        <f ca="1">VLOOKUP($B38,OFFSET([2]quests!$A$1,0,0,COUNTA([2]quests!$A:$A),MATCH(C$1,[2]quests!$1:$1,0)-MATCH($B$1,[2]quests!$1:$1,0)+1),MATCH(C$1,[2]quests!$1:$1,0)-MATCH($B$1,[2]quests!$1:$1,0)+1,FALSE)</f>
        <v>31. 桜花乱城</v>
      </c>
      <c r="D38" s="81" t="str">
        <f ca="1">VLOOKUP($B38,OFFSET([2]quests!$A$1,0,0,COUNTA([2]quests!$A:$A),MATCH(D$1,[2]quests!$1:$1,0)-MATCH($B$1,[2]quests!$1:$1,0)+1),MATCH(D$1,[2]quests!$1:$1,0)-MATCH($B$1,[2]quests!$1:$1,0)+1,FALSE)</f>
        <v>混色DL6</v>
      </c>
      <c r="E38" s="85">
        <v>2</v>
      </c>
      <c r="F38" s="81" t="str">
        <f ca="1">VLOOKUP($B38&amp;"_"&amp;$E38,OFFSET([2]stages!$A$1,0,0,COUNTA([2]stages!$A:$A),MATCH(F$1,[2]stages!$2:$2,0)-MATCH("temp_stage",[2]stages!$2:$2,0)+1),MATCH(F$1,[2]stages!$2:$2,0)-MATCH("temp_stage",[2]stages!$2:$2,0)+1,FALSE)</f>
        <v>31-2. 赤鉄の将</v>
      </c>
      <c r="G38" s="81" t="str">
        <f ca="1">VLOOKUP($B38&amp;"_"&amp;$E38,OFFSET([2]stages!$A$1,0,0,COUNTA([2]stages!$A:$A),MATCH(G$1,[2]stages!$2:$2,0)-MATCH("temp_stage",[2]stages!$2:$2,0)+1),MATCH(G$1,[2]stages!$2:$2,0)-MATCH("temp_stage",[2]stages!$2:$2,0)+1,FALSE)</f>
        <v>混色DL6</v>
      </c>
      <c r="H38" s="83">
        <v>0</v>
      </c>
      <c r="I38" s="145">
        <v>9</v>
      </c>
      <c r="J38" s="82" t="s">
        <v>305</v>
      </c>
      <c r="K38" s="143" t="s">
        <v>418</v>
      </c>
      <c r="L38" s="144" t="s">
        <v>419</v>
      </c>
      <c r="M38" s="54" t="s">
        <v>302</v>
      </c>
    </row>
    <row r="39" spans="1:13" x14ac:dyDescent="0.15">
      <c r="A39" s="79" t="s">
        <v>300</v>
      </c>
      <c r="B39" s="80">
        <v>15031</v>
      </c>
      <c r="C39" s="81" t="str">
        <f ca="1">VLOOKUP($B39,OFFSET([2]quests!$A$1,0,0,COUNTA([2]quests!$A:$A),MATCH(C$1,[2]quests!$1:$1,0)-MATCH($B$1,[2]quests!$1:$1,0)+1),MATCH(C$1,[2]quests!$1:$1,0)-MATCH($B$1,[2]quests!$1:$1,0)+1,FALSE)</f>
        <v>31. 桜花乱城</v>
      </c>
      <c r="D39" s="81" t="str">
        <f ca="1">VLOOKUP($B39,OFFSET([2]quests!$A$1,0,0,COUNTA([2]quests!$A:$A),MATCH(D$1,[2]quests!$1:$1,0)-MATCH($B$1,[2]quests!$1:$1,0)+1),MATCH(D$1,[2]quests!$1:$1,0)-MATCH($B$1,[2]quests!$1:$1,0)+1,FALSE)</f>
        <v>混色DL6</v>
      </c>
      <c r="E39" s="85">
        <v>2</v>
      </c>
      <c r="F39" s="81" t="str">
        <f ca="1">VLOOKUP($B39&amp;"_"&amp;$E39,OFFSET([2]stages!$A$1,0,0,COUNTA([2]stages!$A:$A),MATCH(F$1,[2]stages!$2:$2,0)-MATCH("temp_stage",[2]stages!$2:$2,0)+1),MATCH(F$1,[2]stages!$2:$2,0)-MATCH("temp_stage",[2]stages!$2:$2,0)+1,FALSE)</f>
        <v>31-2. 赤鉄の将</v>
      </c>
      <c r="G39" s="81" t="str">
        <f ca="1">VLOOKUP($B39&amp;"_"&amp;$E39,OFFSET([2]stages!$A$1,0,0,COUNTA([2]stages!$A:$A),MATCH(G$1,[2]stages!$2:$2,0)-MATCH("temp_stage",[2]stages!$2:$2,0)+1),MATCH(G$1,[2]stages!$2:$2,0)-MATCH("temp_stage",[2]stages!$2:$2,0)+1,FALSE)</f>
        <v>混色DL6</v>
      </c>
      <c r="H39" s="83">
        <v>0</v>
      </c>
      <c r="I39" s="145">
        <v>10</v>
      </c>
      <c r="J39" s="82" t="s">
        <v>305</v>
      </c>
      <c r="K39" s="143" t="s">
        <v>420</v>
      </c>
      <c r="L39" s="144" t="s">
        <v>421</v>
      </c>
      <c r="M39" s="54" t="s">
        <v>302</v>
      </c>
    </row>
    <row r="40" spans="1:13" x14ac:dyDescent="0.15">
      <c r="A40" s="79" t="s">
        <v>300</v>
      </c>
      <c r="B40" s="80">
        <v>15031</v>
      </c>
      <c r="C40" s="81" t="str">
        <f ca="1">VLOOKUP($B40,OFFSET([2]quests!$A$1,0,0,COUNTA([2]quests!$A:$A),MATCH(C$1,[2]quests!$1:$1,0)-MATCH($B$1,[2]quests!$1:$1,0)+1),MATCH(C$1,[2]quests!$1:$1,0)-MATCH($B$1,[2]quests!$1:$1,0)+1,FALSE)</f>
        <v>31. 桜花乱城</v>
      </c>
      <c r="D40" s="81" t="str">
        <f ca="1">VLOOKUP($B40,OFFSET([2]quests!$A$1,0,0,COUNTA([2]quests!$A:$A),MATCH(D$1,[2]quests!$1:$1,0)-MATCH($B$1,[2]quests!$1:$1,0)+1),MATCH(D$1,[2]quests!$1:$1,0)-MATCH($B$1,[2]quests!$1:$1,0)+1,FALSE)</f>
        <v>混色DL6</v>
      </c>
      <c r="E40" s="85">
        <v>2</v>
      </c>
      <c r="F40" s="81" t="str">
        <f ca="1">VLOOKUP($B40&amp;"_"&amp;$E40,OFFSET([2]stages!$A$1,0,0,COUNTA([2]stages!$A:$A),MATCH(F$1,[2]stages!$2:$2,0)-MATCH("temp_stage",[2]stages!$2:$2,0)+1),MATCH(F$1,[2]stages!$2:$2,0)-MATCH("temp_stage",[2]stages!$2:$2,0)+1,FALSE)</f>
        <v>31-2. 赤鉄の将</v>
      </c>
      <c r="G40" s="81" t="str">
        <f ca="1">VLOOKUP($B40&amp;"_"&amp;$E40,OFFSET([2]stages!$A$1,0,0,COUNTA([2]stages!$A:$A),MATCH(G$1,[2]stages!$2:$2,0)-MATCH("temp_stage",[2]stages!$2:$2,0)+1),MATCH(G$1,[2]stages!$2:$2,0)-MATCH("temp_stage",[2]stages!$2:$2,0)+1,FALSE)</f>
        <v>混色DL6</v>
      </c>
      <c r="H40" s="83">
        <v>0</v>
      </c>
      <c r="I40" s="145">
        <v>11</v>
      </c>
      <c r="J40" s="82" t="s">
        <v>305</v>
      </c>
      <c r="K40" s="143" t="s">
        <v>422</v>
      </c>
      <c r="L40" s="144" t="s">
        <v>423</v>
      </c>
      <c r="M40" s="54" t="s">
        <v>302</v>
      </c>
    </row>
    <row r="41" spans="1:13" x14ac:dyDescent="0.15">
      <c r="A41" s="79" t="s">
        <v>300</v>
      </c>
      <c r="B41" s="80">
        <v>15031</v>
      </c>
      <c r="C41" s="81" t="str">
        <f ca="1">VLOOKUP($B41,OFFSET([2]quests!$A$1,0,0,COUNTA([2]quests!$A:$A),MATCH(C$1,[2]quests!$1:$1,0)-MATCH($B$1,[2]quests!$1:$1,0)+1),MATCH(C$1,[2]quests!$1:$1,0)-MATCH($B$1,[2]quests!$1:$1,0)+1,FALSE)</f>
        <v>31. 桜花乱城</v>
      </c>
      <c r="D41" s="81" t="str">
        <f ca="1">VLOOKUP($B41,OFFSET([2]quests!$A$1,0,0,COUNTA([2]quests!$A:$A),MATCH(D$1,[2]quests!$1:$1,0)-MATCH($B$1,[2]quests!$1:$1,0)+1),MATCH(D$1,[2]quests!$1:$1,0)-MATCH($B$1,[2]quests!$1:$1,0)+1,FALSE)</f>
        <v>混色DL6</v>
      </c>
      <c r="E41" s="85">
        <v>2</v>
      </c>
      <c r="F41" s="81" t="str">
        <f ca="1">VLOOKUP($B41&amp;"_"&amp;$E41,OFFSET([2]stages!$A$1,0,0,COUNTA([2]stages!$A:$A),MATCH(F$1,[2]stages!$2:$2,0)-MATCH("temp_stage",[2]stages!$2:$2,0)+1),MATCH(F$1,[2]stages!$2:$2,0)-MATCH("temp_stage",[2]stages!$2:$2,0)+1,FALSE)</f>
        <v>31-2. 赤鉄の将</v>
      </c>
      <c r="G41" s="81" t="str">
        <f ca="1">VLOOKUP($B41&amp;"_"&amp;$E41,OFFSET([2]stages!$A$1,0,0,COUNTA([2]stages!$A:$A),MATCH(G$1,[2]stages!$2:$2,0)-MATCH("temp_stage",[2]stages!$2:$2,0)+1),MATCH(G$1,[2]stages!$2:$2,0)-MATCH("temp_stage",[2]stages!$2:$2,0)+1,FALSE)</f>
        <v>混色DL6</v>
      </c>
      <c r="H41" s="83">
        <v>0</v>
      </c>
      <c r="I41" s="145">
        <v>12</v>
      </c>
      <c r="J41" s="82" t="s">
        <v>305</v>
      </c>
      <c r="K41" s="143" t="s">
        <v>424</v>
      </c>
      <c r="L41" s="144" t="s">
        <v>425</v>
      </c>
      <c r="M41" s="54" t="s">
        <v>302</v>
      </c>
    </row>
    <row r="42" spans="1:13" x14ac:dyDescent="0.15">
      <c r="A42" s="79" t="s">
        <v>300</v>
      </c>
      <c r="B42" s="80">
        <v>15031</v>
      </c>
      <c r="C42" s="81" t="str">
        <f ca="1">VLOOKUP($B42,OFFSET([2]quests!$A$1,0,0,COUNTA([2]quests!$A:$A),MATCH(C$1,[2]quests!$1:$1,0)-MATCH($B$1,[2]quests!$1:$1,0)+1),MATCH(C$1,[2]quests!$1:$1,0)-MATCH($B$1,[2]quests!$1:$1,0)+1,FALSE)</f>
        <v>31. 桜花乱城</v>
      </c>
      <c r="D42" s="81" t="str">
        <f ca="1">VLOOKUP($B42,OFFSET([2]quests!$A$1,0,0,COUNTA([2]quests!$A:$A),MATCH(D$1,[2]quests!$1:$1,0)-MATCH($B$1,[2]quests!$1:$1,0)+1),MATCH(D$1,[2]quests!$1:$1,0)-MATCH($B$1,[2]quests!$1:$1,0)+1,FALSE)</f>
        <v>混色DL6</v>
      </c>
      <c r="E42" s="85">
        <v>2</v>
      </c>
      <c r="F42" s="81" t="str">
        <f ca="1">VLOOKUP($B42&amp;"_"&amp;$E42,OFFSET([2]stages!$A$1,0,0,COUNTA([2]stages!$A:$A),MATCH(F$1,[2]stages!$2:$2,0)-MATCH("temp_stage",[2]stages!$2:$2,0)+1),MATCH(F$1,[2]stages!$2:$2,0)-MATCH("temp_stage",[2]stages!$2:$2,0)+1,FALSE)</f>
        <v>31-2. 赤鉄の将</v>
      </c>
      <c r="G42" s="81" t="str">
        <f ca="1">VLOOKUP($B42&amp;"_"&amp;$E42,OFFSET([2]stages!$A$1,0,0,COUNTA([2]stages!$A:$A),MATCH(G$1,[2]stages!$2:$2,0)-MATCH("temp_stage",[2]stages!$2:$2,0)+1),MATCH(G$1,[2]stages!$2:$2,0)-MATCH("temp_stage",[2]stages!$2:$2,0)+1,FALSE)</f>
        <v>混色DL6</v>
      </c>
      <c r="H42" s="83">
        <v>0</v>
      </c>
      <c r="I42" s="145">
        <v>13</v>
      </c>
      <c r="J42" s="82" t="s">
        <v>305</v>
      </c>
      <c r="K42" s="143" t="s">
        <v>426</v>
      </c>
      <c r="L42" s="144" t="s">
        <v>427</v>
      </c>
      <c r="M42" s="54" t="s">
        <v>302</v>
      </c>
    </row>
    <row r="43" spans="1:13" x14ac:dyDescent="0.15">
      <c r="A43" s="79" t="s">
        <v>300</v>
      </c>
      <c r="B43" s="80">
        <v>15031</v>
      </c>
      <c r="C43" s="81" t="str">
        <f ca="1">VLOOKUP($B43,OFFSET([2]quests!$A$1,0,0,COUNTA([2]quests!$A:$A),MATCH(C$1,[2]quests!$1:$1,0)-MATCH($B$1,[2]quests!$1:$1,0)+1),MATCH(C$1,[2]quests!$1:$1,0)-MATCH($B$1,[2]quests!$1:$1,0)+1,FALSE)</f>
        <v>31. 桜花乱城</v>
      </c>
      <c r="D43" s="81" t="str">
        <f ca="1">VLOOKUP($B43,OFFSET([2]quests!$A$1,0,0,COUNTA([2]quests!$A:$A),MATCH(D$1,[2]quests!$1:$1,0)-MATCH($B$1,[2]quests!$1:$1,0)+1),MATCH(D$1,[2]quests!$1:$1,0)-MATCH($B$1,[2]quests!$1:$1,0)+1,FALSE)</f>
        <v>混色DL6</v>
      </c>
      <c r="E43" s="85">
        <v>2</v>
      </c>
      <c r="F43" s="81" t="str">
        <f ca="1">VLOOKUP($B43&amp;"_"&amp;$E43,OFFSET([2]stages!$A$1,0,0,COUNTA([2]stages!$A:$A),MATCH(F$1,[2]stages!$2:$2,0)-MATCH("temp_stage",[2]stages!$2:$2,0)+1),MATCH(F$1,[2]stages!$2:$2,0)-MATCH("temp_stage",[2]stages!$2:$2,0)+1,FALSE)</f>
        <v>31-2. 赤鉄の将</v>
      </c>
      <c r="G43" s="81" t="str">
        <f ca="1">VLOOKUP($B43&amp;"_"&amp;$E43,OFFSET([2]stages!$A$1,0,0,COUNTA([2]stages!$A:$A),MATCH(G$1,[2]stages!$2:$2,0)-MATCH("temp_stage",[2]stages!$2:$2,0)+1),MATCH(G$1,[2]stages!$2:$2,0)-MATCH("temp_stage",[2]stages!$2:$2,0)+1,FALSE)</f>
        <v>混色DL6</v>
      </c>
      <c r="H43" s="83">
        <v>0</v>
      </c>
      <c r="I43" s="145">
        <v>14</v>
      </c>
      <c r="J43" s="82" t="s">
        <v>301</v>
      </c>
      <c r="K43" s="143" t="s">
        <v>428</v>
      </c>
      <c r="L43" s="144" t="s">
        <v>429</v>
      </c>
      <c r="M43" s="54" t="s">
        <v>302</v>
      </c>
    </row>
    <row r="44" spans="1:13" x14ac:dyDescent="0.15">
      <c r="A44" s="79" t="s">
        <v>300</v>
      </c>
      <c r="B44" s="80">
        <v>15031</v>
      </c>
      <c r="C44" s="81" t="str">
        <f ca="1">VLOOKUP($B44,OFFSET([2]quests!$A$1,0,0,COUNTA([2]quests!$A:$A),MATCH(C$1,[2]quests!$1:$1,0)-MATCH($B$1,[2]quests!$1:$1,0)+1),MATCH(C$1,[2]quests!$1:$1,0)-MATCH($B$1,[2]quests!$1:$1,0)+1,FALSE)</f>
        <v>31. 桜花乱城</v>
      </c>
      <c r="D44" s="81" t="str">
        <f ca="1">VLOOKUP($B44,OFFSET([2]quests!$A$1,0,0,COUNTA([2]quests!$A:$A),MATCH(D$1,[2]quests!$1:$1,0)-MATCH($B$1,[2]quests!$1:$1,0)+1),MATCH(D$1,[2]quests!$1:$1,0)-MATCH($B$1,[2]quests!$1:$1,0)+1,FALSE)</f>
        <v>混色DL6</v>
      </c>
      <c r="E44" s="85">
        <v>2</v>
      </c>
      <c r="F44" s="81" t="str">
        <f ca="1">VLOOKUP($B44&amp;"_"&amp;$E44,OFFSET([2]stages!$A$1,0,0,COUNTA([2]stages!$A:$A),MATCH(F$1,[2]stages!$2:$2,0)-MATCH("temp_stage",[2]stages!$2:$2,0)+1),MATCH(F$1,[2]stages!$2:$2,0)-MATCH("temp_stage",[2]stages!$2:$2,0)+1,FALSE)</f>
        <v>31-2. 赤鉄の将</v>
      </c>
      <c r="G44" s="81" t="str">
        <f ca="1">VLOOKUP($B44&amp;"_"&amp;$E44,OFFSET([2]stages!$A$1,0,0,COUNTA([2]stages!$A:$A),MATCH(G$1,[2]stages!$2:$2,0)-MATCH("temp_stage",[2]stages!$2:$2,0)+1),MATCH(G$1,[2]stages!$2:$2,0)-MATCH("temp_stage",[2]stages!$2:$2,0)+1,FALSE)</f>
        <v>混色DL6</v>
      </c>
      <c r="H44" s="83">
        <v>0</v>
      </c>
      <c r="I44" s="145">
        <v>15</v>
      </c>
      <c r="J44" s="82" t="s">
        <v>305</v>
      </c>
      <c r="K44" s="143" t="s">
        <v>430</v>
      </c>
      <c r="L44" s="144" t="s">
        <v>431</v>
      </c>
      <c r="M44" s="54" t="s">
        <v>302</v>
      </c>
    </row>
    <row r="45" spans="1:13" x14ac:dyDescent="0.15">
      <c r="A45" s="79" t="s">
        <v>300</v>
      </c>
      <c r="B45" s="80">
        <v>15031</v>
      </c>
      <c r="C45" s="81" t="str">
        <f ca="1">VLOOKUP($B45,OFFSET([2]quests!$A$1,0,0,COUNTA([2]quests!$A:$A),MATCH(C$1,[2]quests!$1:$1,0)-MATCH($B$1,[2]quests!$1:$1,0)+1),MATCH(C$1,[2]quests!$1:$1,0)-MATCH($B$1,[2]quests!$1:$1,0)+1,FALSE)</f>
        <v>31. 桜花乱城</v>
      </c>
      <c r="D45" s="81" t="str">
        <f ca="1">VLOOKUP($B45,OFFSET([2]quests!$A$1,0,0,COUNTA([2]quests!$A:$A),MATCH(D$1,[2]quests!$1:$1,0)-MATCH($B$1,[2]quests!$1:$1,0)+1),MATCH(D$1,[2]quests!$1:$1,0)-MATCH($B$1,[2]quests!$1:$1,0)+1,FALSE)</f>
        <v>混色DL6</v>
      </c>
      <c r="E45" s="85">
        <v>2</v>
      </c>
      <c r="F45" s="81" t="str">
        <f ca="1">VLOOKUP($B45&amp;"_"&amp;$E45,OFFSET([2]stages!$A$1,0,0,COUNTA([2]stages!$A:$A),MATCH(F$1,[2]stages!$2:$2,0)-MATCH("temp_stage",[2]stages!$2:$2,0)+1),MATCH(F$1,[2]stages!$2:$2,0)-MATCH("temp_stage",[2]stages!$2:$2,0)+1,FALSE)</f>
        <v>31-2. 赤鉄の将</v>
      </c>
      <c r="G45" s="81" t="str">
        <f ca="1">VLOOKUP($B45&amp;"_"&amp;$E45,OFFSET([2]stages!$A$1,0,0,COUNTA([2]stages!$A:$A),MATCH(G$1,[2]stages!$2:$2,0)-MATCH("temp_stage",[2]stages!$2:$2,0)+1),MATCH(G$1,[2]stages!$2:$2,0)-MATCH("temp_stage",[2]stages!$2:$2,0)+1,FALSE)</f>
        <v>混色DL6</v>
      </c>
      <c r="H45" s="83">
        <v>0</v>
      </c>
      <c r="I45" s="145">
        <v>16</v>
      </c>
      <c r="J45" s="82" t="s">
        <v>305</v>
      </c>
      <c r="K45" s="143" t="s">
        <v>432</v>
      </c>
      <c r="L45" s="144" t="s">
        <v>433</v>
      </c>
      <c r="M45" s="54" t="s">
        <v>309</v>
      </c>
    </row>
    <row r="46" spans="1:13" x14ac:dyDescent="0.15">
      <c r="A46" s="79" t="s">
        <v>300</v>
      </c>
      <c r="B46" s="80">
        <v>15031</v>
      </c>
      <c r="C46" s="81" t="str">
        <f ca="1">VLOOKUP($B46,OFFSET([2]quests!$A$1,0,0,COUNTA([2]quests!$A:$A),MATCH(C$1,[2]quests!$1:$1,0)-MATCH($B$1,[2]quests!$1:$1,0)+1),MATCH(C$1,[2]quests!$1:$1,0)-MATCH($B$1,[2]quests!$1:$1,0)+1,FALSE)</f>
        <v>31. 桜花乱城</v>
      </c>
      <c r="D46" s="81" t="str">
        <f ca="1">VLOOKUP($B46,OFFSET([2]quests!$A$1,0,0,COUNTA([2]quests!$A:$A),MATCH(D$1,[2]quests!$1:$1,0)-MATCH($B$1,[2]quests!$1:$1,0)+1),MATCH(D$1,[2]quests!$1:$1,0)-MATCH($B$1,[2]quests!$1:$1,0)+1,FALSE)</f>
        <v>混色DL6</v>
      </c>
      <c r="E46" s="85">
        <v>2</v>
      </c>
      <c r="F46" s="81" t="str">
        <f ca="1">VLOOKUP($B46&amp;"_"&amp;$E46,OFFSET([2]stages!$A$1,0,0,COUNTA([2]stages!$A:$A),MATCH(F$1,[2]stages!$2:$2,0)-MATCH("temp_stage",[2]stages!$2:$2,0)+1),MATCH(F$1,[2]stages!$2:$2,0)-MATCH("temp_stage",[2]stages!$2:$2,0)+1,FALSE)</f>
        <v>31-2. 赤鉄の将</v>
      </c>
      <c r="G46" s="81" t="str">
        <f ca="1">VLOOKUP($B46&amp;"_"&amp;$E46,OFFSET([2]stages!$A$1,0,0,COUNTA([2]stages!$A:$A),MATCH(G$1,[2]stages!$2:$2,0)-MATCH("temp_stage",[2]stages!$2:$2,0)+1),MATCH(G$1,[2]stages!$2:$2,0)-MATCH("temp_stage",[2]stages!$2:$2,0)+1,FALSE)</f>
        <v>混色DL6</v>
      </c>
      <c r="H46" s="83">
        <v>0</v>
      </c>
      <c r="I46" s="145">
        <v>17</v>
      </c>
      <c r="J46" s="82" t="s">
        <v>305</v>
      </c>
      <c r="K46" s="143" t="s">
        <v>434</v>
      </c>
      <c r="L46" s="144" t="s">
        <v>435</v>
      </c>
      <c r="M46" s="54" t="s">
        <v>302</v>
      </c>
    </row>
    <row r="47" spans="1:13" x14ac:dyDescent="0.15">
      <c r="A47" s="79" t="s">
        <v>300</v>
      </c>
      <c r="B47" s="80">
        <v>15031</v>
      </c>
      <c r="C47" s="81" t="str">
        <f ca="1">VLOOKUP($B47,OFFSET([2]quests!$A$1,0,0,COUNTA([2]quests!$A:$A),MATCH(C$1,[2]quests!$1:$1,0)-MATCH($B$1,[2]quests!$1:$1,0)+1),MATCH(C$1,[2]quests!$1:$1,0)-MATCH($B$1,[2]quests!$1:$1,0)+1,FALSE)</f>
        <v>31. 桜花乱城</v>
      </c>
      <c r="D47" s="81" t="str">
        <f ca="1">VLOOKUP($B47,OFFSET([2]quests!$A$1,0,0,COUNTA([2]quests!$A:$A),MATCH(D$1,[2]quests!$1:$1,0)-MATCH($B$1,[2]quests!$1:$1,0)+1),MATCH(D$1,[2]quests!$1:$1,0)-MATCH($B$1,[2]quests!$1:$1,0)+1,FALSE)</f>
        <v>混色DL6</v>
      </c>
      <c r="E47" s="85">
        <v>2</v>
      </c>
      <c r="F47" s="81" t="str">
        <f ca="1">VLOOKUP($B47&amp;"_"&amp;$E47,OFFSET([2]stages!$A$1,0,0,COUNTA([2]stages!$A:$A),MATCH(F$1,[2]stages!$2:$2,0)-MATCH("temp_stage",[2]stages!$2:$2,0)+1),MATCH(F$1,[2]stages!$2:$2,0)-MATCH("temp_stage",[2]stages!$2:$2,0)+1,FALSE)</f>
        <v>31-2. 赤鉄の将</v>
      </c>
      <c r="G47" s="81" t="str">
        <f ca="1">VLOOKUP($B47&amp;"_"&amp;$E47,OFFSET([2]stages!$A$1,0,0,COUNTA([2]stages!$A:$A),MATCH(G$1,[2]stages!$2:$2,0)-MATCH("temp_stage",[2]stages!$2:$2,0)+1),MATCH(G$1,[2]stages!$2:$2,0)-MATCH("temp_stage",[2]stages!$2:$2,0)+1,FALSE)</f>
        <v>混色DL6</v>
      </c>
      <c r="H47" s="83">
        <v>0</v>
      </c>
      <c r="I47" s="145">
        <v>18</v>
      </c>
      <c r="J47" s="82" t="s">
        <v>305</v>
      </c>
      <c r="K47" s="143" t="s">
        <v>436</v>
      </c>
      <c r="L47" s="144" t="s">
        <v>437</v>
      </c>
      <c r="M47" s="54" t="s">
        <v>302</v>
      </c>
    </row>
    <row r="48" spans="1:13" x14ac:dyDescent="0.15">
      <c r="A48" s="79" t="s">
        <v>300</v>
      </c>
      <c r="B48" s="80">
        <v>15031</v>
      </c>
      <c r="C48" s="81" t="str">
        <f ca="1">VLOOKUP($B48,OFFSET([2]quests!$A$1,0,0,COUNTA([2]quests!$A:$A),MATCH(C$1,[2]quests!$1:$1,0)-MATCH($B$1,[2]quests!$1:$1,0)+1),MATCH(C$1,[2]quests!$1:$1,0)-MATCH($B$1,[2]quests!$1:$1,0)+1,FALSE)</f>
        <v>31. 桜花乱城</v>
      </c>
      <c r="D48" s="81" t="str">
        <f ca="1">VLOOKUP($B48,OFFSET([2]quests!$A$1,0,0,COUNTA([2]quests!$A:$A),MATCH(D$1,[2]quests!$1:$1,0)-MATCH($B$1,[2]quests!$1:$1,0)+1),MATCH(D$1,[2]quests!$1:$1,0)-MATCH($B$1,[2]quests!$1:$1,0)+1,FALSE)</f>
        <v>混色DL6</v>
      </c>
      <c r="E48" s="85">
        <v>2</v>
      </c>
      <c r="F48" s="81" t="str">
        <f ca="1">VLOOKUP($B48&amp;"_"&amp;$E48,OFFSET([2]stages!$A$1,0,0,COUNTA([2]stages!$A:$A),MATCH(F$1,[2]stages!$2:$2,0)-MATCH("temp_stage",[2]stages!$2:$2,0)+1),MATCH(F$1,[2]stages!$2:$2,0)-MATCH("temp_stage",[2]stages!$2:$2,0)+1,FALSE)</f>
        <v>31-2. 赤鉄の将</v>
      </c>
      <c r="G48" s="81" t="str">
        <f ca="1">VLOOKUP($B48&amp;"_"&amp;$E48,OFFSET([2]stages!$A$1,0,0,COUNTA([2]stages!$A:$A),MATCH(G$1,[2]stages!$2:$2,0)-MATCH("temp_stage",[2]stages!$2:$2,0)+1),MATCH(G$1,[2]stages!$2:$2,0)-MATCH("temp_stage",[2]stages!$2:$2,0)+1,FALSE)</f>
        <v>混色DL6</v>
      </c>
      <c r="H48" s="83">
        <v>0</v>
      </c>
      <c r="I48" s="145">
        <v>19</v>
      </c>
      <c r="J48" s="82" t="s">
        <v>305</v>
      </c>
      <c r="K48" s="143" t="s">
        <v>438</v>
      </c>
      <c r="L48" s="144" t="s">
        <v>439</v>
      </c>
      <c r="M48" s="54" t="s">
        <v>302</v>
      </c>
    </row>
    <row r="49" spans="1:13" x14ac:dyDescent="0.15">
      <c r="A49" s="79" t="s">
        <v>300</v>
      </c>
      <c r="B49" s="80">
        <v>15031</v>
      </c>
      <c r="C49" s="81" t="str">
        <f ca="1">VLOOKUP($B49,OFFSET([2]quests!$A$1,0,0,COUNTA([2]quests!$A:$A),MATCH(C$1,[2]quests!$1:$1,0)-MATCH($B$1,[2]quests!$1:$1,0)+1),MATCH(C$1,[2]quests!$1:$1,0)-MATCH($B$1,[2]quests!$1:$1,0)+1,FALSE)</f>
        <v>31. 桜花乱城</v>
      </c>
      <c r="D49" s="81" t="str">
        <f ca="1">VLOOKUP($B49,OFFSET([2]quests!$A$1,0,0,COUNTA([2]quests!$A:$A),MATCH(D$1,[2]quests!$1:$1,0)-MATCH($B$1,[2]quests!$1:$1,0)+1),MATCH(D$1,[2]quests!$1:$1,0)-MATCH($B$1,[2]quests!$1:$1,0)+1,FALSE)</f>
        <v>混色DL6</v>
      </c>
      <c r="E49" s="85">
        <v>2</v>
      </c>
      <c r="F49" s="81" t="str">
        <f ca="1">VLOOKUP($B49&amp;"_"&amp;$E49,OFFSET([2]stages!$A$1,0,0,COUNTA([2]stages!$A:$A),MATCH(F$1,[2]stages!$2:$2,0)-MATCH("temp_stage",[2]stages!$2:$2,0)+1),MATCH(F$1,[2]stages!$2:$2,0)-MATCH("temp_stage",[2]stages!$2:$2,0)+1,FALSE)</f>
        <v>31-2. 赤鉄の将</v>
      </c>
      <c r="G49" s="81" t="str">
        <f ca="1">VLOOKUP($B49&amp;"_"&amp;$E49,OFFSET([2]stages!$A$1,0,0,COUNTA([2]stages!$A:$A),MATCH(G$1,[2]stages!$2:$2,0)-MATCH("temp_stage",[2]stages!$2:$2,0)+1),MATCH(G$1,[2]stages!$2:$2,0)-MATCH("temp_stage",[2]stages!$2:$2,0)+1,FALSE)</f>
        <v>混色DL6</v>
      </c>
      <c r="H49" s="83">
        <v>0</v>
      </c>
      <c r="I49" s="145">
        <v>20</v>
      </c>
      <c r="J49" s="82" t="s">
        <v>314</v>
      </c>
      <c r="K49" s="143" t="s">
        <v>440</v>
      </c>
      <c r="L49" s="144" t="s">
        <v>441</v>
      </c>
      <c r="M49" s="54" t="s">
        <v>302</v>
      </c>
    </row>
    <row r="50" spans="1:13" x14ac:dyDescent="0.15">
      <c r="A50" s="79" t="s">
        <v>300</v>
      </c>
      <c r="B50" s="80">
        <v>15031</v>
      </c>
      <c r="C50" s="81" t="str">
        <f ca="1">VLOOKUP($B50,OFFSET([2]quests!$A$1,0,0,COUNTA([2]quests!$A:$A),MATCH(C$1,[2]quests!$1:$1,0)-MATCH($B$1,[2]quests!$1:$1,0)+1),MATCH(C$1,[2]quests!$1:$1,0)-MATCH($B$1,[2]quests!$1:$1,0)+1,FALSE)</f>
        <v>31. 桜花乱城</v>
      </c>
      <c r="D50" s="81" t="str">
        <f ca="1">VLOOKUP($B50,OFFSET([2]quests!$A$1,0,0,COUNTA([2]quests!$A:$A),MATCH(D$1,[2]quests!$1:$1,0)-MATCH($B$1,[2]quests!$1:$1,0)+1),MATCH(D$1,[2]quests!$1:$1,0)-MATCH($B$1,[2]quests!$1:$1,0)+1,FALSE)</f>
        <v>混色DL6</v>
      </c>
      <c r="E50" s="85">
        <v>2</v>
      </c>
      <c r="F50" s="81" t="str">
        <f ca="1">VLOOKUP($B50&amp;"_"&amp;$E50,OFFSET([2]stages!$A$1,0,0,COUNTA([2]stages!$A:$A),MATCH(F$1,[2]stages!$2:$2,0)-MATCH("temp_stage",[2]stages!$2:$2,0)+1),MATCH(F$1,[2]stages!$2:$2,0)-MATCH("temp_stage",[2]stages!$2:$2,0)+1,FALSE)</f>
        <v>31-2. 赤鉄の将</v>
      </c>
      <c r="G50" s="81" t="str">
        <f ca="1">VLOOKUP($B50&amp;"_"&amp;$E50,OFFSET([2]stages!$A$1,0,0,COUNTA([2]stages!$A:$A),MATCH(G$1,[2]stages!$2:$2,0)-MATCH("temp_stage",[2]stages!$2:$2,0)+1),MATCH(G$1,[2]stages!$2:$2,0)-MATCH("temp_stage",[2]stages!$2:$2,0)+1,FALSE)</f>
        <v>混色DL6</v>
      </c>
      <c r="H50" s="83">
        <v>0</v>
      </c>
      <c r="I50" s="145">
        <v>21</v>
      </c>
      <c r="J50" s="82" t="s">
        <v>305</v>
      </c>
      <c r="K50" s="143" t="s">
        <v>442</v>
      </c>
      <c r="L50" s="144" t="s">
        <v>443</v>
      </c>
      <c r="M50" s="54" t="s">
        <v>302</v>
      </c>
    </row>
    <row r="51" spans="1:13" x14ac:dyDescent="0.15">
      <c r="A51" s="79" t="s">
        <v>300</v>
      </c>
      <c r="B51" s="80">
        <v>15031</v>
      </c>
      <c r="C51" s="81" t="str">
        <f ca="1">VLOOKUP($B51,OFFSET([2]quests!$A$1,0,0,COUNTA([2]quests!$A:$A),MATCH(C$1,[2]quests!$1:$1,0)-MATCH($B$1,[2]quests!$1:$1,0)+1),MATCH(C$1,[2]quests!$1:$1,0)-MATCH($B$1,[2]quests!$1:$1,0)+1,FALSE)</f>
        <v>31. 桜花乱城</v>
      </c>
      <c r="D51" s="81" t="str">
        <f ca="1">VLOOKUP($B51,OFFSET([2]quests!$A$1,0,0,COUNTA([2]quests!$A:$A),MATCH(D$1,[2]quests!$1:$1,0)-MATCH($B$1,[2]quests!$1:$1,0)+1),MATCH(D$1,[2]quests!$1:$1,0)-MATCH($B$1,[2]quests!$1:$1,0)+1,FALSE)</f>
        <v>混色DL6</v>
      </c>
      <c r="E51" s="85">
        <v>2</v>
      </c>
      <c r="F51" s="81" t="str">
        <f ca="1">VLOOKUP($B51&amp;"_"&amp;$E51,OFFSET([2]stages!$A$1,0,0,COUNTA([2]stages!$A:$A),MATCH(F$1,[2]stages!$2:$2,0)-MATCH("temp_stage",[2]stages!$2:$2,0)+1),MATCH(F$1,[2]stages!$2:$2,0)-MATCH("temp_stage",[2]stages!$2:$2,0)+1,FALSE)</f>
        <v>31-2. 赤鉄の将</v>
      </c>
      <c r="G51" s="81" t="str">
        <f ca="1">VLOOKUP($B51&amp;"_"&amp;$E51,OFFSET([2]stages!$A$1,0,0,COUNTA([2]stages!$A:$A),MATCH(G$1,[2]stages!$2:$2,0)-MATCH("temp_stage",[2]stages!$2:$2,0)+1),MATCH(G$1,[2]stages!$2:$2,0)-MATCH("temp_stage",[2]stages!$2:$2,0)+1,FALSE)</f>
        <v>混色DL6</v>
      </c>
      <c r="H51" s="83">
        <v>0</v>
      </c>
      <c r="I51" s="145">
        <v>22</v>
      </c>
      <c r="J51" s="82" t="s">
        <v>305</v>
      </c>
      <c r="K51" s="143" t="s">
        <v>444</v>
      </c>
      <c r="L51" s="144" t="s">
        <v>445</v>
      </c>
      <c r="M51" s="54" t="s">
        <v>302</v>
      </c>
    </row>
    <row r="52" spans="1:13" x14ac:dyDescent="0.15">
      <c r="A52" s="79" t="s">
        <v>300</v>
      </c>
      <c r="B52" s="80">
        <v>15031</v>
      </c>
      <c r="C52" s="81" t="str">
        <f ca="1">VLOOKUP($B52,OFFSET([2]quests!$A$1,0,0,COUNTA([2]quests!$A:$A),MATCH(C$1,[2]quests!$1:$1,0)-MATCH($B$1,[2]quests!$1:$1,0)+1),MATCH(C$1,[2]quests!$1:$1,0)-MATCH($B$1,[2]quests!$1:$1,0)+1,FALSE)</f>
        <v>31. 桜花乱城</v>
      </c>
      <c r="D52" s="81" t="str">
        <f ca="1">VLOOKUP($B52,OFFSET([2]quests!$A$1,0,0,COUNTA([2]quests!$A:$A),MATCH(D$1,[2]quests!$1:$1,0)-MATCH($B$1,[2]quests!$1:$1,0)+1),MATCH(D$1,[2]quests!$1:$1,0)-MATCH($B$1,[2]quests!$1:$1,0)+1,FALSE)</f>
        <v>混色DL6</v>
      </c>
      <c r="E52" s="85">
        <v>2</v>
      </c>
      <c r="F52" s="81" t="str">
        <f ca="1">VLOOKUP($B52&amp;"_"&amp;$E52,OFFSET([2]stages!$A$1,0,0,COUNTA([2]stages!$A:$A),MATCH(F$1,[2]stages!$2:$2,0)-MATCH("temp_stage",[2]stages!$2:$2,0)+1),MATCH(F$1,[2]stages!$2:$2,0)-MATCH("temp_stage",[2]stages!$2:$2,0)+1,FALSE)</f>
        <v>31-2. 赤鉄の将</v>
      </c>
      <c r="G52" s="81" t="str">
        <f ca="1">VLOOKUP($B52&amp;"_"&amp;$E52,OFFSET([2]stages!$A$1,0,0,COUNTA([2]stages!$A:$A),MATCH(G$1,[2]stages!$2:$2,0)-MATCH("temp_stage",[2]stages!$2:$2,0)+1),MATCH(G$1,[2]stages!$2:$2,0)-MATCH("temp_stage",[2]stages!$2:$2,0)+1,FALSE)</f>
        <v>混色DL6</v>
      </c>
      <c r="H52" s="83">
        <v>0</v>
      </c>
      <c r="I52" s="145">
        <v>23</v>
      </c>
      <c r="J52" s="82" t="s">
        <v>301</v>
      </c>
      <c r="K52" s="143" t="s">
        <v>446</v>
      </c>
      <c r="L52" s="144" t="s">
        <v>447</v>
      </c>
      <c r="M52" s="54" t="s">
        <v>302</v>
      </c>
    </row>
    <row r="53" spans="1:13" x14ac:dyDescent="0.15">
      <c r="A53" s="79" t="s">
        <v>300</v>
      </c>
      <c r="B53" s="80">
        <v>15031</v>
      </c>
      <c r="C53" s="81" t="str">
        <f ca="1">VLOOKUP($B53,OFFSET([2]quests!$A$1,0,0,COUNTA([2]quests!$A:$A),MATCH(C$1,[2]quests!$1:$1,0)-MATCH($B$1,[2]quests!$1:$1,0)+1),MATCH(C$1,[2]quests!$1:$1,0)-MATCH($B$1,[2]quests!$1:$1,0)+1,FALSE)</f>
        <v>31. 桜花乱城</v>
      </c>
      <c r="D53" s="81" t="str">
        <f ca="1">VLOOKUP($B53,OFFSET([2]quests!$A$1,0,0,COUNTA([2]quests!$A:$A),MATCH(D$1,[2]quests!$1:$1,0)-MATCH($B$1,[2]quests!$1:$1,0)+1),MATCH(D$1,[2]quests!$1:$1,0)-MATCH($B$1,[2]quests!$1:$1,0)+1,FALSE)</f>
        <v>混色DL6</v>
      </c>
      <c r="E53" s="85">
        <v>2</v>
      </c>
      <c r="F53" s="81" t="str">
        <f ca="1">VLOOKUP($B53&amp;"_"&amp;$E53,OFFSET([2]stages!$A$1,0,0,COUNTA([2]stages!$A:$A),MATCH(F$1,[2]stages!$2:$2,0)-MATCH("temp_stage",[2]stages!$2:$2,0)+1),MATCH(F$1,[2]stages!$2:$2,0)-MATCH("temp_stage",[2]stages!$2:$2,0)+1,FALSE)</f>
        <v>31-2. 赤鉄の将</v>
      </c>
      <c r="G53" s="81" t="str">
        <f ca="1">VLOOKUP($B53&amp;"_"&amp;$E53,OFFSET([2]stages!$A$1,0,0,COUNTA([2]stages!$A:$A),MATCH(G$1,[2]stages!$2:$2,0)-MATCH("temp_stage",[2]stages!$2:$2,0)+1),MATCH(G$1,[2]stages!$2:$2,0)-MATCH("temp_stage",[2]stages!$2:$2,0)+1,FALSE)</f>
        <v>混色DL6</v>
      </c>
      <c r="H53" s="83">
        <v>0</v>
      </c>
      <c r="I53" s="145">
        <v>24</v>
      </c>
      <c r="J53" s="82" t="s">
        <v>314</v>
      </c>
      <c r="K53" s="143" t="s">
        <v>448</v>
      </c>
      <c r="L53" s="144" t="s">
        <v>449</v>
      </c>
      <c r="M53" s="54" t="s">
        <v>302</v>
      </c>
    </row>
    <row r="54" spans="1:13" x14ac:dyDescent="0.15">
      <c r="A54" s="79" t="s">
        <v>300</v>
      </c>
      <c r="B54" s="80">
        <v>15031</v>
      </c>
      <c r="C54" s="81" t="str">
        <f ca="1">VLOOKUP($B54,OFFSET([2]quests!$A$1,0,0,COUNTA([2]quests!$A:$A),MATCH(C$1,[2]quests!$1:$1,0)-MATCH($B$1,[2]quests!$1:$1,0)+1),MATCH(C$1,[2]quests!$1:$1,0)-MATCH($B$1,[2]quests!$1:$1,0)+1,FALSE)</f>
        <v>31. 桜花乱城</v>
      </c>
      <c r="D54" s="81" t="str">
        <f ca="1">VLOOKUP($B54,OFFSET([2]quests!$A$1,0,0,COUNTA([2]quests!$A:$A),MATCH(D$1,[2]quests!$1:$1,0)-MATCH($B$1,[2]quests!$1:$1,0)+1),MATCH(D$1,[2]quests!$1:$1,0)-MATCH($B$1,[2]quests!$1:$1,0)+1,FALSE)</f>
        <v>混色DL6</v>
      </c>
      <c r="E54" s="85">
        <v>2</v>
      </c>
      <c r="F54" s="81" t="str">
        <f ca="1">VLOOKUP($B54&amp;"_"&amp;$E54,OFFSET([2]stages!$A$1,0,0,COUNTA([2]stages!$A:$A),MATCH(F$1,[2]stages!$2:$2,0)-MATCH("temp_stage",[2]stages!$2:$2,0)+1),MATCH(F$1,[2]stages!$2:$2,0)-MATCH("temp_stage",[2]stages!$2:$2,0)+1,FALSE)</f>
        <v>31-2. 赤鉄の将</v>
      </c>
      <c r="G54" s="81" t="str">
        <f ca="1">VLOOKUP($B54&amp;"_"&amp;$E54,OFFSET([2]stages!$A$1,0,0,COUNTA([2]stages!$A:$A),MATCH(G$1,[2]stages!$2:$2,0)-MATCH("temp_stage",[2]stages!$2:$2,0)+1),MATCH(G$1,[2]stages!$2:$2,0)-MATCH("temp_stage",[2]stages!$2:$2,0)+1,FALSE)</f>
        <v>混色DL6</v>
      </c>
      <c r="H54" s="83">
        <v>0</v>
      </c>
      <c r="I54" s="145">
        <v>25</v>
      </c>
      <c r="J54" s="82" t="s">
        <v>305</v>
      </c>
      <c r="K54" s="143" t="s">
        <v>450</v>
      </c>
      <c r="L54" s="144" t="s">
        <v>451</v>
      </c>
      <c r="M54" s="54" t="s">
        <v>302</v>
      </c>
    </row>
    <row r="55" spans="1:13" x14ac:dyDescent="0.15">
      <c r="A55" s="79" t="s">
        <v>300</v>
      </c>
      <c r="B55" s="80">
        <v>15031</v>
      </c>
      <c r="C55" s="81" t="str">
        <f ca="1">VLOOKUP($B55,OFFSET([2]quests!$A$1,0,0,COUNTA([2]quests!$A:$A),MATCH(C$1,[2]quests!$1:$1,0)-MATCH($B$1,[2]quests!$1:$1,0)+1),MATCH(C$1,[2]quests!$1:$1,0)-MATCH($B$1,[2]quests!$1:$1,0)+1,FALSE)</f>
        <v>31. 桜花乱城</v>
      </c>
      <c r="D55" s="81" t="str">
        <f ca="1">VLOOKUP($B55,OFFSET([2]quests!$A$1,0,0,COUNTA([2]quests!$A:$A),MATCH(D$1,[2]quests!$1:$1,0)-MATCH($B$1,[2]quests!$1:$1,0)+1),MATCH(D$1,[2]quests!$1:$1,0)-MATCH($B$1,[2]quests!$1:$1,0)+1,FALSE)</f>
        <v>混色DL6</v>
      </c>
      <c r="E55" s="85">
        <v>2</v>
      </c>
      <c r="F55" s="81" t="str">
        <f ca="1">VLOOKUP($B55&amp;"_"&amp;$E55,OFFSET([2]stages!$A$1,0,0,COUNTA([2]stages!$A:$A),MATCH(F$1,[2]stages!$2:$2,0)-MATCH("temp_stage",[2]stages!$2:$2,0)+1),MATCH(F$1,[2]stages!$2:$2,0)-MATCH("temp_stage",[2]stages!$2:$2,0)+1,FALSE)</f>
        <v>31-2. 赤鉄の将</v>
      </c>
      <c r="G55" s="81" t="str">
        <f ca="1">VLOOKUP($B55&amp;"_"&amp;$E55,OFFSET([2]stages!$A$1,0,0,COUNTA([2]stages!$A:$A),MATCH(G$1,[2]stages!$2:$2,0)-MATCH("temp_stage",[2]stages!$2:$2,0)+1),MATCH(G$1,[2]stages!$2:$2,0)-MATCH("temp_stage",[2]stages!$2:$2,0)+1,FALSE)</f>
        <v>混色DL6</v>
      </c>
      <c r="H55" s="83">
        <v>0</v>
      </c>
      <c r="I55" s="145">
        <v>26</v>
      </c>
      <c r="J55" s="82" t="s">
        <v>305</v>
      </c>
      <c r="K55" s="143" t="s">
        <v>452</v>
      </c>
      <c r="L55" s="144" t="s">
        <v>453</v>
      </c>
      <c r="M55" s="54" t="s">
        <v>302</v>
      </c>
    </row>
    <row r="56" spans="1:13" x14ac:dyDescent="0.15">
      <c r="A56" s="79" t="s">
        <v>300</v>
      </c>
      <c r="B56" s="80">
        <v>15031</v>
      </c>
      <c r="C56" s="81" t="str">
        <f ca="1">VLOOKUP($B56,OFFSET([2]quests!$A$1,0,0,COUNTA([2]quests!$A:$A),MATCH(C$1,[2]quests!$1:$1,0)-MATCH($B$1,[2]quests!$1:$1,0)+1),MATCH(C$1,[2]quests!$1:$1,0)-MATCH($B$1,[2]quests!$1:$1,0)+1,FALSE)</f>
        <v>31. 桜花乱城</v>
      </c>
      <c r="D56" s="81" t="str">
        <f ca="1">VLOOKUP($B56,OFFSET([2]quests!$A$1,0,0,COUNTA([2]quests!$A:$A),MATCH(D$1,[2]quests!$1:$1,0)-MATCH($B$1,[2]quests!$1:$1,0)+1),MATCH(D$1,[2]quests!$1:$1,0)-MATCH($B$1,[2]quests!$1:$1,0)+1,FALSE)</f>
        <v>混色DL6</v>
      </c>
      <c r="E56" s="85">
        <v>2</v>
      </c>
      <c r="F56" s="81" t="str">
        <f ca="1">VLOOKUP($B56&amp;"_"&amp;$E56,OFFSET([2]stages!$A$1,0,0,COUNTA([2]stages!$A:$A),MATCH(F$1,[2]stages!$2:$2,0)-MATCH("temp_stage",[2]stages!$2:$2,0)+1),MATCH(F$1,[2]stages!$2:$2,0)-MATCH("temp_stage",[2]stages!$2:$2,0)+1,FALSE)</f>
        <v>31-2. 赤鉄の将</v>
      </c>
      <c r="G56" s="81" t="str">
        <f ca="1">VLOOKUP($B56&amp;"_"&amp;$E56,OFFSET([2]stages!$A$1,0,0,COUNTA([2]stages!$A:$A),MATCH(G$1,[2]stages!$2:$2,0)-MATCH("temp_stage",[2]stages!$2:$2,0)+1),MATCH(G$1,[2]stages!$2:$2,0)-MATCH("temp_stage",[2]stages!$2:$2,0)+1,FALSE)</f>
        <v>混色DL6</v>
      </c>
      <c r="H56" s="83">
        <v>0</v>
      </c>
      <c r="I56" s="145">
        <v>27</v>
      </c>
      <c r="J56" s="82" t="s">
        <v>315</v>
      </c>
      <c r="K56" s="143" t="s">
        <v>454</v>
      </c>
      <c r="L56" s="144" t="s">
        <v>455</v>
      </c>
      <c r="M56" s="54" t="s">
        <v>302</v>
      </c>
    </row>
    <row r="57" spans="1:13" x14ac:dyDescent="0.15">
      <c r="A57" s="79" t="s">
        <v>300</v>
      </c>
      <c r="B57" s="80">
        <v>15031</v>
      </c>
      <c r="C57" s="81" t="str">
        <f ca="1">VLOOKUP($B57,OFFSET([2]quests!$A$1,0,0,COUNTA([2]quests!$A:$A),MATCH(C$1,[2]quests!$1:$1,0)-MATCH($B$1,[2]quests!$1:$1,0)+1),MATCH(C$1,[2]quests!$1:$1,0)-MATCH($B$1,[2]quests!$1:$1,0)+1,FALSE)</f>
        <v>31. 桜花乱城</v>
      </c>
      <c r="D57" s="81" t="str">
        <f ca="1">VLOOKUP($B57,OFFSET([2]quests!$A$1,0,0,COUNTA([2]quests!$A:$A),MATCH(D$1,[2]quests!$1:$1,0)-MATCH($B$1,[2]quests!$1:$1,0)+1),MATCH(D$1,[2]quests!$1:$1,0)-MATCH($B$1,[2]quests!$1:$1,0)+1,FALSE)</f>
        <v>混色DL6</v>
      </c>
      <c r="E57" s="85">
        <v>2</v>
      </c>
      <c r="F57" s="81" t="str">
        <f ca="1">VLOOKUP($B57&amp;"_"&amp;$E57,OFFSET([2]stages!$A$1,0,0,COUNTA([2]stages!$A:$A),MATCH(F$1,[2]stages!$2:$2,0)-MATCH("temp_stage",[2]stages!$2:$2,0)+1),MATCH(F$1,[2]stages!$2:$2,0)-MATCH("temp_stage",[2]stages!$2:$2,0)+1,FALSE)</f>
        <v>31-2. 赤鉄の将</v>
      </c>
      <c r="G57" s="81" t="str">
        <f ca="1">VLOOKUP($B57&amp;"_"&amp;$E57,OFFSET([2]stages!$A$1,0,0,COUNTA([2]stages!$A:$A),MATCH(G$1,[2]stages!$2:$2,0)-MATCH("temp_stage",[2]stages!$2:$2,0)+1),MATCH(G$1,[2]stages!$2:$2,0)-MATCH("temp_stage",[2]stages!$2:$2,0)+1,FALSE)</f>
        <v>混色DL6</v>
      </c>
      <c r="H57" s="83">
        <v>0</v>
      </c>
      <c r="I57" s="145">
        <v>28</v>
      </c>
      <c r="J57" s="82" t="s">
        <v>305</v>
      </c>
      <c r="K57" s="143" t="s">
        <v>456</v>
      </c>
      <c r="L57" s="144" t="s">
        <v>457</v>
      </c>
      <c r="M57" s="54" t="s">
        <v>302</v>
      </c>
    </row>
    <row r="58" spans="1:13" x14ac:dyDescent="0.15">
      <c r="A58" s="79" t="s">
        <v>300</v>
      </c>
      <c r="B58" s="80">
        <v>15031</v>
      </c>
      <c r="C58" s="81" t="str">
        <f ca="1">VLOOKUP($B58,OFFSET([2]quests!$A$1,0,0,COUNTA([2]quests!$A:$A),MATCH(C$1,[2]quests!$1:$1,0)-MATCH($B$1,[2]quests!$1:$1,0)+1),MATCH(C$1,[2]quests!$1:$1,0)-MATCH($B$1,[2]quests!$1:$1,0)+1,FALSE)</f>
        <v>31. 桜花乱城</v>
      </c>
      <c r="D58" s="81" t="str">
        <f ca="1">VLOOKUP($B58,OFFSET([2]quests!$A$1,0,0,COUNTA([2]quests!$A:$A),MATCH(D$1,[2]quests!$1:$1,0)-MATCH($B$1,[2]quests!$1:$1,0)+1),MATCH(D$1,[2]quests!$1:$1,0)-MATCH($B$1,[2]quests!$1:$1,0)+1,FALSE)</f>
        <v>混色DL6</v>
      </c>
      <c r="E58" s="85">
        <v>2</v>
      </c>
      <c r="F58" s="81" t="str">
        <f ca="1">VLOOKUP($B58&amp;"_"&amp;$E58,OFFSET([2]stages!$A$1,0,0,COUNTA([2]stages!$A:$A),MATCH(F$1,[2]stages!$2:$2,0)-MATCH("temp_stage",[2]stages!$2:$2,0)+1),MATCH(F$1,[2]stages!$2:$2,0)-MATCH("temp_stage",[2]stages!$2:$2,0)+1,FALSE)</f>
        <v>31-2. 赤鉄の将</v>
      </c>
      <c r="G58" s="81" t="str">
        <f ca="1">VLOOKUP($B58&amp;"_"&amp;$E58,OFFSET([2]stages!$A$1,0,0,COUNTA([2]stages!$A:$A),MATCH(G$1,[2]stages!$2:$2,0)-MATCH("temp_stage",[2]stages!$2:$2,0)+1),MATCH(G$1,[2]stages!$2:$2,0)-MATCH("temp_stage",[2]stages!$2:$2,0)+1,FALSE)</f>
        <v>混色DL6</v>
      </c>
      <c r="H58" s="83">
        <v>0</v>
      </c>
      <c r="I58" s="145">
        <v>29</v>
      </c>
      <c r="J58" s="82" t="s">
        <v>305</v>
      </c>
      <c r="K58" s="143" t="s">
        <v>458</v>
      </c>
      <c r="L58" s="144" t="s">
        <v>459</v>
      </c>
      <c r="M58" s="54" t="s">
        <v>302</v>
      </c>
    </row>
    <row r="59" spans="1:13" x14ac:dyDescent="0.15">
      <c r="A59" s="79" t="s">
        <v>300</v>
      </c>
      <c r="B59" s="80">
        <v>15031</v>
      </c>
      <c r="C59" s="81" t="str">
        <f ca="1">VLOOKUP($B59,OFFSET([2]quests!$A$1,0,0,COUNTA([2]quests!$A:$A),MATCH(C$1,[2]quests!$1:$1,0)-MATCH($B$1,[2]quests!$1:$1,0)+1),MATCH(C$1,[2]quests!$1:$1,0)-MATCH($B$1,[2]quests!$1:$1,0)+1,FALSE)</f>
        <v>31. 桜花乱城</v>
      </c>
      <c r="D59" s="81" t="str">
        <f ca="1">VLOOKUP($B59,OFFSET([2]quests!$A$1,0,0,COUNTA([2]quests!$A:$A),MATCH(D$1,[2]quests!$1:$1,0)-MATCH($B$1,[2]quests!$1:$1,0)+1),MATCH(D$1,[2]quests!$1:$1,0)-MATCH($B$1,[2]quests!$1:$1,0)+1,FALSE)</f>
        <v>混色DL6</v>
      </c>
      <c r="E59" s="85">
        <v>2</v>
      </c>
      <c r="F59" s="81" t="str">
        <f ca="1">VLOOKUP($B59&amp;"_"&amp;$E59,OFFSET([2]stages!$A$1,0,0,COUNTA([2]stages!$A:$A),MATCH(F$1,[2]stages!$2:$2,0)-MATCH("temp_stage",[2]stages!$2:$2,0)+1),MATCH(F$1,[2]stages!$2:$2,0)-MATCH("temp_stage",[2]stages!$2:$2,0)+1,FALSE)</f>
        <v>31-2. 赤鉄の将</v>
      </c>
      <c r="G59" s="81" t="str">
        <f ca="1">VLOOKUP($B59&amp;"_"&amp;$E59,OFFSET([2]stages!$A$1,0,0,COUNTA([2]stages!$A:$A),MATCH(G$1,[2]stages!$2:$2,0)-MATCH("temp_stage",[2]stages!$2:$2,0)+1),MATCH(G$1,[2]stages!$2:$2,0)-MATCH("temp_stage",[2]stages!$2:$2,0)+1,FALSE)</f>
        <v>混色DL6</v>
      </c>
      <c r="H59" s="83">
        <v>0</v>
      </c>
      <c r="I59" s="145">
        <v>30</v>
      </c>
      <c r="J59" s="82" t="s">
        <v>305</v>
      </c>
      <c r="K59" s="143" t="s">
        <v>460</v>
      </c>
      <c r="L59" s="144" t="s">
        <v>461</v>
      </c>
      <c r="M59" s="54" t="s">
        <v>302</v>
      </c>
    </row>
    <row r="60" spans="1:13" x14ac:dyDescent="0.15">
      <c r="A60" s="79" t="s">
        <v>300</v>
      </c>
      <c r="B60" s="80">
        <v>15031</v>
      </c>
      <c r="C60" s="81" t="str">
        <f ca="1">VLOOKUP($B60,OFFSET([2]quests!$A$1,0,0,COUNTA([2]quests!$A:$A),MATCH(C$1,[2]quests!$1:$1,0)-MATCH($B$1,[2]quests!$1:$1,0)+1),MATCH(C$1,[2]quests!$1:$1,0)-MATCH($B$1,[2]quests!$1:$1,0)+1,FALSE)</f>
        <v>31. 桜花乱城</v>
      </c>
      <c r="D60" s="81" t="str">
        <f ca="1">VLOOKUP($B60,OFFSET([2]quests!$A$1,0,0,COUNTA([2]quests!$A:$A),MATCH(D$1,[2]quests!$1:$1,0)-MATCH($B$1,[2]quests!$1:$1,0)+1),MATCH(D$1,[2]quests!$1:$1,0)-MATCH($B$1,[2]quests!$1:$1,0)+1,FALSE)</f>
        <v>混色DL6</v>
      </c>
      <c r="E60" s="85">
        <v>2</v>
      </c>
      <c r="F60" s="81" t="str">
        <f ca="1">VLOOKUP($B60&amp;"_"&amp;$E60,OFFSET([2]stages!$A$1,0,0,COUNTA([2]stages!$A:$A),MATCH(F$1,[2]stages!$2:$2,0)-MATCH("temp_stage",[2]stages!$2:$2,0)+1),MATCH(F$1,[2]stages!$2:$2,0)-MATCH("temp_stage",[2]stages!$2:$2,0)+1,FALSE)</f>
        <v>31-2. 赤鉄の将</v>
      </c>
      <c r="G60" s="81" t="str">
        <f ca="1">VLOOKUP($B60&amp;"_"&amp;$E60,OFFSET([2]stages!$A$1,0,0,COUNTA([2]stages!$A:$A),MATCH(G$1,[2]stages!$2:$2,0)-MATCH("temp_stage",[2]stages!$2:$2,0)+1),MATCH(G$1,[2]stages!$2:$2,0)-MATCH("temp_stage",[2]stages!$2:$2,0)+1,FALSE)</f>
        <v>混色DL6</v>
      </c>
      <c r="H60" s="83">
        <v>0</v>
      </c>
      <c r="I60" s="145">
        <v>31</v>
      </c>
      <c r="J60" s="82" t="s">
        <v>305</v>
      </c>
      <c r="K60" s="143" t="s">
        <v>462</v>
      </c>
      <c r="L60" s="144" t="s">
        <v>463</v>
      </c>
      <c r="M60" s="54" t="s">
        <v>302</v>
      </c>
    </row>
    <row r="61" spans="1:13" x14ac:dyDescent="0.15">
      <c r="A61" s="79" t="s">
        <v>300</v>
      </c>
      <c r="B61" s="80">
        <v>15031</v>
      </c>
      <c r="C61" s="81" t="str">
        <f ca="1">VLOOKUP($B61,OFFSET([2]quests!$A$1,0,0,COUNTA([2]quests!$A:$A),MATCH(C$1,[2]quests!$1:$1,0)-MATCH($B$1,[2]quests!$1:$1,0)+1),MATCH(C$1,[2]quests!$1:$1,0)-MATCH($B$1,[2]quests!$1:$1,0)+1,FALSE)</f>
        <v>31. 桜花乱城</v>
      </c>
      <c r="D61" s="81" t="str">
        <f ca="1">VLOOKUP($B61,OFFSET([2]quests!$A$1,0,0,COUNTA([2]quests!$A:$A),MATCH(D$1,[2]quests!$1:$1,0)-MATCH($B$1,[2]quests!$1:$1,0)+1),MATCH(D$1,[2]quests!$1:$1,0)-MATCH($B$1,[2]quests!$1:$1,0)+1,FALSE)</f>
        <v>混色DL6</v>
      </c>
      <c r="E61" s="85">
        <v>2</v>
      </c>
      <c r="F61" s="81" t="str">
        <f ca="1">VLOOKUP($B61&amp;"_"&amp;$E61,OFFSET([2]stages!$A$1,0,0,COUNTA([2]stages!$A:$A),MATCH(F$1,[2]stages!$2:$2,0)-MATCH("temp_stage",[2]stages!$2:$2,0)+1),MATCH(F$1,[2]stages!$2:$2,0)-MATCH("temp_stage",[2]stages!$2:$2,0)+1,FALSE)</f>
        <v>31-2. 赤鉄の将</v>
      </c>
      <c r="G61" s="81" t="str">
        <f ca="1">VLOOKUP($B61&amp;"_"&amp;$E61,OFFSET([2]stages!$A$1,0,0,COUNTA([2]stages!$A:$A),MATCH(G$1,[2]stages!$2:$2,0)-MATCH("temp_stage",[2]stages!$2:$2,0)+1),MATCH(G$1,[2]stages!$2:$2,0)-MATCH("temp_stage",[2]stages!$2:$2,0)+1,FALSE)</f>
        <v>混色DL6</v>
      </c>
      <c r="H61" s="83">
        <v>0</v>
      </c>
      <c r="I61" s="145">
        <v>32</v>
      </c>
      <c r="J61" s="82" t="s">
        <v>305</v>
      </c>
      <c r="K61" s="143" t="s">
        <v>464</v>
      </c>
      <c r="L61" s="144" t="s">
        <v>465</v>
      </c>
      <c r="M61" s="54" t="s">
        <v>302</v>
      </c>
    </row>
    <row r="62" spans="1:13" x14ac:dyDescent="0.15">
      <c r="A62" s="79" t="s">
        <v>300</v>
      </c>
      <c r="B62" s="80">
        <v>15031</v>
      </c>
      <c r="C62" s="81" t="str">
        <f ca="1">VLOOKUP($B62,OFFSET([2]quests!$A$1,0,0,COUNTA([2]quests!$A:$A),MATCH(C$1,[2]quests!$1:$1,0)-MATCH($B$1,[2]quests!$1:$1,0)+1),MATCH(C$1,[2]quests!$1:$1,0)-MATCH($B$1,[2]quests!$1:$1,0)+1,FALSE)</f>
        <v>31. 桜花乱城</v>
      </c>
      <c r="D62" s="81" t="str">
        <f ca="1">VLOOKUP($B62,OFFSET([2]quests!$A$1,0,0,COUNTA([2]quests!$A:$A),MATCH(D$1,[2]quests!$1:$1,0)-MATCH($B$1,[2]quests!$1:$1,0)+1),MATCH(D$1,[2]quests!$1:$1,0)-MATCH($B$1,[2]quests!$1:$1,0)+1,FALSE)</f>
        <v>混色DL6</v>
      </c>
      <c r="E62" s="85">
        <v>2</v>
      </c>
      <c r="F62" s="81" t="str">
        <f ca="1">VLOOKUP($B62&amp;"_"&amp;$E62,OFFSET([2]stages!$A$1,0,0,COUNTA([2]stages!$A:$A),MATCH(F$1,[2]stages!$2:$2,0)-MATCH("temp_stage",[2]stages!$2:$2,0)+1),MATCH(F$1,[2]stages!$2:$2,0)-MATCH("temp_stage",[2]stages!$2:$2,0)+1,FALSE)</f>
        <v>31-2. 赤鉄の将</v>
      </c>
      <c r="G62" s="81" t="str">
        <f ca="1">VLOOKUP($B62&amp;"_"&amp;$E62,OFFSET([2]stages!$A$1,0,0,COUNTA([2]stages!$A:$A),MATCH(G$1,[2]stages!$2:$2,0)-MATCH("temp_stage",[2]stages!$2:$2,0)+1),MATCH(G$1,[2]stages!$2:$2,0)-MATCH("temp_stage",[2]stages!$2:$2,0)+1,FALSE)</f>
        <v>混色DL6</v>
      </c>
      <c r="H62" s="83">
        <v>0</v>
      </c>
      <c r="I62" s="145">
        <v>33</v>
      </c>
      <c r="J62" s="82" t="s">
        <v>305</v>
      </c>
      <c r="K62" s="143" t="s">
        <v>466</v>
      </c>
      <c r="L62" s="144" t="s">
        <v>467</v>
      </c>
      <c r="M62" s="54" t="s">
        <v>302</v>
      </c>
    </row>
    <row r="63" spans="1:13" x14ac:dyDescent="0.15">
      <c r="A63" s="79" t="s">
        <v>300</v>
      </c>
      <c r="B63" s="80">
        <v>15031</v>
      </c>
      <c r="C63" s="81" t="str">
        <f ca="1">VLOOKUP($B63,OFFSET([2]quests!$A$1,0,0,COUNTA([2]quests!$A:$A),MATCH(C$1,[2]quests!$1:$1,0)-MATCH($B$1,[2]quests!$1:$1,0)+1),MATCH(C$1,[2]quests!$1:$1,0)-MATCH($B$1,[2]quests!$1:$1,0)+1,FALSE)</f>
        <v>31. 桜花乱城</v>
      </c>
      <c r="D63" s="81" t="str">
        <f ca="1">VLOOKUP($B63,OFFSET([2]quests!$A$1,0,0,COUNTA([2]quests!$A:$A),MATCH(D$1,[2]quests!$1:$1,0)-MATCH($B$1,[2]quests!$1:$1,0)+1),MATCH(D$1,[2]quests!$1:$1,0)-MATCH($B$1,[2]quests!$1:$1,0)+1,FALSE)</f>
        <v>混色DL6</v>
      </c>
      <c r="E63" s="85">
        <v>2</v>
      </c>
      <c r="F63" s="81" t="str">
        <f ca="1">VLOOKUP($B63&amp;"_"&amp;$E63,OFFSET([2]stages!$A$1,0,0,COUNTA([2]stages!$A:$A),MATCH(F$1,[2]stages!$2:$2,0)-MATCH("temp_stage",[2]stages!$2:$2,0)+1),MATCH(F$1,[2]stages!$2:$2,0)-MATCH("temp_stage",[2]stages!$2:$2,0)+1,FALSE)</f>
        <v>31-2. 赤鉄の将</v>
      </c>
      <c r="G63" s="81" t="str">
        <f ca="1">VLOOKUP($B63&amp;"_"&amp;$E63,OFFSET([2]stages!$A$1,0,0,COUNTA([2]stages!$A:$A),MATCH(G$1,[2]stages!$2:$2,0)-MATCH("temp_stage",[2]stages!$2:$2,0)+1),MATCH(G$1,[2]stages!$2:$2,0)-MATCH("temp_stage",[2]stages!$2:$2,0)+1,FALSE)</f>
        <v>混色DL6</v>
      </c>
      <c r="H63" s="83">
        <v>0</v>
      </c>
      <c r="I63" s="145">
        <v>34</v>
      </c>
      <c r="J63" s="82" t="s">
        <v>305</v>
      </c>
      <c r="K63" s="143" t="s">
        <v>468</v>
      </c>
      <c r="L63" s="144" t="s">
        <v>469</v>
      </c>
      <c r="M63" s="54" t="s">
        <v>302</v>
      </c>
    </row>
    <row r="64" spans="1:13" x14ac:dyDescent="0.15">
      <c r="A64" s="79" t="s">
        <v>300</v>
      </c>
      <c r="B64" s="80">
        <v>15031</v>
      </c>
      <c r="C64" s="81" t="str">
        <f ca="1">VLOOKUP($B64,OFFSET([2]quests!$A$1,0,0,COUNTA([2]quests!$A:$A),MATCH(C$1,[2]quests!$1:$1,0)-MATCH($B$1,[2]quests!$1:$1,0)+1),MATCH(C$1,[2]quests!$1:$1,0)-MATCH($B$1,[2]quests!$1:$1,0)+1,FALSE)</f>
        <v>31. 桜花乱城</v>
      </c>
      <c r="D64" s="81" t="str">
        <f ca="1">VLOOKUP($B64,OFFSET([2]quests!$A$1,0,0,COUNTA([2]quests!$A:$A),MATCH(D$1,[2]quests!$1:$1,0)-MATCH($B$1,[2]quests!$1:$1,0)+1),MATCH(D$1,[2]quests!$1:$1,0)-MATCH($B$1,[2]quests!$1:$1,0)+1,FALSE)</f>
        <v>混色DL6</v>
      </c>
      <c r="E64" s="85">
        <v>2</v>
      </c>
      <c r="F64" s="81" t="str">
        <f ca="1">VLOOKUP($B64&amp;"_"&amp;$E64,OFFSET([2]stages!$A$1,0,0,COUNTA([2]stages!$A:$A),MATCH(F$1,[2]stages!$2:$2,0)-MATCH("temp_stage",[2]stages!$2:$2,0)+1),MATCH(F$1,[2]stages!$2:$2,0)-MATCH("temp_stage",[2]stages!$2:$2,0)+1,FALSE)</f>
        <v>31-2. 赤鉄の将</v>
      </c>
      <c r="G64" s="81" t="str">
        <f ca="1">VLOOKUP($B64&amp;"_"&amp;$E64,OFFSET([2]stages!$A$1,0,0,COUNTA([2]stages!$A:$A),MATCH(G$1,[2]stages!$2:$2,0)-MATCH("temp_stage",[2]stages!$2:$2,0)+1),MATCH(G$1,[2]stages!$2:$2,0)-MATCH("temp_stage",[2]stages!$2:$2,0)+1,FALSE)</f>
        <v>混色DL6</v>
      </c>
      <c r="H64" s="83">
        <v>0</v>
      </c>
      <c r="I64" s="145">
        <v>35</v>
      </c>
      <c r="J64" s="82" t="s">
        <v>305</v>
      </c>
      <c r="K64" s="143" t="s">
        <v>470</v>
      </c>
      <c r="L64" s="144" t="s">
        <v>471</v>
      </c>
      <c r="M64" s="54" t="s">
        <v>302</v>
      </c>
    </row>
    <row r="65" spans="1:13" x14ac:dyDescent="0.15">
      <c r="A65" s="79" t="s">
        <v>300</v>
      </c>
      <c r="B65" s="80">
        <v>15031</v>
      </c>
      <c r="C65" s="81" t="str">
        <f ca="1">VLOOKUP($B65,OFFSET([2]quests!$A$1,0,0,COUNTA([2]quests!$A:$A),MATCH(C$1,[2]quests!$1:$1,0)-MATCH($B$1,[2]quests!$1:$1,0)+1),MATCH(C$1,[2]quests!$1:$1,0)-MATCH($B$1,[2]quests!$1:$1,0)+1,FALSE)</f>
        <v>31. 桜花乱城</v>
      </c>
      <c r="D65" s="81" t="str">
        <f ca="1">VLOOKUP($B65,OFFSET([2]quests!$A$1,0,0,COUNTA([2]quests!$A:$A),MATCH(D$1,[2]quests!$1:$1,0)-MATCH($B$1,[2]quests!$1:$1,0)+1),MATCH(D$1,[2]quests!$1:$1,0)-MATCH($B$1,[2]quests!$1:$1,0)+1,FALSE)</f>
        <v>混色DL6</v>
      </c>
      <c r="E65" s="85">
        <v>2</v>
      </c>
      <c r="F65" s="81" t="str">
        <f ca="1">VLOOKUP($B65&amp;"_"&amp;$E65,OFFSET([2]stages!$A$1,0,0,COUNTA([2]stages!$A:$A),MATCH(F$1,[2]stages!$2:$2,0)-MATCH("temp_stage",[2]stages!$2:$2,0)+1),MATCH(F$1,[2]stages!$2:$2,0)-MATCH("temp_stage",[2]stages!$2:$2,0)+1,FALSE)</f>
        <v>31-2. 赤鉄の将</v>
      </c>
      <c r="G65" s="81" t="str">
        <f ca="1">VLOOKUP($B65&amp;"_"&amp;$E65,OFFSET([2]stages!$A$1,0,0,COUNTA([2]stages!$A:$A),MATCH(G$1,[2]stages!$2:$2,0)-MATCH("temp_stage",[2]stages!$2:$2,0)+1),MATCH(G$1,[2]stages!$2:$2,0)-MATCH("temp_stage",[2]stages!$2:$2,0)+1,FALSE)</f>
        <v>混色DL6</v>
      </c>
      <c r="H65" s="83">
        <v>0</v>
      </c>
      <c r="I65" s="145">
        <v>36</v>
      </c>
      <c r="J65" s="82" t="s">
        <v>305</v>
      </c>
      <c r="K65" s="143" t="s">
        <v>474</v>
      </c>
      <c r="L65" s="144" t="s">
        <v>475</v>
      </c>
      <c r="M65" s="54" t="s">
        <v>302</v>
      </c>
    </row>
    <row r="66" spans="1:13" x14ac:dyDescent="0.15">
      <c r="A66" s="79" t="s">
        <v>300</v>
      </c>
      <c r="B66" s="80">
        <v>15031</v>
      </c>
      <c r="C66" s="81" t="str">
        <f ca="1">VLOOKUP($B66,OFFSET([2]quests!$A$1,0,0,COUNTA([2]quests!$A:$A),MATCH(C$1,[2]quests!$1:$1,0)-MATCH($B$1,[2]quests!$1:$1,0)+1),MATCH(C$1,[2]quests!$1:$1,0)-MATCH($B$1,[2]quests!$1:$1,0)+1,FALSE)</f>
        <v>31. 桜花乱城</v>
      </c>
      <c r="D66" s="81" t="str">
        <f ca="1">VLOOKUP($B66,OFFSET([2]quests!$A$1,0,0,COUNTA([2]quests!$A:$A),MATCH(D$1,[2]quests!$1:$1,0)-MATCH($B$1,[2]quests!$1:$1,0)+1),MATCH(D$1,[2]quests!$1:$1,0)-MATCH($B$1,[2]quests!$1:$1,0)+1,FALSE)</f>
        <v>混色DL6</v>
      </c>
      <c r="E66" s="85">
        <v>2</v>
      </c>
      <c r="F66" s="81" t="str">
        <f ca="1">VLOOKUP($B66&amp;"_"&amp;$E66,OFFSET([2]stages!$A$1,0,0,COUNTA([2]stages!$A:$A),MATCH(F$1,[2]stages!$2:$2,0)-MATCH("temp_stage",[2]stages!$2:$2,0)+1),MATCH(F$1,[2]stages!$2:$2,0)-MATCH("temp_stage",[2]stages!$2:$2,0)+1,FALSE)</f>
        <v>31-2. 赤鉄の将</v>
      </c>
      <c r="G66" s="81" t="str">
        <f ca="1">VLOOKUP($B66&amp;"_"&amp;$E66,OFFSET([2]stages!$A$1,0,0,COUNTA([2]stages!$A:$A),MATCH(G$1,[2]stages!$2:$2,0)-MATCH("temp_stage",[2]stages!$2:$2,0)+1),MATCH(G$1,[2]stages!$2:$2,0)-MATCH("temp_stage",[2]stages!$2:$2,0)+1,FALSE)</f>
        <v>混色DL6</v>
      </c>
      <c r="H66" s="83">
        <v>0</v>
      </c>
      <c r="I66" s="145">
        <v>37</v>
      </c>
      <c r="J66" s="82" t="s">
        <v>305</v>
      </c>
      <c r="K66" s="143" t="s">
        <v>476</v>
      </c>
      <c r="L66" s="144" t="s">
        <v>477</v>
      </c>
      <c r="M66" s="54" t="s">
        <v>316</v>
      </c>
    </row>
    <row r="67" spans="1:13" x14ac:dyDescent="0.15">
      <c r="A67" s="79" t="s">
        <v>300</v>
      </c>
      <c r="B67" s="80">
        <v>15031</v>
      </c>
      <c r="C67" s="81" t="str">
        <f ca="1">VLOOKUP($B67,OFFSET([2]quests!$A$1,0,0,COUNTA([2]quests!$A:$A),MATCH(C$1,[2]quests!$1:$1,0)-MATCH($B$1,[2]quests!$1:$1,0)+1),MATCH(C$1,[2]quests!$1:$1,0)-MATCH($B$1,[2]quests!$1:$1,0)+1,FALSE)</f>
        <v>31. 桜花乱城</v>
      </c>
      <c r="D67" s="81" t="str">
        <f ca="1">VLOOKUP($B67,OFFSET([2]quests!$A$1,0,0,COUNTA([2]quests!$A:$A),MATCH(D$1,[2]quests!$1:$1,0)-MATCH($B$1,[2]quests!$1:$1,0)+1),MATCH(D$1,[2]quests!$1:$1,0)-MATCH($B$1,[2]quests!$1:$1,0)+1,FALSE)</f>
        <v>混色DL6</v>
      </c>
      <c r="E67" s="85">
        <v>2</v>
      </c>
      <c r="F67" s="81" t="str">
        <f ca="1">VLOOKUP($B67&amp;"_"&amp;$E67,OFFSET([2]stages!$A$1,0,0,COUNTA([2]stages!$A:$A),MATCH(F$1,[2]stages!$2:$2,0)-MATCH("temp_stage",[2]stages!$2:$2,0)+1),MATCH(F$1,[2]stages!$2:$2,0)-MATCH("temp_stage",[2]stages!$2:$2,0)+1,FALSE)</f>
        <v>31-2. 赤鉄の将</v>
      </c>
      <c r="G67" s="81" t="str">
        <f ca="1">VLOOKUP($B67&amp;"_"&amp;$E67,OFFSET([2]stages!$A$1,0,0,COUNTA([2]stages!$A:$A),MATCH(G$1,[2]stages!$2:$2,0)-MATCH("temp_stage",[2]stages!$2:$2,0)+1),MATCH(G$1,[2]stages!$2:$2,0)-MATCH("temp_stage",[2]stages!$2:$2,0)+1,FALSE)</f>
        <v>混色DL6</v>
      </c>
      <c r="H67" s="83">
        <v>0</v>
      </c>
      <c r="I67" s="145">
        <v>39</v>
      </c>
      <c r="J67" s="82" t="s">
        <v>305</v>
      </c>
      <c r="K67" s="143" t="s">
        <v>472</v>
      </c>
      <c r="L67" s="144" t="s">
        <v>473</v>
      </c>
      <c r="M67" s="54" t="s">
        <v>302</v>
      </c>
    </row>
    <row r="68" spans="1:13" x14ac:dyDescent="0.15">
      <c r="A68" s="79" t="s">
        <v>300</v>
      </c>
      <c r="B68" s="80">
        <v>15031</v>
      </c>
      <c r="C68" s="81" t="str">
        <f ca="1">VLOOKUP($B68,OFFSET([2]quests!$A$1,0,0,COUNTA([2]quests!$A:$A),MATCH(C$1,[2]quests!$1:$1,0)-MATCH($B$1,[2]quests!$1:$1,0)+1),MATCH(C$1,[2]quests!$1:$1,0)-MATCH($B$1,[2]quests!$1:$1,0)+1,FALSE)</f>
        <v>31. 桜花乱城</v>
      </c>
      <c r="D68" s="81" t="str">
        <f ca="1">VLOOKUP($B68,OFFSET([2]quests!$A$1,0,0,COUNTA([2]quests!$A:$A),MATCH(D$1,[2]quests!$1:$1,0)-MATCH($B$1,[2]quests!$1:$1,0)+1),MATCH(D$1,[2]quests!$1:$1,0)-MATCH($B$1,[2]quests!$1:$1,0)+1,FALSE)</f>
        <v>混色DL6</v>
      </c>
      <c r="E68" s="85">
        <v>3</v>
      </c>
      <c r="F68" s="81" t="str">
        <f ca="1">VLOOKUP($B68&amp;"_"&amp;$E68,OFFSET([2]stages!$A$1,0,0,COUNTA([2]stages!$A:$A),MATCH(F$1,[2]stages!$2:$2,0)-MATCH("temp_stage",[2]stages!$2:$2,0)+1),MATCH(F$1,[2]stages!$2:$2,0)-MATCH("temp_stage",[2]stages!$2:$2,0)+1,FALSE)</f>
        <v>31-3. 神域の試練</v>
      </c>
      <c r="G68" s="81" t="str">
        <f ca="1">VLOOKUP($B68&amp;"_"&amp;$E68,OFFSET([2]stages!$A$1,0,0,COUNTA([2]stages!$A:$A),MATCH(G$1,[2]stages!$2:$2,0)-MATCH("temp_stage",[2]stages!$2:$2,0)+1),MATCH(G$1,[2]stages!$2:$2,0)-MATCH("temp_stage",[2]stages!$2:$2,0)+1,FALSE)</f>
        <v>混色DL6</v>
      </c>
      <c r="H68" s="83">
        <v>0</v>
      </c>
      <c r="I68">
        <v>12</v>
      </c>
      <c r="J68" s="82" t="s">
        <v>305</v>
      </c>
      <c r="K68" s="143" t="s">
        <v>424</v>
      </c>
      <c r="L68" s="144" t="s">
        <v>425</v>
      </c>
      <c r="M68" s="54" t="s">
        <v>302</v>
      </c>
    </row>
    <row r="69" spans="1:13" x14ac:dyDescent="0.15">
      <c r="A69" s="79" t="s">
        <v>300</v>
      </c>
      <c r="B69" s="80">
        <v>15031</v>
      </c>
      <c r="C69" s="81" t="str">
        <f ca="1">VLOOKUP($B69,OFFSET([2]quests!$A$1,0,0,COUNTA([2]quests!$A:$A),MATCH(C$1,[2]quests!$1:$1,0)-MATCH($B$1,[2]quests!$1:$1,0)+1),MATCH(C$1,[2]quests!$1:$1,0)-MATCH($B$1,[2]quests!$1:$1,0)+1,FALSE)</f>
        <v>31. 桜花乱城</v>
      </c>
      <c r="D69" s="81" t="str">
        <f ca="1">VLOOKUP($B69,OFFSET([2]quests!$A$1,0,0,COUNTA([2]quests!$A:$A),MATCH(D$1,[2]quests!$1:$1,0)-MATCH($B$1,[2]quests!$1:$1,0)+1),MATCH(D$1,[2]quests!$1:$1,0)-MATCH($B$1,[2]quests!$1:$1,0)+1,FALSE)</f>
        <v>混色DL6</v>
      </c>
      <c r="E69" s="85">
        <v>3</v>
      </c>
      <c r="F69" s="81" t="str">
        <f ca="1">VLOOKUP($B69&amp;"_"&amp;$E69,OFFSET([2]stages!$A$1,0,0,COUNTA([2]stages!$A:$A),MATCH(F$1,[2]stages!$2:$2,0)-MATCH("temp_stage",[2]stages!$2:$2,0)+1),MATCH(F$1,[2]stages!$2:$2,0)-MATCH("temp_stage",[2]stages!$2:$2,0)+1,FALSE)</f>
        <v>31-3. 神域の試練</v>
      </c>
      <c r="G69" s="81" t="str">
        <f ca="1">VLOOKUP($B69&amp;"_"&amp;$E69,OFFSET([2]stages!$A$1,0,0,COUNTA([2]stages!$A:$A),MATCH(G$1,[2]stages!$2:$2,0)-MATCH("temp_stage",[2]stages!$2:$2,0)+1),MATCH(G$1,[2]stages!$2:$2,0)-MATCH("temp_stage",[2]stages!$2:$2,0)+1,FALSE)</f>
        <v>混色DL6</v>
      </c>
      <c r="H69" s="83">
        <v>0</v>
      </c>
      <c r="I69">
        <v>17</v>
      </c>
      <c r="J69" s="82" t="s">
        <v>305</v>
      </c>
      <c r="K69" s="143" t="s">
        <v>434</v>
      </c>
      <c r="L69" s="144" t="s">
        <v>435</v>
      </c>
      <c r="M69" s="54" t="s">
        <v>302</v>
      </c>
    </row>
    <row r="70" spans="1:13" x14ac:dyDescent="0.15">
      <c r="A70" s="79" t="s">
        <v>300</v>
      </c>
      <c r="B70" s="80">
        <v>15031</v>
      </c>
      <c r="C70" s="81" t="str">
        <f ca="1">VLOOKUP($B70,OFFSET([2]quests!$A$1,0,0,COUNTA([2]quests!$A:$A),MATCH(C$1,[2]quests!$1:$1,0)-MATCH($B$1,[2]quests!$1:$1,0)+1),MATCH(C$1,[2]quests!$1:$1,0)-MATCH($B$1,[2]quests!$1:$1,0)+1,FALSE)</f>
        <v>31. 桜花乱城</v>
      </c>
      <c r="D70" s="81" t="str">
        <f ca="1">VLOOKUP($B70,OFFSET([2]quests!$A$1,0,0,COUNTA([2]quests!$A:$A),MATCH(D$1,[2]quests!$1:$1,0)-MATCH($B$1,[2]quests!$1:$1,0)+1),MATCH(D$1,[2]quests!$1:$1,0)-MATCH($B$1,[2]quests!$1:$1,0)+1,FALSE)</f>
        <v>混色DL6</v>
      </c>
      <c r="E70" s="85">
        <v>3</v>
      </c>
      <c r="F70" s="81" t="str">
        <f ca="1">VLOOKUP($B70&amp;"_"&amp;$E70,OFFSET([2]stages!$A$1,0,0,COUNTA([2]stages!$A:$A),MATCH(F$1,[2]stages!$2:$2,0)-MATCH("temp_stage",[2]stages!$2:$2,0)+1),MATCH(F$1,[2]stages!$2:$2,0)-MATCH("temp_stage",[2]stages!$2:$2,0)+1,FALSE)</f>
        <v>31-3. 神域の試練</v>
      </c>
      <c r="G70" s="81" t="str">
        <f ca="1">VLOOKUP($B70&amp;"_"&amp;$E70,OFFSET([2]stages!$A$1,0,0,COUNTA([2]stages!$A:$A),MATCH(G$1,[2]stages!$2:$2,0)-MATCH("temp_stage",[2]stages!$2:$2,0)+1),MATCH(G$1,[2]stages!$2:$2,0)-MATCH("temp_stage",[2]stages!$2:$2,0)+1,FALSE)</f>
        <v>混色DL6</v>
      </c>
      <c r="H70" s="83">
        <v>0</v>
      </c>
      <c r="I70">
        <v>19</v>
      </c>
      <c r="J70" s="82" t="s">
        <v>305</v>
      </c>
      <c r="K70" s="143" t="s">
        <v>438</v>
      </c>
      <c r="L70" s="144" t="s">
        <v>439</v>
      </c>
      <c r="M70" s="54" t="s">
        <v>317</v>
      </c>
    </row>
    <row r="71" spans="1:13" x14ac:dyDescent="0.15">
      <c r="A71" s="79" t="s">
        <v>300</v>
      </c>
      <c r="B71" s="80">
        <v>15031</v>
      </c>
      <c r="C71" s="81" t="str">
        <f ca="1">VLOOKUP($B71,OFFSET([2]quests!$A$1,0,0,COUNTA([2]quests!$A:$A),MATCH(C$1,[2]quests!$1:$1,0)-MATCH($B$1,[2]quests!$1:$1,0)+1),MATCH(C$1,[2]quests!$1:$1,0)-MATCH($B$1,[2]quests!$1:$1,0)+1,FALSE)</f>
        <v>31. 桜花乱城</v>
      </c>
      <c r="D71" s="81" t="str">
        <f ca="1">VLOOKUP($B71,OFFSET([2]quests!$A$1,0,0,COUNTA([2]quests!$A:$A),MATCH(D$1,[2]quests!$1:$1,0)-MATCH($B$1,[2]quests!$1:$1,0)+1),MATCH(D$1,[2]quests!$1:$1,0)-MATCH($B$1,[2]quests!$1:$1,0)+1,FALSE)</f>
        <v>混色DL6</v>
      </c>
      <c r="E71" s="85">
        <v>3</v>
      </c>
      <c r="F71" s="81" t="str">
        <f ca="1">VLOOKUP($B71&amp;"_"&amp;$E71,OFFSET([2]stages!$A$1,0,0,COUNTA([2]stages!$A:$A),MATCH(F$1,[2]stages!$2:$2,0)-MATCH("temp_stage",[2]stages!$2:$2,0)+1),MATCH(F$1,[2]stages!$2:$2,0)-MATCH("temp_stage",[2]stages!$2:$2,0)+1,FALSE)</f>
        <v>31-3. 神域の試練</v>
      </c>
      <c r="G71" s="81" t="str">
        <f ca="1">VLOOKUP($B71&amp;"_"&amp;$E71,OFFSET([2]stages!$A$1,0,0,COUNTA([2]stages!$A:$A),MATCH(G$1,[2]stages!$2:$2,0)-MATCH("temp_stage",[2]stages!$2:$2,0)+1),MATCH(G$1,[2]stages!$2:$2,0)-MATCH("temp_stage",[2]stages!$2:$2,0)+1,FALSE)</f>
        <v>混色DL6</v>
      </c>
      <c r="H71" s="83">
        <v>0</v>
      </c>
      <c r="I71">
        <v>21</v>
      </c>
      <c r="J71" s="82" t="s">
        <v>310</v>
      </c>
      <c r="K71" s="143" t="s">
        <v>442</v>
      </c>
      <c r="L71" s="144" t="s">
        <v>443</v>
      </c>
      <c r="M71" s="54" t="s">
        <v>318</v>
      </c>
    </row>
    <row r="72" spans="1:13" x14ac:dyDescent="0.15">
      <c r="A72" s="79" t="s">
        <v>300</v>
      </c>
      <c r="B72" s="80">
        <v>15031</v>
      </c>
      <c r="C72" s="81" t="str">
        <f ca="1">VLOOKUP($B72,OFFSET([2]quests!$A$1,0,0,COUNTA([2]quests!$A:$A),MATCH(C$1,[2]quests!$1:$1,0)-MATCH($B$1,[2]quests!$1:$1,0)+1),MATCH(C$1,[2]quests!$1:$1,0)-MATCH($B$1,[2]quests!$1:$1,0)+1,FALSE)</f>
        <v>31. 桜花乱城</v>
      </c>
      <c r="D72" s="81" t="str">
        <f ca="1">VLOOKUP($B72,OFFSET([2]quests!$A$1,0,0,COUNTA([2]quests!$A:$A),MATCH(D$1,[2]quests!$1:$1,0)-MATCH($B$1,[2]quests!$1:$1,0)+1),MATCH(D$1,[2]quests!$1:$1,0)-MATCH($B$1,[2]quests!$1:$1,0)+1,FALSE)</f>
        <v>混色DL6</v>
      </c>
      <c r="E72" s="85">
        <v>3</v>
      </c>
      <c r="F72" s="81" t="str">
        <f ca="1">VLOOKUP($B72&amp;"_"&amp;$E72,OFFSET([2]stages!$A$1,0,0,COUNTA([2]stages!$A:$A),MATCH(F$1,[2]stages!$2:$2,0)-MATCH("temp_stage",[2]stages!$2:$2,0)+1),MATCH(F$1,[2]stages!$2:$2,0)-MATCH("temp_stage",[2]stages!$2:$2,0)+1,FALSE)</f>
        <v>31-3. 神域の試練</v>
      </c>
      <c r="G72" s="81" t="str">
        <f ca="1">VLOOKUP($B72&amp;"_"&amp;$E72,OFFSET([2]stages!$A$1,0,0,COUNTA([2]stages!$A:$A),MATCH(G$1,[2]stages!$2:$2,0)-MATCH("temp_stage",[2]stages!$2:$2,0)+1),MATCH(G$1,[2]stages!$2:$2,0)-MATCH("temp_stage",[2]stages!$2:$2,0)+1,FALSE)</f>
        <v>混色DL6</v>
      </c>
      <c r="H72" s="83">
        <v>0</v>
      </c>
      <c r="I72">
        <v>27</v>
      </c>
      <c r="J72" s="82" t="s">
        <v>305</v>
      </c>
      <c r="K72" s="143" t="s">
        <v>454</v>
      </c>
      <c r="L72" s="144" t="s">
        <v>455</v>
      </c>
      <c r="M72" s="54" t="s">
        <v>302</v>
      </c>
    </row>
    <row r="73" spans="1:13" x14ac:dyDescent="0.15">
      <c r="A73" s="79" t="s">
        <v>300</v>
      </c>
      <c r="B73" s="80">
        <v>15031</v>
      </c>
      <c r="C73" s="81" t="str">
        <f ca="1">VLOOKUP($B73,OFFSET([2]quests!$A$1,0,0,COUNTA([2]quests!$A:$A),MATCH(C$1,[2]quests!$1:$1,0)-MATCH($B$1,[2]quests!$1:$1,0)+1),MATCH(C$1,[2]quests!$1:$1,0)-MATCH($B$1,[2]quests!$1:$1,0)+1,FALSE)</f>
        <v>31. 桜花乱城</v>
      </c>
      <c r="D73" s="81" t="str">
        <f ca="1">VLOOKUP($B73,OFFSET([2]quests!$A$1,0,0,COUNTA([2]quests!$A:$A),MATCH(D$1,[2]quests!$1:$1,0)-MATCH($B$1,[2]quests!$1:$1,0)+1),MATCH(D$1,[2]quests!$1:$1,0)-MATCH($B$1,[2]quests!$1:$1,0)+1,FALSE)</f>
        <v>混色DL6</v>
      </c>
      <c r="E73" s="85">
        <v>3</v>
      </c>
      <c r="F73" s="81" t="str">
        <f ca="1">VLOOKUP($B73&amp;"_"&amp;$E73,OFFSET([2]stages!$A$1,0,0,COUNTA([2]stages!$A:$A),MATCH(F$1,[2]stages!$2:$2,0)-MATCH("temp_stage",[2]stages!$2:$2,0)+1),MATCH(F$1,[2]stages!$2:$2,0)-MATCH("temp_stage",[2]stages!$2:$2,0)+1,FALSE)</f>
        <v>31-3. 神域の試練</v>
      </c>
      <c r="G73" s="81" t="str">
        <f ca="1">VLOOKUP($B73&amp;"_"&amp;$E73,OFFSET([2]stages!$A$1,0,0,COUNTA([2]stages!$A:$A),MATCH(G$1,[2]stages!$2:$2,0)-MATCH("temp_stage",[2]stages!$2:$2,0)+1),MATCH(G$1,[2]stages!$2:$2,0)-MATCH("temp_stage",[2]stages!$2:$2,0)+1,FALSE)</f>
        <v>混色DL6</v>
      </c>
      <c r="H73" s="83">
        <v>0</v>
      </c>
      <c r="I73">
        <v>28</v>
      </c>
      <c r="J73" s="82" t="s">
        <v>319</v>
      </c>
      <c r="K73" s="143" t="s">
        <v>456</v>
      </c>
      <c r="L73" s="144" t="s">
        <v>457</v>
      </c>
      <c r="M73" s="54" t="s">
        <v>302</v>
      </c>
    </row>
    <row r="74" spans="1:13" x14ac:dyDescent="0.15">
      <c r="A74" s="79" t="s">
        <v>300</v>
      </c>
      <c r="B74" s="80">
        <v>15031</v>
      </c>
      <c r="C74" s="81" t="str">
        <f ca="1">VLOOKUP($B74,OFFSET([2]quests!$A$1,0,0,COUNTA([2]quests!$A:$A),MATCH(C$1,[2]quests!$1:$1,0)-MATCH($B$1,[2]quests!$1:$1,0)+1),MATCH(C$1,[2]quests!$1:$1,0)-MATCH($B$1,[2]quests!$1:$1,0)+1,FALSE)</f>
        <v>31. 桜花乱城</v>
      </c>
      <c r="D74" s="81" t="str">
        <f ca="1">VLOOKUP($B74,OFFSET([2]quests!$A$1,0,0,COUNTA([2]quests!$A:$A),MATCH(D$1,[2]quests!$1:$1,0)-MATCH($B$1,[2]quests!$1:$1,0)+1),MATCH(D$1,[2]quests!$1:$1,0)-MATCH($B$1,[2]quests!$1:$1,0)+1,FALSE)</f>
        <v>混色DL6</v>
      </c>
      <c r="E74" s="85">
        <v>3</v>
      </c>
      <c r="F74" s="81" t="str">
        <f ca="1">VLOOKUP($B74&amp;"_"&amp;$E74,OFFSET([2]stages!$A$1,0,0,COUNTA([2]stages!$A:$A),MATCH(F$1,[2]stages!$2:$2,0)-MATCH("temp_stage",[2]stages!$2:$2,0)+1),MATCH(F$1,[2]stages!$2:$2,0)-MATCH("temp_stage",[2]stages!$2:$2,0)+1,FALSE)</f>
        <v>31-3. 神域の試練</v>
      </c>
      <c r="G74" s="81" t="str">
        <f ca="1">VLOOKUP($B74&amp;"_"&amp;$E74,OFFSET([2]stages!$A$1,0,0,COUNTA([2]stages!$A:$A),MATCH(G$1,[2]stages!$2:$2,0)-MATCH("temp_stage",[2]stages!$2:$2,0)+1),MATCH(G$1,[2]stages!$2:$2,0)-MATCH("temp_stage",[2]stages!$2:$2,0)+1,FALSE)</f>
        <v>混色DL6</v>
      </c>
      <c r="H74" s="83">
        <v>0</v>
      </c>
      <c r="I74">
        <v>29</v>
      </c>
      <c r="J74" s="82" t="s">
        <v>305</v>
      </c>
      <c r="K74" s="143" t="s">
        <v>458</v>
      </c>
      <c r="L74" s="144" t="s">
        <v>459</v>
      </c>
      <c r="M74" s="54" t="s">
        <v>302</v>
      </c>
    </row>
    <row r="75" spans="1:13" x14ac:dyDescent="0.15">
      <c r="A75" s="79" t="s">
        <v>300</v>
      </c>
      <c r="B75" s="80">
        <v>15031</v>
      </c>
      <c r="C75" s="81" t="str">
        <f ca="1">VLOOKUP($B75,OFFSET([2]quests!$A$1,0,0,COUNTA([2]quests!$A:$A),MATCH(C$1,[2]quests!$1:$1,0)-MATCH($B$1,[2]quests!$1:$1,0)+1),MATCH(C$1,[2]quests!$1:$1,0)-MATCH($B$1,[2]quests!$1:$1,0)+1,FALSE)</f>
        <v>31. 桜花乱城</v>
      </c>
      <c r="D75" s="81" t="str">
        <f ca="1">VLOOKUP($B75,OFFSET([2]quests!$A$1,0,0,COUNTA([2]quests!$A:$A),MATCH(D$1,[2]quests!$1:$1,0)-MATCH($B$1,[2]quests!$1:$1,0)+1),MATCH(D$1,[2]quests!$1:$1,0)-MATCH($B$1,[2]quests!$1:$1,0)+1,FALSE)</f>
        <v>混色DL6</v>
      </c>
      <c r="E75" s="85">
        <v>3</v>
      </c>
      <c r="F75" s="81" t="str">
        <f ca="1">VLOOKUP($B75&amp;"_"&amp;$E75,OFFSET([2]stages!$A$1,0,0,COUNTA([2]stages!$A:$A),MATCH(F$1,[2]stages!$2:$2,0)-MATCH("temp_stage",[2]stages!$2:$2,0)+1),MATCH(F$1,[2]stages!$2:$2,0)-MATCH("temp_stage",[2]stages!$2:$2,0)+1,FALSE)</f>
        <v>31-3. 神域の試練</v>
      </c>
      <c r="G75" s="81" t="str">
        <f ca="1">VLOOKUP($B75&amp;"_"&amp;$E75,OFFSET([2]stages!$A$1,0,0,COUNTA([2]stages!$A:$A),MATCH(G$1,[2]stages!$2:$2,0)-MATCH("temp_stage",[2]stages!$2:$2,0)+1),MATCH(G$1,[2]stages!$2:$2,0)-MATCH("temp_stage",[2]stages!$2:$2,0)+1,FALSE)</f>
        <v>混色DL6</v>
      </c>
      <c r="H75" s="83">
        <v>0</v>
      </c>
      <c r="I75">
        <v>30</v>
      </c>
      <c r="J75" s="82" t="s">
        <v>305</v>
      </c>
      <c r="K75" s="143" t="s">
        <v>460</v>
      </c>
      <c r="L75" s="144" t="s">
        <v>461</v>
      </c>
      <c r="M75" s="54" t="s">
        <v>303</v>
      </c>
    </row>
    <row r="76" spans="1:13" x14ac:dyDescent="0.15">
      <c r="A76" s="79" t="s">
        <v>300</v>
      </c>
      <c r="B76" s="80">
        <v>15031</v>
      </c>
      <c r="C76" s="81" t="str">
        <f ca="1">VLOOKUP($B76,OFFSET([2]quests!$A$1,0,0,COUNTA([2]quests!$A:$A),MATCH(C$1,[2]quests!$1:$1,0)-MATCH($B$1,[2]quests!$1:$1,0)+1),MATCH(C$1,[2]quests!$1:$1,0)-MATCH($B$1,[2]quests!$1:$1,0)+1,FALSE)</f>
        <v>31. 桜花乱城</v>
      </c>
      <c r="D76" s="81" t="str">
        <f ca="1">VLOOKUP($B76,OFFSET([2]quests!$A$1,0,0,COUNTA([2]quests!$A:$A),MATCH(D$1,[2]quests!$1:$1,0)-MATCH($B$1,[2]quests!$1:$1,0)+1),MATCH(D$1,[2]quests!$1:$1,0)-MATCH($B$1,[2]quests!$1:$1,0)+1,FALSE)</f>
        <v>混色DL6</v>
      </c>
      <c r="E76" s="85">
        <v>3</v>
      </c>
      <c r="F76" s="81" t="str">
        <f ca="1">VLOOKUP($B76&amp;"_"&amp;$E76,OFFSET([2]stages!$A$1,0,0,COUNTA([2]stages!$A:$A),MATCH(F$1,[2]stages!$2:$2,0)-MATCH("temp_stage",[2]stages!$2:$2,0)+1),MATCH(F$1,[2]stages!$2:$2,0)-MATCH("temp_stage",[2]stages!$2:$2,0)+1,FALSE)</f>
        <v>31-3. 神域の試練</v>
      </c>
      <c r="G76" s="81" t="str">
        <f ca="1">VLOOKUP($B76&amp;"_"&amp;$E76,OFFSET([2]stages!$A$1,0,0,COUNTA([2]stages!$A:$A),MATCH(G$1,[2]stages!$2:$2,0)-MATCH("temp_stage",[2]stages!$2:$2,0)+1),MATCH(G$1,[2]stages!$2:$2,0)-MATCH("temp_stage",[2]stages!$2:$2,0)+1,FALSE)</f>
        <v>混色DL6</v>
      </c>
      <c r="H76" s="83">
        <v>0</v>
      </c>
      <c r="I76">
        <v>32</v>
      </c>
      <c r="J76" s="82" t="s">
        <v>320</v>
      </c>
      <c r="K76" s="143" t="s">
        <v>464</v>
      </c>
      <c r="L76" s="144" t="s">
        <v>465</v>
      </c>
      <c r="M76" s="54" t="s">
        <v>321</v>
      </c>
    </row>
    <row r="77" spans="1:13" x14ac:dyDescent="0.15">
      <c r="A77" s="79" t="s">
        <v>300</v>
      </c>
      <c r="B77" s="80">
        <v>15031</v>
      </c>
      <c r="C77" s="81" t="str">
        <f ca="1">VLOOKUP($B77,OFFSET([2]quests!$A$1,0,0,COUNTA([2]quests!$A:$A),MATCH(C$1,[2]quests!$1:$1,0)-MATCH($B$1,[2]quests!$1:$1,0)+1),MATCH(C$1,[2]quests!$1:$1,0)-MATCH($B$1,[2]quests!$1:$1,0)+1,FALSE)</f>
        <v>31. 桜花乱城</v>
      </c>
      <c r="D77" s="81" t="str">
        <f ca="1">VLOOKUP($B77,OFFSET([2]quests!$A$1,0,0,COUNTA([2]quests!$A:$A),MATCH(D$1,[2]quests!$1:$1,0)-MATCH($B$1,[2]quests!$1:$1,0)+1),MATCH(D$1,[2]quests!$1:$1,0)-MATCH($B$1,[2]quests!$1:$1,0)+1,FALSE)</f>
        <v>混色DL6</v>
      </c>
      <c r="E77" s="85">
        <v>3</v>
      </c>
      <c r="F77" s="81" t="str">
        <f ca="1">VLOOKUP($B77&amp;"_"&amp;$E77,OFFSET([2]stages!$A$1,0,0,COUNTA([2]stages!$A:$A),MATCH(F$1,[2]stages!$2:$2,0)-MATCH("temp_stage",[2]stages!$2:$2,0)+1),MATCH(F$1,[2]stages!$2:$2,0)-MATCH("temp_stage",[2]stages!$2:$2,0)+1,FALSE)</f>
        <v>31-3. 神域の試練</v>
      </c>
      <c r="G77" s="81" t="str">
        <f ca="1">VLOOKUP($B77&amp;"_"&amp;$E77,OFFSET([2]stages!$A$1,0,0,COUNTA([2]stages!$A:$A),MATCH(G$1,[2]stages!$2:$2,0)-MATCH("temp_stage",[2]stages!$2:$2,0)+1),MATCH(G$1,[2]stages!$2:$2,0)-MATCH("temp_stage",[2]stages!$2:$2,0)+1,FALSE)</f>
        <v>混色DL6</v>
      </c>
      <c r="H77" s="83">
        <v>0</v>
      </c>
      <c r="I77">
        <v>33</v>
      </c>
      <c r="J77" s="82" t="s">
        <v>305</v>
      </c>
      <c r="K77" s="143" t="s">
        <v>466</v>
      </c>
      <c r="L77" s="144" t="s">
        <v>467</v>
      </c>
      <c r="M77" s="54" t="s">
        <v>302</v>
      </c>
    </row>
    <row r="78" spans="1:13" x14ac:dyDescent="0.15">
      <c r="A78" s="79" t="s">
        <v>300</v>
      </c>
      <c r="B78" s="80">
        <v>15031</v>
      </c>
      <c r="C78" s="81" t="str">
        <f ca="1">VLOOKUP($B78,OFFSET([2]quests!$A$1,0,0,COUNTA([2]quests!$A:$A),MATCH(C$1,[2]quests!$1:$1,0)-MATCH($B$1,[2]quests!$1:$1,0)+1),MATCH(C$1,[2]quests!$1:$1,0)-MATCH($B$1,[2]quests!$1:$1,0)+1,FALSE)</f>
        <v>31. 桜花乱城</v>
      </c>
      <c r="D78" s="81" t="str">
        <f ca="1">VLOOKUP($B78,OFFSET([2]quests!$A$1,0,0,COUNTA([2]quests!$A:$A),MATCH(D$1,[2]quests!$1:$1,0)-MATCH($B$1,[2]quests!$1:$1,0)+1),MATCH(D$1,[2]quests!$1:$1,0)-MATCH($B$1,[2]quests!$1:$1,0)+1,FALSE)</f>
        <v>混色DL6</v>
      </c>
      <c r="E78" s="85">
        <v>3</v>
      </c>
      <c r="F78" s="81" t="str">
        <f ca="1">VLOOKUP($B78&amp;"_"&amp;$E78,OFFSET([2]stages!$A$1,0,0,COUNTA([2]stages!$A:$A),MATCH(F$1,[2]stages!$2:$2,0)-MATCH("temp_stage",[2]stages!$2:$2,0)+1),MATCH(F$1,[2]stages!$2:$2,0)-MATCH("temp_stage",[2]stages!$2:$2,0)+1,FALSE)</f>
        <v>31-3. 神域の試練</v>
      </c>
      <c r="G78" s="81" t="str">
        <f ca="1">VLOOKUP($B78&amp;"_"&amp;$E78,OFFSET([2]stages!$A$1,0,0,COUNTA([2]stages!$A:$A),MATCH(G$1,[2]stages!$2:$2,0)-MATCH("temp_stage",[2]stages!$2:$2,0)+1),MATCH(G$1,[2]stages!$2:$2,0)-MATCH("temp_stage",[2]stages!$2:$2,0)+1,FALSE)</f>
        <v>混色DL6</v>
      </c>
      <c r="H78" s="83">
        <v>0</v>
      </c>
      <c r="I78">
        <v>34</v>
      </c>
      <c r="J78" s="82" t="s">
        <v>305</v>
      </c>
      <c r="K78" s="143" t="s">
        <v>468</v>
      </c>
      <c r="L78" s="144" t="s">
        <v>469</v>
      </c>
      <c r="M78" s="54" t="s">
        <v>302</v>
      </c>
    </row>
    <row r="79" spans="1:13" x14ac:dyDescent="0.15">
      <c r="A79" s="79" t="s">
        <v>300</v>
      </c>
      <c r="B79" s="80">
        <v>15031</v>
      </c>
      <c r="C79" s="81" t="str">
        <f ca="1">VLOOKUP($B79,OFFSET([2]quests!$A$1,0,0,COUNTA([2]quests!$A:$A),MATCH(C$1,[2]quests!$1:$1,0)-MATCH($B$1,[2]quests!$1:$1,0)+1),MATCH(C$1,[2]quests!$1:$1,0)-MATCH($B$1,[2]quests!$1:$1,0)+1,FALSE)</f>
        <v>31. 桜花乱城</v>
      </c>
      <c r="D79" s="81" t="str">
        <f ca="1">VLOOKUP($B79,OFFSET([2]quests!$A$1,0,0,COUNTA([2]quests!$A:$A),MATCH(D$1,[2]quests!$1:$1,0)-MATCH($B$1,[2]quests!$1:$1,0)+1),MATCH(D$1,[2]quests!$1:$1,0)-MATCH($B$1,[2]quests!$1:$1,0)+1,FALSE)</f>
        <v>混色DL6</v>
      </c>
      <c r="E79" s="85">
        <v>3</v>
      </c>
      <c r="F79" s="81" t="str">
        <f ca="1">VLOOKUP($B79&amp;"_"&amp;$E79,OFFSET([2]stages!$A$1,0,0,COUNTA([2]stages!$A:$A),MATCH(F$1,[2]stages!$2:$2,0)-MATCH("temp_stage",[2]stages!$2:$2,0)+1),MATCH(F$1,[2]stages!$2:$2,0)-MATCH("temp_stage",[2]stages!$2:$2,0)+1,FALSE)</f>
        <v>31-3. 神域の試練</v>
      </c>
      <c r="G79" s="81" t="str">
        <f ca="1">VLOOKUP($B79&amp;"_"&amp;$E79,OFFSET([2]stages!$A$1,0,0,COUNTA([2]stages!$A:$A),MATCH(G$1,[2]stages!$2:$2,0)-MATCH("temp_stage",[2]stages!$2:$2,0)+1),MATCH(G$1,[2]stages!$2:$2,0)-MATCH("temp_stage",[2]stages!$2:$2,0)+1,FALSE)</f>
        <v>混色DL6</v>
      </c>
      <c r="H79" s="83">
        <v>0</v>
      </c>
      <c r="I79">
        <v>35</v>
      </c>
      <c r="J79" s="82" t="s">
        <v>305</v>
      </c>
      <c r="K79" s="143" t="s">
        <v>470</v>
      </c>
      <c r="L79" s="144" t="s">
        <v>471</v>
      </c>
      <c r="M79" s="54" t="s">
        <v>302</v>
      </c>
    </row>
    <row r="80" spans="1:13" x14ac:dyDescent="0.15">
      <c r="A80" s="79" t="s">
        <v>300</v>
      </c>
      <c r="B80" s="80">
        <v>15031</v>
      </c>
      <c r="C80" s="81" t="str">
        <f ca="1">VLOOKUP($B80,OFFSET([2]quests!$A$1,0,0,COUNTA([2]quests!$A:$A),MATCH(C$1,[2]quests!$1:$1,0)-MATCH($B$1,[2]quests!$1:$1,0)+1),MATCH(C$1,[2]quests!$1:$1,0)-MATCH($B$1,[2]quests!$1:$1,0)+1,FALSE)</f>
        <v>31. 桜花乱城</v>
      </c>
      <c r="D80" s="81" t="str">
        <f ca="1">VLOOKUP($B80,OFFSET([2]quests!$A$1,0,0,COUNTA([2]quests!$A:$A),MATCH(D$1,[2]quests!$1:$1,0)-MATCH($B$1,[2]quests!$1:$1,0)+1),MATCH(D$1,[2]quests!$1:$1,0)-MATCH($B$1,[2]quests!$1:$1,0)+1,FALSE)</f>
        <v>混色DL6</v>
      </c>
      <c r="E80" s="85">
        <v>3</v>
      </c>
      <c r="F80" s="81" t="str">
        <f ca="1">VLOOKUP($B80&amp;"_"&amp;$E80,OFFSET([2]stages!$A$1,0,0,COUNTA([2]stages!$A:$A),MATCH(F$1,[2]stages!$2:$2,0)-MATCH("temp_stage",[2]stages!$2:$2,0)+1),MATCH(F$1,[2]stages!$2:$2,0)-MATCH("temp_stage",[2]stages!$2:$2,0)+1,FALSE)</f>
        <v>31-3. 神域の試練</v>
      </c>
      <c r="G80" s="81" t="str">
        <f ca="1">VLOOKUP($B80&amp;"_"&amp;$E80,OFFSET([2]stages!$A$1,0,0,COUNTA([2]stages!$A:$A),MATCH(G$1,[2]stages!$2:$2,0)-MATCH("temp_stage",[2]stages!$2:$2,0)+1),MATCH(G$1,[2]stages!$2:$2,0)-MATCH("temp_stage",[2]stages!$2:$2,0)+1,FALSE)</f>
        <v>混色DL6</v>
      </c>
      <c r="H80" s="83">
        <v>0</v>
      </c>
      <c r="I80">
        <v>36</v>
      </c>
      <c r="J80" s="82" t="s">
        <v>305</v>
      </c>
      <c r="K80" s="143" t="s">
        <v>474</v>
      </c>
      <c r="L80" s="144" t="s">
        <v>475</v>
      </c>
      <c r="M80" s="54" t="s">
        <v>302</v>
      </c>
    </row>
    <row r="81" spans="1:13" x14ac:dyDescent="0.15">
      <c r="A81" s="79" t="s">
        <v>300</v>
      </c>
      <c r="B81" s="80">
        <v>15031</v>
      </c>
      <c r="C81" s="81" t="str">
        <f ca="1">VLOOKUP($B81,OFFSET([2]quests!$A$1,0,0,COUNTA([2]quests!$A:$A),MATCH(C$1,[2]quests!$1:$1,0)-MATCH($B$1,[2]quests!$1:$1,0)+1),MATCH(C$1,[2]quests!$1:$1,0)-MATCH($B$1,[2]quests!$1:$1,0)+1,FALSE)</f>
        <v>31. 桜花乱城</v>
      </c>
      <c r="D81" s="81" t="str">
        <f ca="1">VLOOKUP($B81,OFFSET([2]quests!$A$1,0,0,COUNTA([2]quests!$A:$A),MATCH(D$1,[2]quests!$1:$1,0)-MATCH($B$1,[2]quests!$1:$1,0)+1),MATCH(D$1,[2]quests!$1:$1,0)-MATCH($B$1,[2]quests!$1:$1,0)+1,FALSE)</f>
        <v>混色DL6</v>
      </c>
      <c r="E81" s="85">
        <v>3</v>
      </c>
      <c r="F81" s="81" t="str">
        <f ca="1">VLOOKUP($B81&amp;"_"&amp;$E81,OFFSET([2]stages!$A$1,0,0,COUNTA([2]stages!$A:$A),MATCH(F$1,[2]stages!$2:$2,0)-MATCH("temp_stage",[2]stages!$2:$2,0)+1),MATCH(F$1,[2]stages!$2:$2,0)-MATCH("temp_stage",[2]stages!$2:$2,0)+1,FALSE)</f>
        <v>31-3. 神域の試練</v>
      </c>
      <c r="G81" s="81" t="str">
        <f ca="1">VLOOKUP($B81&amp;"_"&amp;$E81,OFFSET([2]stages!$A$1,0,0,COUNTA([2]stages!$A:$A),MATCH(G$1,[2]stages!$2:$2,0)-MATCH("temp_stage",[2]stages!$2:$2,0)+1),MATCH(G$1,[2]stages!$2:$2,0)-MATCH("temp_stage",[2]stages!$2:$2,0)+1,FALSE)</f>
        <v>混色DL6</v>
      </c>
      <c r="H81" s="83">
        <v>0</v>
      </c>
      <c r="I81">
        <v>37</v>
      </c>
      <c r="J81" s="82" t="s">
        <v>305</v>
      </c>
      <c r="K81" s="143" t="s">
        <v>476</v>
      </c>
      <c r="L81" s="144" t="s">
        <v>477</v>
      </c>
      <c r="M81" s="54" t="s">
        <v>302</v>
      </c>
    </row>
    <row r="82" spans="1:13" x14ac:dyDescent="0.15">
      <c r="A82" s="79" t="s">
        <v>300</v>
      </c>
      <c r="B82" s="80">
        <v>15031</v>
      </c>
      <c r="C82" s="81" t="str">
        <f ca="1">VLOOKUP($B82,OFFSET([2]quests!$A$1,0,0,COUNTA([2]quests!$A:$A),MATCH(C$1,[2]quests!$1:$1,0)-MATCH($B$1,[2]quests!$1:$1,0)+1),MATCH(C$1,[2]quests!$1:$1,0)-MATCH($B$1,[2]quests!$1:$1,0)+1,FALSE)</f>
        <v>31. 桜花乱城</v>
      </c>
      <c r="D82" s="81" t="str">
        <f ca="1">VLOOKUP($B82,OFFSET([2]quests!$A$1,0,0,COUNTA([2]quests!$A:$A),MATCH(D$1,[2]quests!$1:$1,0)-MATCH($B$1,[2]quests!$1:$1,0)+1),MATCH(D$1,[2]quests!$1:$1,0)-MATCH($B$1,[2]quests!$1:$1,0)+1,FALSE)</f>
        <v>混色DL6</v>
      </c>
      <c r="E82" s="85">
        <v>3</v>
      </c>
      <c r="F82" s="81" t="str">
        <f ca="1">VLOOKUP($B82&amp;"_"&amp;$E82,OFFSET([2]stages!$A$1,0,0,COUNTA([2]stages!$A:$A),MATCH(F$1,[2]stages!$2:$2,0)-MATCH("temp_stage",[2]stages!$2:$2,0)+1),MATCH(F$1,[2]stages!$2:$2,0)-MATCH("temp_stage",[2]stages!$2:$2,0)+1,FALSE)</f>
        <v>31-3. 神域の試練</v>
      </c>
      <c r="G82" s="81" t="str">
        <f ca="1">VLOOKUP($B82&amp;"_"&amp;$E82,OFFSET([2]stages!$A$1,0,0,COUNTA([2]stages!$A:$A),MATCH(G$1,[2]stages!$2:$2,0)-MATCH("temp_stage",[2]stages!$2:$2,0)+1),MATCH(G$1,[2]stages!$2:$2,0)-MATCH("temp_stage",[2]stages!$2:$2,0)+1,FALSE)</f>
        <v>混色DL6</v>
      </c>
      <c r="H82" s="83">
        <v>0</v>
      </c>
      <c r="I82">
        <v>39</v>
      </c>
      <c r="J82" s="82" t="s">
        <v>305</v>
      </c>
      <c r="K82" s="143" t="s">
        <v>472</v>
      </c>
      <c r="L82" s="144" t="s">
        <v>473</v>
      </c>
      <c r="M82" s="54" t="s">
        <v>302</v>
      </c>
    </row>
  </sheetData>
  <phoneticPr fontId="5"/>
  <dataValidations count="1">
    <dataValidation type="list" allowBlank="1" showInputMessage="1" showErrorMessage="1" sqref="A2:A8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8"/>
  <sheetViews>
    <sheetView showGridLines="0" workbookViewId="0">
      <pane ySplit="1" topLeftCell="A2" activePane="bottomLeft" state="frozen"/>
      <selection pane="bottomLeft" activeCell="K6" sqref="K6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4" t="s">
        <v>187</v>
      </c>
      <c r="B1" s="70" t="s">
        <v>150</v>
      </c>
      <c r="C1" s="75" t="s">
        <v>189</v>
      </c>
      <c r="D1" s="75" t="s">
        <v>32</v>
      </c>
      <c r="E1" s="70" t="s">
        <v>190</v>
      </c>
      <c r="F1" s="75" t="s">
        <v>17</v>
      </c>
      <c r="G1" s="75" t="s">
        <v>32</v>
      </c>
      <c r="H1" s="70" t="s">
        <v>192</v>
      </c>
      <c r="I1" s="87" t="s">
        <v>193</v>
      </c>
      <c r="J1" s="89" t="s">
        <v>194</v>
      </c>
      <c r="K1" s="77" t="s">
        <v>126</v>
      </c>
      <c r="L1" s="76" t="s">
        <v>186</v>
      </c>
      <c r="M1" s="90" t="s">
        <v>185</v>
      </c>
      <c r="N1" s="78" t="s">
        <v>195</v>
      </c>
    </row>
    <row r="2" spans="1:14" ht="42" x14ac:dyDescent="0.15">
      <c r="A2" s="79" t="s">
        <v>196</v>
      </c>
      <c r="B2" s="80">
        <v>15031</v>
      </c>
      <c r="C2" s="81" t="str">
        <f ca="1">VLOOKUP($B2,OFFSET([2]quests!$A$1,0,0,COUNTA([2]quests!$A:$A),MATCH(C$1,[2]quests!$1:$1,0)-MATCH($B$1,[2]quests!$1:$1,0)+1),MATCH(C$1,[2]quests!$1:$1,0)-MATCH($B$1,[2]quests!$1:$1,0)+1,FALSE)</f>
        <v>31. 桜花乱城</v>
      </c>
      <c r="D2" s="81" t="str">
        <f ca="1">VLOOKUP($B2,OFFSET([2]quests!$A$1,0,0,COUNTA([2]quests!$A:$A),MATCH(D$1,[2]quests!$1:$1,0)-MATCH($B$1,[2]quests!$1:$1,0)+1),MATCH(D$1,[2]quests!$1:$1,0)-MATCH($B$1,[2]quests!$1:$1,0)+1,FALSE)</f>
        <v>混色DL6</v>
      </c>
      <c r="E2" s="82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31-1. 忍び寄る影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混色DL6</v>
      </c>
      <c r="H2" s="83">
        <v>4</v>
      </c>
      <c r="I2" s="88">
        <f>ROW()-1</f>
        <v>1</v>
      </c>
      <c r="J2" s="84" t="str">
        <f>B2&amp;TEXT(I2,"00")</f>
        <v>1503101</v>
      </c>
      <c r="K2" s="82" t="s">
        <v>322</v>
      </c>
      <c r="L2" s="85" t="s">
        <v>197</v>
      </c>
      <c r="M2" s="146" t="s">
        <v>405</v>
      </c>
      <c r="N2" s="54" t="s">
        <v>323</v>
      </c>
    </row>
    <row r="3" spans="1:14" ht="42" x14ac:dyDescent="0.15">
      <c r="A3" s="79" t="s">
        <v>196</v>
      </c>
      <c r="B3" s="80">
        <v>15031</v>
      </c>
      <c r="C3" s="81" t="str">
        <f ca="1">VLOOKUP($B3,OFFSET([2]quests!$A$1,0,0,COUNTA([2]quests!$A:$A),MATCH(C$1,[2]quests!$1:$1,0)-MATCH($B$1,[2]quests!$1:$1,0)+1),MATCH(C$1,[2]quests!$1:$1,0)-MATCH($B$1,[2]quests!$1:$1,0)+1,FALSE)</f>
        <v>31. 桜花乱城</v>
      </c>
      <c r="D3" s="81" t="str">
        <f ca="1">VLOOKUP($B3,OFFSET([2]quests!$A$1,0,0,COUNTA([2]quests!$A:$A),MATCH(D$1,[2]quests!$1:$1,0)-MATCH($B$1,[2]quests!$1:$1,0)+1),MATCH(D$1,[2]quests!$1:$1,0)-MATCH($B$1,[2]quests!$1:$1,0)+1,FALSE)</f>
        <v>混色DL6</v>
      </c>
      <c r="E3" s="82">
        <v>1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31-1. 忍び寄る影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混色DL6</v>
      </c>
      <c r="H3" s="83">
        <v>4</v>
      </c>
      <c r="I3" s="88">
        <f>ROW()-1</f>
        <v>2</v>
      </c>
      <c r="J3" s="84" t="str">
        <f>B3&amp;TEXT(I3,"00")</f>
        <v>1503102</v>
      </c>
      <c r="K3" s="82" t="s">
        <v>322</v>
      </c>
      <c r="L3" s="85" t="s">
        <v>197</v>
      </c>
      <c r="M3" s="146" t="s">
        <v>406</v>
      </c>
      <c r="N3" s="54" t="s">
        <v>323</v>
      </c>
    </row>
    <row r="4" spans="1:14" ht="42" x14ac:dyDescent="0.15">
      <c r="A4" s="79" t="s">
        <v>196</v>
      </c>
      <c r="B4" s="80">
        <v>15031</v>
      </c>
      <c r="C4" s="81" t="str">
        <f ca="1">VLOOKUP($B4,OFFSET([2]quests!$A$1,0,0,COUNTA([2]quests!$A:$A),MATCH(C$1,[2]quests!$1:$1,0)-MATCH($B$1,[2]quests!$1:$1,0)+1),MATCH(C$1,[2]quests!$1:$1,0)-MATCH($B$1,[2]quests!$1:$1,0)+1,FALSE)</f>
        <v>31. 桜花乱城</v>
      </c>
      <c r="D4" s="81" t="str">
        <f ca="1">VLOOKUP($B4,OFFSET([2]quests!$A$1,0,0,COUNTA([2]quests!$A:$A),MATCH(D$1,[2]quests!$1:$1,0)-MATCH($B$1,[2]quests!$1:$1,0)+1),MATCH(D$1,[2]quests!$1:$1,0)-MATCH($B$1,[2]quests!$1:$1,0)+1,FALSE)</f>
        <v>混色DL6</v>
      </c>
      <c r="E4" s="82">
        <v>2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31-2. 赤鉄の将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混色DL6</v>
      </c>
      <c r="H4" s="83">
        <v>4</v>
      </c>
      <c r="I4" s="88">
        <f t="shared" ref="I4:I8" si="0">ROW()-1</f>
        <v>3</v>
      </c>
      <c r="J4" s="84" t="str">
        <f t="shared" ref="J4:J5" si="1">B4&amp;TEXT(I4,"00")</f>
        <v>1503103</v>
      </c>
      <c r="K4" s="82" t="s">
        <v>305</v>
      </c>
      <c r="L4" s="85" t="s">
        <v>197</v>
      </c>
      <c r="M4" s="146" t="s">
        <v>325</v>
      </c>
      <c r="N4" s="54" t="s">
        <v>303</v>
      </c>
    </row>
    <row r="5" spans="1:14" ht="42" x14ac:dyDescent="0.15">
      <c r="A5" s="79" t="s">
        <v>196</v>
      </c>
      <c r="B5" s="80">
        <v>15031</v>
      </c>
      <c r="C5" s="81" t="str">
        <f ca="1">VLOOKUP($B5,OFFSET([2]quests!$A$1,0,0,COUNTA([2]quests!$A:$A),MATCH(C$1,[2]quests!$1:$1,0)-MATCH($B$1,[2]quests!$1:$1,0)+1),MATCH(C$1,[2]quests!$1:$1,0)-MATCH($B$1,[2]quests!$1:$1,0)+1,FALSE)</f>
        <v>31. 桜花乱城</v>
      </c>
      <c r="D5" s="81" t="str">
        <f ca="1">VLOOKUP($B5,OFFSET([2]quests!$A$1,0,0,COUNTA([2]quests!$A:$A),MATCH(D$1,[2]quests!$1:$1,0)-MATCH($B$1,[2]quests!$1:$1,0)+1),MATCH(D$1,[2]quests!$1:$1,0)-MATCH($B$1,[2]quests!$1:$1,0)+1,FALSE)</f>
        <v>混色DL6</v>
      </c>
      <c r="E5" s="82">
        <v>3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31-3. 神域の試練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混色DL6</v>
      </c>
      <c r="H5" s="83">
        <v>5</v>
      </c>
      <c r="I5" s="88">
        <f t="shared" si="0"/>
        <v>4</v>
      </c>
      <c r="J5" s="84" t="str">
        <f t="shared" si="1"/>
        <v>1503104</v>
      </c>
      <c r="K5" s="82" t="s">
        <v>301</v>
      </c>
      <c r="L5" s="85" t="s">
        <v>197</v>
      </c>
      <c r="M5" s="146" t="s">
        <v>326</v>
      </c>
      <c r="N5" s="54" t="s">
        <v>303</v>
      </c>
    </row>
    <row r="6" spans="1:14" ht="42" x14ac:dyDescent="0.15">
      <c r="A6" s="79" t="s">
        <v>196</v>
      </c>
      <c r="B6" s="80">
        <v>15031</v>
      </c>
      <c r="C6" s="81" t="str">
        <f ca="1">VLOOKUP($B6,OFFSET([2]quests!$A$1,0,0,COUNTA([2]quests!$A:$A),MATCH(C$1,[2]quests!$1:$1,0)-MATCH($B$1,[2]quests!$1:$1,0)+1),MATCH(C$1,[2]quests!$1:$1,0)-MATCH($B$1,[2]quests!$1:$1,0)+1,FALSE)</f>
        <v>31. 桜花乱城</v>
      </c>
      <c r="D6" s="81" t="str">
        <f ca="1">VLOOKUP($B6,OFFSET([2]quests!$A$1,0,0,COUNTA([2]quests!$A:$A),MATCH(D$1,[2]quests!$1:$1,0)-MATCH($B$1,[2]quests!$1:$1,0)+1),MATCH(D$1,[2]quests!$1:$1,0)-MATCH($B$1,[2]quests!$1:$1,0)+1,FALSE)</f>
        <v>混色DL6</v>
      </c>
      <c r="E6" s="82">
        <v>3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31-3. 神域の試練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混色DL6</v>
      </c>
      <c r="H6" s="83">
        <v>5</v>
      </c>
      <c r="I6" s="88">
        <f t="shared" si="0"/>
        <v>5</v>
      </c>
      <c r="J6" s="84" t="str">
        <f t="shared" ref="J6" si="2">B6&amp;TEXT(I6,"00")</f>
        <v>1503105</v>
      </c>
      <c r="K6" s="82" t="s">
        <v>301</v>
      </c>
      <c r="L6" s="85" t="s">
        <v>197</v>
      </c>
      <c r="M6" s="146" t="s">
        <v>327</v>
      </c>
      <c r="N6" s="54" t="s">
        <v>303</v>
      </c>
    </row>
    <row r="7" spans="1:14" ht="42" x14ac:dyDescent="0.15">
      <c r="A7" s="79" t="s">
        <v>196</v>
      </c>
      <c r="B7" s="80">
        <v>15031</v>
      </c>
      <c r="C7" s="81" t="str">
        <f ca="1">VLOOKUP($B7,OFFSET([2]quests!$A$1,0,0,COUNTA([2]quests!$A:$A),MATCH(C$1,[2]quests!$1:$1,0)-MATCH($B$1,[2]quests!$1:$1,0)+1),MATCH(C$1,[2]quests!$1:$1,0)-MATCH($B$1,[2]quests!$1:$1,0)+1,FALSE)</f>
        <v>31. 桜花乱城</v>
      </c>
      <c r="D7" s="81" t="str">
        <f ca="1">VLOOKUP($B7,OFFSET([2]quests!$A$1,0,0,COUNTA([2]quests!$A:$A),MATCH(D$1,[2]quests!$1:$1,0)-MATCH($B$1,[2]quests!$1:$1,0)+1),MATCH(D$1,[2]quests!$1:$1,0)-MATCH($B$1,[2]quests!$1:$1,0)+1,FALSE)</f>
        <v>混色DL6</v>
      </c>
      <c r="E7" s="82">
        <v>3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>31-3. 神域の試練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混色DL6</v>
      </c>
      <c r="H7" s="83">
        <v>5</v>
      </c>
      <c r="I7" s="88">
        <f t="shared" si="0"/>
        <v>6</v>
      </c>
      <c r="J7" s="84" t="str">
        <f t="shared" ref="J7:J8" si="3">B7&amp;TEXT(I7,"00")</f>
        <v>1503106</v>
      </c>
      <c r="K7" s="82" t="s">
        <v>301</v>
      </c>
      <c r="L7" s="85" t="s">
        <v>197</v>
      </c>
      <c r="M7" s="146" t="s">
        <v>328</v>
      </c>
      <c r="N7" s="54" t="s">
        <v>303</v>
      </c>
    </row>
    <row r="8" spans="1:14" ht="42" x14ac:dyDescent="0.15">
      <c r="A8" s="79" t="s">
        <v>196</v>
      </c>
      <c r="B8" s="80">
        <v>15031</v>
      </c>
      <c r="C8" s="81" t="str">
        <f ca="1">VLOOKUP($B8,OFFSET([2]quests!$A$1,0,0,COUNTA([2]quests!$A:$A),MATCH(C$1,[2]quests!$1:$1,0)-MATCH($B$1,[2]quests!$1:$1,0)+1),MATCH(C$1,[2]quests!$1:$1,0)-MATCH($B$1,[2]quests!$1:$1,0)+1,FALSE)</f>
        <v>31. 桜花乱城</v>
      </c>
      <c r="D8" s="81" t="str">
        <f ca="1">VLOOKUP($B8,OFFSET([2]quests!$A$1,0,0,COUNTA([2]quests!$A:$A),MATCH(D$1,[2]quests!$1:$1,0)-MATCH($B$1,[2]quests!$1:$1,0)+1),MATCH(D$1,[2]quests!$1:$1,0)-MATCH($B$1,[2]quests!$1:$1,0)+1,FALSE)</f>
        <v>混色DL6</v>
      </c>
      <c r="E8" s="82">
        <v>3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>31-3. 神域の試練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混色DL6</v>
      </c>
      <c r="H8" s="83">
        <v>5</v>
      </c>
      <c r="I8" s="88">
        <f t="shared" si="0"/>
        <v>7</v>
      </c>
      <c r="J8" s="84" t="str">
        <f t="shared" si="3"/>
        <v>1503107</v>
      </c>
      <c r="K8" s="82" t="s">
        <v>301</v>
      </c>
      <c r="L8" s="85" t="s">
        <v>197</v>
      </c>
      <c r="M8" s="146" t="s">
        <v>329</v>
      </c>
      <c r="N8" s="54" t="s">
        <v>303</v>
      </c>
    </row>
  </sheetData>
  <phoneticPr fontId="5"/>
  <dataValidations count="1">
    <dataValidation type="list" allowBlank="1" showInputMessage="1" showErrorMessage="1" sqref="A2:A8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2017-04-20T02:14:31Z</dcterms:modified>
</cp:coreProperties>
</file>