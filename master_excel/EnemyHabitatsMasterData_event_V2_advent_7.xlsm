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28800" windowHeight="17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enemy_habitat_S!$B$1:$Y$1</definedName>
    <definedName name="_xlnm._FilterDatabase" localSheetId="2" hidden="1">enemy_habitats!$B$1:$AH$1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1" l="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2" i="21"/>
  <c r="G16" i="2"/>
  <c r="H16" i="2"/>
  <c r="E16" i="2"/>
  <c r="D16" i="2"/>
  <c r="A16" i="2"/>
  <c r="H24" i="1"/>
  <c r="H25" i="1"/>
  <c r="H26" i="1"/>
  <c r="H27" i="1"/>
  <c r="H28" i="1"/>
  <c r="H29" i="1"/>
  <c r="H30" i="1"/>
  <c r="H31" i="1"/>
  <c r="H32" i="1"/>
  <c r="H33" i="1"/>
  <c r="H34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B16" i="2"/>
  <c r="G15" i="2"/>
  <c r="H15" i="2"/>
  <c r="E15" i="2"/>
  <c r="D15" i="2"/>
  <c r="A15" i="2"/>
  <c r="B15" i="2"/>
  <c r="G14" i="2"/>
  <c r="H14" i="2"/>
  <c r="E14" i="2"/>
  <c r="D14" i="2"/>
  <c r="A14" i="2"/>
  <c r="B14" i="2"/>
  <c r="G13" i="2"/>
  <c r="H13" i="2"/>
  <c r="E13" i="2"/>
  <c r="D13" i="2"/>
  <c r="A13" i="2"/>
  <c r="B13" i="2"/>
  <c r="G12" i="2"/>
  <c r="H12" i="2"/>
  <c r="E12" i="2"/>
  <c r="D12" i="2"/>
  <c r="A12" i="2"/>
  <c r="B12" i="2"/>
  <c r="AD34" i="1"/>
  <c r="AG34" i="1"/>
  <c r="AE34" i="1"/>
  <c r="AC34" i="1"/>
  <c r="E98" i="9"/>
  <c r="V34" i="1"/>
  <c r="Q34" i="1"/>
  <c r="P34" i="1"/>
  <c r="O34" i="1"/>
  <c r="N34" i="1"/>
  <c r="M34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34" i="1"/>
  <c r="I34" i="1"/>
  <c r="D34" i="1"/>
  <c r="F34" i="1"/>
  <c r="E34" i="1"/>
  <c r="A34" i="1"/>
  <c r="AB33" i="1"/>
  <c r="AD33" i="1"/>
  <c r="AG33" i="1"/>
  <c r="AE33" i="1"/>
  <c r="AC33" i="1"/>
  <c r="E90" i="9"/>
  <c r="V33" i="1"/>
  <c r="Q33" i="1"/>
  <c r="P33" i="1"/>
  <c r="O33" i="1"/>
  <c r="N33" i="1"/>
  <c r="M33" i="1"/>
  <c r="J33" i="1"/>
  <c r="I33" i="1"/>
  <c r="D33" i="1"/>
  <c r="F33" i="1"/>
  <c r="E33" i="1"/>
  <c r="A33" i="1"/>
  <c r="AB32" i="1"/>
  <c r="AD32" i="1"/>
  <c r="AG32" i="1"/>
  <c r="AE32" i="1"/>
  <c r="AC32" i="1"/>
  <c r="E81" i="9"/>
  <c r="V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E80" i="9"/>
  <c r="V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E79" i="9"/>
  <c r="V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E78" i="9"/>
  <c r="V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E77" i="9"/>
  <c r="V28" i="1"/>
  <c r="Q28" i="1"/>
  <c r="P28" i="1"/>
  <c r="O28" i="1"/>
  <c r="N28" i="1"/>
  <c r="M28" i="1"/>
  <c r="J28" i="1"/>
  <c r="I28" i="1"/>
  <c r="D28" i="1"/>
  <c r="F28" i="1"/>
  <c r="E28" i="1"/>
  <c r="A28" i="1"/>
  <c r="AB27" i="1"/>
  <c r="AD27" i="1"/>
  <c r="AG27" i="1"/>
  <c r="AE27" i="1"/>
  <c r="AC27" i="1"/>
  <c r="E74" i="9"/>
  <c r="V27" i="1"/>
  <c r="Q27" i="1"/>
  <c r="P27" i="1"/>
  <c r="O27" i="1"/>
  <c r="N27" i="1"/>
  <c r="M27" i="1"/>
  <c r="J27" i="1"/>
  <c r="I27" i="1"/>
  <c r="D27" i="1"/>
  <c r="F27" i="1"/>
  <c r="E27" i="1"/>
  <c r="A27" i="1"/>
  <c r="AB26" i="1"/>
  <c r="AD26" i="1"/>
  <c r="AG26" i="1"/>
  <c r="AE26" i="1"/>
  <c r="AC26" i="1"/>
  <c r="E70" i="9"/>
  <c r="V26" i="1"/>
  <c r="Q26" i="1"/>
  <c r="P26" i="1"/>
  <c r="O26" i="1"/>
  <c r="N26" i="1"/>
  <c r="M26" i="1"/>
  <c r="J26" i="1"/>
  <c r="I26" i="1"/>
  <c r="D26" i="1"/>
  <c r="F26" i="1"/>
  <c r="E26" i="1"/>
  <c r="A26" i="1"/>
  <c r="AB25" i="1"/>
  <c r="AD25" i="1"/>
  <c r="AG25" i="1"/>
  <c r="AE25" i="1"/>
  <c r="AC25" i="1"/>
  <c r="E66" i="9"/>
  <c r="V25" i="1"/>
  <c r="Q25" i="1"/>
  <c r="P25" i="1"/>
  <c r="O25" i="1"/>
  <c r="N25" i="1"/>
  <c r="M25" i="1"/>
  <c r="J25" i="1"/>
  <c r="I25" i="1"/>
  <c r="D25" i="1"/>
  <c r="F25" i="1"/>
  <c r="E25" i="1"/>
  <c r="A25" i="1"/>
  <c r="AD24" i="1"/>
  <c r="AG24" i="1"/>
  <c r="AE24" i="1"/>
  <c r="AC24" i="1"/>
  <c r="E61" i="9"/>
  <c r="V24" i="1"/>
  <c r="Q24" i="1"/>
  <c r="P24" i="1"/>
  <c r="O24" i="1"/>
  <c r="N24" i="1"/>
  <c r="M24" i="1"/>
  <c r="J24" i="1"/>
  <c r="I24" i="1"/>
  <c r="D24" i="1"/>
  <c r="F24" i="1"/>
  <c r="E24" i="1"/>
  <c r="A24" i="1"/>
  <c r="R13" i="7"/>
  <c r="Q13" i="7"/>
  <c r="P13" i="7"/>
  <c r="O13" i="7"/>
  <c r="N13" i="7"/>
  <c r="H13" i="7"/>
  <c r="D13" i="7"/>
  <c r="F13" i="7"/>
  <c r="E13" i="7"/>
  <c r="A13" i="7"/>
  <c r="R12" i="7"/>
  <c r="Q12" i="7"/>
  <c r="P12" i="7"/>
  <c r="O12" i="7"/>
  <c r="N12" i="7"/>
  <c r="H12" i="7"/>
  <c r="D12" i="7"/>
  <c r="F12" i="7"/>
  <c r="E12" i="7"/>
  <c r="A12" i="7"/>
  <c r="R11" i="7"/>
  <c r="Q11" i="7"/>
  <c r="P11" i="7"/>
  <c r="O11" i="7"/>
  <c r="N11" i="7"/>
  <c r="H11" i="7"/>
  <c r="D11" i="7"/>
  <c r="F11" i="7"/>
  <c r="E11" i="7"/>
  <c r="A11" i="7"/>
  <c r="R10" i="7"/>
  <c r="Q10" i="7"/>
  <c r="P10" i="7"/>
  <c r="O10" i="7"/>
  <c r="N10" i="7"/>
  <c r="H10" i="7"/>
  <c r="D10" i="7"/>
  <c r="F10" i="7"/>
  <c r="E10" i="7"/>
  <c r="A10" i="7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J74" i="11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C11" i="18"/>
  <c r="D11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J66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65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O109" i="9"/>
  <c r="N109" i="9"/>
  <c r="M109" i="9"/>
  <c r="L109" i="9"/>
  <c r="K109" i="9"/>
  <c r="J109" i="9"/>
  <c r="I109" i="9"/>
  <c r="H109" i="9"/>
  <c r="G109" i="9"/>
  <c r="E109" i="9"/>
  <c r="D109" i="9"/>
  <c r="A109" i="9"/>
  <c r="O108" i="9"/>
  <c r="N108" i="9"/>
  <c r="M108" i="9"/>
  <c r="L108" i="9"/>
  <c r="K108" i="9"/>
  <c r="J108" i="9"/>
  <c r="I108" i="9"/>
  <c r="H108" i="9"/>
  <c r="G108" i="9"/>
  <c r="E108" i="9"/>
  <c r="D108" i="9"/>
  <c r="A108" i="9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D81" i="9"/>
  <c r="A81" i="9"/>
  <c r="O80" i="9"/>
  <c r="N80" i="9"/>
  <c r="M80" i="9"/>
  <c r="L80" i="9"/>
  <c r="K80" i="9"/>
  <c r="J80" i="9"/>
  <c r="I80" i="9"/>
  <c r="H80" i="9"/>
  <c r="G80" i="9"/>
  <c r="D80" i="9"/>
  <c r="A80" i="9"/>
  <c r="O79" i="9"/>
  <c r="N79" i="9"/>
  <c r="M79" i="9"/>
  <c r="L79" i="9"/>
  <c r="K79" i="9"/>
  <c r="J79" i="9"/>
  <c r="I79" i="9"/>
  <c r="H79" i="9"/>
  <c r="G79" i="9"/>
  <c r="D79" i="9"/>
  <c r="A79" i="9"/>
  <c r="O78" i="9"/>
  <c r="N78" i="9"/>
  <c r="M78" i="9"/>
  <c r="L78" i="9"/>
  <c r="K78" i="9"/>
  <c r="J78" i="9"/>
  <c r="I78" i="9"/>
  <c r="H78" i="9"/>
  <c r="G78" i="9"/>
  <c r="D78" i="9"/>
  <c r="A78" i="9"/>
  <c r="O77" i="9"/>
  <c r="N77" i="9"/>
  <c r="M77" i="9"/>
  <c r="L77" i="9"/>
  <c r="K77" i="9"/>
  <c r="J77" i="9"/>
  <c r="I77" i="9"/>
  <c r="H77" i="9"/>
  <c r="G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D61" i="9"/>
  <c r="A61" i="9"/>
  <c r="J73" i="11"/>
  <c r="O60" i="9"/>
  <c r="N60" i="9"/>
  <c r="M60" i="9"/>
  <c r="L60" i="9"/>
  <c r="K60" i="9"/>
  <c r="J60" i="9"/>
  <c r="I60" i="9"/>
  <c r="H60" i="9"/>
  <c r="G60" i="9"/>
  <c r="E60" i="9"/>
  <c r="D60" i="9"/>
  <c r="A60" i="9"/>
  <c r="J72" i="11"/>
  <c r="O59" i="9"/>
  <c r="N59" i="9"/>
  <c r="M59" i="9"/>
  <c r="L59" i="9"/>
  <c r="K59" i="9"/>
  <c r="J59" i="9"/>
  <c r="I59" i="9"/>
  <c r="H59" i="9"/>
  <c r="G59" i="9"/>
  <c r="E59" i="9"/>
  <c r="D59" i="9"/>
  <c r="A59" i="9"/>
  <c r="J71" i="11"/>
  <c r="O58" i="9"/>
  <c r="N58" i="9"/>
  <c r="M58" i="9"/>
  <c r="L58" i="9"/>
  <c r="K58" i="9"/>
  <c r="J58" i="9"/>
  <c r="I58" i="9"/>
  <c r="H58" i="9"/>
  <c r="G58" i="9"/>
  <c r="E58" i="9"/>
  <c r="D58" i="9"/>
  <c r="A58" i="9"/>
  <c r="J70" i="11"/>
  <c r="O57" i="9"/>
  <c r="N57" i="9"/>
  <c r="M57" i="9"/>
  <c r="L57" i="9"/>
  <c r="K57" i="9"/>
  <c r="J57" i="9"/>
  <c r="I57" i="9"/>
  <c r="H57" i="9"/>
  <c r="G57" i="9"/>
  <c r="E57" i="9"/>
  <c r="D57" i="9"/>
  <c r="A57" i="9"/>
  <c r="J69" i="11"/>
  <c r="O56" i="9"/>
  <c r="N56" i="9"/>
  <c r="M56" i="9"/>
  <c r="L56" i="9"/>
  <c r="K56" i="9"/>
  <c r="J56" i="9"/>
  <c r="I56" i="9"/>
  <c r="H56" i="9"/>
  <c r="G56" i="9"/>
  <c r="E56" i="9"/>
  <c r="D56" i="9"/>
  <c r="A56" i="9"/>
  <c r="J68" i="11"/>
  <c r="O55" i="9"/>
  <c r="N55" i="9"/>
  <c r="M55" i="9"/>
  <c r="L55" i="9"/>
  <c r="K55" i="9"/>
  <c r="J55" i="9"/>
  <c r="I55" i="9"/>
  <c r="H55" i="9"/>
  <c r="G55" i="9"/>
  <c r="E55" i="9"/>
  <c r="D55" i="9"/>
  <c r="A55" i="9"/>
  <c r="J67" i="11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J64" i="11"/>
  <c r="O51" i="9"/>
  <c r="N51" i="9"/>
  <c r="M51" i="9"/>
  <c r="L51" i="9"/>
  <c r="K51" i="9"/>
  <c r="J51" i="9"/>
  <c r="I51" i="9"/>
  <c r="H51" i="9"/>
  <c r="G51" i="9"/>
  <c r="E51" i="9"/>
  <c r="D51" i="9"/>
  <c r="A51" i="9"/>
  <c r="J63" i="11"/>
  <c r="O50" i="9"/>
  <c r="N50" i="9"/>
  <c r="M50" i="9"/>
  <c r="L50" i="9"/>
  <c r="K50" i="9"/>
  <c r="J50" i="9"/>
  <c r="I50" i="9"/>
  <c r="H50" i="9"/>
  <c r="G50" i="9"/>
  <c r="E50" i="9"/>
  <c r="D50" i="9"/>
  <c r="A50" i="9"/>
  <c r="J62" i="11"/>
  <c r="O49" i="9"/>
  <c r="N49" i="9"/>
  <c r="M49" i="9"/>
  <c r="L49" i="9"/>
  <c r="K49" i="9"/>
  <c r="J49" i="9"/>
  <c r="I49" i="9"/>
  <c r="H49" i="9"/>
  <c r="G49" i="9"/>
  <c r="E49" i="9"/>
  <c r="D49" i="9"/>
  <c r="A49" i="9"/>
  <c r="J61" i="11"/>
  <c r="O48" i="9"/>
  <c r="N48" i="9"/>
  <c r="M48" i="9"/>
  <c r="L48" i="9"/>
  <c r="K48" i="9"/>
  <c r="J48" i="9"/>
  <c r="I48" i="9"/>
  <c r="H48" i="9"/>
  <c r="G48" i="9"/>
  <c r="E48" i="9"/>
  <c r="D48" i="9"/>
  <c r="A48" i="9"/>
  <c r="J60" i="11"/>
  <c r="O47" i="9"/>
  <c r="N47" i="9"/>
  <c r="M47" i="9"/>
  <c r="L47" i="9"/>
  <c r="K47" i="9"/>
  <c r="J47" i="9"/>
  <c r="I47" i="9"/>
  <c r="H47" i="9"/>
  <c r="G47" i="9"/>
  <c r="E47" i="9"/>
  <c r="D47" i="9"/>
  <c r="A47" i="9"/>
  <c r="J59" i="11"/>
  <c r="O46" i="9"/>
  <c r="N46" i="9"/>
  <c r="M46" i="9"/>
  <c r="L46" i="9"/>
  <c r="K46" i="9"/>
  <c r="J46" i="9"/>
  <c r="I46" i="9"/>
  <c r="H46" i="9"/>
  <c r="G46" i="9"/>
  <c r="E46" i="9"/>
  <c r="D46" i="9"/>
  <c r="A46" i="9"/>
  <c r="J58" i="11"/>
  <c r="O45" i="9"/>
  <c r="N45" i="9"/>
  <c r="M45" i="9"/>
  <c r="L45" i="9"/>
  <c r="K45" i="9"/>
  <c r="J45" i="9"/>
  <c r="I45" i="9"/>
  <c r="H45" i="9"/>
  <c r="G45" i="9"/>
  <c r="E45" i="9"/>
  <c r="D45" i="9"/>
  <c r="A45" i="9"/>
  <c r="J57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J53" i="11"/>
  <c r="O40" i="9"/>
  <c r="N40" i="9"/>
  <c r="M40" i="9"/>
  <c r="L40" i="9"/>
  <c r="K40" i="9"/>
  <c r="J40" i="9"/>
  <c r="I40" i="9"/>
  <c r="H40" i="9"/>
  <c r="G40" i="9"/>
  <c r="E40" i="9"/>
  <c r="D40" i="9"/>
  <c r="A40" i="9"/>
  <c r="J52" i="11"/>
  <c r="O39" i="9"/>
  <c r="N39" i="9"/>
  <c r="M39" i="9"/>
  <c r="L39" i="9"/>
  <c r="K39" i="9"/>
  <c r="J39" i="9"/>
  <c r="I39" i="9"/>
  <c r="H39" i="9"/>
  <c r="G39" i="9"/>
  <c r="E39" i="9"/>
  <c r="D39" i="9"/>
  <c r="A39" i="9"/>
  <c r="J51" i="11"/>
  <c r="O38" i="9"/>
  <c r="N38" i="9"/>
  <c r="M38" i="9"/>
  <c r="L38" i="9"/>
  <c r="K38" i="9"/>
  <c r="J38" i="9"/>
  <c r="I38" i="9"/>
  <c r="H38" i="9"/>
  <c r="G38" i="9"/>
  <c r="E38" i="9"/>
  <c r="D38" i="9"/>
  <c r="A38" i="9"/>
  <c r="J50" i="11"/>
  <c r="O37" i="9"/>
  <c r="N37" i="9"/>
  <c r="M37" i="9"/>
  <c r="L37" i="9"/>
  <c r="K37" i="9"/>
  <c r="J37" i="9"/>
  <c r="I37" i="9"/>
  <c r="H37" i="9"/>
  <c r="G37" i="9"/>
  <c r="E37" i="9"/>
  <c r="D37" i="9"/>
  <c r="A37" i="9"/>
  <c r="J49" i="11"/>
  <c r="O36" i="9"/>
  <c r="N36" i="9"/>
  <c r="M36" i="9"/>
  <c r="L36" i="9"/>
  <c r="K36" i="9"/>
  <c r="J36" i="9"/>
  <c r="I36" i="9"/>
  <c r="H36" i="9"/>
  <c r="G36" i="9"/>
  <c r="E36" i="9"/>
  <c r="D36" i="9"/>
  <c r="A36" i="9"/>
  <c r="J48" i="11"/>
  <c r="O35" i="9"/>
  <c r="N35" i="9"/>
  <c r="M35" i="9"/>
  <c r="L35" i="9"/>
  <c r="K35" i="9"/>
  <c r="J35" i="9"/>
  <c r="I35" i="9"/>
  <c r="H35" i="9"/>
  <c r="G35" i="9"/>
  <c r="E35" i="9"/>
  <c r="D35" i="9"/>
  <c r="A35" i="9"/>
  <c r="J46" i="11"/>
  <c r="O34" i="9"/>
  <c r="N34" i="9"/>
  <c r="M34" i="9"/>
  <c r="L34" i="9"/>
  <c r="K34" i="9"/>
  <c r="J34" i="9"/>
  <c r="I34" i="9"/>
  <c r="H34" i="9"/>
  <c r="G34" i="9"/>
  <c r="E34" i="9"/>
  <c r="D34" i="9"/>
  <c r="A34" i="9"/>
  <c r="J45" i="11"/>
  <c r="O33" i="9"/>
  <c r="N33" i="9"/>
  <c r="M33" i="9"/>
  <c r="L33" i="9"/>
  <c r="K33" i="9"/>
  <c r="J33" i="9"/>
  <c r="I33" i="9"/>
  <c r="H33" i="9"/>
  <c r="G33" i="9"/>
  <c r="E33" i="9"/>
  <c r="D33" i="9"/>
  <c r="A33" i="9"/>
  <c r="J44" i="11"/>
  <c r="O32" i="9"/>
  <c r="N32" i="9"/>
  <c r="M32" i="9"/>
  <c r="L32" i="9"/>
  <c r="K32" i="9"/>
  <c r="J32" i="9"/>
  <c r="I32" i="9"/>
  <c r="H32" i="9"/>
  <c r="G32" i="9"/>
  <c r="E32" i="9"/>
  <c r="D32" i="9"/>
  <c r="A32" i="9"/>
  <c r="J43" i="11"/>
  <c r="O31" i="9"/>
  <c r="N31" i="9"/>
  <c r="M31" i="9"/>
  <c r="L31" i="9"/>
  <c r="K31" i="9"/>
  <c r="J31" i="9"/>
  <c r="I31" i="9"/>
  <c r="H31" i="9"/>
  <c r="G31" i="9"/>
  <c r="E31" i="9"/>
  <c r="D31" i="9"/>
  <c r="A31" i="9"/>
  <c r="J40" i="11"/>
  <c r="O30" i="9"/>
  <c r="N30" i="9"/>
  <c r="M30" i="9"/>
  <c r="L30" i="9"/>
  <c r="K30" i="9"/>
  <c r="J30" i="9"/>
  <c r="I30" i="9"/>
  <c r="H30" i="9"/>
  <c r="G30" i="9"/>
  <c r="E30" i="9"/>
  <c r="D30" i="9"/>
  <c r="A30" i="9"/>
  <c r="J39" i="11"/>
  <c r="O29" i="9"/>
  <c r="N29" i="9"/>
  <c r="M29" i="9"/>
  <c r="L29" i="9"/>
  <c r="K29" i="9"/>
  <c r="J29" i="9"/>
  <c r="I29" i="9"/>
  <c r="H29" i="9"/>
  <c r="G29" i="9"/>
  <c r="E29" i="9"/>
  <c r="D29" i="9"/>
  <c r="A29" i="9"/>
  <c r="J38" i="11"/>
  <c r="O28" i="9"/>
  <c r="N28" i="9"/>
  <c r="M28" i="9"/>
  <c r="L28" i="9"/>
  <c r="K28" i="9"/>
  <c r="J28" i="9"/>
  <c r="I28" i="9"/>
  <c r="H28" i="9"/>
  <c r="G28" i="9"/>
  <c r="E28" i="9"/>
  <c r="D28" i="9"/>
  <c r="A28" i="9"/>
  <c r="J37" i="11"/>
  <c r="O27" i="9"/>
  <c r="N27" i="9"/>
  <c r="M27" i="9"/>
  <c r="L27" i="9"/>
  <c r="K27" i="9"/>
  <c r="J27" i="9"/>
  <c r="I27" i="9"/>
  <c r="H27" i="9"/>
  <c r="G27" i="9"/>
  <c r="E27" i="9"/>
  <c r="D27" i="9"/>
  <c r="A27" i="9"/>
  <c r="J36" i="11"/>
  <c r="O26" i="9"/>
  <c r="N26" i="9"/>
  <c r="M26" i="9"/>
  <c r="L26" i="9"/>
  <c r="K26" i="9"/>
  <c r="J26" i="9"/>
  <c r="I26" i="9"/>
  <c r="H26" i="9"/>
  <c r="G26" i="9"/>
  <c r="E26" i="9"/>
  <c r="D26" i="9"/>
  <c r="A26" i="9"/>
  <c r="J34" i="11"/>
  <c r="O25" i="9"/>
  <c r="N25" i="9"/>
  <c r="M25" i="9"/>
  <c r="L25" i="9"/>
  <c r="K25" i="9"/>
  <c r="J25" i="9"/>
  <c r="I25" i="9"/>
  <c r="H25" i="9"/>
  <c r="G25" i="9"/>
  <c r="E25" i="9"/>
  <c r="D25" i="9"/>
  <c r="A25" i="9"/>
  <c r="J33" i="11"/>
  <c r="O24" i="9"/>
  <c r="N24" i="9"/>
  <c r="M24" i="9"/>
  <c r="L24" i="9"/>
  <c r="K24" i="9"/>
  <c r="J24" i="9"/>
  <c r="I24" i="9"/>
  <c r="H24" i="9"/>
  <c r="G24" i="9"/>
  <c r="E24" i="9"/>
  <c r="D24" i="9"/>
  <c r="A24" i="9"/>
  <c r="J32" i="11"/>
  <c r="O23" i="9"/>
  <c r="N23" i="9"/>
  <c r="M23" i="9"/>
  <c r="L23" i="9"/>
  <c r="K23" i="9"/>
  <c r="J23" i="9"/>
  <c r="I23" i="9"/>
  <c r="H23" i="9"/>
  <c r="G23" i="9"/>
  <c r="E23" i="9"/>
  <c r="D23" i="9"/>
  <c r="A23" i="9"/>
  <c r="J31" i="11"/>
  <c r="O22" i="9"/>
  <c r="N22" i="9"/>
  <c r="M22" i="9"/>
  <c r="L22" i="9"/>
  <c r="K22" i="9"/>
  <c r="J22" i="9"/>
  <c r="I22" i="9"/>
  <c r="H22" i="9"/>
  <c r="G22" i="9"/>
  <c r="E22" i="9"/>
  <c r="D22" i="9"/>
  <c r="A22" i="9"/>
  <c r="J28" i="11"/>
  <c r="O21" i="9"/>
  <c r="N21" i="9"/>
  <c r="M21" i="9"/>
  <c r="L21" i="9"/>
  <c r="K21" i="9"/>
  <c r="J21" i="9"/>
  <c r="I21" i="9"/>
  <c r="H21" i="9"/>
  <c r="G21" i="9"/>
  <c r="E21" i="9"/>
  <c r="D21" i="9"/>
  <c r="A21" i="9"/>
  <c r="J27" i="11"/>
  <c r="O20" i="9"/>
  <c r="N20" i="9"/>
  <c r="M20" i="9"/>
  <c r="L20" i="9"/>
  <c r="K20" i="9"/>
  <c r="J20" i="9"/>
  <c r="I20" i="9"/>
  <c r="H20" i="9"/>
  <c r="G20" i="9"/>
  <c r="E20" i="9"/>
  <c r="D20" i="9"/>
  <c r="A20" i="9"/>
  <c r="J26" i="11"/>
  <c r="O19" i="9"/>
  <c r="N19" i="9"/>
  <c r="M19" i="9"/>
  <c r="L19" i="9"/>
  <c r="K19" i="9"/>
  <c r="J19" i="9"/>
  <c r="I19" i="9"/>
  <c r="H19" i="9"/>
  <c r="G19" i="9"/>
  <c r="E19" i="9"/>
  <c r="D19" i="9"/>
  <c r="A19" i="9"/>
  <c r="J25" i="11"/>
  <c r="O18" i="9"/>
  <c r="N18" i="9"/>
  <c r="M18" i="9"/>
  <c r="L18" i="9"/>
  <c r="K18" i="9"/>
  <c r="J18" i="9"/>
  <c r="I18" i="9"/>
  <c r="H18" i="9"/>
  <c r="G18" i="9"/>
  <c r="E18" i="9"/>
  <c r="D18" i="9"/>
  <c r="A18" i="9"/>
  <c r="J23" i="11"/>
  <c r="O17" i="9"/>
  <c r="N17" i="9"/>
  <c r="M17" i="9"/>
  <c r="L17" i="9"/>
  <c r="K17" i="9"/>
  <c r="J17" i="9"/>
  <c r="I17" i="9"/>
  <c r="H17" i="9"/>
  <c r="G17" i="9"/>
  <c r="E17" i="9"/>
  <c r="D17" i="9"/>
  <c r="A17" i="9"/>
  <c r="J21" i="11"/>
  <c r="O16" i="9"/>
  <c r="N16" i="9"/>
  <c r="M16" i="9"/>
  <c r="L16" i="9"/>
  <c r="K16" i="9"/>
  <c r="J16" i="9"/>
  <c r="I16" i="9"/>
  <c r="H16" i="9"/>
  <c r="G16" i="9"/>
  <c r="E16" i="9"/>
  <c r="D16" i="9"/>
  <c r="A16" i="9"/>
  <c r="J20" i="11"/>
  <c r="O15" i="9"/>
  <c r="N15" i="9"/>
  <c r="M15" i="9"/>
  <c r="L15" i="9"/>
  <c r="K15" i="9"/>
  <c r="J15" i="9"/>
  <c r="I15" i="9"/>
  <c r="H15" i="9"/>
  <c r="G15" i="9"/>
  <c r="E15" i="9"/>
  <c r="D15" i="9"/>
  <c r="A15" i="9"/>
  <c r="J16" i="11"/>
  <c r="O14" i="9"/>
  <c r="N14" i="9"/>
  <c r="M14" i="9"/>
  <c r="L14" i="9"/>
  <c r="K14" i="9"/>
  <c r="J14" i="9"/>
  <c r="I14" i="9"/>
  <c r="H14" i="9"/>
  <c r="G14" i="9"/>
  <c r="E14" i="9"/>
  <c r="D14" i="9"/>
  <c r="A14" i="9"/>
  <c r="J15" i="11"/>
  <c r="O13" i="9"/>
  <c r="N13" i="9"/>
  <c r="M13" i="9"/>
  <c r="L13" i="9"/>
  <c r="K13" i="9"/>
  <c r="J13" i="9"/>
  <c r="I13" i="9"/>
  <c r="H13" i="9"/>
  <c r="G13" i="9"/>
  <c r="E13" i="9"/>
  <c r="D13" i="9"/>
  <c r="A13" i="9"/>
  <c r="J14" i="11"/>
  <c r="O12" i="9"/>
  <c r="N12" i="9"/>
  <c r="M12" i="9"/>
  <c r="L12" i="9"/>
  <c r="K12" i="9"/>
  <c r="J12" i="9"/>
  <c r="I12" i="9"/>
  <c r="H12" i="9"/>
  <c r="G12" i="9"/>
  <c r="E12" i="9"/>
  <c r="D12" i="9"/>
  <c r="A12" i="9"/>
  <c r="J13" i="11"/>
  <c r="O11" i="9"/>
  <c r="N11" i="9"/>
  <c r="M11" i="9"/>
  <c r="L11" i="9"/>
  <c r="K11" i="9"/>
  <c r="J11" i="9"/>
  <c r="I11" i="9"/>
  <c r="H11" i="9"/>
  <c r="G11" i="9"/>
  <c r="E11" i="9"/>
  <c r="D11" i="9"/>
  <c r="A11" i="9"/>
  <c r="J11" i="11"/>
  <c r="O10" i="9"/>
  <c r="N10" i="9"/>
  <c r="M10" i="9"/>
  <c r="L10" i="9"/>
  <c r="K10" i="9"/>
  <c r="J10" i="9"/>
  <c r="I10" i="9"/>
  <c r="H10" i="9"/>
  <c r="G10" i="9"/>
  <c r="E10" i="9"/>
  <c r="D10" i="9"/>
  <c r="A10" i="9"/>
  <c r="J10" i="11"/>
  <c r="O9" i="9"/>
  <c r="N9" i="9"/>
  <c r="M9" i="9"/>
  <c r="L9" i="9"/>
  <c r="K9" i="9"/>
  <c r="J9" i="9"/>
  <c r="I9" i="9"/>
  <c r="H9" i="9"/>
  <c r="G9" i="9"/>
  <c r="E9" i="9"/>
  <c r="D9" i="9"/>
  <c r="A9" i="9"/>
  <c r="J9" i="11"/>
  <c r="O8" i="9"/>
  <c r="N8" i="9"/>
  <c r="M8" i="9"/>
  <c r="L8" i="9"/>
  <c r="K8" i="9"/>
  <c r="J8" i="9"/>
  <c r="I8" i="9"/>
  <c r="H8" i="9"/>
  <c r="G8" i="9"/>
  <c r="E8" i="9"/>
  <c r="D8" i="9"/>
  <c r="A8" i="9"/>
  <c r="J8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47" i="11"/>
  <c r="J42" i="11"/>
  <c r="J41" i="11"/>
  <c r="J35" i="11"/>
  <c r="J30" i="11"/>
  <c r="J29" i="11"/>
  <c r="J24" i="11"/>
  <c r="J22" i="11"/>
  <c r="J19" i="11"/>
  <c r="J18" i="11"/>
  <c r="J17" i="11"/>
  <c r="J12" i="11"/>
  <c r="J7" i="11"/>
  <c r="J2" i="11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R9" i="7"/>
  <c r="Q9" i="7"/>
  <c r="P9" i="7"/>
  <c r="O9" i="7"/>
  <c r="N9" i="7"/>
  <c r="H9" i="7"/>
  <c r="D9" i="7"/>
  <c r="F9" i="7"/>
  <c r="E9" i="7"/>
  <c r="A9" i="7"/>
  <c r="R8" i="7"/>
  <c r="Q8" i="7"/>
  <c r="P8" i="7"/>
  <c r="O8" i="7"/>
  <c r="N8" i="7"/>
  <c r="H8" i="7"/>
  <c r="D8" i="7"/>
  <c r="F8" i="7"/>
  <c r="E8" i="7"/>
  <c r="A8" i="7"/>
  <c r="R7" i="7"/>
  <c r="Q7" i="7"/>
  <c r="P7" i="7"/>
  <c r="O7" i="7"/>
  <c r="N7" i="7"/>
  <c r="H7" i="7"/>
  <c r="D7" i="7"/>
  <c r="F7" i="7"/>
  <c r="E7" i="7"/>
  <c r="A7" i="7"/>
  <c r="R6" i="7"/>
  <c r="Q6" i="7"/>
  <c r="P6" i="7"/>
  <c r="O6" i="7"/>
  <c r="N6" i="7"/>
  <c r="H6" i="7"/>
  <c r="D6" i="7"/>
  <c r="F6" i="7"/>
  <c r="E6" i="7"/>
  <c r="A6" i="7"/>
  <c r="R5" i="7"/>
  <c r="Q5" i="7"/>
  <c r="P5" i="7"/>
  <c r="O5" i="7"/>
  <c r="N5" i="7"/>
  <c r="H5" i="7"/>
  <c r="D5" i="7"/>
  <c r="F5" i="7"/>
  <c r="E5" i="7"/>
  <c r="A5" i="7"/>
  <c r="R4" i="7"/>
  <c r="Q4" i="7"/>
  <c r="P4" i="7"/>
  <c r="O4" i="7"/>
  <c r="N4" i="7"/>
  <c r="H4" i="7"/>
  <c r="D4" i="7"/>
  <c r="F4" i="7"/>
  <c r="E4" i="7"/>
  <c r="A4" i="7"/>
  <c r="R3" i="7"/>
  <c r="Q3" i="7"/>
  <c r="P3" i="7"/>
  <c r="O3" i="7"/>
  <c r="N3" i="7"/>
  <c r="H3" i="7"/>
  <c r="D3" i="7"/>
  <c r="F3" i="7"/>
  <c r="E3" i="7"/>
  <c r="A3" i="7"/>
  <c r="R2" i="7"/>
  <c r="Q2" i="7"/>
  <c r="P2" i="7"/>
  <c r="O2" i="7"/>
  <c r="N2" i="7"/>
  <c r="H2" i="7"/>
  <c r="D2" i="7"/>
  <c r="F2" i="7"/>
  <c r="E2" i="7"/>
  <c r="A2" i="7"/>
  <c r="AD23" i="1"/>
  <c r="AG23" i="1"/>
  <c r="AE23" i="1"/>
  <c r="AC23" i="1"/>
  <c r="V23" i="1"/>
  <c r="Q23" i="1"/>
  <c r="P23" i="1"/>
  <c r="O23" i="1"/>
  <c r="N23" i="1"/>
  <c r="M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J14" i="1"/>
  <c r="I14" i="1"/>
  <c r="D14" i="1"/>
  <c r="F14" i="1"/>
  <c r="E14" i="1"/>
  <c r="A14" i="1"/>
  <c r="AD13" i="1"/>
  <c r="AG13" i="1"/>
  <c r="AE13" i="1"/>
  <c r="AC13" i="1"/>
  <c r="E2" i="9"/>
  <c r="V13" i="1"/>
  <c r="Q13" i="1"/>
  <c r="P13" i="1"/>
  <c r="O13" i="1"/>
  <c r="N13" i="1"/>
  <c r="M13" i="1"/>
  <c r="J13" i="1"/>
  <c r="I13" i="1"/>
  <c r="D13" i="1"/>
  <c r="F13" i="1"/>
  <c r="E13" i="1"/>
  <c r="A13" i="1"/>
  <c r="J2" i="1"/>
  <c r="J12" i="1"/>
  <c r="J11" i="1"/>
  <c r="J10" i="1"/>
  <c r="J9" i="1"/>
  <c r="J8" i="1"/>
  <c r="J7" i="1"/>
  <c r="J6" i="1"/>
  <c r="J5" i="1"/>
  <c r="J4" i="1"/>
  <c r="J3" i="1"/>
  <c r="I2" i="1"/>
  <c r="I12" i="1"/>
  <c r="I11" i="1"/>
  <c r="I10" i="1"/>
  <c r="I9" i="1"/>
  <c r="I8" i="1"/>
  <c r="I7" i="1"/>
  <c r="I6" i="1"/>
  <c r="I5" i="1"/>
  <c r="I4" i="1"/>
  <c r="I3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  <c r="V2" i="1"/>
  <c r="V3" i="1"/>
  <c r="V4" i="1"/>
  <c r="V5" i="1"/>
  <c r="V6" i="1"/>
  <c r="V7" i="1"/>
  <c r="V8" i="1"/>
  <c r="V9" i="1"/>
  <c r="V10" i="1"/>
  <c r="V11" i="1"/>
  <c r="V12" i="1"/>
  <c r="AD12" i="1"/>
  <c r="AG12" i="1"/>
  <c r="AE12" i="1"/>
  <c r="AC12" i="1"/>
  <c r="Q12" i="1"/>
  <c r="P12" i="1"/>
  <c r="O12" i="1"/>
  <c r="N12" i="1"/>
  <c r="M12" i="1"/>
  <c r="D12" i="1"/>
  <c r="F12" i="1"/>
  <c r="E12" i="1"/>
  <c r="A12" i="1"/>
  <c r="AB11" i="1"/>
  <c r="AD11" i="1"/>
  <c r="AG11" i="1"/>
  <c r="AE11" i="1"/>
  <c r="AC11" i="1"/>
  <c r="Q11" i="1"/>
  <c r="P11" i="1"/>
  <c r="O11" i="1"/>
  <c r="N11" i="1"/>
  <c r="M11" i="1"/>
  <c r="D11" i="1"/>
  <c r="F11" i="1"/>
  <c r="E11" i="1"/>
  <c r="A11" i="1"/>
  <c r="AB10" i="1"/>
  <c r="AD10" i="1"/>
  <c r="AG10" i="1"/>
  <c r="AE10" i="1"/>
  <c r="AC10" i="1"/>
  <c r="Q10" i="1"/>
  <c r="P10" i="1"/>
  <c r="O10" i="1"/>
  <c r="N10" i="1"/>
  <c r="M10" i="1"/>
  <c r="D10" i="1"/>
  <c r="F10" i="1"/>
  <c r="E10" i="1"/>
  <c r="A10" i="1"/>
  <c r="AB9" i="1"/>
  <c r="AD9" i="1"/>
  <c r="AG9" i="1"/>
  <c r="AE9" i="1"/>
  <c r="AC9" i="1"/>
  <c r="Q9" i="1"/>
  <c r="P9" i="1"/>
  <c r="O9" i="1"/>
  <c r="N9" i="1"/>
  <c r="M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D3" i="1"/>
  <c r="F3" i="1"/>
  <c r="E3" i="1"/>
  <c r="A3" i="1"/>
  <c r="AD2" i="1"/>
  <c r="AG2" i="1"/>
  <c r="AE2" i="1"/>
  <c r="AC2" i="1"/>
  <c r="Q2" i="1"/>
  <c r="P2" i="1"/>
  <c r="O2" i="1"/>
  <c r="N2" i="1"/>
  <c r="M2" i="1"/>
  <c r="D2" i="1"/>
  <c r="F2" i="1"/>
  <c r="E2" i="1"/>
  <c r="A2" i="1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E8" i="16"/>
  <c r="E7" i="16"/>
  <c r="E6" i="16"/>
  <c r="E5" i="16"/>
  <c r="E4" i="16"/>
  <c r="E3" i="16"/>
  <c r="E2" i="16"/>
  <c r="A2" i="9"/>
  <c r="D7" i="2"/>
  <c r="E7" i="2"/>
  <c r="H7" i="2"/>
  <c r="B7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<sst xmlns="http://schemas.openxmlformats.org/spreadsheetml/2006/main" count="1241" uniqueCount="389">
  <si>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</si>
  <si>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</si>
  <si>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</si>
  <si>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</si>
  <si>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</si>
  <si>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</si>
  <si>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</si>
  <si>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</si>
  <si>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</si>
  <si>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</si>
  <si>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</si>
  <si>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</si>
  <si>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</si>
  <si>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</si>
  <si>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</si>
  <si>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</si>
  <si>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</si>
  <si>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</si>
  <si>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</si>
  <si>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</si>
  <si>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</si>
  <si>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</si>
  <si>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</si>
  <si>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</si>
  <si>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</si>
  <si>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</si>
  <si>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</si>
  <si>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</si>
  <si>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</si>
  <si>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</si>
  <si>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</si>
  <si>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</si>
  <si>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</si>
  <si>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</si>
  <si>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</si>
  <si>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</si>
  <si>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</si>
  <si>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</si>
  <si>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</si>
  <si>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</si>
  <si>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</si>
  <si>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</si>
  <si>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</si>
  <si>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</si>
  <si>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</si>
  <si>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</si>
  <si>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</si>
  <si>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</si>
  <si>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</si>
  <si>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</si>
  <si>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</si>
  <si>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</si>
  <si>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</si>
  <si>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</si>
  <si>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</si>
  <si>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</si>
  <si>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</si>
  <si>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</si>
  <si>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</si>
  <si>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</si>
  <si>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</si>
  <si>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</si>
  <si>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</si>
  <si>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</si>
  <si>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</si>
  <si>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</si>
  <si>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</si>
  <si>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</si>
  <si>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</si>
  <si>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</si>
  <si>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</si>
  <si>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</si>
  <si>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</si>
  <si>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</si>
  <si>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</si>
  <si>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</si>
  <si>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</si>
  <si>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</si>
  <si>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</si>
  <si>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</si>
  <si>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</si>
  <si>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</si>
  <si>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</si>
  <si>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</si>
  <si>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</si>
  <si>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</si>
  <si>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</si>
  <si>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</si>
  <si>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</si>
  <si>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</si>
  <si>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</si>
  <si>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</si>
  <si>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</si>
  <si>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</si>
  <si>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</si>
  <si>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</si>
  <si>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</si>
  <si>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</si>
  <si>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</si>
  <si>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</si>
  <si>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</si>
  <si>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</si>
  <si>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</si>
  <si>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</si>
  <si>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</si>
  <si>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</si>
  <si>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</si>
  <si>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</si>
  <si>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</si>
  <si>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</si>
  <si>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</si>
  <si>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</si>
  <si>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</si>
  <si>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</si>
  <si>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</si>
  <si>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</si>
  <si>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</si>
  <si>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</si>
  <si>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</si>
  <si>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</si>
  <si>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</si>
  <si>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</si>
  <si>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</si>
  <si>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</si>
  <si>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</si>
  <si>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</si>
  <si>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</si>
  <si>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</si>
  <si>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</si>
  <si>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</si>
  <si>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</si>
  <si>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</si>
  <si>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</si>
  <si>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</si>
  <si>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</si>
  <si>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</si>
  <si>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</si>
  <si>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</si>
  <si>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</si>
  <si>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</si>
  <si>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</si>
  <si>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</si>
  <si>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</si>
  <si>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</si>
  <si>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</si>
  <si>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</si>
  <si>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</si>
  <si>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</si>
  <si>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</si>
  <si>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</si>
  <si>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</si>
  <si>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</si>
  <si>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</si>
  <si>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</si>
  <si>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</si>
  <si>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</si>
  <si>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</si>
  <si>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</si>
  <si>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</si>
  <si>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</si>
  <si>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</si>
  <si>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</si>
  <si>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</si>
  <si>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</si>
  <si>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</si>
  <si>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</si>
  <si>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</si>
  <si>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</si>
  <si>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</si>
  <si>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</si>
  <si>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</si>
  <si>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</si>
  <si>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</si>
  <si>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</si>
  <si>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</si>
  <si>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</si>
  <si>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</si>
  <si>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</si>
  <si>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</si>
  <si>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</si>
  <si>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</si>
  <si>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</si>
  <si>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</si>
  <si>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</si>
  <si>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</si>
  <si>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</si>
  <si>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</si>
  <si>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</si>
  <si>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</si>
  <si>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</si>
  <si>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</si>
  <si>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</si>
  <si>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</si>
  <si>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</si>
  <si>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</si>
  <si>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</si>
  <si>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</si>
  <si>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</si>
  <si>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</si>
  <si>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</si>
  <si>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</si>
  <si>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</si>
  <si>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</si>
  <si>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</si>
  <si>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</si>
  <si>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</si>
  <si>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</si>
  <si>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</si>
  <si>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</si>
  <si>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</si>
  <si>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</si>
  <si>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</si>
  <si>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[effect:nothing]</t>
    <phoneticPr fontId="5"/>
  </si>
  <si>
    <t>ja</t>
    <phoneticPr fontId="5"/>
  </si>
  <si>
    <t>グリム様の敵…</t>
    <rPh sb="3" eb="4">
      <t>サm</t>
    </rPh>
    <rPh sb="5" eb="6">
      <t>テk</t>
    </rPh>
    <phoneticPr fontId="5"/>
  </si>
  <si>
    <t>虚ろな瞳で襲いかかってくる！</t>
    <rPh sb="0" eb="3">
      <t>ウt</t>
    </rPh>
    <rPh sb="3" eb="5">
      <t>ヒt</t>
    </rPh>
    <rPh sb="5" eb="13">
      <t>オソ</t>
    </rPh>
    <phoneticPr fontId="5"/>
  </si>
  <si>
    <t xml:space="preserve">[effect:enhance_enemy, target:myself, turn:5, status:defense, val:3000, calc:add, animation:enemy_enhance_defense]    </t>
    <phoneticPr fontId="5"/>
  </si>
  <si>
    <t>&lt;臨戦体勢&gt;</t>
    <rPh sb="1" eb="5">
      <t>リンセンタ</t>
    </rPh>
    <phoneticPr fontId="5"/>
  </si>
  <si>
    <t>[effect:enemy_counter, target:myself, invoke_condition:unit_all, counter_target:attacker, turn:1, val:1.5, animation:enemy_counter]</t>
    <phoneticPr fontId="5"/>
  </si>
  <si>
    <t>&lt;カウンターショット&gt;</t>
    <phoneticPr fontId="5"/>
  </si>
  <si>
    <t>[effect:damage_anti_tribe, target:unit_all, tribe:animal, val1:1.3, val2:0.1]</t>
    <phoneticPr fontId="5"/>
  </si>
  <si>
    <t>&lt;ハンターズバレット&gt;</t>
    <phoneticPr fontId="5"/>
  </si>
  <si>
    <t xml:space="preserve">[effect:rush, count:20, val:0.05]    </t>
    <phoneticPr fontId="5"/>
  </si>
  <si>
    <t>&lt;危険分子排除&gt;</t>
    <rPh sb="1" eb="3">
      <t>キk</t>
    </rPh>
    <rPh sb="3" eb="5">
      <t>ブン</t>
    </rPh>
    <rPh sb="5" eb="7">
      <t>ハイjy</t>
    </rPh>
    <phoneticPr fontId="5"/>
  </si>
  <si>
    <t>[effect:tolerance, target:myself, turn:-1, tolerance_effect:hungup, count:-1, animation:enemy_tolerance]</t>
    <phoneticPr fontId="5"/>
  </si>
  <si>
    <t>&lt;スタンバイ&gt;</t>
    <phoneticPr fontId="5"/>
  </si>
  <si>
    <t>状態異常耐性</t>
    <rPh sb="0" eb="6">
      <t>ジョ</t>
    </rPh>
    <phoneticPr fontId="5"/>
  </si>
  <si>
    <t>ja</t>
    <phoneticPr fontId="5"/>
  </si>
  <si>
    <t>&lt;侵入者排除&gt;</t>
    <rPh sb="1" eb="4">
      <t>シン</t>
    </rPh>
    <rPh sb="4" eb="6">
      <t>ハイjy</t>
    </rPh>
    <phoneticPr fontId="5"/>
  </si>
  <si>
    <t>[effect:rush, count:20, val:0.1]</t>
    <phoneticPr fontId="5"/>
  </si>
  <si>
    <t>&lt;果てしなき食欲&gt;</t>
    <rPh sb="1" eb="6">
      <t>ハテs</t>
    </rPh>
    <rPh sb="6" eb="8">
      <t>ショクヨk</t>
    </rPh>
    <phoneticPr fontId="5"/>
  </si>
  <si>
    <t>[effect:enemy_counter, target:myself, invoke_condition:unit_all, counter_target:attacker, turn:3, val:1, animation:enemy_counter]</t>
    <phoneticPr fontId="5"/>
  </si>
  <si>
    <t>&lt;迎撃体勢&gt;</t>
    <rPh sb="1" eb="3">
      <t>ゲイゲk</t>
    </rPh>
    <rPh sb="3" eb="5">
      <t>taisei</t>
    </rPh>
    <phoneticPr fontId="5"/>
  </si>
  <si>
    <t>グリム様の敵…</t>
    <rPh sb="3" eb="5">
      <t>サm</t>
    </rPh>
    <rPh sb="5" eb="6">
      <t>テk</t>
    </rPh>
    <phoneticPr fontId="5"/>
  </si>
  <si>
    <t>虚ろな瞳で襲いかかってくる！</t>
    <rPh sb="0" eb="3">
      <t>ウツr</t>
    </rPh>
    <rPh sb="3" eb="5">
      <t>ヒトミ</t>
    </rPh>
    <rPh sb="5" eb="14">
      <t>オソ</t>
    </rPh>
    <phoneticPr fontId="5"/>
  </si>
  <si>
    <t>&lt;邪気蒼黒掌&gt;</t>
    <phoneticPr fontId="5"/>
  </si>
  <si>
    <t>&lt;秘技・邪烈蒼打拳&gt;</t>
    <phoneticPr fontId="5"/>
  </si>
  <si>
    <t>[effect:freq_turn, target:myself, turn:-1, val:1, animation:enemy_freq_turn]</t>
    <phoneticPr fontId="5"/>
  </si>
  <si>
    <t>&lt;クロックアップ&gt;</t>
    <phoneticPr fontId="5"/>
  </si>
  <si>
    <t>[effect:break_attack_fix, val:1250, lowest_val:666, count:-1, block:jammer, target:unit_one]</t>
    <phoneticPr fontId="5"/>
  </si>
  <si>
    <t>&lt;魔解閃光脚&gt;</t>
    <rPh sb="1" eb="2">
      <t>マカ</t>
    </rPh>
    <rPh sb="2" eb="3">
      <t>カ</t>
    </rPh>
    <rPh sb="3" eb="6">
      <t>セン</t>
    </rPh>
    <phoneticPr fontId="5"/>
  </si>
  <si>
    <t>[effect:damage_anti_tribe, target:unit_all, tribe:human, val1:1.3, val2:0.1]</t>
    <phoneticPr fontId="5"/>
  </si>
  <si>
    <t>&lt;破壊電光脚&gt;</t>
    <rPh sb="1" eb="3">
      <t>ハk</t>
    </rPh>
    <rPh sb="5" eb="6">
      <t>キャk</t>
    </rPh>
    <phoneticPr fontId="5"/>
  </si>
  <si>
    <t>&lt;オーバードライブ&gt;</t>
    <phoneticPr fontId="5"/>
  </si>
  <si>
    <t>[effect:critical, val:1.5]</t>
    <phoneticPr fontId="5"/>
  </si>
  <si>
    <t>&lt;噛みつき&gt;</t>
    <rPh sb="1" eb="5">
      <t>カm</t>
    </rPh>
    <phoneticPr fontId="5"/>
  </si>
  <si>
    <t>[effect:spread, val:0.4]</t>
    <phoneticPr fontId="5"/>
  </si>
  <si>
    <t>&lt;ショットガン&gt;</t>
    <phoneticPr fontId="5"/>
  </si>
  <si>
    <t>全体攻撃</t>
    <rPh sb="0" eb="4">
      <t>ゼン</t>
    </rPh>
    <phoneticPr fontId="5"/>
  </si>
  <si>
    <t>[effect:freq_turn, target:enemy_all, turn:3, val:1, animation:enemy_freq_turn]</t>
    <phoneticPr fontId="5"/>
  </si>
  <si>
    <t>&lt;警報&gt;</t>
    <rPh sb="1" eb="3">
      <t>ケイホ</t>
    </rPh>
    <phoneticPr fontId="5"/>
  </si>
  <si>
    <t>[effect:rush, count:4, val:0.3]</t>
    <phoneticPr fontId="5"/>
  </si>
  <si>
    <t>&lt;放電&gt;</t>
    <rPh sb="1" eb="3">
      <t>ホ</t>
    </rPh>
    <phoneticPr fontId="5"/>
  </si>
  <si>
    <t>……助け…て…</t>
    <rPh sb="2" eb="6">
      <t>タスk</t>
    </rPh>
    <phoneticPr fontId="5"/>
  </si>
  <si>
    <t>虚ろな瞳で襲いかかってくる！</t>
    <phoneticPr fontId="5"/>
  </si>
  <si>
    <t>&lt;パチパチキャンディ&gt;</t>
    <phoneticPr fontId="5"/>
  </si>
  <si>
    <t xml:space="preserve">[effect:rush, count:6, val:0.2]    </t>
    <phoneticPr fontId="5"/>
  </si>
  <si>
    <t>&lt;串刺しナイフ&gt;</t>
    <rPh sb="1" eb="2">
      <t>クシ</t>
    </rPh>
    <rPh sb="2" eb="7">
      <t>ザs</t>
    </rPh>
    <phoneticPr fontId="5"/>
  </si>
  <si>
    <t xml:space="preserve">[effect:enhance_enemy, target:myself, turn:4, status:defense, val:4000, calc:add, animation:enemy_enhance_defense]    </t>
    <phoneticPr fontId="5"/>
  </si>
  <si>
    <t>&lt;緊急措置&gt;</t>
    <rPh sb="1" eb="5">
      <t>キンキュ</t>
    </rPh>
    <phoneticPr fontId="5"/>
  </si>
  <si>
    <t>[effect:nothing]</t>
  </si>
  <si>
    <t>[effect:rush, count:6, val:0.2]</t>
    <phoneticPr fontId="5"/>
  </si>
  <si>
    <t>&lt;呪文詠唱中…&gt;</t>
    <rPh sb="1" eb="3">
      <t>ジュモン</t>
    </rPh>
    <rPh sb="3" eb="6">
      <t>エイショ</t>
    </rPh>
    <phoneticPr fontId="5"/>
  </si>
  <si>
    <t>[effect:critical, val:3]</t>
    <phoneticPr fontId="5"/>
  </si>
  <si>
    <t>&lt;シュガフルマジック&gt;</t>
    <phoneticPr fontId="5"/>
  </si>
  <si>
    <t>[effect:damage_anti_tribe, target:unit_all, tribe:machine, val1:1.3, val2:0.1]</t>
    <phoneticPr fontId="5"/>
  </si>
  <si>
    <t>&lt;強制分解&gt;</t>
    <rPh sb="1" eb="5">
      <t>キョ</t>
    </rPh>
    <phoneticPr fontId="5"/>
  </si>
  <si>
    <t>[effect:crash_condition, target:unit_all, val:1, turn:5, animation:enemy_crash_extend]</t>
    <phoneticPr fontId="5"/>
  </si>
  <si>
    <t>&lt;パネル生成妨害&gt;</t>
    <rPh sb="4" eb="8">
      <t>セイセ</t>
    </rPh>
    <phoneticPr fontId="5"/>
  </si>
  <si>
    <t xml:space="preserve">[effect:enhance_enemy, target:enemy_all, turn:4, status:defense, val:4000, calc:add, animation:enemy_enhance_defense]    </t>
    <phoneticPr fontId="5"/>
  </si>
  <si>
    <t>&lt;スイートハウス&gt;</t>
    <phoneticPr fontId="5"/>
  </si>
  <si>
    <t>&lt;侵入者撃退&gt;</t>
    <rPh sb="1" eb="4">
      <t>シン</t>
    </rPh>
    <rPh sb="4" eb="6">
      <t>ゲキタ</t>
    </rPh>
    <phoneticPr fontId="5"/>
  </si>
  <si>
    <t>&lt;パネル生成妨害&gt;</t>
    <rPh sb="4" eb="6">
      <t>セ</t>
    </rPh>
    <rPh sb="6" eb="8">
      <t>ボ</t>
    </rPh>
    <phoneticPr fontId="5"/>
  </si>
  <si>
    <t>[effect:damage_anti_tribe, target:unit_all, tribe:machine, val1:1.5, val2:0.3]</t>
    <phoneticPr fontId="5"/>
  </si>
  <si>
    <t>[effect:enhance_enemy, target:enemy_all, turn:4, status:defense, val:4000, calc:add, animation:enemy_enhance_defense]</t>
    <phoneticPr fontId="5"/>
  </si>
  <si>
    <t>&lt;侵入者撃退&gt;</t>
    <phoneticPr fontId="5"/>
  </si>
  <si>
    <t>君たちか…僕の玩具を壊したのは…</t>
    <rPh sb="0" eb="4">
      <t>キm</t>
    </rPh>
    <rPh sb="5" eb="7">
      <t>ボk</t>
    </rPh>
    <rPh sb="7" eb="9">
      <t>オモチャ</t>
    </rPh>
    <rPh sb="10" eb="15">
      <t>コワs</t>
    </rPh>
    <phoneticPr fontId="5"/>
  </si>
  <si>
    <t>[effect:break_attack, val:0.3, lowest_val:333, count:-1, block:block_heart, target:unit_one],[effect:fix_speed, target:myself, turn:2]</t>
    <phoneticPr fontId="5"/>
  </si>
  <si>
    <t>屈辱を味わわせてやる！</t>
    <rPh sb="0" eb="3">
      <t>クt</t>
    </rPh>
    <rPh sb="3" eb="10">
      <t>アj</t>
    </rPh>
    <phoneticPr fontId="5"/>
  </si>
  <si>
    <t>[effect:spread, val:0.3],[effect:hungup, target:unit_all, turn:1, rate:0.2, animation:hungup01]</t>
    <phoneticPr fontId="5"/>
  </si>
  <si>
    <t>バインド・バレット</t>
    <phoneticPr fontId="5"/>
  </si>
  <si>
    <t>[effect:damage_anti_tribe, target:unit_all, tribe:dragon, val1:1.3, val2:0.1]</t>
    <phoneticPr fontId="5"/>
  </si>
  <si>
    <t>竜とて所詮おとぎ話さ…</t>
    <rPh sb="0" eb="1">
      <t>リュウ</t>
    </rPh>
    <rPh sb="3" eb="5">
      <t>ショセン</t>
    </rPh>
    <rPh sb="8" eb="10">
      <t>バナs</t>
    </rPh>
    <phoneticPr fontId="5"/>
  </si>
  <si>
    <t>[effect:rush, count:4, val:0.3]</t>
    <phoneticPr fontId="5"/>
  </si>
  <si>
    <t>リニア・バレット</t>
    <phoneticPr fontId="5"/>
  </si>
  <si>
    <t>君たちも僕のコレクションに加えてあげよう</t>
    <rPh sb="0" eb="4">
      <t>キm</t>
    </rPh>
    <rPh sb="4" eb="6">
      <t>ボk</t>
    </rPh>
    <rPh sb="13" eb="20">
      <t>クワ</t>
    </rPh>
    <phoneticPr fontId="5"/>
  </si>
  <si>
    <t>リニア・バレット</t>
    <phoneticPr fontId="5"/>
  </si>
  <si>
    <t>[effect:hungup, target:unit_all, turn:2, rate:1, animation:hungup01]</t>
    <phoneticPr fontId="5"/>
  </si>
  <si>
    <t>お人形にしてやるよ！</t>
    <rPh sb="1" eb="4">
      <t>ン</t>
    </rPh>
    <phoneticPr fontId="5"/>
  </si>
  <si>
    <t>[effect:damage_anti_tribe, target:unit_all, tribe:god, val1:1.3, val2:0.1]</t>
    <phoneticPr fontId="5"/>
  </si>
  <si>
    <t>神さえも支配してみせるさ</t>
    <rPh sb="0" eb="4">
      <t>カm</t>
    </rPh>
    <rPh sb="4" eb="11">
      <t>シハ</t>
    </rPh>
    <phoneticPr fontId="5"/>
  </si>
  <si>
    <t>[effect:tolerance, target:myself, turn:-1, tolerance_effect:hungup, count:-1, animation:enemy_tolerance],[effect:enhance_enemy, target:myself, turn:5, status:defense, val:3000, calc:add, animation:enemy_enhance_defense]</t>
    <phoneticPr fontId="5"/>
  </si>
  <si>
    <t>ja</t>
    <phoneticPr fontId="5"/>
  </si>
  <si>
    <t>この力でALICEを支配してみせる！</t>
    <rPh sb="2" eb="4">
      <t>チカr</t>
    </rPh>
    <rPh sb="10" eb="18">
      <t>シハ</t>
    </rPh>
    <phoneticPr fontId="5"/>
  </si>
  <si>
    <t>次で終わりにしてあげるよ！</t>
    <rPh sb="0" eb="2">
      <t>ツg</t>
    </rPh>
    <rPh sb="2" eb="6">
      <t>オワr</t>
    </rPh>
    <phoneticPr fontId="5"/>
  </si>
  <si>
    <t>[effect:break_attack, val:0.3, lowest_val:333, count:-1, block:block_heart, target:unit_one]</t>
    <phoneticPr fontId="5"/>
  </si>
  <si>
    <t>これで屈服させてやる！</t>
    <rPh sb="3" eb="5">
      <t>クップk</t>
    </rPh>
    <phoneticPr fontId="5"/>
  </si>
  <si>
    <t>勝てるとでも思ったかい？</t>
    <rPh sb="0" eb="6">
      <t>カt</t>
    </rPh>
    <rPh sb="6" eb="12">
      <t>オモtt</t>
    </rPh>
    <phoneticPr fontId="5"/>
  </si>
  <si>
    <t>[effect:freq_turn, target:myself, turn:-1, val:1, animation:enemy_freq_turn]</t>
    <phoneticPr fontId="5"/>
  </si>
  <si>
    <t>ja</t>
    <phoneticPr fontId="5"/>
  </si>
  <si>
    <t>さあ、そろそろエピローグだ</t>
    <phoneticPr fontId="5"/>
  </si>
  <si>
    <t>支配の銃弾</t>
    <rPh sb="0" eb="3">
      <t>シh</t>
    </rPh>
    <rPh sb="3" eb="5">
      <t>10ダン</t>
    </rPh>
    <phoneticPr fontId="5"/>
  </si>
  <si>
    <t>ja</t>
    <phoneticPr fontId="5"/>
  </si>
  <si>
    <t>old</t>
  </si>
  <si>
    <t>link</t>
    <phoneticPr fontId="5"/>
  </si>
  <si>
    <t>unit</t>
    <phoneticPr fontId="5"/>
  </si>
  <si>
    <t>unit</t>
    <phoneticPr fontId="5"/>
  </si>
  <si>
    <t>unit</t>
    <phoneticPr fontId="5"/>
  </si>
  <si>
    <t>強力なハートパネル吸収攻撃！</t>
    <rPh sb="0" eb="2">
      <t>キョウリョクナ</t>
    </rPh>
    <rPh sb="9" eb="11">
      <t>キュウシュ</t>
    </rPh>
    <rPh sb="11" eb="13">
      <t>コウゲキ</t>
    </rPh>
    <phoneticPr fontId="5"/>
  </si>
  <si>
    <t>全体攻撃+低確率で1ターンスキルバインド</t>
    <rPh sb="0" eb="4">
      <t>ゼン</t>
    </rPh>
    <rPh sb="5" eb="9">
      <t>テイカクリt</t>
    </rPh>
    <phoneticPr fontId="5"/>
  </si>
  <si>
    <t>6回連続攻撃</t>
    <rPh sb="1" eb="2">
      <t>カイ</t>
    </rPh>
    <rPh sb="2" eb="6">
      <t>レンゾk</t>
    </rPh>
    <phoneticPr fontId="5"/>
  </si>
  <si>
    <t>フィーバーゲージ減少</t>
    <rPh sb="8" eb="10">
      <t>ゲンショウ</t>
    </rPh>
    <phoneticPr fontId="5"/>
  </si>
  <si>
    <t>攻撃頻度UP</t>
    <rPh sb="0" eb="4">
      <t>コウゲキヒンド</t>
    </rPh>
    <phoneticPr fontId="5"/>
  </si>
  <si>
    <t>だんだん強くなる攻撃！</t>
    <rPh sb="4" eb="5">
      <t>ツヨクナル</t>
    </rPh>
    <rPh sb="8" eb="10">
      <t>コウゲキ</t>
    </rPh>
    <phoneticPr fontId="5"/>
  </si>
  <si>
    <t>種族ゴッドのユニットに大ダメージ</t>
    <phoneticPr fontId="5"/>
  </si>
  <si>
    <t>2ターン全体スキルバインド</t>
    <rPh sb="4" eb="6">
      <t>ゼン</t>
    </rPh>
    <phoneticPr fontId="5"/>
  </si>
  <si>
    <t>状態異常耐性+Cパネル変換禁止</t>
    <rPh sb="11" eb="13">
      <t>ヘンカン</t>
    </rPh>
    <rPh sb="13" eb="15">
      <t>キンシ</t>
    </rPh>
    <phoneticPr fontId="5"/>
  </si>
  <si>
    <t>種族ドラゴンのユニットに大ダメージ</t>
    <phoneticPr fontId="5"/>
  </si>
  <si>
    <t>次のターン強力なハートパネル吸収攻撃！</t>
    <rPh sb="0" eb="1">
      <t>ツギノ</t>
    </rPh>
    <rPh sb="5" eb="7">
      <t>キョウリョクナ</t>
    </rPh>
    <rPh sb="14" eb="16">
      <t>キュウシュウ</t>
    </rPh>
    <rPh sb="16" eb="18">
      <t>コウゲキ</t>
    </rPh>
    <phoneticPr fontId="5"/>
  </si>
  <si>
    <t>強力なハートパネル吸収攻撃！</t>
    <rPh sb="0" eb="2">
      <t>キョウリョクナ</t>
    </rPh>
    <rPh sb="9" eb="13">
      <t>キュウシュウコウゲキ</t>
    </rPh>
    <phoneticPr fontId="5"/>
  </si>
  <si>
    <t>青パネルを3個まで時限式パネルに変換</t>
    <rPh sb="0" eb="5">
      <t>アオパネr</t>
    </rPh>
    <rPh sb="6" eb="7">
      <t>コ</t>
    </rPh>
    <rPh sb="9" eb="11">
      <t>ジゲン</t>
    </rPh>
    <rPh sb="11" eb="12">
      <t>シキ</t>
    </rPh>
    <rPh sb="16" eb="18">
      <t>ヘン</t>
    </rPh>
    <phoneticPr fontId="5"/>
  </si>
  <si>
    <t>種族マシンのユニットに大ダメージ</t>
    <phoneticPr fontId="5"/>
  </si>
  <si>
    <t>5ターンCパネル生成延長</t>
    <rPh sb="8" eb="10">
      <t>セ</t>
    </rPh>
    <rPh sb="10" eb="12">
      <t>エンチョ</t>
    </rPh>
    <phoneticPr fontId="5"/>
  </si>
  <si>
    <t>青パネルを3個まで時限式パネルに変換</t>
    <rPh sb="0" eb="5">
      <t>アオパネr</t>
    </rPh>
    <rPh sb="6" eb="7">
      <t>コ</t>
    </rPh>
    <rPh sb="9" eb="12">
      <t>ジゲンシキ</t>
    </rPh>
    <rPh sb="16" eb="18">
      <t>ヘン</t>
    </rPh>
    <phoneticPr fontId="5"/>
  </si>
  <si>
    <t>4ターン自身の防御力大UP</t>
    <rPh sb="4" eb="6">
      <t>ジシn</t>
    </rPh>
    <rPh sb="7" eb="10">
      <t>ボウギョリョク</t>
    </rPh>
    <rPh sb="10" eb="11">
      <t>ダイ</t>
    </rPh>
    <phoneticPr fontId="5"/>
  </si>
  <si>
    <t>超大クリティカル！</t>
    <rPh sb="0" eb="1">
      <t>チョウ</t>
    </rPh>
    <rPh sb="1" eb="2">
      <t>ダイ</t>
    </rPh>
    <phoneticPr fontId="5"/>
  </si>
  <si>
    <t>次のターン強力な一撃！</t>
    <rPh sb="0" eb="1">
      <t>ツギノターン</t>
    </rPh>
    <rPh sb="5" eb="7">
      <t>キョウリョクナ</t>
    </rPh>
    <rPh sb="8" eb="10">
      <t>イチゲキ</t>
    </rPh>
    <phoneticPr fontId="5"/>
  </si>
  <si>
    <t>6回連続攻撃</t>
    <rPh sb="1" eb="2">
      <t>カイ</t>
    </rPh>
    <rPh sb="2" eb="6">
      <t>レンゾクコウゲキ</t>
    </rPh>
    <phoneticPr fontId="5"/>
  </si>
  <si>
    <t>4回連続攻撃</t>
    <rPh sb="1" eb="2">
      <t>カイ</t>
    </rPh>
    <rPh sb="2" eb="6">
      <t>レンゾクコウゲキ</t>
    </rPh>
    <phoneticPr fontId="5"/>
  </si>
  <si>
    <t>3ターン攻撃頻度UP</t>
    <rPh sb="4" eb="8">
      <t>コウゲキヒンド</t>
    </rPh>
    <phoneticPr fontId="5"/>
  </si>
  <si>
    <t>クリティカル！</t>
    <phoneticPr fontId="5"/>
  </si>
  <si>
    <t>種族ヒューマンのユニットに大ダメージ</t>
    <phoneticPr fontId="5"/>
  </si>
  <si>
    <t>お邪魔パネル吸収攻撃</t>
    <rPh sb="1" eb="6">
      <t>ジャm</t>
    </rPh>
    <rPh sb="6" eb="10">
      <t>キュウシュウコウゲキ</t>
    </rPh>
    <phoneticPr fontId="5"/>
  </si>
  <si>
    <t>攻撃頻度UP</t>
    <rPh sb="0" eb="4">
      <t>コウゲk</t>
    </rPh>
    <phoneticPr fontId="5"/>
  </si>
  <si>
    <t>お邪魔パネル6個生成＋クリティカル！</t>
    <rPh sb="7" eb="8">
      <t>コ</t>
    </rPh>
    <rPh sb="8" eb="10">
      <t>セ</t>
    </rPh>
    <phoneticPr fontId="5"/>
  </si>
  <si>
    <t>お邪魔パネル3個生成＋攻撃</t>
    <rPh sb="1" eb="6">
      <t>ジャマパネr</t>
    </rPh>
    <rPh sb="7" eb="8">
      <t>コ</t>
    </rPh>
    <rPh sb="8" eb="10">
      <t>セ</t>
    </rPh>
    <rPh sb="11" eb="13">
      <t>コウゲキ</t>
    </rPh>
    <phoneticPr fontId="5"/>
  </si>
  <si>
    <t>3ターン全属性カウンター</t>
    <rPh sb="4" eb="7">
      <t>ゼンゾクセイ</t>
    </rPh>
    <phoneticPr fontId="5"/>
  </si>
  <si>
    <t>20回連続攻撃</t>
    <rPh sb="2" eb="3">
      <t>カイ</t>
    </rPh>
    <rPh sb="3" eb="7">
      <t>レンゾクコウゲキ</t>
    </rPh>
    <phoneticPr fontId="5"/>
  </si>
  <si>
    <t>自身の攻撃力大UP</t>
    <rPh sb="0" eb="2">
      <t>ジシn</t>
    </rPh>
    <rPh sb="3" eb="6">
      <t>コウゲキリョク</t>
    </rPh>
    <rPh sb="6" eb="7">
      <t>ダイ</t>
    </rPh>
    <phoneticPr fontId="5"/>
  </si>
  <si>
    <t>[effect:enhance_enemy, target:myself, turn:-1, status:attack, val:0.3, calc:mul, animation:enemy_enhance_attack]</t>
    <phoneticPr fontId="5"/>
  </si>
  <si>
    <t>種族アニマルのユニットに大ダメージ</t>
    <phoneticPr fontId="5"/>
  </si>
  <si>
    <t>1ターン全属性カウンター</t>
    <rPh sb="4" eb="7">
      <t>ゼンゾクセイ</t>
    </rPh>
    <phoneticPr fontId="5"/>
  </si>
  <si>
    <t>5ターン自身の防御力UP</t>
    <rPh sb="4" eb="6">
      <t>ジシn</t>
    </rPh>
    <rPh sb="7" eb="10">
      <t>ボウギョリョク</t>
    </rPh>
    <phoneticPr fontId="5"/>
  </si>
  <si>
    <t>青パネルプロテクト＋3ターン攻撃頻度UP</t>
    <rPh sb="0" eb="1">
      <t>アオ</t>
    </rPh>
    <rPh sb="14" eb="18">
      <t>コウゲキヒンド</t>
    </rPh>
    <phoneticPr fontId="5"/>
  </si>
  <si>
    <t>[effect:panel_freeze, target:block_blue, count:30],[effect:freq_turn, target:myself, turn:3, val:1, animation:enemy_freq_turn]</t>
    <phoneticPr fontId="5"/>
  </si>
  <si>
    <t>[effect:enemy_message, val1:1.4],[effect:tolerance, target:myself, turn:-1, tolerance_effect:hungup, count:-1, animation:enemy_tolerance],[effect:invalidate_change_block, target:unit_all, block_type:crash, turn:-1, animation:panel_conversion_off]</t>
    <phoneticPr fontId="5"/>
  </si>
  <si>
    <t>[effect:enemy_message, val1:1.4],[effect:tolerance, target:myself, turn:-1, tolerance_effect:hungup, count:-1, animation:enemy_tolerance],[effect:fix_speed, target:myself, turn:1]</t>
    <phoneticPr fontId="5"/>
  </si>
  <si>
    <t>結末は僕の手で創造する</t>
    <rPh sb="0" eb="2">
      <t>ケツマツハ</t>
    </rPh>
    <rPh sb="3" eb="4">
      <t>ボクノ</t>
    </rPh>
    <rPh sb="5" eb="6">
      <t>テデ</t>
    </rPh>
    <rPh sb="7" eb="9">
      <t>ソウゾウ</t>
    </rPh>
    <phoneticPr fontId="5"/>
  </si>
  <si>
    <t>誰にも邪魔はさせないぞ…！</t>
    <rPh sb="0" eb="1">
      <t>ダレノ</t>
    </rPh>
    <rPh sb="3" eb="5">
      <t>ジャマハ</t>
    </rPh>
    <phoneticPr fontId="5"/>
  </si>
  <si>
    <t>[effect:degrade_unit, target:unit_all, turn:5, status:attack, val:0.5],[effect:degrade_unit, target:unit_all, turn:5, status:heal, val:0.5]</t>
    <phoneticPr fontId="5"/>
  </si>
  <si>
    <t>さあ、そろそろエピローグだ！</t>
    <phoneticPr fontId="5"/>
  </si>
  <si>
    <t>攻撃頻度UP＋フィーバーゲージ減少</t>
    <rPh sb="0" eb="4">
      <t>コウゲキヒンド</t>
    </rPh>
    <rPh sb="15" eb="17">
      <t>ゲンショウ</t>
    </rPh>
    <phoneticPr fontId="5"/>
  </si>
  <si>
    <t>[effect:degrade_fever, val:1000, animation:fevergauge_down]</t>
    <phoneticPr fontId="5"/>
  </si>
  <si>
    <t>[effect:freq_turn, target:myself, turn:-1, val:1, animation:enemy_freq_turn],[effect:degrade_fever, val:1000, animation:fevergauge_down]</t>
    <phoneticPr fontId="5"/>
  </si>
  <si>
    <t>それが君の玩具なのかい？</t>
    <rPh sb="3" eb="4">
      <t>キミノ</t>
    </rPh>
    <rPh sb="5" eb="7">
      <t>オモチャ</t>
    </rPh>
    <phoneticPr fontId="5"/>
  </si>
  <si>
    <t>種族アニマルのユニットに大ダメージ</t>
    <rPh sb="12" eb="13">
      <t>トクダイ</t>
    </rPh>
    <phoneticPr fontId="5"/>
  </si>
  <si>
    <t>種族ヒューマンのユニットに大ダメージ</t>
    <rPh sb="13" eb="14">
      <t>トクダイ</t>
    </rPh>
    <phoneticPr fontId="5"/>
  </si>
  <si>
    <t>種族マシンのユニットに大ダメージ</t>
    <rPh sb="11" eb="12">
      <t>トクダイ</t>
    </rPh>
    <phoneticPr fontId="5"/>
  </si>
  <si>
    <t>種族ドラゴンのユニットに大ダメージ</t>
    <rPh sb="12" eb="13">
      <t>トクダイ</t>
    </rPh>
    <phoneticPr fontId="5"/>
  </si>
  <si>
    <t>種族ゴッドのユニットに大ダメージ</t>
    <rPh sb="11" eb="12">
      <t>トクダイ</t>
    </rPh>
    <phoneticPr fontId="5"/>
  </si>
  <si>
    <t>種族ウェポンのユニットに大ダメージ</t>
    <rPh sb="12" eb="13">
      <t>トクダイ</t>
    </rPh>
    <phoneticPr fontId="5"/>
  </si>
  <si>
    <t>[effect:damage_anti_tribe, target:unit_all, tribe:human, val1:1.2, val2:0.2]</t>
    <phoneticPr fontId="5"/>
  </si>
  <si>
    <t>[effect:damage_anti_tribe, target:unit_all, tribe:animal, val1:1.2, val2:0.2]</t>
    <phoneticPr fontId="5"/>
  </si>
  <si>
    <t>[effect:damage_anti_tribe, target:unit_all, tribe:machine, val1:1.2, val2:0.2]</t>
    <phoneticPr fontId="5"/>
  </si>
  <si>
    <t>[effect:damage_anti_tribe, target:unit_all, tribe:dragon, val1:1.2, val2:0.2]</t>
    <phoneticPr fontId="5"/>
  </si>
  <si>
    <t>[effect:damage_anti_tribe, target:unit_all, tribe:weapon, val1:1.2, val2:0.2]</t>
    <phoneticPr fontId="5"/>
  </si>
  <si>
    <t>自身の攻撃力大UP</t>
    <rPh sb="0" eb="2">
      <t>ジシン</t>
    </rPh>
    <rPh sb="3" eb="6">
      <t>コウゲキリョク</t>
    </rPh>
    <rPh sb="6" eb="7">
      <t>ダイ</t>
    </rPh>
    <phoneticPr fontId="5"/>
  </si>
  <si>
    <t>[effect:enhance_enemy, target:myself, turn:-1, status:attack, val:0.3, calc:mul, animation:enemy_enhance_attack]</t>
    <phoneticPr fontId="5"/>
  </si>
  <si>
    <t>[effect:change_block, new_block:time_bomb, target:block_blue, count:3, val:0.3, min_time_count:2, max_time_count:2, animation:change_block]</t>
    <phoneticPr fontId="5"/>
  </si>
  <si>
    <t>[effect:change_block, new_block:time_bomb, target:block_blue, count:3, val:0.3, min_time_count:2, max_time_count:2, animation:change_block]</t>
    <phoneticPr fontId="5"/>
  </si>
  <si>
    <t>4回連続攻撃</t>
    <rPh sb="1" eb="2">
      <t>カイ</t>
    </rPh>
    <phoneticPr fontId="5"/>
  </si>
  <si>
    <t>[effect:damage_anti_tribe, target:unit_all, tribe:god, val1:1.2, val2:0.2]</t>
    <phoneticPr fontId="5"/>
  </si>
  <si>
    <t>[effect:enemy_message, val1:1.2, val2:2.4],[effect:crash_condition, target:unit_all, val:6, turn:5, animation:crash_panel_reduce03]</t>
    <phoneticPr fontId="5"/>
  </si>
  <si>
    <t>僕のペースで進めさせてもらうよ</t>
    <rPh sb="0" eb="1">
      <t>ボクノ</t>
    </rPh>
    <rPh sb="6" eb="7">
      <t>ススメサセテ</t>
    </rPh>
    <phoneticPr fontId="5"/>
  </si>
  <si>
    <t>[effect:critical, val:1.6]</t>
    <phoneticPr fontId="5"/>
  </si>
  <si>
    <t>[effect:critical, val:2.4]</t>
    <phoneticPr fontId="5"/>
  </si>
  <si>
    <t>[effect:critical, val:1.8]</t>
    <phoneticPr fontId="5"/>
  </si>
  <si>
    <t>[effect:critical, val:2.0]</t>
    <phoneticPr fontId="5"/>
  </si>
  <si>
    <t>どちらかのエネミーが倒れた時に
発動するスキルに気をつけましょう
手強い時は倒す順番を変えるのも有効です</t>
    <phoneticPr fontId="5"/>
  </si>
  <si>
    <t>アナスタシアが生成したお邪魔パネルを使い
シンデレラが強力な吸収攻撃を放ちます
倒す順番を工夫して戦いましょう</t>
    <rPh sb="7" eb="9">
      <t>セイセイ</t>
    </rPh>
    <rPh sb="18" eb="19">
      <t>ツカイ</t>
    </rPh>
    <rPh sb="27" eb="29">
      <t>キョウリョクナ</t>
    </rPh>
    <rPh sb="30" eb="32">
      <t>キュウシュウ</t>
    </rPh>
    <rPh sb="32" eb="34">
      <t>コウゲキヲ</t>
    </rPh>
    <rPh sb="35" eb="36">
      <t>ハナチマス</t>
    </rPh>
    <rPh sb="41" eb="42">
      <t>タオス</t>
    </rPh>
    <rPh sb="43" eb="45">
      <t>ジュンバン</t>
    </rPh>
    <rPh sb="46" eb="48">
      <t>クフウ</t>
    </rPh>
    <rPh sb="50" eb="51">
      <t>タタカイマショウ</t>
    </rPh>
    <phoneticPr fontId="5"/>
  </si>
  <si>
    <t>グリムはCパネル変換を禁止してきます
スキルがCパネル変換系のユニットは
無力化されてしまうので注意しましょう</t>
    <rPh sb="11" eb="13">
      <t>キンシ</t>
    </rPh>
    <rPh sb="28" eb="30">
      <t>ヘンカン</t>
    </rPh>
    <rPh sb="30" eb="31">
      <t>ケイ</t>
    </rPh>
    <rPh sb="38" eb="41">
      <t>ムリョクカ</t>
    </rPh>
    <rPh sb="49" eb="51">
      <t>チュウイ</t>
    </rPh>
    <phoneticPr fontId="5"/>
  </si>
  <si>
    <t>グリムはCパネル変換を禁止したり
Cパネルの生成を延長してきます
手数不足に陥らないよう注意が必要です</t>
    <rPh sb="11" eb="13">
      <t>キンシ</t>
    </rPh>
    <rPh sb="22" eb="24">
      <t>セイセイ</t>
    </rPh>
    <rPh sb="25" eb="27">
      <t>エンチョウ</t>
    </rPh>
    <rPh sb="34" eb="36">
      <t>テカズ</t>
    </rPh>
    <rPh sb="36" eb="38">
      <t>フソク</t>
    </rPh>
    <rPh sb="39" eb="40">
      <t>オチイラナイ</t>
    </rPh>
    <rPh sb="45" eb="47">
      <t>チュウイ</t>
    </rPh>
    <rPh sb="48" eb="50">
      <t>ヒツヨウ</t>
    </rPh>
    <phoneticPr fontId="5"/>
  </si>
  <si>
    <t>グリムはハートパネルを吸収して
非常に強力な攻撃を放ってきます
発動の予告が出たらすぐに対応しましょう</t>
    <rPh sb="11" eb="13">
      <t>キュウシュウ</t>
    </rPh>
    <rPh sb="16" eb="18">
      <t>ヒジョウニ</t>
    </rPh>
    <rPh sb="25" eb="26">
      <t>ハナッテ</t>
    </rPh>
    <rPh sb="33" eb="35">
      <t>ハツドウ</t>
    </rPh>
    <rPh sb="45" eb="47">
      <t>タイオウ</t>
    </rPh>
    <phoneticPr fontId="5"/>
  </si>
  <si>
    <t>シュガフルはHPが低くなると
強力な攻撃を放ってきます
狙いを絞って一気に倒してしまいましょう</t>
    <rPh sb="21" eb="22">
      <t>ハナッテ</t>
    </rPh>
    <phoneticPr fontId="5"/>
  </si>
  <si>
    <t>4ターン敵全体の防御力大UP</t>
    <rPh sb="4" eb="5">
      <t>テキ</t>
    </rPh>
    <rPh sb="5" eb="7">
      <t>ゼンタイ</t>
    </rPh>
    <rPh sb="8" eb="11">
      <t>ボウギョリョク</t>
    </rPh>
    <rPh sb="11" eb="12">
      <t>ダイ</t>
    </rPh>
    <phoneticPr fontId="5"/>
  </si>
  <si>
    <t>状態異常耐性＆5ターン防御力UP</t>
    <rPh sb="11" eb="14">
      <t>ボウギョリョク</t>
    </rPh>
    <phoneticPr fontId="5"/>
  </si>
  <si>
    <t>5ターンCパネル生成延長(効果超大)
＋次のターン強力なハートパネル吸収攻撃！</t>
    <rPh sb="8" eb="10">
      <t>セイセイ</t>
    </rPh>
    <rPh sb="10" eb="12">
      <t>エンチョウ</t>
    </rPh>
    <rPh sb="20" eb="21">
      <t>ツギノ</t>
    </rPh>
    <rPh sb="25" eb="27">
      <t>キョウリョクナ</t>
    </rPh>
    <rPh sb="34" eb="36">
      <t>キュウシュウ</t>
    </rPh>
    <rPh sb="36" eb="38">
      <t>コウゲキ</t>
    </rPh>
    <phoneticPr fontId="5"/>
  </si>
  <si>
    <t>[effect:force_change_block, new_block:jammer, target:block_all, ignore01:block_positive, ignore02:block_negative, count:3, val:0],[effect:critical, val:1.0]</t>
    <phoneticPr fontId="5"/>
  </si>
  <si>
    <t>[effect:force_change_block, new_block:jammer, target:block_all, ignore01:block_positive, ignore02:block_negative, count:6, val:0],[effect:critical, val:1.3]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</si>
</sst>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2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9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31" borderId="3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31" borderId="24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6" fillId="31" borderId="26" xfId="0" applyFont="1" applyFill="1" applyBorder="1" applyAlignment="1">
      <alignment vertical="center"/>
    </xf>
    <xf numFmtId="0" fontId="4" fillId="1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13" borderId="29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0" fontId="6" fillId="31" borderId="31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6" fillId="31" borderId="33" xfId="0" applyFont="1" applyFill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36" xfId="0" applyFont="1" applyFill="1" applyBorder="1" applyAlignment="1">
      <alignment vertical="center"/>
    </xf>
    <xf numFmtId="0" fontId="6" fillId="31" borderId="3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4" fillId="7" borderId="38" xfId="0" applyFont="1" applyFill="1" applyBorder="1" applyAlignment="1">
      <alignment vertical="center"/>
    </xf>
    <xf numFmtId="0" fontId="14" fillId="7" borderId="39" xfId="0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0" borderId="39" xfId="0" applyFont="1" applyBorder="1" applyAlignment="1">
      <alignment vertical="center"/>
    </xf>
    <xf numFmtId="176" fontId="4" fillId="32" borderId="3" xfId="0" applyNumberFormat="1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6" fillId="33" borderId="3" xfId="0" applyFont="1" applyFill="1" applyBorder="1" applyAlignment="1">
      <alignment vertical="center"/>
    </xf>
    <xf numFmtId="0" fontId="6" fillId="32" borderId="7" xfId="0" applyFont="1" applyFill="1" applyBorder="1" applyAlignment="1">
      <alignment vertical="center"/>
    </xf>
    <xf numFmtId="176" fontId="4" fillId="32" borderId="24" xfId="0" applyNumberFormat="1" applyFont="1" applyFill="1" applyBorder="1" applyAlignment="1">
      <alignment horizontal="center" vertical="center"/>
    </xf>
    <xf numFmtId="0" fontId="4" fillId="32" borderId="25" xfId="0" applyFont="1" applyFill="1" applyBorder="1" applyAlignment="1">
      <alignment horizontal="center" vertical="center"/>
    </xf>
    <xf numFmtId="0" fontId="6" fillId="33" borderId="24" xfId="0" applyFont="1" applyFill="1" applyBorder="1" applyAlignment="1">
      <alignment vertical="center"/>
    </xf>
    <xf numFmtId="0" fontId="6" fillId="32" borderId="25" xfId="0" applyFont="1" applyFill="1" applyBorder="1" applyAlignment="1">
      <alignment vertical="center"/>
    </xf>
    <xf numFmtId="0" fontId="8" fillId="32" borderId="4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0" fontId="8" fillId="32" borderId="27" xfId="0" applyFont="1" applyFill="1" applyBorder="1" applyAlignment="1">
      <alignment vertical="center"/>
    </xf>
    <xf numFmtId="177" fontId="8" fillId="32" borderId="27" xfId="0" applyNumberFormat="1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25" xfId="0" applyFont="1" applyFill="1" applyBorder="1" applyAlignment="1">
      <alignment vertical="center"/>
    </xf>
    <xf numFmtId="0" fontId="11" fillId="32" borderId="7" xfId="0" applyFont="1" applyFill="1" applyBorder="1" applyAlignment="1">
      <alignment vertical="center"/>
    </xf>
    <xf numFmtId="0" fontId="11" fillId="32" borderId="12" xfId="0" applyFont="1" applyFill="1" applyBorder="1" applyAlignment="1">
      <alignment vertical="center"/>
    </xf>
    <xf numFmtId="0" fontId="16" fillId="0" borderId="25" xfId="0" applyFont="1" applyFill="1" applyBorder="1" applyAlignment="1">
      <alignment horizontal="left" vertical="center"/>
    </xf>
    <xf numFmtId="0" fontId="16" fillId="0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horizontal="left" vertical="center" wrapText="1"/>
    </xf>
    <xf numFmtId="14" fontId="16" fillId="0" borderId="25" xfId="0" applyNumberFormat="1" applyFont="1" applyFill="1" applyBorder="1" applyAlignment="1">
      <alignment horizontal="left" vertical="center"/>
    </xf>
    <xf numFmtId="0" fontId="16" fillId="0" borderId="32" xfId="0" applyFont="1" applyFill="1" applyBorder="1" applyAlignment="1">
      <alignment vertical="center"/>
    </xf>
    <xf numFmtId="0" fontId="16" fillId="0" borderId="32" xfId="0" applyFont="1" applyFill="1" applyBorder="1" applyAlignment="1">
      <alignment horizontal="left" vertical="center"/>
    </xf>
    <xf numFmtId="0" fontId="16" fillId="0" borderId="32" xfId="0" applyFont="1" applyFill="1" applyBorder="1" applyAlignment="1">
      <alignment horizontal="left" vertical="center" wrapText="1"/>
    </xf>
    <xf numFmtId="0" fontId="16" fillId="3" borderId="32" xfId="0" applyFont="1" applyFill="1" applyBorder="1" applyAlignment="1">
      <alignment horizontal="left" vertical="center" wrapText="1"/>
    </xf>
    <xf numFmtId="0" fontId="16" fillId="3" borderId="32" xfId="0" applyFont="1" applyFill="1" applyBorder="1" applyAlignment="1">
      <alignment vertical="center"/>
    </xf>
    <xf numFmtId="14" fontId="16" fillId="0" borderId="32" xfId="0" applyNumberFormat="1" applyFont="1" applyFill="1" applyBorder="1" applyAlignment="1">
      <alignment horizontal="left" vertical="center"/>
    </xf>
    <xf numFmtId="0" fontId="51" fillId="0" borderId="7" xfId="0" applyFont="1" applyFill="1" applyBorder="1"/>
    <xf numFmtId="0" fontId="0" fillId="0" borderId="25" xfId="0" applyBorder="1"/>
    <xf numFmtId="0" fontId="27" fillId="0" borderId="25" xfId="0" applyFont="1" applyFill="1" applyBorder="1"/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51" fillId="0" borderId="25" xfId="0" applyFont="1" applyFill="1" applyBorder="1"/>
    <xf numFmtId="0" fontId="27" fillId="0" borderId="32" xfId="0" applyFont="1" applyFill="1" applyBorder="1"/>
    <xf numFmtId="0" fontId="16" fillId="0" borderId="7" xfId="0" applyFont="1" applyFill="1" applyBorder="1" applyAlignment="1">
      <alignment vertical="center" wrapText="1"/>
    </xf>
    <xf numFmtId="38" fontId="16" fillId="0" borderId="7" xfId="628" applyFont="1" applyFill="1" applyBorder="1" applyAlignment="1">
      <alignment wrapText="1"/>
    </xf>
  </cellXfs>
  <cellStyles count="69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0" sqref="C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30" x14ac:dyDescent="0.15">
      <c r="A2" s="59" t="s">
        <v>303</v>
      </c>
      <c r="B2" s="55" t="s">
        <v>105</v>
      </c>
      <c r="C2" s="60">
        <v>41007</v>
      </c>
      <c r="D2" s="55" t="s">
        <v>106</v>
      </c>
      <c r="E2" s="54" t="str">
        <f>B2&amp;C2&amp;D2</f>
        <v>floors_41007.tmp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15">
      <c r="A3" s="59" t="s">
        <v>303</v>
      </c>
      <c r="B3" s="55" t="s">
        <v>108</v>
      </c>
      <c r="C3" s="60">
        <f>C$2</f>
        <v>41007</v>
      </c>
      <c r="D3" s="55" t="s">
        <v>106</v>
      </c>
      <c r="E3" s="54" t="str">
        <f>B3&amp;C3&amp;D3</f>
        <v>enemy_habitats_41007.tmp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176</v>
      </c>
    </row>
    <row r="4" spans="1:30" x14ac:dyDescent="0.15">
      <c r="A4" s="59" t="s">
        <v>303</v>
      </c>
      <c r="B4" s="55" t="s">
        <v>110</v>
      </c>
      <c r="C4" s="60">
        <f t="shared" ref="C4:C12" si="0">C$2</f>
        <v>41007</v>
      </c>
      <c r="D4" s="55" t="s">
        <v>106</v>
      </c>
      <c r="E4" s="54" t="str">
        <f>B4&amp;C4&amp;D4</f>
        <v>enemy_habitat_S_41007.tmp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x14ac:dyDescent="0.15">
      <c r="A5" s="59" t="s">
        <v>303</v>
      </c>
      <c r="B5" s="55" t="s">
        <v>112</v>
      </c>
      <c r="C5" s="60">
        <f t="shared" si="0"/>
        <v>41007</v>
      </c>
      <c r="D5" s="55" t="s">
        <v>106</v>
      </c>
      <c r="E5" s="54" t="str">
        <f>B5&amp;C5&amp;D5</f>
        <v>enemy_skill_sets_41007.tmp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30" x14ac:dyDescent="0.15">
      <c r="A6" s="59" t="s">
        <v>303</v>
      </c>
      <c r="B6" s="55" t="s">
        <v>114</v>
      </c>
      <c r="C6" s="60">
        <f t="shared" si="0"/>
        <v>41007</v>
      </c>
      <c r="D6" s="55" t="s">
        <v>115</v>
      </c>
      <c r="E6" s="54" t="str">
        <f t="shared" ref="E6:E10" si="1">B6&amp;C6&amp;D6</f>
        <v>enemy_skills_tmp_41007.tmp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30" x14ac:dyDescent="0.15">
      <c r="A7" s="59" t="s">
        <v>303</v>
      </c>
      <c r="B7" s="55" t="s">
        <v>116</v>
      </c>
      <c r="C7" s="60">
        <f t="shared" si="0"/>
        <v>41007</v>
      </c>
      <c r="D7" s="55" t="s">
        <v>106</v>
      </c>
      <c r="E7" s="54" t="str">
        <f>B7&amp;C7&amp;D7</f>
        <v>enemy_skills_i18n_41007.tmp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30" x14ac:dyDescent="0.15">
      <c r="A8" s="59" t="s">
        <v>303</v>
      </c>
      <c r="B8" s="55" t="s">
        <v>118</v>
      </c>
      <c r="C8" s="60">
        <f t="shared" si="0"/>
        <v>41007</v>
      </c>
      <c r="D8" s="55" t="s">
        <v>119</v>
      </c>
      <c r="E8" s="54" t="str">
        <f t="shared" si="1"/>
        <v>enemy_skill_triggers_41007.tmp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  <row r="9" spans="1:30" x14ac:dyDescent="0.15">
      <c r="A9" s="59" t="s">
        <v>303</v>
      </c>
      <c r="B9" s="65" t="s">
        <v>175</v>
      </c>
      <c r="C9" s="60">
        <f t="shared" si="0"/>
        <v>41007</v>
      </c>
      <c r="D9" s="65" t="s">
        <v>169</v>
      </c>
      <c r="E9" s="66" t="str">
        <f t="shared" si="1"/>
        <v>stage_bug_bonuses_41007.tmp</v>
      </c>
      <c r="F9" s="65" t="s">
        <v>170</v>
      </c>
      <c r="G9" s="62" t="s">
        <v>148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</row>
    <row r="10" spans="1:30" s="73" customFormat="1" x14ac:dyDescent="0.15">
      <c r="A10" s="59" t="s">
        <v>303</v>
      </c>
      <c r="B10" s="65" t="s">
        <v>199</v>
      </c>
      <c r="C10" s="60">
        <f>C$2</f>
        <v>41007</v>
      </c>
      <c r="D10" s="65" t="s">
        <v>178</v>
      </c>
      <c r="E10" s="66" t="str">
        <f t="shared" si="1"/>
        <v>stage_hints_data_c_41007.tmp</v>
      </c>
      <c r="F10" s="65" t="s">
        <v>207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72" t="s">
        <v>182</v>
      </c>
    </row>
    <row r="11" spans="1:30" s="73" customFormat="1" x14ac:dyDescent="0.15">
      <c r="A11" s="59" t="s">
        <v>303</v>
      </c>
      <c r="B11" s="65" t="s">
        <v>200</v>
      </c>
      <c r="C11" s="60">
        <f t="shared" si="0"/>
        <v>41007</v>
      </c>
      <c r="D11" s="65" t="s">
        <v>169</v>
      </c>
      <c r="E11" s="66" t="str">
        <f t="shared" ref="E11:E12" si="2">B11&amp;C11&amp;D11</f>
        <v>stage_hints_data_f_41007.tmp</v>
      </c>
      <c r="F11" s="65" t="s">
        <v>209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72" t="s">
        <v>182</v>
      </c>
    </row>
    <row r="12" spans="1:30" s="73" customFormat="1" x14ac:dyDescent="0.15">
      <c r="A12" s="59" t="s">
        <v>303</v>
      </c>
      <c r="B12" s="65" t="s">
        <v>201</v>
      </c>
      <c r="C12" s="60">
        <f t="shared" si="0"/>
        <v>41007</v>
      </c>
      <c r="D12" s="65" t="s">
        <v>169</v>
      </c>
      <c r="E12" s="66" t="str">
        <f t="shared" si="2"/>
        <v>stage_hints_i18n_41007.tmp</v>
      </c>
      <c r="F12" s="65" t="s">
        <v>210</v>
      </c>
      <c r="G12" s="71" t="s">
        <v>202</v>
      </c>
      <c r="H12" s="93" t="s">
        <v>203</v>
      </c>
      <c r="I12" s="70" t="s">
        <v>204</v>
      </c>
      <c r="J12" s="94" t="s">
        <v>205</v>
      </c>
      <c r="K12" s="72" t="s">
        <v>206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zoomScale="90" zoomScaleNormal="90" zoomScalePageLayoutView="90" workbookViewId="0">
      <pane ySplit="1" topLeftCell="A2" activePane="bottomLeft" state="frozen"/>
      <selection activeCell="V2" sqref="V2:X34"/>
      <selection pane="bottomLeft" activeCell="J18" sqref="J1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1" si="0">G2&amp;"-"&amp;I2</f>
        <v>41007_1-1</v>
      </c>
      <c r="B2" s="16" t="str">
        <f>IF(COUNTIF(enemy_habitats!$H:$H,A2),"OK","NG")</f>
        <v>OK</v>
      </c>
      <c r="C2" s="7">
        <v>41007</v>
      </c>
      <c r="D2" s="11" t="str">
        <f ca="1">VLOOKUP($C2,OFFSET([2]quests!$A$1,0,0,COUNTA([2]quests!$A:$A),MATCH(D$1,[2]quests!$1:$1,0)-MATCH($C$1,[2]quests!$1:$1,0)+1),MATCH(D$1,[2]quests!$1:$1,0)-MATCH($C$1,[2]quests!$1:$1,0)+1,FALSE)</f>
        <v>グリム襲来！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</v>
      </c>
      <c r="F2" s="20">
        <v>1</v>
      </c>
      <c r="G2" s="22" t="str">
        <f t="shared" ref="G2:G11" si="1">C2&amp;"_"&amp;F2</f>
        <v>41007_1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【超絶級】グリム襲来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41007_1-2</v>
      </c>
      <c r="B3" s="16" t="str">
        <f>IF(COUNTIF(enemy_habitats!$H:$H,A3),"OK","NG")</f>
        <v>OK</v>
      </c>
      <c r="C3" s="7">
        <v>41007</v>
      </c>
      <c r="D3" s="11" t="str">
        <f ca="1">VLOOKUP($C3,OFFSET([2]quests!$A$1,0,0,COUNTA([2]quests!$A:$A),MATCH(D$1,[2]quests!$1:$1,0)-MATCH($C$1,[2]quests!$1:$1,0)+1),MATCH(D$1,[2]quests!$1:$1,0)-MATCH($C$1,[2]quests!$1:$1,0)+1,FALSE)</f>
        <v>グリム襲来！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</v>
      </c>
      <c r="F3" s="20">
        <v>1</v>
      </c>
      <c r="G3" s="22" t="str">
        <f t="shared" si="1"/>
        <v>41007_1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【超絶級】グリム襲来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41007_1-3</v>
      </c>
      <c r="B4" s="16" t="str">
        <f>IF(COUNTIF(enemy_habitats!$H:$H,A4),"OK","NG")</f>
        <v>OK</v>
      </c>
      <c r="C4" s="7">
        <v>41007</v>
      </c>
      <c r="D4" s="11" t="str">
        <f ca="1">VLOOKUP($C4,OFFSET([2]quests!$A$1,0,0,COUNTA([2]quests!$A:$A),MATCH(D$1,[2]quests!$1:$1,0)-MATCH($C$1,[2]quests!$1:$1,0)+1),MATCH(D$1,[2]quests!$1:$1,0)-MATCH($C$1,[2]quests!$1:$1,0)+1,FALSE)</f>
        <v>グリム襲来！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</v>
      </c>
      <c r="F4" s="20">
        <v>1</v>
      </c>
      <c r="G4" s="22" t="str">
        <f t="shared" si="1"/>
        <v>41007_1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【超絶級】グリム襲来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41007_1-4</v>
      </c>
      <c r="B5" s="16" t="str">
        <f>IF(COUNTIF(enemy_habitats!$H:$H,A5),"OK","NG")</f>
        <v>OK</v>
      </c>
      <c r="C5" s="7">
        <v>41007</v>
      </c>
      <c r="D5" s="11" t="str">
        <f ca="1">VLOOKUP($C5,OFFSET([2]quests!$A$1,0,0,COUNTA([2]quests!$A:$A),MATCH(D$1,[2]quests!$1:$1,0)-MATCH($C$1,[2]quests!$1:$1,0)+1),MATCH(D$1,[2]quests!$1:$1,0)-MATCH($C$1,[2]quests!$1:$1,0)+1,FALSE)</f>
        <v>グリム襲来！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</v>
      </c>
      <c r="F5" s="20">
        <v>1</v>
      </c>
      <c r="G5" s="22" t="str">
        <f t="shared" si="1"/>
        <v>41007_1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【超絶級】グリム襲来</v>
      </c>
      <c r="I5" s="20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41007_1-5</v>
      </c>
      <c r="B6" s="16" t="str">
        <f>IF(COUNTIF(enemy_habitats!$H:$H,A6),"OK","NG")</f>
        <v>OK</v>
      </c>
      <c r="C6" s="7">
        <v>41007</v>
      </c>
      <c r="D6" s="11" t="str">
        <f ca="1">VLOOKUP($C6,OFFSET([2]quests!$A$1,0,0,COUNTA([2]quests!$A:$A),MATCH(D$1,[2]quests!$1:$1,0)-MATCH($C$1,[2]quests!$1:$1,0)+1),MATCH(D$1,[2]quests!$1:$1,0)-MATCH($C$1,[2]quests!$1:$1,0)+1,FALSE)</f>
        <v>グリム襲来！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</v>
      </c>
      <c r="F6" s="20">
        <v>1</v>
      </c>
      <c r="G6" s="22" t="str">
        <f t="shared" si="1"/>
        <v>41007_1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【超絶級】グリム襲来</v>
      </c>
      <c r="I6" s="20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41007_2-1</v>
      </c>
      <c r="B7" s="16" t="str">
        <f>IF(COUNTIF(enemy_habitats!$H:$H,A7),"OK","NG")</f>
        <v>OK</v>
      </c>
      <c r="C7" s="7">
        <v>41007</v>
      </c>
      <c r="D7" s="11" t="str">
        <f ca="1">VLOOKUP($C7,OFFSET([2]quests!$A$1,0,0,COUNTA([2]quests!$A:$A),MATCH(D$1,[2]quests!$1:$1,0)-MATCH($C$1,[2]quests!$1:$1,0)+1),MATCH(D$1,[2]quests!$1:$1,0)-MATCH($C$1,[2]quests!$1:$1,0)+1,FALSE)</f>
        <v>グリム襲来！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降臨1</v>
      </c>
      <c r="F7" s="20">
        <v>2</v>
      </c>
      <c r="G7" s="22" t="str">
        <f t="shared" si="1"/>
        <v>41007_2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【ウィザード級】グリム襲来</v>
      </c>
      <c r="I7" s="20">
        <v>1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41007_2-2</v>
      </c>
      <c r="B8" s="16" t="str">
        <f>IF(COUNTIF(enemy_habitats!$H:$H,A8),"OK","NG")</f>
        <v>OK</v>
      </c>
      <c r="C8" s="7">
        <v>41007</v>
      </c>
      <c r="D8" s="11" t="str">
        <f ca="1">VLOOKUP($C8,OFFSET([2]quests!$A$1,0,0,COUNTA([2]quests!$A:$A),MATCH(D$1,[2]quests!$1:$1,0)-MATCH($C$1,[2]quests!$1:$1,0)+1),MATCH(D$1,[2]quests!$1:$1,0)-MATCH($C$1,[2]quests!$1:$1,0)+1,FALSE)</f>
        <v>グリム襲来！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</v>
      </c>
      <c r="F8" s="20">
        <v>2</v>
      </c>
      <c r="G8" s="22" t="str">
        <f t="shared" si="1"/>
        <v>41007_2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【ウィザード級】グリム襲来</v>
      </c>
      <c r="I8" s="20">
        <v>2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41007_2-3</v>
      </c>
      <c r="B9" s="16" t="str">
        <f>IF(COUNTIF(enemy_habitats!$H:$H,A9),"OK","NG")</f>
        <v>OK</v>
      </c>
      <c r="C9" s="7">
        <v>41007</v>
      </c>
      <c r="D9" s="11" t="str">
        <f ca="1">VLOOKUP($C9,OFFSET([2]quests!$A$1,0,0,COUNTA([2]quests!$A:$A),MATCH(D$1,[2]quests!$1:$1,0)-MATCH($C$1,[2]quests!$1:$1,0)+1),MATCH(D$1,[2]quests!$1:$1,0)-MATCH($C$1,[2]quests!$1:$1,0)+1,FALSE)</f>
        <v>グリム襲来！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</v>
      </c>
      <c r="F9" s="20">
        <v>2</v>
      </c>
      <c r="G9" s="22" t="str">
        <f t="shared" si="1"/>
        <v>41007_2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【ウィザード級】グリム襲来</v>
      </c>
      <c r="I9" s="20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41007_2-4</v>
      </c>
      <c r="B10" s="16" t="str">
        <f>IF(COUNTIF(enemy_habitats!$H:$H,A10),"OK","NG")</f>
        <v>OK</v>
      </c>
      <c r="C10" s="7">
        <v>41007</v>
      </c>
      <c r="D10" s="11" t="str">
        <f ca="1">VLOOKUP($C10,OFFSET([2]quests!$A$1,0,0,COUNTA([2]quests!$A:$A),MATCH(D$1,[2]quests!$1:$1,0)-MATCH($C$1,[2]quests!$1:$1,0)+1),MATCH(D$1,[2]quests!$1:$1,0)-MATCH($C$1,[2]quests!$1:$1,0)+1,FALSE)</f>
        <v>グリム襲来！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20">
        <v>2</v>
      </c>
      <c r="G10" s="22" t="str">
        <f t="shared" si="1"/>
        <v>41007_2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【ウィザード級】グリム襲来</v>
      </c>
      <c r="I10" s="20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41007_2-5</v>
      </c>
      <c r="B11" s="16" t="str">
        <f>IF(COUNTIF(enemy_habitats!$H:$H,A11),"OK","NG")</f>
        <v>OK</v>
      </c>
      <c r="C11" s="7">
        <v>41007</v>
      </c>
      <c r="D11" s="11" t="str">
        <f ca="1">VLOOKUP($C11,OFFSET([2]quests!$A$1,0,0,COUNTA([2]quests!$A:$A),MATCH(D$1,[2]quests!$1:$1,0)-MATCH($C$1,[2]quests!$1:$1,0)+1),MATCH(D$1,[2]quests!$1:$1,0)-MATCH($C$1,[2]quests!$1:$1,0)+1,FALSE)</f>
        <v>グリム襲来！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20">
        <v>2</v>
      </c>
      <c r="G11" s="22" t="str">
        <f t="shared" si="1"/>
        <v>41007_2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【ウィザード級】グリム襲来</v>
      </c>
      <c r="I11" s="20">
        <v>5</v>
      </c>
      <c r="J11" s="12">
        <v>60</v>
      </c>
      <c r="K11" s="12">
        <v>60</v>
      </c>
    </row>
    <row r="12" spans="1:11" ht="21" customHeight="1" x14ac:dyDescent="0.15">
      <c r="A12" s="16" t="str">
        <f t="shared" ref="A12:A16" si="2">G12&amp;"-"&amp;I12</f>
        <v>41007_3-1</v>
      </c>
      <c r="B12" s="16" t="str">
        <f>IF(COUNTIF(enemy_habitats!$H:$H,A12),"OK","NG")</f>
        <v>OK</v>
      </c>
      <c r="C12" s="7">
        <v>41007</v>
      </c>
      <c r="D12" s="11" t="str">
        <f ca="1">VLOOKUP($C12,OFFSET([2]quests!$A$1,0,0,COUNTA([2]quests!$A:$A),MATCH(D$1,[2]quests!$1:$1,0)-MATCH($C$1,[2]quests!$1:$1,0)+1),MATCH(D$1,[2]quests!$1:$1,0)-MATCH($C$1,[2]quests!$1:$1,0)+1,FALSE)</f>
        <v>グリム襲来！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20">
        <v>3</v>
      </c>
      <c r="G12" s="22" t="str">
        <f t="shared" ref="G12:G16" si="3">C12&amp;"_"&amp;F12</f>
        <v>41007_3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【ノーコンテニュー】グリム襲来</v>
      </c>
      <c r="I12" s="20">
        <v>1</v>
      </c>
      <c r="J12" s="12">
        <v>60</v>
      </c>
      <c r="K12" s="12">
        <v>60</v>
      </c>
    </row>
    <row r="13" spans="1:11" ht="21" customHeight="1" x14ac:dyDescent="0.15">
      <c r="A13" s="16" t="str">
        <f t="shared" si="2"/>
        <v>41007_3-2</v>
      </c>
      <c r="B13" s="16" t="str">
        <f>IF(COUNTIF(enemy_habitats!$H:$H,A13),"OK","NG")</f>
        <v>OK</v>
      </c>
      <c r="C13" s="7">
        <v>41007</v>
      </c>
      <c r="D13" s="11" t="str">
        <f ca="1">VLOOKUP($C13,OFFSET([2]quests!$A$1,0,0,COUNTA([2]quests!$A:$A),MATCH(D$1,[2]quests!$1:$1,0)-MATCH($C$1,[2]quests!$1:$1,0)+1),MATCH(D$1,[2]quests!$1:$1,0)-MATCH($C$1,[2]quests!$1:$1,0)+1,FALSE)</f>
        <v>グリム襲来！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20">
        <v>3</v>
      </c>
      <c r="G13" s="22" t="str">
        <f t="shared" si="3"/>
        <v>41007_3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【ノーコンテニュー】グリム襲来</v>
      </c>
      <c r="I13" s="20">
        <v>2</v>
      </c>
      <c r="J13" s="12">
        <v>60</v>
      </c>
      <c r="K13" s="12">
        <v>60</v>
      </c>
    </row>
    <row r="14" spans="1:11" ht="21" customHeight="1" x14ac:dyDescent="0.15">
      <c r="A14" s="16" t="str">
        <f t="shared" si="2"/>
        <v>41007_3-3</v>
      </c>
      <c r="B14" s="16" t="str">
        <f>IF(COUNTIF(enemy_habitats!$H:$H,A14),"OK","NG")</f>
        <v>OK</v>
      </c>
      <c r="C14" s="7">
        <v>41007</v>
      </c>
      <c r="D14" s="11" t="str">
        <f ca="1">VLOOKUP($C14,OFFSET([2]quests!$A$1,0,0,COUNTA([2]quests!$A:$A),MATCH(D$1,[2]quests!$1:$1,0)-MATCH($C$1,[2]quests!$1:$1,0)+1),MATCH(D$1,[2]quests!$1:$1,0)-MATCH($C$1,[2]quests!$1:$1,0)+1,FALSE)</f>
        <v>グリム襲来！</v>
      </c>
      <c r="E14" s="18" t="str">
        <f ca="1">VLOOKUP($C14,OFFSET([2]quests!$A$1,0,0,COUNTA([2]quests!$A:$A),MATCH(E$1,[2]quests!$1:$1,0)-MATCH($C$1,[2]quests!$1:$1,0)+1),MATCH(E$1,[2]quests!$1:$1,0)-MATCH($C$1,[2]quests!$1:$1,0)+1,FALSE)</f>
        <v>降臨1</v>
      </c>
      <c r="F14" s="20">
        <v>3</v>
      </c>
      <c r="G14" s="22" t="str">
        <f t="shared" si="3"/>
        <v>41007_3</v>
      </c>
      <c r="H14" s="15" t="str">
        <f ca="1">VLOOKUP($G14,OFFSET([2]stages!$A$1,0,0,COUNTA([2]stages!$A:$A),MATCH(H$1,[2]stages!$2:$2,0)-MATCH($G$1,[2]stages!$2:$2,0)+1),MATCH(H$1,[2]stages!$2:$2,0)-MATCH($G$1,[2]stages!$2:$2,0)+1,FALSE)</f>
        <v>【ノーコンテニュー】グリム襲来</v>
      </c>
      <c r="I14" s="20">
        <v>3</v>
      </c>
      <c r="J14" s="12">
        <v>60</v>
      </c>
      <c r="K14" s="12">
        <v>60</v>
      </c>
    </row>
    <row r="15" spans="1:11" ht="21" customHeight="1" x14ac:dyDescent="0.15">
      <c r="A15" s="16" t="str">
        <f t="shared" si="2"/>
        <v>41007_3-4</v>
      </c>
      <c r="B15" s="16" t="str">
        <f>IF(COUNTIF(enemy_habitats!$H:$H,A15),"OK","NG")</f>
        <v>OK</v>
      </c>
      <c r="C15" s="7">
        <v>41007</v>
      </c>
      <c r="D15" s="11" t="str">
        <f ca="1">VLOOKUP($C15,OFFSET([2]quests!$A$1,0,0,COUNTA([2]quests!$A:$A),MATCH(D$1,[2]quests!$1:$1,0)-MATCH($C$1,[2]quests!$1:$1,0)+1),MATCH(D$1,[2]quests!$1:$1,0)-MATCH($C$1,[2]quests!$1:$1,0)+1,FALSE)</f>
        <v>グリム襲来！</v>
      </c>
      <c r="E15" s="18" t="str">
        <f ca="1">VLOOKUP($C15,OFFSET([2]quests!$A$1,0,0,COUNTA([2]quests!$A:$A),MATCH(E$1,[2]quests!$1:$1,0)-MATCH($C$1,[2]quests!$1:$1,0)+1),MATCH(E$1,[2]quests!$1:$1,0)-MATCH($C$1,[2]quests!$1:$1,0)+1,FALSE)</f>
        <v>降臨1</v>
      </c>
      <c r="F15" s="20">
        <v>3</v>
      </c>
      <c r="G15" s="22" t="str">
        <f t="shared" si="3"/>
        <v>41007_3</v>
      </c>
      <c r="H15" s="15" t="str">
        <f ca="1">VLOOKUP($G15,OFFSET([2]stages!$A$1,0,0,COUNTA([2]stages!$A:$A),MATCH(H$1,[2]stages!$2:$2,0)-MATCH($G$1,[2]stages!$2:$2,0)+1),MATCH(H$1,[2]stages!$2:$2,0)-MATCH($G$1,[2]stages!$2:$2,0)+1,FALSE)</f>
        <v>【ノーコンテニュー】グリム襲来</v>
      </c>
      <c r="I15" s="20">
        <v>4</v>
      </c>
      <c r="J15" s="12">
        <v>60</v>
      </c>
      <c r="K15" s="12">
        <v>60</v>
      </c>
    </row>
    <row r="16" spans="1:11" ht="21" customHeight="1" x14ac:dyDescent="0.15">
      <c r="A16" s="16" t="str">
        <f t="shared" si="2"/>
        <v>41007_3-5</v>
      </c>
      <c r="B16" s="16" t="str">
        <f>IF(COUNTIF(enemy_habitats!$H:$H,A16),"OK","NG")</f>
        <v>OK</v>
      </c>
      <c r="C16" s="7">
        <v>41007</v>
      </c>
      <c r="D16" s="11" t="str">
        <f ca="1">VLOOKUP($C16,OFFSET([2]quests!$A$1,0,0,COUNTA([2]quests!$A:$A),MATCH(D$1,[2]quests!$1:$1,0)-MATCH($C$1,[2]quests!$1:$1,0)+1),MATCH(D$1,[2]quests!$1:$1,0)-MATCH($C$1,[2]quests!$1:$1,0)+1,FALSE)</f>
        <v>グリム襲来！</v>
      </c>
      <c r="E16" s="18" t="str">
        <f ca="1">VLOOKUP($C16,OFFSET([2]quests!$A$1,0,0,COUNTA([2]quests!$A:$A),MATCH(E$1,[2]quests!$1:$1,0)-MATCH($C$1,[2]quests!$1:$1,0)+1),MATCH(E$1,[2]quests!$1:$1,0)-MATCH($C$1,[2]quests!$1:$1,0)+1,FALSE)</f>
        <v>降臨1</v>
      </c>
      <c r="F16" s="20">
        <v>3</v>
      </c>
      <c r="G16" s="22" t="str">
        <f t="shared" si="3"/>
        <v>41007_3</v>
      </c>
      <c r="H16" s="15" t="str">
        <f ca="1">VLOOKUP($G16,OFFSET([2]stages!$A$1,0,0,COUNTA([2]stages!$A:$A),MATCH(H$1,[2]stages!$2:$2,0)-MATCH($G$1,[2]stages!$2:$2,0)+1),MATCH(H$1,[2]stages!$2:$2,0)-MATCH($G$1,[2]stages!$2:$2,0)+1,FALSE)</f>
        <v>【ノーコンテニュー】グリム襲来</v>
      </c>
      <c r="I16" s="20">
        <v>5</v>
      </c>
      <c r="J16" s="12">
        <v>60</v>
      </c>
      <c r="K1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4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6" sqref="S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24" t="s">
        <v>50</v>
      </c>
      <c r="U1" s="24" t="s">
        <v>52</v>
      </c>
      <c r="V1" s="27" t="s">
        <v>31</v>
      </c>
      <c r="W1" s="26" t="s">
        <v>4</v>
      </c>
      <c r="X1" s="26" t="s">
        <v>5</v>
      </c>
      <c r="Y1" s="26" t="s">
        <v>6</v>
      </c>
      <c r="Z1" s="26" t="s">
        <v>7</v>
      </c>
      <c r="AA1" s="26" t="s">
        <v>8</v>
      </c>
      <c r="AB1" s="31" t="s">
        <v>9</v>
      </c>
      <c r="AC1" s="32" t="s">
        <v>16</v>
      </c>
      <c r="AD1" s="32" t="s">
        <v>17</v>
      </c>
      <c r="AE1" s="32" t="s">
        <v>27</v>
      </c>
      <c r="AF1" s="31" t="s">
        <v>10</v>
      </c>
      <c r="AG1" s="26" t="s">
        <v>11</v>
      </c>
      <c r="AH1" s="26" t="s">
        <v>12</v>
      </c>
      <c r="AI1" s="26" t="s">
        <v>38</v>
      </c>
      <c r="AJ1" s="26" t="s">
        <v>40</v>
      </c>
      <c r="AK1" s="26" t="s">
        <v>42</v>
      </c>
      <c r="AL1" s="26" t="s">
        <v>44</v>
      </c>
      <c r="AM1" s="26" t="s">
        <v>46</v>
      </c>
      <c r="AN1" s="34" t="s">
        <v>177</v>
      </c>
    </row>
    <row r="2" spans="1:40" ht="21" customHeight="1" x14ac:dyDescent="0.15">
      <c r="A2" s="16" t="str">
        <f>B2&amp;"_"&amp;C2&amp;"-"&amp;G2&amp;"/"&amp;L2&amp;"&lt;lv"&amp;R2&amp;"&gt;s"&amp;AA2</f>
        <v>41007_1-1/143&lt;lv48&gt;s2</v>
      </c>
      <c r="B2" s="144">
        <v>41007</v>
      </c>
      <c r="C2" s="145">
        <v>1</v>
      </c>
      <c r="D2" s="145" t="str">
        <f>B2&amp;"_"&amp;C2</f>
        <v>41007_1</v>
      </c>
      <c r="E2" s="146" t="str">
        <f ca="1">VLOOKUP($B2,OFFSET([2]quests!$A$1,0,0,COUNTA([2]quests!$A:$A),MATCH(E$1,[2]quests!$1:$1,0)-MATCH($B$1,[2]quests!$1:$1,0)+1),MATCH(E$1,[2]quests!$1:$1,0)-MATCH($B$1,[2]quests!$1:$1,0)+1,FALSE)</f>
        <v>グリム襲来！</v>
      </c>
      <c r="F2" s="146" t="str">
        <f ca="1">VLOOKUP($D2,OFFSET([2]stages!$A$1,0,0,COUNTA([2]stages!$A:$A),MATCH(F$1,[2]stages!$2:$2,0)-MATCH($D$1,[2]stages!$2:$2,0)+1),MATCH(F$1,[2]stages!$2:$2,0)-MATCH($D$1,[2]stages!$2:$2,0)+1,FALSE)</f>
        <v>【超絶級】グリム襲来</v>
      </c>
      <c r="G2" s="145">
        <v>1</v>
      </c>
      <c r="H2" s="145" t="str">
        <f>B2&amp;"_"&amp;C2&amp;"-"&amp;G2</f>
        <v>41007_1-1</v>
      </c>
      <c r="I2" s="146">
        <f ca="1">VLOOKUP($H2,OFFSET(floors!$A$1,0,0,COUNTA(floors!$A:$A),MATCH(I$1,floors!$1:$1,0)-MATCH($H$1,floors!$1:$1,0)+1),MATCH(I$1,floors!$1:$1,0)-MATCH($H$1,floors!$1:$1,0)+1,FALSE)</f>
        <v>60</v>
      </c>
      <c r="J2" s="146">
        <f ca="1">VLOOKUP($H2,OFFSET(floors!$A$1,0,0,COUNTA(floors!$A:$A),MATCH(J$1,floors!$1:$1,0)-MATCH($H$1,floors!$1:$1,0)+1),MATCH(J$1,floors!$1:$1,0)-MATCH($H$1,floors!$1:$1,0)+1,FALSE)</f>
        <v>60</v>
      </c>
      <c r="K2" s="147" t="s">
        <v>88</v>
      </c>
      <c r="L2" s="145">
        <v>143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深紅の死神 赤ずきん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152">
        <v>48</v>
      </c>
      <c r="S2" s="153">
        <v>2</v>
      </c>
      <c r="T2" s="153">
        <v>1.2</v>
      </c>
      <c r="U2" s="152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2" s="99">
        <v>41007001</v>
      </c>
      <c r="X2" s="6">
        <v>1</v>
      </c>
      <c r="Y2" s="6">
        <v>100</v>
      </c>
      <c r="Z2" s="6">
        <v>1</v>
      </c>
      <c r="AA2" s="102">
        <v>2</v>
      </c>
      <c r="AB2" s="97">
        <v>142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98">
        <v>1</v>
      </c>
      <c r="AG2" s="97">
        <f ca="1">AD2</f>
        <v>3</v>
      </c>
      <c r="AH2" s="8">
        <v>0</v>
      </c>
      <c r="AI2" s="98">
        <v>0</v>
      </c>
      <c r="AJ2" s="98">
        <v>0</v>
      </c>
      <c r="AK2" s="98">
        <v>0</v>
      </c>
      <c r="AL2" s="98">
        <v>0</v>
      </c>
      <c r="AM2" s="98">
        <v>1</v>
      </c>
      <c r="AN2" s="67">
        <v>1</v>
      </c>
    </row>
    <row r="3" spans="1:40" ht="21" customHeight="1" x14ac:dyDescent="0.15">
      <c r="A3" s="16" t="str">
        <f>B3&amp;"_"&amp;C3&amp;"-"&amp;G3&amp;"/"&amp;L3&amp;"&lt;lv"&amp;R3&amp;"&gt;s"&amp;AA3</f>
        <v>41007_1-1/294&lt;lv50&gt;s2</v>
      </c>
      <c r="B3" s="144">
        <v>41007</v>
      </c>
      <c r="C3" s="145">
        <v>1</v>
      </c>
      <c r="D3" s="145" t="str">
        <f>B3&amp;"_"&amp;C3</f>
        <v>41007_1</v>
      </c>
      <c r="E3" s="146" t="str">
        <f ca="1">VLOOKUP($B3,OFFSET([2]quests!$A$1,0,0,COUNTA([2]quests!$A:$A),MATCH(E$1,[2]quests!$1:$1,0)-MATCH($B$1,[2]quests!$1:$1,0)+1),MATCH(E$1,[2]quests!$1:$1,0)-MATCH($B$1,[2]quests!$1:$1,0)+1,FALSE)</f>
        <v>グリム襲来！</v>
      </c>
      <c r="F3" s="146" t="str">
        <f ca="1">VLOOKUP($D3,OFFSET([2]stages!$A$1,0,0,COUNTA([2]stages!$A:$A),MATCH(F$1,[2]stages!$2:$2,0)-MATCH($D$1,[2]stages!$2:$2,0)+1),MATCH(F$1,[2]stages!$2:$2,0)-MATCH($D$1,[2]stages!$2:$2,0)+1,FALSE)</f>
        <v>【超絶級】グリム襲来</v>
      </c>
      <c r="G3" s="145">
        <v>1</v>
      </c>
      <c r="H3" s="145" t="str">
        <f>B3&amp;"_"&amp;C3&amp;"-"&amp;G3</f>
        <v>41007_1-1</v>
      </c>
      <c r="I3" s="146">
        <f ca="1">VLOOKUP($H3,OFFSET(floors!$A$1,0,0,COUNTA(floors!$A:$A),MATCH(I$1,floors!$1:$1,0)-MATCH($H$1,floors!$1:$1,0)+1),MATCH(I$1,floors!$1:$1,0)-MATCH($H$1,floors!$1:$1,0)+1,FALSE)</f>
        <v>60</v>
      </c>
      <c r="J3" s="146">
        <f ca="1">VLOOKUP($H3,OFFSET(floors!$A$1,0,0,COUNTA(floors!$A:$A),MATCH(J$1,floors!$1:$1,0)-MATCH($H$1,floors!$1:$1,0)+1),MATCH(J$1,floors!$1:$1,0)-MATCH($H$1,floors!$1:$1,0)+1,FALSE)</f>
        <v>60</v>
      </c>
      <c r="K3" s="147" t="s">
        <v>88</v>
      </c>
      <c r="L3" s="145">
        <v>294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ウルフ・ザ・レッドイーター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152">
        <v>50</v>
      </c>
      <c r="S3" s="153">
        <v>1.6</v>
      </c>
      <c r="T3" s="153">
        <v>1</v>
      </c>
      <c r="U3" s="152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3" s="99">
        <v>41007002</v>
      </c>
      <c r="X3" s="6">
        <v>1</v>
      </c>
      <c r="Y3" s="6">
        <v>100</v>
      </c>
      <c r="Z3" s="6">
        <v>1</v>
      </c>
      <c r="AA3" s="102">
        <v>2</v>
      </c>
      <c r="AB3" s="97">
        <f>L3</f>
        <v>294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ウルフ・ザ・レッドイーター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98">
        <v>1</v>
      </c>
      <c r="AG3" s="97">
        <f ca="1">AD3</f>
        <v>4</v>
      </c>
      <c r="AH3" s="8">
        <v>0</v>
      </c>
      <c r="AI3" s="98">
        <v>0</v>
      </c>
      <c r="AJ3" s="98">
        <v>0</v>
      </c>
      <c r="AK3" s="98">
        <v>0</v>
      </c>
      <c r="AL3" s="98">
        <v>0</v>
      </c>
      <c r="AM3" s="98">
        <v>1</v>
      </c>
      <c r="AN3" s="67">
        <v>1</v>
      </c>
    </row>
    <row r="4" spans="1:40" ht="21" customHeight="1" x14ac:dyDescent="0.15">
      <c r="A4" s="16" t="str">
        <f t="shared" ref="A4:A12" si="0">B4&amp;"_"&amp;C4&amp;"-"&amp;G4&amp;"/"&amp;L4&amp;"&lt;lv"&amp;R4&amp;"&gt;s"&amp;AA4</f>
        <v>41007_1-2/292&lt;lv43&gt;s2</v>
      </c>
      <c r="B4" s="144">
        <v>41007</v>
      </c>
      <c r="C4" s="145">
        <v>1</v>
      </c>
      <c r="D4" s="145" t="str">
        <f t="shared" ref="D4:D12" si="1">B4&amp;"_"&amp;C4</f>
        <v>41007_1</v>
      </c>
      <c r="E4" s="146" t="str">
        <f ca="1">VLOOKUP($B4,OFFSET([2]quests!$A$1,0,0,COUNTA([2]quests!$A:$A),MATCH(E$1,[2]quests!$1:$1,0)-MATCH($B$1,[2]quests!$1:$1,0)+1),MATCH(E$1,[2]quests!$1:$1,0)-MATCH($B$1,[2]quests!$1:$1,0)+1,FALSE)</f>
        <v>グリム襲来！</v>
      </c>
      <c r="F4" s="146" t="str">
        <f ca="1">VLOOKUP($D4,OFFSET([2]stages!$A$1,0,0,COUNTA([2]stages!$A:$A),MATCH(F$1,[2]stages!$2:$2,0)-MATCH($D$1,[2]stages!$2:$2,0)+1),MATCH(F$1,[2]stages!$2:$2,0)-MATCH($D$1,[2]stages!$2:$2,0)+1,FALSE)</f>
        <v>【超絶級】グリム襲来</v>
      </c>
      <c r="G4" s="145">
        <v>2</v>
      </c>
      <c r="H4" s="145" t="str">
        <f t="shared" ref="H4:H12" si="2">B4&amp;"_"&amp;C4&amp;"-"&amp;G4</f>
        <v>41007_1-2</v>
      </c>
      <c r="I4" s="146">
        <f ca="1">VLOOKUP($H4,OFFSET(floors!$A$1,0,0,COUNTA(floors!$A:$A),MATCH(I$1,floors!$1:$1,0)-MATCH($H$1,floors!$1:$1,0)+1),MATCH(I$1,floors!$1:$1,0)-MATCH($H$1,floors!$1:$1,0)+1,FALSE)</f>
        <v>60</v>
      </c>
      <c r="J4" s="146">
        <f ca="1">VLOOKUP($H4,OFFSET(floors!$A$1,0,0,COUNTA(floors!$A:$A),MATCH(J$1,floors!$1:$1,0)-MATCH($H$1,floors!$1:$1,0)+1),MATCH(J$1,floors!$1:$1,0)-MATCH($H$1,floors!$1:$1,0)+1,FALSE)</f>
        <v>60</v>
      </c>
      <c r="K4" s="147" t="s">
        <v>88</v>
      </c>
      <c r="L4" s="145">
        <v>292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アナスタシア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152">
        <v>43</v>
      </c>
      <c r="S4" s="153">
        <v>2</v>
      </c>
      <c r="T4" s="153">
        <v>1</v>
      </c>
      <c r="U4" s="152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4" s="99">
        <v>41007003</v>
      </c>
      <c r="X4" s="6">
        <v>1</v>
      </c>
      <c r="Y4" s="6">
        <v>100</v>
      </c>
      <c r="Z4" s="6">
        <v>0</v>
      </c>
      <c r="AA4" s="102">
        <v>2</v>
      </c>
      <c r="AB4" s="97">
        <f t="shared" ref="AB4:AB11" si="3">L4</f>
        <v>292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アナスタシア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98">
        <v>1</v>
      </c>
      <c r="AG4" s="97">
        <f t="shared" ref="AG4:AG12" ca="1" si="4">AD4</f>
        <v>4</v>
      </c>
      <c r="AH4" s="8">
        <v>0</v>
      </c>
      <c r="AI4" s="98">
        <v>0</v>
      </c>
      <c r="AJ4" s="98">
        <v>0</v>
      </c>
      <c r="AK4" s="98">
        <v>0</v>
      </c>
      <c r="AL4" s="98">
        <v>0</v>
      </c>
      <c r="AM4" s="98">
        <v>1</v>
      </c>
      <c r="AN4" s="67">
        <v>1</v>
      </c>
    </row>
    <row r="5" spans="1:40" ht="21" customHeight="1" x14ac:dyDescent="0.15">
      <c r="A5" s="16" t="str">
        <f t="shared" si="0"/>
        <v>41007_1-2/149&lt;lv50&gt;s1</v>
      </c>
      <c r="B5" s="144">
        <v>41007</v>
      </c>
      <c r="C5" s="145">
        <v>1</v>
      </c>
      <c r="D5" s="145" t="str">
        <f t="shared" si="1"/>
        <v>41007_1</v>
      </c>
      <c r="E5" s="146" t="str">
        <f ca="1">VLOOKUP($B5,OFFSET([2]quests!$A$1,0,0,COUNTA([2]quests!$A:$A),MATCH(E$1,[2]quests!$1:$1,0)-MATCH($B$1,[2]quests!$1:$1,0)+1),MATCH(E$1,[2]quests!$1:$1,0)-MATCH($B$1,[2]quests!$1:$1,0)+1,FALSE)</f>
        <v>グリム襲来！</v>
      </c>
      <c r="F5" s="146" t="str">
        <f ca="1">VLOOKUP($D5,OFFSET([2]stages!$A$1,0,0,COUNTA([2]stages!$A:$A),MATCH(F$1,[2]stages!$2:$2,0)-MATCH($D$1,[2]stages!$2:$2,0)+1),MATCH(F$1,[2]stages!$2:$2,0)-MATCH($D$1,[2]stages!$2:$2,0)+1,FALSE)</f>
        <v>【超絶級】グリム襲来</v>
      </c>
      <c r="G5" s="145">
        <v>2</v>
      </c>
      <c r="H5" s="145" t="str">
        <f t="shared" si="2"/>
        <v>41007_1-2</v>
      </c>
      <c r="I5" s="146">
        <f ca="1">VLOOKUP($H5,OFFSET(floors!$A$1,0,0,COUNTA(floors!$A:$A),MATCH(I$1,floors!$1:$1,0)-MATCH($H$1,floors!$1:$1,0)+1),MATCH(I$1,floors!$1:$1,0)-MATCH($H$1,floors!$1:$1,0)+1,FALSE)</f>
        <v>60</v>
      </c>
      <c r="J5" s="146">
        <f ca="1">VLOOKUP($H5,OFFSET(floors!$A$1,0,0,COUNTA(floors!$A:$A),MATCH(J$1,floors!$1:$1,0)-MATCH($H$1,floors!$1:$1,0)+1),MATCH(J$1,floors!$1:$1,0)-MATCH($H$1,floors!$1:$1,0)+1,FALSE)</f>
        <v>60</v>
      </c>
      <c r="K5" s="147" t="s">
        <v>88</v>
      </c>
      <c r="L5" s="145">
        <v>149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雷撃蹴技を極めし者 シンデレラ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152">
        <v>50</v>
      </c>
      <c r="S5" s="153">
        <v>1.5</v>
      </c>
      <c r="T5" s="153">
        <v>1.5</v>
      </c>
      <c r="U5" s="152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お邪魔パネル吸収攻撃</v>
      </c>
      <c r="W5" s="99">
        <v>41007004</v>
      </c>
      <c r="X5" s="6">
        <v>1</v>
      </c>
      <c r="Y5" s="6">
        <v>100</v>
      </c>
      <c r="Z5" s="6">
        <v>1</v>
      </c>
      <c r="AA5" s="102">
        <v>1</v>
      </c>
      <c r="AB5" s="97">
        <f t="shared" si="3"/>
        <v>149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雷撃蹴技を極めし者 シンデレラ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98">
        <v>1</v>
      </c>
      <c r="AG5" s="97">
        <f t="shared" ca="1" si="4"/>
        <v>4</v>
      </c>
      <c r="AH5" s="8">
        <v>0</v>
      </c>
      <c r="AI5" s="98">
        <v>0</v>
      </c>
      <c r="AJ5" s="98">
        <v>0</v>
      </c>
      <c r="AK5" s="98">
        <v>0</v>
      </c>
      <c r="AL5" s="98">
        <v>0</v>
      </c>
      <c r="AM5" s="98">
        <v>1</v>
      </c>
      <c r="AN5" s="67">
        <v>1</v>
      </c>
    </row>
    <row r="6" spans="1:40" ht="21" customHeight="1" x14ac:dyDescent="0.15">
      <c r="A6" s="16" t="str">
        <f t="shared" si="0"/>
        <v>41007_1-3/2&lt;lv50&gt;s1</v>
      </c>
      <c r="B6" s="144">
        <v>41007</v>
      </c>
      <c r="C6" s="145">
        <v>1</v>
      </c>
      <c r="D6" s="145" t="str">
        <f t="shared" si="1"/>
        <v>41007_1</v>
      </c>
      <c r="E6" s="146" t="str">
        <f ca="1">VLOOKUP($B6,OFFSET([2]quests!$A$1,0,0,COUNTA([2]quests!$A:$A),MATCH(E$1,[2]quests!$1:$1,0)-MATCH($B$1,[2]quests!$1:$1,0)+1),MATCH(E$1,[2]quests!$1:$1,0)-MATCH($B$1,[2]quests!$1:$1,0)+1,FALSE)</f>
        <v>グリム襲来！</v>
      </c>
      <c r="F6" s="146" t="str">
        <f ca="1">VLOOKUP($D6,OFFSET([2]stages!$A$1,0,0,COUNTA([2]stages!$A:$A),MATCH(F$1,[2]stages!$2:$2,0)-MATCH($D$1,[2]stages!$2:$2,0)+1),MATCH(F$1,[2]stages!$2:$2,0)-MATCH($D$1,[2]stages!$2:$2,0)+1,FALSE)</f>
        <v>【超絶級】グリム襲来</v>
      </c>
      <c r="G6" s="145">
        <v>3</v>
      </c>
      <c r="H6" s="145" t="str">
        <f t="shared" si="2"/>
        <v>41007_1-3</v>
      </c>
      <c r="I6" s="146">
        <f ca="1">VLOOKUP($H6,OFFSET(floors!$A$1,0,0,COUNTA(floors!$A:$A),MATCH(I$1,floors!$1:$1,0)-MATCH($H$1,floors!$1:$1,0)+1),MATCH(I$1,floors!$1:$1,0)-MATCH($H$1,floors!$1:$1,0)+1,FALSE)</f>
        <v>60</v>
      </c>
      <c r="J6" s="146">
        <f ca="1">VLOOKUP($H6,OFFSET(floors!$A$1,0,0,COUNTA(floors!$A:$A),MATCH(J$1,floors!$1:$1,0)-MATCH($H$1,floors!$1:$1,0)+1),MATCH(J$1,floors!$1:$1,0)-MATCH($H$1,floors!$1:$1,0)+1,FALSE)</f>
        <v>60</v>
      </c>
      <c r="K6" s="147" t="s">
        <v>88</v>
      </c>
      <c r="L6" s="145">
        <v>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イレギュラー・ジェリー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152">
        <v>50</v>
      </c>
      <c r="S6" s="153">
        <v>2</v>
      </c>
      <c r="T6" s="153">
        <v>1</v>
      </c>
      <c r="U6" s="152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6" s="99">
        <v>41007005</v>
      </c>
      <c r="X6" s="6">
        <v>1</v>
      </c>
      <c r="Y6" s="6">
        <v>100</v>
      </c>
      <c r="Z6" s="6">
        <v>1</v>
      </c>
      <c r="AA6" s="102">
        <v>1</v>
      </c>
      <c r="AB6" s="97">
        <f t="shared" si="3"/>
        <v>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" s="98">
        <v>1</v>
      </c>
      <c r="AG6" s="97">
        <f t="shared" ca="1" si="4"/>
        <v>2</v>
      </c>
      <c r="AH6" s="8">
        <v>0</v>
      </c>
      <c r="AI6" s="98">
        <v>0</v>
      </c>
      <c r="AJ6" s="98">
        <v>0</v>
      </c>
      <c r="AK6" s="98">
        <v>0</v>
      </c>
      <c r="AL6" s="98">
        <v>0</v>
      </c>
      <c r="AM6" s="98">
        <v>1</v>
      </c>
      <c r="AN6" s="67">
        <v>1</v>
      </c>
    </row>
    <row r="7" spans="1:40" ht="21" customHeight="1" x14ac:dyDescent="0.15">
      <c r="A7" s="16" t="str">
        <f t="shared" si="0"/>
        <v>41007_1-3/4&lt;lv50&gt;s2</v>
      </c>
      <c r="B7" s="144">
        <v>41007</v>
      </c>
      <c r="C7" s="145">
        <v>1</v>
      </c>
      <c r="D7" s="145" t="str">
        <f t="shared" si="1"/>
        <v>41007_1</v>
      </c>
      <c r="E7" s="146" t="str">
        <f ca="1">VLOOKUP($B7,OFFSET([2]quests!$A$1,0,0,COUNTA([2]quests!$A:$A),MATCH(E$1,[2]quests!$1:$1,0)-MATCH($B$1,[2]quests!$1:$1,0)+1),MATCH(E$1,[2]quests!$1:$1,0)-MATCH($B$1,[2]quests!$1:$1,0)+1,FALSE)</f>
        <v>グリム襲来！</v>
      </c>
      <c r="F7" s="146" t="str">
        <f ca="1">VLOOKUP($D7,OFFSET([2]stages!$A$1,0,0,COUNTA([2]stages!$A:$A),MATCH(F$1,[2]stages!$2:$2,0)-MATCH($D$1,[2]stages!$2:$2,0)+1),MATCH(F$1,[2]stages!$2:$2,0)-MATCH($D$1,[2]stages!$2:$2,0)+1,FALSE)</f>
        <v>【超絶級】グリム襲来</v>
      </c>
      <c r="G7" s="145">
        <v>3</v>
      </c>
      <c r="H7" s="145" t="str">
        <f t="shared" si="2"/>
        <v>41007_1-3</v>
      </c>
      <c r="I7" s="146">
        <f ca="1">VLOOKUP($H7,OFFSET(floors!$A$1,0,0,COUNTA(floors!$A:$A),MATCH(I$1,floors!$1:$1,0)-MATCH($H$1,floors!$1:$1,0)+1),MATCH(I$1,floors!$1:$1,0)-MATCH($H$1,floors!$1:$1,0)+1,FALSE)</f>
        <v>60</v>
      </c>
      <c r="J7" s="146">
        <f ca="1">VLOOKUP($H7,OFFSET(floors!$A$1,0,0,COUNTA(floors!$A:$A),MATCH(J$1,floors!$1:$1,0)-MATCH($H$1,floors!$1:$1,0)+1),MATCH(J$1,floors!$1:$1,0)-MATCH($H$1,floors!$1:$1,0)+1,FALSE)</f>
        <v>60</v>
      </c>
      <c r="K7" s="147" t="s">
        <v>88</v>
      </c>
      <c r="L7" s="145">
        <v>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エースエージェント ジョー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152">
        <v>50</v>
      </c>
      <c r="S7" s="153">
        <v>2</v>
      </c>
      <c r="T7" s="153">
        <v>1</v>
      </c>
      <c r="U7" s="152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7" s="99">
        <v>41007006</v>
      </c>
      <c r="X7" s="6">
        <v>1</v>
      </c>
      <c r="Y7" s="6">
        <v>100</v>
      </c>
      <c r="Z7" s="6">
        <v>0</v>
      </c>
      <c r="AA7" s="102">
        <v>2</v>
      </c>
      <c r="AB7" s="97">
        <f t="shared" si="3"/>
        <v>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" s="98">
        <v>1</v>
      </c>
      <c r="AG7" s="97">
        <f t="shared" ca="1" si="4"/>
        <v>2</v>
      </c>
      <c r="AH7" s="8">
        <v>0</v>
      </c>
      <c r="AI7" s="98">
        <v>0</v>
      </c>
      <c r="AJ7" s="98">
        <v>0</v>
      </c>
      <c r="AK7" s="98">
        <v>0</v>
      </c>
      <c r="AL7" s="98">
        <v>0</v>
      </c>
      <c r="AM7" s="98">
        <v>1</v>
      </c>
      <c r="AN7" s="67">
        <v>1</v>
      </c>
    </row>
    <row r="8" spans="1:40" ht="21" customHeight="1" x14ac:dyDescent="0.15">
      <c r="A8" s="16" t="str">
        <f t="shared" si="0"/>
        <v>41007_1-3/6&lt;lv50&gt;s3</v>
      </c>
      <c r="B8" s="144">
        <v>41007</v>
      </c>
      <c r="C8" s="145">
        <v>1</v>
      </c>
      <c r="D8" s="145" t="str">
        <f t="shared" si="1"/>
        <v>41007_1</v>
      </c>
      <c r="E8" s="146" t="str">
        <f ca="1">VLOOKUP($B8,OFFSET([2]quests!$A$1,0,0,COUNTA([2]quests!$A:$A),MATCH(E$1,[2]quests!$1:$1,0)-MATCH($B$1,[2]quests!$1:$1,0)+1),MATCH(E$1,[2]quests!$1:$1,0)-MATCH($B$1,[2]quests!$1:$1,0)+1,FALSE)</f>
        <v>グリム襲来！</v>
      </c>
      <c r="F8" s="146" t="str">
        <f ca="1">VLOOKUP($D8,OFFSET([2]stages!$A$1,0,0,COUNTA([2]stages!$A:$A),MATCH(F$1,[2]stages!$2:$2,0)-MATCH($D$1,[2]stages!$2:$2,0)+1),MATCH(F$1,[2]stages!$2:$2,0)-MATCH($D$1,[2]stages!$2:$2,0)+1,FALSE)</f>
        <v>【超絶級】グリム襲来</v>
      </c>
      <c r="G8" s="145">
        <v>3</v>
      </c>
      <c r="H8" s="145" t="str">
        <f t="shared" si="2"/>
        <v>41007_1-3</v>
      </c>
      <c r="I8" s="146">
        <f ca="1">VLOOKUP($H8,OFFSET(floors!$A$1,0,0,COUNTA(floors!$A:$A),MATCH(I$1,floors!$1:$1,0)-MATCH($H$1,floors!$1:$1,0)+1),MATCH(I$1,floors!$1:$1,0)-MATCH($H$1,floors!$1:$1,0)+1,FALSE)</f>
        <v>60</v>
      </c>
      <c r="J8" s="146">
        <f ca="1">VLOOKUP($H8,OFFSET(floors!$A$1,0,0,COUNTA(floors!$A:$A),MATCH(J$1,floors!$1:$1,0)-MATCH($H$1,floors!$1:$1,0)+1),MATCH(J$1,floors!$1:$1,0)-MATCH($H$1,floors!$1:$1,0)+1,FALSE)</f>
        <v>60</v>
      </c>
      <c r="K8" s="147" t="s">
        <v>88</v>
      </c>
      <c r="L8" s="145">
        <v>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パトドッグリーダー ポチ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52">
        <v>50</v>
      </c>
      <c r="S8" s="153">
        <v>2</v>
      </c>
      <c r="T8" s="153">
        <v>1</v>
      </c>
      <c r="U8" s="152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3ターン攻撃頻度UP</v>
      </c>
      <c r="W8" s="99">
        <v>41007007</v>
      </c>
      <c r="X8" s="6">
        <v>1</v>
      </c>
      <c r="Y8" s="6">
        <v>100</v>
      </c>
      <c r="Z8" s="6">
        <v>0</v>
      </c>
      <c r="AA8" s="102">
        <v>3</v>
      </c>
      <c r="AB8" s="97">
        <f t="shared" si="3"/>
        <v>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98">
        <v>1</v>
      </c>
      <c r="AG8" s="97">
        <f t="shared" ca="1" si="4"/>
        <v>2</v>
      </c>
      <c r="AH8" s="8">
        <v>0</v>
      </c>
      <c r="AI8" s="98">
        <v>0</v>
      </c>
      <c r="AJ8" s="98">
        <v>0</v>
      </c>
      <c r="AK8" s="98">
        <v>0</v>
      </c>
      <c r="AL8" s="98">
        <v>0</v>
      </c>
      <c r="AM8" s="98">
        <v>1</v>
      </c>
      <c r="AN8" s="67">
        <v>1</v>
      </c>
    </row>
    <row r="9" spans="1:40" ht="21" customHeight="1" x14ac:dyDescent="0.15">
      <c r="A9" s="16" t="str">
        <f t="shared" si="0"/>
        <v>41007_1-3/8&lt;lv50&gt;s2</v>
      </c>
      <c r="B9" s="144">
        <v>41007</v>
      </c>
      <c r="C9" s="145">
        <v>1</v>
      </c>
      <c r="D9" s="145" t="str">
        <f t="shared" si="1"/>
        <v>41007_1</v>
      </c>
      <c r="E9" s="146" t="str">
        <f ca="1">VLOOKUP($B9,OFFSET([2]quests!$A$1,0,0,COUNTA([2]quests!$A:$A),MATCH(E$1,[2]quests!$1:$1,0)-MATCH($B$1,[2]quests!$1:$1,0)+1),MATCH(E$1,[2]quests!$1:$1,0)-MATCH($B$1,[2]quests!$1:$1,0)+1,FALSE)</f>
        <v>グリム襲来！</v>
      </c>
      <c r="F9" s="146" t="str">
        <f ca="1">VLOOKUP($D9,OFFSET([2]stages!$A$1,0,0,COUNTA([2]stages!$A:$A),MATCH(F$1,[2]stages!$2:$2,0)-MATCH($D$1,[2]stages!$2:$2,0)+1),MATCH(F$1,[2]stages!$2:$2,0)-MATCH($D$1,[2]stages!$2:$2,0)+1,FALSE)</f>
        <v>【超絶級】グリム襲来</v>
      </c>
      <c r="G9" s="145">
        <v>3</v>
      </c>
      <c r="H9" s="145" t="str">
        <f t="shared" si="2"/>
        <v>41007_1-3</v>
      </c>
      <c r="I9" s="146">
        <f ca="1">VLOOKUP($H9,OFFSET(floors!$A$1,0,0,COUNTA(floors!$A:$A),MATCH(I$1,floors!$1:$1,0)-MATCH($H$1,floors!$1:$1,0)+1),MATCH(I$1,floors!$1:$1,0)-MATCH($H$1,floors!$1:$1,0)+1,FALSE)</f>
        <v>60</v>
      </c>
      <c r="J9" s="146">
        <f ca="1">VLOOKUP($H9,OFFSET(floors!$A$1,0,0,COUNTA(floors!$A:$A),MATCH(J$1,floors!$1:$1,0)-MATCH($H$1,floors!$1:$1,0)+1),MATCH(J$1,floors!$1:$1,0)-MATCH($H$1,floors!$1:$1,0)+1,FALSE)</f>
        <v>60</v>
      </c>
      <c r="K9" s="147" t="s">
        <v>211</v>
      </c>
      <c r="L9" s="145">
        <v>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ハイボルテージ エレキポット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152">
        <v>50</v>
      </c>
      <c r="S9" s="153">
        <v>2</v>
      </c>
      <c r="T9" s="153">
        <v>1</v>
      </c>
      <c r="U9" s="152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4回連続攻撃</v>
      </c>
      <c r="W9" s="99">
        <v>41007008</v>
      </c>
      <c r="X9" s="6">
        <v>1</v>
      </c>
      <c r="Y9" s="6">
        <v>100</v>
      </c>
      <c r="Z9" s="6">
        <v>0</v>
      </c>
      <c r="AA9" s="102">
        <v>2</v>
      </c>
      <c r="AB9" s="97">
        <f t="shared" si="3"/>
        <v>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Drop1T</v>
      </c>
      <c r="AF9" s="98">
        <v>1</v>
      </c>
      <c r="AG9" s="97">
        <f t="shared" ca="1" si="4"/>
        <v>2</v>
      </c>
      <c r="AH9" s="8">
        <v>0</v>
      </c>
      <c r="AI9" s="98">
        <v>0</v>
      </c>
      <c r="AJ9" s="98">
        <v>0</v>
      </c>
      <c r="AK9" s="98">
        <v>0</v>
      </c>
      <c r="AL9" s="98">
        <v>0</v>
      </c>
      <c r="AM9" s="98">
        <v>1</v>
      </c>
      <c r="AN9" s="67">
        <v>1</v>
      </c>
    </row>
    <row r="10" spans="1:40" ht="21" customHeight="1" x14ac:dyDescent="0.15">
      <c r="A10" s="16" t="str">
        <f t="shared" si="0"/>
        <v>41007_1-4/422&lt;lv50&gt;s2</v>
      </c>
      <c r="B10" s="144">
        <v>41007</v>
      </c>
      <c r="C10" s="145">
        <v>1</v>
      </c>
      <c r="D10" s="145" t="str">
        <f t="shared" si="1"/>
        <v>41007_1</v>
      </c>
      <c r="E10" s="146" t="str">
        <f ca="1">VLOOKUP($B10,OFFSET([2]quests!$A$1,0,0,COUNTA([2]quests!$A:$A),MATCH(E$1,[2]quests!$1:$1,0)-MATCH($B$1,[2]quests!$1:$1,0)+1),MATCH(E$1,[2]quests!$1:$1,0)-MATCH($B$1,[2]quests!$1:$1,0)+1,FALSE)</f>
        <v>グリム襲来！</v>
      </c>
      <c r="F10" s="146" t="str">
        <f ca="1">VLOOKUP($D10,OFFSET([2]stages!$A$1,0,0,COUNTA([2]stages!$A:$A),MATCH(F$1,[2]stages!$2:$2,0)-MATCH($D$1,[2]stages!$2:$2,0)+1),MATCH(F$1,[2]stages!$2:$2,0)-MATCH($D$1,[2]stages!$2:$2,0)+1,FALSE)</f>
        <v>【超絶級】グリム襲来</v>
      </c>
      <c r="G10" s="145">
        <v>4</v>
      </c>
      <c r="H10" s="145" t="str">
        <f t="shared" si="2"/>
        <v>41007_1-4</v>
      </c>
      <c r="I10" s="146">
        <f ca="1">VLOOKUP($H10,OFFSET(floors!$A$1,0,0,COUNTA(floors!$A:$A),MATCH(I$1,floors!$1:$1,0)-MATCH($H$1,floors!$1:$1,0)+1),MATCH(I$1,floors!$1:$1,0)-MATCH($H$1,floors!$1:$1,0)+1,FALSE)</f>
        <v>60</v>
      </c>
      <c r="J10" s="146">
        <f ca="1">VLOOKUP($H10,OFFSET(floors!$A$1,0,0,COUNTA(floors!$A:$A),MATCH(J$1,floors!$1:$1,0)-MATCH($H$1,floors!$1:$1,0)+1),MATCH(J$1,floors!$1:$1,0)-MATCH($H$1,floors!$1:$1,0)+1,FALSE)</f>
        <v>60</v>
      </c>
      <c r="K10" s="147">
        <v>1</v>
      </c>
      <c r="L10" s="145">
        <v>422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シュガフル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152">
        <v>50</v>
      </c>
      <c r="S10" s="153">
        <v>1.3</v>
      </c>
      <c r="T10" s="153">
        <v>1</v>
      </c>
      <c r="U10" s="152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10" s="99">
        <v>41007009</v>
      </c>
      <c r="X10" s="6">
        <v>1</v>
      </c>
      <c r="Y10" s="6">
        <v>100</v>
      </c>
      <c r="Z10" s="6">
        <v>1</v>
      </c>
      <c r="AA10" s="102">
        <v>2</v>
      </c>
      <c r="AB10" s="97">
        <f t="shared" si="3"/>
        <v>422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シュガフル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98">
        <v>1</v>
      </c>
      <c r="AG10" s="97">
        <f t="shared" ca="1" si="4"/>
        <v>4</v>
      </c>
      <c r="AH10" s="8">
        <v>0</v>
      </c>
      <c r="AI10" s="98">
        <v>0</v>
      </c>
      <c r="AJ10" s="98">
        <v>0</v>
      </c>
      <c r="AK10" s="98">
        <v>0</v>
      </c>
      <c r="AL10" s="98">
        <v>0</v>
      </c>
      <c r="AM10" s="98">
        <v>1</v>
      </c>
      <c r="AN10" s="67">
        <v>1</v>
      </c>
    </row>
    <row r="11" spans="1:40" ht="21" customHeight="1" x14ac:dyDescent="0.15">
      <c r="A11" s="16" t="str">
        <f t="shared" si="0"/>
        <v>41007_1-4/398&lt;lv55&gt;s3</v>
      </c>
      <c r="B11" s="144">
        <v>41007</v>
      </c>
      <c r="C11" s="145">
        <v>1</v>
      </c>
      <c r="D11" s="145" t="str">
        <f t="shared" si="1"/>
        <v>41007_1</v>
      </c>
      <c r="E11" s="146" t="str">
        <f ca="1">VLOOKUP($B11,OFFSET([2]quests!$A$1,0,0,COUNTA([2]quests!$A:$A),MATCH(E$1,[2]quests!$1:$1,0)-MATCH($B$1,[2]quests!$1:$1,0)+1),MATCH(E$1,[2]quests!$1:$1,0)-MATCH($B$1,[2]quests!$1:$1,0)+1,FALSE)</f>
        <v>グリム襲来！</v>
      </c>
      <c r="F11" s="146" t="str">
        <f ca="1">VLOOKUP($D11,OFFSET([2]stages!$A$1,0,0,COUNTA([2]stages!$A:$A),MATCH(F$1,[2]stages!$2:$2,0)-MATCH($D$1,[2]stages!$2:$2,0)+1),MATCH(F$1,[2]stages!$2:$2,0)-MATCH($D$1,[2]stages!$2:$2,0)+1,FALSE)</f>
        <v>【超絶級】グリム襲来</v>
      </c>
      <c r="G11" s="145">
        <v>4</v>
      </c>
      <c r="H11" s="145" t="str">
        <f t="shared" si="2"/>
        <v>41007_1-4</v>
      </c>
      <c r="I11" s="146">
        <f ca="1">VLOOKUP($H11,OFFSET(floors!$A$1,0,0,COUNTA(floors!$A:$A),MATCH(I$1,floors!$1:$1,0)-MATCH($H$1,floors!$1:$1,0)+1),MATCH(I$1,floors!$1:$1,0)-MATCH($H$1,floors!$1:$1,0)+1,FALSE)</f>
        <v>60</v>
      </c>
      <c r="J11" s="146">
        <f ca="1">VLOOKUP($H11,OFFSET(floors!$A$1,0,0,COUNTA(floors!$A:$A),MATCH(J$1,floors!$1:$1,0)-MATCH($H$1,floors!$1:$1,0)+1),MATCH(J$1,floors!$1:$1,0)-MATCH($H$1,floors!$1:$1,0)+1,FALSE)</f>
        <v>60</v>
      </c>
      <c r="K11" s="147">
        <v>2</v>
      </c>
      <c r="L11" s="145">
        <v>398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ヘンゼル＆グレーテル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152">
        <v>55</v>
      </c>
      <c r="S11" s="153">
        <v>1.3</v>
      </c>
      <c r="T11" s="153">
        <v>1</v>
      </c>
      <c r="U11" s="152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種族マシンのユニットに大ダメージ</v>
      </c>
      <c r="W11" s="99">
        <v>41007011</v>
      </c>
      <c r="X11" s="6">
        <v>1</v>
      </c>
      <c r="Y11" s="6">
        <v>100</v>
      </c>
      <c r="Z11" s="6">
        <v>1</v>
      </c>
      <c r="AA11" s="102">
        <v>3</v>
      </c>
      <c r="AB11" s="97">
        <f t="shared" si="3"/>
        <v>398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ヘンゼル＆グレーテル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1" s="98">
        <v>1</v>
      </c>
      <c r="AG11" s="97">
        <f t="shared" ca="1" si="4"/>
        <v>4</v>
      </c>
      <c r="AH11" s="8">
        <v>0</v>
      </c>
      <c r="AI11" s="98">
        <v>0</v>
      </c>
      <c r="AJ11" s="98">
        <v>0</v>
      </c>
      <c r="AK11" s="98">
        <v>0</v>
      </c>
      <c r="AL11" s="98">
        <v>0</v>
      </c>
      <c r="AM11" s="98">
        <v>1</v>
      </c>
      <c r="AN11" s="67">
        <v>1</v>
      </c>
    </row>
    <row r="12" spans="1:40" ht="21" customHeight="1" thickBot="1" x14ac:dyDescent="0.2">
      <c r="A12" s="103" t="str">
        <f t="shared" si="0"/>
        <v>41007_1-5/490&lt;lv70&gt;s2</v>
      </c>
      <c r="B12" s="148">
        <v>41007</v>
      </c>
      <c r="C12" s="149">
        <v>1</v>
      </c>
      <c r="D12" s="149" t="str">
        <f t="shared" si="1"/>
        <v>41007_1</v>
      </c>
      <c r="E12" s="150" t="str">
        <f ca="1">VLOOKUP($B12,OFFSET([2]quests!$A$1,0,0,COUNTA([2]quests!$A:$A),MATCH(E$1,[2]quests!$1:$1,0)-MATCH($B$1,[2]quests!$1:$1,0)+1),MATCH(E$1,[2]quests!$1:$1,0)-MATCH($B$1,[2]quests!$1:$1,0)+1,FALSE)</f>
        <v>グリム襲来！</v>
      </c>
      <c r="F12" s="150" t="str">
        <f ca="1">VLOOKUP($D12,OFFSET([2]stages!$A$1,0,0,COUNTA([2]stages!$A:$A),MATCH(F$1,[2]stages!$2:$2,0)-MATCH($D$1,[2]stages!$2:$2,0)+1),MATCH(F$1,[2]stages!$2:$2,0)-MATCH($D$1,[2]stages!$2:$2,0)+1,FALSE)</f>
        <v>【超絶級】グリム襲来</v>
      </c>
      <c r="G12" s="149">
        <v>5</v>
      </c>
      <c r="H12" s="149" t="str">
        <f t="shared" si="2"/>
        <v>41007_1-5</v>
      </c>
      <c r="I12" s="150">
        <f ca="1">VLOOKUP($H12,OFFSET(floors!$A$1,0,0,COUNTA(floors!$A:$A),MATCH(I$1,floors!$1:$1,0)-MATCH($H$1,floors!$1:$1,0)+1),MATCH(I$1,floors!$1:$1,0)-MATCH($H$1,floors!$1:$1,0)+1,FALSE)</f>
        <v>60</v>
      </c>
      <c r="J12" s="150">
        <f ca="1">VLOOKUP($H12,OFFSET(floors!$A$1,0,0,COUNTA(floors!$A:$A),MATCH(J$1,floors!$1:$1,0)-MATCH($H$1,floors!$1:$1,0)+1),MATCH(J$1,floors!$1:$1,0)-MATCH($H$1,floors!$1:$1,0)+1,FALSE)</f>
        <v>60</v>
      </c>
      <c r="K12" s="151">
        <v>3</v>
      </c>
      <c r="L12" s="149">
        <v>490</v>
      </c>
      <c r="M12" s="105" t="str">
        <f ca="1">VLOOKUP($L12,OFFSET([3]enemies!$A$1,0,0,COUNTA([3]enemies!$A:$A),MATCH(M$1,[3]enemies!$1:$1,0)-MATCH($L$1,[3]enemies!$1:$1,0)+1),MATCH(M$1,[3]enemies!$1:$1,0)-MATCH($L$1,[3]enemies!$1:$1,0)+1,FALSE)</f>
        <v>グリム</v>
      </c>
      <c r="N12" s="105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05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05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05">
        <f ca="1">VLOOKUP($L12,OFFSET([3]enemies!$A$1,0,0,COUNTA([3]enemies!$A:$A),MATCH(Q$1,[3]enemies!$1:$1,0)-MATCH($L$1,[3]enemies!$1:$1,0)+1),MATCH(Q$1,[3]enemies!$1:$1,0)-MATCH($L$1,[3]enemies!$1:$1,0)+1,FALSE)</f>
        <v>30</v>
      </c>
      <c r="R12" s="154">
        <v>70</v>
      </c>
      <c r="S12" s="155">
        <v>2</v>
      </c>
      <c r="T12" s="155">
        <v>1.3</v>
      </c>
      <c r="U12" s="154">
        <v>0</v>
      </c>
      <c r="V12" s="10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次のターン強力なハートパネル吸収攻撃！</v>
      </c>
      <c r="W12" s="106">
        <v>41007013</v>
      </c>
      <c r="X12" s="107">
        <v>1</v>
      </c>
      <c r="Y12" s="107">
        <v>100</v>
      </c>
      <c r="Z12" s="107">
        <v>1</v>
      </c>
      <c r="AA12" s="108">
        <v>2</v>
      </c>
      <c r="AB12" s="109">
        <v>490</v>
      </c>
      <c r="AC12" s="10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グリム</v>
      </c>
      <c r="AD12" s="10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10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2" s="110">
        <v>1</v>
      </c>
      <c r="AG12" s="111">
        <f t="shared" ca="1" si="4"/>
        <v>4</v>
      </c>
      <c r="AH12" s="112">
        <v>15</v>
      </c>
      <c r="AI12" s="110">
        <v>0</v>
      </c>
      <c r="AJ12" s="110">
        <v>0</v>
      </c>
      <c r="AK12" s="110">
        <v>0</v>
      </c>
      <c r="AL12" s="110">
        <v>0</v>
      </c>
      <c r="AM12" s="110">
        <v>1</v>
      </c>
      <c r="AN12" s="113">
        <v>1</v>
      </c>
    </row>
    <row r="13" spans="1:40" ht="21" customHeight="1" x14ac:dyDescent="0.15">
      <c r="A13" s="114" t="str">
        <f>B13&amp;"_"&amp;C13&amp;"-"&amp;G13&amp;"/"&amp;L13&amp;"&lt;lv"&amp;R13&amp;"&gt;s"&amp;AA13</f>
        <v>41007_2-1/143&lt;lv60&gt;s2</v>
      </c>
      <c r="B13" s="115">
        <v>41007</v>
      </c>
      <c r="C13" s="116">
        <v>2</v>
      </c>
      <c r="D13" s="117" t="str">
        <f>B13&amp;"_"&amp;C13</f>
        <v>41007_2</v>
      </c>
      <c r="E13" s="118" t="str">
        <f ca="1">VLOOKUP($B13,OFFSET([2]quests!$A$1,0,0,COUNTA([2]quests!$A:$A),MATCH(E$1,[2]quests!$1:$1,0)-MATCH($B$1,[2]quests!$1:$1,0)+1),MATCH(E$1,[2]quests!$1:$1,0)-MATCH($B$1,[2]quests!$1:$1,0)+1,FALSE)</f>
        <v>グリム襲来！</v>
      </c>
      <c r="F13" s="118" t="str">
        <f ca="1">VLOOKUP($D13,OFFSET([2]stages!$A$1,0,0,COUNTA([2]stages!$A:$A),MATCH(F$1,[2]stages!$2:$2,0)-MATCH($D$1,[2]stages!$2:$2,0)+1),MATCH(F$1,[2]stages!$2:$2,0)-MATCH($D$1,[2]stages!$2:$2,0)+1,FALSE)</f>
        <v>【ウィザード級】グリム襲来</v>
      </c>
      <c r="G13" s="116">
        <v>1</v>
      </c>
      <c r="H13" s="117" t="str">
        <f>B13&amp;"_"&amp;C13&amp;"-"&amp;G13</f>
        <v>41007_2-1</v>
      </c>
      <c r="I13" s="118">
        <f ca="1">VLOOKUP($H13,OFFSET(floors!$A$1,0,0,COUNTA(floors!$A:$A),MATCH(I$1,floors!$1:$1,0)-MATCH($H$1,floors!$1:$1,0)+1),MATCH(I$1,floors!$1:$1,0)-MATCH($H$1,floors!$1:$1,0)+1,FALSE)</f>
        <v>60</v>
      </c>
      <c r="J13" s="118">
        <f ca="1">VLOOKUP($H13,OFFSET(floors!$A$1,0,0,COUNTA(floors!$A:$A),MATCH(J$1,floors!$1:$1,0)-MATCH($H$1,floors!$1:$1,0)+1),MATCH(J$1,floors!$1:$1,0)-MATCH($H$1,floors!$1:$1,0)+1,FALSE)</f>
        <v>60</v>
      </c>
      <c r="K13" s="119" t="s">
        <v>88</v>
      </c>
      <c r="L13" s="120">
        <v>143</v>
      </c>
      <c r="M13" s="121" t="str">
        <f ca="1">VLOOKUP($L13,OFFSET([3]enemies!$A$1,0,0,COUNTA([3]enemies!$A:$A),MATCH(M$1,[3]enemies!$1:$1,0)-MATCH($L$1,[3]enemies!$1:$1,0)+1),MATCH(M$1,[3]enemies!$1:$1,0)-MATCH($L$1,[3]enemies!$1:$1,0)+1,FALSE)</f>
        <v>深紅の死神 赤ずきん</v>
      </c>
      <c r="N13" s="121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21" t="str">
        <f ca="1">VLOOKUP($L13,OFFSET([4]characters!$A$1,0,0,COUNTA([4]characters!$A:$A),MATCH(O$1,[4]characters!$1:$1,0)-MATCH($L$1,[4]characters!$1:$1,0)+1),MATCH(O$1,[4]characters!$1:$1,0)-MATCH($L$1,[4]characters!$1:$1,0)+1,FALSE)</f>
        <v>PremiumW</v>
      </c>
      <c r="P13" s="121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21">
        <f ca="1">VLOOKUP($L13,OFFSET([3]enemies!$A$1,0,0,COUNTA([3]enemies!$A:$A),MATCH(Q$1,[3]enemies!$1:$1,0)-MATCH($L$1,[3]enemies!$1:$1,0)+1),MATCH(Q$1,[3]enemies!$1:$1,0)-MATCH($L$1,[3]enemies!$1:$1,0)+1,FALSE)</f>
        <v>30</v>
      </c>
      <c r="R13" s="122">
        <v>60</v>
      </c>
      <c r="S13" s="123">
        <v>2</v>
      </c>
      <c r="T13" s="123">
        <v>1.2</v>
      </c>
      <c r="U13" s="122">
        <v>0</v>
      </c>
      <c r="V13" s="118" t="str">
        <f ca="1">VLOOKUP($W13,OFFSET(enemy_skill_sets!$B$1,0,0,COUNTA(enemy_skill_sets!$B:$B),MATCH(M$1,enemy_skill_sets!$1:$1,0)-MATCH($W$1,enemy_skill_sets!$1:$1,0)+2),MATCH(M$1,enemy_skill_sets!$1:$1,0)-MATCH($W$1,enemy_skill_sets!$1:$1,0)+2,FALSE)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13" s="124">
        <v>41007016</v>
      </c>
      <c r="X13" s="125">
        <v>1</v>
      </c>
      <c r="Y13" s="125">
        <v>100</v>
      </c>
      <c r="Z13" s="125">
        <v>1</v>
      </c>
      <c r="AA13" s="126">
        <v>2</v>
      </c>
      <c r="AB13" s="127">
        <v>142</v>
      </c>
      <c r="AC13" s="118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13" s="118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118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3" s="128">
        <v>1</v>
      </c>
      <c r="AG13" s="127">
        <f ca="1">AD13</f>
        <v>3</v>
      </c>
      <c r="AH13" s="129">
        <v>0</v>
      </c>
      <c r="AI13" s="128">
        <v>0</v>
      </c>
      <c r="AJ13" s="128">
        <v>0</v>
      </c>
      <c r="AK13" s="128">
        <v>0</v>
      </c>
      <c r="AL13" s="128">
        <v>0</v>
      </c>
      <c r="AM13" s="128">
        <v>1</v>
      </c>
      <c r="AN13" s="130">
        <v>1</v>
      </c>
    </row>
    <row r="14" spans="1:40" ht="21" customHeight="1" x14ac:dyDescent="0.15">
      <c r="A14" s="16" t="str">
        <f>B14&amp;"_"&amp;C14&amp;"-"&amp;G14&amp;"/"&amp;L14&amp;"&lt;lv"&amp;R14&amp;"&gt;s"&amp;AA14</f>
        <v>41007_2-1/294&lt;lv60&gt;s2</v>
      </c>
      <c r="B14" s="21">
        <v>41007</v>
      </c>
      <c r="C14" s="95">
        <v>2</v>
      </c>
      <c r="D14" s="15" t="str">
        <f>B14&amp;"_"&amp;C14</f>
        <v>41007_2</v>
      </c>
      <c r="E14" s="4" t="str">
        <f ca="1">VLOOKUP($B14,OFFSET([2]quests!$A$1,0,0,COUNTA([2]quests!$A:$A),MATCH(E$1,[2]quests!$1:$1,0)-MATCH($B$1,[2]quests!$1:$1,0)+1),MATCH(E$1,[2]quests!$1:$1,0)-MATCH($B$1,[2]quests!$1:$1,0)+1,FALSE)</f>
        <v>グリム襲来！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【ウィザード級】グリム襲来</v>
      </c>
      <c r="G14" s="95">
        <v>1</v>
      </c>
      <c r="H14" s="15" t="str">
        <f>B14&amp;"_"&amp;C14&amp;"-"&amp;G14</f>
        <v>41007_2-1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6" t="s">
        <v>88</v>
      </c>
      <c r="L14" s="96">
        <v>294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ウルフ・ザ・レッドイーター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3">
        <v>2</v>
      </c>
      <c r="T14" s="23">
        <v>1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14" s="99">
        <v>41007017</v>
      </c>
      <c r="X14" s="6">
        <v>1</v>
      </c>
      <c r="Y14" s="6">
        <v>100</v>
      </c>
      <c r="Z14" s="6">
        <v>1</v>
      </c>
      <c r="AA14" s="102">
        <v>2</v>
      </c>
      <c r="AB14" s="97">
        <f>L14</f>
        <v>294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ウルフ・ザ・レッドイーター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Drop2N</v>
      </c>
      <c r="AF14" s="98">
        <v>1</v>
      </c>
      <c r="AG14" s="97">
        <f ca="1">AD14</f>
        <v>4</v>
      </c>
      <c r="AH14" s="8">
        <v>0</v>
      </c>
      <c r="AI14" s="98">
        <v>0</v>
      </c>
      <c r="AJ14" s="98">
        <v>0</v>
      </c>
      <c r="AK14" s="98">
        <v>0</v>
      </c>
      <c r="AL14" s="98">
        <v>0</v>
      </c>
      <c r="AM14" s="98">
        <v>1</v>
      </c>
      <c r="AN14" s="67">
        <v>1</v>
      </c>
    </row>
    <row r="15" spans="1:40" ht="21" customHeight="1" x14ac:dyDescent="0.15">
      <c r="A15" s="16" t="str">
        <f t="shared" ref="A15:A23" si="5">B15&amp;"_"&amp;C15&amp;"-"&amp;G15&amp;"/"&amp;L15&amp;"&lt;lv"&amp;R15&amp;"&gt;s"&amp;AA15</f>
        <v>41007_2-2/292&lt;lv60&gt;s2</v>
      </c>
      <c r="B15" s="21">
        <v>41007</v>
      </c>
      <c r="C15" s="95">
        <v>2</v>
      </c>
      <c r="D15" s="15" t="str">
        <f t="shared" ref="D15:D23" si="6">B15&amp;"_"&amp;C15</f>
        <v>41007_2</v>
      </c>
      <c r="E15" s="4" t="str">
        <f ca="1">VLOOKUP($B15,OFFSET([2]quests!$A$1,0,0,COUNTA([2]quests!$A:$A),MATCH(E$1,[2]quests!$1:$1,0)-MATCH($B$1,[2]quests!$1:$1,0)+1),MATCH(E$1,[2]quests!$1:$1,0)-MATCH($B$1,[2]quests!$1:$1,0)+1,FALSE)</f>
        <v>グリム襲来！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【ウィザード級】グリム襲来</v>
      </c>
      <c r="G15" s="95">
        <v>2</v>
      </c>
      <c r="H15" s="15" t="str">
        <f t="shared" ref="H15:H23" si="7">B15&amp;"_"&amp;C15&amp;"-"&amp;G15</f>
        <v>41007_2-2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6" t="s">
        <v>88</v>
      </c>
      <c r="L15" s="96">
        <v>292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アナスタシア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3">
        <v>1.7</v>
      </c>
      <c r="T15" s="23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15" s="99">
        <v>41007018</v>
      </c>
      <c r="X15" s="6">
        <v>1</v>
      </c>
      <c r="Y15" s="6">
        <v>100</v>
      </c>
      <c r="Z15" s="6">
        <v>0</v>
      </c>
      <c r="AA15" s="102">
        <v>2</v>
      </c>
      <c r="AB15" s="97">
        <f t="shared" ref="AB15:AB22" si="8">L15</f>
        <v>292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アナスタシア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98">
        <v>1</v>
      </c>
      <c r="AG15" s="97">
        <f t="shared" ref="AG15:AG23" ca="1" si="9">AD15</f>
        <v>4</v>
      </c>
      <c r="AH15" s="8">
        <v>0</v>
      </c>
      <c r="AI15" s="98">
        <v>0</v>
      </c>
      <c r="AJ15" s="98">
        <v>0</v>
      </c>
      <c r="AK15" s="98">
        <v>0</v>
      </c>
      <c r="AL15" s="98">
        <v>0</v>
      </c>
      <c r="AM15" s="98">
        <v>1</v>
      </c>
      <c r="AN15" s="67">
        <v>1</v>
      </c>
    </row>
    <row r="16" spans="1:40" ht="21" customHeight="1" x14ac:dyDescent="0.15">
      <c r="A16" s="16" t="str">
        <f t="shared" si="5"/>
        <v>41007_2-2/149&lt;lv60&gt;s1</v>
      </c>
      <c r="B16" s="21">
        <v>41007</v>
      </c>
      <c r="C16" s="95">
        <v>2</v>
      </c>
      <c r="D16" s="15" t="str">
        <f t="shared" si="6"/>
        <v>41007_2</v>
      </c>
      <c r="E16" s="4" t="str">
        <f ca="1">VLOOKUP($B16,OFFSET([2]quests!$A$1,0,0,COUNTA([2]quests!$A:$A),MATCH(E$1,[2]quests!$1:$1,0)-MATCH($B$1,[2]quests!$1:$1,0)+1),MATCH(E$1,[2]quests!$1:$1,0)-MATCH($B$1,[2]quests!$1:$1,0)+1,FALSE)</f>
        <v>グリム襲来！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【ウィザード級】グリム襲来</v>
      </c>
      <c r="G16" s="95">
        <v>2</v>
      </c>
      <c r="H16" s="15" t="str">
        <f t="shared" si="7"/>
        <v>41007_2-2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6" t="s">
        <v>88</v>
      </c>
      <c r="L16" s="96">
        <v>149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雷撃蹴技を極めし者 シンデレラ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3">
        <v>2.2000000000000002</v>
      </c>
      <c r="T16" s="23">
        <v>1.5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お邪魔パネル吸収攻撃</v>
      </c>
      <c r="W16" s="99">
        <v>41007019</v>
      </c>
      <c r="X16" s="6">
        <v>1</v>
      </c>
      <c r="Y16" s="6">
        <v>100</v>
      </c>
      <c r="Z16" s="6">
        <v>1</v>
      </c>
      <c r="AA16" s="102">
        <v>1</v>
      </c>
      <c r="AB16" s="97">
        <f t="shared" si="8"/>
        <v>149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雷撃蹴技を極めし者 シンデレラ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6" s="98">
        <v>1</v>
      </c>
      <c r="AG16" s="97">
        <f t="shared" ca="1" si="9"/>
        <v>4</v>
      </c>
      <c r="AH16" s="8">
        <v>0</v>
      </c>
      <c r="AI16" s="98">
        <v>0</v>
      </c>
      <c r="AJ16" s="98">
        <v>0</v>
      </c>
      <c r="AK16" s="98">
        <v>0</v>
      </c>
      <c r="AL16" s="98">
        <v>0</v>
      </c>
      <c r="AM16" s="98">
        <v>1</v>
      </c>
      <c r="AN16" s="67">
        <v>1</v>
      </c>
    </row>
    <row r="17" spans="1:40" ht="21" customHeight="1" x14ac:dyDescent="0.15">
      <c r="A17" s="16" t="str">
        <f t="shared" si="5"/>
        <v>41007_2-3/2&lt;lv60&gt;s1</v>
      </c>
      <c r="B17" s="21">
        <v>41007</v>
      </c>
      <c r="C17" s="95">
        <v>2</v>
      </c>
      <c r="D17" s="15" t="str">
        <f t="shared" si="6"/>
        <v>41007_2</v>
      </c>
      <c r="E17" s="4" t="str">
        <f ca="1">VLOOKUP($B17,OFFSET([2]quests!$A$1,0,0,COUNTA([2]quests!$A:$A),MATCH(E$1,[2]quests!$1:$1,0)-MATCH($B$1,[2]quests!$1:$1,0)+1),MATCH(E$1,[2]quests!$1:$1,0)-MATCH($B$1,[2]quests!$1:$1,0)+1,FALSE)</f>
        <v>グリム襲来！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【ウィザード級】グリム襲来</v>
      </c>
      <c r="G17" s="95">
        <v>3</v>
      </c>
      <c r="H17" s="15" t="str">
        <f t="shared" si="7"/>
        <v>41007_2-3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6" t="s">
        <v>88</v>
      </c>
      <c r="L17" s="96">
        <v>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イレギュラー・ジェリー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Drop1T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60</v>
      </c>
      <c r="S17" s="23">
        <v>2.4</v>
      </c>
      <c r="T17" s="23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7" s="99">
        <v>41007020</v>
      </c>
      <c r="X17" s="6">
        <v>1</v>
      </c>
      <c r="Y17" s="6">
        <v>100</v>
      </c>
      <c r="Z17" s="6">
        <v>1</v>
      </c>
      <c r="AA17" s="102">
        <v>1</v>
      </c>
      <c r="AB17" s="97">
        <f t="shared" si="8"/>
        <v>2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Drop1T</v>
      </c>
      <c r="AF17" s="98">
        <v>1</v>
      </c>
      <c r="AG17" s="97">
        <f t="shared" ca="1" si="9"/>
        <v>2</v>
      </c>
      <c r="AH17" s="8">
        <v>0</v>
      </c>
      <c r="AI17" s="98">
        <v>0</v>
      </c>
      <c r="AJ17" s="98">
        <v>0</v>
      </c>
      <c r="AK17" s="98">
        <v>0</v>
      </c>
      <c r="AL17" s="98">
        <v>0</v>
      </c>
      <c r="AM17" s="98">
        <v>1</v>
      </c>
      <c r="AN17" s="67">
        <v>1</v>
      </c>
    </row>
    <row r="18" spans="1:40" ht="21" customHeight="1" x14ac:dyDescent="0.15">
      <c r="A18" s="16" t="str">
        <f t="shared" si="5"/>
        <v>41007_2-3/4&lt;lv60&gt;s2</v>
      </c>
      <c r="B18" s="21">
        <v>41007</v>
      </c>
      <c r="C18" s="95">
        <v>2</v>
      </c>
      <c r="D18" s="15" t="str">
        <f t="shared" si="6"/>
        <v>41007_2</v>
      </c>
      <c r="E18" s="4" t="str">
        <f ca="1">VLOOKUP($B18,OFFSET([2]quests!$A$1,0,0,COUNTA([2]quests!$A:$A),MATCH(E$1,[2]quests!$1:$1,0)-MATCH($B$1,[2]quests!$1:$1,0)+1),MATCH(E$1,[2]quests!$1:$1,0)-MATCH($B$1,[2]quests!$1:$1,0)+1,FALSE)</f>
        <v>グリム襲来！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【ウィザード級】グリム襲来</v>
      </c>
      <c r="G18" s="95">
        <v>3</v>
      </c>
      <c r="H18" s="15" t="str">
        <f t="shared" si="7"/>
        <v>41007_2-3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6" t="s">
        <v>88</v>
      </c>
      <c r="L18" s="96">
        <v>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エースエージェント ジョー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Drop1T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60</v>
      </c>
      <c r="S18" s="23">
        <v>2.4</v>
      </c>
      <c r="T18" s="23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8" s="99">
        <v>41007021</v>
      </c>
      <c r="X18" s="6">
        <v>1</v>
      </c>
      <c r="Y18" s="6">
        <v>100</v>
      </c>
      <c r="Z18" s="6">
        <v>0</v>
      </c>
      <c r="AA18" s="102">
        <v>2</v>
      </c>
      <c r="AB18" s="97">
        <f t="shared" si="8"/>
        <v>4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Drop1T</v>
      </c>
      <c r="AF18" s="98">
        <v>1</v>
      </c>
      <c r="AG18" s="97">
        <f t="shared" ca="1" si="9"/>
        <v>2</v>
      </c>
      <c r="AH18" s="8">
        <v>0</v>
      </c>
      <c r="AI18" s="98">
        <v>0</v>
      </c>
      <c r="AJ18" s="98">
        <v>0</v>
      </c>
      <c r="AK18" s="98">
        <v>0</v>
      </c>
      <c r="AL18" s="98">
        <v>0</v>
      </c>
      <c r="AM18" s="98">
        <v>1</v>
      </c>
      <c r="AN18" s="67">
        <v>1</v>
      </c>
    </row>
    <row r="19" spans="1:40" ht="21" customHeight="1" x14ac:dyDescent="0.15">
      <c r="A19" s="16" t="str">
        <f t="shared" si="5"/>
        <v>41007_2-3/6&lt;lv60&gt;s3</v>
      </c>
      <c r="B19" s="21">
        <v>41007</v>
      </c>
      <c r="C19" s="95">
        <v>2</v>
      </c>
      <c r="D19" s="15" t="str">
        <f t="shared" si="6"/>
        <v>41007_2</v>
      </c>
      <c r="E19" s="4" t="str">
        <f ca="1">VLOOKUP($B19,OFFSET([2]quests!$A$1,0,0,COUNTA([2]quests!$A:$A),MATCH(E$1,[2]quests!$1:$1,0)-MATCH($B$1,[2]quests!$1:$1,0)+1),MATCH(E$1,[2]quests!$1:$1,0)-MATCH($B$1,[2]quests!$1:$1,0)+1,FALSE)</f>
        <v>グリム襲来！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【ウィザード級】グリム襲来</v>
      </c>
      <c r="G19" s="95">
        <v>3</v>
      </c>
      <c r="H19" s="15" t="str">
        <f t="shared" si="7"/>
        <v>41007_2-3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6" t="s">
        <v>88</v>
      </c>
      <c r="L19" s="96">
        <v>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パトドッグリーダー ポチ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Drop1T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60</v>
      </c>
      <c r="S19" s="23">
        <v>2.4</v>
      </c>
      <c r="T19" s="23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3ターン攻撃頻度UP</v>
      </c>
      <c r="W19" s="99">
        <v>41007022</v>
      </c>
      <c r="X19" s="6">
        <v>1</v>
      </c>
      <c r="Y19" s="6">
        <v>100</v>
      </c>
      <c r="Z19" s="6">
        <v>0</v>
      </c>
      <c r="AA19" s="102">
        <v>3</v>
      </c>
      <c r="AB19" s="97">
        <f t="shared" si="8"/>
        <v>6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Drop1T</v>
      </c>
      <c r="AF19" s="98">
        <v>1</v>
      </c>
      <c r="AG19" s="97">
        <f t="shared" ca="1" si="9"/>
        <v>2</v>
      </c>
      <c r="AH19" s="8">
        <v>0</v>
      </c>
      <c r="AI19" s="98">
        <v>0</v>
      </c>
      <c r="AJ19" s="98">
        <v>0</v>
      </c>
      <c r="AK19" s="98">
        <v>0</v>
      </c>
      <c r="AL19" s="98">
        <v>0</v>
      </c>
      <c r="AM19" s="98">
        <v>1</v>
      </c>
      <c r="AN19" s="67">
        <v>1</v>
      </c>
    </row>
    <row r="20" spans="1:40" ht="21" customHeight="1" x14ac:dyDescent="0.15">
      <c r="A20" s="16" t="str">
        <f t="shared" si="5"/>
        <v>41007_2-3/8&lt;lv60&gt;s2</v>
      </c>
      <c r="B20" s="21">
        <v>41007</v>
      </c>
      <c r="C20" s="95">
        <v>2</v>
      </c>
      <c r="D20" s="15" t="str">
        <f t="shared" si="6"/>
        <v>41007_2</v>
      </c>
      <c r="E20" s="4" t="str">
        <f ca="1">VLOOKUP($B20,OFFSET([2]quests!$A$1,0,0,COUNTA([2]quests!$A:$A),MATCH(E$1,[2]quests!$1:$1,0)-MATCH($B$1,[2]quests!$1:$1,0)+1),MATCH(E$1,[2]quests!$1:$1,0)-MATCH($B$1,[2]quests!$1:$1,0)+1,FALSE)</f>
        <v>グリム襲来！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【ウィザード級】グリム襲来</v>
      </c>
      <c r="G20" s="95">
        <v>3</v>
      </c>
      <c r="H20" s="15" t="str">
        <f t="shared" si="7"/>
        <v>41007_2-3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6" t="s">
        <v>211</v>
      </c>
      <c r="L20" s="96">
        <v>8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ハイボルテージ エレキポット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Drop1T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60</v>
      </c>
      <c r="S20" s="23">
        <v>2.4</v>
      </c>
      <c r="T20" s="23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4回連続攻撃</v>
      </c>
      <c r="W20" s="99">
        <v>41007023</v>
      </c>
      <c r="X20" s="6">
        <v>1</v>
      </c>
      <c r="Y20" s="6">
        <v>100</v>
      </c>
      <c r="Z20" s="6">
        <v>0</v>
      </c>
      <c r="AA20" s="102">
        <v>2</v>
      </c>
      <c r="AB20" s="97">
        <f t="shared" si="8"/>
        <v>8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Drop1T</v>
      </c>
      <c r="AF20" s="98">
        <v>1</v>
      </c>
      <c r="AG20" s="97">
        <f t="shared" ca="1" si="9"/>
        <v>2</v>
      </c>
      <c r="AH20" s="8">
        <v>0</v>
      </c>
      <c r="AI20" s="98">
        <v>0</v>
      </c>
      <c r="AJ20" s="98">
        <v>0</v>
      </c>
      <c r="AK20" s="98">
        <v>0</v>
      </c>
      <c r="AL20" s="98">
        <v>0</v>
      </c>
      <c r="AM20" s="98">
        <v>1</v>
      </c>
      <c r="AN20" s="67">
        <v>1</v>
      </c>
    </row>
    <row r="21" spans="1:40" ht="21" customHeight="1" x14ac:dyDescent="0.15">
      <c r="A21" s="16" t="str">
        <f t="shared" si="5"/>
        <v>41007_2-4/422&lt;lv60&gt;s2</v>
      </c>
      <c r="B21" s="21">
        <v>41007</v>
      </c>
      <c r="C21" s="95">
        <v>2</v>
      </c>
      <c r="D21" s="15" t="str">
        <f t="shared" si="6"/>
        <v>41007_2</v>
      </c>
      <c r="E21" s="4" t="str">
        <f ca="1">VLOOKUP($B21,OFFSET([2]quests!$A$1,0,0,COUNTA([2]quests!$A:$A),MATCH(E$1,[2]quests!$1:$1,0)-MATCH($B$1,[2]quests!$1:$1,0)+1),MATCH(E$1,[2]quests!$1:$1,0)-MATCH($B$1,[2]quests!$1:$1,0)+1,FALSE)</f>
        <v>グリム襲来！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【ウィザード級】グリム襲来</v>
      </c>
      <c r="G21" s="95">
        <v>4</v>
      </c>
      <c r="H21" s="15" t="str">
        <f t="shared" si="7"/>
        <v>41007_2-4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6">
        <v>1</v>
      </c>
      <c r="L21" s="96">
        <v>422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シュガフル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Drop2N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7">
        <f ca="1">VLOOKUP($L21,OFFSET([3]enemies!$A$1,0,0,COUNTA([3]enemies!$A:$A),MATCH(Q$1,[3]enemies!$1:$1,0)-MATCH($L$1,[3]enemies!$1:$1,0)+1),MATCH(Q$1,[3]enemies!$1:$1,0)-MATCH($L$1,[3]enemies!$1:$1,0)+1,FALSE)</f>
        <v>30</v>
      </c>
      <c r="R21" s="5">
        <v>60</v>
      </c>
      <c r="S21" s="23">
        <v>1.4</v>
      </c>
      <c r="T21" s="23">
        <v>0.9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21" s="99">
        <v>41007024</v>
      </c>
      <c r="X21" s="6">
        <v>1</v>
      </c>
      <c r="Y21" s="6">
        <v>100</v>
      </c>
      <c r="Z21" s="6">
        <v>1</v>
      </c>
      <c r="AA21" s="102">
        <v>2</v>
      </c>
      <c r="AB21" s="97">
        <f t="shared" si="8"/>
        <v>422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シュガフル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Drop2N</v>
      </c>
      <c r="AF21" s="98">
        <v>1</v>
      </c>
      <c r="AG21" s="97">
        <f t="shared" ca="1" si="9"/>
        <v>4</v>
      </c>
      <c r="AH21" s="8">
        <v>0</v>
      </c>
      <c r="AI21" s="98">
        <v>0</v>
      </c>
      <c r="AJ21" s="98">
        <v>0</v>
      </c>
      <c r="AK21" s="98">
        <v>0</v>
      </c>
      <c r="AL21" s="98">
        <v>0</v>
      </c>
      <c r="AM21" s="98">
        <v>1</v>
      </c>
      <c r="AN21" s="67">
        <v>1</v>
      </c>
    </row>
    <row r="22" spans="1:40" ht="21" customHeight="1" x14ac:dyDescent="0.15">
      <c r="A22" s="16" t="str">
        <f t="shared" si="5"/>
        <v>41007_2-4/398&lt;lv60&gt;s3</v>
      </c>
      <c r="B22" s="21">
        <v>41007</v>
      </c>
      <c r="C22" s="95">
        <v>2</v>
      </c>
      <c r="D22" s="15" t="str">
        <f t="shared" si="6"/>
        <v>41007_2</v>
      </c>
      <c r="E22" s="4" t="str">
        <f ca="1">VLOOKUP($B22,OFFSET([2]quests!$A$1,0,0,COUNTA([2]quests!$A:$A),MATCH(E$1,[2]quests!$1:$1,0)-MATCH($B$1,[2]quests!$1:$1,0)+1),MATCH(E$1,[2]quests!$1:$1,0)-MATCH($B$1,[2]quests!$1:$1,0)+1,FALSE)</f>
        <v>グリム襲来！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【ウィザード級】グリム襲来</v>
      </c>
      <c r="G22" s="95">
        <v>4</v>
      </c>
      <c r="H22" s="15" t="str">
        <f t="shared" si="7"/>
        <v>41007_2-4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6">
        <v>2</v>
      </c>
      <c r="L22" s="96">
        <v>398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ヘンゼル＆グレーテル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PremiumSS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60</v>
      </c>
      <c r="S22" s="23">
        <v>1.9</v>
      </c>
      <c r="T22" s="23">
        <v>0.9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種族マシンのユニットに大ダメージ</v>
      </c>
      <c r="W22" s="99">
        <v>41007026</v>
      </c>
      <c r="X22" s="6">
        <v>1</v>
      </c>
      <c r="Y22" s="6">
        <v>100</v>
      </c>
      <c r="Z22" s="6">
        <v>1</v>
      </c>
      <c r="AA22" s="102">
        <v>3</v>
      </c>
      <c r="AB22" s="97">
        <f t="shared" si="8"/>
        <v>398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ヘンゼル＆グレーテル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2" s="98">
        <v>1</v>
      </c>
      <c r="AG22" s="97">
        <f t="shared" ca="1" si="9"/>
        <v>4</v>
      </c>
      <c r="AH22" s="8">
        <v>0</v>
      </c>
      <c r="AI22" s="98">
        <v>0</v>
      </c>
      <c r="AJ22" s="98">
        <v>0</v>
      </c>
      <c r="AK22" s="98">
        <v>0</v>
      </c>
      <c r="AL22" s="98">
        <v>0</v>
      </c>
      <c r="AM22" s="98">
        <v>1</v>
      </c>
      <c r="AN22" s="67">
        <v>1</v>
      </c>
    </row>
    <row r="23" spans="1:40" ht="21" customHeight="1" thickBot="1" x14ac:dyDescent="0.2">
      <c r="A23" s="16" t="str">
        <f t="shared" si="5"/>
        <v>41007_2-5/491&lt;lv80&gt;s2</v>
      </c>
      <c r="B23" s="21">
        <v>41007</v>
      </c>
      <c r="C23" s="95">
        <v>2</v>
      </c>
      <c r="D23" s="15" t="str">
        <f t="shared" si="6"/>
        <v>41007_2</v>
      </c>
      <c r="E23" s="4" t="str">
        <f ca="1">VLOOKUP($B23,OFFSET([2]quests!$A$1,0,0,COUNTA([2]quests!$A:$A),MATCH(E$1,[2]quests!$1:$1,0)-MATCH($B$1,[2]quests!$1:$1,0)+1),MATCH(E$1,[2]quests!$1:$1,0)-MATCH($B$1,[2]quests!$1:$1,0)+1,FALSE)</f>
        <v>グリム襲来！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【ウィザード級】グリム襲来</v>
      </c>
      <c r="G23" s="95">
        <v>5</v>
      </c>
      <c r="H23" s="15" t="str">
        <f t="shared" si="7"/>
        <v>41007_2-5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6">
        <v>3</v>
      </c>
      <c r="L23" s="96">
        <v>491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収魂の群影 グリム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DropWizS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60</v>
      </c>
      <c r="R23" s="5">
        <v>80</v>
      </c>
      <c r="S23" s="23">
        <v>3.5</v>
      </c>
      <c r="T23" s="23">
        <v>1.4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次のターン強力なハートパネル吸収攻撃！</v>
      </c>
      <c r="W23" s="99">
        <v>41007028</v>
      </c>
      <c r="X23" s="6">
        <v>1</v>
      </c>
      <c r="Y23" s="6">
        <v>100</v>
      </c>
      <c r="Z23" s="6">
        <v>1</v>
      </c>
      <c r="AA23" s="102">
        <v>2</v>
      </c>
      <c r="AB23" s="101">
        <v>490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グリム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3" s="98">
        <v>1</v>
      </c>
      <c r="AG23" s="97">
        <f t="shared" ca="1" si="9"/>
        <v>4</v>
      </c>
      <c r="AH23" s="100">
        <v>30</v>
      </c>
      <c r="AI23" s="98">
        <v>0</v>
      </c>
      <c r="AJ23" s="98">
        <v>0</v>
      </c>
      <c r="AK23" s="98">
        <v>0</v>
      </c>
      <c r="AL23" s="98">
        <v>0</v>
      </c>
      <c r="AM23" s="98">
        <v>1</v>
      </c>
      <c r="AN23" s="67">
        <v>1</v>
      </c>
    </row>
    <row r="24" spans="1:40" ht="21" customHeight="1" x14ac:dyDescent="0.15">
      <c r="A24" s="114" t="str">
        <f>B24&amp;"_"&amp;C24&amp;"-"&amp;G24&amp;"/"&amp;L24&amp;"&lt;lv"&amp;R24&amp;"&gt;s"&amp;AA24</f>
        <v>41007_3-1/143&lt;lv60&gt;s2</v>
      </c>
      <c r="B24" s="115">
        <v>41007</v>
      </c>
      <c r="C24" s="116">
        <v>3</v>
      </c>
      <c r="D24" s="117" t="str">
        <f>B24&amp;"_"&amp;C24</f>
        <v>41007_3</v>
      </c>
      <c r="E24" s="118" t="str">
        <f ca="1">VLOOKUP($B24,OFFSET([2]quests!$A$1,0,0,COUNTA([2]quests!$A:$A),MATCH(E$1,[2]quests!$1:$1,0)-MATCH($B$1,[2]quests!$1:$1,0)+1),MATCH(E$1,[2]quests!$1:$1,0)-MATCH($B$1,[2]quests!$1:$1,0)+1,FALSE)</f>
        <v>グリム襲来！</v>
      </c>
      <c r="F24" s="118" t="str">
        <f ca="1">VLOOKUP($D24,OFFSET([2]stages!$A$1,0,0,COUNTA([2]stages!$A:$A),MATCH(F$1,[2]stages!$2:$2,0)-MATCH($D$1,[2]stages!$2:$2,0)+1),MATCH(F$1,[2]stages!$2:$2,0)-MATCH($D$1,[2]stages!$2:$2,0)+1,FALSE)</f>
        <v>【ノーコンテニュー】グリム襲来</v>
      </c>
      <c r="G24" s="116">
        <v>1</v>
      </c>
      <c r="H24" s="117" t="str">
        <f>B24&amp;"_"&amp;C24&amp;"-"&amp;G24</f>
        <v>41007_3-1</v>
      </c>
      <c r="I24" s="118">
        <f ca="1">VLOOKUP($H24,OFFSET(floors!$A$1,0,0,COUNTA(floors!$A:$A),MATCH(I$1,floors!$1:$1,0)-MATCH($H$1,floors!$1:$1,0)+1),MATCH(I$1,floors!$1:$1,0)-MATCH($H$1,floors!$1:$1,0)+1,FALSE)</f>
        <v>60</v>
      </c>
      <c r="J24" s="118">
        <f ca="1">VLOOKUP($H24,OFFSET(floors!$A$1,0,0,COUNTA(floors!$A:$A),MATCH(J$1,floors!$1:$1,0)-MATCH($H$1,floors!$1:$1,0)+1),MATCH(J$1,floors!$1:$1,0)-MATCH($H$1,floors!$1:$1,0)+1,FALSE)</f>
        <v>60</v>
      </c>
      <c r="K24" s="119" t="s">
        <v>88</v>
      </c>
      <c r="L24" s="120">
        <v>143</v>
      </c>
      <c r="M24" s="121" t="str">
        <f ca="1">VLOOKUP($L24,OFFSET([3]enemies!$A$1,0,0,COUNTA([3]enemies!$A:$A),MATCH(M$1,[3]enemies!$1:$1,0)-MATCH($L$1,[3]enemies!$1:$1,0)+1),MATCH(M$1,[3]enemies!$1:$1,0)-MATCH($L$1,[3]enemies!$1:$1,0)+1,FALSE)</f>
        <v>深紅の死神 赤ずきん</v>
      </c>
      <c r="N24" s="121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21" t="str">
        <f ca="1">VLOOKUP($L24,OFFSET([4]characters!$A$1,0,0,COUNTA([4]characters!$A:$A),MATCH(O$1,[4]characters!$1:$1,0)-MATCH($L$1,[4]characters!$1:$1,0)+1),MATCH(O$1,[4]characters!$1:$1,0)-MATCH($L$1,[4]characters!$1:$1,0)+1,FALSE)</f>
        <v>PremiumW</v>
      </c>
      <c r="P24" s="121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21">
        <f ca="1">VLOOKUP($L24,OFFSET([3]enemies!$A$1,0,0,COUNTA([3]enemies!$A:$A),MATCH(Q$1,[3]enemies!$1:$1,0)-MATCH($L$1,[3]enemies!$1:$1,0)+1),MATCH(Q$1,[3]enemies!$1:$1,0)-MATCH($L$1,[3]enemies!$1:$1,0)+1,FALSE)</f>
        <v>30</v>
      </c>
      <c r="R24" s="122">
        <v>60</v>
      </c>
      <c r="S24" s="123">
        <v>2</v>
      </c>
      <c r="T24" s="123">
        <v>1.2</v>
      </c>
      <c r="U24" s="122">
        <v>0</v>
      </c>
      <c r="V24" s="118" t="str">
        <f ca="1">VLOOKUP($W24,OFFSET(enemy_skill_sets!$B$1,0,0,COUNTA(enemy_skill_sets!$B:$B),MATCH(M$1,enemy_skill_sets!$1:$1,0)-MATCH($W$1,enemy_skill_sets!$1:$1,0)+2),MATCH(M$1,enemy_skill_sets!$1:$1,0)-MATCH($W$1,enemy_skill_sets!$1:$1,0)+2,FALSE)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24" s="124">
        <v>41007016</v>
      </c>
      <c r="X24" s="125">
        <v>1</v>
      </c>
      <c r="Y24" s="125">
        <v>100</v>
      </c>
      <c r="Z24" s="125">
        <v>1</v>
      </c>
      <c r="AA24" s="126">
        <v>2</v>
      </c>
      <c r="AB24" s="127">
        <v>142</v>
      </c>
      <c r="AC24" s="118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24" s="118">
        <f ca="1">VLOOKUP($AB24,OFFSET([4]characters!$A$1,0,0,COUNTA([4]characters!$A:$A),MATCH(AD$1,[4]characters!$1:$1,0)-MATCH("character_id",[4]characters!$1:$1,0)+1),MATCH(AD$1,[4]characters!$1:$1,0)-MATCH("character_id",[4]characters!$1:$1,0)+1,FALSE)</f>
        <v>3</v>
      </c>
      <c r="AE24" s="118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4" s="128">
        <v>1</v>
      </c>
      <c r="AG24" s="127">
        <f ca="1">AD24</f>
        <v>3</v>
      </c>
      <c r="AH24" s="129">
        <v>0</v>
      </c>
      <c r="AI24" s="128">
        <v>0</v>
      </c>
      <c r="AJ24" s="128">
        <v>0</v>
      </c>
      <c r="AK24" s="128">
        <v>0</v>
      </c>
      <c r="AL24" s="128">
        <v>0</v>
      </c>
      <c r="AM24" s="128">
        <v>1</v>
      </c>
      <c r="AN24" s="130">
        <v>1</v>
      </c>
    </row>
    <row r="25" spans="1:40" ht="21" customHeight="1" x14ac:dyDescent="0.15">
      <c r="A25" s="16" t="str">
        <f>B25&amp;"_"&amp;C25&amp;"-"&amp;G25&amp;"/"&amp;L25&amp;"&lt;lv"&amp;R25&amp;"&gt;s"&amp;AA25</f>
        <v>41007_3-1/294&lt;lv60&gt;s2</v>
      </c>
      <c r="B25" s="21">
        <v>41007</v>
      </c>
      <c r="C25" s="95">
        <v>3</v>
      </c>
      <c r="D25" s="15" t="str">
        <f>B25&amp;"_"&amp;C25</f>
        <v>41007_3</v>
      </c>
      <c r="E25" s="4" t="str">
        <f ca="1">VLOOKUP($B25,OFFSET([2]quests!$A$1,0,0,COUNTA([2]quests!$A:$A),MATCH(E$1,[2]quests!$1:$1,0)-MATCH($B$1,[2]quests!$1:$1,0)+1),MATCH(E$1,[2]quests!$1:$1,0)-MATCH($B$1,[2]quests!$1:$1,0)+1,FALSE)</f>
        <v>グリム襲来！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【ノーコンテニュー】グリム襲来</v>
      </c>
      <c r="G25" s="95">
        <v>1</v>
      </c>
      <c r="H25" s="15" t="str">
        <f>B25&amp;"_"&amp;C25&amp;"-"&amp;G25</f>
        <v>41007_3-1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6" t="s">
        <v>88</v>
      </c>
      <c r="L25" s="96">
        <v>294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ウルフ・ザ・レッドイーター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Drop2N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30</v>
      </c>
      <c r="R25" s="5">
        <v>60</v>
      </c>
      <c r="S25" s="23">
        <v>2</v>
      </c>
      <c r="T25" s="23">
        <v>1</v>
      </c>
      <c r="U25" s="5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25" s="99">
        <v>41007017</v>
      </c>
      <c r="X25" s="6">
        <v>1</v>
      </c>
      <c r="Y25" s="6">
        <v>100</v>
      </c>
      <c r="Z25" s="6">
        <v>1</v>
      </c>
      <c r="AA25" s="102">
        <v>2</v>
      </c>
      <c r="AB25" s="97">
        <f>L25</f>
        <v>294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ウルフ・ザ・レッドイーター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Drop2N</v>
      </c>
      <c r="AF25" s="98">
        <v>1</v>
      </c>
      <c r="AG25" s="97">
        <f ca="1">AD25</f>
        <v>4</v>
      </c>
      <c r="AH25" s="8">
        <v>0</v>
      </c>
      <c r="AI25" s="98">
        <v>0</v>
      </c>
      <c r="AJ25" s="98">
        <v>0</v>
      </c>
      <c r="AK25" s="98">
        <v>0</v>
      </c>
      <c r="AL25" s="98">
        <v>0</v>
      </c>
      <c r="AM25" s="98">
        <v>1</v>
      </c>
      <c r="AN25" s="67">
        <v>1</v>
      </c>
    </row>
    <row r="26" spans="1:40" ht="21" customHeight="1" x14ac:dyDescent="0.15">
      <c r="A26" s="16" t="str">
        <f t="shared" ref="A26:A34" si="10">B26&amp;"_"&amp;C26&amp;"-"&amp;G26&amp;"/"&amp;L26&amp;"&lt;lv"&amp;R26&amp;"&gt;s"&amp;AA26</f>
        <v>41007_3-2/292&lt;lv60&gt;s2</v>
      </c>
      <c r="B26" s="21">
        <v>41007</v>
      </c>
      <c r="C26" s="95">
        <v>3</v>
      </c>
      <c r="D26" s="15" t="str">
        <f t="shared" ref="D26:D34" si="11">B26&amp;"_"&amp;C26</f>
        <v>41007_3</v>
      </c>
      <c r="E26" s="4" t="str">
        <f ca="1">VLOOKUP($B26,OFFSET([2]quests!$A$1,0,0,COUNTA([2]quests!$A:$A),MATCH(E$1,[2]quests!$1:$1,0)-MATCH($B$1,[2]quests!$1:$1,0)+1),MATCH(E$1,[2]quests!$1:$1,0)-MATCH($B$1,[2]quests!$1:$1,0)+1,FALSE)</f>
        <v>グリム襲来！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【ノーコンテニュー】グリム襲来</v>
      </c>
      <c r="G26" s="95">
        <v>2</v>
      </c>
      <c r="H26" s="15" t="str">
        <f t="shared" ref="H26:H34" si="12">B26&amp;"_"&amp;C26&amp;"-"&amp;G26</f>
        <v>41007_3-2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6" t="s">
        <v>88</v>
      </c>
      <c r="L26" s="96">
        <v>292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アナスタシア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Drop2N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30</v>
      </c>
      <c r="R26" s="5">
        <v>60</v>
      </c>
      <c r="S26" s="23">
        <v>1.7</v>
      </c>
      <c r="T26" s="23">
        <v>1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26" s="99">
        <v>41007018</v>
      </c>
      <c r="X26" s="6">
        <v>1</v>
      </c>
      <c r="Y26" s="6">
        <v>100</v>
      </c>
      <c r="Z26" s="6">
        <v>0</v>
      </c>
      <c r="AA26" s="102">
        <v>2</v>
      </c>
      <c r="AB26" s="97">
        <f t="shared" ref="AB26:AB33" si="13">L26</f>
        <v>292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アナスタシア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Drop2N</v>
      </c>
      <c r="AF26" s="98">
        <v>1</v>
      </c>
      <c r="AG26" s="97">
        <f t="shared" ref="AG26:AG34" ca="1" si="14">AD26</f>
        <v>4</v>
      </c>
      <c r="AH26" s="8">
        <v>0</v>
      </c>
      <c r="AI26" s="98">
        <v>0</v>
      </c>
      <c r="AJ26" s="98">
        <v>0</v>
      </c>
      <c r="AK26" s="98">
        <v>0</v>
      </c>
      <c r="AL26" s="98">
        <v>0</v>
      </c>
      <c r="AM26" s="98">
        <v>1</v>
      </c>
      <c r="AN26" s="67">
        <v>1</v>
      </c>
    </row>
    <row r="27" spans="1:40" ht="21" customHeight="1" x14ac:dyDescent="0.15">
      <c r="A27" s="16" t="str">
        <f t="shared" si="10"/>
        <v>41007_3-2/149&lt;lv60&gt;s1</v>
      </c>
      <c r="B27" s="21">
        <v>41007</v>
      </c>
      <c r="C27" s="95">
        <v>3</v>
      </c>
      <c r="D27" s="15" t="str">
        <f t="shared" si="11"/>
        <v>41007_3</v>
      </c>
      <c r="E27" s="4" t="str">
        <f ca="1">VLOOKUP($B27,OFFSET([2]quests!$A$1,0,0,COUNTA([2]quests!$A:$A),MATCH(E$1,[2]quests!$1:$1,0)-MATCH($B$1,[2]quests!$1:$1,0)+1),MATCH(E$1,[2]quests!$1:$1,0)-MATCH($B$1,[2]quests!$1:$1,0)+1,FALSE)</f>
        <v>グリム襲来！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【ノーコンテニュー】グリム襲来</v>
      </c>
      <c r="G27" s="95">
        <v>2</v>
      </c>
      <c r="H27" s="15" t="str">
        <f t="shared" si="12"/>
        <v>41007_3-2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6" t="s">
        <v>88</v>
      </c>
      <c r="L27" s="96">
        <v>149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雷撃蹴技を極めし者 シンデレラ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PremiumW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human</v>
      </c>
      <c r="Q27" s="17">
        <f ca="1">VLOOKUP($L27,OFFSET([3]enemies!$A$1,0,0,COUNTA([3]enemies!$A:$A),MATCH(Q$1,[3]enemies!$1:$1,0)-MATCH($L$1,[3]enemies!$1:$1,0)+1),MATCH(Q$1,[3]enemies!$1:$1,0)-MATCH($L$1,[3]enemies!$1:$1,0)+1,FALSE)</f>
        <v>30</v>
      </c>
      <c r="R27" s="5">
        <v>60</v>
      </c>
      <c r="S27" s="23">
        <v>2.2000000000000002</v>
      </c>
      <c r="T27" s="23">
        <v>1.5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お邪魔パネル吸収攻撃</v>
      </c>
      <c r="W27" s="99">
        <v>41007019</v>
      </c>
      <c r="X27" s="6">
        <v>1</v>
      </c>
      <c r="Y27" s="6">
        <v>100</v>
      </c>
      <c r="Z27" s="6">
        <v>1</v>
      </c>
      <c r="AA27" s="102">
        <v>1</v>
      </c>
      <c r="AB27" s="97">
        <f t="shared" si="13"/>
        <v>149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雷撃蹴技を極めし者 シンデレラ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7" s="98">
        <v>1</v>
      </c>
      <c r="AG27" s="97">
        <f t="shared" ca="1" si="14"/>
        <v>4</v>
      </c>
      <c r="AH27" s="8">
        <v>0</v>
      </c>
      <c r="AI27" s="98">
        <v>0</v>
      </c>
      <c r="AJ27" s="98">
        <v>0</v>
      </c>
      <c r="AK27" s="98">
        <v>0</v>
      </c>
      <c r="AL27" s="98">
        <v>0</v>
      </c>
      <c r="AM27" s="98">
        <v>1</v>
      </c>
      <c r="AN27" s="67">
        <v>1</v>
      </c>
    </row>
    <row r="28" spans="1:40" ht="21" customHeight="1" x14ac:dyDescent="0.15">
      <c r="A28" s="16" t="str">
        <f t="shared" si="10"/>
        <v>41007_3-3/2&lt;lv60&gt;s1</v>
      </c>
      <c r="B28" s="21">
        <v>41007</v>
      </c>
      <c r="C28" s="95">
        <v>3</v>
      </c>
      <c r="D28" s="15" t="str">
        <f t="shared" si="11"/>
        <v>41007_3</v>
      </c>
      <c r="E28" s="4" t="str">
        <f ca="1">VLOOKUP($B28,OFFSET([2]quests!$A$1,0,0,COUNTA([2]quests!$A:$A),MATCH(E$1,[2]quests!$1:$1,0)-MATCH($B$1,[2]quests!$1:$1,0)+1),MATCH(E$1,[2]quests!$1:$1,0)-MATCH($B$1,[2]quests!$1:$1,0)+1,FALSE)</f>
        <v>グリム襲来！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【ノーコンテニュー】グリム襲来</v>
      </c>
      <c r="G28" s="95">
        <v>3</v>
      </c>
      <c r="H28" s="15" t="str">
        <f t="shared" si="12"/>
        <v>41007_3-3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6" t="s">
        <v>88</v>
      </c>
      <c r="L28" s="96">
        <v>2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イレギュラー・ジェリー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Drop1T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60</v>
      </c>
      <c r="S28" s="23">
        <v>2.4</v>
      </c>
      <c r="T28" s="23">
        <v>1</v>
      </c>
      <c r="U28" s="5">
        <v>0</v>
      </c>
      <c r="V28" s="4" t="str">
        <f ca="1">VLOOKUP($W28,OFFSET(enemy_skill_sets!$B$1,0,0,COUNTA(enemy_skill_sets!$B:$B),MATCH(M$1,enemy_skill_sets!$1:$1,0)-MATCH($W$1,enemy_skill_sets!$1:$1,0)+2),MATCH(M$1,enemy_skill_sets!$1:$1,0)-MATCH($W$1,enemy_skill_sets!$1:$1,0)+2,FALSE)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28" s="99">
        <v>41007020</v>
      </c>
      <c r="X28" s="6">
        <v>1</v>
      </c>
      <c r="Y28" s="6">
        <v>100</v>
      </c>
      <c r="Z28" s="6">
        <v>1</v>
      </c>
      <c r="AA28" s="102">
        <v>1</v>
      </c>
      <c r="AB28" s="97">
        <f t="shared" si="13"/>
        <v>2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Drop1T</v>
      </c>
      <c r="AF28" s="98">
        <v>1</v>
      </c>
      <c r="AG28" s="97">
        <f t="shared" ca="1" si="14"/>
        <v>2</v>
      </c>
      <c r="AH28" s="8">
        <v>0</v>
      </c>
      <c r="AI28" s="98">
        <v>0</v>
      </c>
      <c r="AJ28" s="98">
        <v>0</v>
      </c>
      <c r="AK28" s="98">
        <v>0</v>
      </c>
      <c r="AL28" s="98">
        <v>0</v>
      </c>
      <c r="AM28" s="98">
        <v>1</v>
      </c>
      <c r="AN28" s="67">
        <v>1</v>
      </c>
    </row>
    <row r="29" spans="1:40" ht="21" customHeight="1" x14ac:dyDescent="0.15">
      <c r="A29" s="16" t="str">
        <f t="shared" si="10"/>
        <v>41007_3-3/4&lt;lv60&gt;s2</v>
      </c>
      <c r="B29" s="21">
        <v>41007</v>
      </c>
      <c r="C29" s="95">
        <v>3</v>
      </c>
      <c r="D29" s="15" t="str">
        <f t="shared" si="11"/>
        <v>41007_3</v>
      </c>
      <c r="E29" s="4" t="str">
        <f ca="1">VLOOKUP($B29,OFFSET([2]quests!$A$1,0,0,COUNTA([2]quests!$A:$A),MATCH(E$1,[2]quests!$1:$1,0)-MATCH($B$1,[2]quests!$1:$1,0)+1),MATCH(E$1,[2]quests!$1:$1,0)-MATCH($B$1,[2]quests!$1:$1,0)+1,FALSE)</f>
        <v>グリム襲来！</v>
      </c>
      <c r="F29" s="4" t="str">
        <f ca="1">VLOOKUP($D29,OFFSET([2]stages!$A$1,0,0,COUNTA([2]stages!$A:$A),MATCH(F$1,[2]stages!$2:$2,0)-MATCH($D$1,[2]stages!$2:$2,0)+1),MATCH(F$1,[2]stages!$2:$2,0)-MATCH($D$1,[2]stages!$2:$2,0)+1,FALSE)</f>
        <v>【ノーコンテニュー】グリム襲来</v>
      </c>
      <c r="G29" s="95">
        <v>3</v>
      </c>
      <c r="H29" s="15" t="str">
        <f t="shared" si="12"/>
        <v>41007_3-3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6" t="s">
        <v>88</v>
      </c>
      <c r="L29" s="96">
        <v>4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エースエージェント ジョー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Drop1T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60</v>
      </c>
      <c r="S29" s="23">
        <v>2.4</v>
      </c>
      <c r="T29" s="23">
        <v>1</v>
      </c>
      <c r="U29" s="5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全体攻撃</v>
      </c>
      <c r="W29" s="99">
        <v>41007021</v>
      </c>
      <c r="X29" s="6">
        <v>1</v>
      </c>
      <c r="Y29" s="6">
        <v>100</v>
      </c>
      <c r="Z29" s="6">
        <v>0</v>
      </c>
      <c r="AA29" s="102">
        <v>2</v>
      </c>
      <c r="AB29" s="97">
        <f t="shared" si="13"/>
        <v>4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Drop1T</v>
      </c>
      <c r="AF29" s="98">
        <v>1</v>
      </c>
      <c r="AG29" s="97">
        <f t="shared" ca="1" si="14"/>
        <v>2</v>
      </c>
      <c r="AH29" s="8">
        <v>0</v>
      </c>
      <c r="AI29" s="98">
        <v>0</v>
      </c>
      <c r="AJ29" s="98">
        <v>0</v>
      </c>
      <c r="AK29" s="98">
        <v>0</v>
      </c>
      <c r="AL29" s="98">
        <v>0</v>
      </c>
      <c r="AM29" s="98">
        <v>1</v>
      </c>
      <c r="AN29" s="67">
        <v>1</v>
      </c>
    </row>
    <row r="30" spans="1:40" ht="21" customHeight="1" x14ac:dyDescent="0.15">
      <c r="A30" s="16" t="str">
        <f t="shared" si="10"/>
        <v>41007_3-3/6&lt;lv60&gt;s3</v>
      </c>
      <c r="B30" s="21">
        <v>41007</v>
      </c>
      <c r="C30" s="95">
        <v>3</v>
      </c>
      <c r="D30" s="15" t="str">
        <f t="shared" si="11"/>
        <v>41007_3</v>
      </c>
      <c r="E30" s="4" t="str">
        <f ca="1">VLOOKUP($B30,OFFSET([2]quests!$A$1,0,0,COUNTA([2]quests!$A:$A),MATCH(E$1,[2]quests!$1:$1,0)-MATCH($B$1,[2]quests!$1:$1,0)+1),MATCH(E$1,[2]quests!$1:$1,0)-MATCH($B$1,[2]quests!$1:$1,0)+1,FALSE)</f>
        <v>グリム襲来！</v>
      </c>
      <c r="F30" s="4" t="str">
        <f ca="1">VLOOKUP($D30,OFFSET([2]stages!$A$1,0,0,COUNTA([2]stages!$A:$A),MATCH(F$1,[2]stages!$2:$2,0)-MATCH($D$1,[2]stages!$2:$2,0)+1),MATCH(F$1,[2]stages!$2:$2,0)-MATCH($D$1,[2]stages!$2:$2,0)+1,FALSE)</f>
        <v>【ノーコンテニュー】グリム襲来</v>
      </c>
      <c r="G30" s="95">
        <v>3</v>
      </c>
      <c r="H30" s="15" t="str">
        <f t="shared" si="12"/>
        <v>41007_3-3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6" t="s">
        <v>88</v>
      </c>
      <c r="L30" s="96">
        <v>6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パトドッグリーダー ポチ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Drop1T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60</v>
      </c>
      <c r="S30" s="23">
        <v>2.4</v>
      </c>
      <c r="T30" s="23">
        <v>1</v>
      </c>
      <c r="U30" s="5">
        <v>0</v>
      </c>
      <c r="V30" s="4" t="str">
        <f ca="1">VLOOKUP($W30,OFFSET(enemy_skill_sets!$B$1,0,0,COUNTA(enemy_skill_sets!$B:$B),MATCH(M$1,enemy_skill_sets!$1:$1,0)-MATCH($W$1,enemy_skill_sets!$1:$1,0)+2),MATCH(M$1,enemy_skill_sets!$1:$1,0)-MATCH($W$1,enemy_skill_sets!$1:$1,0)+2,FALSE)</f>
        <v>3ターン攻撃頻度UP</v>
      </c>
      <c r="W30" s="99">
        <v>41007022</v>
      </c>
      <c r="X30" s="6">
        <v>1</v>
      </c>
      <c r="Y30" s="6">
        <v>100</v>
      </c>
      <c r="Z30" s="6">
        <v>0</v>
      </c>
      <c r="AA30" s="102">
        <v>3</v>
      </c>
      <c r="AB30" s="97">
        <f t="shared" si="13"/>
        <v>6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Drop1T</v>
      </c>
      <c r="AF30" s="98">
        <v>1</v>
      </c>
      <c r="AG30" s="97">
        <f t="shared" ca="1" si="14"/>
        <v>2</v>
      </c>
      <c r="AH30" s="8">
        <v>0</v>
      </c>
      <c r="AI30" s="98">
        <v>0</v>
      </c>
      <c r="AJ30" s="98">
        <v>0</v>
      </c>
      <c r="AK30" s="98">
        <v>0</v>
      </c>
      <c r="AL30" s="98">
        <v>0</v>
      </c>
      <c r="AM30" s="98">
        <v>1</v>
      </c>
      <c r="AN30" s="67">
        <v>1</v>
      </c>
    </row>
    <row r="31" spans="1:40" ht="21" customHeight="1" x14ac:dyDescent="0.15">
      <c r="A31" s="16" t="str">
        <f t="shared" si="10"/>
        <v>41007_3-3/8&lt;lv60&gt;s2</v>
      </c>
      <c r="B31" s="21">
        <v>41007</v>
      </c>
      <c r="C31" s="95">
        <v>3</v>
      </c>
      <c r="D31" s="15" t="str">
        <f t="shared" si="11"/>
        <v>41007_3</v>
      </c>
      <c r="E31" s="4" t="str">
        <f ca="1">VLOOKUP($B31,OFFSET([2]quests!$A$1,0,0,COUNTA([2]quests!$A:$A),MATCH(E$1,[2]quests!$1:$1,0)-MATCH($B$1,[2]quests!$1:$1,0)+1),MATCH(E$1,[2]quests!$1:$1,0)-MATCH($B$1,[2]quests!$1:$1,0)+1,FALSE)</f>
        <v>グリム襲来！</v>
      </c>
      <c r="F31" s="4" t="str">
        <f ca="1">VLOOKUP($D31,OFFSET([2]stages!$A$1,0,0,COUNTA([2]stages!$A:$A),MATCH(F$1,[2]stages!$2:$2,0)-MATCH($D$1,[2]stages!$2:$2,0)+1),MATCH(F$1,[2]stages!$2:$2,0)-MATCH($D$1,[2]stages!$2:$2,0)+1,FALSE)</f>
        <v>【ノーコンテニュー】グリム襲来</v>
      </c>
      <c r="G31" s="95">
        <v>3</v>
      </c>
      <c r="H31" s="15" t="str">
        <f t="shared" si="12"/>
        <v>41007_3-3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6" t="s">
        <v>211</v>
      </c>
      <c r="L31" s="96">
        <v>8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ハイボルテージ エレキポット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Drop1T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60</v>
      </c>
      <c r="S31" s="23">
        <v>2.4</v>
      </c>
      <c r="T31" s="23">
        <v>1</v>
      </c>
      <c r="U31" s="5">
        <v>0</v>
      </c>
      <c r="V31" s="4" t="str">
        <f ca="1">VLOOKUP($W31,OFFSET(enemy_skill_sets!$B$1,0,0,COUNTA(enemy_skill_sets!$B:$B),MATCH(M$1,enemy_skill_sets!$1:$1,0)-MATCH($W$1,enemy_skill_sets!$1:$1,0)+2),MATCH(M$1,enemy_skill_sets!$1:$1,0)-MATCH($W$1,enemy_skill_sets!$1:$1,0)+2,FALSE)</f>
        <v>4回連続攻撃</v>
      </c>
      <c r="W31" s="99">
        <v>41007023</v>
      </c>
      <c r="X31" s="6">
        <v>1</v>
      </c>
      <c r="Y31" s="6">
        <v>100</v>
      </c>
      <c r="Z31" s="6">
        <v>0</v>
      </c>
      <c r="AA31" s="102">
        <v>2</v>
      </c>
      <c r="AB31" s="97">
        <f t="shared" si="13"/>
        <v>8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Drop1T</v>
      </c>
      <c r="AF31" s="98">
        <v>1</v>
      </c>
      <c r="AG31" s="97">
        <f t="shared" ca="1" si="14"/>
        <v>2</v>
      </c>
      <c r="AH31" s="8">
        <v>0</v>
      </c>
      <c r="AI31" s="98">
        <v>0</v>
      </c>
      <c r="AJ31" s="98">
        <v>0</v>
      </c>
      <c r="AK31" s="98">
        <v>0</v>
      </c>
      <c r="AL31" s="98">
        <v>0</v>
      </c>
      <c r="AM31" s="98">
        <v>1</v>
      </c>
      <c r="AN31" s="67">
        <v>1</v>
      </c>
    </row>
    <row r="32" spans="1:40" ht="21" customHeight="1" x14ac:dyDescent="0.15">
      <c r="A32" s="16" t="str">
        <f t="shared" si="10"/>
        <v>41007_3-4/422&lt;lv60&gt;s2</v>
      </c>
      <c r="B32" s="21">
        <v>41007</v>
      </c>
      <c r="C32" s="95">
        <v>3</v>
      </c>
      <c r="D32" s="15" t="str">
        <f t="shared" si="11"/>
        <v>41007_3</v>
      </c>
      <c r="E32" s="4" t="str">
        <f ca="1">VLOOKUP($B32,OFFSET([2]quests!$A$1,0,0,COUNTA([2]quests!$A:$A),MATCH(E$1,[2]quests!$1:$1,0)-MATCH($B$1,[2]quests!$1:$1,0)+1),MATCH(E$1,[2]quests!$1:$1,0)-MATCH($B$1,[2]quests!$1:$1,0)+1,FALSE)</f>
        <v>グリム襲来！</v>
      </c>
      <c r="F32" s="4" t="str">
        <f ca="1">VLOOKUP($D32,OFFSET([2]stages!$A$1,0,0,COUNTA([2]stages!$A:$A),MATCH(F$1,[2]stages!$2:$2,0)-MATCH($D$1,[2]stages!$2:$2,0)+1),MATCH(F$1,[2]stages!$2:$2,0)-MATCH($D$1,[2]stages!$2:$2,0)+1,FALSE)</f>
        <v>【ノーコンテニュー】グリム襲来</v>
      </c>
      <c r="G32" s="95">
        <v>4</v>
      </c>
      <c r="H32" s="15" t="str">
        <f t="shared" si="12"/>
        <v>41007_3-4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6">
        <v>1</v>
      </c>
      <c r="L32" s="96">
        <v>422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シュガフル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Drop2N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17">
        <f ca="1">VLOOKUP($L32,OFFSET([3]enemies!$A$1,0,0,COUNTA([3]enemies!$A:$A),MATCH(Q$1,[3]enemies!$1:$1,0)-MATCH($L$1,[3]enemies!$1:$1,0)+1),MATCH(Q$1,[3]enemies!$1:$1,0)-MATCH($L$1,[3]enemies!$1:$1,0)+1,FALSE)</f>
        <v>30</v>
      </c>
      <c r="R32" s="5">
        <v>60</v>
      </c>
      <c r="S32" s="23">
        <v>1.4</v>
      </c>
      <c r="T32" s="23">
        <v>0.9</v>
      </c>
      <c r="U32" s="5">
        <v>0</v>
      </c>
      <c r="V32" s="4" t="str">
        <f ca="1">VLOOKUP($W32,OFFSET(enemy_skill_sets!$B$1,0,0,COUNTA(enemy_skill_sets!$B:$B),MATCH(M$1,enemy_skill_sets!$1:$1,0)-MATCH($W$1,enemy_skill_sets!$1:$1,0)+2),MATCH(M$1,enemy_skill_sets!$1:$1,0)-MATCH($W$1,enemy_skill_sets!$1:$1,0)+2,FALSE)</f>
        <v>虚ろな瞳で襲いかかってくる！</v>
      </c>
      <c r="W32" s="99">
        <v>41007024</v>
      </c>
      <c r="X32" s="6">
        <v>1</v>
      </c>
      <c r="Y32" s="6">
        <v>100</v>
      </c>
      <c r="Z32" s="6">
        <v>1</v>
      </c>
      <c r="AA32" s="102">
        <v>2</v>
      </c>
      <c r="AB32" s="97">
        <f t="shared" si="13"/>
        <v>422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シュガフル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Drop2N</v>
      </c>
      <c r="AF32" s="98">
        <v>1</v>
      </c>
      <c r="AG32" s="97">
        <f t="shared" ca="1" si="14"/>
        <v>4</v>
      </c>
      <c r="AH32" s="8">
        <v>0</v>
      </c>
      <c r="AI32" s="98">
        <v>0</v>
      </c>
      <c r="AJ32" s="98">
        <v>0</v>
      </c>
      <c r="AK32" s="98">
        <v>0</v>
      </c>
      <c r="AL32" s="98">
        <v>0</v>
      </c>
      <c r="AM32" s="98">
        <v>1</v>
      </c>
      <c r="AN32" s="67">
        <v>1</v>
      </c>
    </row>
    <row r="33" spans="1:40" ht="21" customHeight="1" x14ac:dyDescent="0.15">
      <c r="A33" s="16" t="str">
        <f t="shared" si="10"/>
        <v>41007_3-4/398&lt;lv60&gt;s3</v>
      </c>
      <c r="B33" s="21">
        <v>41007</v>
      </c>
      <c r="C33" s="95">
        <v>3</v>
      </c>
      <c r="D33" s="15" t="str">
        <f t="shared" si="11"/>
        <v>41007_3</v>
      </c>
      <c r="E33" s="4" t="str">
        <f ca="1">VLOOKUP($B33,OFFSET([2]quests!$A$1,0,0,COUNTA([2]quests!$A:$A),MATCH(E$1,[2]quests!$1:$1,0)-MATCH($B$1,[2]quests!$1:$1,0)+1),MATCH(E$1,[2]quests!$1:$1,0)-MATCH($B$1,[2]quests!$1:$1,0)+1,FALSE)</f>
        <v>グリム襲来！</v>
      </c>
      <c r="F33" s="4" t="str">
        <f ca="1">VLOOKUP($D33,OFFSET([2]stages!$A$1,0,0,COUNTA([2]stages!$A:$A),MATCH(F$1,[2]stages!$2:$2,0)-MATCH($D$1,[2]stages!$2:$2,0)+1),MATCH(F$1,[2]stages!$2:$2,0)-MATCH($D$1,[2]stages!$2:$2,0)+1,FALSE)</f>
        <v>【ノーコンテニュー】グリム襲来</v>
      </c>
      <c r="G33" s="95">
        <v>4</v>
      </c>
      <c r="H33" s="15" t="str">
        <f t="shared" si="12"/>
        <v>41007_3-4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6">
        <v>2</v>
      </c>
      <c r="L33" s="96">
        <v>398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ヘンゼル＆グレーテル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yellow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PremiumSS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human</v>
      </c>
      <c r="Q33" s="17">
        <f ca="1">VLOOKUP($L33,OFFSET([3]enemies!$A$1,0,0,COUNTA([3]enemies!$A:$A),MATCH(Q$1,[3]enemies!$1:$1,0)-MATCH($L$1,[3]enemies!$1:$1,0)+1),MATCH(Q$1,[3]enemies!$1:$1,0)-MATCH($L$1,[3]enemies!$1:$1,0)+1,FALSE)</f>
        <v>30</v>
      </c>
      <c r="R33" s="5">
        <v>60</v>
      </c>
      <c r="S33" s="23">
        <v>1.9</v>
      </c>
      <c r="T33" s="23">
        <v>0.9</v>
      </c>
      <c r="U33" s="5">
        <v>0</v>
      </c>
      <c r="V33" s="4" t="str">
        <f ca="1">VLOOKUP($W33,OFFSET(enemy_skill_sets!$B$1,0,0,COUNTA(enemy_skill_sets!$B:$B),MATCH(M$1,enemy_skill_sets!$1:$1,0)-MATCH($W$1,enemy_skill_sets!$1:$1,0)+2),MATCH(M$1,enemy_skill_sets!$1:$1,0)-MATCH($W$1,enemy_skill_sets!$1:$1,0)+2,FALSE)</f>
        <v>種族マシンのユニットに大ダメージ</v>
      </c>
      <c r="W33" s="99">
        <v>41007026</v>
      </c>
      <c r="X33" s="6">
        <v>1</v>
      </c>
      <c r="Y33" s="6">
        <v>100</v>
      </c>
      <c r="Z33" s="6">
        <v>1</v>
      </c>
      <c r="AA33" s="102">
        <v>3</v>
      </c>
      <c r="AB33" s="97">
        <f t="shared" si="13"/>
        <v>398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ヘンゼル＆グレーテル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4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3" s="98">
        <v>1</v>
      </c>
      <c r="AG33" s="97">
        <f t="shared" ca="1" si="14"/>
        <v>4</v>
      </c>
      <c r="AH33" s="8">
        <v>0</v>
      </c>
      <c r="AI33" s="98">
        <v>0</v>
      </c>
      <c r="AJ33" s="98">
        <v>0</v>
      </c>
      <c r="AK33" s="98">
        <v>0</v>
      </c>
      <c r="AL33" s="98">
        <v>0</v>
      </c>
      <c r="AM33" s="98">
        <v>1</v>
      </c>
      <c r="AN33" s="67">
        <v>1</v>
      </c>
    </row>
    <row r="34" spans="1:40" ht="21" customHeight="1" x14ac:dyDescent="0.15">
      <c r="A34" s="16" t="str">
        <f t="shared" si="10"/>
        <v>41007_3-5/491&lt;lv80&gt;s2</v>
      </c>
      <c r="B34" s="21">
        <v>41007</v>
      </c>
      <c r="C34" s="95">
        <v>3</v>
      </c>
      <c r="D34" s="15" t="str">
        <f t="shared" si="11"/>
        <v>41007_3</v>
      </c>
      <c r="E34" s="4" t="str">
        <f ca="1">VLOOKUP($B34,OFFSET([2]quests!$A$1,0,0,COUNTA([2]quests!$A:$A),MATCH(E$1,[2]quests!$1:$1,0)-MATCH($B$1,[2]quests!$1:$1,0)+1),MATCH(E$1,[2]quests!$1:$1,0)-MATCH($B$1,[2]quests!$1:$1,0)+1,FALSE)</f>
        <v>グリム襲来！</v>
      </c>
      <c r="F34" s="4" t="str">
        <f ca="1">VLOOKUP($D34,OFFSET([2]stages!$A$1,0,0,COUNTA([2]stages!$A:$A),MATCH(F$1,[2]stages!$2:$2,0)-MATCH($D$1,[2]stages!$2:$2,0)+1),MATCH(F$1,[2]stages!$2:$2,0)-MATCH($D$1,[2]stages!$2:$2,0)+1,FALSE)</f>
        <v>【ノーコンテニュー】グリム襲来</v>
      </c>
      <c r="G34" s="95">
        <v>5</v>
      </c>
      <c r="H34" s="15" t="str">
        <f t="shared" si="12"/>
        <v>41007_3-5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6">
        <v>3</v>
      </c>
      <c r="L34" s="96">
        <v>491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収魂の群影 グリム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DropWizS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7">
        <f ca="1">VLOOKUP($L34,OFFSET([3]enemies!$A$1,0,0,COUNTA([3]enemies!$A:$A),MATCH(Q$1,[3]enemies!$1:$1,0)-MATCH($L$1,[3]enemies!$1:$1,0)+1),MATCH(Q$1,[3]enemies!$1:$1,0)-MATCH($L$1,[3]enemies!$1:$1,0)+1,FALSE)</f>
        <v>60</v>
      </c>
      <c r="R34" s="5">
        <v>80</v>
      </c>
      <c r="S34" s="23">
        <v>3.5</v>
      </c>
      <c r="T34" s="23">
        <v>1.4</v>
      </c>
      <c r="U34" s="5">
        <v>0</v>
      </c>
      <c r="V34" s="4" t="str">
        <f ca="1">VLOOKUP($W34,OFFSET(enemy_skill_sets!$B$1,0,0,COUNTA(enemy_skill_sets!$B:$B),MATCH(M$1,enemy_skill_sets!$1:$1,0)-MATCH($W$1,enemy_skill_sets!$1:$1,0)+2),MATCH(M$1,enemy_skill_sets!$1:$1,0)-MATCH($W$1,enemy_skill_sets!$1:$1,0)+2,FALSE)</f>
        <v>次のターン強力なハートパネル吸収攻撃！</v>
      </c>
      <c r="W34" s="99">
        <v>41007028</v>
      </c>
      <c r="X34" s="6">
        <v>1</v>
      </c>
      <c r="Y34" s="6">
        <v>100</v>
      </c>
      <c r="Z34" s="6">
        <v>1</v>
      </c>
      <c r="AA34" s="102">
        <v>2</v>
      </c>
      <c r="AB34" s="101">
        <v>490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グリム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4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34" s="98">
        <v>1</v>
      </c>
      <c r="AG34" s="97">
        <f t="shared" ca="1" si="14"/>
        <v>4</v>
      </c>
      <c r="AH34" s="100">
        <v>100</v>
      </c>
      <c r="AI34" s="98">
        <v>0</v>
      </c>
      <c r="AJ34" s="98">
        <v>0</v>
      </c>
      <c r="AK34" s="98">
        <v>0</v>
      </c>
      <c r="AL34" s="98">
        <v>0</v>
      </c>
      <c r="AM34" s="98">
        <v>1</v>
      </c>
      <c r="AN34" s="67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3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16" sqref="S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24" t="s">
        <v>50</v>
      </c>
      <c r="V1" s="24" t="s">
        <v>52</v>
      </c>
      <c r="W1" s="26" t="s">
        <v>127</v>
      </c>
      <c r="X1" s="27" t="s">
        <v>126</v>
      </c>
      <c r="Y1" s="26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41007_1-4/422&lt;lv50&gt;sq1st2</v>
      </c>
      <c r="B2" s="144">
        <v>41007</v>
      </c>
      <c r="C2" s="145">
        <v>1</v>
      </c>
      <c r="D2" s="145" t="str">
        <f>B2&amp;"_"&amp;C2</f>
        <v>41007_1</v>
      </c>
      <c r="E2" s="146" t="str">
        <f ca="1">VLOOKUP($B2,OFFSET([2]quests!$A$1,0,0,COUNTA([2]quests!$A:$A),MATCH(E$1,[2]quests!$1:$1,0)-MATCH($B$1,[2]quests!$1:$1,0)+1),MATCH(E$1,[2]quests!$1:$1,0)-MATCH($B$1,[2]quests!$1:$1,0)+1,FALSE)</f>
        <v>グリム襲来！</v>
      </c>
      <c r="F2" s="146" t="str">
        <f ca="1">VLOOKUP($D2,OFFSET([2]stages!$A$1,0,0,COUNTA([2]stages!$A:$A),MATCH(F$1,[2]stages!$2:$2,0)-MATCH($D$1,[2]stages!$2:$2,0)+1),MATCH(F$1,[2]stages!$2:$2,0)-MATCH($D$1,[2]stages!$2:$2,0)+1,FALSE)</f>
        <v>【超絶級】グリム襲来</v>
      </c>
      <c r="G2" s="145">
        <v>4</v>
      </c>
      <c r="H2" s="145" t="str">
        <f>B2&amp;"_"&amp;C2&amp;"-"&amp;G2</f>
        <v>41007_1-4</v>
      </c>
      <c r="I2" s="146" t="e">
        <v>#VALUE!</v>
      </c>
      <c r="J2" s="146" t="e">
        <v>#VALUE!</v>
      </c>
      <c r="K2" s="147">
        <v>1</v>
      </c>
      <c r="L2" s="147">
        <v>2</v>
      </c>
      <c r="M2" s="145">
        <v>422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シュガフル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152">
        <v>50</v>
      </c>
      <c r="T2" s="153">
        <v>1.3</v>
      </c>
      <c r="U2" s="153">
        <v>1</v>
      </c>
      <c r="V2" s="152">
        <v>0</v>
      </c>
      <c r="W2" s="4" t="e">
        <v>#VALUE!</v>
      </c>
      <c r="X2" s="99">
        <v>41007010</v>
      </c>
      <c r="Y2" s="131">
        <v>2</v>
      </c>
    </row>
    <row r="3" spans="1:25" ht="21" customHeight="1" x14ac:dyDescent="0.15">
      <c r="A3" s="16" t="str">
        <f t="shared" ref="A3:A5" si="0">B3&amp;"_"&amp;C3&amp;"-"&amp;G3&amp;"/"&amp;M3&amp;"&lt;lv"&amp;S3&amp;"&gt;sq"&amp;K3&amp;"st"&amp;L3</f>
        <v>41007_1-4/398&lt;lv55&gt;sq2st2</v>
      </c>
      <c r="B3" s="144">
        <v>41007</v>
      </c>
      <c r="C3" s="145">
        <v>1</v>
      </c>
      <c r="D3" s="145" t="str">
        <f t="shared" ref="D3:D5" si="1">B3&amp;"_"&amp;C3</f>
        <v>41007_1</v>
      </c>
      <c r="E3" s="146" t="str">
        <f ca="1">VLOOKUP($B3,OFFSET([2]quests!$A$1,0,0,COUNTA([2]quests!$A:$A),MATCH(E$1,[2]quests!$1:$1,0)-MATCH($B$1,[2]quests!$1:$1,0)+1),MATCH(E$1,[2]quests!$1:$1,0)-MATCH($B$1,[2]quests!$1:$1,0)+1,FALSE)</f>
        <v>グリム襲来！</v>
      </c>
      <c r="F3" s="146" t="str">
        <f ca="1">VLOOKUP($D3,OFFSET([2]stages!$A$1,0,0,COUNTA([2]stages!$A:$A),MATCH(F$1,[2]stages!$2:$2,0)-MATCH($D$1,[2]stages!$2:$2,0)+1),MATCH(F$1,[2]stages!$2:$2,0)-MATCH($D$1,[2]stages!$2:$2,0)+1,FALSE)</f>
        <v>【超絶級】グリム襲来</v>
      </c>
      <c r="G3" s="145">
        <v>4</v>
      </c>
      <c r="H3" s="145" t="str">
        <f t="shared" ref="H3:H5" si="2">B3&amp;"_"&amp;C3&amp;"-"&amp;G3</f>
        <v>41007_1-4</v>
      </c>
      <c r="I3" s="146" t="e">
        <v>#VALUE!</v>
      </c>
      <c r="J3" s="146" t="e">
        <v>#VALUE!</v>
      </c>
      <c r="K3" s="147">
        <v>2</v>
      </c>
      <c r="L3" s="147">
        <v>2</v>
      </c>
      <c r="M3" s="145">
        <v>398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ヘンゼル＆グレーテル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152">
        <v>55</v>
      </c>
      <c r="T3" s="153">
        <v>1.3</v>
      </c>
      <c r="U3" s="153">
        <v>1</v>
      </c>
      <c r="V3" s="152">
        <v>0</v>
      </c>
      <c r="W3" s="4" t="e">
        <v>#VALUE!</v>
      </c>
      <c r="X3" s="99">
        <v>41007012</v>
      </c>
      <c r="Y3" s="131">
        <v>3</v>
      </c>
    </row>
    <row r="4" spans="1:25" ht="21" customHeight="1" x14ac:dyDescent="0.15">
      <c r="A4" s="16" t="str">
        <f t="shared" si="0"/>
        <v>41007_1-5/491&lt;lv75&gt;sq3st2</v>
      </c>
      <c r="B4" s="144">
        <v>41007</v>
      </c>
      <c r="C4" s="145">
        <v>1</v>
      </c>
      <c r="D4" s="145" t="str">
        <f t="shared" si="1"/>
        <v>41007_1</v>
      </c>
      <c r="E4" s="146" t="str">
        <f ca="1">VLOOKUP($B4,OFFSET([2]quests!$A$1,0,0,COUNTA([2]quests!$A:$A),MATCH(E$1,[2]quests!$1:$1,0)-MATCH($B$1,[2]quests!$1:$1,0)+1),MATCH(E$1,[2]quests!$1:$1,0)-MATCH($B$1,[2]quests!$1:$1,0)+1,FALSE)</f>
        <v>グリム襲来！</v>
      </c>
      <c r="F4" s="146" t="str">
        <f ca="1">VLOOKUP($D4,OFFSET([2]stages!$A$1,0,0,COUNTA([2]stages!$A:$A),MATCH(F$1,[2]stages!$2:$2,0)-MATCH($D$1,[2]stages!$2:$2,0)+1),MATCH(F$1,[2]stages!$2:$2,0)-MATCH($D$1,[2]stages!$2:$2,0)+1,FALSE)</f>
        <v>【超絶級】グリム襲来</v>
      </c>
      <c r="G4" s="145">
        <v>5</v>
      </c>
      <c r="H4" s="145" t="str">
        <f t="shared" si="2"/>
        <v>41007_1-5</v>
      </c>
      <c r="I4" s="146" t="e">
        <v>#VALUE!</v>
      </c>
      <c r="J4" s="146" t="e">
        <v>#VALUE!</v>
      </c>
      <c r="K4" s="147">
        <v>3</v>
      </c>
      <c r="L4" s="147">
        <v>2</v>
      </c>
      <c r="M4" s="145">
        <v>491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収魂の群影 グリム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52">
        <v>75</v>
      </c>
      <c r="T4" s="153">
        <v>2</v>
      </c>
      <c r="U4" s="153">
        <v>1.3</v>
      </c>
      <c r="V4" s="152">
        <v>0</v>
      </c>
      <c r="W4" s="4" t="e">
        <v>#VALUE!</v>
      </c>
      <c r="X4" s="99">
        <v>41007014</v>
      </c>
      <c r="Y4" s="131">
        <v>2</v>
      </c>
    </row>
    <row r="5" spans="1:25" ht="21" customHeight="1" thickBot="1" x14ac:dyDescent="0.2">
      <c r="A5" s="103" t="str">
        <f t="shared" si="0"/>
        <v>41007_1-5/491&lt;lv75&gt;sq3st3</v>
      </c>
      <c r="B5" s="148">
        <v>41007</v>
      </c>
      <c r="C5" s="149">
        <v>1</v>
      </c>
      <c r="D5" s="149" t="str">
        <f t="shared" si="1"/>
        <v>41007_1</v>
      </c>
      <c r="E5" s="150" t="str">
        <f ca="1">VLOOKUP($B5,OFFSET([2]quests!$A$1,0,0,COUNTA([2]quests!$A:$A),MATCH(E$1,[2]quests!$1:$1,0)-MATCH($B$1,[2]quests!$1:$1,0)+1),MATCH(E$1,[2]quests!$1:$1,0)-MATCH($B$1,[2]quests!$1:$1,0)+1,FALSE)</f>
        <v>グリム襲来！</v>
      </c>
      <c r="F5" s="150" t="str">
        <f ca="1">VLOOKUP($D5,OFFSET([2]stages!$A$1,0,0,COUNTA([2]stages!$A:$A),MATCH(F$1,[2]stages!$2:$2,0)-MATCH($D$1,[2]stages!$2:$2,0)+1),MATCH(F$1,[2]stages!$2:$2,0)-MATCH($D$1,[2]stages!$2:$2,0)+1,FALSE)</f>
        <v>【超絶級】グリム襲来</v>
      </c>
      <c r="G5" s="149">
        <v>5</v>
      </c>
      <c r="H5" s="149" t="str">
        <f t="shared" si="2"/>
        <v>41007_1-5</v>
      </c>
      <c r="I5" s="150" t="e">
        <v>#VALUE!</v>
      </c>
      <c r="J5" s="150" t="e">
        <v>#VALUE!</v>
      </c>
      <c r="K5" s="151">
        <v>3</v>
      </c>
      <c r="L5" s="151">
        <v>3</v>
      </c>
      <c r="M5" s="149">
        <v>491</v>
      </c>
      <c r="N5" s="105" t="str">
        <f ca="1">VLOOKUP($M5,OFFSET([3]enemies!$A$1,0,0,COUNTA([3]enemies!$A:$A),MATCH(N$1,[3]enemies!$1:$1,0)-MATCH($M$1,[3]enemies!$1:$1,0)+1),MATCH(N$1,[3]enemies!$1:$1,0)-MATCH($M$1,[3]enemies!$1:$1,0)+1,FALSE)</f>
        <v>収魂の群影 グリム</v>
      </c>
      <c r="O5" s="105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05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05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05">
        <f ca="1">VLOOKUP($M5,OFFSET([3]enemies!$A$1,0,0,COUNTA([3]enemies!$A:$A),MATCH(R$1,[3]enemies!$1:$1,0)-MATCH($M$1,[3]enemies!$1:$1,0)+1),MATCH(R$1,[3]enemies!$1:$1,0)-MATCH($M$1,[3]enemies!$1:$1,0)+1,FALSE)</f>
        <v>60</v>
      </c>
      <c r="S5" s="154">
        <v>75</v>
      </c>
      <c r="T5" s="155">
        <v>2</v>
      </c>
      <c r="U5" s="155">
        <v>1.3</v>
      </c>
      <c r="V5" s="154">
        <v>0</v>
      </c>
      <c r="W5" s="104" t="e">
        <v>#VALUE!</v>
      </c>
      <c r="X5" s="106">
        <v>41007015</v>
      </c>
      <c r="Y5" s="132">
        <v>2</v>
      </c>
    </row>
    <row r="6" spans="1:25" ht="21" customHeight="1" x14ac:dyDescent="0.15">
      <c r="A6" s="114" t="str">
        <f>B6&amp;"_"&amp;C6&amp;"-"&amp;G6&amp;"/"&amp;M6&amp;"&lt;lv"&amp;S6&amp;"&gt;sq"&amp;K6&amp;"st"&amp;L6</f>
        <v>41007_2-4/422&lt;lv60&gt;sq1st2</v>
      </c>
      <c r="B6" s="115">
        <v>41007</v>
      </c>
      <c r="C6" s="116">
        <v>2</v>
      </c>
      <c r="D6" s="117" t="str">
        <f>B6&amp;"_"&amp;C6</f>
        <v>41007_2</v>
      </c>
      <c r="E6" s="118" t="str">
        <f ca="1">VLOOKUP($B6,OFFSET([2]quests!$A$1,0,0,COUNTA([2]quests!$A:$A),MATCH(E$1,[2]quests!$1:$1,0)-MATCH($B$1,[2]quests!$1:$1,0)+1),MATCH(E$1,[2]quests!$1:$1,0)-MATCH($B$1,[2]quests!$1:$1,0)+1,FALSE)</f>
        <v>グリム襲来！</v>
      </c>
      <c r="F6" s="118" t="str">
        <f ca="1">VLOOKUP($D6,OFFSET([2]stages!$A$1,0,0,COUNTA([2]stages!$A:$A),MATCH(F$1,[2]stages!$2:$2,0)-MATCH($D$1,[2]stages!$2:$2,0)+1),MATCH(F$1,[2]stages!$2:$2,0)-MATCH($D$1,[2]stages!$2:$2,0)+1,FALSE)</f>
        <v>【ウィザード級】グリム襲来</v>
      </c>
      <c r="G6" s="116">
        <v>4</v>
      </c>
      <c r="H6" s="117" t="str">
        <f>B6&amp;"_"&amp;C6&amp;"-"&amp;G6</f>
        <v>41007_2-4</v>
      </c>
      <c r="I6" s="118" t="e">
        <v>#VALUE!</v>
      </c>
      <c r="J6" s="118" t="e">
        <v>#VALUE!</v>
      </c>
      <c r="K6" s="119">
        <v>1</v>
      </c>
      <c r="L6" s="119">
        <v>2</v>
      </c>
      <c r="M6" s="120">
        <v>422</v>
      </c>
      <c r="N6" s="121" t="str">
        <f ca="1">VLOOKUP($M6,OFFSET([3]enemies!$A$1,0,0,COUNTA([3]enemies!$A:$A),MATCH(N$1,[3]enemies!$1:$1,0)-MATCH($M$1,[3]enemies!$1:$1,0)+1),MATCH(N$1,[3]enemies!$1:$1,0)-MATCH($M$1,[3]enemies!$1:$1,0)+1,FALSE)</f>
        <v>シュガフル</v>
      </c>
      <c r="O6" s="121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21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21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21">
        <f ca="1">VLOOKUP($M6,OFFSET([3]enemies!$A$1,0,0,COUNTA([3]enemies!$A:$A),MATCH(R$1,[3]enemies!$1:$1,0)-MATCH($M$1,[3]enemies!$1:$1,0)+1),MATCH(R$1,[3]enemies!$1:$1,0)-MATCH($M$1,[3]enemies!$1:$1,0)+1,FALSE)</f>
        <v>30</v>
      </c>
      <c r="S6" s="122">
        <v>60</v>
      </c>
      <c r="T6" s="123">
        <v>1.4</v>
      </c>
      <c r="U6" s="123">
        <v>0.9</v>
      </c>
      <c r="V6" s="122">
        <v>0</v>
      </c>
      <c r="W6" s="118" t="e">
        <v>#VALUE!</v>
      </c>
      <c r="X6" s="124">
        <v>41007025</v>
      </c>
      <c r="Y6" s="133">
        <v>2</v>
      </c>
    </row>
    <row r="7" spans="1:25" ht="21" customHeight="1" x14ac:dyDescent="0.15">
      <c r="A7" s="16" t="str">
        <f t="shared" ref="A7:A9" si="3">B7&amp;"_"&amp;C7&amp;"-"&amp;G7&amp;"/"&amp;M7&amp;"&lt;lv"&amp;S7&amp;"&gt;sq"&amp;K7&amp;"st"&amp;L7</f>
        <v>41007_2-4/398&lt;lv60&gt;sq2st2</v>
      </c>
      <c r="B7" s="21">
        <v>41007</v>
      </c>
      <c r="C7" s="95">
        <v>2</v>
      </c>
      <c r="D7" s="15" t="str">
        <f t="shared" ref="D7:D9" si="4">B7&amp;"_"&amp;C7</f>
        <v>41007_2</v>
      </c>
      <c r="E7" s="4" t="str">
        <f ca="1">VLOOKUP($B7,OFFSET([2]quests!$A$1,0,0,COUNTA([2]quests!$A:$A),MATCH(E$1,[2]quests!$1:$1,0)-MATCH($B$1,[2]quests!$1:$1,0)+1),MATCH(E$1,[2]quests!$1:$1,0)-MATCH($B$1,[2]quests!$1:$1,0)+1,FALSE)</f>
        <v>グリム襲来！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【ウィザード級】グリム襲来</v>
      </c>
      <c r="G7" s="95">
        <v>4</v>
      </c>
      <c r="H7" s="15" t="str">
        <f t="shared" ref="H7:H9" si="5">B7&amp;"_"&amp;C7&amp;"-"&amp;G7</f>
        <v>41007_2-4</v>
      </c>
      <c r="I7" s="4" t="e">
        <v>#VALUE!</v>
      </c>
      <c r="J7" s="4" t="e">
        <v>#VALUE!</v>
      </c>
      <c r="K7" s="36">
        <v>2</v>
      </c>
      <c r="L7" s="36">
        <v>2</v>
      </c>
      <c r="M7" s="96">
        <v>398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ヘンゼル＆グレーテル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30</v>
      </c>
      <c r="S7" s="5">
        <v>60</v>
      </c>
      <c r="T7" s="23">
        <v>1.9</v>
      </c>
      <c r="U7" s="23">
        <v>0.9</v>
      </c>
      <c r="V7" s="5">
        <v>0</v>
      </c>
      <c r="W7" s="4" t="e">
        <v>#VALUE!</v>
      </c>
      <c r="X7" s="99">
        <v>41007027</v>
      </c>
      <c r="Y7" s="131">
        <v>3</v>
      </c>
    </row>
    <row r="8" spans="1:25" ht="21" customHeight="1" x14ac:dyDescent="0.15">
      <c r="A8" s="16" t="str">
        <f t="shared" si="3"/>
        <v>41007_2-5/822&lt;lv80&gt;sq3st2</v>
      </c>
      <c r="B8" s="21">
        <v>41007</v>
      </c>
      <c r="C8" s="95">
        <v>2</v>
      </c>
      <c r="D8" s="15" t="str">
        <f t="shared" si="4"/>
        <v>41007_2</v>
      </c>
      <c r="E8" s="4" t="str">
        <f ca="1">VLOOKUP($B8,OFFSET([2]quests!$A$1,0,0,COUNTA([2]quests!$A:$A),MATCH(E$1,[2]quests!$1:$1,0)-MATCH($B$1,[2]quests!$1:$1,0)+1),MATCH(E$1,[2]quests!$1:$1,0)-MATCH($B$1,[2]quests!$1:$1,0)+1,FALSE)</f>
        <v>グリム襲来！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【ウィザード級】グリム襲来</v>
      </c>
      <c r="G8" s="95">
        <v>5</v>
      </c>
      <c r="H8" s="15" t="str">
        <f t="shared" si="5"/>
        <v>41007_2-5</v>
      </c>
      <c r="I8" s="4" t="e">
        <v>#VALUE!</v>
      </c>
      <c r="J8" s="4" t="e">
        <v>#VALUE!</v>
      </c>
      <c r="K8" s="36">
        <v>3</v>
      </c>
      <c r="L8" s="36">
        <v>2</v>
      </c>
      <c r="M8" s="96">
        <v>822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操魂の蒐集家 グリム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80</v>
      </c>
      <c r="T8" s="23">
        <v>3.8</v>
      </c>
      <c r="U8" s="23">
        <v>1.4</v>
      </c>
      <c r="V8" s="5">
        <v>0</v>
      </c>
      <c r="W8" s="4" t="e">
        <v>#VALUE!</v>
      </c>
      <c r="X8" s="99">
        <v>41007029</v>
      </c>
      <c r="Y8" s="131">
        <v>2</v>
      </c>
    </row>
    <row r="9" spans="1:25" ht="21" customHeight="1" thickBot="1" x14ac:dyDescent="0.2">
      <c r="A9" s="16" t="str">
        <f t="shared" si="3"/>
        <v>41007_2-5/822&lt;lv80&gt;sq3st3</v>
      </c>
      <c r="B9" s="21">
        <v>41007</v>
      </c>
      <c r="C9" s="95">
        <v>2</v>
      </c>
      <c r="D9" s="15" t="str">
        <f t="shared" si="4"/>
        <v>41007_2</v>
      </c>
      <c r="E9" s="4" t="str">
        <f ca="1">VLOOKUP($B9,OFFSET([2]quests!$A$1,0,0,COUNTA([2]quests!$A:$A),MATCH(E$1,[2]quests!$1:$1,0)-MATCH($B$1,[2]quests!$1:$1,0)+1),MATCH(E$1,[2]quests!$1:$1,0)-MATCH($B$1,[2]quests!$1:$1,0)+1,FALSE)</f>
        <v>グリム襲来！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【ウィザード級】グリム襲来</v>
      </c>
      <c r="G9" s="95">
        <v>5</v>
      </c>
      <c r="H9" s="15" t="str">
        <f t="shared" si="5"/>
        <v>41007_2-5</v>
      </c>
      <c r="I9" s="4" t="e">
        <v>#VALUE!</v>
      </c>
      <c r="J9" s="4" t="e">
        <v>#VALUE!</v>
      </c>
      <c r="K9" s="36">
        <v>3</v>
      </c>
      <c r="L9" s="36">
        <v>3</v>
      </c>
      <c r="M9" s="96">
        <v>822</v>
      </c>
      <c r="N9" s="17" t="str">
        <f ca="1">VLOOKUP($M9,OFFSET([3]enemies!$A$1,0,0,COUNTA([3]enemies!$A:$A),MATCH(N$1,[3]enemies!$1:$1,0)-MATCH($M$1,[3]enemies!$1:$1,0)+1),MATCH(N$1,[3]enemies!$1:$1,0)-MATCH($M$1,[3]enemies!$1:$1,0)+1,FALSE)</f>
        <v>操魂の蒐集家 グリム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3">
        <v>4</v>
      </c>
      <c r="U9" s="23">
        <v>1.5</v>
      </c>
      <c r="V9" s="5">
        <v>0</v>
      </c>
      <c r="W9" s="4" t="e">
        <v>#VALUE!</v>
      </c>
      <c r="X9" s="99">
        <v>41007030</v>
      </c>
      <c r="Y9" s="131">
        <v>2</v>
      </c>
    </row>
    <row r="10" spans="1:25" ht="21" customHeight="1" x14ac:dyDescent="0.15">
      <c r="A10" s="114" t="str">
        <f>B10&amp;"_"&amp;C10&amp;"-"&amp;G10&amp;"/"&amp;M10&amp;"&lt;lv"&amp;S10&amp;"&gt;sq"&amp;K10&amp;"st"&amp;L10</f>
        <v>41007_3-4/422&lt;lv60&gt;sq1st2</v>
      </c>
      <c r="B10" s="115">
        <v>41007</v>
      </c>
      <c r="C10" s="116">
        <v>3</v>
      </c>
      <c r="D10" s="117" t="str">
        <f>B10&amp;"_"&amp;C10</f>
        <v>41007_3</v>
      </c>
      <c r="E10" s="118" t="str">
        <f ca="1">VLOOKUP($B10,OFFSET([2]quests!$A$1,0,0,COUNTA([2]quests!$A:$A),MATCH(E$1,[2]quests!$1:$1,0)-MATCH($B$1,[2]quests!$1:$1,0)+1),MATCH(E$1,[2]quests!$1:$1,0)-MATCH($B$1,[2]quests!$1:$1,0)+1,FALSE)</f>
        <v>グリム襲来！</v>
      </c>
      <c r="F10" s="118" t="str">
        <f ca="1">VLOOKUP($D10,OFFSET([2]stages!$A$1,0,0,COUNTA([2]stages!$A:$A),MATCH(F$1,[2]stages!$2:$2,0)-MATCH($D$1,[2]stages!$2:$2,0)+1),MATCH(F$1,[2]stages!$2:$2,0)-MATCH($D$1,[2]stages!$2:$2,0)+1,FALSE)</f>
        <v>【ノーコンテニュー】グリム襲来</v>
      </c>
      <c r="G10" s="116">
        <v>4</v>
      </c>
      <c r="H10" s="117" t="str">
        <f>B10&amp;"_"&amp;C10&amp;"-"&amp;G10</f>
        <v>41007_3-4</v>
      </c>
      <c r="I10" s="118" t="e">
        <v>#VALUE!</v>
      </c>
      <c r="J10" s="118" t="e">
        <v>#VALUE!</v>
      </c>
      <c r="K10" s="119">
        <v>1</v>
      </c>
      <c r="L10" s="119">
        <v>2</v>
      </c>
      <c r="M10" s="120">
        <v>422</v>
      </c>
      <c r="N10" s="121" t="str">
        <f ca="1">VLOOKUP($M10,OFFSET([3]enemies!$A$1,0,0,COUNTA([3]enemies!$A:$A),MATCH(N$1,[3]enemies!$1:$1,0)-MATCH($M$1,[3]enemies!$1:$1,0)+1),MATCH(N$1,[3]enemies!$1:$1,0)-MATCH($M$1,[3]enemies!$1:$1,0)+1,FALSE)</f>
        <v>シュガフル</v>
      </c>
      <c r="O10" s="121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121" t="str">
        <f ca="1">VLOOKUP($M10,OFFSET([4]characters!$A$1,0,0,COUNTA([4]characters!$A:$A),MATCH(P$1,[4]characters!$1:$1,0)-MATCH($M$1,[4]characters!$1:$1,0)+1),MATCH(P$1,[4]characters!$1:$1,0)-MATCH($M$1,[4]characters!$1:$1,0)+1,FALSE)</f>
        <v>Drop2N</v>
      </c>
      <c r="Q10" s="121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121">
        <f ca="1">VLOOKUP($M10,OFFSET([3]enemies!$A$1,0,0,COUNTA([3]enemies!$A:$A),MATCH(R$1,[3]enemies!$1:$1,0)-MATCH($M$1,[3]enemies!$1:$1,0)+1),MATCH(R$1,[3]enemies!$1:$1,0)-MATCH($M$1,[3]enemies!$1:$1,0)+1,FALSE)</f>
        <v>30</v>
      </c>
      <c r="S10" s="122">
        <v>60</v>
      </c>
      <c r="T10" s="123">
        <v>1.4</v>
      </c>
      <c r="U10" s="123">
        <v>0.9</v>
      </c>
      <c r="V10" s="122">
        <v>0</v>
      </c>
      <c r="W10" s="118" t="e">
        <v>#VALUE!</v>
      </c>
      <c r="X10" s="124">
        <v>41007025</v>
      </c>
      <c r="Y10" s="133">
        <v>2</v>
      </c>
    </row>
    <row r="11" spans="1:25" ht="21" customHeight="1" x14ac:dyDescent="0.15">
      <c r="A11" s="16" t="str">
        <f t="shared" ref="A11:A13" si="6">B11&amp;"_"&amp;C11&amp;"-"&amp;G11&amp;"/"&amp;M11&amp;"&lt;lv"&amp;S11&amp;"&gt;sq"&amp;K11&amp;"st"&amp;L11</f>
        <v>41007_3-4/398&lt;lv60&gt;sq2st2</v>
      </c>
      <c r="B11" s="21">
        <v>41007</v>
      </c>
      <c r="C11" s="95">
        <v>3</v>
      </c>
      <c r="D11" s="15" t="str">
        <f t="shared" ref="D11:D13" si="7">B11&amp;"_"&amp;C11</f>
        <v>41007_3</v>
      </c>
      <c r="E11" s="4" t="str">
        <f ca="1">VLOOKUP($B11,OFFSET([2]quests!$A$1,0,0,COUNTA([2]quests!$A:$A),MATCH(E$1,[2]quests!$1:$1,0)-MATCH($B$1,[2]quests!$1:$1,0)+1),MATCH(E$1,[2]quests!$1:$1,0)-MATCH($B$1,[2]quests!$1:$1,0)+1,FALSE)</f>
        <v>グリム襲来！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【ノーコンテニュー】グリム襲来</v>
      </c>
      <c r="G11" s="95">
        <v>4</v>
      </c>
      <c r="H11" s="15" t="str">
        <f t="shared" ref="H11:H13" si="8">B11&amp;"_"&amp;C11&amp;"-"&amp;G11</f>
        <v>41007_3-4</v>
      </c>
      <c r="I11" s="4" t="e">
        <v>#VALUE!</v>
      </c>
      <c r="J11" s="4" t="e">
        <v>#VALUE!</v>
      </c>
      <c r="K11" s="36">
        <v>2</v>
      </c>
      <c r="L11" s="36">
        <v>2</v>
      </c>
      <c r="M11" s="96">
        <v>398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ヘンゼル＆グレーテル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yellow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PremiumSS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7">
        <f ca="1">VLOOKUP($M11,OFFSET([3]enemies!$A$1,0,0,COUNTA([3]enemies!$A:$A),MATCH(R$1,[3]enemies!$1:$1,0)-MATCH($M$1,[3]enemies!$1:$1,0)+1),MATCH(R$1,[3]enemies!$1:$1,0)-MATCH($M$1,[3]enemies!$1:$1,0)+1,FALSE)</f>
        <v>30</v>
      </c>
      <c r="S11" s="5">
        <v>60</v>
      </c>
      <c r="T11" s="23">
        <v>1.9</v>
      </c>
      <c r="U11" s="23">
        <v>0.9</v>
      </c>
      <c r="V11" s="5">
        <v>0</v>
      </c>
      <c r="W11" s="4" t="e">
        <v>#VALUE!</v>
      </c>
      <c r="X11" s="99">
        <v>41007027</v>
      </c>
      <c r="Y11" s="131">
        <v>3</v>
      </c>
    </row>
    <row r="12" spans="1:25" ht="21" customHeight="1" x14ac:dyDescent="0.15">
      <c r="A12" s="16" t="str">
        <f t="shared" si="6"/>
        <v>41007_3-5/822&lt;lv80&gt;sq3st2</v>
      </c>
      <c r="B12" s="21">
        <v>41007</v>
      </c>
      <c r="C12" s="95">
        <v>3</v>
      </c>
      <c r="D12" s="15" t="str">
        <f t="shared" si="7"/>
        <v>41007_3</v>
      </c>
      <c r="E12" s="4" t="str">
        <f ca="1">VLOOKUP($B12,OFFSET([2]quests!$A$1,0,0,COUNTA([2]quests!$A:$A),MATCH(E$1,[2]quests!$1:$1,0)-MATCH($B$1,[2]quests!$1:$1,0)+1),MATCH(E$1,[2]quests!$1:$1,0)-MATCH($B$1,[2]quests!$1:$1,0)+1,FALSE)</f>
        <v>グリム襲来！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【ノーコンテニュー】グリム襲来</v>
      </c>
      <c r="G12" s="95">
        <v>5</v>
      </c>
      <c r="H12" s="15" t="str">
        <f t="shared" si="8"/>
        <v>41007_3-5</v>
      </c>
      <c r="I12" s="4" t="e">
        <v>#VALUE!</v>
      </c>
      <c r="J12" s="4" t="e">
        <v>#VALUE!</v>
      </c>
      <c r="K12" s="36">
        <v>3</v>
      </c>
      <c r="L12" s="36">
        <v>2</v>
      </c>
      <c r="M12" s="96">
        <v>822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操魂の蒐集家 グリム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80</v>
      </c>
      <c r="T12" s="23">
        <v>3.8</v>
      </c>
      <c r="U12" s="23">
        <v>1.4</v>
      </c>
      <c r="V12" s="5">
        <v>0</v>
      </c>
      <c r="W12" s="4" t="e">
        <v>#VALUE!</v>
      </c>
      <c r="X12" s="99">
        <v>41007029</v>
      </c>
      <c r="Y12" s="131">
        <v>2</v>
      </c>
    </row>
    <row r="13" spans="1:25" ht="21" customHeight="1" x14ac:dyDescent="0.15">
      <c r="A13" s="16" t="str">
        <f t="shared" si="6"/>
        <v>41007_3-5/822&lt;lv80&gt;sq3st3</v>
      </c>
      <c r="B13" s="21">
        <v>41007</v>
      </c>
      <c r="C13" s="95">
        <v>3</v>
      </c>
      <c r="D13" s="15" t="str">
        <f t="shared" si="7"/>
        <v>41007_3</v>
      </c>
      <c r="E13" s="4" t="str">
        <f ca="1">VLOOKUP($B13,OFFSET([2]quests!$A$1,0,0,COUNTA([2]quests!$A:$A),MATCH(E$1,[2]quests!$1:$1,0)-MATCH($B$1,[2]quests!$1:$1,0)+1),MATCH(E$1,[2]quests!$1:$1,0)-MATCH($B$1,[2]quests!$1:$1,0)+1,FALSE)</f>
        <v>グリム襲来！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【ノーコンテニュー】グリム襲来</v>
      </c>
      <c r="G13" s="95">
        <v>5</v>
      </c>
      <c r="H13" s="15" t="str">
        <f t="shared" si="8"/>
        <v>41007_3-5</v>
      </c>
      <c r="I13" s="4" t="e">
        <v>#VALUE!</v>
      </c>
      <c r="J13" s="4" t="e">
        <v>#VALUE!</v>
      </c>
      <c r="K13" s="36">
        <v>3</v>
      </c>
      <c r="L13" s="36">
        <v>3</v>
      </c>
      <c r="M13" s="96">
        <v>822</v>
      </c>
      <c r="N13" s="17" t="str">
        <f ca="1">VLOOKUP($M13,OFFSET([3]enemies!$A$1,0,0,COUNTA([3]enemies!$A:$A),MATCH(N$1,[3]enemies!$1:$1,0)-MATCH($M$1,[3]enemies!$1:$1,0)+1),MATCH(N$1,[3]enemies!$1:$1,0)-MATCH($M$1,[3]enemies!$1:$1,0)+1,FALSE)</f>
        <v>操魂の蒐集家 グリム</v>
      </c>
      <c r="O13" s="17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7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7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17">
        <f ca="1">VLOOKUP($M13,OFFSET([3]enemies!$A$1,0,0,COUNTA([3]enemies!$A:$A),MATCH(R$1,[3]enemies!$1:$1,0)-MATCH($M$1,[3]enemies!$1:$1,0)+1),MATCH(R$1,[3]enemies!$1:$1,0)-MATCH($M$1,[3]enemies!$1:$1,0)+1,FALSE)</f>
        <v>60</v>
      </c>
      <c r="S13" s="5">
        <v>80</v>
      </c>
      <c r="T13" s="23">
        <v>4</v>
      </c>
      <c r="U13" s="23">
        <v>1.5</v>
      </c>
      <c r="V13" s="5">
        <v>0</v>
      </c>
      <c r="W13" s="4" t="e">
        <v>#VALUE!</v>
      </c>
      <c r="X13" s="99">
        <v>41007030</v>
      </c>
      <c r="Y13" s="131">
        <v>2</v>
      </c>
    </row>
  </sheetData>
  <sheetProtection selectLockedCells="1" selectUnlockedCells="1"/>
  <autoFilter ref="B1:Y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20"/>
  <sheetViews>
    <sheetView showGridLines="0" zoomScale="90" zoomScaleNormal="90" zoomScalePageLayoutView="90" workbookViewId="0">
      <pane xSplit="5" ySplit="1" topLeftCell="F85" activePane="bottomRight" state="frozen"/>
      <selection pane="topRight"/>
      <selection pane="bottomLeft"/>
      <selection pane="bottomRight" activeCell="J99" sqref="J99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41007001_41007001</v>
      </c>
      <c r="B2" s="156">
        <v>41007001</v>
      </c>
      <c r="C2" s="156">
        <v>41007001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グリム様の敵…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2" s="158">
        <v>41007001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41007001_41007002</v>
      </c>
      <c r="B3" s="156">
        <v>41007001</v>
      </c>
      <c r="C3" s="156">
        <v>41007002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&lt;臨戦体勢&gt;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5ターン自身の防御力UP</v>
      </c>
      <c r="F3" s="159">
        <v>41007002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41007001_41007003</v>
      </c>
      <c r="B4" s="156">
        <v>41007001</v>
      </c>
      <c r="C4" s="156">
        <v>41007003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&lt;カウンターショット&gt;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1ターン全属性カウンター</v>
      </c>
      <c r="F4" s="159">
        <v>41007003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ref="A5:A8" si="2">B5&amp;"_"&amp;C5</f>
        <v>41007001_41007004</v>
      </c>
      <c r="B5" s="156">
        <v>41007001</v>
      </c>
      <c r="C5" s="156">
        <v>41007004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&lt;ハンターズバレット&gt;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5" s="159">
        <v>41007004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2"/>
        <v>41007001_41007005</v>
      </c>
      <c r="B6" s="156">
        <v>41007001</v>
      </c>
      <c r="C6" s="156">
        <v>41007005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&lt;危険分子排除&gt;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6" s="159">
        <v>41007005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2"/>
        <v>41007002_41007006</v>
      </c>
      <c r="B7" s="156">
        <v>41007002</v>
      </c>
      <c r="C7" s="156">
        <v>41007006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&lt;スタンバイ&gt;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7" s="159">
        <v>41007007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2"/>
        <v>41007002_41007007</v>
      </c>
      <c r="B8" s="156">
        <v>41007002</v>
      </c>
      <c r="C8" s="156">
        <v>41007007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&lt;侵入者排除&gt;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8" s="159">
        <v>41007008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ref="A9:A22" si="3">B9&amp;"_"&amp;C9</f>
        <v>41007002_41007008</v>
      </c>
      <c r="B9" s="156">
        <v>41007002</v>
      </c>
      <c r="C9" s="156">
        <v>41007008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&lt;果てしなき食欲&gt;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9" s="159">
        <v>41007009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5"/>
      <c r="Q9" s="45"/>
      <c r="R9" s="45"/>
    </row>
    <row r="10" spans="1:18" ht="21" customHeight="1" x14ac:dyDescent="0.15">
      <c r="A10" s="37" t="str">
        <f t="shared" si="3"/>
        <v>41007002_41007009</v>
      </c>
      <c r="B10" s="156">
        <v>41007002</v>
      </c>
      <c r="C10" s="156">
        <v>41007009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&lt;迎撃体勢&gt;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3ターン全属性カウンター</v>
      </c>
      <c r="F10" s="159">
        <v>41007010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143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3"/>
        <v>41007003_41007010</v>
      </c>
      <c r="B11" s="156">
        <v>41007003</v>
      </c>
      <c r="C11" s="156">
        <v>41007010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グリム様の敵…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11" s="159">
        <v>41007012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3"/>
        <v>41007003_41007011</v>
      </c>
      <c r="B12" s="156">
        <v>41007003</v>
      </c>
      <c r="C12" s="156">
        <v>41007011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&lt;邪気蒼黒掌&gt;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お邪魔パネル3個生成＋攻撃</v>
      </c>
      <c r="F12" s="159">
        <v>41007013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2" s="45"/>
      <c r="Q12" s="45"/>
      <c r="R12" s="45"/>
    </row>
    <row r="13" spans="1:18" ht="21" customHeight="1" x14ac:dyDescent="0.15">
      <c r="A13" s="37" t="str">
        <f t="shared" si="3"/>
        <v>41007003_41007012</v>
      </c>
      <c r="B13" s="156">
        <v>41007003</v>
      </c>
      <c r="C13" s="156">
        <v>41007012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&lt;秘技・邪烈蒼打拳&gt;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お邪魔パネル6個生成＋クリティカル！</v>
      </c>
      <c r="F13" s="159">
        <v>41007014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3"/>
        <v>41007003_41007013</v>
      </c>
      <c r="B14" s="156">
        <v>41007003</v>
      </c>
      <c r="C14" s="156">
        <v>41007013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&lt;クロックアップ&gt;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14" s="159">
        <v>41007015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149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3"/>
        <v>41007004_41007014</v>
      </c>
      <c r="B15" s="156">
        <v>41007004</v>
      </c>
      <c r="C15" s="156">
        <v>41007014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&lt;魔解閃光脚&gt;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お邪魔パネル吸収攻撃</v>
      </c>
      <c r="F15" s="159">
        <v>41007019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3"/>
        <v>41007004_41007015</v>
      </c>
      <c r="B16" s="156">
        <v>41007004</v>
      </c>
      <c r="C16" s="156">
        <v>41007015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&lt;破壊電光脚&gt;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16" s="159">
        <v>41007020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6" s="45"/>
      <c r="Q16" s="45"/>
      <c r="R16" s="45"/>
    </row>
    <row r="17" spans="1:18" ht="21" customHeight="1" x14ac:dyDescent="0.15">
      <c r="A17" s="37" t="str">
        <f t="shared" si="3"/>
        <v>41007004_41007016</v>
      </c>
      <c r="B17" s="156">
        <v>41007004</v>
      </c>
      <c r="C17" s="156">
        <v>41007016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&lt;オーバードライブ&gt;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17" s="159">
        <v>41007022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292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3"/>
        <v>41007005_41007017</v>
      </c>
      <c r="B18" s="156">
        <v>41007005</v>
      </c>
      <c r="C18" s="156">
        <v>41007017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&lt;噛みつき&gt;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159">
        <v>41007024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3"/>
        <v>41007006_41007018</v>
      </c>
      <c r="B19" s="156">
        <v>41007006</v>
      </c>
      <c r="C19" s="156">
        <v>41007018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&lt;ショットガン&gt;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159">
        <v>41007025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3"/>
        <v>41007007_41007019</v>
      </c>
      <c r="B20" s="156">
        <v>41007007</v>
      </c>
      <c r="C20" s="156">
        <v>41007019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&lt;警報&gt;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20" s="159">
        <v>41007026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3"/>
        <v>41007008_41007020</v>
      </c>
      <c r="B21" s="156">
        <v>41007008</v>
      </c>
      <c r="C21" s="156">
        <v>41007020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&lt;放電&gt;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1" s="159">
        <v>41007027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3"/>
        <v>41007009_41007021</v>
      </c>
      <c r="B22" s="156">
        <v>41007009</v>
      </c>
      <c r="C22" s="156">
        <v>41007021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……助け…て…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22" s="159">
        <v>41007030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6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ref="A23:A81" si="4">B23&amp;"_"&amp;C23</f>
        <v>41007009_41007022</v>
      </c>
      <c r="B23" s="156">
        <v>41007009</v>
      </c>
      <c r="C23" s="156">
        <v>41007022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&lt;パチパチキャンディ&gt;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23" s="159">
        <v>41007031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3" s="45"/>
      <c r="Q23" s="45"/>
      <c r="R23" s="45"/>
    </row>
    <row r="24" spans="1:18" ht="21" customHeight="1" x14ac:dyDescent="0.15">
      <c r="A24" s="37" t="str">
        <f t="shared" si="4"/>
        <v>41007009_41007023</v>
      </c>
      <c r="B24" s="156">
        <v>41007009</v>
      </c>
      <c r="C24" s="156">
        <v>41007023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&lt;串刺しナイフ&gt;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4" s="159">
        <v>41007032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5"/>
      <c r="Q24" s="45"/>
      <c r="R24" s="45"/>
    </row>
    <row r="25" spans="1:18" ht="21" customHeight="1" x14ac:dyDescent="0.15">
      <c r="A25" s="37" t="str">
        <f t="shared" si="4"/>
        <v>41007009_41007024</v>
      </c>
      <c r="B25" s="156">
        <v>41007009</v>
      </c>
      <c r="C25" s="156">
        <v>41007024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&lt;緊急措置&gt;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4ターン自身の防御力大UP</v>
      </c>
      <c r="F25" s="159">
        <v>41007033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398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4"/>
        <v>41007010_41007025</v>
      </c>
      <c r="B26" s="156">
        <v>41007010</v>
      </c>
      <c r="C26" s="156">
        <v>41007025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&lt;パチパチキャンディ&gt;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26" s="159">
        <v>41007035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6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5"/>
      <c r="Q26" s="45"/>
      <c r="R26" s="45"/>
    </row>
    <row r="27" spans="1:18" ht="21" customHeight="1" x14ac:dyDescent="0.15">
      <c r="A27" s="37" t="str">
        <f t="shared" si="4"/>
        <v>41007010_41007026</v>
      </c>
      <c r="B27" s="156">
        <v>41007010</v>
      </c>
      <c r="C27" s="156">
        <v>41007026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&lt;串刺しナイフ&gt;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7" s="159">
        <v>41007036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45"/>
      <c r="Q27" s="45"/>
      <c r="R27" s="45"/>
    </row>
    <row r="28" spans="1:18" ht="21" customHeight="1" x14ac:dyDescent="0.15">
      <c r="A28" s="37" t="str">
        <f t="shared" si="4"/>
        <v>41007010_41007027</v>
      </c>
      <c r="B28" s="156">
        <v>41007010</v>
      </c>
      <c r="C28" s="156">
        <v>41007027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&lt;呪文詠唱中…&gt;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次のターン強力な一撃！</v>
      </c>
      <c r="F28" s="159">
        <v>41007037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4"/>
        <v>41007010_41007028</v>
      </c>
      <c r="B29" s="156">
        <v>41007010</v>
      </c>
      <c r="C29" s="156">
        <v>41007028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&lt;シュガフルマジック&gt;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超大クリティカル！</v>
      </c>
      <c r="F29" s="159">
        <v>41007038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4"/>
        <v>41007010_41007029</v>
      </c>
      <c r="B30" s="156">
        <v>41007010</v>
      </c>
      <c r="C30" s="156">
        <v>41007029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&lt;緊急措置&gt;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4ターン自身の防御力大UP</v>
      </c>
      <c r="F30" s="159">
        <v>41007039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398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4"/>
        <v>41007011_41007030</v>
      </c>
      <c r="B31" s="156">
        <v>41007011</v>
      </c>
      <c r="C31" s="156">
        <v>41007030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&lt;強制分解&gt;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31" s="159">
        <v>41007042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5"/>
      <c r="Q31" s="45"/>
      <c r="R31" s="45"/>
    </row>
    <row r="32" spans="1:18" ht="21" customHeight="1" x14ac:dyDescent="0.15">
      <c r="A32" s="37" t="str">
        <f t="shared" si="4"/>
        <v>41007011_41007031</v>
      </c>
      <c r="B32" s="156">
        <v>41007011</v>
      </c>
      <c r="C32" s="156">
        <v>41007031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&lt;パネル生成妨害&gt;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5ターンCパネル生成延長</v>
      </c>
      <c r="F32" s="159">
        <v>41007043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5"/>
      <c r="Q32" s="45"/>
      <c r="R32" s="45"/>
    </row>
    <row r="33" spans="1:18" ht="21" customHeight="1" x14ac:dyDescent="0.15">
      <c r="A33" s="37" t="str">
        <f t="shared" si="4"/>
        <v>41007011_41007032</v>
      </c>
      <c r="B33" s="156">
        <v>41007011</v>
      </c>
      <c r="C33" s="156">
        <v>41007032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&lt;スイートハウス&gt;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4ターン敵全体の防御力大UP</v>
      </c>
      <c r="F33" s="159">
        <v>41007044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3" s="45"/>
      <c r="Q33" s="45"/>
      <c r="R33" s="45"/>
    </row>
    <row r="34" spans="1:18" ht="21" customHeight="1" x14ac:dyDescent="0.15">
      <c r="A34" s="37" t="str">
        <f t="shared" si="4"/>
        <v>41007011_41007033</v>
      </c>
      <c r="B34" s="156">
        <v>41007011</v>
      </c>
      <c r="C34" s="156">
        <v>41007033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&lt;侵入者撃退&gt;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34" s="159">
        <v>41007045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422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4"/>
        <v>41007012_41007034</v>
      </c>
      <c r="B35" s="156">
        <v>41007012</v>
      </c>
      <c r="C35" s="156">
        <v>41007034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&lt;パネル生成妨害&gt;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5ターンCパネル生成延長</v>
      </c>
      <c r="F35" s="159">
        <v>41007047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5" s="46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45"/>
      <c r="Q35" s="45"/>
      <c r="R35" s="45"/>
    </row>
    <row r="36" spans="1:18" ht="21" customHeight="1" x14ac:dyDescent="0.15">
      <c r="A36" s="37" t="str">
        <f t="shared" si="4"/>
        <v>41007012_41007035</v>
      </c>
      <c r="B36" s="156">
        <v>41007012</v>
      </c>
      <c r="C36" s="156">
        <v>41007035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&lt;強制分解&gt;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36" s="159">
        <v>41007048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5"/>
      <c r="Q36" s="45"/>
      <c r="R36" s="45"/>
    </row>
    <row r="37" spans="1:18" ht="21" customHeight="1" x14ac:dyDescent="0.15">
      <c r="A37" s="37" t="str">
        <f t="shared" si="4"/>
        <v>41007012_41007036</v>
      </c>
      <c r="B37" s="156">
        <v>41007012</v>
      </c>
      <c r="C37" s="156">
        <v>41007036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&lt;スイートハウス&gt;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4ターン敵全体の防御力大UP</v>
      </c>
      <c r="F37" s="159">
        <v>41007049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7" s="45"/>
      <c r="Q37" s="45"/>
      <c r="R37" s="45"/>
    </row>
    <row r="38" spans="1:18" ht="21" customHeight="1" x14ac:dyDescent="0.15">
      <c r="A38" s="37" t="str">
        <f t="shared" si="4"/>
        <v>41007012_41007037</v>
      </c>
      <c r="B38" s="156">
        <v>41007012</v>
      </c>
      <c r="C38" s="156">
        <v>41007037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&lt;侵入者撃退&gt;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38" s="159">
        <v>41007050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422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4"/>
        <v>41007013_41007038</v>
      </c>
      <c r="B39" s="156">
        <v>41007013</v>
      </c>
      <c r="C39" s="156">
        <v>41007038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君たちか…僕の玩具を壊したのは…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次のターン強力なハートパネル吸収攻撃！</v>
      </c>
      <c r="F39" s="156">
        <v>41007051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4"/>
        <v>41007013_41007039</v>
      </c>
      <c r="B40" s="156">
        <v>41007013</v>
      </c>
      <c r="C40" s="156">
        <v>41007039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屈辱を味わわせてやる！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強力なハートパネル吸収攻撃！</v>
      </c>
      <c r="F40" s="156">
        <v>41007052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si="4"/>
        <v>41007013_41007040</v>
      </c>
      <c r="B41" s="156">
        <v>41007013</v>
      </c>
      <c r="C41" s="156">
        <v>41007040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全体攻撃+低確率で1ターンスキルバインド</v>
      </c>
      <c r="F41" s="156">
        <v>41007053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1" s="45"/>
      <c r="Q41" s="45"/>
      <c r="R41" s="45"/>
    </row>
    <row r="42" spans="1:18" ht="21" customHeight="1" x14ac:dyDescent="0.15">
      <c r="A42" s="37" t="str">
        <f t="shared" si="4"/>
        <v>41007013_41007041</v>
      </c>
      <c r="B42" s="156">
        <v>41007013</v>
      </c>
      <c r="C42" s="156">
        <v>41007041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竜とて所詮おとぎ話さ…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</v>
      </c>
      <c r="F42" s="156">
        <v>41007054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2" s="45"/>
      <c r="Q42" s="45"/>
      <c r="R42" s="45"/>
    </row>
    <row r="43" spans="1:18" ht="21" customHeight="1" x14ac:dyDescent="0.15">
      <c r="A43" s="37" t="str">
        <f t="shared" si="4"/>
        <v>41007013_41007042</v>
      </c>
      <c r="B43" s="156">
        <v>41007013</v>
      </c>
      <c r="C43" s="156">
        <v>41007042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3" s="156">
        <v>41007055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3" s="45"/>
      <c r="Q43" s="45"/>
      <c r="R43" s="45"/>
    </row>
    <row r="44" spans="1:18" ht="21" customHeight="1" x14ac:dyDescent="0.15">
      <c r="A44" s="37" t="str">
        <f t="shared" si="4"/>
        <v>41007014_41007043</v>
      </c>
      <c r="B44" s="156">
        <v>41007014</v>
      </c>
      <c r="C44" s="156">
        <v>41007043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君たちも僕のコレクションに加えてあげよう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状態異常耐性+Cパネル変換禁止</v>
      </c>
      <c r="F44" s="156">
        <v>41007056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6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ht="21" customHeight="1" x14ac:dyDescent="0.15">
      <c r="A45" s="37" t="str">
        <f t="shared" si="4"/>
        <v>41007014_41007044</v>
      </c>
      <c r="B45" s="156">
        <v>41007014</v>
      </c>
      <c r="C45" s="156">
        <v>41007044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全体攻撃+低確率で1ターンスキルバインド</v>
      </c>
      <c r="F45" s="156">
        <v>41007057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6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5" s="45"/>
      <c r="Q45" s="45"/>
      <c r="R45" s="45"/>
    </row>
    <row r="46" spans="1:18" ht="21" customHeight="1" x14ac:dyDescent="0.15">
      <c r="A46" s="37" t="str">
        <f t="shared" si="4"/>
        <v>41007014_41007045</v>
      </c>
      <c r="B46" s="156">
        <v>41007014</v>
      </c>
      <c r="C46" s="156">
        <v>41007045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46" s="156">
        <v>41007058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6" s="45"/>
      <c r="Q46" s="45"/>
      <c r="R46" s="45"/>
    </row>
    <row r="47" spans="1:18" ht="21" customHeight="1" x14ac:dyDescent="0.15">
      <c r="A47" s="37" t="str">
        <f t="shared" si="4"/>
        <v>41007014_41007046</v>
      </c>
      <c r="B47" s="156">
        <v>41007014</v>
      </c>
      <c r="C47" s="156">
        <v>41007046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お人形にしてやるよ！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2ターン全体スキルバインド</v>
      </c>
      <c r="F47" s="156">
        <v>41007059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si="4"/>
        <v>41007014_41007047</v>
      </c>
      <c r="B48" s="156">
        <v>41007014</v>
      </c>
      <c r="C48" s="156">
        <v>41007047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神さえも支配してみせるさ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48" s="156">
        <v>41007060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6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8" s="45"/>
      <c r="Q48" s="45"/>
      <c r="R48" s="45"/>
    </row>
    <row r="49" spans="1:18" ht="21" customHeight="1" x14ac:dyDescent="0.15">
      <c r="A49" s="37" t="str">
        <f t="shared" si="4"/>
        <v>41007015_41007048</v>
      </c>
      <c r="B49" s="156">
        <v>41007015</v>
      </c>
      <c r="C49" s="156">
        <v>41007048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この力でALICEを支配してみせる！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状態異常耐性＆5ターン防御力UP</v>
      </c>
      <c r="F49" s="156">
        <v>41007061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6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x14ac:dyDescent="0.15">
      <c r="A50" s="37" t="str">
        <f t="shared" si="4"/>
        <v>41007015_41007049</v>
      </c>
      <c r="B50" s="156">
        <v>41007015</v>
      </c>
      <c r="C50" s="156">
        <v>41007049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次で終わりにしてあげるよ！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5ターンCパネル生成延長(効果超大)_x000D_＋次のターン強力なハートパネル吸収攻撃！</v>
      </c>
      <c r="F50" s="156">
        <v>41007062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6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ht="21" customHeight="1" x14ac:dyDescent="0.15">
      <c r="A51" s="37" t="str">
        <f t="shared" si="4"/>
        <v>41007015_41007050</v>
      </c>
      <c r="B51" s="156">
        <v>41007015</v>
      </c>
      <c r="C51" s="156">
        <v>41007050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これで屈服させてやる！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強力なハートパネル吸収攻撃！</v>
      </c>
      <c r="F51" s="156">
        <v>41007063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6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6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ht="21" customHeight="1" x14ac:dyDescent="0.15">
      <c r="A52" s="37" t="str">
        <f t="shared" si="4"/>
        <v>41007015_41007051</v>
      </c>
      <c r="B52" s="156">
        <v>41007015</v>
      </c>
      <c r="C52" s="156">
        <v>41007051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全体攻撃+低確率で1ターンスキルバインド</v>
      </c>
      <c r="F52" s="156">
        <v>41007064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6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2" s="45"/>
      <c r="Q52" s="45"/>
      <c r="R52" s="45"/>
    </row>
    <row r="53" spans="1:18" ht="21" customHeight="1" x14ac:dyDescent="0.15">
      <c r="A53" s="37" t="str">
        <f t="shared" si="4"/>
        <v>41007015_41007052</v>
      </c>
      <c r="B53" s="156">
        <v>41007015</v>
      </c>
      <c r="C53" s="156">
        <v>41007052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53" s="156">
        <v>41007065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6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3" s="45"/>
      <c r="Q53" s="45"/>
      <c r="R53" s="45"/>
    </row>
    <row r="54" spans="1:18" ht="21" customHeight="1" x14ac:dyDescent="0.15">
      <c r="A54" s="37" t="str">
        <f t="shared" si="4"/>
        <v>41007015_41007053</v>
      </c>
      <c r="B54" s="156">
        <v>41007015</v>
      </c>
      <c r="C54" s="156">
        <v>41007053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勝てるとでも思ったかい？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フィーバーゲージ減少</v>
      </c>
      <c r="F54" s="156">
        <v>41007066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5"/>
      <c r="Q54" s="45"/>
      <c r="R54" s="45"/>
    </row>
    <row r="55" spans="1:18" ht="21" customHeight="1" x14ac:dyDescent="0.15">
      <c r="A55" s="37" t="str">
        <f t="shared" si="4"/>
        <v>41007015_41007054</v>
      </c>
      <c r="B55" s="156">
        <v>41007015</v>
      </c>
      <c r="C55" s="156">
        <v>41007054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さあ、そろそろエピローグだ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55" s="156">
        <v>41007067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ht="21" customHeight="1" x14ac:dyDescent="0.15">
      <c r="A56" s="37" t="str">
        <f t="shared" si="4"/>
        <v>41007015_41007055</v>
      </c>
      <c r="B56" s="156">
        <v>41007015</v>
      </c>
      <c r="C56" s="156">
        <v>41007055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56" s="156">
        <v>41007068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x14ac:dyDescent="0.15">
      <c r="A57" s="37" t="str">
        <f t="shared" si="4"/>
        <v>41007015_41007056</v>
      </c>
      <c r="B57" s="156">
        <v>41007015</v>
      </c>
      <c r="C57" s="156">
        <v>41007056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57" s="156">
        <v>41007069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6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x14ac:dyDescent="0.15">
      <c r="A58" s="37" t="str">
        <f t="shared" si="4"/>
        <v>41007015_41007057</v>
      </c>
      <c r="B58" s="156">
        <v>41007015</v>
      </c>
      <c r="C58" s="156">
        <v>41007057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58" s="156">
        <v>41007070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x14ac:dyDescent="0.15">
      <c r="A59" s="37" t="str">
        <f t="shared" si="4"/>
        <v>41007015_41007058</v>
      </c>
      <c r="B59" s="156">
        <v>41007015</v>
      </c>
      <c r="C59" s="156">
        <v>41007058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59" s="156">
        <v>41007071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thickBot="1" x14ac:dyDescent="0.2">
      <c r="A60" s="136" t="str">
        <f t="shared" si="4"/>
        <v>41007015_41007059</v>
      </c>
      <c r="B60" s="157">
        <v>41007015</v>
      </c>
      <c r="C60" s="157">
        <v>41007059</v>
      </c>
      <c r="D60" s="138" t="str">
        <f ca="1">VLOOKUP($C60,OFFSET(enemy_skills!$A$1,0,0,COUNTA(enemy_skills!$A:$A),MATCH(D$1,enemy_skills!$1:$1,0)-MATCH("enemy_skill_id",enemy_skills!$1:$1,0)+1),MATCH(D$1,enemy_skills!$1:$1,0)-MATCH("enemy_skill_id",enemy_skills!$1:$1,0)+1,FALSE)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60" s="138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60" s="157">
        <v>41007072</v>
      </c>
      <c r="G60" s="139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139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0" s="139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139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139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39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139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139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139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137"/>
      <c r="Q60" s="137"/>
      <c r="R60" s="137"/>
    </row>
    <row r="61" spans="1:18" ht="21" customHeight="1" x14ac:dyDescent="0.15">
      <c r="A61" s="37" t="str">
        <f t="shared" si="4"/>
        <v>41007016_41007001</v>
      </c>
      <c r="B61" s="45">
        <v>41007016</v>
      </c>
      <c r="C61" s="45">
        <v>41007001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グリム様の敵…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61" s="134">
        <v>41007001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6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6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6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x14ac:dyDescent="0.15">
      <c r="A62" s="37" t="str">
        <f t="shared" si="4"/>
        <v>41007016_41007002</v>
      </c>
      <c r="B62" s="45">
        <v>41007016</v>
      </c>
      <c r="C62" s="45">
        <v>41007002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&lt;臨戦体勢&gt;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5ターン自身の防御力UP</v>
      </c>
      <c r="F62" s="135">
        <v>41007002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6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4"/>
        <v>41007016_41007003</v>
      </c>
      <c r="B63" s="45">
        <v>41007016</v>
      </c>
      <c r="C63" s="45">
        <v>41007003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&lt;カウンターショット&gt;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1ターン全属性カウンター</v>
      </c>
      <c r="F63" s="135">
        <v>41007003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6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3" s="46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si="4"/>
        <v>41007016_41007063</v>
      </c>
      <c r="B64" s="45">
        <v>41007016</v>
      </c>
      <c r="C64" s="45">
        <v>41007063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&lt;ハンターズバレット&gt;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64" s="135">
        <v>41007004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6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6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7" t="str">
        <f t="shared" si="4"/>
        <v>41007016_41007005</v>
      </c>
      <c r="B65" s="45">
        <v>41007016</v>
      </c>
      <c r="C65" s="45">
        <v>41007005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&lt;危険分子排除&gt;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65" s="135">
        <v>41007005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6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7" t="str">
        <f t="shared" si="4"/>
        <v>41007017_41007006</v>
      </c>
      <c r="B66" s="45">
        <v>41007017</v>
      </c>
      <c r="C66" s="45">
        <v>41007006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&lt;スタンバイ&gt;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6" s="135">
        <v>41007007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6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6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x14ac:dyDescent="0.15">
      <c r="A67" s="37" t="str">
        <f t="shared" si="4"/>
        <v>41007017_41007007</v>
      </c>
      <c r="B67" s="45">
        <v>41007017</v>
      </c>
      <c r="C67" s="45">
        <v>41007007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&lt;侵入者排除&gt;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67" s="135">
        <v>41007008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6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ht="21" customHeight="1" x14ac:dyDescent="0.15">
      <c r="A68" s="37" t="str">
        <f t="shared" si="4"/>
        <v>41007017_41007008</v>
      </c>
      <c r="B68" s="45">
        <v>41007017</v>
      </c>
      <c r="C68" s="45">
        <v>41007008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&lt;果てしなき食欲&gt;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20回連続攻撃</v>
      </c>
      <c r="F68" s="135">
        <v>41007009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6" t="str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8" s="45"/>
      <c r="Q68" s="45"/>
      <c r="R68" s="45"/>
    </row>
    <row r="69" spans="1:18" ht="21" customHeight="1" x14ac:dyDescent="0.15">
      <c r="A69" s="37" t="str">
        <f t="shared" si="4"/>
        <v>41007017_41007009</v>
      </c>
      <c r="B69" s="45">
        <v>41007017</v>
      </c>
      <c r="C69" s="45">
        <v>41007009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&lt;迎撃体勢&gt;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3ターン全属性カウンター</v>
      </c>
      <c r="F69" s="135">
        <v>41007010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6" t="str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143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ht="21" customHeight="1" x14ac:dyDescent="0.15">
      <c r="A70" s="37" t="str">
        <f t="shared" si="4"/>
        <v>41007018_41007010</v>
      </c>
      <c r="B70" s="45">
        <v>41007018</v>
      </c>
      <c r="C70" s="45">
        <v>41007010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グリム様の敵…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70" s="135">
        <v>41007012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6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6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x14ac:dyDescent="0.15">
      <c r="A71" s="37" t="str">
        <f t="shared" si="4"/>
        <v>41007018_41007011</v>
      </c>
      <c r="B71" s="45">
        <v>41007018</v>
      </c>
      <c r="C71" s="45">
        <v>41007011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&lt;邪気蒼黒掌&gt;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お邪魔パネル3個生成＋攻撃</v>
      </c>
      <c r="F71" s="135">
        <v>41007013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6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71" s="45"/>
      <c r="Q71" s="45"/>
      <c r="R71" s="45"/>
    </row>
    <row r="72" spans="1:18" ht="21" customHeight="1" x14ac:dyDescent="0.15">
      <c r="A72" s="37" t="str">
        <f t="shared" si="4"/>
        <v>41007018_41007012</v>
      </c>
      <c r="B72" s="45">
        <v>41007018</v>
      </c>
      <c r="C72" s="45">
        <v>41007012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&lt;秘技・邪烈蒼打拳&gt;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お邪魔パネル6個生成＋クリティカル！</v>
      </c>
      <c r="F72" s="135">
        <v>41007014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ht="21" customHeight="1" x14ac:dyDescent="0.15">
      <c r="A73" s="37" t="str">
        <f t="shared" si="4"/>
        <v>41007018_41007013</v>
      </c>
      <c r="B73" s="45">
        <v>41007018</v>
      </c>
      <c r="C73" s="45">
        <v>41007013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&lt;クロックアップ&gt;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73" s="135">
        <v>41007015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6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149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7" t="str">
        <f t="shared" si="4"/>
        <v>41007019_41007014</v>
      </c>
      <c r="B74" s="45">
        <v>41007019</v>
      </c>
      <c r="C74" s="45">
        <v>41007014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&lt;魔解閃光脚&gt;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お邪魔パネル吸収攻撃</v>
      </c>
      <c r="F74" s="135">
        <v>41007019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6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6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4" s="4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ht="21" customHeight="1" x14ac:dyDescent="0.15">
      <c r="A75" s="37" t="str">
        <f t="shared" si="4"/>
        <v>41007019_41007064</v>
      </c>
      <c r="B75" s="45">
        <v>41007019</v>
      </c>
      <c r="C75" s="45">
        <v>41007064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&lt;破壊電光脚&gt;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</v>
      </c>
      <c r="F75" s="135">
        <v>41007020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6" t="str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5" s="45"/>
      <c r="Q75" s="45"/>
      <c r="R75" s="45"/>
    </row>
    <row r="76" spans="1:18" ht="21" customHeight="1" x14ac:dyDescent="0.15">
      <c r="A76" s="37" t="str">
        <f t="shared" si="4"/>
        <v>41007019_41007016</v>
      </c>
      <c r="B76" s="45">
        <v>41007019</v>
      </c>
      <c r="C76" s="45">
        <v>41007016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&lt;オーバードライブ&gt;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76" s="135">
        <v>41007022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6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6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292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ht="21" customHeight="1" x14ac:dyDescent="0.15">
      <c r="A77" s="37" t="str">
        <f t="shared" si="4"/>
        <v>41007020_41007017</v>
      </c>
      <c r="B77" s="45">
        <v>41007020</v>
      </c>
      <c r="C77" s="45">
        <v>41007017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&lt;噛みつき&gt;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7" s="135">
        <v>41007024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6" t="str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6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6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ht="21" customHeight="1" x14ac:dyDescent="0.15">
      <c r="A78" s="37" t="str">
        <f t="shared" si="4"/>
        <v>41007021_41007018</v>
      </c>
      <c r="B78" s="45">
        <v>41007021</v>
      </c>
      <c r="C78" s="45">
        <v>41007018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&lt;ショットガン&gt;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8" s="135">
        <v>41007025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6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/>
    </row>
    <row r="79" spans="1:18" ht="21" customHeight="1" x14ac:dyDescent="0.15">
      <c r="A79" s="37" t="str">
        <f t="shared" si="4"/>
        <v>41007022_41007019</v>
      </c>
      <c r="B79" s="45">
        <v>41007022</v>
      </c>
      <c r="C79" s="45">
        <v>41007019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&lt;警報&gt;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79" s="135">
        <v>41007026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6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ht="21" customHeight="1" x14ac:dyDescent="0.15">
      <c r="A80" s="37" t="str">
        <f t="shared" si="4"/>
        <v>41007023_41007020</v>
      </c>
      <c r="B80" s="45">
        <v>41007023</v>
      </c>
      <c r="C80" s="45">
        <v>41007020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&lt;放電&gt;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0" s="135">
        <v>41007027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6" t="str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ht="21" customHeight="1" x14ac:dyDescent="0.15">
      <c r="A81" s="37" t="str">
        <f t="shared" si="4"/>
        <v>41007024_41007021</v>
      </c>
      <c r="B81" s="45">
        <v>41007024</v>
      </c>
      <c r="C81" s="45">
        <v>41007021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……助け…て…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虚ろな瞳で襲いかかってくる！</v>
      </c>
      <c r="F81" s="135">
        <v>41007030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6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ht="21" customHeight="1" x14ac:dyDescent="0.15">
      <c r="A82" s="37" t="str">
        <f t="shared" ref="A82:A119" si="5">B82&amp;"_"&amp;C82</f>
        <v>41007024_41007022</v>
      </c>
      <c r="B82" s="45">
        <v>41007024</v>
      </c>
      <c r="C82" s="45">
        <v>41007022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&lt;パチパチキャンディ&gt;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82" s="135">
        <v>41007031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6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82" s="4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6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2" s="45"/>
      <c r="Q82" s="45"/>
      <c r="R82" s="45"/>
    </row>
    <row r="83" spans="1:18" ht="21" customHeight="1" x14ac:dyDescent="0.15">
      <c r="A83" s="37" t="str">
        <f t="shared" si="5"/>
        <v>41007024_41007023</v>
      </c>
      <c r="B83" s="45">
        <v>41007024</v>
      </c>
      <c r="C83" s="45">
        <v>41007023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&lt;串刺しナイフ&gt;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83" s="135">
        <v>41007032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6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3" s="46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6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6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3" s="45"/>
      <c r="Q83" s="45"/>
      <c r="R83" s="45"/>
    </row>
    <row r="84" spans="1:18" ht="21" customHeight="1" x14ac:dyDescent="0.15">
      <c r="A84" s="37" t="str">
        <f t="shared" si="5"/>
        <v>41007024_41007024</v>
      </c>
      <c r="B84" s="45">
        <v>41007024</v>
      </c>
      <c r="C84" s="45">
        <v>41007024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&lt;緊急措置&gt;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4ターン自身の防御力大UP</v>
      </c>
      <c r="F84" s="135">
        <v>41007033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6" t="str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6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398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ht="21" customHeight="1" x14ac:dyDescent="0.15">
      <c r="A85" s="37" t="str">
        <f t="shared" si="5"/>
        <v>41007025_41007025</v>
      </c>
      <c r="B85" s="45">
        <v>41007025</v>
      </c>
      <c r="C85" s="45">
        <v>41007025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&lt;パチパチキャンディ&gt;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85" s="135">
        <v>41007035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6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85" s="46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6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5" s="45"/>
      <c r="Q85" s="45"/>
      <c r="R85" s="45"/>
    </row>
    <row r="86" spans="1:18" ht="21" customHeight="1" x14ac:dyDescent="0.15">
      <c r="A86" s="37" t="str">
        <f t="shared" si="5"/>
        <v>41007025_41007026</v>
      </c>
      <c r="B86" s="45">
        <v>41007025</v>
      </c>
      <c r="C86" s="45">
        <v>41007026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&lt;串刺しナイフ&gt;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86" s="135">
        <v>41007036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 t="str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6" s="4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6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6" s="45"/>
      <c r="Q86" s="45"/>
      <c r="R86" s="45"/>
    </row>
    <row r="87" spans="1:18" ht="21" customHeight="1" x14ac:dyDescent="0.15">
      <c r="A87" s="37" t="str">
        <f t="shared" si="5"/>
        <v>41007025_41007027</v>
      </c>
      <c r="B87" s="45">
        <v>41007025</v>
      </c>
      <c r="C87" s="45">
        <v>41007027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&lt;呪文詠唱中…&gt;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次のターン強力な一撃！</v>
      </c>
      <c r="F87" s="135">
        <v>41007037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ht="21" customHeight="1" x14ac:dyDescent="0.15">
      <c r="A88" s="37" t="str">
        <f t="shared" si="5"/>
        <v>41007025_41007028</v>
      </c>
      <c r="B88" s="45">
        <v>41007025</v>
      </c>
      <c r="C88" s="45">
        <v>41007028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&lt;シュガフルマジック&gt;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超大クリティカル！</v>
      </c>
      <c r="F88" s="135">
        <v>41007038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6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ht="21" customHeight="1" x14ac:dyDescent="0.15">
      <c r="A89" s="37" t="str">
        <f t="shared" si="5"/>
        <v>41007025_41007029</v>
      </c>
      <c r="B89" s="45">
        <v>41007025</v>
      </c>
      <c r="C89" s="45">
        <v>41007029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&lt;緊急措置&gt;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4ターン自身の防御力大UP</v>
      </c>
      <c r="F89" s="135">
        <v>41007039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6" t="str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6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6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398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ht="21" customHeight="1" x14ac:dyDescent="0.15">
      <c r="A90" s="37" t="str">
        <f t="shared" si="5"/>
        <v>41007026_41007065</v>
      </c>
      <c r="B90" s="45">
        <v>41007026</v>
      </c>
      <c r="C90" s="45">
        <v>41007065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&lt;強制分解&gt;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90" s="135">
        <v>41007042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 t="str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0" s="4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6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6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0" s="45"/>
      <c r="Q90" s="45"/>
      <c r="R90" s="45"/>
    </row>
    <row r="91" spans="1:18" ht="21" customHeight="1" x14ac:dyDescent="0.15">
      <c r="A91" s="37" t="str">
        <f t="shared" si="5"/>
        <v>41007026_41007031</v>
      </c>
      <c r="B91" s="45">
        <v>41007026</v>
      </c>
      <c r="C91" s="45">
        <v>41007031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&lt;パネル生成妨害&gt;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5ターンCパネル生成延長</v>
      </c>
      <c r="F91" s="135">
        <v>41007043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 t="str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1" s="4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1" s="46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1" s="4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1" s="45"/>
      <c r="Q91" s="45"/>
      <c r="R91" s="45"/>
    </row>
    <row r="92" spans="1:18" ht="21" customHeight="1" x14ac:dyDescent="0.15">
      <c r="A92" s="37" t="str">
        <f t="shared" si="5"/>
        <v>41007026_41007032</v>
      </c>
      <c r="B92" s="45">
        <v>41007026</v>
      </c>
      <c r="C92" s="45">
        <v>41007032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&lt;スイートハウス&gt;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4ターン敵全体の防御力大UP</v>
      </c>
      <c r="F92" s="135">
        <v>41007044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 t="str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2" s="46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2" s="46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2" s="46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2" s="45"/>
      <c r="Q92" s="45"/>
      <c r="R92" s="45"/>
    </row>
    <row r="93" spans="1:18" ht="21" customHeight="1" x14ac:dyDescent="0.15">
      <c r="A93" s="37" t="str">
        <f t="shared" si="5"/>
        <v>41007026_41007033</v>
      </c>
      <c r="B93" s="45">
        <v>41007026</v>
      </c>
      <c r="C93" s="45">
        <v>41007033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&lt;侵入者撃退&gt;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93" s="135">
        <v>41007045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6" t="str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6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6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422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ht="21" customHeight="1" x14ac:dyDescent="0.15">
      <c r="A94" s="37" t="str">
        <f t="shared" si="5"/>
        <v>41007027_41007034</v>
      </c>
      <c r="B94" s="45">
        <v>41007027</v>
      </c>
      <c r="C94" s="45">
        <v>41007034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&lt;パネル生成妨害&gt;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5ターンCパネル生成延長</v>
      </c>
      <c r="F94" s="135">
        <v>41007047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6" t="str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4" s="4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4" s="46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4" s="46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4" s="45"/>
      <c r="Q94" s="45"/>
      <c r="R94" s="45"/>
    </row>
    <row r="95" spans="1:18" ht="21" customHeight="1" x14ac:dyDescent="0.15">
      <c r="A95" s="37" t="str">
        <f t="shared" si="5"/>
        <v>41007027_41007065</v>
      </c>
      <c r="B95" s="45">
        <v>41007027</v>
      </c>
      <c r="C95" s="45">
        <v>41007065</v>
      </c>
      <c r="D95" s="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&lt;強制分解&gt;</v>
      </c>
      <c r="E95" s="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95" s="135">
        <v>41007048</v>
      </c>
      <c r="G95" s="4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6" t="str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5" s="4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5" s="46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6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6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6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5" s="45"/>
      <c r="Q95" s="45"/>
      <c r="R95" s="45"/>
    </row>
    <row r="96" spans="1:18" ht="21" customHeight="1" x14ac:dyDescent="0.15">
      <c r="A96" s="37" t="str">
        <f t="shared" si="5"/>
        <v>41007027_41007036</v>
      </c>
      <c r="B96" s="45">
        <v>41007027</v>
      </c>
      <c r="C96" s="45">
        <v>41007036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&lt;スイートハウス&gt;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4ターン敵全体の防御力大UP</v>
      </c>
      <c r="F96" s="135">
        <v>41007049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6" t="str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6" s="4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6" s="46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6" s="46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6" s="45"/>
      <c r="Q96" s="45"/>
      <c r="R96" s="45"/>
    </row>
    <row r="97" spans="1:18" ht="21" customHeight="1" x14ac:dyDescent="0.15">
      <c r="A97" s="37" t="str">
        <f t="shared" si="5"/>
        <v>41007027_41007037</v>
      </c>
      <c r="B97" s="45">
        <v>41007027</v>
      </c>
      <c r="C97" s="45">
        <v>41007037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&lt;侵入者撃退&gt;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青パネルを3個まで時限式パネルに変換</v>
      </c>
      <c r="F97" s="135">
        <v>41007050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6" t="str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46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6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422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ht="21" customHeight="1" x14ac:dyDescent="0.15">
      <c r="A98" s="37" t="str">
        <f t="shared" si="5"/>
        <v>41007028_41007038</v>
      </c>
      <c r="B98" s="45">
        <v>41007028</v>
      </c>
      <c r="C98" s="45">
        <v>41007038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君たちか…僕の玩具を壊したのは…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次のターン強力なハートパネル吸収攻撃！</v>
      </c>
      <c r="F98" s="45">
        <v>41007051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6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6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ht="21" customHeight="1" x14ac:dyDescent="0.15">
      <c r="A99" s="37" t="str">
        <f t="shared" si="5"/>
        <v>41007028_41007039</v>
      </c>
      <c r="B99" s="45">
        <v>41007028</v>
      </c>
      <c r="C99" s="45">
        <v>41007039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屈辱を味わわせてやる！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強力なハートパネル吸収攻撃！</v>
      </c>
      <c r="F99" s="45">
        <v>41007052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6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ht="21" customHeight="1" x14ac:dyDescent="0.15">
      <c r="A100" s="37" t="str">
        <f t="shared" si="5"/>
        <v>41007028_41007040</v>
      </c>
      <c r="B100" s="45">
        <v>41007028</v>
      </c>
      <c r="C100" s="45">
        <v>41007040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全体攻撃+低確率で1ターンスキルバインド</v>
      </c>
      <c r="F100" s="45">
        <v>41007053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0" s="46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6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6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0" s="45"/>
      <c r="Q100" s="45"/>
      <c r="R100" s="45"/>
    </row>
    <row r="101" spans="1:18" ht="21" customHeight="1" x14ac:dyDescent="0.15">
      <c r="A101" s="37" t="str">
        <f t="shared" si="5"/>
        <v>41007028_41007066</v>
      </c>
      <c r="B101" s="45">
        <v>41007028</v>
      </c>
      <c r="C101" s="45">
        <v>41007066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竜とて所詮おとぎ話さ…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</v>
      </c>
      <c r="F101" s="45">
        <v>41007054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6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6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1" s="45"/>
      <c r="Q101" s="45"/>
      <c r="R101" s="45"/>
    </row>
    <row r="102" spans="1:18" ht="21" customHeight="1" x14ac:dyDescent="0.15">
      <c r="A102" s="37" t="str">
        <f t="shared" si="5"/>
        <v>41007028_41007042</v>
      </c>
      <c r="B102" s="45">
        <v>41007028</v>
      </c>
      <c r="C102" s="45">
        <v>41007042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02" s="45">
        <v>41007055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46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6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2" s="45"/>
      <c r="Q102" s="45"/>
      <c r="R102" s="45"/>
    </row>
    <row r="103" spans="1:18" ht="21" customHeight="1" x14ac:dyDescent="0.15">
      <c r="A103" s="37" t="str">
        <f t="shared" si="5"/>
        <v>41007029_41007043</v>
      </c>
      <c r="B103" s="45">
        <v>41007029</v>
      </c>
      <c r="C103" s="45">
        <v>41007043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君たちも僕のコレクションに加えてあげよう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状態異常耐性+Cパネル変換禁止</v>
      </c>
      <c r="F103" s="45">
        <v>41007056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6" t="str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6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6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  <row r="104" spans="1:18" ht="21" customHeight="1" x14ac:dyDescent="0.15">
      <c r="A104" s="37" t="str">
        <f t="shared" si="5"/>
        <v>41007029_41007044</v>
      </c>
      <c r="B104" s="45">
        <v>41007029</v>
      </c>
      <c r="C104" s="45">
        <v>41007044</v>
      </c>
      <c r="D104" s="44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バインド・バレット</v>
      </c>
      <c r="E104" s="44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全体攻撃+低確率で1ターンスキルバインド</v>
      </c>
      <c r="F104" s="45">
        <v>41007057</v>
      </c>
      <c r="G104" s="46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6" t="str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4" s="46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4" s="46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6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6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6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6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6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4" s="45"/>
      <c r="Q104" s="45"/>
      <c r="R104" s="45"/>
    </row>
    <row r="105" spans="1:18" ht="21" customHeight="1" x14ac:dyDescent="0.15">
      <c r="A105" s="37" t="str">
        <f t="shared" si="5"/>
        <v>41007029_41007045</v>
      </c>
      <c r="B105" s="45">
        <v>41007029</v>
      </c>
      <c r="C105" s="45">
        <v>41007045</v>
      </c>
      <c r="D105" s="44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105" s="44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05" s="45">
        <v>41007058</v>
      </c>
      <c r="G105" s="46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6" t="str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5" s="46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5" s="46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6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6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6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6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6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5" s="45"/>
      <c r="Q105" s="45"/>
      <c r="R105" s="45"/>
    </row>
    <row r="106" spans="1:18" ht="21" customHeight="1" x14ac:dyDescent="0.15">
      <c r="A106" s="37" t="str">
        <f t="shared" si="5"/>
        <v>41007029_41007060</v>
      </c>
      <c r="B106" s="45">
        <v>41007029</v>
      </c>
      <c r="C106" s="45">
        <v>41007060</v>
      </c>
      <c r="D106" s="4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僕のペースで進めさせてもらうよ</v>
      </c>
      <c r="E106" s="4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青パネルプロテクト＋3ターン攻撃頻度UP</v>
      </c>
      <c r="F106" s="45">
        <v>41007059</v>
      </c>
      <c r="G106" s="46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6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6" s="46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6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6" s="46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6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6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6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6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5"/>
      <c r="Q106" s="45"/>
      <c r="R106" s="45"/>
    </row>
    <row r="107" spans="1:18" ht="21" customHeight="1" x14ac:dyDescent="0.15">
      <c r="A107" s="37" t="str">
        <f t="shared" si="5"/>
        <v>41007029_41007067</v>
      </c>
      <c r="B107" s="45">
        <v>41007029</v>
      </c>
      <c r="C107" s="45">
        <v>41007067</v>
      </c>
      <c r="D107" s="44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神さえも支配してみせるさ</v>
      </c>
      <c r="E107" s="44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107" s="45">
        <v>41007060</v>
      </c>
      <c r="G107" s="4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6" t="str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7" s="4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7" s="4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6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6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6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7" s="45"/>
      <c r="Q107" s="45"/>
      <c r="R107" s="45"/>
    </row>
    <row r="108" spans="1:18" ht="21" customHeight="1" x14ac:dyDescent="0.15">
      <c r="A108" s="37" t="str">
        <f t="shared" si="5"/>
        <v>41007030_41007048</v>
      </c>
      <c r="B108" s="45">
        <v>41007030</v>
      </c>
      <c r="C108" s="45">
        <v>41007048</v>
      </c>
      <c r="D108" s="44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この力でALICEを支配してみせる！</v>
      </c>
      <c r="E108" s="44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状態異常耐性＆5ターン防御力UP</v>
      </c>
      <c r="F108" s="45">
        <v>41007061</v>
      </c>
      <c r="G108" s="46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6" t="str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8" s="46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6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6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6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6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6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6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5"/>
      <c r="Q108" s="45"/>
      <c r="R108" s="45"/>
    </row>
    <row r="109" spans="1:18" ht="21" customHeight="1" x14ac:dyDescent="0.15">
      <c r="A109" s="37" t="str">
        <f t="shared" si="5"/>
        <v>41007030_41007049</v>
      </c>
      <c r="B109" s="45">
        <v>41007030</v>
      </c>
      <c r="C109" s="45">
        <v>41007049</v>
      </c>
      <c r="D109" s="44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次で終わりにしてあげるよ！</v>
      </c>
      <c r="E109" s="44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5ターンCパネル生成延長(効果超大)_x000D_＋次のターン強力なハートパネル吸収攻撃！</v>
      </c>
      <c r="F109" s="45">
        <v>41007062</v>
      </c>
      <c r="G109" s="46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6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9" s="46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6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6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6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6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6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6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5"/>
      <c r="Q109" s="45"/>
      <c r="R109" s="45"/>
    </row>
    <row r="110" spans="1:18" ht="21" customHeight="1" x14ac:dyDescent="0.15">
      <c r="A110" s="37" t="str">
        <f t="shared" si="5"/>
        <v>41007030_41007050</v>
      </c>
      <c r="B110" s="45">
        <v>41007030</v>
      </c>
      <c r="C110" s="45">
        <v>41007050</v>
      </c>
      <c r="D110" s="4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これで屈服させてやる！</v>
      </c>
      <c r="E110" s="4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強力なハートパネル吸収攻撃！</v>
      </c>
      <c r="F110" s="45">
        <v>41007063</v>
      </c>
      <c r="G110" s="46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6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0" s="46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6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6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6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6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6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6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5"/>
      <c r="Q110" s="45"/>
      <c r="R110" s="45"/>
    </row>
    <row r="111" spans="1:18" ht="21" customHeight="1" x14ac:dyDescent="0.15">
      <c r="A111" s="37" t="str">
        <f t="shared" si="5"/>
        <v>41007030_41007068</v>
      </c>
      <c r="B111" s="45">
        <v>41007030</v>
      </c>
      <c r="C111" s="45">
        <v>41007068</v>
      </c>
      <c r="D111" s="44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それが君の玩具なのかい？</v>
      </c>
      <c r="E111" s="44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種族ウェポンのユニットに大ダメージ</v>
      </c>
      <c r="F111" s="45">
        <v>41007064</v>
      </c>
      <c r="G111" s="46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6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1" s="46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1" s="46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6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6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6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6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6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1" s="45"/>
      <c r="Q111" s="45"/>
      <c r="R111" s="45"/>
    </row>
    <row r="112" spans="1:18" ht="21" customHeight="1" x14ac:dyDescent="0.15">
      <c r="A112" s="37" t="str">
        <f t="shared" si="5"/>
        <v>41007030_41007052</v>
      </c>
      <c r="B112" s="45">
        <v>41007030</v>
      </c>
      <c r="C112" s="45">
        <v>41007052</v>
      </c>
      <c r="D112" s="44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リニア・バレット</v>
      </c>
      <c r="E112" s="44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12" s="45">
        <v>41007065</v>
      </c>
      <c r="G112" s="46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6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2" s="46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2" s="46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6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6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6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6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6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2" s="45"/>
      <c r="Q112" s="45"/>
      <c r="R112" s="45"/>
    </row>
    <row r="113" spans="1:18" ht="21" customHeight="1" x14ac:dyDescent="0.15">
      <c r="A113" s="37" t="str">
        <f t="shared" si="5"/>
        <v>41007030_41007061</v>
      </c>
      <c r="B113" s="45">
        <v>41007030</v>
      </c>
      <c r="C113" s="45">
        <v>41007061</v>
      </c>
      <c r="D113" s="44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結末は僕の手で創造する</v>
      </c>
      <c r="E113" s="44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誰にも邪魔はさせないぞ…！</v>
      </c>
      <c r="F113" s="45">
        <v>41007073</v>
      </c>
      <c r="G113" s="46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6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3" s="46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6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6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6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6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6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6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5"/>
      <c r="Q113" s="45"/>
      <c r="R113" s="45"/>
    </row>
    <row r="114" spans="1:18" ht="21" customHeight="1" x14ac:dyDescent="0.15">
      <c r="A114" s="37" t="str">
        <f t="shared" si="5"/>
        <v>41007030_41007062</v>
      </c>
      <c r="B114" s="45">
        <v>41007030</v>
      </c>
      <c r="C114" s="45">
        <v>41007062</v>
      </c>
      <c r="D114" s="44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さあ、そろそろエピローグだ！</v>
      </c>
      <c r="E114" s="4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攻撃頻度UP＋フィーバーゲージ減少</v>
      </c>
      <c r="F114" s="45">
        <v>41007067</v>
      </c>
      <c r="G114" s="46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6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4" s="46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6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4" s="46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6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6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6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6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5"/>
      <c r="Q114" s="45"/>
      <c r="R114" s="45"/>
    </row>
    <row r="115" spans="1:18" ht="21" customHeight="1" x14ac:dyDescent="0.15">
      <c r="A115" s="37" t="str">
        <f t="shared" si="5"/>
        <v>41007030_41007055</v>
      </c>
      <c r="B115" s="45">
        <v>41007030</v>
      </c>
      <c r="C115" s="45">
        <v>41007055</v>
      </c>
      <c r="D115" s="44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115" s="44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115" s="45">
        <v>41007068</v>
      </c>
      <c r="G115" s="46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6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5" s="46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6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5" s="46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6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6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6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6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5"/>
      <c r="Q115" s="45"/>
      <c r="R115" s="45"/>
    </row>
    <row r="116" spans="1:18" ht="21" customHeight="1" x14ac:dyDescent="0.15">
      <c r="A116" s="37" t="str">
        <f t="shared" si="5"/>
        <v>41007030_41007056</v>
      </c>
      <c r="B116" s="45">
        <v>41007030</v>
      </c>
      <c r="C116" s="45">
        <v>41007056</v>
      </c>
      <c r="D116" s="44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116" s="44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116" s="45">
        <v>41007069</v>
      </c>
      <c r="G116" s="46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6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6" s="46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6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6" s="46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6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6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6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6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5"/>
      <c r="Q116" s="45"/>
      <c r="R116" s="45"/>
    </row>
    <row r="117" spans="1:18" ht="21" customHeight="1" x14ac:dyDescent="0.15">
      <c r="A117" s="37" t="str">
        <f t="shared" si="5"/>
        <v>41007030_41007057</v>
      </c>
      <c r="B117" s="45">
        <v>41007030</v>
      </c>
      <c r="C117" s="45">
        <v>41007057</v>
      </c>
      <c r="D117" s="44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117" s="44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117" s="45">
        <v>41007070</v>
      </c>
      <c r="G117" s="46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6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7" s="46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6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7" s="46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6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6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6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6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5"/>
      <c r="Q117" s="45"/>
      <c r="R117" s="45"/>
    </row>
    <row r="118" spans="1:18" ht="21" customHeight="1" x14ac:dyDescent="0.15">
      <c r="A118" s="37" t="str">
        <f t="shared" si="5"/>
        <v>41007030_41007058</v>
      </c>
      <c r="B118" s="45">
        <v>41007030</v>
      </c>
      <c r="C118" s="45">
        <v>41007058</v>
      </c>
      <c r="D118" s="44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118" s="44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118" s="45">
        <v>41007071</v>
      </c>
      <c r="G118" s="46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6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8" s="46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6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8" s="46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6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6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6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6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5"/>
      <c r="Q118" s="45"/>
      <c r="R118" s="45"/>
    </row>
    <row r="119" spans="1:18" ht="21" customHeight="1" x14ac:dyDescent="0.15">
      <c r="A119" s="140" t="str">
        <f t="shared" si="5"/>
        <v>41007030_41007059</v>
      </c>
      <c r="B119" s="45">
        <v>41007030</v>
      </c>
      <c r="C119" s="45">
        <v>41007059</v>
      </c>
      <c r="D119" s="44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支配の銃弾</v>
      </c>
      <c r="E119" s="44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だんだん強くなる攻撃！</v>
      </c>
      <c r="F119" s="45">
        <v>41007072</v>
      </c>
      <c r="G119" s="46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6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9" s="46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6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9" s="46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6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6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6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6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5"/>
      <c r="Q119" s="45"/>
      <c r="R119" s="45"/>
    </row>
    <row r="120" spans="1:18" ht="21" customHeight="1" x14ac:dyDescent="0.15">
      <c r="A120" s="141"/>
      <c r="B120" s="142"/>
      <c r="C120" s="142"/>
      <c r="D120" s="142"/>
      <c r="E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3"/>
      <c r="Q120" s="143"/>
      <c r="R120" s="143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9"/>
  <sheetViews>
    <sheetView showGridLines="0" tabSelected="1" zoomScale="90" zoomScaleNormal="90" zoomScalePageLayoutView="90" workbookViewId="0">
      <pane ySplit="1" topLeftCell="A2" activePane="bottomLeft" state="frozenSplit"/>
      <selection pane="bottomLeft" activeCell="F17" sqref="F17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41007001</v>
      </c>
      <c r="B2" s="45" t="s">
        <v>212</v>
      </c>
      <c r="C2" s="48">
        <v>3</v>
      </c>
      <c r="D2" s="48" t="s">
        <v>213</v>
      </c>
      <c r="E2" s="49" t="s">
        <v>214</v>
      </c>
      <c r="F2" s="49" t="s">
        <v>215</v>
      </c>
      <c r="G2" s="61" t="str">
        <f>IFERROR(LEFT(B2,FIND("],",B2)),B2)</f>
        <v>[effect:nothing]</v>
      </c>
      <c r="H2" s="61">
        <f>FIND("effect:",G2)+7</f>
        <v>9</v>
      </c>
      <c r="I2" s="61">
        <f>IFERROR(FIND(",",G2),LEN(G2))</f>
        <v>16</v>
      </c>
      <c r="J2" s="61" t="e">
        <f>FIND("target:",G2)+7</f>
        <v>#VALUE!</v>
      </c>
      <c r="K2" s="61" t="e">
        <f>FIND(",",G2,I2+1)</f>
        <v>#VALUE!</v>
      </c>
      <c r="L2" s="61" t="str">
        <f>IFERROR(VLOOKUP(MID(G2,J2,K2-J2),[5]skilldef!$C:$D,2,FALSE),"-") &amp; " / " &amp; IFERROR(VLOOKUP(MID(G2,H2,I2-H2),[5]skilldef!$A:$B,2,FALSE),"-")</f>
        <v>- / 何もしない</v>
      </c>
      <c r="M2" s="61" t="str">
        <f>IFERROR(RIGHT(B2,LEN(B2)-FIND("],",B2)-1),"none")</f>
        <v>none</v>
      </c>
      <c r="N2" s="46" t="str">
        <f>IFERROR(LEFT(M2,FIND("],",M2)+#REF!),M2)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</row>
    <row r="3" spans="1:28" ht="21" customHeight="1" x14ac:dyDescent="0.15">
      <c r="A3" s="45">
        <v>41007002</v>
      </c>
      <c r="B3" s="45" t="s">
        <v>216</v>
      </c>
      <c r="C3" s="48">
        <v>3</v>
      </c>
      <c r="D3" s="48" t="s">
        <v>213</v>
      </c>
      <c r="E3" s="49" t="s">
        <v>217</v>
      </c>
      <c r="F3" s="49" t="s">
        <v>342</v>
      </c>
      <c r="G3" s="61" t="str">
        <f t="shared" ref="G3:G40" si="0">IFERROR(LEFT(B3,FIND("],",B3)),B3)</f>
        <v xml:space="preserve">[effect:enhance_enemy, target:myself, turn:5, status:defense, val:3000, calc:add, animation:enemy_enhance_defense]    </v>
      </c>
      <c r="H3" s="61">
        <f t="shared" ref="H3:H40" si="1">FIND("effect:",G3)+7</f>
        <v>9</v>
      </c>
      <c r="I3" s="61">
        <f t="shared" ref="I3:I40" si="2">IFERROR(FIND(",",G3),LEN(G3))</f>
        <v>22</v>
      </c>
      <c r="J3" s="61">
        <f t="shared" ref="J3:J40" si="3">FIND("target:",G3)+7</f>
        <v>31</v>
      </c>
      <c r="K3" s="61">
        <f t="shared" ref="K3:K40" si="4">FIND(",",G3,I3+1)</f>
        <v>37</v>
      </c>
      <c r="L3" s="61" t="str">
        <f>IFERROR(VLOOKUP(MID(G3,J3,K3-J3),[5]skilldef!$C:$D,2,FALSE),"-") &amp; " / " &amp; IFERROR(VLOOKUP(MID(G3,H3,I3-H3),[5]skilldef!$A:$B,2,FALSE),"-")</f>
        <v>自分自身に / ステータス強化</v>
      </c>
      <c r="M3" s="61" t="str">
        <f t="shared" ref="M3:M40" si="5">IFERROR(RIGHT(B3,LEN(B3)-FIND("],",B3)-1),"none")</f>
        <v>none</v>
      </c>
      <c r="N3" s="46" t="str">
        <f>IFERROR(LEFT(M3,FIND("],",M3)+S11),M3)</f>
        <v>none</v>
      </c>
      <c r="O3" s="61" t="e">
        <f t="shared" ref="O3:O40" si="6">FIND("effect:",N3)+7</f>
        <v>#VALUE!</v>
      </c>
      <c r="P3" s="61">
        <f t="shared" ref="P3:P40" si="7">IFERROR(FIND(",",N3),LEN(N3))</f>
        <v>4</v>
      </c>
      <c r="Q3" s="61" t="e">
        <f t="shared" ref="Q3:Q40" si="8">FIND("target:",N3)+7</f>
        <v>#VALUE!</v>
      </c>
      <c r="R3" s="61" t="e">
        <f t="shared" ref="R3:R40" si="9">FIND(",",N3,P3+1)</f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 t="shared" ref="T3:T40" si="10">IFERROR(RIGHT(M3,LEN(M3)-FIND("],",M3)-1),"none")</f>
        <v>none</v>
      </c>
      <c r="U3" s="61" t="e">
        <f t="shared" ref="U3:U40" si="11">FIND("effect:",T3)+7</f>
        <v>#VALUE!</v>
      </c>
      <c r="V3" s="61">
        <f t="shared" ref="V3:V40" si="12">IFERROR(FIND(",",T3),LEN(T3))</f>
        <v>4</v>
      </c>
      <c r="W3" s="61" t="e">
        <f t="shared" ref="W3:W40" si="13">FIND("target:",T3)+7</f>
        <v>#VALUE!</v>
      </c>
      <c r="X3" s="61" t="e">
        <f t="shared" ref="X3:X40" si="14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</row>
    <row r="4" spans="1:28" ht="21" customHeight="1" x14ac:dyDescent="0.15">
      <c r="A4" s="45">
        <v>41007003</v>
      </c>
      <c r="B4" s="45" t="s">
        <v>218</v>
      </c>
      <c r="C4" s="48">
        <v>3</v>
      </c>
      <c r="D4" s="48" t="s">
        <v>213</v>
      </c>
      <c r="E4" s="49" t="s">
        <v>219</v>
      </c>
      <c r="F4" s="49" t="s">
        <v>341</v>
      </c>
      <c r="G4" s="61" t="str">
        <f t="shared" si="0"/>
        <v>[effect:enemy_counter, target:myself, invoke_condition:unit_all, counter_target:attacker, turn:1, val:1.5, animation:enemy_counter]</v>
      </c>
      <c r="H4" s="61">
        <f t="shared" si="1"/>
        <v>9</v>
      </c>
      <c r="I4" s="61">
        <f t="shared" si="2"/>
        <v>22</v>
      </c>
      <c r="J4" s="61">
        <f t="shared" si="3"/>
        <v>31</v>
      </c>
      <c r="K4" s="61">
        <f t="shared" si="4"/>
        <v>37</v>
      </c>
      <c r="L4" s="61" t="str">
        <f>IFERROR(VLOOKUP(MID(G4,J4,K4-J4),[5]skilldef!$C:$D,2,FALSE),"-") &amp; " / " &amp; IFERROR(VLOOKUP(MID(G4,H4,I4-H4),[5]skilldef!$A:$B,2,FALSE),"-")</f>
        <v>自分自身に / カウンター</v>
      </c>
      <c r="M4" s="61" t="str">
        <f t="shared" si="5"/>
        <v>none</v>
      </c>
      <c r="N4" s="46" t="str">
        <f>IFERROR(LEFT(M4,FIND("],",M4)+S12),M4)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</row>
    <row r="5" spans="1:28" ht="21" customHeight="1" x14ac:dyDescent="0.15">
      <c r="A5" s="45">
        <v>41007004</v>
      </c>
      <c r="B5" s="45" t="s">
        <v>220</v>
      </c>
      <c r="C5" s="48">
        <v>3</v>
      </c>
      <c r="D5" s="48" t="s">
        <v>213</v>
      </c>
      <c r="E5" s="49" t="s">
        <v>221</v>
      </c>
      <c r="F5" s="49" t="s">
        <v>340</v>
      </c>
      <c r="G5" s="61" t="str">
        <f t="shared" si="0"/>
        <v>[effect:damage_anti_tribe, target:unit_all, tribe:animal, val1:1.3, val2:0.1]</v>
      </c>
      <c r="H5" s="61">
        <f t="shared" si="1"/>
        <v>9</v>
      </c>
      <c r="I5" s="61">
        <f t="shared" si="2"/>
        <v>26</v>
      </c>
      <c r="J5" s="61">
        <f t="shared" si="3"/>
        <v>35</v>
      </c>
      <c r="K5" s="61">
        <f t="shared" si="4"/>
        <v>43</v>
      </c>
      <c r="L5" s="61" t="str">
        <f>IFERROR(VLOOKUP(MID(G5,J5,K5-J5),[5]skilldef!$C:$D,2,FALSE),"-") &amp; " / " &amp; IFERROR(VLOOKUP(MID(G5,H5,I5-H5),[5]skilldef!$A:$B,2,FALSE),"-")</f>
        <v>味方全体に / 種族キラー</v>
      </c>
      <c r="M5" s="61" t="str">
        <f t="shared" si="5"/>
        <v>none</v>
      </c>
      <c r="N5" s="46" t="str">
        <f>IFERROR(LEFT(M5,FIND("],",M5)+S13),M5)</f>
        <v>none</v>
      </c>
      <c r="O5" s="61" t="e">
        <f t="shared" si="6"/>
        <v>#VALUE!</v>
      </c>
      <c r="P5" s="61">
        <f t="shared" si="7"/>
        <v>4</v>
      </c>
      <c r="Q5" s="61" t="e">
        <f t="shared" si="8"/>
        <v>#VALUE!</v>
      </c>
      <c r="R5" s="61" t="e">
        <f t="shared" si="9"/>
        <v>#VALUE!</v>
      </c>
      <c r="S5" s="61" t="str">
        <f>IFERROR(VLOOKUP(MID(N5,Q5,R5-Q5),[5]skilldef!$C:$D,2,FALSE),"-") &amp; " / " &amp; IFERROR(VLOOKUP(MID(N5,O5,P5-O5),[5]skilldef!$A:$B,2,FALSE),"-")</f>
        <v>- / -</v>
      </c>
      <c r="T5" s="46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</row>
    <row r="6" spans="1:28" ht="21" customHeight="1" x14ac:dyDescent="0.15">
      <c r="A6" s="45">
        <v>41007005</v>
      </c>
      <c r="B6" s="45" t="s">
        <v>222</v>
      </c>
      <c r="C6" s="48">
        <v>3</v>
      </c>
      <c r="D6" s="48" t="s">
        <v>213</v>
      </c>
      <c r="E6" s="49" t="s">
        <v>223</v>
      </c>
      <c r="F6" s="49" t="s">
        <v>337</v>
      </c>
      <c r="G6" s="61" t="str">
        <f t="shared" si="0"/>
        <v xml:space="preserve">[effect:rush, count:20, val:0.05]    </v>
      </c>
      <c r="H6" s="61">
        <f t="shared" si="1"/>
        <v>9</v>
      </c>
      <c r="I6" s="61">
        <f t="shared" si="2"/>
        <v>13</v>
      </c>
      <c r="J6" s="61" t="e">
        <f t="shared" si="3"/>
        <v>#VALUE!</v>
      </c>
      <c r="K6" s="61">
        <f t="shared" si="4"/>
        <v>23</v>
      </c>
      <c r="L6" s="61" t="str">
        <f>IFERROR(VLOOKUP(MID(G6,J6,K6-J6),[5]skilldef!$C:$D,2,FALSE),"-") &amp; " / " &amp; IFERROR(VLOOKUP(MID(G6,H6,I6-H6),[5]skilldef!$A:$B,2,FALSE),"-")</f>
        <v>- / 連続攻撃</v>
      </c>
      <c r="M6" s="61" t="str">
        <f t="shared" si="5"/>
        <v>none</v>
      </c>
      <c r="N6" s="46" t="str">
        <f>IFERROR(LEFT(M6,FIND("],",M6)+S14),M6)</f>
        <v>none</v>
      </c>
      <c r="O6" s="61" t="e">
        <f t="shared" si="6"/>
        <v>#VALUE!</v>
      </c>
      <c r="P6" s="61">
        <f t="shared" si="7"/>
        <v>4</v>
      </c>
      <c r="Q6" s="61" t="e">
        <f t="shared" si="8"/>
        <v>#VALUE!</v>
      </c>
      <c r="R6" s="61" t="e">
        <f t="shared" si="9"/>
        <v>#VALUE!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si="10"/>
        <v>none</v>
      </c>
      <c r="U6" s="61" t="e">
        <f t="shared" si="11"/>
        <v>#VALUE!</v>
      </c>
      <c r="V6" s="61">
        <f t="shared" si="12"/>
        <v>4</v>
      </c>
      <c r="W6" s="61" t="e">
        <f t="shared" si="13"/>
        <v>#VALUE!</v>
      </c>
      <c r="X6" s="61" t="e">
        <f t="shared" si="14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</row>
    <row r="7" spans="1:28" ht="21" customHeight="1" x14ac:dyDescent="0.15">
      <c r="A7" s="45">
        <v>41007006</v>
      </c>
      <c r="B7" s="45" t="s">
        <v>224</v>
      </c>
      <c r="C7" s="48">
        <v>3</v>
      </c>
      <c r="D7" s="48" t="s">
        <v>213</v>
      </c>
      <c r="E7" s="49" t="s">
        <v>225</v>
      </c>
      <c r="F7" s="49" t="s">
        <v>226</v>
      </c>
      <c r="G7" s="61" t="str">
        <f t="shared" si="0"/>
        <v>[effect:tolerance, target:myself, turn:-1, tolerance_effect:hungup, count:-1, animation:enemy_tolerance]</v>
      </c>
      <c r="H7" s="61">
        <f t="shared" si="1"/>
        <v>9</v>
      </c>
      <c r="I7" s="61">
        <f t="shared" si="2"/>
        <v>18</v>
      </c>
      <c r="J7" s="61">
        <f t="shared" si="3"/>
        <v>27</v>
      </c>
      <c r="K7" s="61">
        <f t="shared" si="4"/>
        <v>33</v>
      </c>
      <c r="L7" s="61" t="str">
        <f>IFERROR(VLOOKUP(MID(G7,J7,K7-J7),[5]skilldef!$C:$D,2,FALSE),"-") &amp; " / " &amp; IFERROR(VLOOKUP(MID(G7,H7,I7-H7),[5]skilldef!$A:$B,2,FALSE),"-")</f>
        <v>自分自身に / 状態異常耐性</v>
      </c>
      <c r="M7" s="61" t="str">
        <f t="shared" si="5"/>
        <v>none</v>
      </c>
      <c r="N7" s="46" t="str">
        <f>IFERROR(LEFT(M7,FIND("],",M7)+#REF!),M7)</f>
        <v>none</v>
      </c>
      <c r="O7" s="61" t="e">
        <f t="shared" si="6"/>
        <v>#VALUE!</v>
      </c>
      <c r="P7" s="61">
        <f t="shared" si="7"/>
        <v>4</v>
      </c>
      <c r="Q7" s="61" t="e">
        <f t="shared" si="8"/>
        <v>#VALUE!</v>
      </c>
      <c r="R7" s="61" t="e">
        <f t="shared" si="9"/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6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</row>
    <row r="8" spans="1:28" ht="21" customHeight="1" x14ac:dyDescent="0.15">
      <c r="A8" s="45">
        <v>41007007</v>
      </c>
      <c r="B8" s="45" t="s">
        <v>339</v>
      </c>
      <c r="C8" s="48">
        <v>3</v>
      </c>
      <c r="D8" s="48" t="s">
        <v>227</v>
      </c>
      <c r="E8" s="49" t="s">
        <v>228</v>
      </c>
      <c r="F8" s="49" t="s">
        <v>338</v>
      </c>
      <c r="G8" s="61" t="str">
        <f t="shared" si="0"/>
        <v>[effect:enhance_enemy, target:myself, turn:-1, status:attack, val:0.3, calc:mul, animation:enemy_enhance_attack]</v>
      </c>
      <c r="H8" s="61">
        <f t="shared" si="1"/>
        <v>9</v>
      </c>
      <c r="I8" s="61">
        <f t="shared" si="2"/>
        <v>22</v>
      </c>
      <c r="J8" s="61">
        <f t="shared" si="3"/>
        <v>31</v>
      </c>
      <c r="K8" s="61">
        <f t="shared" si="4"/>
        <v>37</v>
      </c>
      <c r="L8" s="61" t="str">
        <f>IFERROR(VLOOKUP(MID(G8,J8,K8-J8),[5]skilldef!$C:$D,2,FALSE),"-") &amp; " / " &amp; IFERROR(VLOOKUP(MID(G8,H8,I8-H8),[5]skilldef!$A:$B,2,FALSE),"-")</f>
        <v>自分自身に / ステータス強化</v>
      </c>
      <c r="M8" s="61" t="str">
        <f t="shared" si="5"/>
        <v>none</v>
      </c>
      <c r="N8" s="46" t="str">
        <f>IFERROR(LEFT(M8,FIND("],",M8)+#REF!),M8)</f>
        <v>none</v>
      </c>
      <c r="O8" s="61" t="e">
        <f t="shared" si="6"/>
        <v>#VALUE!</v>
      </c>
      <c r="P8" s="61">
        <f t="shared" si="7"/>
        <v>4</v>
      </c>
      <c r="Q8" s="61" t="e">
        <f t="shared" si="8"/>
        <v>#VALUE!</v>
      </c>
      <c r="R8" s="61" t="e">
        <f t="shared" si="9"/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6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</row>
    <row r="9" spans="1:28" ht="21" customHeight="1" x14ac:dyDescent="0.15">
      <c r="A9" s="45">
        <v>41007008</v>
      </c>
      <c r="B9" s="45" t="s">
        <v>229</v>
      </c>
      <c r="C9" s="48">
        <v>3</v>
      </c>
      <c r="D9" s="48" t="s">
        <v>213</v>
      </c>
      <c r="E9" s="49" t="s">
        <v>230</v>
      </c>
      <c r="F9" s="49" t="s">
        <v>337</v>
      </c>
      <c r="G9" s="61" t="str">
        <f t="shared" si="0"/>
        <v>[effect:rush, count:20, val:0.1]</v>
      </c>
      <c r="H9" s="61">
        <f t="shared" si="1"/>
        <v>9</v>
      </c>
      <c r="I9" s="61">
        <f t="shared" si="2"/>
        <v>13</v>
      </c>
      <c r="J9" s="61" t="e">
        <f t="shared" si="3"/>
        <v>#VALUE!</v>
      </c>
      <c r="K9" s="61">
        <f t="shared" si="4"/>
        <v>23</v>
      </c>
      <c r="L9" s="61" t="str">
        <f>IFERROR(VLOOKUP(MID(G9,J9,K9-J9),[5]skilldef!$C:$D,2,FALSE),"-") &amp; " / " &amp; IFERROR(VLOOKUP(MID(G9,H9,I9-H9),[5]skilldef!$A:$B,2,FALSE),"-")</f>
        <v>- / 連続攻撃</v>
      </c>
      <c r="M9" s="61" t="str">
        <f t="shared" si="5"/>
        <v>none</v>
      </c>
      <c r="N9" s="46" t="str">
        <f>IFERROR(LEFT(M9,FIND("],",M9)+S15),M9)</f>
        <v>none</v>
      </c>
      <c r="O9" s="61" t="e">
        <f t="shared" si="6"/>
        <v>#VALUE!</v>
      </c>
      <c r="P9" s="61">
        <f t="shared" si="7"/>
        <v>4</v>
      </c>
      <c r="Q9" s="61" t="e">
        <f t="shared" si="8"/>
        <v>#VALUE!</v>
      </c>
      <c r="R9" s="61" t="e">
        <f t="shared" si="9"/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10"/>
        <v>none</v>
      </c>
      <c r="U9" s="61" t="e">
        <f t="shared" si="11"/>
        <v>#VALUE!</v>
      </c>
      <c r="V9" s="61">
        <f t="shared" si="12"/>
        <v>4</v>
      </c>
      <c r="W9" s="61" t="e">
        <f t="shared" si="13"/>
        <v>#VALUE!</v>
      </c>
      <c r="X9" s="61" t="e">
        <f t="shared" si="14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1" customHeight="1" x14ac:dyDescent="0.15">
      <c r="A10" s="45">
        <v>41007009</v>
      </c>
      <c r="B10" s="45" t="s">
        <v>231</v>
      </c>
      <c r="C10" s="48">
        <v>3</v>
      </c>
      <c r="D10" s="48" t="s">
        <v>213</v>
      </c>
      <c r="E10" s="49" t="s">
        <v>232</v>
      </c>
      <c r="F10" s="49" t="s">
        <v>336</v>
      </c>
      <c r="G10" s="61" t="str">
        <f t="shared" si="0"/>
        <v>[effect:enemy_counter, target:myself, invoke_condition:unit_all, counter_target:attacker, turn:3, val:1, animation:enemy_counter]</v>
      </c>
      <c r="H10" s="61">
        <f t="shared" si="1"/>
        <v>9</v>
      </c>
      <c r="I10" s="61">
        <f t="shared" si="2"/>
        <v>22</v>
      </c>
      <c r="J10" s="61">
        <f t="shared" si="3"/>
        <v>31</v>
      </c>
      <c r="K10" s="61">
        <f t="shared" si="4"/>
        <v>37</v>
      </c>
      <c r="L10" s="61" t="str">
        <f>IFERROR(VLOOKUP(MID(G10,J10,K10-J10),[5]skilldef!$C:$D,2,FALSE),"-") &amp; " / " &amp; IFERROR(VLOOKUP(MID(G10,H10,I10-H10),[5]skilldef!$A:$B,2,FALSE),"-")</f>
        <v>自分自身に / カウンター</v>
      </c>
      <c r="M10" s="61" t="str">
        <f t="shared" si="5"/>
        <v>none</v>
      </c>
      <c r="N10" s="46" t="str">
        <f>IFERROR(LEFT(M10,FIND("],",M10)+S16),M10)</f>
        <v>none</v>
      </c>
      <c r="O10" s="61" t="e">
        <f t="shared" si="6"/>
        <v>#VALUE!</v>
      </c>
      <c r="P10" s="61">
        <f t="shared" si="7"/>
        <v>4</v>
      </c>
      <c r="Q10" s="61" t="e">
        <f t="shared" si="8"/>
        <v>#VALUE!</v>
      </c>
      <c r="R10" s="61" t="e">
        <f t="shared" si="9"/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</row>
    <row r="11" spans="1:28" ht="21" customHeight="1" x14ac:dyDescent="0.15">
      <c r="A11" s="45">
        <v>41007010</v>
      </c>
      <c r="B11" s="45" t="s">
        <v>212</v>
      </c>
      <c r="C11" s="48">
        <v>3</v>
      </c>
      <c r="D11" s="48" t="s">
        <v>213</v>
      </c>
      <c r="E11" s="49" t="s">
        <v>233</v>
      </c>
      <c r="F11" s="49" t="s">
        <v>234</v>
      </c>
      <c r="G11" s="61" t="str">
        <f t="shared" si="0"/>
        <v>[effect:nothing]</v>
      </c>
      <c r="H11" s="61">
        <f t="shared" si="1"/>
        <v>9</v>
      </c>
      <c r="I11" s="61">
        <f t="shared" si="2"/>
        <v>16</v>
      </c>
      <c r="J11" s="61" t="e">
        <f t="shared" si="3"/>
        <v>#VALUE!</v>
      </c>
      <c r="K11" s="61" t="e">
        <f t="shared" si="4"/>
        <v>#VALUE!</v>
      </c>
      <c r="L11" s="61" t="str">
        <f>IFERROR(VLOOKUP(MID(G11,J11,K11-J11),[5]skilldef!$C:$D,2,FALSE),"-") &amp; " / " &amp; IFERROR(VLOOKUP(MID(G11,H11,I11-H11),[5]skilldef!$A:$B,2,FALSE),"-")</f>
        <v>- / 何もしない</v>
      </c>
      <c r="M11" s="61" t="str">
        <f t="shared" si="5"/>
        <v>none</v>
      </c>
      <c r="N11" s="46" t="str">
        <f>IFERROR(LEFT(M11,FIND("],",M11)+S17),M11)</f>
        <v>none</v>
      </c>
      <c r="O11" s="61" t="e">
        <f t="shared" si="6"/>
        <v>#VALUE!</v>
      </c>
      <c r="P11" s="61">
        <f t="shared" si="7"/>
        <v>4</v>
      </c>
      <c r="Q11" s="61" t="e">
        <f t="shared" si="8"/>
        <v>#VALUE!</v>
      </c>
      <c r="R11" s="61" t="e">
        <f t="shared" si="9"/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</row>
    <row r="12" spans="1:28" ht="21" customHeight="1" x14ac:dyDescent="0.15">
      <c r="A12" s="45">
        <v>41007011</v>
      </c>
      <c r="B12" s="45" t="s">
        <v>387</v>
      </c>
      <c r="C12" s="48">
        <v>3</v>
      </c>
      <c r="D12" s="48" t="s">
        <v>213</v>
      </c>
      <c r="E12" s="49" t="s">
        <v>235</v>
      </c>
      <c r="F12" s="49" t="s">
        <v>335</v>
      </c>
      <c r="G12" s="61" t="str">
        <f t="shared" si="0"/>
        <v>[effect:force_change_block, new_block:jammer, target:block_all, ignore01:block_positive, ignore02:block_negative, count:3, val:0]</v>
      </c>
      <c r="H12" s="61">
        <f t="shared" si="1"/>
        <v>9</v>
      </c>
      <c r="I12" s="61">
        <f t="shared" si="2"/>
        <v>27</v>
      </c>
      <c r="J12" s="61">
        <f t="shared" si="3"/>
        <v>54</v>
      </c>
      <c r="K12" s="61">
        <f t="shared" si="4"/>
        <v>45</v>
      </c>
      <c r="L12" s="61" t="str">
        <f>IFERROR(VLOOKUP(MID(G12,J12,K12-J12),[5]skilldef!$C:$D,2,FALSE),"-") &amp; " / " &amp; IFERROR(VLOOKUP(MID(G12,H12,I12-H12),[5]skilldef!$A:$B,2,FALSE),"-")</f>
        <v>- / -</v>
      </c>
      <c r="M12" s="61" t="str">
        <f t="shared" si="5"/>
        <v>[effect:critical, val:1.0]</v>
      </c>
      <c r="N12" s="46" t="str">
        <f>IFERROR(LEFT(M12,FIND("],",M12)+#REF!),M12)</f>
        <v>[effect:critical, val:1.0]</v>
      </c>
      <c r="O12" s="61">
        <f t="shared" si="6"/>
        <v>9</v>
      </c>
      <c r="P12" s="61">
        <f t="shared" si="7"/>
        <v>17</v>
      </c>
      <c r="Q12" s="61" t="e">
        <f t="shared" si="8"/>
        <v>#VALUE!</v>
      </c>
      <c r="R12" s="61" t="e">
        <f t="shared" si="9"/>
        <v>#VALUE!</v>
      </c>
      <c r="S12" s="61" t="str">
        <f>IFERROR(VLOOKUP(MID(N12,Q12,R12-Q12),[5]skilldef!$C:$D,2,FALSE),"-") &amp; " / " &amp; IFERROR(VLOOKUP(MID(N12,O12,P12-O12),[5]skilldef!$A:$B,2,FALSE),"-")</f>
        <v>- / 大攻撃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</row>
    <row r="13" spans="1:28" ht="21" customHeight="1" x14ac:dyDescent="0.15">
      <c r="A13" s="45">
        <v>41007012</v>
      </c>
      <c r="B13" s="45" t="s">
        <v>388</v>
      </c>
      <c r="C13" s="48">
        <v>3</v>
      </c>
      <c r="D13" s="48" t="s">
        <v>213</v>
      </c>
      <c r="E13" s="49" t="s">
        <v>236</v>
      </c>
      <c r="F13" s="49" t="s">
        <v>334</v>
      </c>
      <c r="G13" s="61" t="str">
        <f t="shared" si="0"/>
        <v>[effect:force_change_block, new_block:jammer, target:block_all, ignore01:block_positive, ignore02:block_negative, count:6, val:0]</v>
      </c>
      <c r="H13" s="61">
        <f t="shared" si="1"/>
        <v>9</v>
      </c>
      <c r="I13" s="61">
        <f t="shared" si="2"/>
        <v>27</v>
      </c>
      <c r="J13" s="61">
        <f t="shared" si="3"/>
        <v>54</v>
      </c>
      <c r="K13" s="61">
        <f t="shared" si="4"/>
        <v>45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 t="shared" si="5"/>
        <v>[effect:critical, val:1.3]</v>
      </c>
      <c r="N13" s="46" t="str">
        <f>IFERROR(LEFT(M13,FIND("],",M13)+S18),M13)</f>
        <v>[effect:critical, val:1.3]</v>
      </c>
      <c r="O13" s="61">
        <f t="shared" si="6"/>
        <v>9</v>
      </c>
      <c r="P13" s="61">
        <f t="shared" si="7"/>
        <v>17</v>
      </c>
      <c r="Q13" s="61" t="e">
        <f t="shared" si="8"/>
        <v>#VALUE!</v>
      </c>
      <c r="R13" s="61" t="e">
        <f t="shared" si="9"/>
        <v>#VALUE!</v>
      </c>
      <c r="S13" s="61" t="str">
        <f>IFERROR(VLOOKUP(MID(N13,Q13,R13-Q13),[5]skilldef!$C:$D,2,FALSE),"-") &amp; " / " &amp; IFERROR(VLOOKUP(MID(N13,O13,P13-O13),[5]skilldef!$A:$B,2,FALSE),"-")</f>
        <v>- / 大攻撃</v>
      </c>
      <c r="T13" s="46" t="str">
        <f t="shared" si="10"/>
        <v>none</v>
      </c>
      <c r="U13" s="61" t="e">
        <f t="shared" si="11"/>
        <v>#VALUE!</v>
      </c>
      <c r="V13" s="61">
        <f t="shared" si="12"/>
        <v>4</v>
      </c>
      <c r="W13" s="61" t="e">
        <f t="shared" si="13"/>
        <v>#VALUE!</v>
      </c>
      <c r="X13" s="61" t="e">
        <f t="shared" si="14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50"/>
      <c r="AB13" s="48"/>
    </row>
    <row r="14" spans="1:28" ht="21" customHeight="1" x14ac:dyDescent="0.15">
      <c r="A14" s="45">
        <v>41007013</v>
      </c>
      <c r="B14" s="45" t="s">
        <v>237</v>
      </c>
      <c r="C14" s="48">
        <v>3</v>
      </c>
      <c r="D14" s="48" t="s">
        <v>213</v>
      </c>
      <c r="E14" s="49" t="s">
        <v>238</v>
      </c>
      <c r="F14" s="49" t="s">
        <v>333</v>
      </c>
      <c r="G14" s="61" t="str">
        <f t="shared" si="0"/>
        <v>[effect:freq_turn, target:myself, turn:-1, val:1, animation:enemy_freq_turn]</v>
      </c>
      <c r="H14" s="61">
        <f t="shared" si="1"/>
        <v>9</v>
      </c>
      <c r="I14" s="61">
        <f t="shared" si="2"/>
        <v>18</v>
      </c>
      <c r="J14" s="61">
        <f t="shared" si="3"/>
        <v>27</v>
      </c>
      <c r="K14" s="61">
        <f t="shared" si="4"/>
        <v>33</v>
      </c>
      <c r="L14" s="61" t="str">
        <f>IFERROR(VLOOKUP(MID(G14,J14,K14-J14),[5]skilldef!$C:$D,2,FALSE),"-") &amp; " / " &amp; IFERROR(VLOOKUP(MID(G14,H14,I14-H14),[5]skilldef!$A:$B,2,FALSE),"-")</f>
        <v>自分自身に / 攻撃頻度がUP</v>
      </c>
      <c r="M14" s="61" t="str">
        <f t="shared" si="5"/>
        <v>none</v>
      </c>
      <c r="N14" s="46" t="str">
        <f>IFERROR(LEFT(M14,FIND("],",M14)+S19),M14)</f>
        <v>none</v>
      </c>
      <c r="O14" s="61" t="e">
        <f t="shared" si="6"/>
        <v>#VALUE!</v>
      </c>
      <c r="P14" s="61">
        <f t="shared" si="7"/>
        <v>4</v>
      </c>
      <c r="Q14" s="61" t="e">
        <f t="shared" si="8"/>
        <v>#VALUE!</v>
      </c>
      <c r="R14" s="61" t="e">
        <f t="shared" si="9"/>
        <v>#VALUE!</v>
      </c>
      <c r="S14" s="61" t="str">
        <f>IFERROR(VLOOKUP(MID(N14,Q14,R14-Q14),[5]skilldef!$C:$D,2,FALSE),"-") &amp; " / " &amp; IFERROR(VLOOKUP(MID(N14,O14,P14-O14),[5]skilldef!$A:$B,2,FALSE),"-")</f>
        <v>- / -</v>
      </c>
      <c r="T14" s="46" t="str">
        <f t="shared" si="10"/>
        <v>none</v>
      </c>
      <c r="U14" s="61" t="e">
        <f t="shared" si="11"/>
        <v>#VALUE!</v>
      </c>
      <c r="V14" s="61">
        <f t="shared" si="12"/>
        <v>4</v>
      </c>
      <c r="W14" s="61" t="e">
        <f t="shared" si="13"/>
        <v>#VALUE!</v>
      </c>
      <c r="X14" s="61" t="e">
        <f t="shared" si="14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</row>
    <row r="15" spans="1:28" ht="21" customHeight="1" x14ac:dyDescent="0.15">
      <c r="A15" s="45">
        <v>41007014</v>
      </c>
      <c r="B15" s="45" t="s">
        <v>239</v>
      </c>
      <c r="C15" s="48">
        <v>3</v>
      </c>
      <c r="D15" s="48" t="s">
        <v>213</v>
      </c>
      <c r="E15" s="49" t="s">
        <v>240</v>
      </c>
      <c r="F15" s="49" t="s">
        <v>332</v>
      </c>
      <c r="G15" s="61" t="str">
        <f t="shared" si="0"/>
        <v>[effect:break_attack_fix, val:1250, lowest_val:666, count:-1, block:jammer, target:unit_one]</v>
      </c>
      <c r="H15" s="61">
        <f t="shared" si="1"/>
        <v>9</v>
      </c>
      <c r="I15" s="61">
        <f t="shared" si="2"/>
        <v>25</v>
      </c>
      <c r="J15" s="61">
        <f t="shared" si="3"/>
        <v>84</v>
      </c>
      <c r="K15" s="61">
        <f t="shared" si="4"/>
        <v>35</v>
      </c>
      <c r="L15" s="61" t="str">
        <f>IFERROR(VLOOKUP(MID(G15,J15,K15-J15),[5]skilldef!$C:$D,2,FALSE),"-") &amp; " / " &amp; IFERROR(VLOOKUP(MID(G15,H15,I15-H15),[5]skilldef!$A:$B,2,FALSE),"-")</f>
        <v>- / -</v>
      </c>
      <c r="M15" s="61" t="str">
        <f t="shared" si="5"/>
        <v>none</v>
      </c>
      <c r="N15" s="46" t="str">
        <f>IFERROR(LEFT(M15,FIND("],",M15)+#REF!),M15)</f>
        <v>none</v>
      </c>
      <c r="O15" s="61" t="e">
        <f t="shared" si="6"/>
        <v>#VALUE!</v>
      </c>
      <c r="P15" s="61">
        <f t="shared" si="7"/>
        <v>4</v>
      </c>
      <c r="Q15" s="61" t="e">
        <f t="shared" si="8"/>
        <v>#VALUE!</v>
      </c>
      <c r="R15" s="61" t="e">
        <f t="shared" si="9"/>
        <v>#VALUE!</v>
      </c>
      <c r="S15" s="61" t="str">
        <f>IFERROR(VLOOKUP(MID(N15,Q15,R15-Q15),[5]skilldef!$C:$D,2,FALSE),"-") &amp; " / " &amp; IFERROR(VLOOKUP(MID(N15,O15,P15-O15),[5]skilldef!$A:$B,2,FALSE),"-")</f>
        <v>- / -</v>
      </c>
      <c r="T15" s="46" t="str">
        <f t="shared" si="10"/>
        <v>none</v>
      </c>
      <c r="U15" s="61" t="e">
        <f t="shared" si="11"/>
        <v>#VALUE!</v>
      </c>
      <c r="V15" s="61">
        <f t="shared" si="12"/>
        <v>4</v>
      </c>
      <c r="W15" s="61" t="e">
        <f t="shared" si="13"/>
        <v>#VALUE!</v>
      </c>
      <c r="X15" s="61" t="e">
        <f t="shared" si="14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21" customHeight="1" x14ac:dyDescent="0.15">
      <c r="A16" s="45">
        <v>41007015</v>
      </c>
      <c r="B16" s="45" t="s">
        <v>241</v>
      </c>
      <c r="C16" s="48">
        <v>3</v>
      </c>
      <c r="D16" s="48" t="s">
        <v>213</v>
      </c>
      <c r="E16" s="49" t="s">
        <v>242</v>
      </c>
      <c r="F16" s="49" t="s">
        <v>331</v>
      </c>
      <c r="G16" s="61" t="str">
        <f t="shared" si="0"/>
        <v>[effect:damage_anti_tribe, target:unit_all, tribe:human, val1:1.3, val2:0.1]</v>
      </c>
      <c r="H16" s="61">
        <f t="shared" si="1"/>
        <v>9</v>
      </c>
      <c r="I16" s="61">
        <f t="shared" si="2"/>
        <v>26</v>
      </c>
      <c r="J16" s="61">
        <f t="shared" si="3"/>
        <v>35</v>
      </c>
      <c r="K16" s="61">
        <f t="shared" si="4"/>
        <v>43</v>
      </c>
      <c r="L16" s="61" t="str">
        <f>IFERROR(VLOOKUP(MID(G16,J16,K16-J16),[5]skilldef!$C:$D,2,FALSE),"-") &amp; " / " &amp; IFERROR(VLOOKUP(MID(G16,H16,I16-H16),[5]skilldef!$A:$B,2,FALSE),"-")</f>
        <v>味方全体に / 種族キラー</v>
      </c>
      <c r="M16" s="61" t="str">
        <f t="shared" si="5"/>
        <v>none</v>
      </c>
      <c r="N16" s="46" t="str">
        <f>IFERROR(LEFT(M16,FIND("],",M16)+S22),M16)</f>
        <v>none</v>
      </c>
      <c r="O16" s="61" t="e">
        <f t="shared" si="6"/>
        <v>#VALUE!</v>
      </c>
      <c r="P16" s="61">
        <f t="shared" si="7"/>
        <v>4</v>
      </c>
      <c r="Q16" s="61" t="e">
        <f t="shared" si="8"/>
        <v>#VALUE!</v>
      </c>
      <c r="R16" s="61" t="e">
        <f t="shared" si="9"/>
        <v>#VALUE!</v>
      </c>
      <c r="S16" s="61" t="str">
        <f>IFERROR(VLOOKUP(MID(N16,Q16,R16-Q16),[5]skilldef!$C:$D,2,FALSE),"-") &amp; " / " &amp; IFERROR(VLOOKUP(MID(N16,O16,P16-O16),[5]skilldef!$A:$B,2,FALSE),"-")</f>
        <v>- / -</v>
      </c>
      <c r="T16" s="46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</row>
    <row r="17" spans="1:28" ht="21" customHeight="1" x14ac:dyDescent="0.15">
      <c r="A17" s="45">
        <v>41007016</v>
      </c>
      <c r="B17" s="45" t="s">
        <v>367</v>
      </c>
      <c r="C17" s="48">
        <v>3</v>
      </c>
      <c r="D17" s="48" t="s">
        <v>213</v>
      </c>
      <c r="E17" s="49" t="s">
        <v>243</v>
      </c>
      <c r="F17" s="49" t="s">
        <v>366</v>
      </c>
      <c r="G17" s="61" t="str">
        <f t="shared" si="0"/>
        <v>[effect:enhance_enemy, target:myself, turn:-1, status:attack, val:0.3, calc:mul, animation:enemy_enhance_attack]</v>
      </c>
      <c r="H17" s="61">
        <f t="shared" si="1"/>
        <v>9</v>
      </c>
      <c r="I17" s="61">
        <f t="shared" si="2"/>
        <v>22</v>
      </c>
      <c r="J17" s="61">
        <f t="shared" si="3"/>
        <v>31</v>
      </c>
      <c r="K17" s="61">
        <f t="shared" si="4"/>
        <v>37</v>
      </c>
      <c r="L17" s="61" t="str">
        <f>IFERROR(VLOOKUP(MID(G17,J17,K17-J17),[5]skilldef!$C:$D,2,FALSE),"-") &amp; " / " &amp; IFERROR(VLOOKUP(MID(G17,H17,I17-H17),[5]skilldef!$A:$B,2,FALSE),"-")</f>
        <v>自分自身に / ステータス強化</v>
      </c>
      <c r="M17" s="61" t="str">
        <f t="shared" si="5"/>
        <v>none</v>
      </c>
      <c r="N17" s="46" t="str">
        <f>IFERROR(LEFT(M17,FIND("],",M17)+S24),M17)</f>
        <v>none</v>
      </c>
      <c r="O17" s="61" t="e">
        <f t="shared" si="6"/>
        <v>#VALUE!</v>
      </c>
      <c r="P17" s="61">
        <f t="shared" si="7"/>
        <v>4</v>
      </c>
      <c r="Q17" s="61" t="e">
        <f t="shared" si="8"/>
        <v>#VALUE!</v>
      </c>
      <c r="R17" s="61" t="e">
        <f t="shared" si="9"/>
        <v>#VALUE!</v>
      </c>
      <c r="S17" s="61" t="str">
        <f>IFERROR(VLOOKUP(MID(N17,Q17,R17-Q17),[5]skilldef!$C:$D,2,FALSE),"-") &amp; " / " &amp; IFERROR(VLOOKUP(MID(N17,O17,P17-O17),[5]skilldef!$A:$B,2,FALSE),"-")</f>
        <v>- / -</v>
      </c>
      <c r="T17" s="46" t="str">
        <f t="shared" si="10"/>
        <v>none</v>
      </c>
      <c r="U17" s="61" t="e">
        <f t="shared" si="11"/>
        <v>#VALUE!</v>
      </c>
      <c r="V17" s="61">
        <f t="shared" si="12"/>
        <v>4</v>
      </c>
      <c r="W17" s="61" t="e">
        <f t="shared" si="13"/>
        <v>#VALUE!</v>
      </c>
      <c r="X17" s="61" t="e">
        <f t="shared" si="14"/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</row>
    <row r="18" spans="1:28" ht="21" customHeight="1" x14ac:dyDescent="0.15">
      <c r="A18" s="45">
        <v>41007017</v>
      </c>
      <c r="B18" s="45" t="s">
        <v>244</v>
      </c>
      <c r="C18" s="48">
        <v>3</v>
      </c>
      <c r="D18" s="48" t="s">
        <v>213</v>
      </c>
      <c r="E18" s="49" t="s">
        <v>245</v>
      </c>
      <c r="F18" s="49" t="s">
        <v>330</v>
      </c>
      <c r="G18" s="61" t="str">
        <f t="shared" si="0"/>
        <v>[effect:critical, val:1.5]</v>
      </c>
      <c r="H18" s="61">
        <f t="shared" si="1"/>
        <v>9</v>
      </c>
      <c r="I18" s="61">
        <f t="shared" si="2"/>
        <v>17</v>
      </c>
      <c r="J18" s="61" t="e">
        <f t="shared" si="3"/>
        <v>#VALUE!</v>
      </c>
      <c r="K18" s="61" t="e">
        <f t="shared" si="4"/>
        <v>#VALUE!</v>
      </c>
      <c r="L18" s="61" t="str">
        <f>IFERROR(VLOOKUP(MID(G18,J18,K18-J18),[5]skilldef!$C:$D,2,FALSE),"-") &amp; " / " &amp; IFERROR(VLOOKUP(MID(G18,H18,I18-H18),[5]skilldef!$A:$B,2,FALSE),"-")</f>
        <v>- / 大攻撃</v>
      </c>
      <c r="M18" s="61" t="str">
        <f t="shared" si="5"/>
        <v>none</v>
      </c>
      <c r="N18" s="46" t="str">
        <f>IFERROR(LEFT(M18,FIND("],",M18)+#REF!),M18)</f>
        <v>none</v>
      </c>
      <c r="O18" s="61" t="e">
        <f t="shared" si="6"/>
        <v>#VALUE!</v>
      </c>
      <c r="P18" s="61">
        <f t="shared" si="7"/>
        <v>4</v>
      </c>
      <c r="Q18" s="61" t="e">
        <f t="shared" si="8"/>
        <v>#VALUE!</v>
      </c>
      <c r="R18" s="61" t="e">
        <f t="shared" si="9"/>
        <v>#VALUE!</v>
      </c>
      <c r="S18" s="61" t="str">
        <f>IFERROR(VLOOKUP(MID(N18,Q18,R18-Q18),[5]skilldef!$C:$D,2,FALSE),"-") &amp; " / " &amp; IFERROR(VLOOKUP(MID(N18,O18,P18-O18),[5]skilldef!$A:$B,2,FALSE),"-")</f>
        <v>- / -</v>
      </c>
      <c r="T18" s="46" t="str">
        <f t="shared" si="10"/>
        <v>none</v>
      </c>
      <c r="U18" s="61" t="e">
        <f t="shared" si="11"/>
        <v>#VALUE!</v>
      </c>
      <c r="V18" s="61">
        <f t="shared" si="12"/>
        <v>4</v>
      </c>
      <c r="W18" s="61" t="e">
        <f t="shared" si="13"/>
        <v>#VALUE!</v>
      </c>
      <c r="X18" s="61" t="e">
        <f t="shared" si="14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</row>
    <row r="19" spans="1:28" ht="21" customHeight="1" x14ac:dyDescent="0.15">
      <c r="A19" s="45">
        <v>41007018</v>
      </c>
      <c r="B19" s="45" t="s">
        <v>246</v>
      </c>
      <c r="C19" s="48">
        <v>3</v>
      </c>
      <c r="D19" s="48" t="s">
        <v>213</v>
      </c>
      <c r="E19" s="49" t="s">
        <v>247</v>
      </c>
      <c r="F19" s="49" t="s">
        <v>248</v>
      </c>
      <c r="G19" s="61" t="str">
        <f t="shared" si="0"/>
        <v>[effect:spread, val:0.4]</v>
      </c>
      <c r="H19" s="61">
        <f t="shared" si="1"/>
        <v>9</v>
      </c>
      <c r="I19" s="61">
        <f t="shared" si="2"/>
        <v>15</v>
      </c>
      <c r="J19" s="61" t="e">
        <f t="shared" si="3"/>
        <v>#VALUE!</v>
      </c>
      <c r="K19" s="61" t="e">
        <f t="shared" si="4"/>
        <v>#VALUE!</v>
      </c>
      <c r="L19" s="61" t="str">
        <f>IFERROR(VLOOKUP(MID(G19,J19,K19-J19),[5]skilldef!$C:$D,2,FALSE),"-") &amp; " / " &amp; IFERROR(VLOOKUP(MID(G19,H19,I19-H19),[5]skilldef!$A:$B,2,FALSE),"-")</f>
        <v>- / 全体攻撃</v>
      </c>
      <c r="M19" s="61" t="str">
        <f t="shared" si="5"/>
        <v>none</v>
      </c>
      <c r="N19" s="46" t="str">
        <f>IFERROR(LEFT(M19,FIND("],",M19)+S26),M19)</f>
        <v>none</v>
      </c>
      <c r="O19" s="61" t="e">
        <f t="shared" si="6"/>
        <v>#VALUE!</v>
      </c>
      <c r="P19" s="61">
        <f t="shared" si="7"/>
        <v>4</v>
      </c>
      <c r="Q19" s="61" t="e">
        <f t="shared" si="8"/>
        <v>#VALUE!</v>
      </c>
      <c r="R19" s="61" t="e">
        <f t="shared" si="9"/>
        <v>#VALUE!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</row>
    <row r="20" spans="1:28" ht="21" customHeight="1" x14ac:dyDescent="0.15">
      <c r="A20" s="45">
        <v>41007019</v>
      </c>
      <c r="B20" s="45" t="s">
        <v>249</v>
      </c>
      <c r="C20" s="48">
        <v>3</v>
      </c>
      <c r="D20" s="48" t="s">
        <v>213</v>
      </c>
      <c r="E20" s="49" t="s">
        <v>250</v>
      </c>
      <c r="F20" s="49" t="s">
        <v>329</v>
      </c>
      <c r="G20" s="61" t="str">
        <f t="shared" si="0"/>
        <v>[effect:freq_turn, target:enemy_all, turn:3, val:1, animation:enemy_freq_turn]</v>
      </c>
      <c r="H20" s="61">
        <f t="shared" si="1"/>
        <v>9</v>
      </c>
      <c r="I20" s="61">
        <f t="shared" si="2"/>
        <v>18</v>
      </c>
      <c r="J20" s="61">
        <f t="shared" si="3"/>
        <v>27</v>
      </c>
      <c r="K20" s="61">
        <f t="shared" si="4"/>
        <v>36</v>
      </c>
      <c r="L20" s="61" t="str">
        <f>IFERROR(VLOOKUP(MID(G20,J20,K20-J20),[5]skilldef!$C:$D,2,FALSE),"-") &amp; " / " &amp; IFERROR(VLOOKUP(MID(G20,H20,I20-H20),[5]skilldef!$A:$B,2,FALSE),"-")</f>
        <v>敵全体に / 攻撃頻度がUP</v>
      </c>
      <c r="M20" s="61" t="str">
        <f t="shared" si="5"/>
        <v>none</v>
      </c>
      <c r="N20" s="46" t="str">
        <f>IFERROR(LEFT(M20,FIND("],",M20)+S27),M20)</f>
        <v>none</v>
      </c>
      <c r="O20" s="61" t="e">
        <f t="shared" si="6"/>
        <v>#VALUE!</v>
      </c>
      <c r="P20" s="61">
        <f t="shared" si="7"/>
        <v>4</v>
      </c>
      <c r="Q20" s="61" t="e">
        <f t="shared" si="8"/>
        <v>#VALUE!</v>
      </c>
      <c r="R20" s="61" t="e">
        <f t="shared" si="9"/>
        <v>#VALUE!</v>
      </c>
      <c r="S20" s="61" t="str">
        <f>IFERROR(VLOOKUP(MID(N20,Q20,R20-Q20),[5]skilldef!$C:$D,2,FALSE),"-") &amp; " / " &amp; IFERROR(VLOOKUP(MID(N20,O20,P20-O20),[5]skilldef!$A:$B,2,FALSE),"-")</f>
        <v>- / -</v>
      </c>
      <c r="T20" s="46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</row>
    <row r="21" spans="1:28" ht="21" customHeight="1" x14ac:dyDescent="0.15">
      <c r="A21" s="45">
        <v>41007020</v>
      </c>
      <c r="B21" s="45" t="s">
        <v>251</v>
      </c>
      <c r="C21" s="48">
        <v>3</v>
      </c>
      <c r="D21" s="48" t="s">
        <v>213</v>
      </c>
      <c r="E21" s="49" t="s">
        <v>252</v>
      </c>
      <c r="F21" s="49" t="s">
        <v>328</v>
      </c>
      <c r="G21" s="61" t="str">
        <f t="shared" si="0"/>
        <v>[effect:rush, count:4, val:0.3]</v>
      </c>
      <c r="H21" s="61">
        <f t="shared" si="1"/>
        <v>9</v>
      </c>
      <c r="I21" s="61">
        <f t="shared" si="2"/>
        <v>13</v>
      </c>
      <c r="J21" s="61" t="e">
        <f t="shared" si="3"/>
        <v>#VALUE!</v>
      </c>
      <c r="K21" s="61">
        <f t="shared" si="4"/>
        <v>22</v>
      </c>
      <c r="L21" s="61" t="str">
        <f>IFERROR(VLOOKUP(MID(G21,J21,K21-J21),[5]skilldef!$C:$D,2,FALSE),"-") &amp; " / " &amp; IFERROR(VLOOKUP(MID(G21,H21,I21-H21),[5]skilldef!$A:$B,2,FALSE),"-")</f>
        <v>- / 連続攻撃</v>
      </c>
      <c r="M21" s="61" t="str">
        <f t="shared" si="5"/>
        <v>none</v>
      </c>
      <c r="N21" s="46" t="str">
        <f>IFERROR(LEFT(M21,FIND("],",M21)+S28),M21)</f>
        <v>none</v>
      </c>
      <c r="O21" s="61" t="e">
        <f t="shared" si="6"/>
        <v>#VALUE!</v>
      </c>
      <c r="P21" s="61">
        <f t="shared" si="7"/>
        <v>4</v>
      </c>
      <c r="Q21" s="61" t="e">
        <f t="shared" si="8"/>
        <v>#VALUE!</v>
      </c>
      <c r="R21" s="61" t="e">
        <f t="shared" si="9"/>
        <v>#VALUE!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10"/>
        <v>none</v>
      </c>
      <c r="U21" s="61" t="e">
        <f t="shared" si="11"/>
        <v>#VALUE!</v>
      </c>
      <c r="V21" s="61">
        <f t="shared" si="12"/>
        <v>4</v>
      </c>
      <c r="W21" s="61" t="e">
        <f t="shared" si="13"/>
        <v>#VALUE!</v>
      </c>
      <c r="X21" s="61" t="e">
        <f t="shared" si="14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</row>
    <row r="22" spans="1:28" ht="21" customHeight="1" x14ac:dyDescent="0.15">
      <c r="A22" s="45">
        <v>41007021</v>
      </c>
      <c r="B22" s="45" t="s">
        <v>212</v>
      </c>
      <c r="C22" s="48">
        <v>3</v>
      </c>
      <c r="D22" s="48" t="s">
        <v>213</v>
      </c>
      <c r="E22" s="49" t="s">
        <v>253</v>
      </c>
      <c r="F22" s="49" t="s">
        <v>254</v>
      </c>
      <c r="G22" s="61" t="str">
        <f t="shared" si="0"/>
        <v>[effect:nothing]</v>
      </c>
      <c r="H22" s="61">
        <f t="shared" si="1"/>
        <v>9</v>
      </c>
      <c r="I22" s="61">
        <f t="shared" si="2"/>
        <v>16</v>
      </c>
      <c r="J22" s="61" t="e">
        <f t="shared" si="3"/>
        <v>#VALUE!</v>
      </c>
      <c r="K22" s="61" t="e">
        <f t="shared" si="4"/>
        <v>#VALUE!</v>
      </c>
      <c r="L22" s="61" t="str">
        <f>IFERROR(VLOOKUP(MID(G22,J22,K22-J22),[5]skilldef!$C:$D,2,FALSE),"-") &amp; " / " &amp; IFERROR(VLOOKUP(MID(G22,H22,I22-H22),[5]skilldef!$A:$B,2,FALSE),"-")</f>
        <v>- / 何もしない</v>
      </c>
      <c r="M22" s="61" t="str">
        <f t="shared" si="5"/>
        <v>none</v>
      </c>
      <c r="N22" s="46" t="str">
        <f>IFERROR(LEFT(M22,FIND("],",M22)+#REF!),M22)</f>
        <v>none</v>
      </c>
      <c r="O22" s="61" t="e">
        <f t="shared" si="6"/>
        <v>#VALUE!</v>
      </c>
      <c r="P22" s="61">
        <f t="shared" si="7"/>
        <v>4</v>
      </c>
      <c r="Q22" s="61" t="e">
        <f t="shared" si="8"/>
        <v>#VALUE!</v>
      </c>
      <c r="R22" s="61" t="e">
        <f t="shared" si="9"/>
        <v>#VALUE!</v>
      </c>
      <c r="S22" s="61" t="str">
        <f>IFERROR(VLOOKUP(MID(N22,Q22,R22-Q22),[5]skilldef!$C:$D,2,FALSE),"-") &amp; " / " &amp; IFERROR(VLOOKUP(MID(N22,O22,P22-O22),[5]skilldef!$A:$B,2,FALSE),"-")</f>
        <v>- / -</v>
      </c>
      <c r="T22" s="46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48"/>
    </row>
    <row r="23" spans="1:28" ht="21" customHeight="1" x14ac:dyDescent="0.15">
      <c r="A23" s="45">
        <v>41007022</v>
      </c>
      <c r="B23" s="45" t="s">
        <v>369</v>
      </c>
      <c r="C23" s="48">
        <v>3</v>
      </c>
      <c r="D23" s="48" t="s">
        <v>213</v>
      </c>
      <c r="E23" s="49" t="s">
        <v>255</v>
      </c>
      <c r="F23" s="49" t="s">
        <v>320</v>
      </c>
      <c r="G23" s="61" t="str">
        <f t="shared" si="0"/>
        <v>[effect:change_block, new_block:time_bomb, target:block_blue, count:3, val:0.3, min_time_count:2, max_time_count:2, animation:change_block]</v>
      </c>
      <c r="H23" s="61">
        <f t="shared" si="1"/>
        <v>9</v>
      </c>
      <c r="I23" s="61">
        <f t="shared" si="2"/>
        <v>21</v>
      </c>
      <c r="J23" s="61">
        <f t="shared" si="3"/>
        <v>51</v>
      </c>
      <c r="K23" s="61">
        <f t="shared" si="4"/>
        <v>42</v>
      </c>
      <c r="L23" s="61" t="str">
        <f>IFERROR(VLOOKUP(MID(G23,J23,K23-J23),[5]skilldef!$C:$D,2,FALSE),"-") &amp; " / " &amp; IFERROR(VLOOKUP(MID(G23,H23,I23-H23),[5]skilldef!$A:$B,2,FALSE),"-")</f>
        <v>- / ブロック変換</v>
      </c>
      <c r="M23" s="61" t="str">
        <f t="shared" si="5"/>
        <v>none</v>
      </c>
      <c r="N23" s="46" t="str">
        <f>IFERROR(LEFT(M23,FIND("],",M23)+#REF!),M23)</f>
        <v>none</v>
      </c>
      <c r="O23" s="61" t="e">
        <f t="shared" si="6"/>
        <v>#VALUE!</v>
      </c>
      <c r="P23" s="61">
        <f t="shared" si="7"/>
        <v>4</v>
      </c>
      <c r="Q23" s="61" t="e">
        <f t="shared" si="8"/>
        <v>#VALUE!</v>
      </c>
      <c r="R23" s="61" t="e">
        <f t="shared" si="9"/>
        <v>#VALUE!</v>
      </c>
      <c r="S23" s="61" t="str">
        <f>IFERROR(VLOOKUP(MID(N23,Q23,R23-Q23),[5]skilldef!$C:$D,2,FALSE),"-") &amp; " / " &amp; IFERROR(VLOOKUP(MID(N23,O23,P23-O23),[5]skilldef!$A:$B,2,FALSE),"-")</f>
        <v>- / -</v>
      </c>
      <c r="T23" s="46" t="str">
        <f t="shared" si="10"/>
        <v>none</v>
      </c>
      <c r="U23" s="61" t="e">
        <f t="shared" si="11"/>
        <v>#VALUE!</v>
      </c>
      <c r="V23" s="61">
        <f t="shared" si="12"/>
        <v>4</v>
      </c>
      <c r="W23" s="61" t="e">
        <f t="shared" si="13"/>
        <v>#VALUE!</v>
      </c>
      <c r="X23" s="61" t="e">
        <f t="shared" si="14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50"/>
      <c r="AB23" s="48"/>
    </row>
    <row r="24" spans="1:28" ht="21" customHeight="1" x14ac:dyDescent="0.15">
      <c r="A24" s="45">
        <v>41007023</v>
      </c>
      <c r="B24" s="45" t="s">
        <v>256</v>
      </c>
      <c r="C24" s="48">
        <v>3</v>
      </c>
      <c r="D24" s="48" t="s">
        <v>213</v>
      </c>
      <c r="E24" s="49" t="s">
        <v>257</v>
      </c>
      <c r="F24" s="49" t="s">
        <v>327</v>
      </c>
      <c r="G24" s="61" t="str">
        <f t="shared" si="0"/>
        <v xml:space="preserve">[effect:rush, count:6, val:0.2]    </v>
      </c>
      <c r="H24" s="61">
        <f t="shared" si="1"/>
        <v>9</v>
      </c>
      <c r="I24" s="61">
        <f t="shared" si="2"/>
        <v>13</v>
      </c>
      <c r="J24" s="61" t="e">
        <f t="shared" si="3"/>
        <v>#VALUE!</v>
      </c>
      <c r="K24" s="61">
        <f t="shared" si="4"/>
        <v>22</v>
      </c>
      <c r="L24" s="61" t="str">
        <f>IFERROR(VLOOKUP(MID(G24,J24,K24-J24),[5]skilldef!$C:$D,2,FALSE),"-") &amp; " / " &amp; IFERROR(VLOOKUP(MID(G24,H24,I24-H24),[5]skilldef!$A:$B,2,FALSE),"-")</f>
        <v>- / 連続攻撃</v>
      </c>
      <c r="M24" s="61" t="str">
        <f t="shared" si="5"/>
        <v>none</v>
      </c>
      <c r="N24" s="46" t="str">
        <f>IFERROR(LEFT(M24,FIND("],",M24)+S31),M24)</f>
        <v>none</v>
      </c>
      <c r="O24" s="61" t="e">
        <f t="shared" si="6"/>
        <v>#VALUE!</v>
      </c>
      <c r="P24" s="61">
        <f t="shared" si="7"/>
        <v>4</v>
      </c>
      <c r="Q24" s="61" t="e">
        <f t="shared" si="8"/>
        <v>#VALUE!</v>
      </c>
      <c r="R24" s="61" t="e">
        <f t="shared" si="9"/>
        <v>#VALUE!</v>
      </c>
      <c r="S24" s="61" t="str">
        <f>IFERROR(VLOOKUP(MID(N24,Q24,R24-Q24),[5]skilldef!$C:$D,2,FALSE),"-") &amp; " / " &amp; IFERROR(VLOOKUP(MID(N24,O24,P24-O24),[5]skilldef!$A:$B,2,FALSE),"-")</f>
        <v>- / -</v>
      </c>
      <c r="T24" s="46" t="str">
        <f t="shared" si="10"/>
        <v>none</v>
      </c>
      <c r="U24" s="61" t="e">
        <f t="shared" si="11"/>
        <v>#VALUE!</v>
      </c>
      <c r="V24" s="61">
        <f t="shared" si="12"/>
        <v>4</v>
      </c>
      <c r="W24" s="61" t="e">
        <f t="shared" si="13"/>
        <v>#VALUE!</v>
      </c>
      <c r="X24" s="61" t="e">
        <f t="shared" si="14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21" customHeight="1" x14ac:dyDescent="0.15">
      <c r="A25" s="45">
        <v>41007024</v>
      </c>
      <c r="B25" s="45" t="s">
        <v>258</v>
      </c>
      <c r="C25" s="48">
        <v>3</v>
      </c>
      <c r="D25" s="48" t="s">
        <v>213</v>
      </c>
      <c r="E25" s="49" t="s">
        <v>259</v>
      </c>
      <c r="F25" s="49" t="s">
        <v>324</v>
      </c>
      <c r="G25" s="61" t="str">
        <f t="shared" si="0"/>
        <v xml:space="preserve">[effect:enhance_enemy, target:myself, turn:4, status:defense, val:4000, calc:add, animation:enemy_enhance_defense]    </v>
      </c>
      <c r="H25" s="61">
        <f t="shared" si="1"/>
        <v>9</v>
      </c>
      <c r="I25" s="61">
        <f t="shared" si="2"/>
        <v>22</v>
      </c>
      <c r="J25" s="61">
        <f t="shared" si="3"/>
        <v>31</v>
      </c>
      <c r="K25" s="61">
        <f t="shared" si="4"/>
        <v>37</v>
      </c>
      <c r="L25" s="61" t="str">
        <f>IFERROR(VLOOKUP(MID(G25,J25,K25-J25),[5]skilldef!$C:$D,2,FALSE),"-") &amp; " / " &amp; IFERROR(VLOOKUP(MID(G25,H25,I25-H25),[5]skilldef!$A:$B,2,FALSE),"-")</f>
        <v>自分自身に / ステータス強化</v>
      </c>
      <c r="M25" s="61" t="str">
        <f t="shared" si="5"/>
        <v>none</v>
      </c>
      <c r="N25" s="46" t="str">
        <f>IFERROR(LEFT(M25,FIND("],",M25)+S32),M25)</f>
        <v>none</v>
      </c>
      <c r="O25" s="61" t="e">
        <f t="shared" si="6"/>
        <v>#VALUE!</v>
      </c>
      <c r="P25" s="61">
        <f t="shared" si="7"/>
        <v>4</v>
      </c>
      <c r="Q25" s="61" t="e">
        <f t="shared" si="8"/>
        <v>#VALUE!</v>
      </c>
      <c r="R25" s="61" t="e">
        <f t="shared" si="9"/>
        <v>#VALUE!</v>
      </c>
      <c r="S25" s="61" t="str">
        <f>IFERROR(VLOOKUP(MID(N25,Q25,R25-Q25),[5]skilldef!$C:$D,2,FALSE),"-") &amp; " / " &amp; IFERROR(VLOOKUP(MID(N25,O25,P25-O25),[5]skilldef!$A:$B,2,FALSE),"-")</f>
        <v>- / -</v>
      </c>
      <c r="T25" s="46" t="str">
        <f t="shared" si="10"/>
        <v>none</v>
      </c>
      <c r="U25" s="61" t="e">
        <f t="shared" si="11"/>
        <v>#VALUE!</v>
      </c>
      <c r="V25" s="61">
        <f t="shared" si="12"/>
        <v>4</v>
      </c>
      <c r="W25" s="61" t="e">
        <f t="shared" si="13"/>
        <v>#VALUE!</v>
      </c>
      <c r="X25" s="61" t="e">
        <f t="shared" si="14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48"/>
    </row>
    <row r="26" spans="1:28" ht="21" customHeight="1" x14ac:dyDescent="0.15">
      <c r="A26" s="45">
        <v>41007025</v>
      </c>
      <c r="B26" s="45" t="s">
        <v>368</v>
      </c>
      <c r="C26" s="48">
        <v>3</v>
      </c>
      <c r="D26" s="48" t="s">
        <v>213</v>
      </c>
      <c r="E26" s="49" t="s">
        <v>255</v>
      </c>
      <c r="F26" s="49" t="s">
        <v>320</v>
      </c>
      <c r="G26" s="61" t="str">
        <f t="shared" si="0"/>
        <v>[effect:change_block, new_block:time_bomb, target:block_blue, count:3, val:0.3, min_time_count:2, max_time_count:2, animation:change_block]</v>
      </c>
      <c r="H26" s="61">
        <f t="shared" si="1"/>
        <v>9</v>
      </c>
      <c r="I26" s="61">
        <f t="shared" si="2"/>
        <v>21</v>
      </c>
      <c r="J26" s="61">
        <f t="shared" si="3"/>
        <v>51</v>
      </c>
      <c r="K26" s="61">
        <f t="shared" si="4"/>
        <v>42</v>
      </c>
      <c r="L26" s="61" t="str">
        <f>IFERROR(VLOOKUP(MID(G26,J26,K26-J26),[5]skilldef!$C:$D,2,FALSE),"-") &amp; " / " &amp; IFERROR(VLOOKUP(MID(G26,H26,I26-H26),[5]skilldef!$A:$B,2,FALSE),"-")</f>
        <v>- / ブロック変換</v>
      </c>
      <c r="M26" s="61" t="str">
        <f t="shared" si="5"/>
        <v>none</v>
      </c>
      <c r="N26" s="46" t="str">
        <f>IFERROR(LEFT(M26,FIND("],",M26)+S34),M26)</f>
        <v>none</v>
      </c>
      <c r="O26" s="61" t="e">
        <f t="shared" si="6"/>
        <v>#VALUE!</v>
      </c>
      <c r="P26" s="61">
        <f t="shared" si="7"/>
        <v>4</v>
      </c>
      <c r="Q26" s="61" t="e">
        <f t="shared" si="8"/>
        <v>#VALUE!</v>
      </c>
      <c r="R26" s="61" t="e">
        <f t="shared" si="9"/>
        <v>#VALUE!</v>
      </c>
      <c r="S26" s="61" t="str">
        <f>IFERROR(VLOOKUP(MID(N26,Q26,R26-Q26),[5]skilldef!$C:$D,2,FALSE),"-") &amp; " / " &amp; IFERROR(VLOOKUP(MID(N26,O26,P26-O26),[5]skilldef!$A:$B,2,FALSE),"-")</f>
        <v>- / -</v>
      </c>
      <c r="T26" s="46" t="str">
        <f t="shared" si="10"/>
        <v>none</v>
      </c>
      <c r="U26" s="61" t="e">
        <f t="shared" si="11"/>
        <v>#VALUE!</v>
      </c>
      <c r="V26" s="61">
        <f t="shared" si="12"/>
        <v>4</v>
      </c>
      <c r="W26" s="61" t="e">
        <f t="shared" si="13"/>
        <v>#VALUE!</v>
      </c>
      <c r="X26" s="61" t="e">
        <f t="shared" si="14"/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  <row r="27" spans="1:28" ht="21" customHeight="1" x14ac:dyDescent="0.15">
      <c r="A27" s="45">
        <v>41007026</v>
      </c>
      <c r="B27" s="45" t="s">
        <v>261</v>
      </c>
      <c r="C27" s="48">
        <v>3</v>
      </c>
      <c r="D27" s="48" t="s">
        <v>213</v>
      </c>
      <c r="E27" s="49" t="s">
        <v>257</v>
      </c>
      <c r="F27" s="49" t="s">
        <v>327</v>
      </c>
      <c r="G27" s="61" t="str">
        <f t="shared" si="0"/>
        <v>[effect:rush, count:6, val:0.2]</v>
      </c>
      <c r="H27" s="61">
        <f t="shared" si="1"/>
        <v>9</v>
      </c>
      <c r="I27" s="61">
        <f t="shared" si="2"/>
        <v>13</v>
      </c>
      <c r="J27" s="61" t="e">
        <f t="shared" si="3"/>
        <v>#VALUE!</v>
      </c>
      <c r="K27" s="61">
        <f t="shared" si="4"/>
        <v>22</v>
      </c>
      <c r="L27" s="61" t="str">
        <f>IFERROR(VLOOKUP(MID(G27,J27,K27-J27),[5]skilldef!$C:$D,2,FALSE),"-") &amp; " / " &amp; IFERROR(VLOOKUP(MID(G27,H27,I27-H27),[5]skilldef!$A:$B,2,FALSE),"-")</f>
        <v>- / 連続攻撃</v>
      </c>
      <c r="M27" s="61" t="str">
        <f t="shared" si="5"/>
        <v>none</v>
      </c>
      <c r="N27" s="46" t="str">
        <f>IFERROR(LEFT(M27,FIND("],",M27)+#REF!),M27)</f>
        <v>none</v>
      </c>
      <c r="O27" s="61" t="e">
        <f t="shared" si="6"/>
        <v>#VALUE!</v>
      </c>
      <c r="P27" s="61">
        <f t="shared" si="7"/>
        <v>4</v>
      </c>
      <c r="Q27" s="61" t="e">
        <f t="shared" si="8"/>
        <v>#VALUE!</v>
      </c>
      <c r="R27" s="61" t="e">
        <f t="shared" si="9"/>
        <v>#VALUE!</v>
      </c>
      <c r="S27" s="61" t="str">
        <f>IFERROR(VLOOKUP(MID(N27,Q27,R27-Q27),[5]skilldef!$C:$D,2,FALSE),"-") &amp; " / " &amp; IFERROR(VLOOKUP(MID(N27,O27,P27-O27),[5]skilldef!$A:$B,2,FALSE),"-")</f>
        <v>- / -</v>
      </c>
      <c r="T27" s="46" t="str">
        <f t="shared" si="10"/>
        <v>none</v>
      </c>
      <c r="U27" s="61" t="e">
        <f t="shared" si="11"/>
        <v>#VALUE!</v>
      </c>
      <c r="V27" s="61">
        <f t="shared" si="12"/>
        <v>4</v>
      </c>
      <c r="W27" s="61" t="e">
        <f t="shared" si="13"/>
        <v>#VALUE!</v>
      </c>
      <c r="X27" s="61" t="e">
        <f t="shared" si="14"/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48"/>
      <c r="AA27" s="50"/>
      <c r="AB27" s="48"/>
    </row>
    <row r="28" spans="1:28" ht="21" customHeight="1" x14ac:dyDescent="0.15">
      <c r="A28" s="45">
        <v>41007027</v>
      </c>
      <c r="B28" s="134" t="s">
        <v>260</v>
      </c>
      <c r="C28" s="48">
        <v>3</v>
      </c>
      <c r="D28" s="48" t="s">
        <v>213</v>
      </c>
      <c r="E28" s="49" t="s">
        <v>262</v>
      </c>
      <c r="F28" s="49" t="s">
        <v>326</v>
      </c>
      <c r="G28" s="61" t="str">
        <f t="shared" si="0"/>
        <v>[effect:nothing]</v>
      </c>
      <c r="H28" s="61">
        <f t="shared" si="1"/>
        <v>9</v>
      </c>
      <c r="I28" s="61">
        <f t="shared" si="2"/>
        <v>16</v>
      </c>
      <c r="J28" s="61" t="e">
        <f t="shared" si="3"/>
        <v>#VALUE!</v>
      </c>
      <c r="K28" s="61" t="e">
        <f t="shared" si="4"/>
        <v>#VALUE!</v>
      </c>
      <c r="L28" s="61" t="str">
        <f>IFERROR(VLOOKUP(MID(G28,J28,K28-J28),[5]skilldef!$C:$D,2,FALSE),"-") &amp; " / " &amp; IFERROR(VLOOKUP(MID(G28,H28,I28-H28),[5]skilldef!$A:$B,2,FALSE),"-")</f>
        <v>- / 何もしない</v>
      </c>
      <c r="M28" s="61" t="str">
        <f t="shared" si="5"/>
        <v>none</v>
      </c>
      <c r="N28" s="46" t="str">
        <f>IFERROR(LEFT(M28,FIND("],",M28)+S35),M28)</f>
        <v>none</v>
      </c>
      <c r="O28" s="61" t="e">
        <f t="shared" si="6"/>
        <v>#VALUE!</v>
      </c>
      <c r="P28" s="61">
        <f t="shared" si="7"/>
        <v>4</v>
      </c>
      <c r="Q28" s="61" t="e">
        <f t="shared" si="8"/>
        <v>#VALUE!</v>
      </c>
      <c r="R28" s="61" t="e">
        <f t="shared" si="9"/>
        <v>#VALUE!</v>
      </c>
      <c r="S28" s="61" t="str">
        <f>IFERROR(VLOOKUP(MID(N28,Q28,R28-Q28),[5]skilldef!$C:$D,2,FALSE),"-") &amp; " / " &amp; IFERROR(VLOOKUP(MID(N28,O28,P28-O28),[5]skilldef!$A:$B,2,FALSE),"-")</f>
        <v>- / -</v>
      </c>
      <c r="T28" s="46" t="str">
        <f t="shared" si="10"/>
        <v>none</v>
      </c>
      <c r="U28" s="61" t="e">
        <f t="shared" si="11"/>
        <v>#VALUE!</v>
      </c>
      <c r="V28" s="61">
        <f t="shared" si="12"/>
        <v>4</v>
      </c>
      <c r="W28" s="61" t="e">
        <f t="shared" si="13"/>
        <v>#VALUE!</v>
      </c>
      <c r="X28" s="61" t="e">
        <f t="shared" si="14"/>
        <v>#VALUE!</v>
      </c>
      <c r="Y28" s="61" t="str">
        <f>IFERROR(VLOOKUP(MID(T28,W28,X28-W28),[5]skilldef!$C:$D,2,FALSE),"-") &amp; " / " &amp; IFERROR(VLOOKUP(MID(T28,U28,V28-U28),[5]skilldef!$A:$B,2,FALSE),"-")</f>
        <v>- / -</v>
      </c>
      <c r="Z28" s="48"/>
      <c r="AA28" s="50"/>
      <c r="AB28" s="48"/>
    </row>
    <row r="29" spans="1:28" ht="21" customHeight="1" x14ac:dyDescent="0.15">
      <c r="A29" s="45">
        <v>41007028</v>
      </c>
      <c r="B29" s="45" t="s">
        <v>263</v>
      </c>
      <c r="C29" s="48">
        <v>3</v>
      </c>
      <c r="D29" s="48" t="s">
        <v>213</v>
      </c>
      <c r="E29" s="49" t="s">
        <v>264</v>
      </c>
      <c r="F29" s="49" t="s">
        <v>325</v>
      </c>
      <c r="G29" s="61" t="str">
        <f t="shared" si="0"/>
        <v>[effect:critical, val:3]</v>
      </c>
      <c r="H29" s="61">
        <f t="shared" si="1"/>
        <v>9</v>
      </c>
      <c r="I29" s="61">
        <f t="shared" si="2"/>
        <v>17</v>
      </c>
      <c r="J29" s="61" t="e">
        <f t="shared" si="3"/>
        <v>#VALUE!</v>
      </c>
      <c r="K29" s="61" t="e">
        <f t="shared" si="4"/>
        <v>#VALUE!</v>
      </c>
      <c r="L29" s="61" t="str">
        <f>IFERROR(VLOOKUP(MID(G29,J29,K29-J29),[5]skilldef!$C:$D,2,FALSE),"-") &amp; " / " &amp; IFERROR(VLOOKUP(MID(G29,H29,I29-H29),[5]skilldef!$A:$B,2,FALSE),"-")</f>
        <v>- / 大攻撃</v>
      </c>
      <c r="M29" s="61" t="str">
        <f t="shared" si="5"/>
        <v>none</v>
      </c>
      <c r="N29" s="46" t="str">
        <f>IFERROR(LEFT(M29,FIND("],",M29)+S36),M29)</f>
        <v>none</v>
      </c>
      <c r="O29" s="61" t="e">
        <f t="shared" si="6"/>
        <v>#VALUE!</v>
      </c>
      <c r="P29" s="61">
        <f t="shared" si="7"/>
        <v>4</v>
      </c>
      <c r="Q29" s="61" t="e">
        <f t="shared" si="8"/>
        <v>#VALUE!</v>
      </c>
      <c r="R29" s="61" t="e">
        <f t="shared" si="9"/>
        <v>#VALUE!</v>
      </c>
      <c r="S29" s="61" t="str">
        <f>IFERROR(VLOOKUP(MID(N29,Q29,R29-Q29),[5]skilldef!$C:$D,2,FALSE),"-") &amp; " / " &amp; IFERROR(VLOOKUP(MID(N29,O29,P29-O29),[5]skilldef!$A:$B,2,FALSE),"-")</f>
        <v>- / -</v>
      </c>
      <c r="T29" s="46" t="str">
        <f t="shared" si="10"/>
        <v>none</v>
      </c>
      <c r="U29" s="61" t="e">
        <f t="shared" si="11"/>
        <v>#VALUE!</v>
      </c>
      <c r="V29" s="61">
        <f t="shared" si="12"/>
        <v>4</v>
      </c>
      <c r="W29" s="61" t="e">
        <f t="shared" si="13"/>
        <v>#VALUE!</v>
      </c>
      <c r="X29" s="61" t="e">
        <f t="shared" si="14"/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48"/>
      <c r="AA29" s="50"/>
      <c r="AB29" s="48"/>
    </row>
    <row r="30" spans="1:28" ht="21" customHeight="1" x14ac:dyDescent="0.15">
      <c r="A30" s="45">
        <v>41007029</v>
      </c>
      <c r="B30" s="45" t="s">
        <v>258</v>
      </c>
      <c r="C30" s="48">
        <v>3</v>
      </c>
      <c r="D30" s="48" t="s">
        <v>213</v>
      </c>
      <c r="E30" s="49" t="s">
        <v>259</v>
      </c>
      <c r="F30" s="49" t="s">
        <v>324</v>
      </c>
      <c r="G30" s="61" t="str">
        <f t="shared" si="0"/>
        <v xml:space="preserve">[effect:enhance_enemy, target:myself, turn:4, status:defense, val:4000, calc:add, animation:enemy_enhance_defense]    </v>
      </c>
      <c r="H30" s="61">
        <f t="shared" si="1"/>
        <v>9</v>
      </c>
      <c r="I30" s="61">
        <f t="shared" si="2"/>
        <v>22</v>
      </c>
      <c r="J30" s="61">
        <f t="shared" si="3"/>
        <v>31</v>
      </c>
      <c r="K30" s="61">
        <f t="shared" si="4"/>
        <v>37</v>
      </c>
      <c r="L30" s="61" t="str">
        <f>IFERROR(VLOOKUP(MID(G30,J30,K30-J30),[5]skilldef!$C:$D,2,FALSE),"-") &amp; " / " &amp; IFERROR(VLOOKUP(MID(G30,H30,I30-H30),[5]skilldef!$A:$B,2,FALSE),"-")</f>
        <v>自分自身に / ステータス強化</v>
      </c>
      <c r="M30" s="61" t="str">
        <f t="shared" si="5"/>
        <v>none</v>
      </c>
      <c r="N30" s="46" t="str">
        <f>IFERROR(LEFT(M30,FIND("],",M30)+S37),M30)</f>
        <v>none</v>
      </c>
      <c r="O30" s="61" t="e">
        <f t="shared" si="6"/>
        <v>#VALUE!</v>
      </c>
      <c r="P30" s="61">
        <f t="shared" si="7"/>
        <v>4</v>
      </c>
      <c r="Q30" s="61" t="e">
        <f t="shared" si="8"/>
        <v>#VALUE!</v>
      </c>
      <c r="R30" s="61" t="e">
        <f t="shared" si="9"/>
        <v>#VALUE!</v>
      </c>
      <c r="S30" s="61" t="str">
        <f>IFERROR(VLOOKUP(MID(N30,Q30,R30-Q30),[5]skilldef!$C:$D,2,FALSE),"-") &amp; " / " &amp; IFERROR(VLOOKUP(MID(N30,O30,P30-O30),[5]skilldef!$A:$B,2,FALSE),"-")</f>
        <v>- / -</v>
      </c>
      <c r="T30" s="46" t="str">
        <f t="shared" si="10"/>
        <v>none</v>
      </c>
      <c r="U30" s="61" t="e">
        <f t="shared" si="11"/>
        <v>#VALUE!</v>
      </c>
      <c r="V30" s="61">
        <f t="shared" si="12"/>
        <v>4</v>
      </c>
      <c r="W30" s="61" t="e">
        <f t="shared" si="13"/>
        <v>#VALUE!</v>
      </c>
      <c r="X30" s="61" t="e">
        <f t="shared" si="14"/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48"/>
      <c r="AA30" s="50"/>
      <c r="AB30" s="48"/>
    </row>
    <row r="31" spans="1:28" ht="21" customHeight="1" x14ac:dyDescent="0.15">
      <c r="A31" s="45">
        <v>41007030</v>
      </c>
      <c r="B31" s="45" t="s">
        <v>265</v>
      </c>
      <c r="C31" s="48">
        <v>3</v>
      </c>
      <c r="D31" s="48" t="s">
        <v>213</v>
      </c>
      <c r="E31" s="49" t="s">
        <v>266</v>
      </c>
      <c r="F31" s="49" t="s">
        <v>321</v>
      </c>
      <c r="G31" s="61" t="str">
        <f t="shared" si="0"/>
        <v>[effect:damage_anti_tribe, target:unit_all, tribe:machine, val1:1.3, val2:0.1]</v>
      </c>
      <c r="H31" s="61">
        <f t="shared" si="1"/>
        <v>9</v>
      </c>
      <c r="I31" s="61">
        <f t="shared" si="2"/>
        <v>26</v>
      </c>
      <c r="J31" s="61">
        <f t="shared" si="3"/>
        <v>35</v>
      </c>
      <c r="K31" s="61">
        <f t="shared" si="4"/>
        <v>43</v>
      </c>
      <c r="L31" s="61" t="str">
        <f>IFERROR(VLOOKUP(MID(G31,J31,K31-J31),[5]skilldef!$C:$D,2,FALSE),"-") &amp; " / " &amp; IFERROR(VLOOKUP(MID(G31,H31,I31-H31),[5]skilldef!$A:$B,2,FALSE),"-")</f>
        <v>味方全体に / 種族キラー</v>
      </c>
      <c r="M31" s="61" t="str">
        <f t="shared" si="5"/>
        <v>none</v>
      </c>
      <c r="N31" s="46" t="str">
        <f>IFERROR(LEFT(M31,FIND("],",M31)+#REF!),M31)</f>
        <v>none</v>
      </c>
      <c r="O31" s="61" t="e">
        <f t="shared" si="6"/>
        <v>#VALUE!</v>
      </c>
      <c r="P31" s="61">
        <f t="shared" si="7"/>
        <v>4</v>
      </c>
      <c r="Q31" s="61" t="e">
        <f t="shared" si="8"/>
        <v>#VALUE!</v>
      </c>
      <c r="R31" s="61" t="e">
        <f t="shared" si="9"/>
        <v>#VALUE!</v>
      </c>
      <c r="S31" s="61" t="str">
        <f>IFERROR(VLOOKUP(MID(N31,Q31,R31-Q31),[5]skilldef!$C:$D,2,FALSE),"-") &amp; " / " &amp; IFERROR(VLOOKUP(MID(N31,O31,P31-O31),[5]skilldef!$A:$B,2,FALSE),"-")</f>
        <v>- / -</v>
      </c>
      <c r="T31" s="46" t="str">
        <f t="shared" si="10"/>
        <v>none</v>
      </c>
      <c r="U31" s="61" t="e">
        <f t="shared" si="11"/>
        <v>#VALUE!</v>
      </c>
      <c r="V31" s="61">
        <f t="shared" si="12"/>
        <v>4</v>
      </c>
      <c r="W31" s="61" t="e">
        <f t="shared" si="13"/>
        <v>#VALUE!</v>
      </c>
      <c r="X31" s="61" t="e">
        <f t="shared" si="14"/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48"/>
      <c r="AA31" s="50"/>
      <c r="AB31" s="48"/>
    </row>
    <row r="32" spans="1:28" ht="21" customHeight="1" x14ac:dyDescent="0.15">
      <c r="A32" s="45">
        <v>41007031</v>
      </c>
      <c r="B32" s="45" t="s">
        <v>267</v>
      </c>
      <c r="C32" s="48">
        <v>3</v>
      </c>
      <c r="D32" s="48" t="s">
        <v>213</v>
      </c>
      <c r="E32" s="49" t="s">
        <v>268</v>
      </c>
      <c r="F32" s="49" t="s">
        <v>322</v>
      </c>
      <c r="G32" s="61" t="str">
        <f t="shared" si="0"/>
        <v>[effect:crash_condition, target:unit_all, val:1, turn:5, animation:enemy_crash_extend]</v>
      </c>
      <c r="H32" s="61">
        <f t="shared" si="1"/>
        <v>9</v>
      </c>
      <c r="I32" s="61">
        <f t="shared" si="2"/>
        <v>24</v>
      </c>
      <c r="J32" s="61">
        <f t="shared" si="3"/>
        <v>33</v>
      </c>
      <c r="K32" s="61">
        <f t="shared" si="4"/>
        <v>41</v>
      </c>
      <c r="L32" s="61" t="str">
        <f>IFERROR(VLOOKUP(MID(G32,J32,K32-J32),[5]skilldef!$C:$D,2,FALSE),"-") &amp; " / " &amp; IFERROR(VLOOKUP(MID(G32,H32,I32-H32),[5]skilldef!$A:$B,2,FALSE),"-")</f>
        <v>味方全体に / -</v>
      </c>
      <c r="M32" s="61" t="str">
        <f t="shared" si="5"/>
        <v>none</v>
      </c>
      <c r="N32" s="46" t="str">
        <f>IFERROR(LEFT(M32,FIND("],",M32)+#REF!),M32)</f>
        <v>none</v>
      </c>
      <c r="O32" s="61" t="e">
        <f t="shared" si="6"/>
        <v>#VALUE!</v>
      </c>
      <c r="P32" s="61">
        <f t="shared" si="7"/>
        <v>4</v>
      </c>
      <c r="Q32" s="61" t="e">
        <f t="shared" si="8"/>
        <v>#VALUE!</v>
      </c>
      <c r="R32" s="61" t="e">
        <f t="shared" si="9"/>
        <v>#VALUE!</v>
      </c>
      <c r="S32" s="61" t="str">
        <f>IFERROR(VLOOKUP(MID(N32,Q32,R32-Q32),[5]skilldef!$C:$D,2,FALSE),"-") &amp; " / " &amp; IFERROR(VLOOKUP(MID(N32,O32,P32-O32),[5]skilldef!$A:$B,2,FALSE),"-")</f>
        <v>- / -</v>
      </c>
      <c r="T32" s="46" t="str">
        <f t="shared" si="10"/>
        <v>none</v>
      </c>
      <c r="U32" s="61" t="e">
        <f t="shared" si="11"/>
        <v>#VALUE!</v>
      </c>
      <c r="V32" s="61">
        <f t="shared" si="12"/>
        <v>4</v>
      </c>
      <c r="W32" s="61" t="e">
        <f t="shared" si="13"/>
        <v>#VALUE!</v>
      </c>
      <c r="X32" s="61" t="e">
        <f t="shared" si="14"/>
        <v>#VALUE!</v>
      </c>
      <c r="Y32" s="61" t="str">
        <f>IFERROR(VLOOKUP(MID(T32,W32,X32-W32),[5]skilldef!$C:$D,2,FALSE),"-") &amp; " / " &amp; IFERROR(VLOOKUP(MID(T32,U32,V32-U32),[5]skilldef!$A:$B,2,FALSE),"-")</f>
        <v>- / -</v>
      </c>
      <c r="Z32" s="48"/>
      <c r="AA32" s="50"/>
      <c r="AB32" s="48"/>
    </row>
    <row r="33" spans="1:28" ht="21" customHeight="1" x14ac:dyDescent="0.15">
      <c r="A33" s="45">
        <v>41007032</v>
      </c>
      <c r="B33" s="45" t="s">
        <v>269</v>
      </c>
      <c r="C33" s="48">
        <v>3</v>
      </c>
      <c r="D33" s="48" t="s">
        <v>213</v>
      </c>
      <c r="E33" s="49" t="s">
        <v>270</v>
      </c>
      <c r="F33" s="49" t="s">
        <v>384</v>
      </c>
      <c r="G33" s="61" t="str">
        <f t="shared" si="0"/>
        <v xml:space="preserve">[effect:enhance_enemy, target:enemy_all, turn:4, status:defense, val:4000, calc:add, animation:enemy_enhance_defense]    </v>
      </c>
      <c r="H33" s="61">
        <f t="shared" si="1"/>
        <v>9</v>
      </c>
      <c r="I33" s="61">
        <f t="shared" si="2"/>
        <v>22</v>
      </c>
      <c r="J33" s="61">
        <f t="shared" si="3"/>
        <v>31</v>
      </c>
      <c r="K33" s="61">
        <f t="shared" si="4"/>
        <v>40</v>
      </c>
      <c r="L33" s="61" t="str">
        <f>IFERROR(VLOOKUP(MID(G33,J33,K33-J33),[5]skilldef!$C:$D,2,FALSE),"-") &amp; " / " &amp; IFERROR(VLOOKUP(MID(G33,H33,I33-H33),[5]skilldef!$A:$B,2,FALSE),"-")</f>
        <v>敵全体に / ステータス強化</v>
      </c>
      <c r="M33" s="61" t="str">
        <f t="shared" si="5"/>
        <v>none</v>
      </c>
      <c r="N33" s="46" t="str">
        <f>IFERROR(LEFT(M33,FIND("],",M33)+#REF!),M33)</f>
        <v>none</v>
      </c>
      <c r="O33" s="61" t="e">
        <f t="shared" si="6"/>
        <v>#VALUE!</v>
      </c>
      <c r="P33" s="61">
        <f t="shared" si="7"/>
        <v>4</v>
      </c>
      <c r="Q33" s="61" t="e">
        <f t="shared" si="8"/>
        <v>#VALUE!</v>
      </c>
      <c r="R33" s="61" t="e">
        <f t="shared" si="9"/>
        <v>#VALUE!</v>
      </c>
      <c r="S33" s="61" t="str">
        <f>IFERROR(VLOOKUP(MID(N33,Q33,R33-Q33),[5]skilldef!$C:$D,2,FALSE),"-") &amp; " / " &amp; IFERROR(VLOOKUP(MID(N33,O33,P33-O33),[5]skilldef!$A:$B,2,FALSE),"-")</f>
        <v>- / -</v>
      </c>
      <c r="T33" s="46" t="str">
        <f t="shared" si="10"/>
        <v>none</v>
      </c>
      <c r="U33" s="61" t="e">
        <f t="shared" si="11"/>
        <v>#VALUE!</v>
      </c>
      <c r="V33" s="61">
        <f t="shared" si="12"/>
        <v>4</v>
      </c>
      <c r="W33" s="61" t="e">
        <f t="shared" si="13"/>
        <v>#VALUE!</v>
      </c>
      <c r="X33" s="61" t="e">
        <f t="shared" si="14"/>
        <v>#VALUE!</v>
      </c>
      <c r="Y33" s="61" t="str">
        <f>IFERROR(VLOOKUP(MID(T33,W33,X33-W33),[5]skilldef!$C:$D,2,FALSE),"-") &amp; " / " &amp; IFERROR(VLOOKUP(MID(T33,U33,V33-U33),[5]skilldef!$A:$B,2,FALSE),"-")</f>
        <v>- / -</v>
      </c>
      <c r="Z33" s="48"/>
      <c r="AA33" s="50"/>
      <c r="AB33" s="48"/>
    </row>
    <row r="34" spans="1:28" ht="21" customHeight="1" x14ac:dyDescent="0.15">
      <c r="A34" s="45">
        <v>41007033</v>
      </c>
      <c r="B34" s="45" t="s">
        <v>368</v>
      </c>
      <c r="C34" s="48">
        <v>3</v>
      </c>
      <c r="D34" s="48" t="s">
        <v>213</v>
      </c>
      <c r="E34" s="49" t="s">
        <v>271</v>
      </c>
      <c r="F34" s="49" t="s">
        <v>323</v>
      </c>
      <c r="G34" s="61" t="str">
        <f t="shared" si="0"/>
        <v>[effect:change_block, new_block:time_bomb, target:block_blue, count:3, val:0.3, min_time_count:2, max_time_count:2, animation:change_block]</v>
      </c>
      <c r="H34" s="61">
        <f t="shared" si="1"/>
        <v>9</v>
      </c>
      <c r="I34" s="61">
        <f t="shared" si="2"/>
        <v>21</v>
      </c>
      <c r="J34" s="61">
        <f t="shared" si="3"/>
        <v>51</v>
      </c>
      <c r="K34" s="61">
        <f t="shared" si="4"/>
        <v>42</v>
      </c>
      <c r="L34" s="61" t="str">
        <f>IFERROR(VLOOKUP(MID(G34,J34,K34-J34),[5]skilldef!$C:$D,2,FALSE),"-") &amp; " / " &amp; IFERROR(VLOOKUP(MID(G34,H34,I34-H34),[5]skilldef!$A:$B,2,FALSE),"-")</f>
        <v>- / ブロック変換</v>
      </c>
      <c r="M34" s="61" t="str">
        <f t="shared" si="5"/>
        <v>none</v>
      </c>
      <c r="N34" s="46" t="str">
        <f>IFERROR(LEFT(M34,FIND("],",M34)+#REF!),M34)</f>
        <v>none</v>
      </c>
      <c r="O34" s="61" t="e">
        <f t="shared" si="6"/>
        <v>#VALUE!</v>
      </c>
      <c r="P34" s="61">
        <f t="shared" si="7"/>
        <v>4</v>
      </c>
      <c r="Q34" s="61" t="e">
        <f t="shared" si="8"/>
        <v>#VALUE!</v>
      </c>
      <c r="R34" s="61" t="e">
        <f t="shared" si="9"/>
        <v>#VALUE!</v>
      </c>
      <c r="S34" s="61" t="str">
        <f>IFERROR(VLOOKUP(MID(N34,Q34,R34-Q34),[5]skilldef!$C:$D,2,FALSE),"-") &amp; " / " &amp; IFERROR(VLOOKUP(MID(N34,O34,P34-O34),[5]skilldef!$A:$B,2,FALSE),"-")</f>
        <v>- / -</v>
      </c>
      <c r="T34" s="46" t="str">
        <f t="shared" si="10"/>
        <v>none</v>
      </c>
      <c r="U34" s="61" t="e">
        <f t="shared" si="11"/>
        <v>#VALUE!</v>
      </c>
      <c r="V34" s="61">
        <f t="shared" si="12"/>
        <v>4</v>
      </c>
      <c r="W34" s="61" t="e">
        <f t="shared" si="13"/>
        <v>#VALUE!</v>
      </c>
      <c r="X34" s="61" t="e">
        <f t="shared" si="14"/>
        <v>#VALUE!</v>
      </c>
      <c r="Y34" s="61" t="str">
        <f>IFERROR(VLOOKUP(MID(T34,W34,X34-W34),[5]skilldef!$C:$D,2,FALSE),"-") &amp; " / " &amp; IFERROR(VLOOKUP(MID(T34,U34,V34-U34),[5]skilldef!$A:$B,2,FALSE),"-")</f>
        <v>- / -</v>
      </c>
      <c r="Z34" s="48"/>
      <c r="AA34" s="50"/>
      <c r="AB34" s="48"/>
    </row>
    <row r="35" spans="1:28" ht="21" customHeight="1" x14ac:dyDescent="0.15">
      <c r="A35" s="45">
        <v>41007034</v>
      </c>
      <c r="B35" s="45" t="s">
        <v>267</v>
      </c>
      <c r="C35" s="48">
        <v>3</v>
      </c>
      <c r="D35" s="48" t="s">
        <v>213</v>
      </c>
      <c r="E35" s="49" t="s">
        <v>272</v>
      </c>
      <c r="F35" s="49" t="s">
        <v>322</v>
      </c>
      <c r="G35" s="61" t="str">
        <f t="shared" si="0"/>
        <v>[effect:crash_condition, target:unit_all, val:1, turn:5, animation:enemy_crash_extend]</v>
      </c>
      <c r="H35" s="61">
        <f t="shared" si="1"/>
        <v>9</v>
      </c>
      <c r="I35" s="61">
        <f t="shared" si="2"/>
        <v>24</v>
      </c>
      <c r="J35" s="61">
        <f t="shared" si="3"/>
        <v>33</v>
      </c>
      <c r="K35" s="61">
        <f t="shared" si="4"/>
        <v>41</v>
      </c>
      <c r="L35" s="61" t="str">
        <f>IFERROR(VLOOKUP(MID(G35,J35,K35-J35),[5]skilldef!$C:$D,2,FALSE),"-") &amp; " / " &amp; IFERROR(VLOOKUP(MID(G35,H35,I35-H35),[5]skilldef!$A:$B,2,FALSE),"-")</f>
        <v>味方全体に / -</v>
      </c>
      <c r="M35" s="61" t="str">
        <f t="shared" si="5"/>
        <v>none</v>
      </c>
      <c r="N35" s="46" t="str">
        <f>IFERROR(LEFT(M35,FIND("],",M35)+#REF!),M35)</f>
        <v>none</v>
      </c>
      <c r="O35" s="61" t="e">
        <f t="shared" si="6"/>
        <v>#VALUE!</v>
      </c>
      <c r="P35" s="61">
        <f t="shared" si="7"/>
        <v>4</v>
      </c>
      <c r="Q35" s="61" t="e">
        <f t="shared" si="8"/>
        <v>#VALUE!</v>
      </c>
      <c r="R35" s="61" t="e">
        <f t="shared" si="9"/>
        <v>#VALUE!</v>
      </c>
      <c r="S35" s="61" t="str">
        <f>IFERROR(VLOOKUP(MID(N35,Q35,R35-Q35),[5]skilldef!$C:$D,2,FALSE),"-") &amp; " / " &amp; IFERROR(VLOOKUP(MID(N35,O35,P35-O35),[5]skilldef!$A:$B,2,FALSE),"-")</f>
        <v>- / -</v>
      </c>
      <c r="T35" s="46" t="str">
        <f t="shared" si="10"/>
        <v>none</v>
      </c>
      <c r="U35" s="61" t="e">
        <f t="shared" si="11"/>
        <v>#VALUE!</v>
      </c>
      <c r="V35" s="61">
        <f t="shared" si="12"/>
        <v>4</v>
      </c>
      <c r="W35" s="61" t="e">
        <f t="shared" si="13"/>
        <v>#VALUE!</v>
      </c>
      <c r="X35" s="61" t="e">
        <f t="shared" si="14"/>
        <v>#VALUE!</v>
      </c>
      <c r="Y35" s="61" t="str">
        <f>IFERROR(VLOOKUP(MID(T35,W35,X35-W35),[5]skilldef!$C:$D,2,FALSE),"-") &amp; " / " &amp; IFERROR(VLOOKUP(MID(T35,U35,V35-U35),[5]skilldef!$A:$B,2,FALSE),"-")</f>
        <v>- / -</v>
      </c>
      <c r="Z35" s="48"/>
      <c r="AA35" s="50"/>
      <c r="AB35" s="48"/>
    </row>
    <row r="36" spans="1:28" ht="21" customHeight="1" x14ac:dyDescent="0.15">
      <c r="A36" s="45">
        <v>41007035</v>
      </c>
      <c r="B36" s="45" t="s">
        <v>273</v>
      </c>
      <c r="C36" s="48">
        <v>3</v>
      </c>
      <c r="D36" s="48" t="s">
        <v>213</v>
      </c>
      <c r="E36" s="49" t="s">
        <v>266</v>
      </c>
      <c r="F36" s="49" t="s">
        <v>321</v>
      </c>
      <c r="G36" s="61" t="str">
        <f t="shared" si="0"/>
        <v>[effect:damage_anti_tribe, target:unit_all, tribe:machine, val1:1.5, val2:0.3]</v>
      </c>
      <c r="H36" s="61">
        <f t="shared" si="1"/>
        <v>9</v>
      </c>
      <c r="I36" s="61">
        <f t="shared" si="2"/>
        <v>26</v>
      </c>
      <c r="J36" s="61">
        <f t="shared" si="3"/>
        <v>35</v>
      </c>
      <c r="K36" s="61">
        <f t="shared" si="4"/>
        <v>43</v>
      </c>
      <c r="L36" s="61" t="str">
        <f>IFERROR(VLOOKUP(MID(G36,J36,K36-J36),[5]skilldef!$C:$D,2,FALSE),"-") &amp; " / " &amp; IFERROR(VLOOKUP(MID(G36,H36,I36-H36),[5]skilldef!$A:$B,2,FALSE),"-")</f>
        <v>味方全体に / 種族キラー</v>
      </c>
      <c r="M36" s="61" t="str">
        <f t="shared" si="5"/>
        <v>none</v>
      </c>
      <c r="N36" s="46" t="str">
        <f>IFERROR(LEFT(M36,FIND("],",M36)+#REF!),M36)</f>
        <v>none</v>
      </c>
      <c r="O36" s="61" t="e">
        <f t="shared" si="6"/>
        <v>#VALUE!</v>
      </c>
      <c r="P36" s="61">
        <f t="shared" si="7"/>
        <v>4</v>
      </c>
      <c r="Q36" s="61" t="e">
        <f t="shared" si="8"/>
        <v>#VALUE!</v>
      </c>
      <c r="R36" s="61" t="e">
        <f t="shared" si="9"/>
        <v>#VALUE!</v>
      </c>
      <c r="S36" s="61" t="str">
        <f>IFERROR(VLOOKUP(MID(N36,Q36,R36-Q36),[5]skilldef!$C:$D,2,FALSE),"-") &amp; " / " &amp; IFERROR(VLOOKUP(MID(N36,O36,P36-O36),[5]skilldef!$A:$B,2,FALSE),"-")</f>
        <v>- / -</v>
      </c>
      <c r="T36" s="46" t="str">
        <f t="shared" si="10"/>
        <v>none</v>
      </c>
      <c r="U36" s="61" t="e">
        <f t="shared" si="11"/>
        <v>#VALUE!</v>
      </c>
      <c r="V36" s="61">
        <f t="shared" si="12"/>
        <v>4</v>
      </c>
      <c r="W36" s="61" t="e">
        <f t="shared" si="13"/>
        <v>#VALUE!</v>
      </c>
      <c r="X36" s="61" t="e">
        <f t="shared" si="14"/>
        <v>#VALUE!</v>
      </c>
      <c r="Y36" s="61" t="str">
        <f>IFERROR(VLOOKUP(MID(T36,W36,X36-W36),[5]skilldef!$C:$D,2,FALSE),"-") &amp; " / " &amp; IFERROR(VLOOKUP(MID(T36,U36,V36-U36),[5]skilldef!$A:$B,2,FALSE),"-")</f>
        <v>- / -</v>
      </c>
      <c r="Z36" s="48"/>
      <c r="AA36" s="50"/>
      <c r="AB36" s="48"/>
    </row>
    <row r="37" spans="1:28" ht="21" customHeight="1" x14ac:dyDescent="0.15">
      <c r="A37" s="45">
        <v>41007036</v>
      </c>
      <c r="B37" s="45" t="s">
        <v>274</v>
      </c>
      <c r="C37" s="48">
        <v>3</v>
      </c>
      <c r="D37" s="48" t="s">
        <v>213</v>
      </c>
      <c r="E37" s="49" t="s">
        <v>270</v>
      </c>
      <c r="F37" s="49" t="s">
        <v>384</v>
      </c>
      <c r="G37" s="61" t="str">
        <f t="shared" si="0"/>
        <v>[effect:enhance_enemy, target:enemy_all, turn:4, status:defense, val:4000, calc:add, animation:enemy_enhance_defense]</v>
      </c>
      <c r="H37" s="61">
        <f t="shared" si="1"/>
        <v>9</v>
      </c>
      <c r="I37" s="61">
        <f t="shared" si="2"/>
        <v>22</v>
      </c>
      <c r="J37" s="61">
        <f t="shared" si="3"/>
        <v>31</v>
      </c>
      <c r="K37" s="61">
        <f t="shared" si="4"/>
        <v>40</v>
      </c>
      <c r="L37" s="61" t="str">
        <f>IFERROR(VLOOKUP(MID(G37,J37,K37-J37),[5]skilldef!$C:$D,2,FALSE),"-") &amp; " / " &amp; IFERROR(VLOOKUP(MID(G37,H37,I37-H37),[5]skilldef!$A:$B,2,FALSE),"-")</f>
        <v>敵全体に / ステータス強化</v>
      </c>
      <c r="M37" s="61" t="str">
        <f t="shared" si="5"/>
        <v>none</v>
      </c>
      <c r="N37" s="46" t="str">
        <f>IFERROR(LEFT(M37,FIND("],",M37)+#REF!),M37)</f>
        <v>none</v>
      </c>
      <c r="O37" s="61" t="e">
        <f t="shared" si="6"/>
        <v>#VALUE!</v>
      </c>
      <c r="P37" s="61">
        <f t="shared" si="7"/>
        <v>4</v>
      </c>
      <c r="Q37" s="61" t="e">
        <f t="shared" si="8"/>
        <v>#VALUE!</v>
      </c>
      <c r="R37" s="61" t="e">
        <f t="shared" si="9"/>
        <v>#VALUE!</v>
      </c>
      <c r="S37" s="61" t="str">
        <f>IFERROR(VLOOKUP(MID(N37,Q37,R37-Q37),[5]skilldef!$C:$D,2,FALSE),"-") &amp; " / " &amp; IFERROR(VLOOKUP(MID(N37,O37,P37-O37),[5]skilldef!$A:$B,2,FALSE),"-")</f>
        <v>- / -</v>
      </c>
      <c r="T37" s="46" t="str">
        <f t="shared" si="10"/>
        <v>none</v>
      </c>
      <c r="U37" s="61" t="e">
        <f t="shared" si="11"/>
        <v>#VALUE!</v>
      </c>
      <c r="V37" s="61">
        <f t="shared" si="12"/>
        <v>4</v>
      </c>
      <c r="W37" s="61" t="e">
        <f t="shared" si="13"/>
        <v>#VALUE!</v>
      </c>
      <c r="X37" s="61" t="e">
        <f t="shared" si="14"/>
        <v>#VALUE!</v>
      </c>
      <c r="Y37" s="61" t="str">
        <f>IFERROR(VLOOKUP(MID(T37,W37,X37-W37),[5]skilldef!$C:$D,2,FALSE),"-") &amp; " / " &amp; IFERROR(VLOOKUP(MID(T37,U37,V37-U37),[5]skilldef!$A:$B,2,FALSE),"-")</f>
        <v>- / -</v>
      </c>
      <c r="Z37" s="48"/>
      <c r="AA37" s="50"/>
      <c r="AB37" s="48"/>
    </row>
    <row r="38" spans="1:28" ht="21" customHeight="1" x14ac:dyDescent="0.15">
      <c r="A38" s="45">
        <v>41007037</v>
      </c>
      <c r="B38" s="45" t="s">
        <v>368</v>
      </c>
      <c r="C38" s="48">
        <v>3</v>
      </c>
      <c r="D38" s="48" t="s">
        <v>213</v>
      </c>
      <c r="E38" s="49" t="s">
        <v>275</v>
      </c>
      <c r="F38" s="49" t="s">
        <v>320</v>
      </c>
      <c r="G38" s="61" t="str">
        <f t="shared" si="0"/>
        <v>[effect:change_block, new_block:time_bomb, target:block_blue, count:3, val:0.3, min_time_count:2, max_time_count:2, animation:change_block]</v>
      </c>
      <c r="H38" s="61">
        <f t="shared" si="1"/>
        <v>9</v>
      </c>
      <c r="I38" s="61">
        <f t="shared" si="2"/>
        <v>21</v>
      </c>
      <c r="J38" s="61">
        <f t="shared" si="3"/>
        <v>51</v>
      </c>
      <c r="K38" s="61">
        <f t="shared" si="4"/>
        <v>42</v>
      </c>
      <c r="L38" s="61" t="str">
        <f>IFERROR(VLOOKUP(MID(G38,J38,K38-J38),[5]skilldef!$C:$D,2,FALSE),"-") &amp; " / " &amp; IFERROR(VLOOKUP(MID(G38,H38,I38-H38),[5]skilldef!$A:$B,2,FALSE),"-")</f>
        <v>- / ブロック変換</v>
      </c>
      <c r="M38" s="61" t="str">
        <f t="shared" si="5"/>
        <v>none</v>
      </c>
      <c r="N38" s="46" t="str">
        <f>IFERROR(LEFT(M38,FIND("],",M38)+#REF!),M38)</f>
        <v>none</v>
      </c>
      <c r="O38" s="61" t="e">
        <f t="shared" si="6"/>
        <v>#VALUE!</v>
      </c>
      <c r="P38" s="61">
        <f t="shared" si="7"/>
        <v>4</v>
      </c>
      <c r="Q38" s="61" t="e">
        <f t="shared" si="8"/>
        <v>#VALUE!</v>
      </c>
      <c r="R38" s="61" t="e">
        <f t="shared" si="9"/>
        <v>#VALUE!</v>
      </c>
      <c r="S38" s="61" t="str">
        <f>IFERROR(VLOOKUP(MID(N38,Q38,R38-Q38),[5]skilldef!$C:$D,2,FALSE),"-") &amp; " / " &amp; IFERROR(VLOOKUP(MID(N38,O38,P38-O38),[5]skilldef!$A:$B,2,FALSE),"-")</f>
        <v>- / -</v>
      </c>
      <c r="T38" s="46" t="str">
        <f t="shared" si="10"/>
        <v>none</v>
      </c>
      <c r="U38" s="61" t="e">
        <f t="shared" si="11"/>
        <v>#VALUE!</v>
      </c>
      <c r="V38" s="61">
        <f t="shared" si="12"/>
        <v>4</v>
      </c>
      <c r="W38" s="61" t="e">
        <f t="shared" si="13"/>
        <v>#VALUE!</v>
      </c>
      <c r="X38" s="61" t="e">
        <f t="shared" si="14"/>
        <v>#VALUE!</v>
      </c>
      <c r="Y38" s="61" t="str">
        <f>IFERROR(VLOOKUP(MID(T38,W38,X38-W38),[5]skilldef!$C:$D,2,FALSE),"-") &amp; " / " &amp; IFERROR(VLOOKUP(MID(T38,U38,V38-U38),[5]skilldef!$A:$B,2,FALSE),"-")</f>
        <v>- / -</v>
      </c>
      <c r="Z38" s="48"/>
      <c r="AA38" s="50"/>
      <c r="AB38" s="48"/>
    </row>
    <row r="39" spans="1:28" ht="21" customHeight="1" x14ac:dyDescent="0.15">
      <c r="A39" s="45">
        <v>41007038</v>
      </c>
      <c r="B39" s="45" t="s">
        <v>346</v>
      </c>
      <c r="C39" s="48">
        <v>3</v>
      </c>
      <c r="D39" s="48" t="s">
        <v>213</v>
      </c>
      <c r="E39" s="49" t="s">
        <v>276</v>
      </c>
      <c r="F39" s="49" t="s">
        <v>318</v>
      </c>
      <c r="G39" s="61" t="str">
        <f t="shared" si="0"/>
        <v>[effect:enemy_message, val1:1.4]</v>
      </c>
      <c r="H39" s="61">
        <f t="shared" si="1"/>
        <v>9</v>
      </c>
      <c r="I39" s="61">
        <f t="shared" si="2"/>
        <v>22</v>
      </c>
      <c r="J39" s="61" t="e">
        <f t="shared" si="3"/>
        <v>#VALUE!</v>
      </c>
      <c r="K39" s="61" t="e">
        <f t="shared" si="4"/>
        <v>#VALUE!</v>
      </c>
      <c r="L39" s="61" t="str">
        <f>IFERROR(VLOOKUP(MID(G39,J39,K39-J39),[5]skilldef!$C:$D,2,FALSE),"-") &amp; " / " &amp; IFERROR(VLOOKUP(MID(G39,H39,I39-H39),[5]skilldef!$A:$B,2,FALSE),"-")</f>
        <v>- / -</v>
      </c>
      <c r="M39" s="61" t="str">
        <f t="shared" si="5"/>
        <v>[effect:tolerance, target:myself, turn:-1, tolerance_effect:hungup, count:-1, animation:enemy_tolerance],[effect:fix_speed, target:myself, turn:1]</v>
      </c>
      <c r="N39" s="46" t="str">
        <f>IFERROR(LEFT(M39,FIND("],",M39)+#REF!),M39)</f>
        <v>[effect:tolerance, target:myself, turn:-1, tolerance_effect:hungup, count:-1, animation:enemy_tolerance],[effect:fix_speed, target:myself, turn:1]</v>
      </c>
      <c r="O39" s="61">
        <f t="shared" si="6"/>
        <v>9</v>
      </c>
      <c r="P39" s="61">
        <f t="shared" si="7"/>
        <v>18</v>
      </c>
      <c r="Q39" s="61">
        <f t="shared" si="8"/>
        <v>27</v>
      </c>
      <c r="R39" s="61">
        <f t="shared" si="9"/>
        <v>33</v>
      </c>
      <c r="S39" s="61" t="str">
        <f>IFERROR(VLOOKUP(MID(N39,Q39,R39-Q39),[5]skilldef!$C:$D,2,FALSE),"-") &amp; " / " &amp; IFERROR(VLOOKUP(MID(N39,O39,P39-O39),[5]skilldef!$A:$B,2,FALSE),"-")</f>
        <v>自分自身に / 状態異常耐性</v>
      </c>
      <c r="T39" s="46" t="str">
        <f t="shared" si="10"/>
        <v>[effect:fix_speed, target:myself, turn:1]</v>
      </c>
      <c r="U39" s="61">
        <f t="shared" si="11"/>
        <v>9</v>
      </c>
      <c r="V39" s="61">
        <f t="shared" si="12"/>
        <v>18</v>
      </c>
      <c r="W39" s="61">
        <f t="shared" si="13"/>
        <v>27</v>
      </c>
      <c r="X39" s="61">
        <f t="shared" si="14"/>
        <v>33</v>
      </c>
      <c r="Y39" s="61" t="str">
        <f>IFERROR(VLOOKUP(MID(T39,W39,X39-W39),[5]skilldef!$C:$D,2,FALSE),"-") &amp; " / " &amp; IFERROR(VLOOKUP(MID(T39,U39,V39-U39),[5]skilldef!$A:$B,2,FALSE),"-")</f>
        <v>自分自身に / 行動値設定</v>
      </c>
      <c r="Z39" s="48"/>
      <c r="AA39" s="50"/>
      <c r="AB39" s="48"/>
    </row>
    <row r="40" spans="1:28" ht="21" customHeight="1" x14ac:dyDescent="0.15">
      <c r="A40" s="45">
        <v>41007039</v>
      </c>
      <c r="B40" s="45" t="s">
        <v>277</v>
      </c>
      <c r="C40" s="48">
        <v>3</v>
      </c>
      <c r="D40" s="48" t="s">
        <v>213</v>
      </c>
      <c r="E40" s="49" t="s">
        <v>278</v>
      </c>
      <c r="F40" s="49" t="s">
        <v>319</v>
      </c>
      <c r="G40" s="61" t="str">
        <f t="shared" si="0"/>
        <v>[effect:break_attack, val:0.3, lowest_val:333, count:-1, block:block_heart, target:unit_one]</v>
      </c>
      <c r="H40" s="61">
        <f t="shared" si="1"/>
        <v>9</v>
      </c>
      <c r="I40" s="61">
        <f t="shared" si="2"/>
        <v>21</v>
      </c>
      <c r="J40" s="61">
        <f t="shared" si="3"/>
        <v>84</v>
      </c>
      <c r="K40" s="61">
        <f t="shared" si="4"/>
        <v>30</v>
      </c>
      <c r="L40" s="61" t="str">
        <f>IFERROR(VLOOKUP(MID(G40,J40,K40-J40),[5]skilldef!$C:$D,2,FALSE),"-") &amp; " / " &amp; IFERROR(VLOOKUP(MID(G40,H40,I40-H40),[5]skilldef!$A:$B,2,FALSE),"-")</f>
        <v>- / -</v>
      </c>
      <c r="M40" s="61" t="str">
        <f t="shared" si="5"/>
        <v>[effect:fix_speed, target:myself, turn:2]</v>
      </c>
      <c r="N40" s="46" t="str">
        <f>IFERROR(LEFT(M40,FIND("],",M40)+#REF!),M40)</f>
        <v>[effect:fix_speed, target:myself, turn:2]</v>
      </c>
      <c r="O40" s="61">
        <f t="shared" si="6"/>
        <v>9</v>
      </c>
      <c r="P40" s="61">
        <f t="shared" si="7"/>
        <v>18</v>
      </c>
      <c r="Q40" s="61">
        <f t="shared" si="8"/>
        <v>27</v>
      </c>
      <c r="R40" s="61">
        <f t="shared" si="9"/>
        <v>33</v>
      </c>
      <c r="S40" s="61" t="str">
        <f>IFERROR(VLOOKUP(MID(N40,Q40,R40-Q40),[5]skilldef!$C:$D,2,FALSE),"-") &amp; " / " &amp; IFERROR(VLOOKUP(MID(N40,O40,P40-O40),[5]skilldef!$A:$B,2,FALSE),"-")</f>
        <v>自分自身に / 行動値設定</v>
      </c>
      <c r="T40" s="46" t="str">
        <f t="shared" si="10"/>
        <v>none</v>
      </c>
      <c r="U40" s="61" t="e">
        <f t="shared" si="11"/>
        <v>#VALUE!</v>
      </c>
      <c r="V40" s="61">
        <f t="shared" si="12"/>
        <v>4</v>
      </c>
      <c r="W40" s="61" t="e">
        <f t="shared" si="13"/>
        <v>#VALUE!</v>
      </c>
      <c r="X40" s="61" t="e">
        <f t="shared" si="14"/>
        <v>#VALUE!</v>
      </c>
      <c r="Y40" s="61" t="str">
        <f>IFERROR(VLOOKUP(MID(T40,W40,X40-W40),[5]skilldef!$C:$D,2,FALSE),"-") &amp; " / " &amp; IFERROR(VLOOKUP(MID(T40,U40,V40-U40),[5]skilldef!$A:$B,2,FALSE),"-")</f>
        <v>- / -</v>
      </c>
      <c r="Z40" s="48"/>
      <c r="AA40" s="50"/>
      <c r="AB40" s="48"/>
    </row>
    <row r="41" spans="1:28" ht="21" customHeight="1" x14ac:dyDescent="0.15">
      <c r="A41" s="45">
        <v>41007040</v>
      </c>
      <c r="B41" s="134" t="s">
        <v>279</v>
      </c>
      <c r="C41" s="48">
        <v>3</v>
      </c>
      <c r="D41" s="48" t="s">
        <v>213</v>
      </c>
      <c r="E41" s="49" t="s">
        <v>280</v>
      </c>
      <c r="F41" s="49" t="s">
        <v>309</v>
      </c>
      <c r="G41" s="61" t="str">
        <f t="shared" ref="G41:G60" si="15">IFERROR(LEFT(B41,FIND("],",B41)),B41)</f>
        <v>[effect:spread, val:0.3]</v>
      </c>
      <c r="H41" s="61">
        <f t="shared" ref="H41:H60" si="16">FIND("effect:",G41)+7</f>
        <v>9</v>
      </c>
      <c r="I41" s="61">
        <f t="shared" ref="I41:I60" si="17">IFERROR(FIND(",",G41),LEN(G41))</f>
        <v>15</v>
      </c>
      <c r="J41" s="61" t="e">
        <f t="shared" ref="J41:J60" si="18">FIND("target:",G41)+7</f>
        <v>#VALUE!</v>
      </c>
      <c r="K41" s="61" t="e">
        <f t="shared" ref="K41:K60" si="19">FIND(",",G41,I41+1)</f>
        <v>#VALUE!</v>
      </c>
      <c r="L41" s="61" t="str">
        <f>IFERROR(VLOOKUP(MID(G41,J41,K41-J41),[5]skilldef!$C:$D,2,FALSE),"-") &amp; " / " &amp; IFERROR(VLOOKUP(MID(G41,H41,I41-H41),[5]skilldef!$A:$B,2,FALSE),"-")</f>
        <v>- / 全体攻撃</v>
      </c>
      <c r="M41" s="61" t="str">
        <f t="shared" ref="M41:M60" si="20">IFERROR(RIGHT(B41,LEN(B41)-FIND("],",B41)-1),"none")</f>
        <v>[effect:hungup, target:unit_all, turn:1, rate:0.2, animation:hungup01]</v>
      </c>
      <c r="N41" s="46" t="str">
        <f t="shared" ref="N41:N46" si="21">IFERROR(LEFT(M41,FIND("],",M41)+S49),M41)</f>
        <v>[effect:hungup, target:unit_all, turn:1, rate:0.2, animation:hungup01]</v>
      </c>
      <c r="O41" s="61">
        <f t="shared" ref="O41:O60" si="22">FIND("effect:",N41)+7</f>
        <v>9</v>
      </c>
      <c r="P41" s="61">
        <f t="shared" ref="P41:P60" si="23">IFERROR(FIND(",",N41),LEN(N41))</f>
        <v>15</v>
      </c>
      <c r="Q41" s="61">
        <f t="shared" ref="Q41:Q60" si="24">FIND("target:",N41)+7</f>
        <v>24</v>
      </c>
      <c r="R41" s="61">
        <f t="shared" ref="R41:R60" si="25">FIND(",",N41,P41+1)</f>
        <v>32</v>
      </c>
      <c r="S41" s="61" t="str">
        <f>IFERROR(VLOOKUP(MID(N41,Q41,R41-Q41),[5]skilldef!$C:$D,2,FALSE),"-") &amp; " / " &amp; IFERROR(VLOOKUP(MID(N41,O41,P41-O41),[5]skilldef!$A:$B,2,FALSE),"-")</f>
        <v>味方全体に / ハングアップ</v>
      </c>
      <c r="T41" s="46" t="str">
        <f t="shared" ref="T41:T60" si="26">IFERROR(RIGHT(M41,LEN(M41)-FIND("],",M41)-1),"none")</f>
        <v>none</v>
      </c>
      <c r="U41" s="61" t="e">
        <f t="shared" ref="U41:U60" si="27">FIND("effect:",T41)+7</f>
        <v>#VALUE!</v>
      </c>
      <c r="V41" s="61">
        <f t="shared" ref="V41:V60" si="28">IFERROR(FIND(",",T41),LEN(T41))</f>
        <v>4</v>
      </c>
      <c r="W41" s="61" t="e">
        <f t="shared" ref="W41:W60" si="29">FIND("target:",T41)+7</f>
        <v>#VALUE!</v>
      </c>
      <c r="X41" s="61" t="e">
        <f t="shared" ref="X41:X60" si="30">FIND(",",T41,V41+1)</f>
        <v>#VALUE!</v>
      </c>
      <c r="Y41" s="61" t="str">
        <f>IFERROR(VLOOKUP(MID(T41,W41,X41-W41),[5]skilldef!$C:$D,2,FALSE),"-") &amp; " / " &amp; IFERROR(VLOOKUP(MID(T41,U41,V41-U41),[5]skilldef!$A:$B,2,FALSE),"-")</f>
        <v>- / -</v>
      </c>
      <c r="Z41" s="48"/>
      <c r="AA41" s="50"/>
      <c r="AB41" s="48"/>
    </row>
    <row r="42" spans="1:28" ht="21" customHeight="1" x14ac:dyDescent="0.15">
      <c r="A42" s="45">
        <v>41007041</v>
      </c>
      <c r="B42" s="45" t="s">
        <v>281</v>
      </c>
      <c r="C42" s="48">
        <v>3</v>
      </c>
      <c r="D42" s="48" t="s">
        <v>213</v>
      </c>
      <c r="E42" s="49" t="s">
        <v>282</v>
      </c>
      <c r="F42" s="49" t="s">
        <v>317</v>
      </c>
      <c r="G42" s="61" t="str">
        <f t="shared" si="15"/>
        <v>[effect:damage_anti_tribe, target:unit_all, tribe:dragon, val1:1.3, val2:0.1]</v>
      </c>
      <c r="H42" s="61">
        <f t="shared" si="16"/>
        <v>9</v>
      </c>
      <c r="I42" s="61">
        <f t="shared" si="17"/>
        <v>26</v>
      </c>
      <c r="J42" s="61">
        <f t="shared" si="18"/>
        <v>35</v>
      </c>
      <c r="K42" s="61">
        <f t="shared" si="19"/>
        <v>43</v>
      </c>
      <c r="L42" s="61" t="str">
        <f>IFERROR(VLOOKUP(MID(G42,J42,K42-J42),[5]skilldef!$C:$D,2,FALSE),"-") &amp; " / " &amp; IFERROR(VLOOKUP(MID(G42,H42,I42-H42),[5]skilldef!$A:$B,2,FALSE),"-")</f>
        <v>味方全体に / 種族キラー</v>
      </c>
      <c r="M42" s="61" t="str">
        <f t="shared" si="20"/>
        <v>none</v>
      </c>
      <c r="N42" s="46" t="str">
        <f t="shared" si="21"/>
        <v>none</v>
      </c>
      <c r="O42" s="61" t="e">
        <f t="shared" si="22"/>
        <v>#VALUE!</v>
      </c>
      <c r="P42" s="61">
        <f t="shared" si="23"/>
        <v>4</v>
      </c>
      <c r="Q42" s="61" t="e">
        <f t="shared" si="24"/>
        <v>#VALUE!</v>
      </c>
      <c r="R42" s="61" t="e">
        <f t="shared" si="25"/>
        <v>#VALUE!</v>
      </c>
      <c r="S42" s="61" t="str">
        <f>IFERROR(VLOOKUP(MID(N42,Q42,R42-Q42),[5]skilldef!$C:$D,2,FALSE),"-") &amp; " / " &amp; IFERROR(VLOOKUP(MID(N42,O42,P42-O42),[5]skilldef!$A:$B,2,FALSE),"-")</f>
        <v>- / -</v>
      </c>
      <c r="T42" s="46" t="str">
        <f t="shared" si="26"/>
        <v>none</v>
      </c>
      <c r="U42" s="61" t="e">
        <f t="shared" si="27"/>
        <v>#VALUE!</v>
      </c>
      <c r="V42" s="61">
        <f t="shared" si="28"/>
        <v>4</v>
      </c>
      <c r="W42" s="61" t="e">
        <f t="shared" si="29"/>
        <v>#VALUE!</v>
      </c>
      <c r="X42" s="61" t="e">
        <f t="shared" si="30"/>
        <v>#VALUE!</v>
      </c>
      <c r="Y42" s="61" t="str">
        <f>IFERROR(VLOOKUP(MID(T42,W42,X42-W42),[5]skilldef!$C:$D,2,FALSE),"-") &amp; " / " &amp; IFERROR(VLOOKUP(MID(T42,U42,V42-U42),[5]skilldef!$A:$B,2,FALSE),"-")</f>
        <v>- / -</v>
      </c>
      <c r="Z42" s="48"/>
      <c r="AA42" s="50"/>
      <c r="AB42" s="48"/>
    </row>
    <row r="43" spans="1:28" ht="21" customHeight="1" x14ac:dyDescent="0.15">
      <c r="A43" s="45">
        <v>41007042</v>
      </c>
      <c r="B43" s="45" t="s">
        <v>283</v>
      </c>
      <c r="C43" s="48">
        <v>3</v>
      </c>
      <c r="D43" s="48" t="s">
        <v>213</v>
      </c>
      <c r="E43" s="49" t="s">
        <v>284</v>
      </c>
      <c r="F43" s="49" t="s">
        <v>370</v>
      </c>
      <c r="G43" s="61" t="str">
        <f t="shared" si="15"/>
        <v>[effect:rush, count:4, val:0.3]</v>
      </c>
      <c r="H43" s="61">
        <f t="shared" si="16"/>
        <v>9</v>
      </c>
      <c r="I43" s="61">
        <f t="shared" si="17"/>
        <v>13</v>
      </c>
      <c r="J43" s="61" t="e">
        <f t="shared" si="18"/>
        <v>#VALUE!</v>
      </c>
      <c r="K43" s="61">
        <f t="shared" si="19"/>
        <v>22</v>
      </c>
      <c r="L43" s="61" t="str">
        <f>IFERROR(VLOOKUP(MID(G43,J43,K43-J43),[5]skilldef!$C:$D,2,FALSE),"-") &amp; " / " &amp; IFERROR(VLOOKUP(MID(G43,H43,I43-H43),[5]skilldef!$A:$B,2,FALSE),"-")</f>
        <v>- / 連続攻撃</v>
      </c>
      <c r="M43" s="61" t="str">
        <f t="shared" si="20"/>
        <v>none</v>
      </c>
      <c r="N43" s="46" t="str">
        <f t="shared" si="21"/>
        <v>none</v>
      </c>
      <c r="O43" s="61" t="e">
        <f t="shared" si="22"/>
        <v>#VALUE!</v>
      </c>
      <c r="P43" s="61">
        <f t="shared" si="23"/>
        <v>4</v>
      </c>
      <c r="Q43" s="61" t="e">
        <f t="shared" si="24"/>
        <v>#VALUE!</v>
      </c>
      <c r="R43" s="61" t="e">
        <f t="shared" si="25"/>
        <v>#VALUE!</v>
      </c>
      <c r="S43" s="61" t="str">
        <f>IFERROR(VLOOKUP(MID(N43,Q43,R43-Q43),[5]skilldef!$C:$D,2,FALSE),"-") &amp; " / " &amp; IFERROR(VLOOKUP(MID(N43,O43,P43-O43),[5]skilldef!$A:$B,2,FALSE),"-")</f>
        <v>- / -</v>
      </c>
      <c r="T43" s="46" t="str">
        <f t="shared" si="26"/>
        <v>none</v>
      </c>
      <c r="U43" s="61" t="e">
        <f t="shared" si="27"/>
        <v>#VALUE!</v>
      </c>
      <c r="V43" s="61">
        <f t="shared" si="28"/>
        <v>4</v>
      </c>
      <c r="W43" s="61" t="e">
        <f t="shared" si="29"/>
        <v>#VALUE!</v>
      </c>
      <c r="X43" s="61" t="e">
        <f t="shared" si="30"/>
        <v>#VALUE!</v>
      </c>
      <c r="Y43" s="61" t="str">
        <f>IFERROR(VLOOKUP(MID(T43,W43,X43-W43),[5]skilldef!$C:$D,2,FALSE),"-") &amp; " / " &amp; IFERROR(VLOOKUP(MID(T43,U43,V43-U43),[5]skilldef!$A:$B,2,FALSE),"-")</f>
        <v>- / -</v>
      </c>
      <c r="Z43" s="48"/>
      <c r="AA43" s="50"/>
      <c r="AB43" s="48"/>
    </row>
    <row r="44" spans="1:28" ht="21" customHeight="1" x14ac:dyDescent="0.15">
      <c r="A44" s="45">
        <v>41007043</v>
      </c>
      <c r="B44" s="45" t="s">
        <v>345</v>
      </c>
      <c r="C44" s="48">
        <v>3</v>
      </c>
      <c r="D44" s="48" t="s">
        <v>213</v>
      </c>
      <c r="E44" s="49" t="s">
        <v>285</v>
      </c>
      <c r="F44" s="49" t="s">
        <v>316</v>
      </c>
      <c r="G44" s="61" t="str">
        <f t="shared" si="15"/>
        <v>[effect:enemy_message, val1:1.4]</v>
      </c>
      <c r="H44" s="61">
        <f t="shared" si="16"/>
        <v>9</v>
      </c>
      <c r="I44" s="61">
        <f t="shared" si="17"/>
        <v>22</v>
      </c>
      <c r="J44" s="61" t="e">
        <f t="shared" si="18"/>
        <v>#VALUE!</v>
      </c>
      <c r="K44" s="61" t="e">
        <f t="shared" si="19"/>
        <v>#VALUE!</v>
      </c>
      <c r="L44" s="61" t="str">
        <f>IFERROR(VLOOKUP(MID(G44,J44,K44-J44),[5]skilldef!$C:$D,2,FALSE),"-") &amp; " / " &amp; IFERROR(VLOOKUP(MID(G44,H44,I44-H44),[5]skilldef!$A:$B,2,FALSE),"-")</f>
        <v>- / -</v>
      </c>
      <c r="M44" s="61" t="str">
        <f t="shared" si="20"/>
        <v>[effect:tolerance, target:myself, turn:-1, tolerance_effect:hungup, count:-1, animation:enemy_tolerance],[effect:invalidate_change_block, target:unit_all, block_type:crash, turn:-1, animation:panel_conversion_off]</v>
      </c>
      <c r="N44" s="46" t="str">
        <f t="shared" si="21"/>
        <v>[effect:tolerance, target:myself, turn:-1, tolerance_effect:hungup, count:-1, animation:enemy_tolerance],[effect:invalidate_change_block, target:unit_all, block_type:crash, turn:-1, animation:panel_conversion_off]</v>
      </c>
      <c r="O44" s="61">
        <f t="shared" si="22"/>
        <v>9</v>
      </c>
      <c r="P44" s="61">
        <f t="shared" si="23"/>
        <v>18</v>
      </c>
      <c r="Q44" s="61">
        <f t="shared" si="24"/>
        <v>27</v>
      </c>
      <c r="R44" s="61">
        <f t="shared" si="25"/>
        <v>33</v>
      </c>
      <c r="S44" s="61" t="str">
        <f>IFERROR(VLOOKUP(MID(N44,Q44,R44-Q44),[5]skilldef!$C:$D,2,FALSE),"-") &amp; " / " &amp; IFERROR(VLOOKUP(MID(N44,O44,P44-O44),[5]skilldef!$A:$B,2,FALSE),"-")</f>
        <v>自分自身に / 状態異常耐性</v>
      </c>
      <c r="T44" s="46" t="str">
        <f t="shared" si="26"/>
        <v>[effect:invalidate_change_block, target:unit_all, block_type:crash, turn:-1, animation:panel_conversion_off]</v>
      </c>
      <c r="U44" s="61">
        <f t="shared" si="27"/>
        <v>9</v>
      </c>
      <c r="V44" s="61">
        <f t="shared" si="28"/>
        <v>32</v>
      </c>
      <c r="W44" s="61">
        <f t="shared" si="29"/>
        <v>41</v>
      </c>
      <c r="X44" s="61">
        <f t="shared" si="30"/>
        <v>49</v>
      </c>
      <c r="Y44" s="61" t="str">
        <f>IFERROR(VLOOKUP(MID(T44,W44,X44-W44),[5]skilldef!$C:$D,2,FALSE),"-") &amp; " / " &amp; IFERROR(VLOOKUP(MID(T44,U44,V44-U44),[5]skilldef!$A:$B,2,FALSE),"-")</f>
        <v>味方全体に / -</v>
      </c>
      <c r="Z44" s="48"/>
      <c r="AA44" s="50"/>
      <c r="AB44" s="48"/>
    </row>
    <row r="45" spans="1:28" ht="21" customHeight="1" x14ac:dyDescent="0.15">
      <c r="A45" s="45">
        <v>41007044</v>
      </c>
      <c r="B45" s="134" t="s">
        <v>279</v>
      </c>
      <c r="C45" s="48">
        <v>3</v>
      </c>
      <c r="D45" s="48" t="s">
        <v>213</v>
      </c>
      <c r="E45" s="49" t="s">
        <v>280</v>
      </c>
      <c r="F45" s="49" t="s">
        <v>309</v>
      </c>
      <c r="G45" s="61" t="str">
        <f t="shared" si="15"/>
        <v>[effect:spread, val:0.3]</v>
      </c>
      <c r="H45" s="61">
        <f t="shared" si="16"/>
        <v>9</v>
      </c>
      <c r="I45" s="61">
        <f t="shared" si="17"/>
        <v>15</v>
      </c>
      <c r="J45" s="61" t="e">
        <f t="shared" si="18"/>
        <v>#VALUE!</v>
      </c>
      <c r="K45" s="61" t="e">
        <f t="shared" si="19"/>
        <v>#VALUE!</v>
      </c>
      <c r="L45" s="61" t="str">
        <f>IFERROR(VLOOKUP(MID(G45,J45,K45-J45),[5]skilldef!$C:$D,2,FALSE),"-") &amp; " / " &amp; IFERROR(VLOOKUP(MID(G45,H45,I45-H45),[5]skilldef!$A:$B,2,FALSE),"-")</f>
        <v>- / 全体攻撃</v>
      </c>
      <c r="M45" s="61" t="str">
        <f t="shared" si="20"/>
        <v>[effect:hungup, target:unit_all, turn:1, rate:0.2, animation:hungup01]</v>
      </c>
      <c r="N45" s="46" t="str">
        <f t="shared" si="21"/>
        <v>[effect:hungup, target:unit_all, turn:1, rate:0.2, animation:hungup01]</v>
      </c>
      <c r="O45" s="61">
        <f t="shared" si="22"/>
        <v>9</v>
      </c>
      <c r="P45" s="61">
        <f t="shared" si="23"/>
        <v>15</v>
      </c>
      <c r="Q45" s="61">
        <f t="shared" si="24"/>
        <v>24</v>
      </c>
      <c r="R45" s="61">
        <f t="shared" si="25"/>
        <v>32</v>
      </c>
      <c r="S45" s="61" t="str">
        <f>IFERROR(VLOOKUP(MID(N45,Q45,R45-Q45),[5]skilldef!$C:$D,2,FALSE),"-") &amp; " / " &amp; IFERROR(VLOOKUP(MID(N45,O45,P45-O45),[5]skilldef!$A:$B,2,FALSE),"-")</f>
        <v>味方全体に / ハングアップ</v>
      </c>
      <c r="T45" s="46" t="str">
        <f t="shared" si="26"/>
        <v>none</v>
      </c>
      <c r="U45" s="61" t="e">
        <f t="shared" si="27"/>
        <v>#VALUE!</v>
      </c>
      <c r="V45" s="61">
        <f t="shared" si="28"/>
        <v>4</v>
      </c>
      <c r="W45" s="61" t="e">
        <f t="shared" si="29"/>
        <v>#VALUE!</v>
      </c>
      <c r="X45" s="61" t="e">
        <f t="shared" si="30"/>
        <v>#VALUE!</v>
      </c>
      <c r="Y45" s="61" t="str">
        <f>IFERROR(VLOOKUP(MID(T45,W45,X45-W45),[5]skilldef!$C:$D,2,FALSE),"-") &amp; " / " &amp; IFERROR(VLOOKUP(MID(T45,U45,V45-U45),[5]skilldef!$A:$B,2,FALSE),"-")</f>
        <v>- / -</v>
      </c>
      <c r="Z45" s="48"/>
      <c r="AA45" s="50"/>
      <c r="AB45" s="48"/>
    </row>
    <row r="46" spans="1:28" ht="21" customHeight="1" x14ac:dyDescent="0.15">
      <c r="A46" s="45">
        <v>41007045</v>
      </c>
      <c r="B46" s="45" t="s">
        <v>261</v>
      </c>
      <c r="C46" s="48">
        <v>3</v>
      </c>
      <c r="D46" s="48" t="s">
        <v>213</v>
      </c>
      <c r="E46" s="49" t="s">
        <v>286</v>
      </c>
      <c r="F46" s="49" t="s">
        <v>310</v>
      </c>
      <c r="G46" s="61" t="str">
        <f t="shared" si="15"/>
        <v>[effect:rush, count:6, val:0.2]</v>
      </c>
      <c r="H46" s="61">
        <f t="shared" si="16"/>
        <v>9</v>
      </c>
      <c r="I46" s="61">
        <f t="shared" si="17"/>
        <v>13</v>
      </c>
      <c r="J46" s="61" t="e">
        <f t="shared" si="18"/>
        <v>#VALUE!</v>
      </c>
      <c r="K46" s="61">
        <f t="shared" si="19"/>
        <v>22</v>
      </c>
      <c r="L46" s="61" t="str">
        <f>IFERROR(VLOOKUP(MID(G46,J46,K46-J46),[5]skilldef!$C:$D,2,FALSE),"-") &amp; " / " &amp; IFERROR(VLOOKUP(MID(G46,H46,I46-H46),[5]skilldef!$A:$B,2,FALSE),"-")</f>
        <v>- / 連続攻撃</v>
      </c>
      <c r="M46" s="61" t="str">
        <f t="shared" si="20"/>
        <v>none</v>
      </c>
      <c r="N46" s="46" t="str">
        <f t="shared" si="21"/>
        <v>none</v>
      </c>
      <c r="O46" s="61" t="e">
        <f t="shared" si="22"/>
        <v>#VALUE!</v>
      </c>
      <c r="P46" s="61">
        <f t="shared" si="23"/>
        <v>4</v>
      </c>
      <c r="Q46" s="61" t="e">
        <f t="shared" si="24"/>
        <v>#VALUE!</v>
      </c>
      <c r="R46" s="61" t="e">
        <f t="shared" si="25"/>
        <v>#VALUE!</v>
      </c>
      <c r="S46" s="61" t="str">
        <f>IFERROR(VLOOKUP(MID(N46,Q46,R46-Q46),[5]skilldef!$C:$D,2,FALSE),"-") &amp; " / " &amp; IFERROR(VLOOKUP(MID(N46,O46,P46-O46),[5]skilldef!$A:$B,2,FALSE),"-")</f>
        <v>- / -</v>
      </c>
      <c r="T46" s="46" t="str">
        <f t="shared" si="26"/>
        <v>none</v>
      </c>
      <c r="U46" s="61" t="e">
        <f t="shared" si="27"/>
        <v>#VALUE!</v>
      </c>
      <c r="V46" s="61">
        <f t="shared" si="28"/>
        <v>4</v>
      </c>
      <c r="W46" s="61" t="e">
        <f t="shared" si="29"/>
        <v>#VALUE!</v>
      </c>
      <c r="X46" s="61" t="e">
        <f t="shared" si="30"/>
        <v>#VALUE!</v>
      </c>
      <c r="Y46" s="61" t="str">
        <f>IFERROR(VLOOKUP(MID(T46,W46,X46-W46),[5]skilldef!$C:$D,2,FALSE),"-") &amp; " / " &amp; IFERROR(VLOOKUP(MID(T46,U46,V46-U46),[5]skilldef!$A:$B,2,FALSE),"-")</f>
        <v>- / -</v>
      </c>
      <c r="Z46" s="48"/>
      <c r="AA46" s="50"/>
      <c r="AB46" s="48"/>
    </row>
    <row r="47" spans="1:28" ht="21" customHeight="1" x14ac:dyDescent="0.15">
      <c r="A47" s="45">
        <v>41007046</v>
      </c>
      <c r="B47" s="134" t="s">
        <v>287</v>
      </c>
      <c r="C47" s="48">
        <v>3</v>
      </c>
      <c r="D47" s="48" t="s">
        <v>213</v>
      </c>
      <c r="E47" s="49" t="s">
        <v>288</v>
      </c>
      <c r="F47" s="49" t="s">
        <v>315</v>
      </c>
      <c r="G47" s="61" t="str">
        <f t="shared" si="15"/>
        <v>[effect:hungup, target:unit_all, turn:2, rate:1, animation:hungup01]</v>
      </c>
      <c r="H47" s="61">
        <f t="shared" si="16"/>
        <v>9</v>
      </c>
      <c r="I47" s="61">
        <f t="shared" si="17"/>
        <v>15</v>
      </c>
      <c r="J47" s="61">
        <f t="shared" si="18"/>
        <v>24</v>
      </c>
      <c r="K47" s="61">
        <f t="shared" si="19"/>
        <v>32</v>
      </c>
      <c r="L47" s="61" t="str">
        <f>IFERROR(VLOOKUP(MID(G47,J47,K47-J47),[5]skilldef!$C:$D,2,FALSE),"-") &amp; " / " &amp; IFERROR(VLOOKUP(MID(G47,H47,I47-H47),[5]skilldef!$A:$B,2,FALSE),"-")</f>
        <v>味方全体に / ハングアップ</v>
      </c>
      <c r="M47" s="61" t="str">
        <f t="shared" si="20"/>
        <v>none</v>
      </c>
      <c r="N47" s="46" t="str">
        <f>IFERROR(LEFT(M47,FIND("],",M47)+S56),M47)</f>
        <v>none</v>
      </c>
      <c r="O47" s="61" t="e">
        <f t="shared" si="22"/>
        <v>#VALUE!</v>
      </c>
      <c r="P47" s="61">
        <f t="shared" si="23"/>
        <v>4</v>
      </c>
      <c r="Q47" s="61" t="e">
        <f t="shared" si="24"/>
        <v>#VALUE!</v>
      </c>
      <c r="R47" s="61" t="e">
        <f t="shared" si="25"/>
        <v>#VALUE!</v>
      </c>
      <c r="S47" s="61" t="str">
        <f>IFERROR(VLOOKUP(MID(N47,Q47,R47-Q47),[5]skilldef!$C:$D,2,FALSE),"-") &amp; " / " &amp; IFERROR(VLOOKUP(MID(N47,O47,P47-O47),[5]skilldef!$A:$B,2,FALSE),"-")</f>
        <v>- / -</v>
      </c>
      <c r="T47" s="46" t="str">
        <f t="shared" si="26"/>
        <v>none</v>
      </c>
      <c r="U47" s="61" t="e">
        <f t="shared" si="27"/>
        <v>#VALUE!</v>
      </c>
      <c r="V47" s="61">
        <f t="shared" si="28"/>
        <v>4</v>
      </c>
      <c r="W47" s="61" t="e">
        <f t="shared" si="29"/>
        <v>#VALUE!</v>
      </c>
      <c r="X47" s="61" t="e">
        <f t="shared" si="30"/>
        <v>#VALUE!</v>
      </c>
      <c r="Y47" s="61" t="str">
        <f>IFERROR(VLOOKUP(MID(T47,W47,X47-W47),[5]skilldef!$C:$D,2,FALSE),"-") &amp; " / " &amp; IFERROR(VLOOKUP(MID(T47,U47,V47-U47),[5]skilldef!$A:$B,2,FALSE),"-")</f>
        <v>- / -</v>
      </c>
      <c r="Z47" s="48"/>
      <c r="AA47" s="50"/>
      <c r="AB47" s="48"/>
    </row>
    <row r="48" spans="1:28" ht="21" customHeight="1" x14ac:dyDescent="0.15">
      <c r="A48" s="45">
        <v>41007047</v>
      </c>
      <c r="B48" s="45" t="s">
        <v>289</v>
      </c>
      <c r="C48" s="48">
        <v>3</v>
      </c>
      <c r="D48" s="48" t="s">
        <v>213</v>
      </c>
      <c r="E48" s="49" t="s">
        <v>290</v>
      </c>
      <c r="F48" s="49" t="s">
        <v>314</v>
      </c>
      <c r="G48" s="61" t="str">
        <f t="shared" si="15"/>
        <v>[effect:damage_anti_tribe, target:unit_all, tribe:god, val1:1.3, val2:0.1]</v>
      </c>
      <c r="H48" s="61">
        <f t="shared" si="16"/>
        <v>9</v>
      </c>
      <c r="I48" s="61">
        <f t="shared" si="17"/>
        <v>26</v>
      </c>
      <c r="J48" s="61">
        <f t="shared" si="18"/>
        <v>35</v>
      </c>
      <c r="K48" s="61">
        <f t="shared" si="19"/>
        <v>43</v>
      </c>
      <c r="L48" s="61" t="str">
        <f>IFERROR(VLOOKUP(MID(G48,J48,K48-J48),[5]skilldef!$C:$D,2,FALSE),"-") &amp; " / " &amp; IFERROR(VLOOKUP(MID(G48,H48,I48-H48),[5]skilldef!$A:$B,2,FALSE),"-")</f>
        <v>味方全体に / 種族キラー</v>
      </c>
      <c r="M48" s="61" t="str">
        <f t="shared" si="20"/>
        <v>none</v>
      </c>
      <c r="N48" s="46" t="str">
        <f>IFERROR(LEFT(M48,FIND("],",M48)+S57),M48)</f>
        <v>none</v>
      </c>
      <c r="O48" s="61" t="e">
        <f t="shared" si="22"/>
        <v>#VALUE!</v>
      </c>
      <c r="P48" s="61">
        <f t="shared" si="23"/>
        <v>4</v>
      </c>
      <c r="Q48" s="61" t="e">
        <f t="shared" si="24"/>
        <v>#VALUE!</v>
      </c>
      <c r="R48" s="61" t="e">
        <f t="shared" si="25"/>
        <v>#VALUE!</v>
      </c>
      <c r="S48" s="61" t="str">
        <f>IFERROR(VLOOKUP(MID(N48,Q48,R48-Q48),[5]skilldef!$C:$D,2,FALSE),"-") &amp; " / " &amp; IFERROR(VLOOKUP(MID(N48,O48,P48-O48),[5]skilldef!$A:$B,2,FALSE),"-")</f>
        <v>- / -</v>
      </c>
      <c r="T48" s="46" t="str">
        <f t="shared" si="26"/>
        <v>none</v>
      </c>
      <c r="U48" s="61" t="e">
        <f t="shared" si="27"/>
        <v>#VALUE!</v>
      </c>
      <c r="V48" s="61">
        <f t="shared" si="28"/>
        <v>4</v>
      </c>
      <c r="W48" s="61" t="e">
        <f t="shared" si="29"/>
        <v>#VALUE!</v>
      </c>
      <c r="X48" s="61" t="e">
        <f t="shared" si="30"/>
        <v>#VALUE!</v>
      </c>
      <c r="Y48" s="61" t="str">
        <f>IFERROR(VLOOKUP(MID(T48,W48,X48-W48),[5]skilldef!$C:$D,2,FALSE),"-") &amp; " / " &amp; IFERROR(VLOOKUP(MID(T48,U48,V48-U48),[5]skilldef!$A:$B,2,FALSE),"-")</f>
        <v>- / -</v>
      </c>
      <c r="Z48" s="48"/>
      <c r="AA48" s="50"/>
      <c r="AB48" s="48"/>
    </row>
    <row r="49" spans="1:28" ht="21" customHeight="1" x14ac:dyDescent="0.15">
      <c r="A49" s="45">
        <v>41007048</v>
      </c>
      <c r="B49" s="45" t="s">
        <v>291</v>
      </c>
      <c r="C49" s="48">
        <v>3</v>
      </c>
      <c r="D49" s="48" t="s">
        <v>292</v>
      </c>
      <c r="E49" s="49" t="s">
        <v>293</v>
      </c>
      <c r="F49" s="49" t="s">
        <v>385</v>
      </c>
      <c r="G49" s="61" t="str">
        <f t="shared" si="15"/>
        <v>[effect:tolerance, target:myself, turn:-1, tolerance_effect:hungup, count:-1, animation:enemy_tolerance]</v>
      </c>
      <c r="H49" s="61">
        <f t="shared" si="16"/>
        <v>9</v>
      </c>
      <c r="I49" s="61">
        <f t="shared" si="17"/>
        <v>18</v>
      </c>
      <c r="J49" s="61">
        <f t="shared" si="18"/>
        <v>27</v>
      </c>
      <c r="K49" s="61">
        <f t="shared" si="19"/>
        <v>33</v>
      </c>
      <c r="L49" s="61" t="str">
        <f>IFERROR(VLOOKUP(MID(G49,J49,K49-J49),[5]skilldef!$C:$D,2,FALSE),"-") &amp; " / " &amp; IFERROR(VLOOKUP(MID(G49,H49,I49-H49),[5]skilldef!$A:$B,2,FALSE),"-")</f>
        <v>自分自身に / 状態異常耐性</v>
      </c>
      <c r="M49" s="61" t="str">
        <f t="shared" si="20"/>
        <v>[effect:enhance_enemy, target:myself, turn:5, status:defense, val:3000, calc:add, animation:enemy_enhance_defense]</v>
      </c>
      <c r="N49" s="46" t="str">
        <f t="shared" ref="N49:N55" si="31">IFERROR(LEFT(M49,FIND("],",M49)+S60),M49)</f>
        <v>[effect:enhance_enemy, target:myself, turn:5, status:defense, val:3000, calc:add, animation:enemy_enhance_defense]</v>
      </c>
      <c r="O49" s="61">
        <f t="shared" si="22"/>
        <v>9</v>
      </c>
      <c r="P49" s="61">
        <f t="shared" si="23"/>
        <v>22</v>
      </c>
      <c r="Q49" s="61">
        <f t="shared" si="24"/>
        <v>31</v>
      </c>
      <c r="R49" s="61">
        <f t="shared" si="25"/>
        <v>37</v>
      </c>
      <c r="S49" s="61" t="str">
        <f>IFERROR(VLOOKUP(MID(N49,Q49,R49-Q49),[5]skilldef!$C:$D,2,FALSE),"-") &amp; " / " &amp; IFERROR(VLOOKUP(MID(N49,O49,P49-O49),[5]skilldef!$A:$B,2,FALSE),"-")</f>
        <v>自分自身に / ステータス強化</v>
      </c>
      <c r="T49" s="46" t="str">
        <f t="shared" si="26"/>
        <v>none</v>
      </c>
      <c r="U49" s="61" t="e">
        <f t="shared" si="27"/>
        <v>#VALUE!</v>
      </c>
      <c r="V49" s="61">
        <f t="shared" si="28"/>
        <v>4</v>
      </c>
      <c r="W49" s="61" t="e">
        <f t="shared" si="29"/>
        <v>#VALUE!</v>
      </c>
      <c r="X49" s="61" t="e">
        <f t="shared" si="30"/>
        <v>#VALUE!</v>
      </c>
      <c r="Y49" s="61" t="str">
        <f>IFERROR(VLOOKUP(MID(T49,W49,X49-W49),[5]skilldef!$C:$D,2,FALSE),"-") &amp; " / " &amp; IFERROR(VLOOKUP(MID(T49,U49,V49-U49),[5]skilldef!$A:$B,2,FALSE),"-")</f>
        <v>- / -</v>
      </c>
      <c r="Z49" s="48"/>
      <c r="AA49" s="50"/>
      <c r="AB49" s="48"/>
    </row>
    <row r="50" spans="1:28" ht="21" customHeight="1" x14ac:dyDescent="0.15">
      <c r="A50" s="45">
        <v>41007049</v>
      </c>
      <c r="B50" s="177" t="s">
        <v>372</v>
      </c>
      <c r="C50" s="48">
        <v>3</v>
      </c>
      <c r="D50" s="48" t="s">
        <v>213</v>
      </c>
      <c r="E50" s="49" t="s">
        <v>294</v>
      </c>
      <c r="F50" s="49" t="s">
        <v>386</v>
      </c>
      <c r="G50" s="61" t="str">
        <f t="shared" si="15"/>
        <v>[effect:enemy_message, val1:1.2, val2:2.4]</v>
      </c>
      <c r="H50" s="61">
        <f t="shared" si="16"/>
        <v>9</v>
      </c>
      <c r="I50" s="61">
        <f t="shared" si="17"/>
        <v>22</v>
      </c>
      <c r="J50" s="61" t="e">
        <f t="shared" si="18"/>
        <v>#VALUE!</v>
      </c>
      <c r="K50" s="61">
        <f t="shared" si="19"/>
        <v>32</v>
      </c>
      <c r="L50" s="61" t="str">
        <f>IFERROR(VLOOKUP(MID(G50,J50,K50-J50),[5]skilldef!$C:$D,2,FALSE),"-") &amp; " / " &amp; IFERROR(VLOOKUP(MID(G50,H50,I50-H50),[5]skilldef!$A:$B,2,FALSE),"-")</f>
        <v>- / -</v>
      </c>
      <c r="M50" s="61" t="str">
        <f t="shared" si="20"/>
        <v>[effect:crash_condition, target:unit_all, val:6, turn:5, animation:crash_panel_reduce03]</v>
      </c>
      <c r="N50" s="46" t="str">
        <f t="shared" si="31"/>
        <v>[effect:crash_condition, target:unit_all, val:6, turn:5, animation:crash_panel_reduce03]</v>
      </c>
      <c r="O50" s="61">
        <f t="shared" si="22"/>
        <v>9</v>
      </c>
      <c r="P50" s="61">
        <f t="shared" si="23"/>
        <v>24</v>
      </c>
      <c r="Q50" s="61">
        <f t="shared" si="24"/>
        <v>33</v>
      </c>
      <c r="R50" s="61">
        <f t="shared" si="25"/>
        <v>41</v>
      </c>
      <c r="S50" s="61" t="str">
        <f>IFERROR(VLOOKUP(MID(N50,Q50,R50-Q50),[5]skilldef!$C:$D,2,FALSE),"-") &amp; " / " &amp; IFERROR(VLOOKUP(MID(N50,O50,P50-O50),[5]skilldef!$A:$B,2,FALSE),"-")</f>
        <v>味方全体に / -</v>
      </c>
      <c r="T50" s="46" t="str">
        <f t="shared" si="26"/>
        <v>none</v>
      </c>
      <c r="U50" s="61" t="e">
        <f t="shared" si="27"/>
        <v>#VALUE!</v>
      </c>
      <c r="V50" s="61">
        <f t="shared" si="28"/>
        <v>4</v>
      </c>
      <c r="W50" s="61" t="e">
        <f t="shared" si="29"/>
        <v>#VALUE!</v>
      </c>
      <c r="X50" s="61" t="e">
        <f t="shared" si="30"/>
        <v>#VALUE!</v>
      </c>
      <c r="Y50" s="61" t="str">
        <f>IFERROR(VLOOKUP(MID(T50,W50,X50-W50),[5]skilldef!$C:$D,2,FALSE),"-") &amp; " / " &amp; IFERROR(VLOOKUP(MID(T50,U50,V50-U50),[5]skilldef!$A:$B,2,FALSE),"-")</f>
        <v>- / -</v>
      </c>
      <c r="Z50" s="48"/>
      <c r="AA50" s="50"/>
      <c r="AB50" s="48"/>
    </row>
    <row r="51" spans="1:28" ht="21" customHeight="1" x14ac:dyDescent="0.15">
      <c r="A51" s="45">
        <v>41007050</v>
      </c>
      <c r="B51" s="45" t="s">
        <v>295</v>
      </c>
      <c r="C51" s="48">
        <v>3</v>
      </c>
      <c r="D51" s="48" t="s">
        <v>213</v>
      </c>
      <c r="E51" s="49" t="s">
        <v>296</v>
      </c>
      <c r="F51" s="49" t="s">
        <v>308</v>
      </c>
      <c r="G51" s="61" t="str">
        <f t="shared" si="15"/>
        <v>[effect:break_attack, val:0.3, lowest_val:333, count:-1, block:block_heart, target:unit_one]</v>
      </c>
      <c r="H51" s="61">
        <f t="shared" si="16"/>
        <v>9</v>
      </c>
      <c r="I51" s="61">
        <f t="shared" si="17"/>
        <v>21</v>
      </c>
      <c r="J51" s="61">
        <f t="shared" si="18"/>
        <v>84</v>
      </c>
      <c r="K51" s="61">
        <f t="shared" si="19"/>
        <v>30</v>
      </c>
      <c r="L51" s="61" t="str">
        <f>IFERROR(VLOOKUP(MID(G51,J51,K51-J51),[5]skilldef!$C:$D,2,FALSE),"-") &amp; " / " &amp; IFERROR(VLOOKUP(MID(G51,H51,I51-H51),[5]skilldef!$A:$B,2,FALSE),"-")</f>
        <v>- / -</v>
      </c>
      <c r="M51" s="61" t="str">
        <f t="shared" si="20"/>
        <v>none</v>
      </c>
      <c r="N51" s="46" t="str">
        <f t="shared" si="31"/>
        <v>none</v>
      </c>
      <c r="O51" s="61" t="e">
        <f t="shared" si="22"/>
        <v>#VALUE!</v>
      </c>
      <c r="P51" s="61">
        <f t="shared" si="23"/>
        <v>4</v>
      </c>
      <c r="Q51" s="61" t="e">
        <f t="shared" si="24"/>
        <v>#VALUE!</v>
      </c>
      <c r="R51" s="61" t="e">
        <f t="shared" si="25"/>
        <v>#VALUE!</v>
      </c>
      <c r="S51" s="61" t="str">
        <f>IFERROR(VLOOKUP(MID(N51,Q51,R51-Q51),[5]skilldef!$C:$D,2,FALSE),"-") &amp; " / " &amp; IFERROR(VLOOKUP(MID(N51,O51,P51-O51),[5]skilldef!$A:$B,2,FALSE),"-")</f>
        <v>- / -</v>
      </c>
      <c r="T51" s="46" t="str">
        <f t="shared" si="26"/>
        <v>none</v>
      </c>
      <c r="U51" s="61" t="e">
        <f t="shared" si="27"/>
        <v>#VALUE!</v>
      </c>
      <c r="V51" s="61">
        <f t="shared" si="28"/>
        <v>4</v>
      </c>
      <c r="W51" s="61" t="e">
        <f t="shared" si="29"/>
        <v>#VALUE!</v>
      </c>
      <c r="X51" s="61" t="e">
        <f t="shared" si="30"/>
        <v>#VALUE!</v>
      </c>
      <c r="Y51" s="61" t="str">
        <f>IFERROR(VLOOKUP(MID(T51,W51,X51-W51),[5]skilldef!$C:$D,2,FALSE),"-") &amp; " / " &amp; IFERROR(VLOOKUP(MID(T51,U51,V51-U51),[5]skilldef!$A:$B,2,FALSE),"-")</f>
        <v>- / -</v>
      </c>
      <c r="Z51" s="48"/>
      <c r="AA51" s="50"/>
      <c r="AB51" s="48"/>
    </row>
    <row r="52" spans="1:28" ht="21" customHeight="1" x14ac:dyDescent="0.15">
      <c r="A52" s="45">
        <v>41007051</v>
      </c>
      <c r="B52" s="134" t="s">
        <v>279</v>
      </c>
      <c r="C52" s="48">
        <v>3</v>
      </c>
      <c r="D52" s="48" t="s">
        <v>213</v>
      </c>
      <c r="E52" s="49" t="s">
        <v>280</v>
      </c>
      <c r="F52" s="49" t="s">
        <v>309</v>
      </c>
      <c r="G52" s="61" t="str">
        <f t="shared" si="15"/>
        <v>[effect:spread, val:0.3]</v>
      </c>
      <c r="H52" s="61">
        <f t="shared" si="16"/>
        <v>9</v>
      </c>
      <c r="I52" s="61">
        <f t="shared" si="17"/>
        <v>15</v>
      </c>
      <c r="J52" s="61" t="e">
        <f t="shared" si="18"/>
        <v>#VALUE!</v>
      </c>
      <c r="K52" s="61" t="e">
        <f t="shared" si="19"/>
        <v>#VALUE!</v>
      </c>
      <c r="L52" s="61" t="str">
        <f>IFERROR(VLOOKUP(MID(G52,J52,K52-J52),[5]skilldef!$C:$D,2,FALSE),"-") &amp; " / " &amp; IFERROR(VLOOKUP(MID(G52,H52,I52-H52),[5]skilldef!$A:$B,2,FALSE),"-")</f>
        <v>- / 全体攻撃</v>
      </c>
      <c r="M52" s="61" t="str">
        <f t="shared" si="20"/>
        <v>[effect:hungup, target:unit_all, turn:1, rate:0.2, animation:hungup01]</v>
      </c>
      <c r="N52" s="46" t="str">
        <f t="shared" si="31"/>
        <v>[effect:hungup, target:unit_all, turn:1, rate:0.2, animation:hungup01]</v>
      </c>
      <c r="O52" s="61">
        <f t="shared" si="22"/>
        <v>9</v>
      </c>
      <c r="P52" s="61">
        <f t="shared" si="23"/>
        <v>15</v>
      </c>
      <c r="Q52" s="61">
        <f t="shared" si="24"/>
        <v>24</v>
      </c>
      <c r="R52" s="61">
        <f t="shared" si="25"/>
        <v>32</v>
      </c>
      <c r="S52" s="61" t="str">
        <f>IFERROR(VLOOKUP(MID(N52,Q52,R52-Q52),[5]skilldef!$C:$D,2,FALSE),"-") &amp; " / " &amp; IFERROR(VLOOKUP(MID(N52,O52,P52-O52),[5]skilldef!$A:$B,2,FALSE),"-")</f>
        <v>味方全体に / ハングアップ</v>
      </c>
      <c r="T52" s="46" t="str">
        <f t="shared" si="26"/>
        <v>none</v>
      </c>
      <c r="U52" s="61" t="e">
        <f t="shared" si="27"/>
        <v>#VALUE!</v>
      </c>
      <c r="V52" s="61">
        <f t="shared" si="28"/>
        <v>4</v>
      </c>
      <c r="W52" s="61" t="e">
        <f t="shared" si="29"/>
        <v>#VALUE!</v>
      </c>
      <c r="X52" s="61" t="e">
        <f t="shared" si="30"/>
        <v>#VALUE!</v>
      </c>
      <c r="Y52" s="61" t="str">
        <f>IFERROR(VLOOKUP(MID(T52,W52,X52-W52),[5]skilldef!$C:$D,2,FALSE),"-") &amp; " / " &amp; IFERROR(VLOOKUP(MID(T52,U52,V52-U52),[5]skilldef!$A:$B,2,FALSE),"-")</f>
        <v>- / -</v>
      </c>
      <c r="Z52" s="48"/>
      <c r="AA52" s="50"/>
      <c r="AB52" s="48"/>
    </row>
    <row r="53" spans="1:28" ht="21" customHeight="1" x14ac:dyDescent="0.15">
      <c r="A53" s="45">
        <v>41007052</v>
      </c>
      <c r="B53" s="45" t="s">
        <v>261</v>
      </c>
      <c r="C53" s="48">
        <v>3</v>
      </c>
      <c r="D53" s="48" t="s">
        <v>213</v>
      </c>
      <c r="E53" s="49" t="s">
        <v>286</v>
      </c>
      <c r="F53" s="49" t="s">
        <v>310</v>
      </c>
      <c r="G53" s="61" t="str">
        <f t="shared" si="15"/>
        <v>[effect:rush, count:6, val:0.2]</v>
      </c>
      <c r="H53" s="61">
        <f t="shared" si="16"/>
        <v>9</v>
      </c>
      <c r="I53" s="61">
        <f t="shared" si="17"/>
        <v>13</v>
      </c>
      <c r="J53" s="61" t="e">
        <f t="shared" si="18"/>
        <v>#VALUE!</v>
      </c>
      <c r="K53" s="61">
        <f t="shared" si="19"/>
        <v>22</v>
      </c>
      <c r="L53" s="61" t="str">
        <f>IFERROR(VLOOKUP(MID(G53,J53,K53-J53),[5]skilldef!$C:$D,2,FALSE),"-") &amp; " / " &amp; IFERROR(VLOOKUP(MID(G53,H53,I53-H53),[5]skilldef!$A:$B,2,FALSE),"-")</f>
        <v>- / 連続攻撃</v>
      </c>
      <c r="M53" s="61" t="str">
        <f t="shared" si="20"/>
        <v>none</v>
      </c>
      <c r="N53" s="46" t="str">
        <f t="shared" si="31"/>
        <v>none</v>
      </c>
      <c r="O53" s="61" t="e">
        <f t="shared" si="22"/>
        <v>#VALUE!</v>
      </c>
      <c r="P53" s="61">
        <f t="shared" si="23"/>
        <v>4</v>
      </c>
      <c r="Q53" s="61" t="e">
        <f t="shared" si="24"/>
        <v>#VALUE!</v>
      </c>
      <c r="R53" s="61" t="e">
        <f t="shared" si="25"/>
        <v>#VALUE!</v>
      </c>
      <c r="S53" s="61" t="str">
        <f>IFERROR(VLOOKUP(MID(N53,Q53,R53-Q53),[5]skilldef!$C:$D,2,FALSE),"-") &amp; " / " &amp; IFERROR(VLOOKUP(MID(N53,O53,P53-O53),[5]skilldef!$A:$B,2,FALSE),"-")</f>
        <v>- / -</v>
      </c>
      <c r="T53" s="46" t="str">
        <f t="shared" si="26"/>
        <v>none</v>
      </c>
      <c r="U53" s="61" t="e">
        <f t="shared" si="27"/>
        <v>#VALUE!</v>
      </c>
      <c r="V53" s="61">
        <f t="shared" si="28"/>
        <v>4</v>
      </c>
      <c r="W53" s="61" t="e">
        <f t="shared" si="29"/>
        <v>#VALUE!</v>
      </c>
      <c r="X53" s="61" t="e">
        <f t="shared" si="30"/>
        <v>#VALUE!</v>
      </c>
      <c r="Y53" s="61" t="str">
        <f>IFERROR(VLOOKUP(MID(T53,W53,X53-W53),[5]skilldef!$C:$D,2,FALSE),"-") &amp; " / " &amp; IFERROR(VLOOKUP(MID(T53,U53,V53-U53),[5]skilldef!$A:$B,2,FALSE),"-")</f>
        <v>- / -</v>
      </c>
      <c r="Z53" s="48"/>
      <c r="AA53" s="50"/>
      <c r="AB53" s="48"/>
    </row>
    <row r="54" spans="1:28" ht="21" customHeight="1" x14ac:dyDescent="0.15">
      <c r="A54" s="45">
        <v>41007053</v>
      </c>
      <c r="B54" s="45" t="s">
        <v>352</v>
      </c>
      <c r="C54" s="48">
        <v>3</v>
      </c>
      <c r="D54" s="48" t="s">
        <v>213</v>
      </c>
      <c r="E54" s="49" t="s">
        <v>297</v>
      </c>
      <c r="F54" s="49" t="s">
        <v>311</v>
      </c>
      <c r="G54" s="61" t="str">
        <f t="shared" si="15"/>
        <v>[effect:degrade_fever, val:1000, animation:fevergauge_down]</v>
      </c>
      <c r="H54" s="61">
        <f t="shared" si="16"/>
        <v>9</v>
      </c>
      <c r="I54" s="61">
        <f t="shared" si="17"/>
        <v>22</v>
      </c>
      <c r="J54" s="61" t="e">
        <f t="shared" si="18"/>
        <v>#VALUE!</v>
      </c>
      <c r="K54" s="61">
        <f t="shared" si="19"/>
        <v>32</v>
      </c>
      <c r="L54" s="61" t="str">
        <f>IFERROR(VLOOKUP(MID(G54,J54,K54-J54),[5]skilldef!$C:$D,2,FALSE),"-") &amp; " / " &amp; IFERROR(VLOOKUP(MID(G54,H54,I54-H54),[5]skilldef!$A:$B,2,FALSE),"-")</f>
        <v>- / フィーバーゲージ減少</v>
      </c>
      <c r="M54" s="61" t="str">
        <f t="shared" si="20"/>
        <v>none</v>
      </c>
      <c r="N54" s="46" t="str">
        <f t="shared" si="31"/>
        <v>none</v>
      </c>
      <c r="O54" s="61" t="e">
        <f t="shared" si="22"/>
        <v>#VALUE!</v>
      </c>
      <c r="P54" s="61">
        <f t="shared" si="23"/>
        <v>4</v>
      </c>
      <c r="Q54" s="61" t="e">
        <f t="shared" si="24"/>
        <v>#VALUE!</v>
      </c>
      <c r="R54" s="61" t="e">
        <f t="shared" si="25"/>
        <v>#VALUE!</v>
      </c>
      <c r="S54" s="61" t="str">
        <f>IFERROR(VLOOKUP(MID(N54,Q54,R54-Q54),[5]skilldef!$C:$D,2,FALSE),"-") &amp; " / " &amp; IFERROR(VLOOKUP(MID(N54,O54,P54-O54),[5]skilldef!$A:$B,2,FALSE),"-")</f>
        <v>- / -</v>
      </c>
      <c r="T54" s="46" t="str">
        <f t="shared" si="26"/>
        <v>none</v>
      </c>
      <c r="U54" s="61" t="e">
        <f t="shared" si="27"/>
        <v>#VALUE!</v>
      </c>
      <c r="V54" s="61">
        <f t="shared" si="28"/>
        <v>4</v>
      </c>
      <c r="W54" s="61" t="e">
        <f t="shared" si="29"/>
        <v>#VALUE!</v>
      </c>
      <c r="X54" s="61" t="e">
        <f t="shared" si="30"/>
        <v>#VALUE!</v>
      </c>
      <c r="Y54" s="61" t="str">
        <f>IFERROR(VLOOKUP(MID(T54,W54,X54-W54),[5]skilldef!$C:$D,2,FALSE),"-") &amp; " / " &amp; IFERROR(VLOOKUP(MID(T54,U54,V54-U54),[5]skilldef!$A:$B,2,FALSE),"-")</f>
        <v>- / -</v>
      </c>
      <c r="Z54" s="48"/>
      <c r="AA54" s="50"/>
      <c r="AB54" s="48"/>
    </row>
    <row r="55" spans="1:28" ht="21" customHeight="1" x14ac:dyDescent="0.15">
      <c r="A55" s="45">
        <v>41007054</v>
      </c>
      <c r="B55" s="45" t="s">
        <v>298</v>
      </c>
      <c r="C55" s="48">
        <v>3</v>
      </c>
      <c r="D55" s="48" t="s">
        <v>299</v>
      </c>
      <c r="E55" s="49" t="s">
        <v>300</v>
      </c>
      <c r="F55" s="49" t="s">
        <v>312</v>
      </c>
      <c r="G55" s="61" t="str">
        <f t="shared" si="15"/>
        <v>[effect:freq_turn, target:myself, turn:-1, val:1, animation:enemy_freq_turn]</v>
      </c>
      <c r="H55" s="61">
        <f t="shared" si="16"/>
        <v>9</v>
      </c>
      <c r="I55" s="61">
        <f t="shared" si="17"/>
        <v>18</v>
      </c>
      <c r="J55" s="61">
        <f t="shared" si="18"/>
        <v>27</v>
      </c>
      <c r="K55" s="61">
        <f t="shared" si="19"/>
        <v>33</v>
      </c>
      <c r="L55" s="61" t="str">
        <f>IFERROR(VLOOKUP(MID(G55,J55,K55-J55),[5]skilldef!$C:$D,2,FALSE),"-") &amp; " / " &amp; IFERROR(VLOOKUP(MID(G55,H55,I55-H55),[5]skilldef!$A:$B,2,FALSE),"-")</f>
        <v>自分自身に / 攻撃頻度がUP</v>
      </c>
      <c r="M55" s="61" t="str">
        <f t="shared" si="20"/>
        <v>none</v>
      </c>
      <c r="N55" s="46" t="str">
        <f t="shared" si="31"/>
        <v>none</v>
      </c>
      <c r="O55" s="61" t="e">
        <f t="shared" si="22"/>
        <v>#VALUE!</v>
      </c>
      <c r="P55" s="61">
        <f t="shared" si="23"/>
        <v>4</v>
      </c>
      <c r="Q55" s="61" t="e">
        <f t="shared" si="24"/>
        <v>#VALUE!</v>
      </c>
      <c r="R55" s="61" t="e">
        <f t="shared" si="25"/>
        <v>#VALUE!</v>
      </c>
      <c r="S55" s="61" t="str">
        <f>IFERROR(VLOOKUP(MID(N55,Q55,R55-Q55),[5]skilldef!$C:$D,2,FALSE),"-") &amp; " / " &amp; IFERROR(VLOOKUP(MID(N55,O55,P55-O55),[5]skilldef!$A:$B,2,FALSE),"-")</f>
        <v>- / -</v>
      </c>
      <c r="T55" s="46" t="str">
        <f t="shared" si="26"/>
        <v>none</v>
      </c>
      <c r="U55" s="61" t="e">
        <f t="shared" si="27"/>
        <v>#VALUE!</v>
      </c>
      <c r="V55" s="61">
        <f t="shared" si="28"/>
        <v>4</v>
      </c>
      <c r="W55" s="61" t="e">
        <f t="shared" si="29"/>
        <v>#VALUE!</v>
      </c>
      <c r="X55" s="61" t="e">
        <f t="shared" si="30"/>
        <v>#VALUE!</v>
      </c>
      <c r="Y55" s="61" t="str">
        <f>IFERROR(VLOOKUP(MID(T55,W55,X55-W55),[5]skilldef!$C:$D,2,FALSE),"-") &amp; " / " &amp; IFERROR(VLOOKUP(MID(T55,U55,V55-U55),[5]skilldef!$A:$B,2,FALSE),"-")</f>
        <v>- / -</v>
      </c>
      <c r="Z55" s="48"/>
      <c r="AA55" s="50"/>
      <c r="AB55" s="48"/>
    </row>
    <row r="56" spans="1:28" ht="21" customHeight="1" x14ac:dyDescent="0.15">
      <c r="A56" s="45">
        <v>41007055</v>
      </c>
      <c r="B56" s="45" t="s">
        <v>244</v>
      </c>
      <c r="C56" s="48">
        <v>3</v>
      </c>
      <c r="D56" s="48" t="s">
        <v>213</v>
      </c>
      <c r="E56" s="49" t="s">
        <v>301</v>
      </c>
      <c r="F56" s="49" t="s">
        <v>313</v>
      </c>
      <c r="G56" s="61" t="str">
        <f t="shared" si="15"/>
        <v>[effect:critical, val:1.5]</v>
      </c>
      <c r="H56" s="61">
        <f t="shared" si="16"/>
        <v>9</v>
      </c>
      <c r="I56" s="61">
        <f t="shared" si="17"/>
        <v>17</v>
      </c>
      <c r="J56" s="61" t="e">
        <f t="shared" si="18"/>
        <v>#VALUE!</v>
      </c>
      <c r="K56" s="61" t="e">
        <f t="shared" si="19"/>
        <v>#VALUE!</v>
      </c>
      <c r="L56" s="61" t="str">
        <f>IFERROR(VLOOKUP(MID(G56,J56,K56-J56),[5]skilldef!$C:$D,2,FALSE),"-") &amp; " / " &amp; IFERROR(VLOOKUP(MID(G56,H56,I56-H56),[5]skilldef!$A:$B,2,FALSE),"-")</f>
        <v>- / 大攻撃</v>
      </c>
      <c r="M56" s="61" t="str">
        <f t="shared" si="20"/>
        <v>none</v>
      </c>
      <c r="N56" s="46" t="str">
        <f t="shared" ref="N56:N60" si="32">IFERROR(LEFT(M56,FIND("],",M56)+S66),M56)</f>
        <v>none</v>
      </c>
      <c r="O56" s="61" t="e">
        <f t="shared" si="22"/>
        <v>#VALUE!</v>
      </c>
      <c r="P56" s="61">
        <f t="shared" si="23"/>
        <v>4</v>
      </c>
      <c r="Q56" s="61" t="e">
        <f t="shared" si="24"/>
        <v>#VALUE!</v>
      </c>
      <c r="R56" s="61" t="e">
        <f t="shared" si="25"/>
        <v>#VALUE!</v>
      </c>
      <c r="S56" s="61" t="str">
        <f>IFERROR(VLOOKUP(MID(N56,Q56,R56-Q56),[5]skilldef!$C:$D,2,FALSE),"-") &amp; " / " &amp; IFERROR(VLOOKUP(MID(N56,O56,P56-O56),[5]skilldef!$A:$B,2,FALSE),"-")</f>
        <v>- / -</v>
      </c>
      <c r="T56" s="46" t="str">
        <f t="shared" si="26"/>
        <v>none</v>
      </c>
      <c r="U56" s="61" t="e">
        <f t="shared" si="27"/>
        <v>#VALUE!</v>
      </c>
      <c r="V56" s="61">
        <f t="shared" si="28"/>
        <v>4</v>
      </c>
      <c r="W56" s="61" t="e">
        <f t="shared" si="29"/>
        <v>#VALUE!</v>
      </c>
      <c r="X56" s="61" t="e">
        <f t="shared" si="30"/>
        <v>#VALUE!</v>
      </c>
      <c r="Y56" s="61" t="str">
        <f>IFERROR(VLOOKUP(MID(T56,W56,X56-W56),[5]skilldef!$C:$D,2,FALSE),"-") &amp; " / " &amp; IFERROR(VLOOKUP(MID(T56,U56,V56-U56),[5]skilldef!$A:$B,2,FALSE),"-")</f>
        <v>- / -</v>
      </c>
      <c r="Z56" s="48"/>
      <c r="AA56" s="50"/>
      <c r="AB56" s="48"/>
    </row>
    <row r="57" spans="1:28" ht="21" customHeight="1" x14ac:dyDescent="0.15">
      <c r="A57" s="45">
        <v>41007056</v>
      </c>
      <c r="B57" s="45" t="s">
        <v>374</v>
      </c>
      <c r="C57" s="48">
        <v>3</v>
      </c>
      <c r="D57" s="48" t="s">
        <v>302</v>
      </c>
      <c r="E57" s="49" t="s">
        <v>301</v>
      </c>
      <c r="F57" s="49" t="s">
        <v>313</v>
      </c>
      <c r="G57" s="61" t="str">
        <f t="shared" si="15"/>
        <v>[effect:critical, val:1.6]</v>
      </c>
      <c r="H57" s="61">
        <f t="shared" si="16"/>
        <v>9</v>
      </c>
      <c r="I57" s="61">
        <f t="shared" si="17"/>
        <v>17</v>
      </c>
      <c r="J57" s="61" t="e">
        <f t="shared" si="18"/>
        <v>#VALUE!</v>
      </c>
      <c r="K57" s="61" t="e">
        <f t="shared" si="19"/>
        <v>#VALUE!</v>
      </c>
      <c r="L57" s="61" t="str">
        <f>IFERROR(VLOOKUP(MID(G57,J57,K57-J57),[5]skilldef!$C:$D,2,FALSE),"-") &amp; " / " &amp; IFERROR(VLOOKUP(MID(G57,H57,I57-H57),[5]skilldef!$A:$B,2,FALSE),"-")</f>
        <v>- / 大攻撃</v>
      </c>
      <c r="M57" s="61" t="str">
        <f t="shared" si="20"/>
        <v>none</v>
      </c>
      <c r="N57" s="46" t="str">
        <f t="shared" si="32"/>
        <v>none</v>
      </c>
      <c r="O57" s="61" t="e">
        <f t="shared" si="22"/>
        <v>#VALUE!</v>
      </c>
      <c r="P57" s="61">
        <f t="shared" si="23"/>
        <v>4</v>
      </c>
      <c r="Q57" s="61" t="e">
        <f t="shared" si="24"/>
        <v>#VALUE!</v>
      </c>
      <c r="R57" s="61" t="e">
        <f t="shared" si="25"/>
        <v>#VALUE!</v>
      </c>
      <c r="S57" s="61" t="str">
        <f>IFERROR(VLOOKUP(MID(N57,Q57,R57-Q57),[5]skilldef!$C:$D,2,FALSE),"-") &amp; " / " &amp; IFERROR(VLOOKUP(MID(N57,O57,P57-O57),[5]skilldef!$A:$B,2,FALSE),"-")</f>
        <v>- / -</v>
      </c>
      <c r="T57" s="46" t="str">
        <f t="shared" si="26"/>
        <v>none</v>
      </c>
      <c r="U57" s="61" t="e">
        <f t="shared" si="27"/>
        <v>#VALUE!</v>
      </c>
      <c r="V57" s="61">
        <f t="shared" si="28"/>
        <v>4</v>
      </c>
      <c r="W57" s="61" t="e">
        <f t="shared" si="29"/>
        <v>#VALUE!</v>
      </c>
      <c r="X57" s="61" t="e">
        <f t="shared" si="30"/>
        <v>#VALUE!</v>
      </c>
      <c r="Y57" s="61" t="str">
        <f>IFERROR(VLOOKUP(MID(T57,W57,X57-W57),[5]skilldef!$C:$D,2,FALSE),"-") &amp; " / " &amp; IFERROR(VLOOKUP(MID(T57,U57,V57-U57),[5]skilldef!$A:$B,2,FALSE),"-")</f>
        <v>- / -</v>
      </c>
      <c r="Z57" s="48"/>
      <c r="AA57" s="50"/>
      <c r="AB57" s="48"/>
    </row>
    <row r="58" spans="1:28" ht="21" customHeight="1" x14ac:dyDescent="0.15">
      <c r="A58" s="45">
        <v>41007057</v>
      </c>
      <c r="B58" s="45" t="s">
        <v>376</v>
      </c>
      <c r="C58" s="48">
        <v>3</v>
      </c>
      <c r="D58" s="48" t="s">
        <v>213</v>
      </c>
      <c r="E58" s="49" t="s">
        <v>301</v>
      </c>
      <c r="F58" s="49" t="s">
        <v>313</v>
      </c>
      <c r="G58" s="61" t="str">
        <f t="shared" si="15"/>
        <v>[effect:critical, val:1.8]</v>
      </c>
      <c r="H58" s="61">
        <f t="shared" si="16"/>
        <v>9</v>
      </c>
      <c r="I58" s="61">
        <f t="shared" si="17"/>
        <v>17</v>
      </c>
      <c r="J58" s="61" t="e">
        <f t="shared" si="18"/>
        <v>#VALUE!</v>
      </c>
      <c r="K58" s="61" t="e">
        <f t="shared" si="19"/>
        <v>#VALUE!</v>
      </c>
      <c r="L58" s="61" t="str">
        <f>IFERROR(VLOOKUP(MID(G58,J58,K58-J58),[5]skilldef!$C:$D,2,FALSE),"-") &amp; " / " &amp; IFERROR(VLOOKUP(MID(G58,H58,I58-H58),[5]skilldef!$A:$B,2,FALSE),"-")</f>
        <v>- / 大攻撃</v>
      </c>
      <c r="M58" s="61" t="str">
        <f t="shared" si="20"/>
        <v>none</v>
      </c>
      <c r="N58" s="46" t="str">
        <f t="shared" si="32"/>
        <v>none</v>
      </c>
      <c r="O58" s="61" t="e">
        <f t="shared" si="22"/>
        <v>#VALUE!</v>
      </c>
      <c r="P58" s="61">
        <f t="shared" si="23"/>
        <v>4</v>
      </c>
      <c r="Q58" s="61" t="e">
        <f t="shared" si="24"/>
        <v>#VALUE!</v>
      </c>
      <c r="R58" s="61" t="e">
        <f t="shared" si="25"/>
        <v>#VALUE!</v>
      </c>
      <c r="S58" s="61" t="str">
        <f>IFERROR(VLOOKUP(MID(N58,Q58,R58-Q58),[5]skilldef!$C:$D,2,FALSE),"-") &amp; " / " &amp; IFERROR(VLOOKUP(MID(N58,O58,P58-O58),[5]skilldef!$A:$B,2,FALSE),"-")</f>
        <v>- / -</v>
      </c>
      <c r="T58" s="46" t="str">
        <f t="shared" si="26"/>
        <v>none</v>
      </c>
      <c r="U58" s="61" t="e">
        <f t="shared" si="27"/>
        <v>#VALUE!</v>
      </c>
      <c r="V58" s="61">
        <f t="shared" si="28"/>
        <v>4</v>
      </c>
      <c r="W58" s="61" t="e">
        <f t="shared" si="29"/>
        <v>#VALUE!</v>
      </c>
      <c r="X58" s="61" t="e">
        <f t="shared" si="30"/>
        <v>#VALUE!</v>
      </c>
      <c r="Y58" s="61" t="str">
        <f>IFERROR(VLOOKUP(MID(T58,W58,X58-W58),[5]skilldef!$C:$D,2,FALSE),"-") &amp; " / " &amp; IFERROR(VLOOKUP(MID(T58,U58,V58-U58),[5]skilldef!$A:$B,2,FALSE),"-")</f>
        <v>- / -</v>
      </c>
      <c r="Z58" s="48"/>
      <c r="AA58" s="50"/>
      <c r="AB58" s="48"/>
    </row>
    <row r="59" spans="1:28" ht="21" customHeight="1" x14ac:dyDescent="0.15">
      <c r="A59" s="45">
        <v>41007058</v>
      </c>
      <c r="B59" s="45" t="s">
        <v>377</v>
      </c>
      <c r="C59" s="48">
        <v>3</v>
      </c>
      <c r="D59" s="48" t="s">
        <v>213</v>
      </c>
      <c r="E59" s="49" t="s">
        <v>301</v>
      </c>
      <c r="F59" s="49" t="s">
        <v>313</v>
      </c>
      <c r="G59" s="61" t="str">
        <f t="shared" si="15"/>
        <v>[effect:critical, val:2.0]</v>
      </c>
      <c r="H59" s="61">
        <f t="shared" si="16"/>
        <v>9</v>
      </c>
      <c r="I59" s="61">
        <f t="shared" si="17"/>
        <v>17</v>
      </c>
      <c r="J59" s="61" t="e">
        <f t="shared" si="18"/>
        <v>#VALUE!</v>
      </c>
      <c r="K59" s="61" t="e">
        <f t="shared" si="19"/>
        <v>#VALUE!</v>
      </c>
      <c r="L59" s="61" t="str">
        <f>IFERROR(VLOOKUP(MID(G59,J59,K59-J59),[5]skilldef!$C:$D,2,FALSE),"-") &amp; " / " &amp; IFERROR(VLOOKUP(MID(G59,H59,I59-H59),[5]skilldef!$A:$B,2,FALSE),"-")</f>
        <v>- / 大攻撃</v>
      </c>
      <c r="M59" s="61" t="str">
        <f t="shared" si="20"/>
        <v>none</v>
      </c>
      <c r="N59" s="46" t="str">
        <f t="shared" si="32"/>
        <v>none</v>
      </c>
      <c r="O59" s="61" t="e">
        <f t="shared" si="22"/>
        <v>#VALUE!</v>
      </c>
      <c r="P59" s="61">
        <f t="shared" si="23"/>
        <v>4</v>
      </c>
      <c r="Q59" s="61" t="e">
        <f t="shared" si="24"/>
        <v>#VALUE!</v>
      </c>
      <c r="R59" s="61" t="e">
        <f t="shared" si="25"/>
        <v>#VALUE!</v>
      </c>
      <c r="S59" s="61" t="str">
        <f>IFERROR(VLOOKUP(MID(N59,Q59,R59-Q59),[5]skilldef!$C:$D,2,FALSE),"-") &amp; " / " &amp; IFERROR(VLOOKUP(MID(N59,O59,P59-O59),[5]skilldef!$A:$B,2,FALSE),"-")</f>
        <v>- / -</v>
      </c>
      <c r="T59" s="46" t="str">
        <f t="shared" si="26"/>
        <v>none</v>
      </c>
      <c r="U59" s="61" t="e">
        <f t="shared" si="27"/>
        <v>#VALUE!</v>
      </c>
      <c r="V59" s="61">
        <f t="shared" si="28"/>
        <v>4</v>
      </c>
      <c r="W59" s="61" t="e">
        <f t="shared" si="29"/>
        <v>#VALUE!</v>
      </c>
      <c r="X59" s="61" t="e">
        <f t="shared" si="30"/>
        <v>#VALUE!</v>
      </c>
      <c r="Y59" s="61" t="str">
        <f>IFERROR(VLOOKUP(MID(T59,W59,X59-W59),[5]skilldef!$C:$D,2,FALSE),"-") &amp; " / " &amp; IFERROR(VLOOKUP(MID(T59,U59,V59-U59),[5]skilldef!$A:$B,2,FALSE),"-")</f>
        <v>- / -</v>
      </c>
      <c r="Z59" s="48"/>
      <c r="AA59" s="50"/>
      <c r="AB59" s="48"/>
    </row>
    <row r="60" spans="1:28" ht="21" customHeight="1" thickBot="1" x14ac:dyDescent="0.2">
      <c r="A60" s="137">
        <v>41007059</v>
      </c>
      <c r="B60" s="137" t="s">
        <v>375</v>
      </c>
      <c r="C60" s="160">
        <v>3</v>
      </c>
      <c r="D60" s="160" t="s">
        <v>213</v>
      </c>
      <c r="E60" s="161" t="s">
        <v>301</v>
      </c>
      <c r="F60" s="49" t="s">
        <v>313</v>
      </c>
      <c r="G60" s="162" t="str">
        <f t="shared" si="15"/>
        <v>[effect:critical, val:2.4]</v>
      </c>
      <c r="H60" s="162">
        <f t="shared" si="16"/>
        <v>9</v>
      </c>
      <c r="I60" s="162">
        <f t="shared" si="17"/>
        <v>17</v>
      </c>
      <c r="J60" s="162" t="e">
        <f t="shared" si="18"/>
        <v>#VALUE!</v>
      </c>
      <c r="K60" s="162" t="e">
        <f t="shared" si="19"/>
        <v>#VALUE!</v>
      </c>
      <c r="L60" s="162" t="str">
        <f>IFERROR(VLOOKUP(MID(G60,J60,K60-J60),[5]skilldef!$C:$D,2,FALSE),"-") &amp; " / " &amp; IFERROR(VLOOKUP(MID(G60,H60,I60-H60),[5]skilldef!$A:$B,2,FALSE),"-")</f>
        <v>- / 大攻撃</v>
      </c>
      <c r="M60" s="162" t="str">
        <f t="shared" si="20"/>
        <v>none</v>
      </c>
      <c r="N60" s="139" t="str">
        <f t="shared" si="32"/>
        <v>none</v>
      </c>
      <c r="O60" s="162" t="e">
        <f t="shared" si="22"/>
        <v>#VALUE!</v>
      </c>
      <c r="P60" s="162">
        <f t="shared" si="23"/>
        <v>4</v>
      </c>
      <c r="Q60" s="162" t="e">
        <f t="shared" si="24"/>
        <v>#VALUE!</v>
      </c>
      <c r="R60" s="162" t="e">
        <f t="shared" si="25"/>
        <v>#VALUE!</v>
      </c>
      <c r="S60" s="162" t="str">
        <f>IFERROR(VLOOKUP(MID(N60,Q60,R60-Q60),[5]skilldef!$C:$D,2,FALSE),"-") &amp; " / " &amp; IFERROR(VLOOKUP(MID(N60,O60,P60-O60),[5]skilldef!$A:$B,2,FALSE),"-")</f>
        <v>- / -</v>
      </c>
      <c r="T60" s="139" t="str">
        <f t="shared" si="26"/>
        <v>none</v>
      </c>
      <c r="U60" s="162" t="e">
        <f t="shared" si="27"/>
        <v>#VALUE!</v>
      </c>
      <c r="V60" s="162">
        <f t="shared" si="28"/>
        <v>4</v>
      </c>
      <c r="W60" s="162" t="e">
        <f t="shared" si="29"/>
        <v>#VALUE!</v>
      </c>
      <c r="X60" s="162" t="e">
        <f t="shared" si="30"/>
        <v>#VALUE!</v>
      </c>
      <c r="Y60" s="162" t="str">
        <f>IFERROR(VLOOKUP(MID(T60,W60,X60-W60),[5]skilldef!$C:$D,2,FALSE),"-") &amp; " / " &amp; IFERROR(VLOOKUP(MID(T60,U60,V60-U60),[5]skilldef!$A:$B,2,FALSE),"-")</f>
        <v>- / -</v>
      </c>
      <c r="Z60" s="160"/>
      <c r="AA60" s="163"/>
      <c r="AB60" s="160"/>
    </row>
    <row r="61" spans="1:28" ht="21" customHeight="1" x14ac:dyDescent="0.15">
      <c r="A61" s="164">
        <v>41007060</v>
      </c>
      <c r="B61" s="164" t="s">
        <v>344</v>
      </c>
      <c r="C61" s="165">
        <v>3</v>
      </c>
      <c r="D61" s="165" t="s">
        <v>213</v>
      </c>
      <c r="E61" s="166" t="s">
        <v>373</v>
      </c>
      <c r="F61" s="166" t="s">
        <v>343</v>
      </c>
      <c r="G61" s="167" t="str">
        <f t="shared" ref="G61:G68" si="33">IFERROR(LEFT(B61,FIND("],",B61)),B61)</f>
        <v>[effect:panel_freeze, target:block_blue, count:30]</v>
      </c>
      <c r="H61" s="167">
        <f t="shared" ref="H61:H68" si="34">FIND("effect:",G61)+7</f>
        <v>9</v>
      </c>
      <c r="I61" s="167">
        <f t="shared" ref="I61:I68" si="35">IFERROR(FIND(",",G61),LEN(G61))</f>
        <v>21</v>
      </c>
      <c r="J61" s="167">
        <f t="shared" ref="J61:J68" si="36">FIND("target:",G61)+7</f>
        <v>30</v>
      </c>
      <c r="K61" s="167">
        <f t="shared" ref="K61:K68" si="37">FIND(",",G61,I61+1)</f>
        <v>40</v>
      </c>
      <c r="L61" s="167" t="str">
        <f>IFERROR(VLOOKUP(MID(G61,J61,K61-J61),[5]skilldef!$C:$D,2,FALSE),"-") &amp; " / " &amp; IFERROR(VLOOKUP(MID(G61,H61,I61-H61),[5]skilldef!$A:$B,2,FALSE),"-")</f>
        <v>青パネルを / -</v>
      </c>
      <c r="M61" s="167" t="str">
        <f t="shared" ref="M61:M68" si="38">IFERROR(RIGHT(B61,LEN(B61)-FIND("],",B61)-1),"none")</f>
        <v>[effect:freq_turn, target:myself, turn:3, val:1, animation:enemy_freq_turn]</v>
      </c>
      <c r="N61" s="168" t="str">
        <f t="shared" ref="N61" si="39">IFERROR(LEFT(M61,FIND("],",M61)+S71),M61)</f>
        <v>[effect:freq_turn, target:myself, turn:3, val:1, animation:enemy_freq_turn]</v>
      </c>
      <c r="O61" s="167">
        <f t="shared" ref="O61:O68" si="40">FIND("effect:",N61)+7</f>
        <v>9</v>
      </c>
      <c r="P61" s="167">
        <f t="shared" ref="P61:P68" si="41">IFERROR(FIND(",",N61),LEN(N61))</f>
        <v>18</v>
      </c>
      <c r="Q61" s="167">
        <f t="shared" ref="Q61:Q68" si="42">FIND("target:",N61)+7</f>
        <v>27</v>
      </c>
      <c r="R61" s="167">
        <f t="shared" ref="R61:R68" si="43">FIND(",",N61,P61+1)</f>
        <v>33</v>
      </c>
      <c r="S61" s="167" t="str">
        <f>IFERROR(VLOOKUP(MID(N61,Q61,R61-Q61),[5]skilldef!$C:$D,2,FALSE),"-") &amp; " / " &amp; IFERROR(VLOOKUP(MID(N61,O61,P61-O61),[5]skilldef!$A:$B,2,FALSE),"-")</f>
        <v>自分自身に / 攻撃頻度がUP</v>
      </c>
      <c r="T61" s="168" t="str">
        <f t="shared" ref="T61:T68" si="44">IFERROR(RIGHT(M61,LEN(M61)-FIND("],",M61)-1),"none")</f>
        <v>none</v>
      </c>
      <c r="U61" s="167" t="e">
        <f t="shared" ref="U61:U68" si="45">FIND("effect:",T61)+7</f>
        <v>#VALUE!</v>
      </c>
      <c r="V61" s="167">
        <f t="shared" ref="V61:V68" si="46">IFERROR(FIND(",",T61),LEN(T61))</f>
        <v>4</v>
      </c>
      <c r="W61" s="167" t="e">
        <f t="shared" ref="W61:W68" si="47">FIND("target:",T61)+7</f>
        <v>#VALUE!</v>
      </c>
      <c r="X61" s="167" t="e">
        <f t="shared" ref="X61:X68" si="48">FIND(",",T61,V61+1)</f>
        <v>#VALUE!</v>
      </c>
      <c r="Y61" s="167" t="str">
        <f>IFERROR(VLOOKUP(MID(T61,W61,X61-W61),[5]skilldef!$C:$D,2,FALSE),"-") &amp; " / " &amp; IFERROR(VLOOKUP(MID(T61,U61,V61-U61),[5]skilldef!$A:$B,2,FALSE),"-")</f>
        <v>- / -</v>
      </c>
      <c r="Z61" s="165"/>
      <c r="AA61" s="169"/>
      <c r="AB61" s="165"/>
    </row>
    <row r="62" spans="1:28" ht="21" customHeight="1" x14ac:dyDescent="0.15">
      <c r="A62" s="45">
        <v>41007061</v>
      </c>
      <c r="B62" s="45" t="s">
        <v>349</v>
      </c>
      <c r="C62" s="48">
        <v>3</v>
      </c>
      <c r="D62" s="48" t="s">
        <v>195</v>
      </c>
      <c r="E62" s="49" t="s">
        <v>347</v>
      </c>
      <c r="F62" s="49" t="s">
        <v>348</v>
      </c>
      <c r="G62" s="61" t="str">
        <f t="shared" si="33"/>
        <v>[effect:degrade_unit, target:unit_all, turn:5, status:attack, val:0.5]</v>
      </c>
      <c r="H62" s="61">
        <f t="shared" si="34"/>
        <v>9</v>
      </c>
      <c r="I62" s="61">
        <f t="shared" si="35"/>
        <v>21</v>
      </c>
      <c r="J62" s="61">
        <f t="shared" si="36"/>
        <v>30</v>
      </c>
      <c r="K62" s="61">
        <f t="shared" si="37"/>
        <v>38</v>
      </c>
      <c r="L62" s="61" t="str">
        <f>IFERROR(VLOOKUP(MID(G62,J62,K62-J62),[5]skilldef!$C:$D,2,FALSE),"-") &amp; " / " &amp; IFERROR(VLOOKUP(MID(G62,H62,I62-H62),[5]skilldef!$A:$B,2,FALSE),"-")</f>
        <v>味方全体に / ステータスDOWN</v>
      </c>
      <c r="M62" s="61" t="str">
        <f t="shared" si="38"/>
        <v>[effect:degrade_unit, target:unit_all, turn:5, status:heal, val:0.5]</v>
      </c>
      <c r="N62" s="46" t="str">
        <f t="shared" ref="N62:N63" si="49">IFERROR(LEFT(M62,FIND("],",M62)+S73),M62)</f>
        <v>[effect:degrade_unit, target:unit_all, turn:5, status:heal, val:0.5]</v>
      </c>
      <c r="O62" s="61">
        <f t="shared" si="40"/>
        <v>9</v>
      </c>
      <c r="P62" s="61">
        <f t="shared" si="41"/>
        <v>21</v>
      </c>
      <c r="Q62" s="61">
        <f t="shared" si="42"/>
        <v>30</v>
      </c>
      <c r="R62" s="61">
        <f t="shared" si="43"/>
        <v>38</v>
      </c>
      <c r="S62" s="61" t="str">
        <f>IFERROR(VLOOKUP(MID(N62,Q62,R62-Q62),[5]skilldef!$C:$D,2,FALSE),"-") &amp; " / " &amp; IFERROR(VLOOKUP(MID(N62,O62,P62-O62),[5]skilldef!$A:$B,2,FALSE),"-")</f>
        <v>味方全体に / ステータスDOWN</v>
      </c>
      <c r="T62" s="46" t="str">
        <f t="shared" si="44"/>
        <v>none</v>
      </c>
      <c r="U62" s="61" t="e">
        <f t="shared" si="45"/>
        <v>#VALUE!</v>
      </c>
      <c r="V62" s="61">
        <f t="shared" si="46"/>
        <v>4</v>
      </c>
      <c r="W62" s="61" t="e">
        <f t="shared" si="47"/>
        <v>#VALUE!</v>
      </c>
      <c r="X62" s="61" t="e">
        <f t="shared" si="48"/>
        <v>#VALUE!</v>
      </c>
      <c r="Y62" s="61" t="str">
        <f>IFERROR(VLOOKUP(MID(T62,W62,X62-W62),[5]skilldef!$C:$D,2,FALSE),"-") &amp; " / " &amp; IFERROR(VLOOKUP(MID(T62,U62,V62-U62),[5]skilldef!$A:$B,2,FALSE),"-")</f>
        <v>- / -</v>
      </c>
      <c r="Z62" s="48"/>
      <c r="AA62" s="50"/>
      <c r="AB62" s="48"/>
    </row>
    <row r="63" spans="1:28" ht="21" customHeight="1" x14ac:dyDescent="0.15">
      <c r="A63" s="45">
        <v>41007062</v>
      </c>
      <c r="B63" s="45" t="s">
        <v>353</v>
      </c>
      <c r="C63" s="48">
        <v>3</v>
      </c>
      <c r="D63" s="48" t="s">
        <v>299</v>
      </c>
      <c r="E63" s="49" t="s">
        <v>350</v>
      </c>
      <c r="F63" s="49" t="s">
        <v>351</v>
      </c>
      <c r="G63" s="61" t="str">
        <f t="shared" si="33"/>
        <v>[effect:freq_turn, target:myself, turn:-1, val:1, animation:enemy_freq_turn]</v>
      </c>
      <c r="H63" s="61">
        <f t="shared" si="34"/>
        <v>9</v>
      </c>
      <c r="I63" s="61">
        <f t="shared" si="35"/>
        <v>18</v>
      </c>
      <c r="J63" s="61">
        <f t="shared" si="36"/>
        <v>27</v>
      </c>
      <c r="K63" s="61">
        <f t="shared" si="37"/>
        <v>33</v>
      </c>
      <c r="L63" s="61" t="str">
        <f>IFERROR(VLOOKUP(MID(G63,J63,K63-J63),[5]skilldef!$C:$D,2,FALSE),"-") &amp; " / " &amp; IFERROR(VLOOKUP(MID(G63,H63,I63-H63),[5]skilldef!$A:$B,2,FALSE),"-")</f>
        <v>自分自身に / 攻撃頻度がUP</v>
      </c>
      <c r="M63" s="61" t="str">
        <f t="shared" si="38"/>
        <v>[effect:degrade_fever, val:1000, animation:fevergauge_down]</v>
      </c>
      <c r="N63" s="46" t="str">
        <f t="shared" si="49"/>
        <v>[effect:degrade_fever, val:1000, animation:fevergauge_down]</v>
      </c>
      <c r="O63" s="61">
        <f t="shared" si="40"/>
        <v>9</v>
      </c>
      <c r="P63" s="61">
        <f t="shared" si="41"/>
        <v>22</v>
      </c>
      <c r="Q63" s="61" t="e">
        <f t="shared" si="42"/>
        <v>#VALUE!</v>
      </c>
      <c r="R63" s="61">
        <f t="shared" si="43"/>
        <v>32</v>
      </c>
      <c r="S63" s="61" t="str">
        <f>IFERROR(VLOOKUP(MID(N63,Q63,R63-Q63),[5]skilldef!$C:$D,2,FALSE),"-") &amp; " / " &amp; IFERROR(VLOOKUP(MID(N63,O63,P63-O63),[5]skilldef!$A:$B,2,FALSE),"-")</f>
        <v>- / フィーバーゲージ減少</v>
      </c>
      <c r="T63" s="46" t="str">
        <f t="shared" si="44"/>
        <v>none</v>
      </c>
      <c r="U63" s="61" t="e">
        <f t="shared" si="45"/>
        <v>#VALUE!</v>
      </c>
      <c r="V63" s="61">
        <f t="shared" si="46"/>
        <v>4</v>
      </c>
      <c r="W63" s="61" t="e">
        <f t="shared" si="47"/>
        <v>#VALUE!</v>
      </c>
      <c r="X63" s="61" t="e">
        <f t="shared" si="48"/>
        <v>#VALUE!</v>
      </c>
      <c r="Y63" s="61" t="str">
        <f>IFERROR(VLOOKUP(MID(T63,W63,X63-W63),[5]skilldef!$C:$D,2,FALSE),"-") &amp; " / " &amp; IFERROR(VLOOKUP(MID(T63,U63,V63-U63),[5]skilldef!$A:$B,2,FALSE),"-")</f>
        <v>- / -</v>
      </c>
      <c r="Z63" s="48"/>
      <c r="AA63" s="50"/>
      <c r="AB63" s="48"/>
    </row>
    <row r="64" spans="1:28" ht="21" customHeight="1" x14ac:dyDescent="0.15">
      <c r="A64" s="45">
        <v>41007063</v>
      </c>
      <c r="B64" s="45" t="s">
        <v>362</v>
      </c>
      <c r="C64" s="48">
        <v>3</v>
      </c>
      <c r="D64" s="48" t="s">
        <v>195</v>
      </c>
      <c r="E64" s="49" t="s">
        <v>221</v>
      </c>
      <c r="F64" s="49" t="s">
        <v>355</v>
      </c>
      <c r="G64" s="61" t="str">
        <f t="shared" si="33"/>
        <v>[effect:damage_anti_tribe, target:unit_all, tribe:animal, val1:1.2, val2:0.2]</v>
      </c>
      <c r="H64" s="61">
        <f t="shared" si="34"/>
        <v>9</v>
      </c>
      <c r="I64" s="61">
        <f t="shared" si="35"/>
        <v>26</v>
      </c>
      <c r="J64" s="61">
        <f t="shared" si="36"/>
        <v>35</v>
      </c>
      <c r="K64" s="61">
        <f t="shared" si="37"/>
        <v>43</v>
      </c>
      <c r="L64" s="61" t="str">
        <f>IFERROR(VLOOKUP(MID(G64,J64,K64-J64),[5]skilldef!$C:$D,2,FALSE),"-") &amp; " / " &amp; IFERROR(VLOOKUP(MID(G64,H64,I64-H64),[5]skilldef!$A:$B,2,FALSE),"-")</f>
        <v>味方全体に / 種族キラー</v>
      </c>
      <c r="M64" s="61" t="str">
        <f t="shared" si="38"/>
        <v>none</v>
      </c>
      <c r="N64" s="46" t="str">
        <f>IFERROR(LEFT(M64,FIND("],",M64)+S72),M64)</f>
        <v>none</v>
      </c>
      <c r="O64" s="61" t="e">
        <f t="shared" si="40"/>
        <v>#VALUE!</v>
      </c>
      <c r="P64" s="61">
        <f t="shared" si="41"/>
        <v>4</v>
      </c>
      <c r="Q64" s="61" t="e">
        <f t="shared" si="42"/>
        <v>#VALUE!</v>
      </c>
      <c r="R64" s="61" t="e">
        <f t="shared" si="43"/>
        <v>#VALUE!</v>
      </c>
      <c r="S64" s="61" t="str">
        <f>IFERROR(VLOOKUP(MID(N64,Q64,R64-Q64),[5]skilldef!$C:$D,2,FALSE),"-") &amp; " / " &amp; IFERROR(VLOOKUP(MID(N64,O64,P64-O64),[5]skilldef!$A:$B,2,FALSE),"-")</f>
        <v>- / -</v>
      </c>
      <c r="T64" s="46" t="str">
        <f t="shared" si="44"/>
        <v>none</v>
      </c>
      <c r="U64" s="61" t="e">
        <f t="shared" si="45"/>
        <v>#VALUE!</v>
      </c>
      <c r="V64" s="61">
        <f t="shared" si="46"/>
        <v>4</v>
      </c>
      <c r="W64" s="61" t="e">
        <f t="shared" si="47"/>
        <v>#VALUE!</v>
      </c>
      <c r="X64" s="61" t="e">
        <f t="shared" si="48"/>
        <v>#VALUE!</v>
      </c>
      <c r="Y64" s="61" t="str">
        <f>IFERROR(VLOOKUP(MID(T64,W64,X64-W64),[5]skilldef!$C:$D,2,FALSE),"-") &amp; " / " &amp; IFERROR(VLOOKUP(MID(T64,U64,V64-U64),[5]skilldef!$A:$B,2,FALSE),"-")</f>
        <v>- / -</v>
      </c>
      <c r="Z64" s="48"/>
      <c r="AA64" s="50"/>
      <c r="AB64" s="48"/>
    </row>
    <row r="65" spans="1:28" ht="21" customHeight="1" x14ac:dyDescent="0.15">
      <c r="A65" s="45">
        <v>41007064</v>
      </c>
      <c r="B65" s="45" t="s">
        <v>361</v>
      </c>
      <c r="C65" s="48">
        <v>3</v>
      </c>
      <c r="D65" s="48" t="s">
        <v>195</v>
      </c>
      <c r="E65" s="49" t="s">
        <v>242</v>
      </c>
      <c r="F65" s="49" t="s">
        <v>356</v>
      </c>
      <c r="G65" s="61" t="str">
        <f t="shared" si="33"/>
        <v>[effect:damage_anti_tribe, target:unit_all, tribe:human, val1:1.2, val2:0.2]</v>
      </c>
      <c r="H65" s="61">
        <f t="shared" si="34"/>
        <v>9</v>
      </c>
      <c r="I65" s="61">
        <f t="shared" si="35"/>
        <v>26</v>
      </c>
      <c r="J65" s="61">
        <f t="shared" si="36"/>
        <v>35</v>
      </c>
      <c r="K65" s="61">
        <f t="shared" si="37"/>
        <v>43</v>
      </c>
      <c r="L65" s="61" t="str">
        <f>IFERROR(VLOOKUP(MID(G65,J65,K65-J65),[5]skilldef!$C:$D,2,FALSE),"-") &amp; " / " &amp; IFERROR(VLOOKUP(MID(G65,H65,I65-H65),[5]skilldef!$A:$B,2,FALSE),"-")</f>
        <v>味方全体に / 種族キラー</v>
      </c>
      <c r="M65" s="61" t="str">
        <f t="shared" si="38"/>
        <v>none</v>
      </c>
      <c r="N65" s="46" t="str">
        <f>IFERROR(LEFT(M65,FIND("],",M65)+S71),M65)</f>
        <v>none</v>
      </c>
      <c r="O65" s="61" t="e">
        <f t="shared" si="40"/>
        <v>#VALUE!</v>
      </c>
      <c r="P65" s="61">
        <f t="shared" si="41"/>
        <v>4</v>
      </c>
      <c r="Q65" s="61" t="e">
        <f t="shared" si="42"/>
        <v>#VALUE!</v>
      </c>
      <c r="R65" s="61" t="e">
        <f t="shared" si="43"/>
        <v>#VALUE!</v>
      </c>
      <c r="S65" s="61" t="str">
        <f>IFERROR(VLOOKUP(MID(N65,Q65,R65-Q65),[5]skilldef!$C:$D,2,FALSE),"-") &amp; " / " &amp; IFERROR(VLOOKUP(MID(N65,O65,P65-O65),[5]skilldef!$A:$B,2,FALSE),"-")</f>
        <v>- / -</v>
      </c>
      <c r="T65" s="46" t="str">
        <f t="shared" si="44"/>
        <v>none</v>
      </c>
      <c r="U65" s="61" t="e">
        <f t="shared" si="45"/>
        <v>#VALUE!</v>
      </c>
      <c r="V65" s="61">
        <f t="shared" si="46"/>
        <v>4</v>
      </c>
      <c r="W65" s="61" t="e">
        <f t="shared" si="47"/>
        <v>#VALUE!</v>
      </c>
      <c r="X65" s="61" t="e">
        <f t="shared" si="48"/>
        <v>#VALUE!</v>
      </c>
      <c r="Y65" s="61" t="str">
        <f>IFERROR(VLOOKUP(MID(T65,W65,X65-W65),[5]skilldef!$C:$D,2,FALSE),"-") &amp; " / " &amp; IFERROR(VLOOKUP(MID(T65,U65,V65-U65),[5]skilldef!$A:$B,2,FALSE),"-")</f>
        <v>- / -</v>
      </c>
      <c r="Z65" s="48"/>
      <c r="AA65" s="50"/>
      <c r="AB65" s="48"/>
    </row>
    <row r="66" spans="1:28" ht="21" customHeight="1" x14ac:dyDescent="0.15">
      <c r="A66" s="45">
        <v>41007065</v>
      </c>
      <c r="B66" s="45" t="s">
        <v>363</v>
      </c>
      <c r="C66" s="48">
        <v>3</v>
      </c>
      <c r="D66" s="48" t="s">
        <v>195</v>
      </c>
      <c r="E66" s="49" t="s">
        <v>266</v>
      </c>
      <c r="F66" s="49" t="s">
        <v>357</v>
      </c>
      <c r="G66" s="61" t="str">
        <f t="shared" si="33"/>
        <v>[effect:damage_anti_tribe, target:unit_all, tribe:machine, val1:1.2, val2:0.2]</v>
      </c>
      <c r="H66" s="61">
        <f t="shared" si="34"/>
        <v>9</v>
      </c>
      <c r="I66" s="61">
        <f t="shared" si="35"/>
        <v>26</v>
      </c>
      <c r="J66" s="61">
        <f t="shared" si="36"/>
        <v>35</v>
      </c>
      <c r="K66" s="61">
        <f t="shared" si="37"/>
        <v>43</v>
      </c>
      <c r="L66" s="61" t="str">
        <f>IFERROR(VLOOKUP(MID(G66,J66,K66-J66),[5]skilldef!$C:$D,2,FALSE),"-") &amp; " / " &amp; IFERROR(VLOOKUP(MID(G66,H66,I66-H66),[5]skilldef!$A:$B,2,FALSE),"-")</f>
        <v>味方全体に / 種族キラー</v>
      </c>
      <c r="M66" s="61" t="str">
        <f t="shared" si="38"/>
        <v>none</v>
      </c>
      <c r="N66" s="46" t="str">
        <f>IFERROR(LEFT(M66,FIND("],",M66)+#REF!),M66)</f>
        <v>none</v>
      </c>
      <c r="O66" s="61" t="e">
        <f t="shared" si="40"/>
        <v>#VALUE!</v>
      </c>
      <c r="P66" s="61">
        <f t="shared" si="41"/>
        <v>4</v>
      </c>
      <c r="Q66" s="61" t="e">
        <f t="shared" si="42"/>
        <v>#VALUE!</v>
      </c>
      <c r="R66" s="61" t="e">
        <f t="shared" si="43"/>
        <v>#VALUE!</v>
      </c>
      <c r="S66" s="61" t="str">
        <f>IFERROR(VLOOKUP(MID(N66,Q66,R66-Q66),[5]skilldef!$C:$D,2,FALSE),"-") &amp; " / " &amp; IFERROR(VLOOKUP(MID(N66,O66,P66-O66),[5]skilldef!$A:$B,2,FALSE),"-")</f>
        <v>- / -</v>
      </c>
      <c r="T66" s="46" t="str">
        <f t="shared" si="44"/>
        <v>none</v>
      </c>
      <c r="U66" s="61" t="e">
        <f t="shared" si="45"/>
        <v>#VALUE!</v>
      </c>
      <c r="V66" s="61">
        <f t="shared" si="46"/>
        <v>4</v>
      </c>
      <c r="W66" s="61" t="e">
        <f t="shared" si="47"/>
        <v>#VALUE!</v>
      </c>
      <c r="X66" s="61" t="e">
        <f t="shared" si="48"/>
        <v>#VALUE!</v>
      </c>
      <c r="Y66" s="61" t="str">
        <f>IFERROR(VLOOKUP(MID(T66,W66,X66-W66),[5]skilldef!$C:$D,2,FALSE),"-") &amp; " / " &amp; IFERROR(VLOOKUP(MID(T66,U66,V66-U66),[5]skilldef!$A:$B,2,FALSE),"-")</f>
        <v>- / -</v>
      </c>
      <c r="Z66" s="48"/>
      <c r="AA66" s="50"/>
      <c r="AB66" s="48"/>
    </row>
    <row r="67" spans="1:28" ht="21" customHeight="1" x14ac:dyDescent="0.15">
      <c r="A67" s="45">
        <v>41007066</v>
      </c>
      <c r="B67" s="45" t="s">
        <v>364</v>
      </c>
      <c r="C67" s="48">
        <v>3</v>
      </c>
      <c r="D67" s="48" t="s">
        <v>195</v>
      </c>
      <c r="E67" s="49" t="s">
        <v>282</v>
      </c>
      <c r="F67" s="49" t="s">
        <v>358</v>
      </c>
      <c r="G67" s="61" t="str">
        <f t="shared" si="33"/>
        <v>[effect:damage_anti_tribe, target:unit_all, tribe:dragon, val1:1.2, val2:0.2]</v>
      </c>
      <c r="H67" s="61">
        <f t="shared" si="34"/>
        <v>9</v>
      </c>
      <c r="I67" s="61">
        <f t="shared" si="35"/>
        <v>26</v>
      </c>
      <c r="J67" s="61">
        <f t="shared" si="36"/>
        <v>35</v>
      </c>
      <c r="K67" s="61">
        <f t="shared" si="37"/>
        <v>43</v>
      </c>
      <c r="L67" s="61" t="str">
        <f>IFERROR(VLOOKUP(MID(G67,J67,K67-J67),[5]skilldef!$C:$D,2,FALSE),"-") &amp; " / " &amp; IFERROR(VLOOKUP(MID(G67,H67,I67-H67),[5]skilldef!$A:$B,2,FALSE),"-")</f>
        <v>味方全体に / 種族キラー</v>
      </c>
      <c r="M67" s="61" t="str">
        <f t="shared" si="38"/>
        <v>none</v>
      </c>
      <c r="N67" s="46" t="str">
        <f t="shared" ref="N67" si="50">IFERROR(LEFT(M67,FIND("],",M67)+S75),M67)</f>
        <v>none</v>
      </c>
      <c r="O67" s="61" t="e">
        <f t="shared" si="40"/>
        <v>#VALUE!</v>
      </c>
      <c r="P67" s="61">
        <f t="shared" si="41"/>
        <v>4</v>
      </c>
      <c r="Q67" s="61" t="e">
        <f t="shared" si="42"/>
        <v>#VALUE!</v>
      </c>
      <c r="R67" s="61" t="e">
        <f t="shared" si="43"/>
        <v>#VALUE!</v>
      </c>
      <c r="S67" s="61" t="str">
        <f>IFERROR(VLOOKUP(MID(N67,Q67,R67-Q67),[5]skilldef!$C:$D,2,FALSE),"-") &amp; " / " &amp; IFERROR(VLOOKUP(MID(N67,O67,P67-O67),[5]skilldef!$A:$B,2,FALSE),"-")</f>
        <v>- / -</v>
      </c>
      <c r="T67" s="46" t="str">
        <f t="shared" si="44"/>
        <v>none</v>
      </c>
      <c r="U67" s="61" t="e">
        <f t="shared" si="45"/>
        <v>#VALUE!</v>
      </c>
      <c r="V67" s="61">
        <f t="shared" si="46"/>
        <v>4</v>
      </c>
      <c r="W67" s="61" t="e">
        <f t="shared" si="47"/>
        <v>#VALUE!</v>
      </c>
      <c r="X67" s="61" t="e">
        <f t="shared" si="48"/>
        <v>#VALUE!</v>
      </c>
      <c r="Y67" s="61" t="str">
        <f>IFERROR(VLOOKUP(MID(T67,W67,X67-W67),[5]skilldef!$C:$D,2,FALSE),"-") &amp; " / " &amp; IFERROR(VLOOKUP(MID(T67,U67,V67-U67),[5]skilldef!$A:$B,2,FALSE),"-")</f>
        <v>- / -</v>
      </c>
      <c r="Z67" s="48"/>
      <c r="AA67" s="50"/>
      <c r="AB67" s="48"/>
    </row>
    <row r="68" spans="1:28" ht="21" customHeight="1" x14ac:dyDescent="0.15">
      <c r="A68" s="45">
        <v>41007067</v>
      </c>
      <c r="B68" s="45" t="s">
        <v>371</v>
      </c>
      <c r="C68" s="48">
        <v>3</v>
      </c>
      <c r="D68" s="48" t="s">
        <v>195</v>
      </c>
      <c r="E68" s="49" t="s">
        <v>290</v>
      </c>
      <c r="F68" s="49" t="s">
        <v>359</v>
      </c>
      <c r="G68" s="61" t="str">
        <f t="shared" si="33"/>
        <v>[effect:damage_anti_tribe, target:unit_all, tribe:god, val1:1.2, val2:0.2]</v>
      </c>
      <c r="H68" s="61">
        <f t="shared" si="34"/>
        <v>9</v>
      </c>
      <c r="I68" s="61">
        <f t="shared" si="35"/>
        <v>26</v>
      </c>
      <c r="J68" s="61">
        <f t="shared" si="36"/>
        <v>35</v>
      </c>
      <c r="K68" s="61">
        <f t="shared" si="37"/>
        <v>43</v>
      </c>
      <c r="L68" s="61" t="str">
        <f>IFERROR(VLOOKUP(MID(G68,J68,K68-J68),[5]skilldef!$C:$D,2,FALSE),"-") &amp; " / " &amp; IFERROR(VLOOKUP(MID(G68,H68,I68-H68),[5]skilldef!$A:$B,2,FALSE),"-")</f>
        <v>味方全体に / 種族キラー</v>
      </c>
      <c r="M68" s="61" t="str">
        <f t="shared" si="38"/>
        <v>none</v>
      </c>
      <c r="N68" s="46" t="str">
        <f>IFERROR(LEFT(M68,FIND("],",M68)+S77),M68)</f>
        <v>none</v>
      </c>
      <c r="O68" s="61" t="e">
        <f t="shared" si="40"/>
        <v>#VALUE!</v>
      </c>
      <c r="P68" s="61">
        <f t="shared" si="41"/>
        <v>4</v>
      </c>
      <c r="Q68" s="61" t="e">
        <f t="shared" si="42"/>
        <v>#VALUE!</v>
      </c>
      <c r="R68" s="61" t="e">
        <f t="shared" si="43"/>
        <v>#VALUE!</v>
      </c>
      <c r="S68" s="61" t="str">
        <f>IFERROR(VLOOKUP(MID(N68,Q68,R68-Q68),[5]skilldef!$C:$D,2,FALSE),"-") &amp; " / " &amp; IFERROR(VLOOKUP(MID(N68,O68,P68-O68),[5]skilldef!$A:$B,2,FALSE),"-")</f>
        <v>- / -</v>
      </c>
      <c r="T68" s="46" t="str">
        <f t="shared" si="44"/>
        <v>none</v>
      </c>
      <c r="U68" s="61" t="e">
        <f t="shared" si="45"/>
        <v>#VALUE!</v>
      </c>
      <c r="V68" s="61">
        <f t="shared" si="46"/>
        <v>4</v>
      </c>
      <c r="W68" s="61" t="e">
        <f t="shared" si="47"/>
        <v>#VALUE!</v>
      </c>
      <c r="X68" s="61" t="e">
        <f t="shared" si="48"/>
        <v>#VALUE!</v>
      </c>
      <c r="Y68" s="61" t="str">
        <f>IFERROR(VLOOKUP(MID(T68,W68,X68-W68),[5]skilldef!$C:$D,2,FALSE),"-") &amp; " / " &amp; IFERROR(VLOOKUP(MID(T68,U68,V68-U68),[5]skilldef!$A:$B,2,FALSE),"-")</f>
        <v>- / -</v>
      </c>
      <c r="Z68" s="48"/>
      <c r="AA68" s="50"/>
      <c r="AB68" s="48"/>
    </row>
    <row r="69" spans="1:28" ht="21" customHeight="1" x14ac:dyDescent="0.15">
      <c r="A69" s="45">
        <v>41007068</v>
      </c>
      <c r="B69" s="45" t="s">
        <v>365</v>
      </c>
      <c r="C69" s="48">
        <v>3</v>
      </c>
      <c r="D69" s="48" t="s">
        <v>195</v>
      </c>
      <c r="E69" s="49" t="s">
        <v>354</v>
      </c>
      <c r="F69" s="49" t="s">
        <v>360</v>
      </c>
      <c r="G69" s="61" t="str">
        <f t="shared" ref="G69" si="51">IFERROR(LEFT(B69,FIND("],",B69)),B69)</f>
        <v>[effect:damage_anti_tribe, target:unit_all, tribe:weapon, val1:1.2, val2:0.2]</v>
      </c>
      <c r="H69" s="61">
        <f t="shared" ref="H69" si="52">FIND("effect:",G69)+7</f>
        <v>9</v>
      </c>
      <c r="I69" s="61">
        <f t="shared" ref="I69" si="53">IFERROR(FIND(",",G69),LEN(G69))</f>
        <v>26</v>
      </c>
      <c r="J69" s="61">
        <f t="shared" ref="J69" si="54">FIND("target:",G69)+7</f>
        <v>35</v>
      </c>
      <c r="K69" s="61">
        <f t="shared" ref="K69" si="55">FIND(",",G69,I69+1)</f>
        <v>43</v>
      </c>
      <c r="L69" s="61" t="str">
        <f>IFERROR(VLOOKUP(MID(G69,J69,K69-J69),[5]skilldef!$C:$D,2,FALSE),"-") &amp; " / " &amp; IFERROR(VLOOKUP(MID(G69,H69,I69-H69),[5]skilldef!$A:$B,2,FALSE),"-")</f>
        <v>味方全体に / 種族キラー</v>
      </c>
      <c r="M69" s="61" t="str">
        <f t="shared" ref="M69" si="56">IFERROR(RIGHT(B69,LEN(B69)-FIND("],",B69)-1),"none")</f>
        <v>none</v>
      </c>
      <c r="N69" s="46" t="str">
        <f>IFERROR(LEFT(M69,FIND("],",M69)+S78),M69)</f>
        <v>none</v>
      </c>
      <c r="O69" s="61" t="e">
        <f t="shared" ref="O69" si="57">FIND("effect:",N69)+7</f>
        <v>#VALUE!</v>
      </c>
      <c r="P69" s="61">
        <f t="shared" ref="P69" si="58">IFERROR(FIND(",",N69),LEN(N69))</f>
        <v>4</v>
      </c>
      <c r="Q69" s="61" t="e">
        <f t="shared" ref="Q69" si="59">FIND("target:",N69)+7</f>
        <v>#VALUE!</v>
      </c>
      <c r="R69" s="61" t="e">
        <f t="shared" ref="R69" si="60">FIND(",",N69,P69+1)</f>
        <v>#VALUE!</v>
      </c>
      <c r="S69" s="61" t="str">
        <f>IFERROR(VLOOKUP(MID(N69,Q69,R69-Q69),[5]skilldef!$C:$D,2,FALSE),"-") &amp; " / " &amp; IFERROR(VLOOKUP(MID(N69,O69,P69-O69),[5]skilldef!$A:$B,2,FALSE),"-")</f>
        <v>- / -</v>
      </c>
      <c r="T69" s="46" t="str">
        <f t="shared" ref="T69" si="61">IFERROR(RIGHT(M69,LEN(M69)-FIND("],",M69)-1),"none")</f>
        <v>none</v>
      </c>
      <c r="U69" s="61" t="e">
        <f t="shared" ref="U69" si="62">FIND("effect:",T69)+7</f>
        <v>#VALUE!</v>
      </c>
      <c r="V69" s="61">
        <f t="shared" ref="V69" si="63">IFERROR(FIND(",",T69),LEN(T69))</f>
        <v>4</v>
      </c>
      <c r="W69" s="61" t="e">
        <f t="shared" ref="W69" si="64">FIND("target:",T69)+7</f>
        <v>#VALUE!</v>
      </c>
      <c r="X69" s="61" t="e">
        <f t="shared" ref="X69" si="65">FIND(",",T69,V69+1)</f>
        <v>#VALUE!</v>
      </c>
      <c r="Y69" s="61" t="str">
        <f>IFERROR(VLOOKUP(MID(T69,W69,X69-W69),[5]skilldef!$C:$D,2,FALSE),"-") &amp; " / " &amp; IFERROR(VLOOKUP(MID(T69,U69,V69-U69),[5]skilldef!$A:$B,2,FALSE),"-")</f>
        <v>- / -</v>
      </c>
      <c r="Z69" s="48"/>
      <c r="AA69" s="50"/>
      <c r="AB6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4"/>
  <sheetViews>
    <sheetView showGridLines="0" zoomScale="90" zoomScaleNormal="90" zoomScalePageLayoutView="90" workbookViewId="0">
      <pane ySplit="1" topLeftCell="A37" activePane="bottomLeft" state="frozenSplit"/>
      <selection pane="bottomLeft" activeCell="D68" sqref="D68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1" ht="21" customHeight="1" x14ac:dyDescent="0.15">
      <c r="A2" s="45">
        <v>41007001</v>
      </c>
      <c r="B2" s="45">
        <v>1</v>
      </c>
      <c r="C2" s="45" t="s">
        <v>88</v>
      </c>
      <c r="D2" s="45">
        <v>100</v>
      </c>
      <c r="E2" s="45" t="s">
        <v>88</v>
      </c>
      <c r="F2" s="45" t="s">
        <v>88</v>
      </c>
      <c r="G2" s="45">
        <v>1</v>
      </c>
      <c r="H2" s="45" t="s">
        <v>88</v>
      </c>
      <c r="I2" s="45" t="s">
        <v>88</v>
      </c>
      <c r="J2" s="46">
        <f t="shared" ref="J2:J52" si="0">D2</f>
        <v>100</v>
      </c>
    </row>
    <row r="3" spans="1:11" ht="21" customHeight="1" x14ac:dyDescent="0.15">
      <c r="A3" s="45">
        <v>41007002</v>
      </c>
      <c r="B3" s="45">
        <v>0</v>
      </c>
      <c r="C3" s="45">
        <v>5</v>
      </c>
      <c r="D3" s="45">
        <v>100</v>
      </c>
      <c r="E3" s="45" t="s">
        <v>88</v>
      </c>
      <c r="F3" s="45" t="s">
        <v>88</v>
      </c>
      <c r="G3" s="45">
        <v>1</v>
      </c>
      <c r="H3" s="45" t="s">
        <v>88</v>
      </c>
      <c r="I3" s="45" t="s">
        <v>88</v>
      </c>
      <c r="J3" s="46">
        <f t="shared" si="0"/>
        <v>100</v>
      </c>
    </row>
    <row r="4" spans="1:11" ht="21" customHeight="1" x14ac:dyDescent="0.15">
      <c r="A4" s="45">
        <v>41007003</v>
      </c>
      <c r="B4" s="45">
        <v>0</v>
      </c>
      <c r="C4" s="45" t="s">
        <v>88</v>
      </c>
      <c r="D4" s="45">
        <v>100</v>
      </c>
      <c r="E4" s="45" t="s">
        <v>88</v>
      </c>
      <c r="F4" s="45" t="s">
        <v>88</v>
      </c>
      <c r="G4" s="45" t="s">
        <v>88</v>
      </c>
      <c r="H4" s="45">
        <v>3</v>
      </c>
      <c r="I4" s="45" t="s">
        <v>88</v>
      </c>
      <c r="J4" s="46">
        <f t="shared" si="0"/>
        <v>100</v>
      </c>
    </row>
    <row r="5" spans="1:11" ht="21" customHeight="1" x14ac:dyDescent="0.15">
      <c r="A5" s="45">
        <v>41007004</v>
      </c>
      <c r="B5" s="45">
        <v>0</v>
      </c>
      <c r="C5" s="45" t="s">
        <v>88</v>
      </c>
      <c r="D5" s="45">
        <v>100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6">
        <f t="shared" si="0"/>
        <v>100</v>
      </c>
    </row>
    <row r="6" spans="1:11" ht="21" customHeight="1" x14ac:dyDescent="0.15">
      <c r="A6" s="45">
        <v>41007005</v>
      </c>
      <c r="B6" s="45">
        <v>0</v>
      </c>
      <c r="C6" s="45" t="s">
        <v>88</v>
      </c>
      <c r="D6" s="45">
        <v>100</v>
      </c>
      <c r="E6" s="45" t="s">
        <v>88</v>
      </c>
      <c r="F6" s="45" t="s">
        <v>88</v>
      </c>
      <c r="G6" s="45">
        <v>1</v>
      </c>
      <c r="H6" s="45" t="s">
        <v>88</v>
      </c>
      <c r="I6" s="45">
        <v>294</v>
      </c>
      <c r="J6" s="46">
        <f t="shared" si="0"/>
        <v>100</v>
      </c>
    </row>
    <row r="7" spans="1:11" ht="21" customHeight="1" x14ac:dyDescent="0.15">
      <c r="A7" s="45">
        <v>41007006</v>
      </c>
      <c r="B7" s="45">
        <v>0</v>
      </c>
      <c r="C7" s="45" t="s">
        <v>88</v>
      </c>
      <c r="D7" s="45">
        <v>100</v>
      </c>
      <c r="E7" s="45" t="s">
        <v>88</v>
      </c>
      <c r="F7" s="45" t="s">
        <v>88</v>
      </c>
      <c r="G7" s="45" t="s">
        <v>88</v>
      </c>
      <c r="H7" s="45" t="s">
        <v>88</v>
      </c>
      <c r="I7" s="45" t="s">
        <v>88</v>
      </c>
      <c r="J7" s="46">
        <f t="shared" si="0"/>
        <v>100</v>
      </c>
    </row>
    <row r="8" spans="1:11" ht="21" customHeight="1" x14ac:dyDescent="0.15">
      <c r="A8" s="45">
        <v>41007007</v>
      </c>
      <c r="B8" s="45">
        <v>1</v>
      </c>
      <c r="C8" s="45" t="s">
        <v>88</v>
      </c>
      <c r="D8" s="45">
        <v>100</v>
      </c>
      <c r="E8" s="45" t="s">
        <v>88</v>
      </c>
      <c r="F8" s="45" t="s">
        <v>88</v>
      </c>
      <c r="G8" s="45">
        <v>1</v>
      </c>
      <c r="H8" s="45" t="s">
        <v>88</v>
      </c>
      <c r="I8" s="45" t="s">
        <v>88</v>
      </c>
      <c r="J8" s="46">
        <f t="shared" si="0"/>
        <v>100</v>
      </c>
    </row>
    <row r="9" spans="1:11" ht="21" customHeight="1" x14ac:dyDescent="0.15">
      <c r="A9" s="45">
        <v>41007008</v>
      </c>
      <c r="B9" s="45">
        <v>0</v>
      </c>
      <c r="C9" s="45">
        <v>5</v>
      </c>
      <c r="D9" s="45">
        <v>100</v>
      </c>
      <c r="E9" s="45">
        <v>50</v>
      </c>
      <c r="F9" s="45" t="s">
        <v>88</v>
      </c>
      <c r="G9" s="45">
        <v>1</v>
      </c>
      <c r="H9" s="45" t="s">
        <v>88</v>
      </c>
      <c r="I9" s="45" t="s">
        <v>88</v>
      </c>
      <c r="J9" s="46">
        <f t="shared" si="0"/>
        <v>100</v>
      </c>
    </row>
    <row r="10" spans="1:11" ht="21" customHeight="1" x14ac:dyDescent="0.15">
      <c r="A10" s="45">
        <v>41007009</v>
      </c>
      <c r="B10" s="45">
        <v>0</v>
      </c>
      <c r="C10" s="45" t="s">
        <v>88</v>
      </c>
      <c r="D10" s="45">
        <v>30</v>
      </c>
      <c r="E10" s="45" t="s">
        <v>88</v>
      </c>
      <c r="F10" s="45" t="s">
        <v>88</v>
      </c>
      <c r="G10" s="45" t="s">
        <v>88</v>
      </c>
      <c r="H10" s="45" t="s">
        <v>88</v>
      </c>
      <c r="I10" s="45" t="s">
        <v>88</v>
      </c>
      <c r="J10" s="46">
        <f t="shared" si="0"/>
        <v>30</v>
      </c>
    </row>
    <row r="11" spans="1:11" ht="21" customHeight="1" x14ac:dyDescent="0.15">
      <c r="A11" s="45">
        <v>41007010</v>
      </c>
      <c r="B11" s="45">
        <v>0</v>
      </c>
      <c r="C11" s="45" t="s">
        <v>88</v>
      </c>
      <c r="D11" s="45">
        <v>100</v>
      </c>
      <c r="E11" s="45" t="s">
        <v>88</v>
      </c>
      <c r="F11" s="45" t="s">
        <v>88</v>
      </c>
      <c r="G11" s="45">
        <v>1</v>
      </c>
      <c r="H11" s="45" t="s">
        <v>88</v>
      </c>
      <c r="I11" s="45">
        <v>143</v>
      </c>
      <c r="J11" s="46">
        <f t="shared" si="0"/>
        <v>100</v>
      </c>
    </row>
    <row r="12" spans="1:11" ht="21" customHeight="1" x14ac:dyDescent="0.15">
      <c r="A12" s="45">
        <v>41007011</v>
      </c>
      <c r="B12" s="45">
        <v>0</v>
      </c>
      <c r="C12" s="45" t="s">
        <v>88</v>
      </c>
      <c r="D12" s="45">
        <v>100</v>
      </c>
      <c r="E12" s="45" t="s">
        <v>88</v>
      </c>
      <c r="F12" s="45" t="s">
        <v>88</v>
      </c>
      <c r="G12" s="45" t="s">
        <v>88</v>
      </c>
      <c r="H12" s="45" t="s">
        <v>88</v>
      </c>
      <c r="I12" s="45" t="s">
        <v>88</v>
      </c>
      <c r="J12" s="46">
        <f t="shared" si="0"/>
        <v>100</v>
      </c>
    </row>
    <row r="13" spans="1:11" ht="21" customHeight="1" x14ac:dyDescent="0.15">
      <c r="A13" s="45">
        <v>41007012</v>
      </c>
      <c r="B13" s="45">
        <v>1</v>
      </c>
      <c r="C13" s="45" t="s">
        <v>88</v>
      </c>
      <c r="D13" s="45">
        <v>100</v>
      </c>
      <c r="E13" s="45" t="s">
        <v>88</v>
      </c>
      <c r="F13" s="45" t="s">
        <v>88</v>
      </c>
      <c r="G13" s="45">
        <v>1</v>
      </c>
      <c r="H13" s="45" t="s">
        <v>88</v>
      </c>
      <c r="I13" s="45" t="s">
        <v>88</v>
      </c>
      <c r="J13" s="46">
        <f t="shared" si="0"/>
        <v>100</v>
      </c>
    </row>
    <row r="14" spans="1:11" ht="21" customHeight="1" x14ac:dyDescent="0.15">
      <c r="A14" s="45">
        <v>41007013</v>
      </c>
      <c r="B14" s="45">
        <v>0</v>
      </c>
      <c r="C14" s="45">
        <v>5</v>
      </c>
      <c r="D14" s="45">
        <v>80</v>
      </c>
      <c r="E14" s="45" t="s">
        <v>88</v>
      </c>
      <c r="F14" s="45" t="s">
        <v>88</v>
      </c>
      <c r="G14" s="45" t="s">
        <v>88</v>
      </c>
      <c r="H14" s="45" t="s">
        <v>88</v>
      </c>
      <c r="I14" s="45" t="s">
        <v>88</v>
      </c>
      <c r="J14" s="46">
        <f t="shared" si="0"/>
        <v>80</v>
      </c>
    </row>
    <row r="15" spans="1:11" ht="21" customHeight="1" x14ac:dyDescent="0.15">
      <c r="A15" s="45">
        <v>41007014</v>
      </c>
      <c r="B15" s="45">
        <v>0</v>
      </c>
      <c r="C15" s="45">
        <v>10</v>
      </c>
      <c r="D15" s="45">
        <v>100</v>
      </c>
      <c r="E15" s="45">
        <v>70</v>
      </c>
      <c r="F15" s="45" t="s">
        <v>88</v>
      </c>
      <c r="G15" s="45" t="s">
        <v>88</v>
      </c>
      <c r="H15" s="45" t="s">
        <v>88</v>
      </c>
      <c r="I15" s="45" t="s">
        <v>88</v>
      </c>
      <c r="J15" s="46">
        <f t="shared" si="0"/>
        <v>100</v>
      </c>
    </row>
    <row r="16" spans="1:11" ht="21" customHeight="1" x14ac:dyDescent="0.15">
      <c r="A16" s="45">
        <v>41007015</v>
      </c>
      <c r="B16" s="45">
        <v>0</v>
      </c>
      <c r="C16" s="45" t="s">
        <v>88</v>
      </c>
      <c r="D16" s="45">
        <v>100</v>
      </c>
      <c r="E16" s="45" t="s">
        <v>88</v>
      </c>
      <c r="F16" s="45" t="s">
        <v>88</v>
      </c>
      <c r="G16" s="45">
        <v>1</v>
      </c>
      <c r="H16" s="45" t="s">
        <v>88</v>
      </c>
      <c r="I16" s="45">
        <v>149</v>
      </c>
      <c r="J16" s="46">
        <f t="shared" si="0"/>
        <v>100</v>
      </c>
    </row>
    <row r="17" spans="1:10" ht="21" customHeight="1" x14ac:dyDescent="0.15">
      <c r="A17" s="45">
        <v>41007016</v>
      </c>
      <c r="B17" s="45">
        <v>0</v>
      </c>
      <c r="C17" s="45" t="s">
        <v>88</v>
      </c>
      <c r="D17" s="45">
        <v>100</v>
      </c>
      <c r="E17" s="45" t="s">
        <v>88</v>
      </c>
      <c r="F17" s="45" t="s">
        <v>88</v>
      </c>
      <c r="G17" s="45" t="s">
        <v>88</v>
      </c>
      <c r="H17" s="45" t="s">
        <v>88</v>
      </c>
      <c r="I17" s="45" t="s">
        <v>88</v>
      </c>
      <c r="J17" s="46">
        <f t="shared" si="0"/>
        <v>100</v>
      </c>
    </row>
    <row r="18" spans="1:10" ht="21" customHeight="1" x14ac:dyDescent="0.15">
      <c r="A18" s="45">
        <v>41007017</v>
      </c>
      <c r="B18" s="45">
        <v>1</v>
      </c>
      <c r="C18" s="45" t="s">
        <v>88</v>
      </c>
      <c r="D18" s="45">
        <v>100</v>
      </c>
      <c r="E18" s="45" t="s">
        <v>88</v>
      </c>
      <c r="F18" s="45" t="s">
        <v>88</v>
      </c>
      <c r="G18" s="45">
        <v>1</v>
      </c>
      <c r="H18" s="45" t="s">
        <v>88</v>
      </c>
      <c r="I18" s="45" t="s">
        <v>88</v>
      </c>
      <c r="J18" s="46">
        <f t="shared" si="0"/>
        <v>100</v>
      </c>
    </row>
    <row r="19" spans="1:10" ht="21" customHeight="1" x14ac:dyDescent="0.15">
      <c r="A19" s="45">
        <v>41007018</v>
      </c>
      <c r="B19" s="45">
        <v>0</v>
      </c>
      <c r="C19" s="45" t="s">
        <v>88</v>
      </c>
      <c r="D19" s="45">
        <v>100</v>
      </c>
      <c r="E19" s="45" t="s">
        <v>88</v>
      </c>
      <c r="F19" s="45" t="s">
        <v>88</v>
      </c>
      <c r="G19" s="45" t="s">
        <v>88</v>
      </c>
      <c r="H19" s="45" t="s">
        <v>88</v>
      </c>
      <c r="I19" s="45" t="s">
        <v>88</v>
      </c>
      <c r="J19" s="46">
        <f t="shared" si="0"/>
        <v>100</v>
      </c>
    </row>
    <row r="20" spans="1:10" ht="21" customHeight="1" x14ac:dyDescent="0.15">
      <c r="A20" s="45">
        <v>41007019</v>
      </c>
      <c r="B20" s="45">
        <v>0</v>
      </c>
      <c r="C20" s="45" t="s">
        <v>88</v>
      </c>
      <c r="D20" s="45">
        <v>100</v>
      </c>
      <c r="E20" s="45" t="s">
        <v>88</v>
      </c>
      <c r="F20" s="45" t="s">
        <v>88</v>
      </c>
      <c r="G20" s="45" t="s">
        <v>88</v>
      </c>
      <c r="H20" s="45">
        <v>4</v>
      </c>
      <c r="I20" s="45" t="s">
        <v>88</v>
      </c>
      <c r="J20" s="46">
        <f t="shared" si="0"/>
        <v>100</v>
      </c>
    </row>
    <row r="21" spans="1:10" ht="21" customHeight="1" x14ac:dyDescent="0.15">
      <c r="A21" s="45">
        <v>41007020</v>
      </c>
      <c r="B21" s="45">
        <v>0</v>
      </c>
      <c r="C21" s="45" t="s">
        <v>88</v>
      </c>
      <c r="D21" s="45">
        <v>60</v>
      </c>
      <c r="E21" s="45" t="s">
        <v>88</v>
      </c>
      <c r="F21" s="45" t="s">
        <v>88</v>
      </c>
      <c r="G21" s="45" t="s">
        <v>88</v>
      </c>
      <c r="H21" s="45" t="s">
        <v>88</v>
      </c>
      <c r="I21" s="45" t="s">
        <v>88</v>
      </c>
      <c r="J21" s="46">
        <f t="shared" si="0"/>
        <v>60</v>
      </c>
    </row>
    <row r="22" spans="1:10" ht="21" customHeight="1" x14ac:dyDescent="0.15">
      <c r="A22" s="45">
        <v>41007021</v>
      </c>
      <c r="B22" s="45">
        <v>0</v>
      </c>
      <c r="C22" s="45" t="s">
        <v>88</v>
      </c>
      <c r="D22" s="45">
        <v>100</v>
      </c>
      <c r="E22" s="45">
        <v>70</v>
      </c>
      <c r="F22" s="45" t="s">
        <v>88</v>
      </c>
      <c r="G22" s="45">
        <v>1</v>
      </c>
      <c r="H22" s="45" t="s">
        <v>88</v>
      </c>
      <c r="I22" s="45" t="s">
        <v>88</v>
      </c>
      <c r="J22" s="46">
        <f t="shared" si="0"/>
        <v>100</v>
      </c>
    </row>
    <row r="23" spans="1:10" ht="21" customHeight="1" x14ac:dyDescent="0.15">
      <c r="A23" s="45">
        <v>41007022</v>
      </c>
      <c r="B23" s="45">
        <v>0</v>
      </c>
      <c r="C23" s="45" t="s">
        <v>88</v>
      </c>
      <c r="D23" s="45">
        <v>100</v>
      </c>
      <c r="E23" s="45" t="s">
        <v>88</v>
      </c>
      <c r="F23" s="45" t="s">
        <v>88</v>
      </c>
      <c r="G23" s="45">
        <v>1</v>
      </c>
      <c r="H23" s="45" t="s">
        <v>88</v>
      </c>
      <c r="I23" s="45">
        <v>292</v>
      </c>
      <c r="J23" s="46">
        <f t="shared" si="0"/>
        <v>100</v>
      </c>
    </row>
    <row r="24" spans="1:10" ht="21" customHeight="1" x14ac:dyDescent="0.15">
      <c r="A24" s="45">
        <v>41007023</v>
      </c>
      <c r="B24" s="45">
        <v>0</v>
      </c>
      <c r="C24" s="45" t="s">
        <v>88</v>
      </c>
      <c r="D24" s="45">
        <v>100</v>
      </c>
      <c r="E24" s="45" t="s">
        <v>88</v>
      </c>
      <c r="F24" s="45" t="s">
        <v>88</v>
      </c>
      <c r="G24" s="45" t="s">
        <v>88</v>
      </c>
      <c r="H24" s="45" t="s">
        <v>88</v>
      </c>
      <c r="I24" s="45" t="s">
        <v>88</v>
      </c>
      <c r="J24" s="46">
        <f t="shared" si="0"/>
        <v>100</v>
      </c>
    </row>
    <row r="25" spans="1:10" ht="21" customHeight="1" x14ac:dyDescent="0.15">
      <c r="A25" s="45">
        <v>41007024</v>
      </c>
      <c r="B25" s="45">
        <v>0</v>
      </c>
      <c r="C25" s="45" t="s">
        <v>88</v>
      </c>
      <c r="D25" s="45">
        <v>100</v>
      </c>
      <c r="E25" s="45" t="s">
        <v>88</v>
      </c>
      <c r="F25" s="45" t="s">
        <v>88</v>
      </c>
      <c r="G25" s="45" t="s">
        <v>88</v>
      </c>
      <c r="H25" s="45" t="s">
        <v>88</v>
      </c>
      <c r="I25" s="45" t="s">
        <v>88</v>
      </c>
      <c r="J25" s="46">
        <f t="shared" si="0"/>
        <v>100</v>
      </c>
    </row>
    <row r="26" spans="1:10" ht="21" customHeight="1" x14ac:dyDescent="0.15">
      <c r="A26" s="45">
        <v>41007025</v>
      </c>
      <c r="B26" s="45">
        <v>0</v>
      </c>
      <c r="C26" s="45" t="s">
        <v>88</v>
      </c>
      <c r="D26" s="45">
        <v>100</v>
      </c>
      <c r="E26" s="45" t="s">
        <v>88</v>
      </c>
      <c r="F26" s="45" t="s">
        <v>88</v>
      </c>
      <c r="G26" s="45" t="s">
        <v>88</v>
      </c>
      <c r="H26" s="45" t="s">
        <v>88</v>
      </c>
      <c r="I26" s="45" t="s">
        <v>88</v>
      </c>
      <c r="J26" s="46">
        <f t="shared" si="0"/>
        <v>100</v>
      </c>
    </row>
    <row r="27" spans="1:10" ht="21" customHeight="1" x14ac:dyDescent="0.15">
      <c r="A27" s="45">
        <v>41007026</v>
      </c>
      <c r="B27" s="45">
        <v>0</v>
      </c>
      <c r="C27" s="45" t="s">
        <v>88</v>
      </c>
      <c r="D27" s="45">
        <v>100</v>
      </c>
      <c r="E27" s="45" t="s">
        <v>88</v>
      </c>
      <c r="F27" s="45" t="s">
        <v>88</v>
      </c>
      <c r="G27" s="45" t="s">
        <v>88</v>
      </c>
      <c r="H27" s="45" t="s">
        <v>88</v>
      </c>
      <c r="I27" s="45" t="s">
        <v>88</v>
      </c>
      <c r="J27" s="46">
        <f t="shared" si="0"/>
        <v>100</v>
      </c>
    </row>
    <row r="28" spans="1:10" ht="21" customHeight="1" x14ac:dyDescent="0.15">
      <c r="A28" s="45">
        <v>41007027</v>
      </c>
      <c r="B28" s="45">
        <v>0</v>
      </c>
      <c r="C28" s="45" t="s">
        <v>88</v>
      </c>
      <c r="D28" s="45">
        <v>100</v>
      </c>
      <c r="E28" s="45" t="s">
        <v>88</v>
      </c>
      <c r="F28" s="45" t="s">
        <v>88</v>
      </c>
      <c r="G28" s="45" t="s">
        <v>88</v>
      </c>
      <c r="H28" s="45" t="s">
        <v>88</v>
      </c>
      <c r="I28" s="45" t="s">
        <v>88</v>
      </c>
      <c r="J28" s="46">
        <f t="shared" si="0"/>
        <v>100</v>
      </c>
    </row>
    <row r="29" spans="1:10" ht="21" customHeight="1" x14ac:dyDescent="0.15">
      <c r="A29" s="45">
        <v>41007028</v>
      </c>
      <c r="B29" s="45">
        <v>0</v>
      </c>
      <c r="C29" s="45" t="s">
        <v>88</v>
      </c>
      <c r="D29" s="45">
        <v>100</v>
      </c>
      <c r="E29" s="45" t="s">
        <v>88</v>
      </c>
      <c r="F29" s="45" t="s">
        <v>88</v>
      </c>
      <c r="G29" s="45" t="s">
        <v>88</v>
      </c>
      <c r="H29" s="45" t="s">
        <v>88</v>
      </c>
      <c r="I29" s="45" t="s">
        <v>88</v>
      </c>
      <c r="J29" s="46">
        <f t="shared" si="0"/>
        <v>100</v>
      </c>
    </row>
    <row r="30" spans="1:10" ht="21" customHeight="1" x14ac:dyDescent="0.15">
      <c r="A30" s="45">
        <v>41007029</v>
      </c>
      <c r="B30" s="45">
        <v>0</v>
      </c>
      <c r="C30" s="45" t="s">
        <v>88</v>
      </c>
      <c r="D30" s="45">
        <v>100</v>
      </c>
      <c r="E30" s="45" t="s">
        <v>88</v>
      </c>
      <c r="F30" s="45" t="s">
        <v>88</v>
      </c>
      <c r="G30" s="45" t="s">
        <v>88</v>
      </c>
      <c r="H30" s="45" t="s">
        <v>88</v>
      </c>
      <c r="I30" s="45" t="s">
        <v>88</v>
      </c>
      <c r="J30" s="46">
        <f t="shared" si="0"/>
        <v>100</v>
      </c>
    </row>
    <row r="31" spans="1:10" ht="21" customHeight="1" x14ac:dyDescent="0.15">
      <c r="A31" s="45">
        <v>41007030</v>
      </c>
      <c r="B31" s="45">
        <v>1</v>
      </c>
      <c r="C31" s="45" t="s">
        <v>88</v>
      </c>
      <c r="D31" s="45">
        <v>100</v>
      </c>
      <c r="E31" s="45" t="s">
        <v>88</v>
      </c>
      <c r="F31" s="45" t="s">
        <v>88</v>
      </c>
      <c r="G31" s="45">
        <v>1</v>
      </c>
      <c r="H31" s="45" t="s">
        <v>88</v>
      </c>
      <c r="I31" s="45" t="s">
        <v>88</v>
      </c>
      <c r="J31" s="46">
        <f t="shared" si="0"/>
        <v>100</v>
      </c>
    </row>
    <row r="32" spans="1:10" ht="21" customHeight="1" x14ac:dyDescent="0.15">
      <c r="A32" s="45">
        <v>41007031</v>
      </c>
      <c r="B32" s="45">
        <v>0</v>
      </c>
      <c r="C32" s="45" t="s">
        <v>88</v>
      </c>
      <c r="D32" s="45">
        <v>30</v>
      </c>
      <c r="E32" s="45" t="s">
        <v>88</v>
      </c>
      <c r="F32" s="45" t="s">
        <v>88</v>
      </c>
      <c r="G32" s="45">
        <v>3</v>
      </c>
      <c r="H32" s="45" t="s">
        <v>88</v>
      </c>
      <c r="I32" s="45" t="s">
        <v>88</v>
      </c>
      <c r="J32" s="46">
        <f t="shared" si="0"/>
        <v>30</v>
      </c>
    </row>
    <row r="33" spans="1:10" ht="21" customHeight="1" x14ac:dyDescent="0.15">
      <c r="A33" s="45">
        <v>41007032</v>
      </c>
      <c r="B33" s="45">
        <v>0</v>
      </c>
      <c r="C33" s="45" t="s">
        <v>88</v>
      </c>
      <c r="D33" s="45">
        <v>40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6">
        <f t="shared" si="0"/>
        <v>40</v>
      </c>
    </row>
    <row r="34" spans="1:10" ht="21" customHeight="1" x14ac:dyDescent="0.15">
      <c r="A34" s="45">
        <v>41007033</v>
      </c>
      <c r="B34" s="45">
        <v>0</v>
      </c>
      <c r="C34" s="45" t="s">
        <v>88</v>
      </c>
      <c r="D34" s="45">
        <v>100</v>
      </c>
      <c r="E34" s="45" t="s">
        <v>88</v>
      </c>
      <c r="F34" s="45" t="s">
        <v>88</v>
      </c>
      <c r="G34" s="45">
        <v>1</v>
      </c>
      <c r="H34" s="45" t="s">
        <v>88</v>
      </c>
      <c r="I34" s="45">
        <v>398</v>
      </c>
      <c r="J34" s="46">
        <f t="shared" si="0"/>
        <v>100</v>
      </c>
    </row>
    <row r="35" spans="1:10" ht="21" customHeight="1" x14ac:dyDescent="0.15">
      <c r="A35" s="45">
        <v>41007034</v>
      </c>
      <c r="B35" s="45">
        <v>0</v>
      </c>
      <c r="C35" s="45" t="s">
        <v>88</v>
      </c>
      <c r="D35" s="45">
        <v>100</v>
      </c>
      <c r="E35" s="45" t="s">
        <v>88</v>
      </c>
      <c r="F35" s="45" t="s">
        <v>88</v>
      </c>
      <c r="G35" s="45" t="s">
        <v>88</v>
      </c>
      <c r="H35" s="45" t="s">
        <v>88</v>
      </c>
      <c r="I35" s="45" t="s">
        <v>88</v>
      </c>
      <c r="J35" s="46">
        <f t="shared" si="0"/>
        <v>100</v>
      </c>
    </row>
    <row r="36" spans="1:10" ht="21" customHeight="1" x14ac:dyDescent="0.15">
      <c r="A36" s="45">
        <v>41007035</v>
      </c>
      <c r="B36" s="45">
        <v>1</v>
      </c>
      <c r="C36" s="45" t="s">
        <v>88</v>
      </c>
      <c r="D36" s="45">
        <v>40</v>
      </c>
      <c r="E36" s="45" t="s">
        <v>88</v>
      </c>
      <c r="F36" s="45" t="s">
        <v>88</v>
      </c>
      <c r="G36" s="45">
        <v>4</v>
      </c>
      <c r="H36" s="45" t="s">
        <v>88</v>
      </c>
      <c r="I36" s="45" t="s">
        <v>88</v>
      </c>
      <c r="J36" s="46">
        <f t="shared" si="0"/>
        <v>40</v>
      </c>
    </row>
    <row r="37" spans="1:10" ht="21" customHeight="1" x14ac:dyDescent="0.15">
      <c r="A37" s="45">
        <v>41007036</v>
      </c>
      <c r="B37" s="45">
        <v>0</v>
      </c>
      <c r="C37" s="45" t="s">
        <v>88</v>
      </c>
      <c r="D37" s="45">
        <v>40</v>
      </c>
      <c r="E37" s="45" t="s">
        <v>88</v>
      </c>
      <c r="F37" s="45" t="s">
        <v>88</v>
      </c>
      <c r="G37" s="45" t="s">
        <v>88</v>
      </c>
      <c r="H37" s="45" t="s">
        <v>88</v>
      </c>
      <c r="I37" s="45" t="s">
        <v>88</v>
      </c>
      <c r="J37" s="46">
        <f t="shared" si="0"/>
        <v>40</v>
      </c>
    </row>
    <row r="38" spans="1:10" ht="21" customHeight="1" x14ac:dyDescent="0.15">
      <c r="A38" s="45">
        <v>41007037</v>
      </c>
      <c r="B38" s="45">
        <v>0</v>
      </c>
      <c r="C38" s="45">
        <v>10</v>
      </c>
      <c r="D38" s="45">
        <v>100</v>
      </c>
      <c r="E38" s="45">
        <v>20</v>
      </c>
      <c r="F38" s="45" t="s">
        <v>88</v>
      </c>
      <c r="G38" s="45">
        <v>1</v>
      </c>
      <c r="H38" s="45" t="s">
        <v>88</v>
      </c>
      <c r="I38" s="45" t="s">
        <v>88</v>
      </c>
      <c r="J38" s="46">
        <f t="shared" si="0"/>
        <v>100</v>
      </c>
    </row>
    <row r="39" spans="1:10" ht="21" customHeight="1" x14ac:dyDescent="0.15">
      <c r="A39" s="45">
        <v>41007038</v>
      </c>
      <c r="B39" s="45">
        <v>0</v>
      </c>
      <c r="C39" s="45">
        <v>5</v>
      </c>
      <c r="D39" s="45">
        <v>100</v>
      </c>
      <c r="E39" s="45">
        <v>20</v>
      </c>
      <c r="F39" s="45" t="s">
        <v>88</v>
      </c>
      <c r="G39" s="45">
        <v>1</v>
      </c>
      <c r="H39" s="45" t="s">
        <v>88</v>
      </c>
      <c r="I39" s="45" t="s">
        <v>88</v>
      </c>
      <c r="J39" s="46">
        <f t="shared" si="0"/>
        <v>100</v>
      </c>
    </row>
    <row r="40" spans="1:10" ht="21" customHeight="1" x14ac:dyDescent="0.15">
      <c r="A40" s="45">
        <v>41007039</v>
      </c>
      <c r="B40" s="45">
        <v>0</v>
      </c>
      <c r="C40" s="45" t="s">
        <v>88</v>
      </c>
      <c r="D40" s="45">
        <v>100</v>
      </c>
      <c r="E40" s="45" t="s">
        <v>88</v>
      </c>
      <c r="F40" s="45" t="s">
        <v>88</v>
      </c>
      <c r="G40" s="45">
        <v>1</v>
      </c>
      <c r="H40" s="45" t="s">
        <v>88</v>
      </c>
      <c r="I40" s="45">
        <v>398</v>
      </c>
      <c r="J40" s="46">
        <f t="shared" si="0"/>
        <v>100</v>
      </c>
    </row>
    <row r="41" spans="1:10" ht="21" customHeight="1" x14ac:dyDescent="0.15">
      <c r="A41" s="45">
        <v>41007040</v>
      </c>
      <c r="B41" s="45">
        <v>0</v>
      </c>
      <c r="C41" s="45" t="s">
        <v>88</v>
      </c>
      <c r="D41" s="45">
        <v>100</v>
      </c>
      <c r="E41" s="45" t="s">
        <v>88</v>
      </c>
      <c r="F41" s="45" t="s">
        <v>88</v>
      </c>
      <c r="G41" s="45" t="s">
        <v>88</v>
      </c>
      <c r="H41" s="45" t="s">
        <v>88</v>
      </c>
      <c r="I41" s="45" t="s">
        <v>88</v>
      </c>
      <c r="J41" s="46">
        <f t="shared" si="0"/>
        <v>100</v>
      </c>
    </row>
    <row r="42" spans="1:10" ht="21" customHeight="1" x14ac:dyDescent="0.15">
      <c r="A42" s="45">
        <v>41007041</v>
      </c>
      <c r="B42" s="45">
        <v>1</v>
      </c>
      <c r="C42" s="45" t="s">
        <v>88</v>
      </c>
      <c r="D42" s="45">
        <v>100</v>
      </c>
      <c r="E42" s="45" t="s">
        <v>88</v>
      </c>
      <c r="F42" s="45" t="s">
        <v>88</v>
      </c>
      <c r="G42" s="45">
        <v>1</v>
      </c>
      <c r="H42" s="45" t="s">
        <v>88</v>
      </c>
      <c r="I42" s="45" t="s">
        <v>88</v>
      </c>
      <c r="J42" s="46">
        <f t="shared" si="0"/>
        <v>100</v>
      </c>
    </row>
    <row r="43" spans="1:10" ht="21" customHeight="1" x14ac:dyDescent="0.15">
      <c r="A43" s="45">
        <v>41007042</v>
      </c>
      <c r="B43" s="45">
        <v>0</v>
      </c>
      <c r="C43" s="45" t="s">
        <v>88</v>
      </c>
      <c r="D43" s="45">
        <v>50</v>
      </c>
      <c r="E43" s="45" t="s">
        <v>88</v>
      </c>
      <c r="F43" s="45" t="s">
        <v>88</v>
      </c>
      <c r="G43" s="45" t="s">
        <v>88</v>
      </c>
      <c r="H43" s="45" t="s">
        <v>88</v>
      </c>
      <c r="I43" s="45" t="s">
        <v>88</v>
      </c>
      <c r="J43" s="46">
        <f t="shared" si="0"/>
        <v>50</v>
      </c>
    </row>
    <row r="44" spans="1:10" ht="21" customHeight="1" x14ac:dyDescent="0.15">
      <c r="A44" s="45">
        <v>41007043</v>
      </c>
      <c r="B44" s="45">
        <v>0</v>
      </c>
      <c r="C44" s="45" t="s">
        <v>88</v>
      </c>
      <c r="D44" s="45">
        <v>30</v>
      </c>
      <c r="E44" s="45" t="s">
        <v>88</v>
      </c>
      <c r="F44" s="45" t="s">
        <v>88</v>
      </c>
      <c r="G44" s="45">
        <v>3</v>
      </c>
      <c r="H44" s="45">
        <v>4</v>
      </c>
      <c r="I44" s="45" t="s">
        <v>88</v>
      </c>
      <c r="J44" s="46">
        <f t="shared" si="0"/>
        <v>30</v>
      </c>
    </row>
    <row r="45" spans="1:10" ht="21" customHeight="1" x14ac:dyDescent="0.15">
      <c r="A45" s="45">
        <v>41007044</v>
      </c>
      <c r="B45" s="45">
        <v>0</v>
      </c>
      <c r="C45" s="45" t="s">
        <v>88</v>
      </c>
      <c r="D45" s="45">
        <v>40</v>
      </c>
      <c r="E45" s="45" t="s">
        <v>88</v>
      </c>
      <c r="F45" s="45" t="s">
        <v>88</v>
      </c>
      <c r="G45" s="45">
        <v>3</v>
      </c>
      <c r="H45" s="45">
        <v>3</v>
      </c>
      <c r="I45" s="45" t="s">
        <v>88</v>
      </c>
      <c r="J45" s="46">
        <f t="shared" si="0"/>
        <v>40</v>
      </c>
    </row>
    <row r="46" spans="1:10" ht="21" customHeight="1" x14ac:dyDescent="0.15">
      <c r="A46" s="45">
        <v>41007045</v>
      </c>
      <c r="B46" s="45">
        <v>0</v>
      </c>
      <c r="C46" s="45" t="s">
        <v>88</v>
      </c>
      <c r="D46" s="45">
        <v>100</v>
      </c>
      <c r="E46" s="45" t="s">
        <v>88</v>
      </c>
      <c r="F46" s="45" t="s">
        <v>88</v>
      </c>
      <c r="G46" s="45" t="s">
        <v>88</v>
      </c>
      <c r="H46" s="45" t="s">
        <v>88</v>
      </c>
      <c r="I46" s="45">
        <v>422</v>
      </c>
      <c r="J46" s="46">
        <f t="shared" si="0"/>
        <v>100</v>
      </c>
    </row>
    <row r="47" spans="1:10" ht="21" customHeight="1" x14ac:dyDescent="0.15">
      <c r="A47" s="45">
        <v>41007046</v>
      </c>
      <c r="B47" s="45">
        <v>0</v>
      </c>
      <c r="C47" s="45" t="s">
        <v>88</v>
      </c>
      <c r="D47" s="45">
        <v>100</v>
      </c>
      <c r="E47" s="45" t="s">
        <v>88</v>
      </c>
      <c r="F47" s="45" t="s">
        <v>88</v>
      </c>
      <c r="G47" s="45" t="s">
        <v>88</v>
      </c>
      <c r="H47" s="45" t="s">
        <v>88</v>
      </c>
      <c r="I47" s="45" t="s">
        <v>88</v>
      </c>
      <c r="J47" s="46">
        <f t="shared" si="0"/>
        <v>100</v>
      </c>
    </row>
    <row r="48" spans="1:10" ht="21" customHeight="1" x14ac:dyDescent="0.15">
      <c r="A48" s="45">
        <v>41007047</v>
      </c>
      <c r="B48" s="45">
        <v>0</v>
      </c>
      <c r="C48" s="45" t="s">
        <v>88</v>
      </c>
      <c r="D48" s="45">
        <v>30</v>
      </c>
      <c r="E48" s="45" t="s">
        <v>88</v>
      </c>
      <c r="F48" s="45" t="s">
        <v>88</v>
      </c>
      <c r="G48" s="45">
        <v>3</v>
      </c>
      <c r="H48" s="45">
        <v>4</v>
      </c>
      <c r="I48" s="45" t="s">
        <v>88</v>
      </c>
      <c r="J48" s="46">
        <f t="shared" si="0"/>
        <v>30</v>
      </c>
    </row>
    <row r="49" spans="1:10" ht="21" customHeight="1" x14ac:dyDescent="0.15">
      <c r="A49" s="45">
        <v>41007048</v>
      </c>
      <c r="B49" s="45">
        <v>0</v>
      </c>
      <c r="C49" s="45" t="s">
        <v>88</v>
      </c>
      <c r="D49" s="45">
        <v>50</v>
      </c>
      <c r="E49" s="45" t="s">
        <v>88</v>
      </c>
      <c r="F49" s="45" t="s">
        <v>88</v>
      </c>
      <c r="G49" s="45" t="s">
        <v>88</v>
      </c>
      <c r="H49" s="45" t="s">
        <v>88</v>
      </c>
      <c r="I49" s="45" t="s">
        <v>88</v>
      </c>
      <c r="J49" s="46">
        <f t="shared" si="0"/>
        <v>50</v>
      </c>
    </row>
    <row r="50" spans="1:10" ht="21" customHeight="1" x14ac:dyDescent="0.15">
      <c r="A50" s="45">
        <v>41007049</v>
      </c>
      <c r="B50" s="45">
        <v>0</v>
      </c>
      <c r="C50" s="45" t="s">
        <v>88</v>
      </c>
      <c r="D50" s="45">
        <v>40</v>
      </c>
      <c r="E50" s="45" t="s">
        <v>88</v>
      </c>
      <c r="F50" s="45" t="s">
        <v>88</v>
      </c>
      <c r="G50" s="45">
        <v>3</v>
      </c>
      <c r="H50" s="45">
        <v>3</v>
      </c>
      <c r="I50" s="45" t="s">
        <v>88</v>
      </c>
      <c r="J50" s="46">
        <f t="shared" si="0"/>
        <v>40</v>
      </c>
    </row>
    <row r="51" spans="1:10" ht="21" customHeight="1" x14ac:dyDescent="0.15">
      <c r="A51" s="45">
        <v>41007050</v>
      </c>
      <c r="B51" s="45">
        <v>0</v>
      </c>
      <c r="C51" s="45" t="s">
        <v>88</v>
      </c>
      <c r="D51" s="45">
        <v>100</v>
      </c>
      <c r="E51" s="45" t="s">
        <v>88</v>
      </c>
      <c r="F51" s="45" t="s">
        <v>88</v>
      </c>
      <c r="G51" s="45" t="s">
        <v>88</v>
      </c>
      <c r="H51" s="45" t="s">
        <v>88</v>
      </c>
      <c r="I51" s="45">
        <v>422</v>
      </c>
      <c r="J51" s="46">
        <f t="shared" si="0"/>
        <v>100</v>
      </c>
    </row>
    <row r="52" spans="1:10" ht="21" customHeight="1" x14ac:dyDescent="0.15">
      <c r="A52" s="45">
        <v>41007051</v>
      </c>
      <c r="B52" s="45">
        <v>1</v>
      </c>
      <c r="C52" s="45">
        <v>5</v>
      </c>
      <c r="D52" s="45">
        <v>100</v>
      </c>
      <c r="E52" s="45" t="s">
        <v>88</v>
      </c>
      <c r="F52" s="45" t="s">
        <v>88</v>
      </c>
      <c r="G52" s="45">
        <v>1</v>
      </c>
      <c r="H52" s="45" t="s">
        <v>88</v>
      </c>
      <c r="I52" s="45" t="s">
        <v>88</v>
      </c>
      <c r="J52" s="46">
        <f t="shared" si="0"/>
        <v>100</v>
      </c>
    </row>
    <row r="53" spans="1:10" ht="21" customHeight="1" x14ac:dyDescent="0.15">
      <c r="A53" s="45">
        <v>41007052</v>
      </c>
      <c r="B53" s="45">
        <v>0</v>
      </c>
      <c r="C53" s="45">
        <v>5</v>
      </c>
      <c r="D53" s="45">
        <v>100</v>
      </c>
      <c r="E53" s="45" t="s">
        <v>88</v>
      </c>
      <c r="F53" s="45" t="s">
        <v>88</v>
      </c>
      <c r="G53" s="45">
        <v>1</v>
      </c>
      <c r="H53" s="45" t="s">
        <v>88</v>
      </c>
      <c r="I53" s="45" t="s">
        <v>88</v>
      </c>
      <c r="J53" s="46">
        <f t="shared" ref="J53" si="1">D53</f>
        <v>100</v>
      </c>
    </row>
    <row r="54" spans="1:10" ht="21" customHeight="1" x14ac:dyDescent="0.15">
      <c r="A54" s="45">
        <v>41007053</v>
      </c>
      <c r="B54" s="45">
        <v>0</v>
      </c>
      <c r="C54" s="45">
        <v>1</v>
      </c>
      <c r="D54" s="45">
        <v>30</v>
      </c>
      <c r="E54" s="45" t="s">
        <v>88</v>
      </c>
      <c r="F54" s="45" t="s">
        <v>88</v>
      </c>
      <c r="G54" s="45" t="s">
        <v>88</v>
      </c>
      <c r="H54" s="45" t="s">
        <v>88</v>
      </c>
      <c r="I54" s="45" t="s">
        <v>88</v>
      </c>
      <c r="J54" s="46">
        <v>30</v>
      </c>
    </row>
    <row r="55" spans="1:10" ht="21" customHeight="1" x14ac:dyDescent="0.15">
      <c r="A55" s="45">
        <v>41007054</v>
      </c>
      <c r="B55" s="45">
        <v>0</v>
      </c>
      <c r="C55" s="45">
        <v>1</v>
      </c>
      <c r="D55" s="45">
        <v>30</v>
      </c>
      <c r="E55" s="45" t="s">
        <v>88</v>
      </c>
      <c r="F55" s="45" t="s">
        <v>88</v>
      </c>
      <c r="G55" s="45" t="s">
        <v>88</v>
      </c>
      <c r="H55" s="45" t="s">
        <v>88</v>
      </c>
      <c r="I55" s="45" t="s">
        <v>88</v>
      </c>
      <c r="J55" s="46">
        <v>30</v>
      </c>
    </row>
    <row r="56" spans="1:10" ht="21" customHeight="1" x14ac:dyDescent="0.15">
      <c r="A56" s="45">
        <v>41007055</v>
      </c>
      <c r="B56" s="45">
        <v>0</v>
      </c>
      <c r="C56" s="45">
        <v>1</v>
      </c>
      <c r="D56" s="45">
        <v>30</v>
      </c>
      <c r="E56" s="45" t="s">
        <v>88</v>
      </c>
      <c r="F56" s="45" t="s">
        <v>88</v>
      </c>
      <c r="G56" s="45" t="s">
        <v>88</v>
      </c>
      <c r="H56" s="45" t="s">
        <v>88</v>
      </c>
      <c r="I56" s="45" t="s">
        <v>88</v>
      </c>
      <c r="J56" s="46">
        <v>30</v>
      </c>
    </row>
    <row r="57" spans="1:10" ht="21" customHeight="1" x14ac:dyDescent="0.15">
      <c r="A57" s="45">
        <v>41007056</v>
      </c>
      <c r="B57" s="45">
        <v>1</v>
      </c>
      <c r="C57" s="45" t="s">
        <v>88</v>
      </c>
      <c r="D57" s="45">
        <v>100</v>
      </c>
      <c r="E57" s="45" t="s">
        <v>88</v>
      </c>
      <c r="F57" s="45" t="s">
        <v>88</v>
      </c>
      <c r="G57" s="45">
        <v>1</v>
      </c>
      <c r="H57" s="45" t="s">
        <v>88</v>
      </c>
      <c r="I57" s="45" t="s">
        <v>88</v>
      </c>
      <c r="J57" s="46">
        <f t="shared" ref="J57:J73" si="2">D57</f>
        <v>100</v>
      </c>
    </row>
    <row r="58" spans="1:10" ht="21" customHeight="1" x14ac:dyDescent="0.15">
      <c r="A58" s="45">
        <v>41007057</v>
      </c>
      <c r="B58" s="45">
        <v>0</v>
      </c>
      <c r="C58" s="45" t="s">
        <v>88</v>
      </c>
      <c r="D58" s="45">
        <v>30</v>
      </c>
      <c r="E58" s="45" t="s">
        <v>88</v>
      </c>
      <c r="F58" s="45" t="s">
        <v>88</v>
      </c>
      <c r="G58" s="45" t="s">
        <v>88</v>
      </c>
      <c r="H58" s="45" t="s">
        <v>88</v>
      </c>
      <c r="I58" s="45" t="s">
        <v>88</v>
      </c>
      <c r="J58" s="46">
        <f t="shared" si="2"/>
        <v>30</v>
      </c>
    </row>
    <row r="59" spans="1:10" ht="21" customHeight="1" x14ac:dyDescent="0.15">
      <c r="A59" s="45">
        <v>41007058</v>
      </c>
      <c r="B59" s="45">
        <v>0</v>
      </c>
      <c r="C59" s="45" t="s">
        <v>88</v>
      </c>
      <c r="D59" s="45">
        <v>30</v>
      </c>
      <c r="E59" s="45" t="s">
        <v>88</v>
      </c>
      <c r="F59" s="45" t="s">
        <v>88</v>
      </c>
      <c r="G59" s="45" t="s">
        <v>88</v>
      </c>
      <c r="H59" s="45" t="s">
        <v>88</v>
      </c>
      <c r="I59" s="45" t="s">
        <v>88</v>
      </c>
      <c r="J59" s="46">
        <f t="shared" si="2"/>
        <v>30</v>
      </c>
    </row>
    <row r="60" spans="1:10" ht="21" customHeight="1" x14ac:dyDescent="0.15">
      <c r="A60" s="45">
        <v>41007059</v>
      </c>
      <c r="B60" s="45">
        <v>0</v>
      </c>
      <c r="C60" s="45">
        <v>1</v>
      </c>
      <c r="D60" s="45">
        <v>100</v>
      </c>
      <c r="E60" s="45">
        <v>50</v>
      </c>
      <c r="F60" s="45" t="s">
        <v>88</v>
      </c>
      <c r="G60" s="45">
        <v>1</v>
      </c>
      <c r="H60" s="45" t="s">
        <v>88</v>
      </c>
      <c r="I60" s="45" t="s">
        <v>88</v>
      </c>
      <c r="J60" s="46">
        <f t="shared" si="2"/>
        <v>100</v>
      </c>
    </row>
    <row r="61" spans="1:10" ht="21" customHeight="1" x14ac:dyDescent="0.15">
      <c r="A61" s="45">
        <v>41007060</v>
      </c>
      <c r="B61" s="45">
        <v>0</v>
      </c>
      <c r="C61" s="45" t="s">
        <v>88</v>
      </c>
      <c r="D61" s="45">
        <v>30</v>
      </c>
      <c r="E61" s="45" t="s">
        <v>88</v>
      </c>
      <c r="F61" s="45" t="s">
        <v>88</v>
      </c>
      <c r="G61" s="45" t="s">
        <v>88</v>
      </c>
      <c r="H61" s="45" t="s">
        <v>88</v>
      </c>
      <c r="I61" s="45" t="s">
        <v>88</v>
      </c>
      <c r="J61" s="46">
        <f t="shared" si="2"/>
        <v>30</v>
      </c>
    </row>
    <row r="62" spans="1:10" ht="21" customHeight="1" x14ac:dyDescent="0.15">
      <c r="A62" s="45">
        <v>41007061</v>
      </c>
      <c r="B62" s="45">
        <v>1</v>
      </c>
      <c r="C62" s="45" t="s">
        <v>88</v>
      </c>
      <c r="D62" s="45">
        <v>100</v>
      </c>
      <c r="E62" s="45" t="s">
        <v>88</v>
      </c>
      <c r="F62" s="45" t="s">
        <v>88</v>
      </c>
      <c r="G62" s="45">
        <v>1</v>
      </c>
      <c r="H62" s="45" t="s">
        <v>88</v>
      </c>
      <c r="I62" s="45" t="s">
        <v>88</v>
      </c>
      <c r="J62" s="46">
        <f t="shared" si="2"/>
        <v>100</v>
      </c>
    </row>
    <row r="63" spans="1:10" ht="21" customHeight="1" x14ac:dyDescent="0.15">
      <c r="A63" s="45">
        <v>41007062</v>
      </c>
      <c r="B63" s="45">
        <v>0</v>
      </c>
      <c r="C63" s="45">
        <v>100</v>
      </c>
      <c r="D63" s="45">
        <v>100</v>
      </c>
      <c r="E63" s="45" t="s">
        <v>88</v>
      </c>
      <c r="F63" s="45" t="s">
        <v>88</v>
      </c>
      <c r="G63" s="45">
        <v>1</v>
      </c>
      <c r="H63" s="45" t="s">
        <v>88</v>
      </c>
      <c r="I63" s="45" t="s">
        <v>88</v>
      </c>
      <c r="J63" s="46">
        <f t="shared" si="2"/>
        <v>100</v>
      </c>
    </row>
    <row r="64" spans="1:10" ht="21" customHeight="1" x14ac:dyDescent="0.15">
      <c r="A64" s="45">
        <v>41007063</v>
      </c>
      <c r="B64" s="45">
        <v>0</v>
      </c>
      <c r="C64" s="45">
        <v>99</v>
      </c>
      <c r="D64" s="45">
        <v>100</v>
      </c>
      <c r="E64" s="45" t="s">
        <v>88</v>
      </c>
      <c r="F64" s="45" t="s">
        <v>88</v>
      </c>
      <c r="G64" s="45">
        <v>1</v>
      </c>
      <c r="H64" s="45" t="s">
        <v>88</v>
      </c>
      <c r="I64" s="45" t="s">
        <v>88</v>
      </c>
      <c r="J64" s="46">
        <f t="shared" si="2"/>
        <v>100</v>
      </c>
    </row>
    <row r="65" spans="1:10" ht="21" customHeight="1" x14ac:dyDescent="0.15">
      <c r="A65" s="45">
        <v>41007064</v>
      </c>
      <c r="B65" s="45">
        <v>0</v>
      </c>
      <c r="C65" s="45">
        <v>3</v>
      </c>
      <c r="D65" s="45">
        <v>40</v>
      </c>
      <c r="E65" s="45" t="s">
        <v>88</v>
      </c>
      <c r="F65" s="45" t="s">
        <v>88</v>
      </c>
      <c r="G65" s="45" t="s">
        <v>88</v>
      </c>
      <c r="H65" s="45" t="s">
        <v>88</v>
      </c>
      <c r="I65" s="45" t="s">
        <v>88</v>
      </c>
      <c r="J65" s="46">
        <f t="shared" si="2"/>
        <v>40</v>
      </c>
    </row>
    <row r="66" spans="1:10" ht="21" customHeight="1" x14ac:dyDescent="0.15">
      <c r="A66" s="45">
        <v>41007065</v>
      </c>
      <c r="B66" s="45">
        <v>0</v>
      </c>
      <c r="C66" s="45">
        <v>2</v>
      </c>
      <c r="D66" s="45">
        <v>40</v>
      </c>
      <c r="E66" s="45" t="s">
        <v>88</v>
      </c>
      <c r="F66" s="45" t="s">
        <v>88</v>
      </c>
      <c r="G66" s="45" t="s">
        <v>88</v>
      </c>
      <c r="H66" s="45" t="s">
        <v>88</v>
      </c>
      <c r="I66" s="45" t="s">
        <v>88</v>
      </c>
      <c r="J66" s="46">
        <f t="shared" si="2"/>
        <v>40</v>
      </c>
    </row>
    <row r="67" spans="1:10" ht="21" customHeight="1" x14ac:dyDescent="0.15">
      <c r="A67" s="45">
        <v>41007066</v>
      </c>
      <c r="B67" s="45">
        <v>0</v>
      </c>
      <c r="C67" s="45" t="s">
        <v>211</v>
      </c>
      <c r="D67" s="45">
        <v>50</v>
      </c>
      <c r="E67" s="45" t="s">
        <v>88</v>
      </c>
      <c r="F67" s="45" t="s">
        <v>88</v>
      </c>
      <c r="G67" s="45" t="s">
        <v>88</v>
      </c>
      <c r="H67" s="45" t="s">
        <v>88</v>
      </c>
      <c r="I67" s="45" t="s">
        <v>88</v>
      </c>
      <c r="J67" s="46">
        <f t="shared" si="2"/>
        <v>50</v>
      </c>
    </row>
    <row r="68" spans="1:10" ht="21" customHeight="1" x14ac:dyDescent="0.15">
      <c r="A68" s="45">
        <v>41007067</v>
      </c>
      <c r="B68" s="45">
        <v>0</v>
      </c>
      <c r="C68" s="45">
        <v>150</v>
      </c>
      <c r="D68" s="45">
        <v>100</v>
      </c>
      <c r="E68" s="45">
        <v>50</v>
      </c>
      <c r="F68" s="45" t="s">
        <v>88</v>
      </c>
      <c r="G68" s="45">
        <v>1</v>
      </c>
      <c r="H68" s="45" t="s">
        <v>88</v>
      </c>
      <c r="I68" s="45" t="s">
        <v>88</v>
      </c>
      <c r="J68" s="46">
        <f t="shared" si="2"/>
        <v>100</v>
      </c>
    </row>
    <row r="69" spans="1:10" ht="21" customHeight="1" x14ac:dyDescent="0.15">
      <c r="A69" s="45">
        <v>41007068</v>
      </c>
      <c r="B69" s="45">
        <v>0</v>
      </c>
      <c r="C69" s="45">
        <v>80</v>
      </c>
      <c r="D69" s="45">
        <v>100</v>
      </c>
      <c r="E69" s="45">
        <v>50</v>
      </c>
      <c r="F69" s="45" t="s">
        <v>88</v>
      </c>
      <c r="G69" s="45">
        <v>1</v>
      </c>
      <c r="H69" s="45" t="s">
        <v>88</v>
      </c>
      <c r="I69" s="45" t="s">
        <v>88</v>
      </c>
      <c r="J69" s="46">
        <f t="shared" si="2"/>
        <v>100</v>
      </c>
    </row>
    <row r="70" spans="1:10" ht="21" customHeight="1" x14ac:dyDescent="0.15">
      <c r="A70" s="45">
        <v>41007069</v>
      </c>
      <c r="B70" s="45">
        <v>0</v>
      </c>
      <c r="C70" s="45">
        <v>70</v>
      </c>
      <c r="D70" s="45">
        <v>100</v>
      </c>
      <c r="E70" s="45">
        <v>50</v>
      </c>
      <c r="F70" s="45" t="s">
        <v>88</v>
      </c>
      <c r="G70" s="45">
        <v>1</v>
      </c>
      <c r="H70" s="45" t="s">
        <v>88</v>
      </c>
      <c r="I70" s="45" t="s">
        <v>88</v>
      </c>
      <c r="J70" s="46">
        <f t="shared" si="2"/>
        <v>100</v>
      </c>
    </row>
    <row r="71" spans="1:10" ht="21" customHeight="1" x14ac:dyDescent="0.15">
      <c r="A71" s="45">
        <v>41007070</v>
      </c>
      <c r="B71" s="45">
        <v>0</v>
      </c>
      <c r="C71" s="45">
        <v>60</v>
      </c>
      <c r="D71" s="45">
        <v>100</v>
      </c>
      <c r="E71" s="45">
        <v>50</v>
      </c>
      <c r="F71" s="45" t="s">
        <v>88</v>
      </c>
      <c r="G71" s="45">
        <v>1</v>
      </c>
      <c r="H71" s="45" t="s">
        <v>88</v>
      </c>
      <c r="I71" s="45" t="s">
        <v>88</v>
      </c>
      <c r="J71" s="46">
        <f t="shared" si="2"/>
        <v>100</v>
      </c>
    </row>
    <row r="72" spans="1:10" ht="21" customHeight="1" x14ac:dyDescent="0.15">
      <c r="A72" s="45">
        <v>41007071</v>
      </c>
      <c r="B72" s="45">
        <v>0</v>
      </c>
      <c r="C72" s="45">
        <v>50</v>
      </c>
      <c r="D72" s="45">
        <v>100</v>
      </c>
      <c r="E72" s="45">
        <v>50</v>
      </c>
      <c r="F72" s="45" t="s">
        <v>88</v>
      </c>
      <c r="G72" s="45">
        <v>1</v>
      </c>
      <c r="H72" s="45" t="s">
        <v>88</v>
      </c>
      <c r="I72" s="45" t="s">
        <v>88</v>
      </c>
      <c r="J72" s="46">
        <f t="shared" si="2"/>
        <v>100</v>
      </c>
    </row>
    <row r="73" spans="1:10" ht="21" customHeight="1" x14ac:dyDescent="0.15">
      <c r="A73" s="45">
        <v>41007072</v>
      </c>
      <c r="B73" s="45">
        <v>0</v>
      </c>
      <c r="C73" s="45">
        <v>40</v>
      </c>
      <c r="D73" s="45">
        <v>100</v>
      </c>
      <c r="E73" s="45">
        <v>50</v>
      </c>
      <c r="F73" s="45" t="s">
        <v>88</v>
      </c>
      <c r="G73" s="45" t="s">
        <v>88</v>
      </c>
      <c r="H73" s="45" t="s">
        <v>88</v>
      </c>
      <c r="I73" s="45" t="s">
        <v>88</v>
      </c>
      <c r="J73" s="46">
        <f t="shared" si="2"/>
        <v>100</v>
      </c>
    </row>
    <row r="74" spans="1:10" ht="21" customHeight="1" x14ac:dyDescent="0.15">
      <c r="A74" s="45">
        <v>41007073</v>
      </c>
      <c r="B74" s="45">
        <v>0</v>
      </c>
      <c r="C74" s="45">
        <v>1</v>
      </c>
      <c r="D74" s="45">
        <v>100</v>
      </c>
      <c r="E74" s="45" t="s">
        <v>88</v>
      </c>
      <c r="F74" s="45" t="s">
        <v>88</v>
      </c>
      <c r="G74" s="45">
        <v>1</v>
      </c>
      <c r="H74" s="45" t="s">
        <v>88</v>
      </c>
      <c r="I74" s="45" t="s">
        <v>88</v>
      </c>
      <c r="J74" s="46">
        <f t="shared" ref="J74" si="3">D74</f>
        <v>100</v>
      </c>
    </row>
  </sheetData>
  <autoFilter ref="A1:G1"/>
  <phoneticPr fontId="5"/>
  <conditionalFormatting sqref="K1:K73 K75:K1048576">
    <cfRule type="duplicateValues" dxfId="1" priority="2"/>
  </conditionalFormatting>
  <conditionalFormatting sqref="K7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zoomScale="90" zoomScaleNormal="90" zoomScalePageLayoutView="90" workbookViewId="0">
      <selection activeCell="P18" sqref="P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41007</v>
      </c>
      <c r="B2" s="79">
        <v>1</v>
      </c>
      <c r="C2" s="68" t="str">
        <f>A2&amp; "_"&amp;B2</f>
        <v>41007_1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9">
        <v>1</v>
      </c>
      <c r="F2" s="79" t="s">
        <v>166</v>
      </c>
      <c r="G2" s="79">
        <v>40000</v>
      </c>
      <c r="H2" s="79" t="s">
        <v>88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150</v>
      </c>
      <c r="Q2" s="79" t="s">
        <v>167</v>
      </c>
      <c r="R2" s="79" t="s">
        <v>168</v>
      </c>
    </row>
    <row r="3" spans="1:18" x14ac:dyDescent="0.15">
      <c r="A3" s="55">
        <v>41007</v>
      </c>
      <c r="B3" s="79">
        <v>1</v>
      </c>
      <c r="C3" s="68" t="str">
        <f t="shared" ref="C3:C11" si="0">A3&amp; "_"&amp;B3</f>
        <v>41007_1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9">
        <v>2</v>
      </c>
      <c r="F3" s="79" t="s">
        <v>304</v>
      </c>
      <c r="G3" s="79">
        <v>30</v>
      </c>
      <c r="H3" s="79" t="s">
        <v>88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150</v>
      </c>
      <c r="Q3" s="79" t="s">
        <v>167</v>
      </c>
      <c r="R3" s="79" t="s">
        <v>168</v>
      </c>
    </row>
    <row r="4" spans="1:18" x14ac:dyDescent="0.15">
      <c r="A4" s="55">
        <v>41007</v>
      </c>
      <c r="B4" s="79">
        <v>1</v>
      </c>
      <c r="C4" s="68" t="str">
        <f t="shared" si="0"/>
        <v>41007_1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9">
        <v>3</v>
      </c>
      <c r="F4" s="79" t="s">
        <v>305</v>
      </c>
      <c r="G4" s="170">
        <v>337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28</v>
      </c>
      <c r="Q4" s="79" t="s">
        <v>167</v>
      </c>
      <c r="R4" s="79" t="s">
        <v>168</v>
      </c>
    </row>
    <row r="5" spans="1:18" x14ac:dyDescent="0.15">
      <c r="A5" s="55">
        <v>41007</v>
      </c>
      <c r="B5" s="79">
        <v>1</v>
      </c>
      <c r="C5" s="68" t="str">
        <f t="shared" si="0"/>
        <v>41007_1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9">
        <v>4</v>
      </c>
      <c r="F5" s="79" t="s">
        <v>305</v>
      </c>
      <c r="G5" s="170">
        <v>338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112</v>
      </c>
      <c r="Q5" s="79" t="s">
        <v>167</v>
      </c>
      <c r="R5" s="79" t="s">
        <v>168</v>
      </c>
    </row>
    <row r="6" spans="1:18" x14ac:dyDescent="0.15">
      <c r="A6" s="55">
        <v>41007</v>
      </c>
      <c r="B6" s="79">
        <v>1</v>
      </c>
      <c r="C6" s="68" t="str">
        <f t="shared" si="0"/>
        <v>41007_1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9">
        <v>5</v>
      </c>
      <c r="F6" s="79" t="s">
        <v>305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100</v>
      </c>
      <c r="Q6" s="79" t="s">
        <v>167</v>
      </c>
      <c r="R6" s="79" t="s">
        <v>168</v>
      </c>
    </row>
    <row r="7" spans="1:18" x14ac:dyDescent="0.15">
      <c r="A7" s="55">
        <v>41007</v>
      </c>
      <c r="B7" s="79">
        <v>1</v>
      </c>
      <c r="C7" s="68" t="str">
        <f t="shared" si="0"/>
        <v>41007_1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9">
        <v>6</v>
      </c>
      <c r="F7" s="79" t="s">
        <v>305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100</v>
      </c>
      <c r="Q7" s="79" t="s">
        <v>167</v>
      </c>
      <c r="R7" s="79" t="s">
        <v>168</v>
      </c>
    </row>
    <row r="8" spans="1:18" x14ac:dyDescent="0.15">
      <c r="A8" s="55">
        <v>41007</v>
      </c>
      <c r="B8" s="79">
        <v>1</v>
      </c>
      <c r="C8" s="68" t="str">
        <f t="shared" si="0"/>
        <v>41007_1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9">
        <v>7</v>
      </c>
      <c r="F8" s="79" t="s">
        <v>306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100</v>
      </c>
      <c r="Q8" s="79" t="s">
        <v>167</v>
      </c>
      <c r="R8" s="79" t="s">
        <v>168</v>
      </c>
    </row>
    <row r="9" spans="1:18" x14ac:dyDescent="0.15">
      <c r="A9" s="55">
        <v>41007</v>
      </c>
      <c r="B9" s="79">
        <v>1</v>
      </c>
      <c r="C9" s="68" t="str">
        <f t="shared" si="0"/>
        <v>41007_1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9">
        <v>8</v>
      </c>
      <c r="F9" s="79" t="s">
        <v>305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10</v>
      </c>
      <c r="Q9" s="79" t="s">
        <v>167</v>
      </c>
      <c r="R9" s="79" t="s">
        <v>168</v>
      </c>
    </row>
    <row r="10" spans="1:18" x14ac:dyDescent="0.15">
      <c r="A10" s="55">
        <v>41007</v>
      </c>
      <c r="B10" s="79">
        <v>1</v>
      </c>
      <c r="C10" s="68" t="str">
        <f t="shared" si="0"/>
        <v>41007_1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9">
        <v>9</v>
      </c>
      <c r="F10" s="79" t="s">
        <v>305</v>
      </c>
      <c r="G10" s="170">
        <v>490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100</v>
      </c>
      <c r="Q10" s="79" t="s">
        <v>167</v>
      </c>
      <c r="R10" s="79" t="s">
        <v>168</v>
      </c>
    </row>
    <row r="11" spans="1:18" ht="16" thickBot="1" x14ac:dyDescent="0.2">
      <c r="A11" s="171">
        <v>41007</v>
      </c>
      <c r="B11" s="172">
        <v>1</v>
      </c>
      <c r="C11" s="173" t="str">
        <f t="shared" si="0"/>
        <v>41007_1</v>
      </c>
      <c r="D11" s="17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72">
        <v>10</v>
      </c>
      <c r="F11" s="172" t="s">
        <v>305</v>
      </c>
      <c r="G11" s="175">
        <v>350</v>
      </c>
      <c r="H11" s="172">
        <v>1</v>
      </c>
      <c r="I11" s="172">
        <v>1</v>
      </c>
      <c r="J11" s="172">
        <v>1</v>
      </c>
      <c r="K11" s="172">
        <v>0</v>
      </c>
      <c r="L11" s="172">
        <v>0</v>
      </c>
      <c r="M11" s="172">
        <v>0</v>
      </c>
      <c r="N11" s="172">
        <v>0</v>
      </c>
      <c r="O11" s="172">
        <v>1</v>
      </c>
      <c r="P11" s="172">
        <v>150</v>
      </c>
      <c r="Q11" s="172" t="s">
        <v>167</v>
      </c>
      <c r="R11" s="172" t="s">
        <v>168</v>
      </c>
    </row>
    <row r="12" spans="1:18" x14ac:dyDescent="0.15">
      <c r="A12" s="55">
        <v>41007</v>
      </c>
      <c r="B12" s="79">
        <v>2</v>
      </c>
      <c r="C12" s="68" t="str">
        <f t="shared" ref="C12:C18" si="1">A12&amp; "_"&amp;B12</f>
        <v>41007_2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9">
        <v>1</v>
      </c>
      <c r="F12" s="79" t="s">
        <v>305</v>
      </c>
      <c r="G12" s="170">
        <v>338</v>
      </c>
      <c r="H12" s="79">
        <v>1</v>
      </c>
      <c r="I12" s="79">
        <v>1</v>
      </c>
      <c r="J12" s="79">
        <v>1</v>
      </c>
      <c r="K12" s="79">
        <v>0</v>
      </c>
      <c r="L12" s="79">
        <v>0</v>
      </c>
      <c r="M12" s="79">
        <v>0</v>
      </c>
      <c r="N12" s="79">
        <v>0</v>
      </c>
      <c r="O12" s="79">
        <v>1</v>
      </c>
      <c r="P12" s="79">
        <v>50</v>
      </c>
      <c r="Q12" s="79" t="s">
        <v>167</v>
      </c>
      <c r="R12" s="79" t="s">
        <v>168</v>
      </c>
    </row>
    <row r="13" spans="1:18" x14ac:dyDescent="0.15">
      <c r="A13" s="55">
        <v>41007</v>
      </c>
      <c r="B13" s="79">
        <v>2</v>
      </c>
      <c r="C13" s="68" t="str">
        <f t="shared" si="1"/>
        <v>41007_2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9">
        <v>2</v>
      </c>
      <c r="F13" s="79" t="s">
        <v>305</v>
      </c>
      <c r="G13" s="79">
        <v>607</v>
      </c>
      <c r="H13" s="79">
        <v>1</v>
      </c>
      <c r="I13" s="79">
        <v>1</v>
      </c>
      <c r="J13" s="79">
        <v>1</v>
      </c>
      <c r="K13" s="79">
        <v>0</v>
      </c>
      <c r="L13" s="79">
        <v>0</v>
      </c>
      <c r="M13" s="79">
        <v>0</v>
      </c>
      <c r="N13" s="79">
        <v>0</v>
      </c>
      <c r="O13" s="79">
        <v>1</v>
      </c>
      <c r="P13" s="79">
        <v>100</v>
      </c>
      <c r="Q13" s="79" t="s">
        <v>167</v>
      </c>
      <c r="R13" s="79" t="s">
        <v>168</v>
      </c>
    </row>
    <row r="14" spans="1:18" x14ac:dyDescent="0.15">
      <c r="A14" s="55">
        <v>41007</v>
      </c>
      <c r="B14" s="79">
        <v>2</v>
      </c>
      <c r="C14" s="68" t="str">
        <f t="shared" si="1"/>
        <v>41007_2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9">
        <v>3</v>
      </c>
      <c r="F14" s="79" t="s">
        <v>305</v>
      </c>
      <c r="G14" s="79">
        <v>608</v>
      </c>
      <c r="H14" s="79">
        <v>1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79">
        <v>100</v>
      </c>
      <c r="Q14" s="79" t="s">
        <v>167</v>
      </c>
      <c r="R14" s="79" t="s">
        <v>168</v>
      </c>
    </row>
    <row r="15" spans="1:18" x14ac:dyDescent="0.15">
      <c r="A15" s="55">
        <v>41007</v>
      </c>
      <c r="B15" s="79">
        <v>2</v>
      </c>
      <c r="C15" s="68" t="str">
        <f t="shared" si="1"/>
        <v>41007_2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9">
        <v>4</v>
      </c>
      <c r="F15" s="79" t="s">
        <v>305</v>
      </c>
      <c r="G15" s="79">
        <v>609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79">
        <v>100</v>
      </c>
      <c r="Q15" s="79" t="s">
        <v>167</v>
      </c>
      <c r="R15" s="79" t="s">
        <v>168</v>
      </c>
    </row>
    <row r="16" spans="1:18" x14ac:dyDescent="0.15">
      <c r="A16" s="55">
        <v>41007</v>
      </c>
      <c r="B16" s="79">
        <v>2</v>
      </c>
      <c r="C16" s="68" t="str">
        <f t="shared" si="1"/>
        <v>41007_2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9">
        <v>5</v>
      </c>
      <c r="F16" s="79" t="s">
        <v>307</v>
      </c>
      <c r="G16" s="79">
        <v>125</v>
      </c>
      <c r="H16" s="79">
        <v>1</v>
      </c>
      <c r="I16" s="79">
        <v>1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1</v>
      </c>
      <c r="P16" s="79">
        <v>30</v>
      </c>
      <c r="Q16" s="79" t="s">
        <v>167</v>
      </c>
      <c r="R16" s="79" t="s">
        <v>168</v>
      </c>
    </row>
    <row r="17" spans="1:18" x14ac:dyDescent="0.15">
      <c r="A17" s="55">
        <v>41007</v>
      </c>
      <c r="B17" s="79">
        <v>2</v>
      </c>
      <c r="C17" s="68" t="str">
        <f t="shared" si="1"/>
        <v>41007_2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9">
        <v>6</v>
      </c>
      <c r="F17" s="79" t="s">
        <v>305</v>
      </c>
      <c r="G17" s="170">
        <v>490</v>
      </c>
      <c r="H17" s="79">
        <v>1</v>
      </c>
      <c r="I17" s="79">
        <v>1</v>
      </c>
      <c r="J17" s="79">
        <v>1</v>
      </c>
      <c r="K17" s="79">
        <v>0</v>
      </c>
      <c r="L17" s="79">
        <v>0</v>
      </c>
      <c r="M17" s="79">
        <v>0</v>
      </c>
      <c r="N17" s="79">
        <v>0</v>
      </c>
      <c r="O17" s="79">
        <v>1</v>
      </c>
      <c r="P17" s="79">
        <v>500</v>
      </c>
      <c r="Q17" s="79" t="s">
        <v>167</v>
      </c>
      <c r="R17" s="79" t="s">
        <v>168</v>
      </c>
    </row>
    <row r="18" spans="1:18" ht="16" thickBot="1" x14ac:dyDescent="0.2">
      <c r="A18" s="171">
        <v>41007</v>
      </c>
      <c r="B18" s="172">
        <v>2</v>
      </c>
      <c r="C18" s="173" t="str">
        <f t="shared" si="1"/>
        <v>41007_2</v>
      </c>
      <c r="D18" s="17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72">
        <v>7</v>
      </c>
      <c r="F18" s="172" t="s">
        <v>305</v>
      </c>
      <c r="G18" s="175">
        <v>350</v>
      </c>
      <c r="H18" s="172">
        <v>1</v>
      </c>
      <c r="I18" s="172">
        <v>1</v>
      </c>
      <c r="J18" s="172">
        <v>1</v>
      </c>
      <c r="K18" s="172">
        <v>0</v>
      </c>
      <c r="L18" s="172">
        <v>0</v>
      </c>
      <c r="M18" s="172">
        <v>0</v>
      </c>
      <c r="N18" s="172">
        <v>0</v>
      </c>
      <c r="O18" s="172">
        <v>1</v>
      </c>
      <c r="P18" s="172">
        <v>120</v>
      </c>
      <c r="Q18" s="172" t="s">
        <v>167</v>
      </c>
      <c r="R18" s="172" t="s">
        <v>168</v>
      </c>
    </row>
    <row r="19" spans="1:18" x14ac:dyDescent="0.15">
      <c r="A19" s="55">
        <v>41007</v>
      </c>
      <c r="B19" s="79">
        <v>3</v>
      </c>
      <c r="C19" s="68" t="str">
        <f>A19&amp; "_"&amp;B19</f>
        <v>41007_3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9">
        <v>1</v>
      </c>
      <c r="F19" s="79" t="s">
        <v>166</v>
      </c>
      <c r="G19" s="176">
        <v>40000</v>
      </c>
      <c r="H19" s="79" t="s">
        <v>88</v>
      </c>
      <c r="I19" s="79">
        <v>1</v>
      </c>
      <c r="J19" s="79">
        <v>1</v>
      </c>
      <c r="K19" s="79">
        <v>0</v>
      </c>
      <c r="L19" s="79">
        <v>0</v>
      </c>
      <c r="M19" s="79">
        <v>0</v>
      </c>
      <c r="N19" s="79">
        <v>0</v>
      </c>
      <c r="O19" s="79">
        <v>1</v>
      </c>
      <c r="P19" s="79">
        <v>150</v>
      </c>
      <c r="Q19" s="79" t="s">
        <v>167</v>
      </c>
      <c r="R19" s="79" t="s">
        <v>168</v>
      </c>
    </row>
    <row r="20" spans="1:18" x14ac:dyDescent="0.15">
      <c r="A20" s="55">
        <v>41007</v>
      </c>
      <c r="B20" s="79">
        <v>3</v>
      </c>
      <c r="C20" s="68" t="str">
        <f t="shared" ref="C20:C26" si="2">A20&amp; "_"&amp;B20</f>
        <v>41007_3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9">
        <v>2</v>
      </c>
      <c r="F20" s="79" t="s">
        <v>305</v>
      </c>
      <c r="G20" s="170">
        <v>338</v>
      </c>
      <c r="H20" s="79">
        <v>1</v>
      </c>
      <c r="I20" s="79">
        <v>1</v>
      </c>
      <c r="J20" s="79">
        <v>1</v>
      </c>
      <c r="K20" s="79">
        <v>0</v>
      </c>
      <c r="L20" s="79">
        <v>0</v>
      </c>
      <c r="M20" s="79">
        <v>0</v>
      </c>
      <c r="N20" s="79">
        <v>0</v>
      </c>
      <c r="O20" s="79">
        <v>1</v>
      </c>
      <c r="P20" s="79">
        <v>150</v>
      </c>
      <c r="Q20" s="79" t="s">
        <v>167</v>
      </c>
      <c r="R20" s="79" t="s">
        <v>168</v>
      </c>
    </row>
    <row r="21" spans="1:18" x14ac:dyDescent="0.15">
      <c r="A21" s="55">
        <v>41007</v>
      </c>
      <c r="B21" s="79">
        <v>3</v>
      </c>
      <c r="C21" s="68" t="str">
        <f t="shared" si="2"/>
        <v>41007_3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9">
        <v>3</v>
      </c>
      <c r="F21" s="79" t="s">
        <v>305</v>
      </c>
      <c r="G21" s="79">
        <v>607</v>
      </c>
      <c r="H21" s="79">
        <v>1</v>
      </c>
      <c r="I21" s="79">
        <v>1</v>
      </c>
      <c r="J21" s="79">
        <v>1</v>
      </c>
      <c r="K21" s="79">
        <v>0</v>
      </c>
      <c r="L21" s="79">
        <v>0</v>
      </c>
      <c r="M21" s="79">
        <v>0</v>
      </c>
      <c r="N21" s="79">
        <v>0</v>
      </c>
      <c r="O21" s="79">
        <v>1</v>
      </c>
      <c r="P21" s="79">
        <v>100</v>
      </c>
      <c r="Q21" s="79" t="s">
        <v>167</v>
      </c>
      <c r="R21" s="79" t="s">
        <v>168</v>
      </c>
    </row>
    <row r="22" spans="1:18" x14ac:dyDescent="0.15">
      <c r="A22" s="55">
        <v>41007</v>
      </c>
      <c r="B22" s="79">
        <v>3</v>
      </c>
      <c r="C22" s="68" t="str">
        <f t="shared" si="2"/>
        <v>41007_3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9">
        <v>4</v>
      </c>
      <c r="F22" s="79" t="s">
        <v>305</v>
      </c>
      <c r="G22" s="79">
        <v>608</v>
      </c>
      <c r="H22" s="79">
        <v>1</v>
      </c>
      <c r="I22" s="79">
        <v>1</v>
      </c>
      <c r="J22" s="79">
        <v>1</v>
      </c>
      <c r="K22" s="79">
        <v>0</v>
      </c>
      <c r="L22" s="79">
        <v>0</v>
      </c>
      <c r="M22" s="79">
        <v>0</v>
      </c>
      <c r="N22" s="79">
        <v>0</v>
      </c>
      <c r="O22" s="79">
        <v>1</v>
      </c>
      <c r="P22" s="79">
        <v>100</v>
      </c>
      <c r="Q22" s="79" t="s">
        <v>167</v>
      </c>
      <c r="R22" s="79" t="s">
        <v>168</v>
      </c>
    </row>
    <row r="23" spans="1:18" x14ac:dyDescent="0.15">
      <c r="A23" s="55">
        <v>41007</v>
      </c>
      <c r="B23" s="79">
        <v>3</v>
      </c>
      <c r="C23" s="68" t="str">
        <f t="shared" si="2"/>
        <v>41007_3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9">
        <v>5</v>
      </c>
      <c r="F23" s="79" t="s">
        <v>305</v>
      </c>
      <c r="G23" s="79">
        <v>609</v>
      </c>
      <c r="H23" s="79">
        <v>1</v>
      </c>
      <c r="I23" s="79">
        <v>1</v>
      </c>
      <c r="J23" s="79">
        <v>1</v>
      </c>
      <c r="K23" s="79">
        <v>0</v>
      </c>
      <c r="L23" s="79">
        <v>0</v>
      </c>
      <c r="M23" s="79">
        <v>0</v>
      </c>
      <c r="N23" s="79">
        <v>0</v>
      </c>
      <c r="O23" s="79">
        <v>1</v>
      </c>
      <c r="P23" s="79">
        <v>100</v>
      </c>
      <c r="Q23" s="79" t="s">
        <v>167</v>
      </c>
      <c r="R23" s="79" t="s">
        <v>168</v>
      </c>
    </row>
    <row r="24" spans="1:18" x14ac:dyDescent="0.15">
      <c r="A24" s="55">
        <v>41007</v>
      </c>
      <c r="B24" s="79">
        <v>3</v>
      </c>
      <c r="C24" s="68" t="str">
        <f t="shared" si="2"/>
        <v>41007_3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9">
        <v>6</v>
      </c>
      <c r="F24" s="79" t="s">
        <v>307</v>
      </c>
      <c r="G24" s="79">
        <v>125</v>
      </c>
      <c r="H24" s="79">
        <v>1</v>
      </c>
      <c r="I24" s="79">
        <v>1</v>
      </c>
      <c r="J24" s="79">
        <v>1</v>
      </c>
      <c r="K24" s="79">
        <v>0</v>
      </c>
      <c r="L24" s="79">
        <v>0</v>
      </c>
      <c r="M24" s="79">
        <v>0</v>
      </c>
      <c r="N24" s="79">
        <v>0</v>
      </c>
      <c r="O24" s="79">
        <v>1</v>
      </c>
      <c r="P24" s="79">
        <v>30</v>
      </c>
      <c r="Q24" s="79" t="s">
        <v>167</v>
      </c>
      <c r="R24" s="79" t="s">
        <v>168</v>
      </c>
    </row>
    <row r="25" spans="1:18" x14ac:dyDescent="0.15">
      <c r="A25" s="55">
        <v>41007</v>
      </c>
      <c r="B25" s="79">
        <v>3</v>
      </c>
      <c r="C25" s="68" t="str">
        <f t="shared" si="2"/>
        <v>41007_3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9">
        <v>7</v>
      </c>
      <c r="F25" s="79" t="s">
        <v>305</v>
      </c>
      <c r="G25" s="170">
        <v>490</v>
      </c>
      <c r="H25" s="79">
        <v>1</v>
      </c>
      <c r="I25" s="79">
        <v>1</v>
      </c>
      <c r="J25" s="79">
        <v>1</v>
      </c>
      <c r="K25" s="79">
        <v>0</v>
      </c>
      <c r="L25" s="79">
        <v>0</v>
      </c>
      <c r="M25" s="79">
        <v>0</v>
      </c>
      <c r="N25" s="79">
        <v>0</v>
      </c>
      <c r="O25" s="79">
        <v>1</v>
      </c>
      <c r="P25" s="79">
        <v>250</v>
      </c>
      <c r="Q25" s="79" t="s">
        <v>167</v>
      </c>
      <c r="R25" s="79" t="s">
        <v>168</v>
      </c>
    </row>
    <row r="26" spans="1:18" ht="16" thickBot="1" x14ac:dyDescent="0.2">
      <c r="A26" s="171">
        <v>41007</v>
      </c>
      <c r="B26" s="172">
        <v>3</v>
      </c>
      <c r="C26" s="173" t="str">
        <f t="shared" si="2"/>
        <v>41007_3</v>
      </c>
      <c r="D26" s="174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72">
        <v>8</v>
      </c>
      <c r="F26" s="172" t="s">
        <v>305</v>
      </c>
      <c r="G26" s="175">
        <v>350</v>
      </c>
      <c r="H26" s="172">
        <v>1</v>
      </c>
      <c r="I26" s="172">
        <v>1</v>
      </c>
      <c r="J26" s="172">
        <v>1</v>
      </c>
      <c r="K26" s="172">
        <v>0</v>
      </c>
      <c r="L26" s="172">
        <v>0</v>
      </c>
      <c r="M26" s="172">
        <v>0</v>
      </c>
      <c r="N26" s="172">
        <v>0</v>
      </c>
      <c r="O26" s="172">
        <v>1</v>
      </c>
      <c r="P26" s="172">
        <v>120</v>
      </c>
      <c r="Q26" s="172" t="s">
        <v>167</v>
      </c>
      <c r="R26" s="172" t="s">
        <v>168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E28" sqref="E28:E40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185</v>
      </c>
      <c r="B1" s="70" t="s">
        <v>186</v>
      </c>
      <c r="C1" s="75" t="s">
        <v>187</v>
      </c>
      <c r="D1" s="75" t="s">
        <v>33</v>
      </c>
      <c r="E1" s="70" t="s">
        <v>188</v>
      </c>
      <c r="F1" s="75" t="s">
        <v>189</v>
      </c>
      <c r="G1" s="75" t="s">
        <v>33</v>
      </c>
      <c r="H1" s="70" t="s">
        <v>190</v>
      </c>
      <c r="I1" s="89" t="s">
        <v>192</v>
      </c>
      <c r="J1" s="77" t="s">
        <v>125</v>
      </c>
      <c r="K1" s="76" t="s">
        <v>184</v>
      </c>
      <c r="L1" s="90" t="s">
        <v>183</v>
      </c>
      <c r="M1" s="78" t="s">
        <v>193</v>
      </c>
    </row>
    <row r="2" spans="1:13" x14ac:dyDescent="0.15">
      <c r="A2" s="79" t="s">
        <v>198</v>
      </c>
      <c r="B2" s="80">
        <f>floors!$C$7</f>
        <v>41007</v>
      </c>
      <c r="C2" s="81" t="str">
        <f ca="1">VLOOKUP($B2,OFFSET([2]quests!$A$1,0,0,COUNTA([2]quests!$A:$A),MATCH(C$1,[2]quests!$1:$1,0)-MATCH($B$1,[2]quests!$1:$1,0)+1),MATCH(C$1,[2]quests!$1:$1,0)-MATCH($B$1,[2]quests!$1:$1,0)+1,FALSE)</f>
        <v>グリム襲来！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【超絶級】グリム襲来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3">
        <v>0</v>
      </c>
      <c r="I2">
        <v>12</v>
      </c>
      <c r="J2" s="82" t="s">
        <v>195</v>
      </c>
      <c r="K2" s="91" t="str">
        <f>VLOOKUP(I2,[6]stage_hints!$A:$C,3,FALSE)</f>
        <v>ユニットのお気に入り登録</v>
      </c>
      <c r="L2" s="92" t="str">
        <f>VLOOKUP(I2,[6]stage_hints!$A:$D,4,FALSE)</f>
        <v>大事なユニットを誤って消さないように_x000D_フォルダから「お気に入り登録」しましょう</v>
      </c>
      <c r="M2" s="55" t="s">
        <v>208</v>
      </c>
    </row>
    <row r="3" spans="1:13" x14ac:dyDescent="0.15">
      <c r="A3" s="79" t="s">
        <v>198</v>
      </c>
      <c r="B3" s="80">
        <f>floors!$C$7</f>
        <v>41007</v>
      </c>
      <c r="C3" s="81" t="str">
        <f ca="1">VLOOKUP($B3,OFFSET([2]quests!$A$1,0,0,COUNTA([2]quests!$A:$A),MATCH(C$1,[2]quests!$1:$1,0)-MATCH($B$1,[2]quests!$1:$1,0)+1),MATCH(C$1,[2]quests!$1:$1,0)-MATCH($B$1,[2]quests!$1:$1,0)+1,FALSE)</f>
        <v>グリム襲来！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【超絶級】グリム襲来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3">
        <v>0</v>
      </c>
      <c r="I3">
        <v>17</v>
      </c>
      <c r="J3" s="82" t="s">
        <v>195</v>
      </c>
      <c r="K3" s="91" t="str">
        <f>VLOOKUP(I3,[6]stage_hints!$A:$C,3,FALSE)</f>
        <v>リンクガチャ</v>
      </c>
      <c r="L3" s="92" t="str">
        <f>VLOOKUP(I3,[6]stage_hints!$A:$D,4,FALSE)</f>
        <v>無料のリンクガチャを回して_x000D_経験値素材や売却素材を獲得しましょう</v>
      </c>
      <c r="M3" s="55" t="s">
        <v>208</v>
      </c>
    </row>
    <row r="4" spans="1:13" x14ac:dyDescent="0.15">
      <c r="A4" s="79" t="s">
        <v>198</v>
      </c>
      <c r="B4" s="80">
        <f>floors!$C$7</f>
        <v>41007</v>
      </c>
      <c r="C4" s="81" t="str">
        <f ca="1">VLOOKUP($B4,OFFSET([2]quests!$A$1,0,0,COUNTA([2]quests!$A:$A),MATCH(C$1,[2]quests!$1:$1,0)-MATCH($B$1,[2]quests!$1:$1,0)+1),MATCH(C$1,[2]quests!$1:$1,0)-MATCH($B$1,[2]quests!$1:$1,0)+1,FALSE)</f>
        <v>グリム襲来！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【超絶級】グリム襲来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3">
        <v>0</v>
      </c>
      <c r="I4">
        <v>19</v>
      </c>
      <c r="J4" s="82" t="s">
        <v>195</v>
      </c>
      <c r="K4" s="91" t="str">
        <f>VLOOKUP(I4,[6]stage_hints!$A:$C,3,FALSE)</f>
        <v>ソロ専用タワーオブザクイーン</v>
      </c>
      <c r="L4" s="92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55" t="s">
        <v>208</v>
      </c>
    </row>
    <row r="5" spans="1:13" x14ac:dyDescent="0.15">
      <c r="A5" s="79" t="s">
        <v>198</v>
      </c>
      <c r="B5" s="80">
        <f>floors!$C$7</f>
        <v>41007</v>
      </c>
      <c r="C5" s="81" t="str">
        <f ca="1">VLOOKUP($B5,OFFSET([2]quests!$A$1,0,0,COUNTA([2]quests!$A:$A),MATCH(C$1,[2]quests!$1:$1,0)-MATCH($B$1,[2]quests!$1:$1,0)+1),MATCH(C$1,[2]quests!$1:$1,0)-MATCH($B$1,[2]quests!$1:$1,0)+1,FALSE)</f>
        <v>グリム襲来！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【超絶級】グリム襲来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3">
        <v>0</v>
      </c>
      <c r="I5">
        <v>21</v>
      </c>
      <c r="J5" s="82" t="s">
        <v>195</v>
      </c>
      <c r="K5" s="91" t="str">
        <f>VLOOKUP(I5,[6]stage_hints!$A:$C,3,FALSE)</f>
        <v>スキルを有効に</v>
      </c>
      <c r="L5" s="92" t="str">
        <f>VLOOKUP(I5,[6]stage_hints!$A:$D,4,FALSE)</f>
        <v>ターン経過でユニットのスキルが使えます_x000D_強力スキルでバトルを有利に進めましょう</v>
      </c>
      <c r="M5" s="55" t="s">
        <v>208</v>
      </c>
    </row>
    <row r="6" spans="1:13" x14ac:dyDescent="0.15">
      <c r="A6" s="79" t="s">
        <v>198</v>
      </c>
      <c r="B6" s="80">
        <f>floors!$C$7</f>
        <v>41007</v>
      </c>
      <c r="C6" s="81" t="str">
        <f ca="1">VLOOKUP($B6,OFFSET([2]quests!$A$1,0,0,COUNTA([2]quests!$A:$A),MATCH(C$1,[2]quests!$1:$1,0)-MATCH($B$1,[2]quests!$1:$1,0)+1),MATCH(C$1,[2]quests!$1:$1,0)-MATCH($B$1,[2]quests!$1:$1,0)+1,FALSE)</f>
        <v>グリム襲来！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【超絶級】グリム襲来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3">
        <v>0</v>
      </c>
      <c r="I6">
        <v>29</v>
      </c>
      <c r="J6" s="82" t="s">
        <v>195</v>
      </c>
      <c r="K6" s="91" t="str">
        <f>VLOOKUP(I6,[6]stage_hints!$A:$C,3,FALSE)</f>
        <v>「バグ」のメリット</v>
      </c>
      <c r="L6" s="92" t="str">
        <f>VLOOKUP(I6,[6]stage_hints!$A:$D,4,FALSE)</f>
        <v>ユニットの「バグ」を増やすと_x000D_報酬をもらえる確率がアップします</v>
      </c>
      <c r="M6" s="55" t="s">
        <v>208</v>
      </c>
    </row>
    <row r="7" spans="1:13" x14ac:dyDescent="0.15">
      <c r="A7" s="79" t="s">
        <v>198</v>
      </c>
      <c r="B7" s="80">
        <f>floors!$C$7</f>
        <v>41007</v>
      </c>
      <c r="C7" s="81" t="str">
        <f ca="1">VLOOKUP($B7,OFFSET([2]quests!$A$1,0,0,COUNTA([2]quests!$A:$A),MATCH(C$1,[2]quests!$1:$1,0)-MATCH($B$1,[2]quests!$1:$1,0)+1),MATCH(C$1,[2]quests!$1:$1,0)-MATCH($B$1,[2]quests!$1:$1,0)+1,FALSE)</f>
        <v>グリム襲来！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【超絶級】グリム襲来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3">
        <v>0</v>
      </c>
      <c r="I7">
        <v>30</v>
      </c>
      <c r="J7" s="82" t="s">
        <v>195</v>
      </c>
      <c r="K7" s="91" t="str">
        <f>VLOOKUP(I7,[6]stage_hints!$A:$C,3,FALSE)</f>
        <v>「バグ」の増やし方</v>
      </c>
      <c r="L7" s="92" t="str">
        <f>VLOOKUP(I7,[6]stage_hints!$A:$D,4,FALSE)</f>
        <v>同じユニット同士を強化で合成すると_x000D_「バグ」を増やすことができます</v>
      </c>
      <c r="M7" s="55" t="s">
        <v>208</v>
      </c>
    </row>
    <row r="8" spans="1:13" x14ac:dyDescent="0.15">
      <c r="A8" s="79" t="s">
        <v>198</v>
      </c>
      <c r="B8" s="80">
        <f>floors!$C$7</f>
        <v>41007</v>
      </c>
      <c r="C8" s="81" t="str">
        <f ca="1">VLOOKUP($B8,OFFSET([2]quests!$A$1,0,0,COUNTA([2]quests!$A:$A),MATCH(C$1,[2]quests!$1:$1,0)-MATCH($B$1,[2]quests!$1:$1,0)+1),MATCH(C$1,[2]quests!$1:$1,0)-MATCH($B$1,[2]quests!$1:$1,0)+1,FALSE)</f>
        <v>グリム襲来！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【超絶級】グリム襲来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3">
        <v>0</v>
      </c>
      <c r="I8">
        <v>32</v>
      </c>
      <c r="J8" s="82" t="s">
        <v>195</v>
      </c>
      <c r="K8" s="91" t="str">
        <f>VLOOKUP(I8,[6]stage_hints!$A:$C,3,FALSE)</f>
        <v>敵の連続攻撃には</v>
      </c>
      <c r="L8" s="92" t="str">
        <f>VLOOKUP(I8,[6]stage_hints!$A:$D,4,FALSE)</f>
        <v>カウンタースキルを持つユニットがいれば_x000D_ダメージ回数分の反撃ができます</v>
      </c>
      <c r="M8" s="55" t="s">
        <v>208</v>
      </c>
    </row>
    <row r="9" spans="1:13" x14ac:dyDescent="0.15">
      <c r="A9" s="79" t="s">
        <v>198</v>
      </c>
      <c r="B9" s="80">
        <f>floors!$C$7</f>
        <v>41007</v>
      </c>
      <c r="C9" s="81" t="str">
        <f ca="1">VLOOKUP($B9,OFFSET([2]quests!$A$1,0,0,COUNTA([2]quests!$A:$A),MATCH(C$1,[2]quests!$1:$1,0)-MATCH($B$1,[2]quests!$1:$1,0)+1),MATCH(C$1,[2]quests!$1:$1,0)-MATCH($B$1,[2]quests!$1:$1,0)+1,FALSE)</f>
        <v>グリム襲来！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【超絶級】グリム襲来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3">
        <v>0</v>
      </c>
      <c r="I9">
        <v>33</v>
      </c>
      <c r="J9" s="82" t="s">
        <v>195</v>
      </c>
      <c r="K9" s="91" t="str">
        <f>VLOOKUP(I9,[6]stage_hints!$A:$C,3,FALSE)</f>
        <v>敵のカウンター攻撃には</v>
      </c>
      <c r="L9" s="92" t="str">
        <f>VLOOKUP(I9,[6]stage_hints!$A:$D,4,FALSE)</f>
        <v>カウンターブレイクスキルを持っていれば_x000D_敵のカウンターを解除して攻撃ができます</v>
      </c>
      <c r="M9" s="55" t="s">
        <v>208</v>
      </c>
    </row>
    <row r="10" spans="1:13" x14ac:dyDescent="0.15">
      <c r="A10" s="79" t="s">
        <v>198</v>
      </c>
      <c r="B10" s="80">
        <f>floors!$C$7</f>
        <v>41007</v>
      </c>
      <c r="C10" s="81" t="str">
        <f ca="1">VLOOKUP($B10,OFFSET([2]quests!$A$1,0,0,COUNTA([2]quests!$A:$A),MATCH(C$1,[2]quests!$1:$1,0)-MATCH($B$1,[2]quests!$1:$1,0)+1),MATCH(C$1,[2]quests!$1:$1,0)-MATCH($B$1,[2]quests!$1:$1,0)+1,FALSE)</f>
        <v>グリム襲来！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【超絶級】グリム襲来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3">
        <v>0</v>
      </c>
      <c r="I10">
        <v>34</v>
      </c>
      <c r="J10" s="82" t="s">
        <v>195</v>
      </c>
      <c r="K10" s="91" t="str">
        <f>VLOOKUP(I10,[6]stage_hints!$A:$C,3,FALSE)</f>
        <v>ステータスをスキルで下げられたら</v>
      </c>
      <c r="L10" s="92" t="str">
        <f>VLOOKUP(I10,[6]stage_hints!$A:$D,4,FALSE)</f>
        <v>ステータスダウンのスキルを受けたら_x000D_ステータスアップスキルで上書きしましょう</v>
      </c>
      <c r="M10" s="55" t="s">
        <v>208</v>
      </c>
    </row>
    <row r="11" spans="1:13" x14ac:dyDescent="0.15">
      <c r="A11" s="79" t="s">
        <v>198</v>
      </c>
      <c r="B11" s="80">
        <f>floors!$C$7</f>
        <v>41007</v>
      </c>
      <c r="C11" s="81" t="str">
        <f ca="1">VLOOKUP($B11,OFFSET([2]quests!$A$1,0,0,COUNTA([2]quests!$A:$A),MATCH(C$1,[2]quests!$1:$1,0)-MATCH($B$1,[2]quests!$1:$1,0)+1),MATCH(C$1,[2]quests!$1:$1,0)-MATCH($B$1,[2]quests!$1:$1,0)+1,FALSE)</f>
        <v>グリム襲来！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【超絶級】グリム襲来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3">
        <v>0</v>
      </c>
      <c r="I11">
        <v>35</v>
      </c>
      <c r="J11" s="82" t="s">
        <v>195</v>
      </c>
      <c r="K11" s="91" t="str">
        <f>VLOOKUP(I11,[6]stage_hints!$A:$C,3,FALSE)</f>
        <v>敵のステータスがスキルで上がったら</v>
      </c>
      <c r="L11" s="92" t="str">
        <f>VLOOKUP(I11,[6]stage_hints!$A:$D,4,FALSE)</f>
        <v>敵のステータスがスキルでアップしたときは_x000D_ステータスダウンスキルで上書きしましょう</v>
      </c>
      <c r="M11" s="55" t="s">
        <v>208</v>
      </c>
    </row>
    <row r="12" spans="1:13" x14ac:dyDescent="0.15">
      <c r="A12" s="79" t="s">
        <v>198</v>
      </c>
      <c r="B12" s="80">
        <f>floors!$C$7</f>
        <v>41007</v>
      </c>
      <c r="C12" s="81" t="str">
        <f ca="1">VLOOKUP($B12,OFFSET([2]quests!$A$1,0,0,COUNTA([2]quests!$A:$A),MATCH(C$1,[2]quests!$1:$1,0)-MATCH($B$1,[2]quests!$1:$1,0)+1),MATCH(C$1,[2]quests!$1:$1,0)-MATCH($B$1,[2]quests!$1:$1,0)+1,FALSE)</f>
        <v>グリム襲来！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【超絶級】グリム襲来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3">
        <v>0</v>
      </c>
      <c r="I12">
        <v>36</v>
      </c>
      <c r="J12" s="82" t="s">
        <v>195</v>
      </c>
      <c r="K12" s="91" t="str">
        <f>VLOOKUP(I12,[6]stage_hints!$A:$C,3,FALSE)</f>
        <v>タワーオブザクイーンのボス</v>
      </c>
      <c r="L12" s="92" t="str">
        <f>VLOOKUP(I12,[6]stage_hints!$A:$D,4,FALSE)</f>
        <v>「タワーオブザクイーン」最上階のボスは_x000D_15階の初回クリア報酬で獲得できるほか_x000D_その階にて低確率でドロップもします</v>
      </c>
      <c r="M12" s="55" t="s">
        <v>208</v>
      </c>
    </row>
    <row r="13" spans="1:13" x14ac:dyDescent="0.15">
      <c r="A13" s="79" t="s">
        <v>198</v>
      </c>
      <c r="B13" s="80">
        <f>floors!$C$7</f>
        <v>41007</v>
      </c>
      <c r="C13" s="81" t="str">
        <f ca="1">VLOOKUP($B13,OFFSET([2]quests!$A$1,0,0,COUNTA([2]quests!$A:$A),MATCH(C$1,[2]quests!$1:$1,0)-MATCH($B$1,[2]quests!$1:$1,0)+1),MATCH(C$1,[2]quests!$1:$1,0)-MATCH($B$1,[2]quests!$1:$1,0)+1,FALSE)</f>
        <v>グリム襲来！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【超絶級】グリム襲来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3">
        <v>0</v>
      </c>
      <c r="I13">
        <v>37</v>
      </c>
      <c r="J13" s="82" t="s">
        <v>195</v>
      </c>
      <c r="K13" s="91" t="str">
        <f>VLOOKUP(I13,[6]stage_hints!$A:$C,3,FALSE)</f>
        <v>限界突破値の引き継ぎ</v>
      </c>
      <c r="L13" s="92" t="str">
        <f>VLOOKUP(I13,[6]stage_hints!$A:$D,4,FALSE)</f>
        <v>同じユニットを強化で合成すると_x000D_限界突破値を引き継げます（覚醒前後も可）</v>
      </c>
      <c r="M13" s="55" t="s">
        <v>208</v>
      </c>
    </row>
    <row r="14" spans="1:13" x14ac:dyDescent="0.15">
      <c r="A14" s="79" t="s">
        <v>198</v>
      </c>
      <c r="B14" s="80">
        <f>floors!$C$7</f>
        <v>41007</v>
      </c>
      <c r="C14" s="81" t="str">
        <f ca="1">VLOOKUP($B14,OFFSET([2]quests!$A$1,0,0,COUNTA([2]quests!$A:$A),MATCH(C$1,[2]quests!$1:$1,0)-MATCH($B$1,[2]quests!$1:$1,0)+1),MATCH(C$1,[2]quests!$1:$1,0)-MATCH($B$1,[2]quests!$1:$1,0)+1,FALSE)</f>
        <v>グリム襲来！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【超絶級】グリム襲来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3">
        <v>0</v>
      </c>
      <c r="I14">
        <v>39</v>
      </c>
      <c r="J14" s="82" t="s">
        <v>195</v>
      </c>
      <c r="K14" s="91" t="str">
        <f>VLOOKUP(I14,[6]stage_hints!$A:$C,3,FALSE)</f>
        <v>システム適合者を確認</v>
      </c>
      <c r="L14" s="92" t="str">
        <f>VLOOKUP(I14,[6]stage_hints!$A:$D,4,FALSE)</f>
        <v>ALICEが 「アナタ」を呼んでいます</v>
      </c>
      <c r="M14" s="55" t="s">
        <v>208</v>
      </c>
    </row>
    <row r="15" spans="1:13" x14ac:dyDescent="0.15">
      <c r="A15" s="79" t="s">
        <v>198</v>
      </c>
      <c r="B15" s="80">
        <f>floors!$C$7</f>
        <v>41007</v>
      </c>
      <c r="C15" s="81" t="str">
        <f ca="1">VLOOKUP($B15,OFFSET([2]quests!$A$1,0,0,COUNTA([2]quests!$A:$A),MATCH(C$1,[2]quests!$1:$1,0)-MATCH($B$1,[2]quests!$1:$1,0)+1),MATCH(C$1,[2]quests!$1:$1,0)-MATCH($B$1,[2]quests!$1:$1,0)+1,FALSE)</f>
        <v>グリム襲来！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5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3">
        <v>0</v>
      </c>
      <c r="I15">
        <v>12</v>
      </c>
      <c r="J15" s="82" t="s">
        <v>195</v>
      </c>
      <c r="K15" s="91" t="str">
        <f>VLOOKUP(I15,[6]stage_hints!$A:$C,3,FALSE)</f>
        <v>ユニットのお気に入り登録</v>
      </c>
      <c r="L15" s="92" t="str">
        <f>VLOOKUP(I15,[6]stage_hints!$A:$D,4,FALSE)</f>
        <v>大事なユニットを誤って消さないように_x000D_フォルダから「お気に入り登録」しましょう</v>
      </c>
      <c r="M15" s="55" t="s">
        <v>208</v>
      </c>
    </row>
    <row r="16" spans="1:13" x14ac:dyDescent="0.15">
      <c r="A16" s="79" t="s">
        <v>198</v>
      </c>
      <c r="B16" s="80">
        <f>floors!$C$7</f>
        <v>41007</v>
      </c>
      <c r="C16" s="81" t="str">
        <f ca="1">VLOOKUP($B16,OFFSET([2]quests!$A$1,0,0,COUNTA([2]quests!$A:$A),MATCH(C$1,[2]quests!$1:$1,0)-MATCH($B$1,[2]quests!$1:$1,0)+1),MATCH(C$1,[2]quests!$1:$1,0)-MATCH($B$1,[2]quests!$1:$1,0)+1,FALSE)</f>
        <v>グリム襲来！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5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3">
        <v>0</v>
      </c>
      <c r="I16">
        <v>17</v>
      </c>
      <c r="J16" s="82" t="s">
        <v>195</v>
      </c>
      <c r="K16" s="91" t="str">
        <f>VLOOKUP(I16,[6]stage_hints!$A:$C,3,FALSE)</f>
        <v>リンクガチャ</v>
      </c>
      <c r="L16" s="92" t="str">
        <f>VLOOKUP(I16,[6]stage_hints!$A:$D,4,FALSE)</f>
        <v>無料のリンクガチャを回して_x000D_経験値素材や売却素材を獲得しましょう</v>
      </c>
      <c r="M16" s="55" t="s">
        <v>208</v>
      </c>
    </row>
    <row r="17" spans="1:13" x14ac:dyDescent="0.15">
      <c r="A17" s="79" t="s">
        <v>198</v>
      </c>
      <c r="B17" s="80">
        <f>floors!$C$7</f>
        <v>41007</v>
      </c>
      <c r="C17" s="81" t="str">
        <f ca="1">VLOOKUP($B17,OFFSET([2]quests!$A$1,0,0,COUNTA([2]quests!$A:$A),MATCH(C$1,[2]quests!$1:$1,0)-MATCH($B$1,[2]quests!$1:$1,0)+1),MATCH(C$1,[2]quests!$1:$1,0)-MATCH($B$1,[2]quests!$1:$1,0)+1,FALSE)</f>
        <v>グリム襲来！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5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3">
        <v>0</v>
      </c>
      <c r="I17">
        <v>19</v>
      </c>
      <c r="J17" s="82" t="s">
        <v>195</v>
      </c>
      <c r="K17" s="91" t="str">
        <f>VLOOKUP(I17,[6]stage_hints!$A:$C,3,FALSE)</f>
        <v>ソロ専用タワーオブザクイーン</v>
      </c>
      <c r="L17" s="92" t="str">
        <f>VLOOKUP(I17,[6]stage_hints!$A:$D,4,FALSE)</f>
        <v>ソロ専用の「タワーオブザクイーン」は_x000D_期間限定で定期的に開催されます_x000D_ここでしか獲得できない報酬もあるようです</v>
      </c>
      <c r="M17" s="55" t="s">
        <v>208</v>
      </c>
    </row>
    <row r="18" spans="1:13" x14ac:dyDescent="0.15">
      <c r="A18" s="79" t="s">
        <v>198</v>
      </c>
      <c r="B18" s="80">
        <f>floors!$C$7</f>
        <v>41007</v>
      </c>
      <c r="C18" s="81" t="str">
        <f ca="1">VLOOKUP($B18,OFFSET([2]quests!$A$1,0,0,COUNTA([2]quests!$A:$A),MATCH(C$1,[2]quests!$1:$1,0)-MATCH($B$1,[2]quests!$1:$1,0)+1),MATCH(C$1,[2]quests!$1:$1,0)-MATCH($B$1,[2]quests!$1:$1,0)+1,FALSE)</f>
        <v>グリム襲来！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5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3">
        <v>0</v>
      </c>
      <c r="I18">
        <v>21</v>
      </c>
      <c r="J18" s="82" t="s">
        <v>195</v>
      </c>
      <c r="K18" s="91" t="str">
        <f>VLOOKUP(I18,[6]stage_hints!$A:$C,3,FALSE)</f>
        <v>スキルを有効に</v>
      </c>
      <c r="L18" s="92" t="str">
        <f>VLOOKUP(I18,[6]stage_hints!$A:$D,4,FALSE)</f>
        <v>ターン経過でユニットのスキルが使えます_x000D_強力スキルでバトルを有利に進めましょう</v>
      </c>
      <c r="M18" s="55" t="s">
        <v>208</v>
      </c>
    </row>
    <row r="19" spans="1:13" x14ac:dyDescent="0.15">
      <c r="A19" s="79" t="s">
        <v>198</v>
      </c>
      <c r="B19" s="80">
        <f>floors!$C$7</f>
        <v>41007</v>
      </c>
      <c r="C19" s="81" t="str">
        <f ca="1">VLOOKUP($B19,OFFSET([2]quests!$A$1,0,0,COUNTA([2]quests!$A:$A),MATCH(C$1,[2]quests!$1:$1,0)-MATCH($B$1,[2]quests!$1:$1,0)+1),MATCH(C$1,[2]quests!$1:$1,0)-MATCH($B$1,[2]quests!$1:$1,0)+1,FALSE)</f>
        <v>グリム襲来！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5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3">
        <v>0</v>
      </c>
      <c r="I19">
        <v>29</v>
      </c>
      <c r="J19" s="82" t="s">
        <v>195</v>
      </c>
      <c r="K19" s="91" t="str">
        <f>VLOOKUP(I19,[6]stage_hints!$A:$C,3,FALSE)</f>
        <v>「バグ」のメリット</v>
      </c>
      <c r="L19" s="92" t="str">
        <f>VLOOKUP(I19,[6]stage_hints!$A:$D,4,FALSE)</f>
        <v>ユニットの「バグ」を増やすと_x000D_報酬をもらえる確率がアップします</v>
      </c>
      <c r="M19" s="55" t="s">
        <v>208</v>
      </c>
    </row>
    <row r="20" spans="1:13" x14ac:dyDescent="0.15">
      <c r="A20" s="79" t="s">
        <v>198</v>
      </c>
      <c r="B20" s="80">
        <f>floors!$C$7</f>
        <v>41007</v>
      </c>
      <c r="C20" s="81" t="str">
        <f ca="1">VLOOKUP($B20,OFFSET([2]quests!$A$1,0,0,COUNTA([2]quests!$A:$A),MATCH(C$1,[2]quests!$1:$1,0)-MATCH($B$1,[2]quests!$1:$1,0)+1),MATCH(C$1,[2]quests!$1:$1,0)-MATCH($B$1,[2]quests!$1:$1,0)+1,FALSE)</f>
        <v>グリム襲来！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5">
        <v>2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3">
        <v>0</v>
      </c>
      <c r="I20">
        <v>30</v>
      </c>
      <c r="J20" s="82" t="s">
        <v>195</v>
      </c>
      <c r="K20" s="91" t="str">
        <f>VLOOKUP(I20,[6]stage_hints!$A:$C,3,FALSE)</f>
        <v>「バグ」の増やし方</v>
      </c>
      <c r="L20" s="92" t="str">
        <f>VLOOKUP(I20,[6]stage_hints!$A:$D,4,FALSE)</f>
        <v>同じユニット同士を強化で合成すると_x000D_「バグ」を増やすことができます</v>
      </c>
      <c r="M20" s="55" t="s">
        <v>208</v>
      </c>
    </row>
    <row r="21" spans="1:13" x14ac:dyDescent="0.15">
      <c r="A21" s="79" t="s">
        <v>198</v>
      </c>
      <c r="B21" s="80">
        <f>floors!$C$7</f>
        <v>41007</v>
      </c>
      <c r="C21" s="81" t="str">
        <f ca="1">VLOOKUP($B21,OFFSET([2]quests!$A$1,0,0,COUNTA([2]quests!$A:$A),MATCH(C$1,[2]quests!$1:$1,0)-MATCH($B$1,[2]quests!$1:$1,0)+1),MATCH(C$1,[2]quests!$1:$1,0)-MATCH($B$1,[2]quests!$1:$1,0)+1,FALSE)</f>
        <v>グリム襲来！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5">
        <v>2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3">
        <v>0</v>
      </c>
      <c r="I21">
        <v>32</v>
      </c>
      <c r="J21" s="82" t="s">
        <v>195</v>
      </c>
      <c r="K21" s="91" t="str">
        <f>VLOOKUP(I21,[6]stage_hints!$A:$C,3,FALSE)</f>
        <v>敵の連続攻撃には</v>
      </c>
      <c r="L21" s="92" t="str">
        <f>VLOOKUP(I21,[6]stage_hints!$A:$D,4,FALSE)</f>
        <v>カウンタースキルを持つユニットがいれば_x000D_ダメージ回数分の反撃ができます</v>
      </c>
      <c r="M21" s="55" t="s">
        <v>208</v>
      </c>
    </row>
    <row r="22" spans="1:13" x14ac:dyDescent="0.15">
      <c r="A22" s="79" t="s">
        <v>198</v>
      </c>
      <c r="B22" s="80">
        <f>floors!$C$7</f>
        <v>41007</v>
      </c>
      <c r="C22" s="81" t="str">
        <f ca="1">VLOOKUP($B22,OFFSET([2]quests!$A$1,0,0,COUNTA([2]quests!$A:$A),MATCH(C$1,[2]quests!$1:$1,0)-MATCH($B$1,[2]quests!$1:$1,0)+1),MATCH(C$1,[2]quests!$1:$1,0)-MATCH($B$1,[2]quests!$1:$1,0)+1,FALSE)</f>
        <v>グリム襲来！</v>
      </c>
      <c r="D22" s="81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5">
        <v>2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3">
        <v>0</v>
      </c>
      <c r="I22">
        <v>33</v>
      </c>
      <c r="J22" s="82" t="s">
        <v>195</v>
      </c>
      <c r="K22" s="91" t="str">
        <f>VLOOKUP(I22,[6]stage_hints!$A:$C,3,FALSE)</f>
        <v>敵のカウンター攻撃には</v>
      </c>
      <c r="L22" s="92" t="str">
        <f>VLOOKUP(I22,[6]stage_hints!$A:$D,4,FALSE)</f>
        <v>カウンターブレイクスキルを持っていれば_x000D_敵のカウンターを解除して攻撃ができます</v>
      </c>
      <c r="M22" s="55" t="s">
        <v>208</v>
      </c>
    </row>
    <row r="23" spans="1:13" x14ac:dyDescent="0.15">
      <c r="A23" s="79" t="s">
        <v>198</v>
      </c>
      <c r="B23" s="80">
        <f>floors!$C$7</f>
        <v>41007</v>
      </c>
      <c r="C23" s="81" t="str">
        <f ca="1">VLOOKUP($B23,OFFSET([2]quests!$A$1,0,0,COUNTA([2]quests!$A:$A),MATCH(C$1,[2]quests!$1:$1,0)-MATCH($B$1,[2]quests!$1:$1,0)+1),MATCH(C$1,[2]quests!$1:$1,0)-MATCH($B$1,[2]quests!$1:$1,0)+1,FALSE)</f>
        <v>グリム襲来！</v>
      </c>
      <c r="D23" s="81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5">
        <v>2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3">
        <v>0</v>
      </c>
      <c r="I23">
        <v>34</v>
      </c>
      <c r="J23" s="82" t="s">
        <v>195</v>
      </c>
      <c r="K23" s="91" t="str">
        <f>VLOOKUP(I23,[6]stage_hints!$A:$C,3,FALSE)</f>
        <v>ステータスをスキルで下げられたら</v>
      </c>
      <c r="L23" s="92" t="str">
        <f>VLOOKUP(I23,[6]stage_hints!$A:$D,4,FALSE)</f>
        <v>ステータスダウンのスキルを受けたら_x000D_ステータスアップスキルで上書きしましょう</v>
      </c>
      <c r="M23" s="55" t="s">
        <v>208</v>
      </c>
    </row>
    <row r="24" spans="1:13" x14ac:dyDescent="0.15">
      <c r="A24" s="79" t="s">
        <v>198</v>
      </c>
      <c r="B24" s="80">
        <f>floors!$C$7</f>
        <v>41007</v>
      </c>
      <c r="C24" s="81" t="str">
        <f ca="1">VLOOKUP($B24,OFFSET([2]quests!$A$1,0,0,COUNTA([2]quests!$A:$A),MATCH(C$1,[2]quests!$1:$1,0)-MATCH($B$1,[2]quests!$1:$1,0)+1),MATCH(C$1,[2]quests!$1:$1,0)-MATCH($B$1,[2]quests!$1:$1,0)+1,FALSE)</f>
        <v>グリム襲来！</v>
      </c>
      <c r="D24" s="81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5">
        <v>2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3">
        <v>0</v>
      </c>
      <c r="I24">
        <v>35</v>
      </c>
      <c r="J24" s="82" t="s">
        <v>195</v>
      </c>
      <c r="K24" s="91" t="str">
        <f>VLOOKUP(I24,[6]stage_hints!$A:$C,3,FALSE)</f>
        <v>敵のステータスがスキルで上がったら</v>
      </c>
      <c r="L24" s="92" t="str">
        <f>VLOOKUP(I24,[6]stage_hints!$A:$D,4,FALSE)</f>
        <v>敵のステータスがスキルでアップしたときは_x000D_ステータスダウンスキルで上書きしましょう</v>
      </c>
      <c r="M24" s="55" t="s">
        <v>208</v>
      </c>
    </row>
    <row r="25" spans="1:13" x14ac:dyDescent="0.15">
      <c r="A25" s="79" t="s">
        <v>198</v>
      </c>
      <c r="B25" s="80">
        <f>floors!$C$7</f>
        <v>41007</v>
      </c>
      <c r="C25" s="81" t="str">
        <f ca="1">VLOOKUP($B25,OFFSET([2]quests!$A$1,0,0,COUNTA([2]quests!$A:$A),MATCH(C$1,[2]quests!$1:$1,0)-MATCH($B$1,[2]quests!$1:$1,0)+1),MATCH(C$1,[2]quests!$1:$1,0)-MATCH($B$1,[2]quests!$1:$1,0)+1,FALSE)</f>
        <v>グリム襲来！</v>
      </c>
      <c r="D25" s="81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5">
        <v>2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3">
        <v>0</v>
      </c>
      <c r="I25">
        <v>36</v>
      </c>
      <c r="J25" s="82" t="s">
        <v>195</v>
      </c>
      <c r="K25" s="91" t="str">
        <f>VLOOKUP(I25,[6]stage_hints!$A:$C,3,FALSE)</f>
        <v>タワーオブザクイーンのボス</v>
      </c>
      <c r="L25" s="92" t="str">
        <f>VLOOKUP(I25,[6]stage_hints!$A:$D,4,FALSE)</f>
        <v>「タワーオブザクイーン」最上階のボスは_x000D_15階の初回クリア報酬で獲得できるほか_x000D_その階にて低確率でドロップもします</v>
      </c>
      <c r="M25" s="55" t="s">
        <v>208</v>
      </c>
    </row>
    <row r="26" spans="1:13" x14ac:dyDescent="0.15">
      <c r="A26" s="79" t="s">
        <v>198</v>
      </c>
      <c r="B26" s="80">
        <f>floors!$C$7</f>
        <v>41007</v>
      </c>
      <c r="C26" s="81" t="str">
        <f ca="1">VLOOKUP($B26,OFFSET([2]quests!$A$1,0,0,COUNTA([2]quests!$A:$A),MATCH(C$1,[2]quests!$1:$1,0)-MATCH($B$1,[2]quests!$1:$1,0)+1),MATCH(C$1,[2]quests!$1:$1,0)-MATCH($B$1,[2]quests!$1:$1,0)+1,FALSE)</f>
        <v>グリム襲来！</v>
      </c>
      <c r="D26" s="81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5">
        <v>2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3">
        <v>0</v>
      </c>
      <c r="I26">
        <v>37</v>
      </c>
      <c r="J26" s="82" t="s">
        <v>195</v>
      </c>
      <c r="K26" s="91" t="str">
        <f>VLOOKUP(I26,[6]stage_hints!$A:$C,3,FALSE)</f>
        <v>限界突破値の引き継ぎ</v>
      </c>
      <c r="L26" s="92" t="str">
        <f>VLOOKUP(I26,[6]stage_hints!$A:$D,4,FALSE)</f>
        <v>同じユニットを強化で合成すると_x000D_限界突破値を引き継げます（覚醒前後も可）</v>
      </c>
      <c r="M26" s="55" t="s">
        <v>208</v>
      </c>
    </row>
    <row r="27" spans="1:13" x14ac:dyDescent="0.15">
      <c r="A27" s="79" t="s">
        <v>198</v>
      </c>
      <c r="B27" s="80">
        <f>floors!$C$7</f>
        <v>41007</v>
      </c>
      <c r="C27" s="81" t="str">
        <f ca="1">VLOOKUP($B27,OFFSET([2]quests!$A$1,0,0,COUNTA([2]quests!$A:$A),MATCH(C$1,[2]quests!$1:$1,0)-MATCH($B$1,[2]quests!$1:$1,0)+1),MATCH(C$1,[2]quests!$1:$1,0)-MATCH($B$1,[2]quests!$1:$1,0)+1,FALSE)</f>
        <v>グリム襲来！</v>
      </c>
      <c r="D27" s="81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5">
        <v>2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3">
        <v>0</v>
      </c>
      <c r="I27">
        <v>39</v>
      </c>
      <c r="J27" s="82" t="s">
        <v>195</v>
      </c>
      <c r="K27" s="91" t="str">
        <f>VLOOKUP(I27,[6]stage_hints!$A:$C,3,FALSE)</f>
        <v>システム適合者を確認</v>
      </c>
      <c r="L27" s="92" t="str">
        <f>VLOOKUP(I27,[6]stage_hints!$A:$D,4,FALSE)</f>
        <v>ALICEが 「アナタ」を呼んでいます</v>
      </c>
      <c r="M27" s="55" t="s">
        <v>208</v>
      </c>
    </row>
    <row r="28" spans="1:13" x14ac:dyDescent="0.15">
      <c r="A28" s="79" t="s">
        <v>198</v>
      </c>
      <c r="B28" s="80">
        <f>floors!$C$7</f>
        <v>41007</v>
      </c>
      <c r="C28" s="81" t="str">
        <f ca="1">VLOOKUP($B28,OFFSET([2]quests!$A$1,0,0,COUNTA([2]quests!$A:$A),MATCH(C$1,[2]quests!$1:$1,0)-MATCH($B$1,[2]quests!$1:$1,0)+1),MATCH(C$1,[2]quests!$1:$1,0)-MATCH($B$1,[2]quests!$1:$1,0)+1,FALSE)</f>
        <v>グリム襲来！</v>
      </c>
      <c r="D28" s="81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85">
        <v>3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83">
        <v>0</v>
      </c>
      <c r="I28">
        <v>12</v>
      </c>
      <c r="J28" s="82" t="s">
        <v>195</v>
      </c>
      <c r="K28" s="91" t="str">
        <f>VLOOKUP(I28,[6]stage_hints!$A:$C,3,FALSE)</f>
        <v>ユニットのお気に入り登録</v>
      </c>
      <c r="L28" s="92" t="str">
        <f>VLOOKUP(I28,[6]stage_hints!$A:$D,4,FALSE)</f>
        <v>大事なユニットを誤って消さないように_x000D_フォルダから「お気に入り登録」しましょう</v>
      </c>
      <c r="M28" s="55" t="s">
        <v>208</v>
      </c>
    </row>
    <row r="29" spans="1:13" x14ac:dyDescent="0.15">
      <c r="A29" s="79" t="s">
        <v>198</v>
      </c>
      <c r="B29" s="80">
        <f>floors!$C$7</f>
        <v>41007</v>
      </c>
      <c r="C29" s="81" t="str">
        <f ca="1">VLOOKUP($B29,OFFSET([2]quests!$A$1,0,0,COUNTA([2]quests!$A:$A),MATCH(C$1,[2]quests!$1:$1,0)-MATCH($B$1,[2]quests!$1:$1,0)+1),MATCH(C$1,[2]quests!$1:$1,0)-MATCH($B$1,[2]quests!$1:$1,0)+1,FALSE)</f>
        <v>グリム襲来！</v>
      </c>
      <c r="D29" s="81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85">
        <v>3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83">
        <v>0</v>
      </c>
      <c r="I29">
        <v>17</v>
      </c>
      <c r="J29" s="82" t="s">
        <v>195</v>
      </c>
      <c r="K29" s="91" t="str">
        <f>VLOOKUP(I29,[6]stage_hints!$A:$C,3,FALSE)</f>
        <v>リンクガチャ</v>
      </c>
      <c r="L29" s="92" t="str">
        <f>VLOOKUP(I29,[6]stage_hints!$A:$D,4,FALSE)</f>
        <v>無料のリンクガチャを回して_x000D_経験値素材や売却素材を獲得しましょう</v>
      </c>
      <c r="M29" s="55" t="s">
        <v>208</v>
      </c>
    </row>
    <row r="30" spans="1:13" x14ac:dyDescent="0.15">
      <c r="A30" s="79" t="s">
        <v>198</v>
      </c>
      <c r="B30" s="80">
        <f>floors!$C$7</f>
        <v>41007</v>
      </c>
      <c r="C30" s="81" t="str">
        <f ca="1">VLOOKUP($B30,OFFSET([2]quests!$A$1,0,0,COUNTA([2]quests!$A:$A),MATCH(C$1,[2]quests!$1:$1,0)-MATCH($B$1,[2]quests!$1:$1,0)+1),MATCH(C$1,[2]quests!$1:$1,0)-MATCH($B$1,[2]quests!$1:$1,0)+1,FALSE)</f>
        <v>グリム襲来！</v>
      </c>
      <c r="D30" s="81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85">
        <v>3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83">
        <v>0</v>
      </c>
      <c r="I30">
        <v>19</v>
      </c>
      <c r="J30" s="82" t="s">
        <v>195</v>
      </c>
      <c r="K30" s="91" t="str">
        <f>VLOOKUP(I30,[6]stage_hints!$A:$C,3,FALSE)</f>
        <v>ソロ専用タワーオブザクイーン</v>
      </c>
      <c r="L30" s="92" t="str">
        <f>VLOOKUP(I30,[6]stage_hints!$A:$D,4,FALSE)</f>
        <v>ソロ専用の「タワーオブザクイーン」は_x000D_期間限定で定期的に開催されます_x000D_ここでしか獲得できない報酬もあるようです</v>
      </c>
      <c r="M30" s="55" t="s">
        <v>208</v>
      </c>
    </row>
    <row r="31" spans="1:13" x14ac:dyDescent="0.15">
      <c r="A31" s="79" t="s">
        <v>198</v>
      </c>
      <c r="B31" s="80">
        <f>floors!$C$7</f>
        <v>41007</v>
      </c>
      <c r="C31" s="81" t="str">
        <f ca="1">VLOOKUP($B31,OFFSET([2]quests!$A$1,0,0,COUNTA([2]quests!$A:$A),MATCH(C$1,[2]quests!$1:$1,0)-MATCH($B$1,[2]quests!$1:$1,0)+1),MATCH(C$1,[2]quests!$1:$1,0)-MATCH($B$1,[2]quests!$1:$1,0)+1,FALSE)</f>
        <v>グリム襲来！</v>
      </c>
      <c r="D31" s="81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85">
        <v>3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83">
        <v>0</v>
      </c>
      <c r="I31">
        <v>21</v>
      </c>
      <c r="J31" s="82" t="s">
        <v>195</v>
      </c>
      <c r="K31" s="91" t="str">
        <f>VLOOKUP(I31,[6]stage_hints!$A:$C,3,FALSE)</f>
        <v>スキルを有効に</v>
      </c>
      <c r="L31" s="92" t="str">
        <f>VLOOKUP(I31,[6]stage_hints!$A:$D,4,FALSE)</f>
        <v>ターン経過でユニットのスキルが使えます_x000D_強力スキルでバトルを有利に進めましょう</v>
      </c>
      <c r="M31" s="55" t="s">
        <v>208</v>
      </c>
    </row>
    <row r="32" spans="1:13" x14ac:dyDescent="0.15">
      <c r="A32" s="79" t="s">
        <v>198</v>
      </c>
      <c r="B32" s="80">
        <f>floors!$C$7</f>
        <v>41007</v>
      </c>
      <c r="C32" s="81" t="str">
        <f ca="1">VLOOKUP($B32,OFFSET([2]quests!$A$1,0,0,COUNTA([2]quests!$A:$A),MATCH(C$1,[2]quests!$1:$1,0)-MATCH($B$1,[2]quests!$1:$1,0)+1),MATCH(C$1,[2]quests!$1:$1,0)-MATCH($B$1,[2]quests!$1:$1,0)+1,FALSE)</f>
        <v>グリム襲来！</v>
      </c>
      <c r="D32" s="81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85">
        <v>3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83">
        <v>0</v>
      </c>
      <c r="I32">
        <v>29</v>
      </c>
      <c r="J32" s="82" t="s">
        <v>195</v>
      </c>
      <c r="K32" s="91" t="str">
        <f>VLOOKUP(I32,[6]stage_hints!$A:$C,3,FALSE)</f>
        <v>「バグ」のメリット</v>
      </c>
      <c r="L32" s="92" t="str">
        <f>VLOOKUP(I32,[6]stage_hints!$A:$D,4,FALSE)</f>
        <v>ユニットの「バグ」を増やすと_x000D_報酬をもらえる確率がアップします</v>
      </c>
      <c r="M32" s="55" t="s">
        <v>208</v>
      </c>
    </row>
    <row r="33" spans="1:13" x14ac:dyDescent="0.15">
      <c r="A33" s="79" t="s">
        <v>198</v>
      </c>
      <c r="B33" s="80">
        <f>floors!$C$7</f>
        <v>41007</v>
      </c>
      <c r="C33" s="81" t="str">
        <f ca="1">VLOOKUP($B33,OFFSET([2]quests!$A$1,0,0,COUNTA([2]quests!$A:$A),MATCH(C$1,[2]quests!$1:$1,0)-MATCH($B$1,[2]quests!$1:$1,0)+1),MATCH(C$1,[2]quests!$1:$1,0)-MATCH($B$1,[2]quests!$1:$1,0)+1,FALSE)</f>
        <v>グリム襲来！</v>
      </c>
      <c r="D33" s="81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85">
        <v>3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83">
        <v>0</v>
      </c>
      <c r="I33">
        <v>30</v>
      </c>
      <c r="J33" s="82" t="s">
        <v>195</v>
      </c>
      <c r="K33" s="91" t="str">
        <f>VLOOKUP(I33,[6]stage_hints!$A:$C,3,FALSE)</f>
        <v>「バグ」の増やし方</v>
      </c>
      <c r="L33" s="92" t="str">
        <f>VLOOKUP(I33,[6]stage_hints!$A:$D,4,FALSE)</f>
        <v>同じユニット同士を強化で合成すると_x000D_「バグ」を増やすことができます</v>
      </c>
      <c r="M33" s="55" t="s">
        <v>208</v>
      </c>
    </row>
    <row r="34" spans="1:13" x14ac:dyDescent="0.15">
      <c r="A34" s="79" t="s">
        <v>198</v>
      </c>
      <c r="B34" s="80">
        <f>floors!$C$7</f>
        <v>41007</v>
      </c>
      <c r="C34" s="81" t="str">
        <f ca="1">VLOOKUP($B34,OFFSET([2]quests!$A$1,0,0,COUNTA([2]quests!$A:$A),MATCH(C$1,[2]quests!$1:$1,0)-MATCH($B$1,[2]quests!$1:$1,0)+1),MATCH(C$1,[2]quests!$1:$1,0)-MATCH($B$1,[2]quests!$1:$1,0)+1,FALSE)</f>
        <v>グリム襲来！</v>
      </c>
      <c r="D34" s="81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85">
        <v>3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83">
        <v>0</v>
      </c>
      <c r="I34">
        <v>32</v>
      </c>
      <c r="J34" s="82" t="s">
        <v>195</v>
      </c>
      <c r="K34" s="91" t="str">
        <f>VLOOKUP(I34,[6]stage_hints!$A:$C,3,FALSE)</f>
        <v>敵の連続攻撃には</v>
      </c>
      <c r="L34" s="92" t="str">
        <f>VLOOKUP(I34,[6]stage_hints!$A:$D,4,FALSE)</f>
        <v>カウンタースキルを持つユニットがいれば_x000D_ダメージ回数分の反撃ができます</v>
      </c>
      <c r="M34" s="55" t="s">
        <v>208</v>
      </c>
    </row>
    <row r="35" spans="1:13" x14ac:dyDescent="0.15">
      <c r="A35" s="79" t="s">
        <v>198</v>
      </c>
      <c r="B35" s="80">
        <f>floors!$C$7</f>
        <v>41007</v>
      </c>
      <c r="C35" s="81" t="str">
        <f ca="1">VLOOKUP($B35,OFFSET([2]quests!$A$1,0,0,COUNTA([2]quests!$A:$A),MATCH(C$1,[2]quests!$1:$1,0)-MATCH($B$1,[2]quests!$1:$1,0)+1),MATCH(C$1,[2]quests!$1:$1,0)-MATCH($B$1,[2]quests!$1:$1,0)+1,FALSE)</f>
        <v>グリム襲来！</v>
      </c>
      <c r="D35" s="81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85">
        <v>3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83">
        <v>0</v>
      </c>
      <c r="I35">
        <v>33</v>
      </c>
      <c r="J35" s="82" t="s">
        <v>195</v>
      </c>
      <c r="K35" s="91" t="str">
        <f>VLOOKUP(I35,[6]stage_hints!$A:$C,3,FALSE)</f>
        <v>敵のカウンター攻撃には</v>
      </c>
      <c r="L35" s="92" t="str">
        <f>VLOOKUP(I35,[6]stage_hints!$A:$D,4,FALSE)</f>
        <v>カウンターブレイクスキルを持っていれば_x000D_敵のカウンターを解除して攻撃ができます</v>
      </c>
      <c r="M35" s="55" t="s">
        <v>208</v>
      </c>
    </row>
    <row r="36" spans="1:13" x14ac:dyDescent="0.15">
      <c r="A36" s="79" t="s">
        <v>198</v>
      </c>
      <c r="B36" s="80">
        <f>floors!$C$7</f>
        <v>41007</v>
      </c>
      <c r="C36" s="81" t="str">
        <f ca="1">VLOOKUP($B36,OFFSET([2]quests!$A$1,0,0,COUNTA([2]quests!$A:$A),MATCH(C$1,[2]quests!$1:$1,0)-MATCH($B$1,[2]quests!$1:$1,0)+1),MATCH(C$1,[2]quests!$1:$1,0)-MATCH($B$1,[2]quests!$1:$1,0)+1,FALSE)</f>
        <v>グリム襲来！</v>
      </c>
      <c r="D36" s="81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85">
        <v>3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83">
        <v>0</v>
      </c>
      <c r="I36">
        <v>34</v>
      </c>
      <c r="J36" s="82" t="s">
        <v>195</v>
      </c>
      <c r="K36" s="91" t="str">
        <f>VLOOKUP(I36,[6]stage_hints!$A:$C,3,FALSE)</f>
        <v>ステータスをスキルで下げられたら</v>
      </c>
      <c r="L36" s="92" t="str">
        <f>VLOOKUP(I36,[6]stage_hints!$A:$D,4,FALSE)</f>
        <v>ステータスダウンのスキルを受けたら_x000D_ステータスアップスキルで上書きしましょう</v>
      </c>
      <c r="M36" s="55" t="s">
        <v>208</v>
      </c>
    </row>
    <row r="37" spans="1:13" x14ac:dyDescent="0.15">
      <c r="A37" s="79" t="s">
        <v>198</v>
      </c>
      <c r="B37" s="80">
        <f>floors!$C$7</f>
        <v>41007</v>
      </c>
      <c r="C37" s="81" t="str">
        <f ca="1">VLOOKUP($B37,OFFSET([2]quests!$A$1,0,0,COUNTA([2]quests!$A:$A),MATCH(C$1,[2]quests!$1:$1,0)-MATCH($B$1,[2]quests!$1:$1,0)+1),MATCH(C$1,[2]quests!$1:$1,0)-MATCH($B$1,[2]quests!$1:$1,0)+1,FALSE)</f>
        <v>グリム襲来！</v>
      </c>
      <c r="D37" s="81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85">
        <v>3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83">
        <v>0</v>
      </c>
      <c r="I37">
        <v>35</v>
      </c>
      <c r="J37" s="82" t="s">
        <v>195</v>
      </c>
      <c r="K37" s="91" t="str">
        <f>VLOOKUP(I37,[6]stage_hints!$A:$C,3,FALSE)</f>
        <v>敵のステータスがスキルで上がったら</v>
      </c>
      <c r="L37" s="92" t="str">
        <f>VLOOKUP(I37,[6]stage_hints!$A:$D,4,FALSE)</f>
        <v>敵のステータスがスキルでアップしたときは_x000D_ステータスダウンスキルで上書きしましょう</v>
      </c>
      <c r="M37" s="55" t="s">
        <v>208</v>
      </c>
    </row>
    <row r="38" spans="1:13" x14ac:dyDescent="0.15">
      <c r="A38" s="79" t="s">
        <v>198</v>
      </c>
      <c r="B38" s="80">
        <f>floors!$C$7</f>
        <v>41007</v>
      </c>
      <c r="C38" s="81" t="str">
        <f ca="1">VLOOKUP($B38,OFFSET([2]quests!$A$1,0,0,COUNTA([2]quests!$A:$A),MATCH(C$1,[2]quests!$1:$1,0)-MATCH($B$1,[2]quests!$1:$1,0)+1),MATCH(C$1,[2]quests!$1:$1,0)-MATCH($B$1,[2]quests!$1:$1,0)+1,FALSE)</f>
        <v>グリム襲来！</v>
      </c>
      <c r="D38" s="81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85">
        <v>3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83">
        <v>0</v>
      </c>
      <c r="I38">
        <v>36</v>
      </c>
      <c r="J38" s="82" t="s">
        <v>195</v>
      </c>
      <c r="K38" s="91" t="str">
        <f>VLOOKUP(I38,[6]stage_hints!$A:$C,3,FALSE)</f>
        <v>タワーオブザクイーンのボス</v>
      </c>
      <c r="L38" s="92" t="str">
        <f>VLOOKUP(I38,[6]stage_hints!$A:$D,4,FALSE)</f>
        <v>「タワーオブザクイーン」最上階のボスは_x000D_15階の初回クリア報酬で獲得できるほか_x000D_その階にて低確率でドロップもします</v>
      </c>
      <c r="M38" s="55" t="s">
        <v>208</v>
      </c>
    </row>
    <row r="39" spans="1:13" x14ac:dyDescent="0.15">
      <c r="A39" s="79" t="s">
        <v>198</v>
      </c>
      <c r="B39" s="80">
        <f>floors!$C$7</f>
        <v>41007</v>
      </c>
      <c r="C39" s="81" t="str">
        <f ca="1">VLOOKUP($B39,OFFSET([2]quests!$A$1,0,0,COUNTA([2]quests!$A:$A),MATCH(C$1,[2]quests!$1:$1,0)-MATCH($B$1,[2]quests!$1:$1,0)+1),MATCH(C$1,[2]quests!$1:$1,0)-MATCH($B$1,[2]quests!$1:$1,0)+1,FALSE)</f>
        <v>グリム襲来！</v>
      </c>
      <c r="D39" s="81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85">
        <v>3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83">
        <v>0</v>
      </c>
      <c r="I39">
        <v>37</v>
      </c>
      <c r="J39" s="82" t="s">
        <v>195</v>
      </c>
      <c r="K39" s="91" t="str">
        <f>VLOOKUP(I39,[6]stage_hints!$A:$C,3,FALSE)</f>
        <v>限界突破値の引き継ぎ</v>
      </c>
      <c r="L39" s="92" t="str">
        <f>VLOOKUP(I39,[6]stage_hints!$A:$D,4,FALSE)</f>
        <v>同じユニットを強化で合成すると_x000D_限界突破値を引き継げます（覚醒前後も可）</v>
      </c>
      <c r="M39" s="55" t="s">
        <v>208</v>
      </c>
    </row>
    <row r="40" spans="1:13" x14ac:dyDescent="0.15">
      <c r="A40" s="79" t="s">
        <v>198</v>
      </c>
      <c r="B40" s="80">
        <f>floors!$C$7</f>
        <v>41007</v>
      </c>
      <c r="C40" s="81" t="str">
        <f ca="1">VLOOKUP($B40,OFFSET([2]quests!$A$1,0,0,COUNTA([2]quests!$A:$A),MATCH(C$1,[2]quests!$1:$1,0)-MATCH($B$1,[2]quests!$1:$1,0)+1),MATCH(C$1,[2]quests!$1:$1,0)-MATCH($B$1,[2]quests!$1:$1,0)+1,FALSE)</f>
        <v>グリム襲来！</v>
      </c>
      <c r="D40" s="81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85">
        <v>3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83">
        <v>0</v>
      </c>
      <c r="I40">
        <v>39</v>
      </c>
      <c r="J40" s="82" t="s">
        <v>195</v>
      </c>
      <c r="K40" s="91" t="str">
        <f>VLOOKUP(I40,[6]stage_hints!$A:$C,3,FALSE)</f>
        <v>システム適合者を確認</v>
      </c>
      <c r="L40" s="92" t="str">
        <f>VLOOKUP(I40,[6]stage_hints!$A:$D,4,FALSE)</f>
        <v>ALICEが 「アナタ」を呼んでいます</v>
      </c>
      <c r="M40" s="55" t="s">
        <v>208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workbookViewId="0">
      <pane ySplit="1" topLeftCell="A2" activePane="bottomLeft" state="frozen"/>
      <selection pane="bottomLeft" activeCell="M6" sqref="M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4" t="s">
        <v>185</v>
      </c>
      <c r="B1" s="70" t="s">
        <v>148</v>
      </c>
      <c r="C1" s="75" t="s">
        <v>187</v>
      </c>
      <c r="D1" s="75" t="s">
        <v>33</v>
      </c>
      <c r="E1" s="70" t="s">
        <v>188</v>
      </c>
      <c r="F1" s="75" t="s">
        <v>18</v>
      </c>
      <c r="G1" s="75" t="s">
        <v>33</v>
      </c>
      <c r="H1" s="70" t="s">
        <v>190</v>
      </c>
      <c r="I1" s="87" t="s">
        <v>191</v>
      </c>
      <c r="J1" s="89" t="s">
        <v>192</v>
      </c>
      <c r="K1" s="77" t="s">
        <v>125</v>
      </c>
      <c r="L1" s="76" t="s">
        <v>184</v>
      </c>
      <c r="M1" s="90" t="s">
        <v>183</v>
      </c>
      <c r="N1" s="78" t="s">
        <v>193</v>
      </c>
    </row>
    <row r="2" spans="1:15" ht="56" x14ac:dyDescent="0.15">
      <c r="A2" s="79" t="s">
        <v>194</v>
      </c>
      <c r="B2" s="80">
        <f>floors!$C$7</f>
        <v>41007</v>
      </c>
      <c r="C2" s="81" t="str">
        <f ca="1">VLOOKUP($B2,OFFSET([2]quests!$A$1,0,0,COUNTA([2]quests!$A:$A),MATCH(C$1,[2]quests!$1:$1,0)-MATCH($B$1,[2]quests!$1:$1,0)+1),MATCH(C$1,[2]quests!$1:$1,0)-MATCH($B$1,[2]quests!$1:$1,0)+1,FALSE)</f>
        <v>グリム襲来！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【超絶級】グリム襲来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3">
        <v>1</v>
      </c>
      <c r="I2" s="88">
        <f t="shared" ref="I2:I16" si="0">ROW()-1</f>
        <v>1</v>
      </c>
      <c r="J2" s="84" t="str">
        <f t="shared" ref="J2:J11" si="1">B2&amp;TEXT(I2,"00")</f>
        <v>4100701</v>
      </c>
      <c r="K2" s="82" t="s">
        <v>195</v>
      </c>
      <c r="L2" s="85" t="s">
        <v>196</v>
      </c>
      <c r="M2" s="178" t="s">
        <v>378</v>
      </c>
      <c r="N2" s="55" t="s">
        <v>197</v>
      </c>
      <c r="O2">
        <f>LEN(M2)</f>
        <v>53</v>
      </c>
    </row>
    <row r="3" spans="1:15" ht="56" x14ac:dyDescent="0.15">
      <c r="A3" s="79" t="s">
        <v>194</v>
      </c>
      <c r="B3" s="80">
        <f>floors!$C$7</f>
        <v>41007</v>
      </c>
      <c r="C3" s="81" t="str">
        <f ca="1">VLOOKUP($B3,OFFSET([2]quests!$A$1,0,0,COUNTA([2]quests!$A:$A),MATCH(C$1,[2]quests!$1:$1,0)-MATCH($B$1,[2]quests!$1:$1,0)+1),MATCH(C$1,[2]quests!$1:$1,0)-MATCH($B$1,[2]quests!$1:$1,0)+1,FALSE)</f>
        <v>グリム襲来！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【超絶級】グリム襲来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3">
        <v>2</v>
      </c>
      <c r="I3" s="88">
        <f t="shared" si="0"/>
        <v>2</v>
      </c>
      <c r="J3" s="84" t="str">
        <f t="shared" si="1"/>
        <v>4100702</v>
      </c>
      <c r="K3" s="82" t="s">
        <v>195</v>
      </c>
      <c r="L3" s="85" t="s">
        <v>196</v>
      </c>
      <c r="M3" s="178" t="s">
        <v>379</v>
      </c>
      <c r="N3" s="55" t="s">
        <v>197</v>
      </c>
      <c r="O3">
        <f t="shared" ref="O3:O16" si="2">LEN(M3)</f>
        <v>56</v>
      </c>
    </row>
    <row r="4" spans="1:15" ht="56" x14ac:dyDescent="0.15">
      <c r="A4" s="79" t="s">
        <v>194</v>
      </c>
      <c r="B4" s="80">
        <f>floors!$C$7</f>
        <v>41007</v>
      </c>
      <c r="C4" s="81" t="str">
        <f ca="1">VLOOKUP($B4,OFFSET([2]quests!$A$1,0,0,COUNTA([2]quests!$A:$A),MATCH(C$1,[2]quests!$1:$1,0)-MATCH($B$1,[2]quests!$1:$1,0)+1),MATCH(C$1,[2]quests!$1:$1,0)-MATCH($B$1,[2]quests!$1:$1,0)+1,FALSE)</f>
        <v>グリム襲来！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【超絶級】グリム襲来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3">
        <v>4</v>
      </c>
      <c r="I4" s="88">
        <f t="shared" si="0"/>
        <v>3</v>
      </c>
      <c r="J4" s="84" t="str">
        <f t="shared" si="1"/>
        <v>4100703</v>
      </c>
      <c r="K4" s="82" t="s">
        <v>195</v>
      </c>
      <c r="L4" s="85" t="s">
        <v>196</v>
      </c>
      <c r="M4" s="178" t="s">
        <v>383</v>
      </c>
      <c r="N4" s="55" t="s">
        <v>197</v>
      </c>
      <c r="O4">
        <f t="shared" si="2"/>
        <v>48</v>
      </c>
    </row>
    <row r="5" spans="1:15" ht="56" x14ac:dyDescent="0.15">
      <c r="A5" s="79" t="s">
        <v>194</v>
      </c>
      <c r="B5" s="80">
        <f>floors!$C$7</f>
        <v>41007</v>
      </c>
      <c r="C5" s="81" t="str">
        <f ca="1">VLOOKUP($B5,OFFSET([2]quests!$A$1,0,0,COUNTA([2]quests!$A:$A),MATCH(C$1,[2]quests!$1:$1,0)-MATCH($B$1,[2]quests!$1:$1,0)+1),MATCH(C$1,[2]quests!$1:$1,0)-MATCH($B$1,[2]quests!$1:$1,0)+1,FALSE)</f>
        <v>グリム襲来！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【超絶級】グリム襲来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3">
        <v>5</v>
      </c>
      <c r="I5" s="88">
        <f t="shared" si="0"/>
        <v>4</v>
      </c>
      <c r="J5" s="84" t="str">
        <f t="shared" si="1"/>
        <v>4100704</v>
      </c>
      <c r="K5" s="82" t="s">
        <v>195</v>
      </c>
      <c r="L5" s="85" t="s">
        <v>196</v>
      </c>
      <c r="M5" s="178" t="s">
        <v>380</v>
      </c>
      <c r="N5" s="55" t="s">
        <v>197</v>
      </c>
      <c r="O5">
        <f t="shared" si="2"/>
        <v>56</v>
      </c>
    </row>
    <row r="6" spans="1:15" ht="56" x14ac:dyDescent="0.15">
      <c r="A6" s="79" t="s">
        <v>194</v>
      </c>
      <c r="B6" s="80">
        <f>floors!$C$7</f>
        <v>41007</v>
      </c>
      <c r="C6" s="81" t="str">
        <f ca="1">VLOOKUP($B6,OFFSET([2]quests!$A$1,0,0,COUNTA([2]quests!$A:$A),MATCH(C$1,[2]quests!$1:$1,0)-MATCH($B$1,[2]quests!$1:$1,0)+1),MATCH(C$1,[2]quests!$1:$1,0)-MATCH($B$1,[2]quests!$1:$1,0)+1,FALSE)</f>
        <v>グリム襲来！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【超絶級】グリム襲来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3">
        <v>5</v>
      </c>
      <c r="I6" s="88">
        <f t="shared" si="0"/>
        <v>5</v>
      </c>
      <c r="J6" s="84" t="str">
        <f t="shared" si="1"/>
        <v>4100705</v>
      </c>
      <c r="K6" s="82" t="s">
        <v>195</v>
      </c>
      <c r="L6" s="85" t="s">
        <v>196</v>
      </c>
      <c r="M6" s="178" t="s">
        <v>382</v>
      </c>
      <c r="N6" s="55" t="s">
        <v>197</v>
      </c>
      <c r="O6">
        <f t="shared" si="2"/>
        <v>52</v>
      </c>
    </row>
    <row r="7" spans="1:15" ht="56" x14ac:dyDescent="0.15">
      <c r="A7" s="79" t="s">
        <v>194</v>
      </c>
      <c r="B7" s="80">
        <f>floors!$C$7</f>
        <v>41007</v>
      </c>
      <c r="C7" s="81" t="str">
        <f ca="1">VLOOKUP($B7,OFFSET([2]quests!$A$1,0,0,COUNTA([2]quests!$A:$A),MATCH(C$1,[2]quests!$1:$1,0)-MATCH($B$1,[2]quests!$1:$1,0)+1),MATCH(C$1,[2]quests!$1:$1,0)-MATCH($B$1,[2]quests!$1:$1,0)+1,FALSE)</f>
        <v>グリム襲来！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3">
        <v>1</v>
      </c>
      <c r="I7" s="88">
        <f t="shared" si="0"/>
        <v>6</v>
      </c>
      <c r="J7" s="84" t="str">
        <f t="shared" si="1"/>
        <v>4100706</v>
      </c>
      <c r="K7" s="82" t="s">
        <v>195</v>
      </c>
      <c r="L7" s="85" t="s">
        <v>196</v>
      </c>
      <c r="M7" s="178" t="s">
        <v>378</v>
      </c>
      <c r="N7" s="55" t="s">
        <v>197</v>
      </c>
      <c r="O7">
        <f t="shared" si="2"/>
        <v>53</v>
      </c>
    </row>
    <row r="8" spans="1:15" ht="56" x14ac:dyDescent="0.15">
      <c r="A8" s="79" t="s">
        <v>194</v>
      </c>
      <c r="B8" s="80">
        <f>floors!$C$7</f>
        <v>41007</v>
      </c>
      <c r="C8" s="81" t="str">
        <f ca="1">VLOOKUP($B8,OFFSET([2]quests!$A$1,0,0,COUNTA([2]quests!$A:$A),MATCH(C$1,[2]quests!$1:$1,0)-MATCH($B$1,[2]quests!$1:$1,0)+1),MATCH(C$1,[2]quests!$1:$1,0)-MATCH($B$1,[2]quests!$1:$1,0)+1,FALSE)</f>
        <v>グリム襲来！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3">
        <v>2</v>
      </c>
      <c r="I8" s="88">
        <f t="shared" si="0"/>
        <v>7</v>
      </c>
      <c r="J8" s="84" t="str">
        <f t="shared" si="1"/>
        <v>4100707</v>
      </c>
      <c r="K8" s="82" t="s">
        <v>195</v>
      </c>
      <c r="L8" s="85" t="s">
        <v>196</v>
      </c>
      <c r="M8" s="178" t="s">
        <v>379</v>
      </c>
      <c r="N8" s="55" t="s">
        <v>197</v>
      </c>
      <c r="O8">
        <f t="shared" si="2"/>
        <v>56</v>
      </c>
    </row>
    <row r="9" spans="1:15" ht="56" x14ac:dyDescent="0.15">
      <c r="A9" s="79" t="s">
        <v>194</v>
      </c>
      <c r="B9" s="80">
        <f>floors!$C$7</f>
        <v>41007</v>
      </c>
      <c r="C9" s="81" t="str">
        <f ca="1">VLOOKUP($B9,OFFSET([2]quests!$A$1,0,0,COUNTA([2]quests!$A:$A),MATCH(C$1,[2]quests!$1:$1,0)-MATCH($B$1,[2]quests!$1:$1,0)+1),MATCH(C$1,[2]quests!$1:$1,0)-MATCH($B$1,[2]quests!$1:$1,0)+1,FALSE)</f>
        <v>グリム襲来！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3">
        <v>4</v>
      </c>
      <c r="I9" s="88">
        <f t="shared" si="0"/>
        <v>8</v>
      </c>
      <c r="J9" s="84" t="str">
        <f t="shared" si="1"/>
        <v>4100708</v>
      </c>
      <c r="K9" s="82" t="s">
        <v>195</v>
      </c>
      <c r="L9" s="85" t="s">
        <v>196</v>
      </c>
      <c r="M9" s="178" t="s">
        <v>383</v>
      </c>
      <c r="N9" s="55" t="s">
        <v>197</v>
      </c>
      <c r="O9">
        <f t="shared" si="2"/>
        <v>48</v>
      </c>
    </row>
    <row r="10" spans="1:15" ht="56" x14ac:dyDescent="0.15">
      <c r="A10" s="79" t="s">
        <v>194</v>
      </c>
      <c r="B10" s="80">
        <f>floors!$C$7</f>
        <v>41007</v>
      </c>
      <c r="C10" s="81" t="str">
        <f ca="1">VLOOKUP($B10,OFFSET([2]quests!$A$1,0,0,COUNTA([2]quests!$A:$A),MATCH(C$1,[2]quests!$1:$1,0)-MATCH($B$1,[2]quests!$1:$1,0)+1),MATCH(C$1,[2]quests!$1:$1,0)-MATCH($B$1,[2]quests!$1:$1,0)+1,FALSE)</f>
        <v>グリム襲来！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3">
        <v>5</v>
      </c>
      <c r="I10" s="88">
        <f t="shared" si="0"/>
        <v>9</v>
      </c>
      <c r="J10" s="84" t="str">
        <f t="shared" si="1"/>
        <v>4100709</v>
      </c>
      <c r="K10" s="82" t="s">
        <v>195</v>
      </c>
      <c r="L10" s="85" t="s">
        <v>196</v>
      </c>
      <c r="M10" s="178" t="s">
        <v>381</v>
      </c>
      <c r="N10" s="55" t="s">
        <v>197</v>
      </c>
      <c r="O10">
        <f t="shared" si="2"/>
        <v>52</v>
      </c>
    </row>
    <row r="11" spans="1:15" ht="56" x14ac:dyDescent="0.15">
      <c r="A11" s="79" t="s">
        <v>194</v>
      </c>
      <c r="B11" s="80">
        <f>floors!$C$7</f>
        <v>41007</v>
      </c>
      <c r="C11" s="81" t="str">
        <f ca="1">VLOOKUP($B11,OFFSET([2]quests!$A$1,0,0,COUNTA([2]quests!$A:$A),MATCH(C$1,[2]quests!$1:$1,0)-MATCH($B$1,[2]quests!$1:$1,0)+1),MATCH(C$1,[2]quests!$1:$1,0)-MATCH($B$1,[2]quests!$1:$1,0)+1,FALSE)</f>
        <v>グリム襲来！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【ウィザード級】グリム襲来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3">
        <v>5</v>
      </c>
      <c r="I11" s="88">
        <f t="shared" si="0"/>
        <v>10</v>
      </c>
      <c r="J11" s="84" t="str">
        <f t="shared" si="1"/>
        <v>4100710</v>
      </c>
      <c r="K11" s="82" t="s">
        <v>195</v>
      </c>
      <c r="L11" s="85" t="s">
        <v>196</v>
      </c>
      <c r="M11" s="178" t="s">
        <v>382</v>
      </c>
      <c r="N11" s="55" t="s">
        <v>197</v>
      </c>
      <c r="O11">
        <f t="shared" si="2"/>
        <v>52</v>
      </c>
    </row>
    <row r="12" spans="1:15" ht="56" x14ac:dyDescent="0.15">
      <c r="A12" s="79" t="s">
        <v>194</v>
      </c>
      <c r="B12" s="80">
        <f>floors!$C$7</f>
        <v>41007</v>
      </c>
      <c r="C12" s="81" t="str">
        <f ca="1">VLOOKUP($B12,OFFSET([2]quests!$A$1,0,0,COUNTA([2]quests!$A:$A),MATCH(C$1,[2]quests!$1:$1,0)-MATCH($B$1,[2]quests!$1:$1,0)+1),MATCH(C$1,[2]quests!$1:$1,0)-MATCH($B$1,[2]quests!$1:$1,0)+1,FALSE)</f>
        <v>グリム襲来！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2">
        <v>3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3">
        <v>1</v>
      </c>
      <c r="I12" s="88">
        <f t="shared" si="0"/>
        <v>11</v>
      </c>
      <c r="J12" s="84" t="str">
        <f t="shared" ref="J12:J16" si="3">B12&amp;TEXT(I12,"00")</f>
        <v>4100711</v>
      </c>
      <c r="K12" s="82" t="s">
        <v>195</v>
      </c>
      <c r="L12" s="85" t="s">
        <v>196</v>
      </c>
      <c r="M12" s="178" t="s">
        <v>378</v>
      </c>
      <c r="N12" s="55" t="s">
        <v>197</v>
      </c>
      <c r="O12">
        <f t="shared" si="2"/>
        <v>53</v>
      </c>
    </row>
    <row r="13" spans="1:15" ht="56" x14ac:dyDescent="0.15">
      <c r="A13" s="79" t="s">
        <v>194</v>
      </c>
      <c r="B13" s="80">
        <f>floors!$C$7</f>
        <v>41007</v>
      </c>
      <c r="C13" s="81" t="str">
        <f ca="1">VLOOKUP($B13,OFFSET([2]quests!$A$1,0,0,COUNTA([2]quests!$A:$A),MATCH(C$1,[2]quests!$1:$1,0)-MATCH($B$1,[2]quests!$1:$1,0)+1),MATCH(C$1,[2]quests!$1:$1,0)-MATCH($B$1,[2]quests!$1:$1,0)+1,FALSE)</f>
        <v>グリム襲来！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2">
        <v>3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3">
        <v>2</v>
      </c>
      <c r="I13" s="88">
        <f t="shared" si="0"/>
        <v>12</v>
      </c>
      <c r="J13" s="84" t="str">
        <f t="shared" si="3"/>
        <v>4100712</v>
      </c>
      <c r="K13" s="82" t="s">
        <v>195</v>
      </c>
      <c r="L13" s="85" t="s">
        <v>196</v>
      </c>
      <c r="M13" s="178" t="s">
        <v>379</v>
      </c>
      <c r="N13" s="55" t="s">
        <v>197</v>
      </c>
      <c r="O13">
        <f t="shared" si="2"/>
        <v>56</v>
      </c>
    </row>
    <row r="14" spans="1:15" ht="56" x14ac:dyDescent="0.15">
      <c r="A14" s="79" t="s">
        <v>194</v>
      </c>
      <c r="B14" s="80">
        <f>floors!$C$7</f>
        <v>41007</v>
      </c>
      <c r="C14" s="81" t="str">
        <f ca="1">VLOOKUP($B14,OFFSET([2]quests!$A$1,0,0,COUNTA([2]quests!$A:$A),MATCH(C$1,[2]quests!$1:$1,0)-MATCH($B$1,[2]quests!$1:$1,0)+1),MATCH(C$1,[2]quests!$1:$1,0)-MATCH($B$1,[2]quests!$1:$1,0)+1,FALSE)</f>
        <v>グリム襲来！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2">
        <v>3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3">
        <v>4</v>
      </c>
      <c r="I14" s="88">
        <f t="shared" si="0"/>
        <v>13</v>
      </c>
      <c r="J14" s="84" t="str">
        <f t="shared" si="3"/>
        <v>4100713</v>
      </c>
      <c r="K14" s="82" t="s">
        <v>195</v>
      </c>
      <c r="L14" s="85" t="s">
        <v>196</v>
      </c>
      <c r="M14" s="178" t="s">
        <v>383</v>
      </c>
      <c r="N14" s="55" t="s">
        <v>197</v>
      </c>
      <c r="O14">
        <f t="shared" si="2"/>
        <v>48</v>
      </c>
    </row>
    <row r="15" spans="1:15" ht="56" x14ac:dyDescent="0.15">
      <c r="A15" s="79" t="s">
        <v>194</v>
      </c>
      <c r="B15" s="80">
        <f>floors!$C$7</f>
        <v>41007</v>
      </c>
      <c r="C15" s="81" t="str">
        <f ca="1">VLOOKUP($B15,OFFSET([2]quests!$A$1,0,0,COUNTA([2]quests!$A:$A),MATCH(C$1,[2]quests!$1:$1,0)-MATCH($B$1,[2]quests!$1:$1,0)+1),MATCH(C$1,[2]quests!$1:$1,0)-MATCH($B$1,[2]quests!$1:$1,0)+1,FALSE)</f>
        <v>グリム襲来！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2">
        <v>3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3">
        <v>5</v>
      </c>
      <c r="I15" s="88">
        <f t="shared" si="0"/>
        <v>14</v>
      </c>
      <c r="J15" s="84" t="str">
        <f t="shared" si="3"/>
        <v>4100714</v>
      </c>
      <c r="K15" s="82" t="s">
        <v>195</v>
      </c>
      <c r="L15" s="85" t="s">
        <v>196</v>
      </c>
      <c r="M15" s="178" t="s">
        <v>381</v>
      </c>
      <c r="N15" s="55" t="s">
        <v>197</v>
      </c>
      <c r="O15">
        <f t="shared" si="2"/>
        <v>52</v>
      </c>
    </row>
    <row r="16" spans="1:15" ht="56" x14ac:dyDescent="0.15">
      <c r="A16" s="79" t="s">
        <v>194</v>
      </c>
      <c r="B16" s="80">
        <f>floors!$C$7</f>
        <v>41007</v>
      </c>
      <c r="C16" s="81" t="str">
        <f ca="1">VLOOKUP($B16,OFFSET([2]quests!$A$1,0,0,COUNTA([2]quests!$A:$A),MATCH(C$1,[2]quests!$1:$1,0)-MATCH($B$1,[2]quests!$1:$1,0)+1),MATCH(C$1,[2]quests!$1:$1,0)-MATCH($B$1,[2]quests!$1:$1,0)+1,FALSE)</f>
        <v>グリム襲来！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2">
        <v>3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【ノーコンテニュー】グリム襲来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3">
        <v>5</v>
      </c>
      <c r="I16" s="88">
        <f t="shared" si="0"/>
        <v>15</v>
      </c>
      <c r="J16" s="84" t="str">
        <f t="shared" si="3"/>
        <v>4100715</v>
      </c>
      <c r="K16" s="82" t="s">
        <v>195</v>
      </c>
      <c r="L16" s="85" t="s">
        <v>196</v>
      </c>
      <c r="M16" s="178" t="s">
        <v>382</v>
      </c>
      <c r="N16" s="55" t="s">
        <v>197</v>
      </c>
      <c r="O16">
        <f t="shared" si="2"/>
        <v>52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2017-03-14T08:22:28Z</dcterms:modified>
</cp:coreProperties>
</file>