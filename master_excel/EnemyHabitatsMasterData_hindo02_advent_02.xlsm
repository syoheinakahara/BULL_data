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220" yWindow="460" windowWidth="32440" windowHeight="12800" tabRatio="740" firstSheet="1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9" l="1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45" i="11"/>
  <c r="O28" i="9"/>
  <c r="G29" i="9"/>
  <c r="H29" i="9"/>
  <c r="I29" i="9"/>
  <c r="J29" i="9"/>
  <c r="K29" i="9"/>
  <c r="L29" i="9"/>
  <c r="M29" i="9"/>
  <c r="N29" i="9"/>
  <c r="J46" i="11"/>
  <c r="O29" i="9"/>
  <c r="G30" i="9"/>
  <c r="H30" i="9"/>
  <c r="I30" i="9"/>
  <c r="J30" i="9"/>
  <c r="K30" i="9"/>
  <c r="L30" i="9"/>
  <c r="M30" i="9"/>
  <c r="N30" i="9"/>
  <c r="J47" i="11"/>
  <c r="O30" i="9"/>
  <c r="G31" i="9"/>
  <c r="H31" i="9"/>
  <c r="I31" i="9"/>
  <c r="J31" i="9"/>
  <c r="K31" i="9"/>
  <c r="L31" i="9"/>
  <c r="M31" i="9"/>
  <c r="N31" i="9"/>
  <c r="J48" i="11"/>
  <c r="O31" i="9"/>
  <c r="G32" i="9"/>
  <c r="H32" i="9"/>
  <c r="I32" i="9"/>
  <c r="J32" i="9"/>
  <c r="K32" i="9"/>
  <c r="L32" i="9"/>
  <c r="M32" i="9"/>
  <c r="N32" i="9"/>
  <c r="J49" i="11"/>
  <c r="O32" i="9"/>
  <c r="G33" i="9"/>
  <c r="H33" i="9"/>
  <c r="I33" i="9"/>
  <c r="J33" i="9"/>
  <c r="K33" i="9"/>
  <c r="L33" i="9"/>
  <c r="M33" i="9"/>
  <c r="N33" i="9"/>
  <c r="J28" i="11"/>
  <c r="O33" i="9"/>
  <c r="G34" i="9"/>
  <c r="H34" i="9"/>
  <c r="I34" i="9"/>
  <c r="J34" i="9"/>
  <c r="K34" i="9"/>
  <c r="L34" i="9"/>
  <c r="M34" i="9"/>
  <c r="N34" i="9"/>
  <c r="J29" i="11"/>
  <c r="O34" i="9"/>
  <c r="G35" i="9"/>
  <c r="H35" i="9"/>
  <c r="I35" i="9"/>
  <c r="J35" i="9"/>
  <c r="K35" i="9"/>
  <c r="L35" i="9"/>
  <c r="M35" i="9"/>
  <c r="N35" i="9"/>
  <c r="J44" i="11"/>
  <c r="O35" i="9"/>
  <c r="G36" i="9"/>
  <c r="H36" i="9"/>
  <c r="I36" i="9"/>
  <c r="J36" i="9"/>
  <c r="K36" i="9"/>
  <c r="L36" i="9"/>
  <c r="M36" i="9"/>
  <c r="N36" i="9"/>
  <c r="J30" i="11"/>
  <c r="O36" i="9"/>
  <c r="G37" i="9"/>
  <c r="H37" i="9"/>
  <c r="I37" i="9"/>
  <c r="J37" i="9"/>
  <c r="K37" i="9"/>
  <c r="L37" i="9"/>
  <c r="M37" i="9"/>
  <c r="N37" i="9"/>
  <c r="J31" i="11"/>
  <c r="O37" i="9"/>
  <c r="G38" i="9"/>
  <c r="H38" i="9"/>
  <c r="I38" i="9"/>
  <c r="J38" i="9"/>
  <c r="K38" i="9"/>
  <c r="L38" i="9"/>
  <c r="M38" i="9"/>
  <c r="N38" i="9"/>
  <c r="J32" i="11"/>
  <c r="O38" i="9"/>
  <c r="G39" i="9"/>
  <c r="H39" i="9"/>
  <c r="I39" i="9"/>
  <c r="J39" i="9"/>
  <c r="K39" i="9"/>
  <c r="L39" i="9"/>
  <c r="M39" i="9"/>
  <c r="N39" i="9"/>
  <c r="J33" i="11"/>
  <c r="O39" i="9"/>
  <c r="G40" i="9"/>
  <c r="H40" i="9"/>
  <c r="I40" i="9"/>
  <c r="J40" i="9"/>
  <c r="K40" i="9"/>
  <c r="L40" i="9"/>
  <c r="M40" i="9"/>
  <c r="N40" i="9"/>
  <c r="J34" i="11"/>
  <c r="O40" i="9"/>
  <c r="G41" i="9"/>
  <c r="H41" i="9"/>
  <c r="I41" i="9"/>
  <c r="J41" i="9"/>
  <c r="K41" i="9"/>
  <c r="L41" i="9"/>
  <c r="M41" i="9"/>
  <c r="N41" i="9"/>
  <c r="J35" i="11"/>
  <c r="O41" i="9"/>
  <c r="G42" i="9"/>
  <c r="H42" i="9"/>
  <c r="I42" i="9"/>
  <c r="J42" i="9"/>
  <c r="K42" i="9"/>
  <c r="L42" i="9"/>
  <c r="M42" i="9"/>
  <c r="N42" i="9"/>
  <c r="J36" i="11"/>
  <c r="O42" i="9"/>
  <c r="G43" i="9"/>
  <c r="H43" i="9"/>
  <c r="I43" i="9"/>
  <c r="J43" i="9"/>
  <c r="K43" i="9"/>
  <c r="L43" i="9"/>
  <c r="M43" i="9"/>
  <c r="N43" i="9"/>
  <c r="J37" i="11"/>
  <c r="O43" i="9"/>
  <c r="G44" i="9"/>
  <c r="H44" i="9"/>
  <c r="I44" i="9"/>
  <c r="J44" i="9"/>
  <c r="K44" i="9"/>
  <c r="L44" i="9"/>
  <c r="M44" i="9"/>
  <c r="N44" i="9"/>
  <c r="J38" i="11"/>
  <c r="O44" i="9"/>
  <c r="G45" i="9"/>
  <c r="H45" i="9"/>
  <c r="I45" i="9"/>
  <c r="J45" i="9"/>
  <c r="K45" i="9"/>
  <c r="L45" i="9"/>
  <c r="M45" i="9"/>
  <c r="N45" i="9"/>
  <c r="J39" i="11"/>
  <c r="O45" i="9"/>
  <c r="G46" i="9"/>
  <c r="H46" i="9"/>
  <c r="I46" i="9"/>
  <c r="J46" i="9"/>
  <c r="K46" i="9"/>
  <c r="L46" i="9"/>
  <c r="M46" i="9"/>
  <c r="N46" i="9"/>
  <c r="J40" i="11"/>
  <c r="O46" i="9"/>
  <c r="G47" i="9"/>
  <c r="H47" i="9"/>
  <c r="I47" i="9"/>
  <c r="J47" i="9"/>
  <c r="K47" i="9"/>
  <c r="L47" i="9"/>
  <c r="M47" i="9"/>
  <c r="N47" i="9"/>
  <c r="J41" i="11"/>
  <c r="O47" i="9"/>
  <c r="G48" i="9"/>
  <c r="H48" i="9"/>
  <c r="I48" i="9"/>
  <c r="J48" i="9"/>
  <c r="K48" i="9"/>
  <c r="L48" i="9"/>
  <c r="M48" i="9"/>
  <c r="N48" i="9"/>
  <c r="J42" i="11"/>
  <c r="O48" i="9"/>
  <c r="G49" i="9"/>
  <c r="H49" i="9"/>
  <c r="I49" i="9"/>
  <c r="J49" i="9"/>
  <c r="K49" i="9"/>
  <c r="L49" i="9"/>
  <c r="M49" i="9"/>
  <c r="N49" i="9"/>
  <c r="J43" i="11"/>
  <c r="O49" i="9"/>
  <c r="G50" i="9"/>
  <c r="H50" i="9"/>
  <c r="I50" i="9"/>
  <c r="J50" i="9"/>
  <c r="K50" i="9"/>
  <c r="L50" i="9"/>
  <c r="M50" i="9"/>
  <c r="N50" i="9"/>
  <c r="O50" i="9"/>
  <c r="G51" i="9"/>
  <c r="H51" i="9"/>
  <c r="I51" i="9"/>
  <c r="J51" i="9"/>
  <c r="K51" i="9"/>
  <c r="L51" i="9"/>
  <c r="M51" i="9"/>
  <c r="N51" i="9"/>
  <c r="O51" i="9"/>
  <c r="G52" i="9"/>
  <c r="H52" i="9"/>
  <c r="I52" i="9"/>
  <c r="J52" i="9"/>
  <c r="K52" i="9"/>
  <c r="L52" i="9"/>
  <c r="M52" i="9"/>
  <c r="N52" i="9"/>
  <c r="O52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G55" i="9"/>
  <c r="H55" i="9"/>
  <c r="I55" i="9"/>
  <c r="J55" i="9"/>
  <c r="K55" i="9"/>
  <c r="L55" i="9"/>
  <c r="M55" i="9"/>
  <c r="N55" i="9"/>
  <c r="O55" i="9"/>
  <c r="G56" i="9"/>
  <c r="H56" i="9"/>
  <c r="I56" i="9"/>
  <c r="J56" i="9"/>
  <c r="K56" i="9"/>
  <c r="L56" i="9"/>
  <c r="M56" i="9"/>
  <c r="N56" i="9"/>
  <c r="O56" i="9"/>
  <c r="G57" i="9"/>
  <c r="H57" i="9"/>
  <c r="I57" i="9"/>
  <c r="J57" i="9"/>
  <c r="K57" i="9"/>
  <c r="L57" i="9"/>
  <c r="M57" i="9"/>
  <c r="N57" i="9"/>
  <c r="O57" i="9"/>
  <c r="G58" i="9"/>
  <c r="H58" i="9"/>
  <c r="I58" i="9"/>
  <c r="J58" i="9"/>
  <c r="K58" i="9"/>
  <c r="L58" i="9"/>
  <c r="M58" i="9"/>
  <c r="N58" i="9"/>
  <c r="O58" i="9"/>
  <c r="G59" i="9"/>
  <c r="H59" i="9"/>
  <c r="I59" i="9"/>
  <c r="J59" i="9"/>
  <c r="K59" i="9"/>
  <c r="L59" i="9"/>
  <c r="M59" i="9"/>
  <c r="N59" i="9"/>
  <c r="O59" i="9"/>
  <c r="G60" i="9"/>
  <c r="H60" i="9"/>
  <c r="I60" i="9"/>
  <c r="J60" i="9"/>
  <c r="K60" i="9"/>
  <c r="L60" i="9"/>
  <c r="M60" i="9"/>
  <c r="N60" i="9"/>
  <c r="O60" i="9"/>
  <c r="G61" i="9"/>
  <c r="H61" i="9"/>
  <c r="I61" i="9"/>
  <c r="J61" i="9"/>
  <c r="K61" i="9"/>
  <c r="L61" i="9"/>
  <c r="M61" i="9"/>
  <c r="N61" i="9"/>
  <c r="O61" i="9"/>
  <c r="G62" i="9"/>
  <c r="H62" i="9"/>
  <c r="I62" i="9"/>
  <c r="J62" i="9"/>
  <c r="K62" i="9"/>
  <c r="L62" i="9"/>
  <c r="M62" i="9"/>
  <c r="N62" i="9"/>
  <c r="O62" i="9"/>
  <c r="G63" i="9"/>
  <c r="H63" i="9"/>
  <c r="I63" i="9"/>
  <c r="J63" i="9"/>
  <c r="K63" i="9"/>
  <c r="L63" i="9"/>
  <c r="M63" i="9"/>
  <c r="N63" i="9"/>
  <c r="O63" i="9"/>
  <c r="G64" i="9"/>
  <c r="H64" i="9"/>
  <c r="I64" i="9"/>
  <c r="J64" i="9"/>
  <c r="K64" i="9"/>
  <c r="L64" i="9"/>
  <c r="M64" i="9"/>
  <c r="N64" i="9"/>
  <c r="O64" i="9"/>
  <c r="G65" i="9"/>
  <c r="H65" i="9"/>
  <c r="I65" i="9"/>
  <c r="J65" i="9"/>
  <c r="K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G67" i="9"/>
  <c r="H67" i="9"/>
  <c r="I67" i="9"/>
  <c r="J67" i="9"/>
  <c r="K67" i="9"/>
  <c r="L67" i="9"/>
  <c r="M67" i="9"/>
  <c r="N67" i="9"/>
  <c r="O67" i="9"/>
  <c r="G68" i="9"/>
  <c r="H68" i="9"/>
  <c r="I68" i="9"/>
  <c r="J68" i="9"/>
  <c r="K68" i="9"/>
  <c r="L68" i="9"/>
  <c r="M68" i="9"/>
  <c r="N68" i="9"/>
  <c r="O68" i="9"/>
  <c r="G69" i="9"/>
  <c r="H69" i="9"/>
  <c r="I69" i="9"/>
  <c r="J69" i="9"/>
  <c r="K69" i="9"/>
  <c r="L69" i="9"/>
  <c r="M69" i="9"/>
  <c r="N69" i="9"/>
  <c r="O69" i="9"/>
  <c r="G70" i="9"/>
  <c r="H70" i="9"/>
  <c r="I70" i="9"/>
  <c r="J70" i="9"/>
  <c r="K70" i="9"/>
  <c r="L70" i="9"/>
  <c r="M70" i="9"/>
  <c r="N70" i="9"/>
  <c r="O70" i="9"/>
  <c r="G71" i="9"/>
  <c r="H71" i="9"/>
  <c r="I71" i="9"/>
  <c r="J71" i="9"/>
  <c r="K71" i="9"/>
  <c r="L71" i="9"/>
  <c r="M71" i="9"/>
  <c r="N71" i="9"/>
  <c r="O71" i="9"/>
  <c r="G72" i="9"/>
  <c r="H72" i="9"/>
  <c r="I72" i="9"/>
  <c r="J72" i="9"/>
  <c r="K72" i="9"/>
  <c r="L72" i="9"/>
  <c r="M72" i="9"/>
  <c r="N72" i="9"/>
  <c r="O72" i="9"/>
  <c r="G73" i="9"/>
  <c r="H73" i="9"/>
  <c r="I73" i="9"/>
  <c r="J73" i="9"/>
  <c r="K73" i="9"/>
  <c r="L73" i="9"/>
  <c r="M73" i="9"/>
  <c r="N73" i="9"/>
  <c r="O73" i="9"/>
  <c r="G74" i="9"/>
  <c r="H74" i="9"/>
  <c r="I74" i="9"/>
  <c r="J74" i="9"/>
  <c r="K74" i="9"/>
  <c r="L74" i="9"/>
  <c r="M74" i="9"/>
  <c r="N74" i="9"/>
  <c r="O74" i="9"/>
  <c r="G75" i="9"/>
  <c r="H75" i="9"/>
  <c r="I75" i="9"/>
  <c r="J75" i="9"/>
  <c r="K75" i="9"/>
  <c r="L75" i="9"/>
  <c r="M75" i="9"/>
  <c r="N75" i="9"/>
  <c r="O75" i="9"/>
  <c r="G76" i="9"/>
  <c r="H76" i="9"/>
  <c r="I76" i="9"/>
  <c r="J76" i="9"/>
  <c r="K76" i="9"/>
  <c r="L76" i="9"/>
  <c r="M76" i="9"/>
  <c r="N76" i="9"/>
  <c r="O76" i="9"/>
  <c r="G77" i="9"/>
  <c r="H77" i="9"/>
  <c r="I77" i="9"/>
  <c r="J77" i="9"/>
  <c r="K77" i="9"/>
  <c r="L77" i="9"/>
  <c r="M77" i="9"/>
  <c r="N77" i="9"/>
  <c r="O77" i="9"/>
  <c r="G78" i="9"/>
  <c r="H78" i="9"/>
  <c r="I78" i="9"/>
  <c r="J78" i="9"/>
  <c r="K78" i="9"/>
  <c r="L78" i="9"/>
  <c r="M78" i="9"/>
  <c r="N78" i="9"/>
  <c r="O78" i="9"/>
  <c r="G79" i="9"/>
  <c r="H79" i="9"/>
  <c r="I79" i="9"/>
  <c r="J79" i="9"/>
  <c r="K79" i="9"/>
  <c r="L79" i="9"/>
  <c r="M79" i="9"/>
  <c r="N79" i="9"/>
  <c r="O79" i="9"/>
  <c r="G80" i="9"/>
  <c r="H80" i="9"/>
  <c r="I80" i="9"/>
  <c r="J80" i="9"/>
  <c r="K80" i="9"/>
  <c r="L80" i="9"/>
  <c r="M80" i="9"/>
  <c r="N80" i="9"/>
  <c r="O80" i="9"/>
  <c r="G81" i="9"/>
  <c r="H81" i="9"/>
  <c r="I81" i="9"/>
  <c r="J81" i="9"/>
  <c r="K81" i="9"/>
  <c r="L81" i="9"/>
  <c r="M81" i="9"/>
  <c r="N81" i="9"/>
  <c r="O81" i="9"/>
  <c r="G82" i="9"/>
  <c r="H82" i="9"/>
  <c r="I82" i="9"/>
  <c r="J82" i="9"/>
  <c r="K82" i="9"/>
  <c r="L82" i="9"/>
  <c r="M82" i="9"/>
  <c r="N82" i="9"/>
  <c r="O82" i="9"/>
  <c r="G83" i="9"/>
  <c r="H83" i="9"/>
  <c r="I83" i="9"/>
  <c r="J83" i="9"/>
  <c r="K83" i="9"/>
  <c r="L83" i="9"/>
  <c r="M83" i="9"/>
  <c r="N83" i="9"/>
  <c r="O83" i="9"/>
  <c r="G84" i="9"/>
  <c r="H84" i="9"/>
  <c r="I84" i="9"/>
  <c r="J84" i="9"/>
  <c r="K84" i="9"/>
  <c r="L84" i="9"/>
  <c r="M84" i="9"/>
  <c r="N84" i="9"/>
  <c r="O84" i="9"/>
  <c r="G85" i="9"/>
  <c r="H85" i="9"/>
  <c r="I85" i="9"/>
  <c r="J85" i="9"/>
  <c r="K85" i="9"/>
  <c r="L85" i="9"/>
  <c r="M85" i="9"/>
  <c r="N85" i="9"/>
  <c r="O85" i="9"/>
  <c r="G86" i="9"/>
  <c r="H86" i="9"/>
  <c r="I86" i="9"/>
  <c r="J86" i="9"/>
  <c r="K86" i="9"/>
  <c r="L86" i="9"/>
  <c r="M86" i="9"/>
  <c r="N86" i="9"/>
  <c r="O86" i="9"/>
  <c r="G87" i="9"/>
  <c r="H87" i="9"/>
  <c r="I87" i="9"/>
  <c r="J87" i="9"/>
  <c r="K87" i="9"/>
  <c r="L87" i="9"/>
  <c r="M87" i="9"/>
  <c r="N87" i="9"/>
  <c r="O87" i="9"/>
  <c r="G88" i="9"/>
  <c r="H88" i="9"/>
  <c r="I88" i="9"/>
  <c r="J88" i="9"/>
  <c r="K88" i="9"/>
  <c r="L88" i="9"/>
  <c r="M88" i="9"/>
  <c r="N88" i="9"/>
  <c r="O88" i="9"/>
  <c r="E71" i="9"/>
  <c r="D71" i="9"/>
  <c r="A71" i="9"/>
  <c r="E32" i="9"/>
  <c r="D32" i="9"/>
  <c r="A32" i="9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21" i="21"/>
  <c r="C21" i="21"/>
  <c r="D21" i="21"/>
  <c r="F21" i="21"/>
  <c r="G21" i="21"/>
  <c r="I21" i="21"/>
  <c r="J21" i="21"/>
  <c r="B22" i="21"/>
  <c r="C22" i="21"/>
  <c r="D22" i="21"/>
  <c r="F22" i="21"/>
  <c r="G22" i="21"/>
  <c r="I22" i="21"/>
  <c r="J22" i="21"/>
  <c r="B23" i="21"/>
  <c r="C23" i="21"/>
  <c r="D23" i="21"/>
  <c r="F23" i="21"/>
  <c r="G23" i="21"/>
  <c r="I23" i="21"/>
  <c r="J23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E70" i="9"/>
  <c r="D70" i="9"/>
  <c r="A70" i="9"/>
  <c r="E69" i="9"/>
  <c r="D69" i="9"/>
  <c r="A69" i="9"/>
  <c r="E68" i="9"/>
  <c r="D68" i="9"/>
  <c r="A68" i="9"/>
  <c r="E67" i="9"/>
  <c r="D67" i="9"/>
  <c r="A67" i="9"/>
  <c r="E29" i="9"/>
  <c r="D29" i="9"/>
  <c r="A29" i="9"/>
  <c r="E28" i="9"/>
  <c r="D28" i="9"/>
  <c r="A28" i="9"/>
  <c r="E30" i="9"/>
  <c r="D30" i="9"/>
  <c r="A30" i="9"/>
  <c r="E31" i="9"/>
  <c r="D31" i="9"/>
  <c r="A31" i="9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5" i="10"/>
  <c r="N55" i="10"/>
  <c r="Q55" i="10"/>
  <c r="P55" i="10"/>
  <c r="R55" i="10"/>
  <c r="O55" i="10"/>
  <c r="S55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E74" i="9"/>
  <c r="D74" i="9"/>
  <c r="A74" i="9"/>
  <c r="E36" i="9"/>
  <c r="D36" i="9"/>
  <c r="A36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E88" i="9"/>
  <c r="D88" i="9"/>
  <c r="A88" i="9"/>
  <c r="E87" i="9"/>
  <c r="D87" i="9"/>
  <c r="A87" i="9"/>
  <c r="E86" i="9"/>
  <c r="D86" i="9"/>
  <c r="A86" i="9"/>
  <c r="E85" i="9"/>
  <c r="D85" i="9"/>
  <c r="A85" i="9"/>
  <c r="E84" i="9"/>
  <c r="D84" i="9"/>
  <c r="A84" i="9"/>
  <c r="E83" i="9"/>
  <c r="D83" i="9"/>
  <c r="A83" i="9"/>
  <c r="E82" i="9"/>
  <c r="D82" i="9"/>
  <c r="A82" i="9"/>
  <c r="E81" i="9"/>
  <c r="D81" i="9"/>
  <c r="A81" i="9"/>
  <c r="E80" i="9"/>
  <c r="D80" i="9"/>
  <c r="A80" i="9"/>
  <c r="E79" i="9"/>
  <c r="D79" i="9"/>
  <c r="A79" i="9"/>
  <c r="E78" i="9"/>
  <c r="D78" i="9"/>
  <c r="A78" i="9"/>
  <c r="E77" i="9"/>
  <c r="D77" i="9"/>
  <c r="A77" i="9"/>
  <c r="E76" i="9"/>
  <c r="D76" i="9"/>
  <c r="A76" i="9"/>
  <c r="E75" i="9"/>
  <c r="D75" i="9"/>
  <c r="A75" i="9"/>
  <c r="E73" i="9"/>
  <c r="D73" i="9"/>
  <c r="A73" i="9"/>
  <c r="E72" i="9"/>
  <c r="D72" i="9"/>
  <c r="A72" i="9"/>
  <c r="E66" i="9"/>
  <c r="D66" i="9"/>
  <c r="A66" i="9"/>
  <c r="E65" i="9"/>
  <c r="D65" i="9"/>
  <c r="A65" i="9"/>
  <c r="E64" i="9"/>
  <c r="D64" i="9"/>
  <c r="A64" i="9"/>
  <c r="E63" i="9"/>
  <c r="D63" i="9"/>
  <c r="A63" i="9"/>
  <c r="E62" i="9"/>
  <c r="D62" i="9"/>
  <c r="A62" i="9"/>
  <c r="E61" i="9"/>
  <c r="D61" i="9"/>
  <c r="A61" i="9"/>
  <c r="E60" i="9"/>
  <c r="D60" i="9"/>
  <c r="A60" i="9"/>
  <c r="E59" i="9"/>
  <c r="D59" i="9"/>
  <c r="A59" i="9"/>
  <c r="E58" i="9"/>
  <c r="D58" i="9"/>
  <c r="A58" i="9"/>
  <c r="E57" i="9"/>
  <c r="D57" i="9"/>
  <c r="A57" i="9"/>
  <c r="E56" i="9"/>
  <c r="D56" i="9"/>
  <c r="A56" i="9"/>
  <c r="E55" i="9"/>
  <c r="D55" i="9"/>
  <c r="A55" i="9"/>
  <c r="E54" i="9"/>
  <c r="D54" i="9"/>
  <c r="A54" i="9"/>
  <c r="E53" i="9"/>
  <c r="D53" i="9"/>
  <c r="A53" i="9"/>
  <c r="E52" i="9"/>
  <c r="D52" i="9"/>
  <c r="A52" i="9"/>
  <c r="E51" i="9"/>
  <c r="D51" i="9"/>
  <c r="A51" i="9"/>
  <c r="E50" i="9"/>
  <c r="D50" i="9"/>
  <c r="A50" i="9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E49" i="9"/>
  <c r="D49" i="9"/>
  <c r="A49" i="9"/>
  <c r="G3" i="9"/>
  <c r="H3" i="9"/>
  <c r="I3" i="9"/>
  <c r="J3" i="9"/>
  <c r="K3" i="9"/>
  <c r="L3" i="9"/>
  <c r="M3" i="9"/>
  <c r="N3" i="9"/>
  <c r="J3" i="11"/>
  <c r="O3" i="9"/>
  <c r="E45" i="9"/>
  <c r="D45" i="9"/>
  <c r="A45" i="9"/>
  <c r="E42" i="9"/>
  <c r="D42" i="9"/>
  <c r="A42" i="9"/>
  <c r="E40" i="9"/>
  <c r="D40" i="9"/>
  <c r="A40" i="9"/>
  <c r="A46" i="9"/>
  <c r="D46" i="9"/>
  <c r="E46" i="9"/>
  <c r="A47" i="9"/>
  <c r="D47" i="9"/>
  <c r="E47" i="9"/>
  <c r="A48" i="9"/>
  <c r="D48" i="9"/>
  <c r="E48" i="9"/>
  <c r="A27" i="9"/>
  <c r="D27" i="9"/>
  <c r="E27" i="9"/>
  <c r="A33" i="9"/>
  <c r="D33" i="9"/>
  <c r="E33" i="9"/>
  <c r="A34" i="9"/>
  <c r="D34" i="9"/>
  <c r="E34" i="9"/>
  <c r="A35" i="9"/>
  <c r="D35" i="9"/>
  <c r="E35" i="9"/>
  <c r="A37" i="9"/>
  <c r="D37" i="9"/>
  <c r="E37" i="9"/>
  <c r="A38" i="9"/>
  <c r="D38" i="9"/>
  <c r="E38" i="9"/>
  <c r="A39" i="9"/>
  <c r="D39" i="9"/>
  <c r="E39" i="9"/>
  <c r="A41" i="9"/>
  <c r="D41" i="9"/>
  <c r="E41" i="9"/>
  <c r="A43" i="9"/>
  <c r="D43" i="9"/>
  <c r="E43" i="9"/>
  <c r="A44" i="9"/>
  <c r="D44" i="9"/>
  <c r="E44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A3" i="9"/>
  <c r="D3" i="9"/>
  <c r="E3" i="9"/>
  <c r="A4" i="9"/>
  <c r="D4" i="9"/>
  <c r="E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E2" i="9"/>
  <c r="X2" i="1"/>
  <c r="X4" i="1"/>
  <c r="X5" i="1"/>
  <c r="X6" i="1"/>
  <c r="X7" i="1"/>
  <c r="X8" i="1"/>
  <c r="X9" i="1"/>
  <c r="X10" i="1"/>
  <c r="X11" i="1"/>
  <c r="X12" i="1"/>
  <c r="X13" i="1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F13" i="1"/>
  <c r="AI13" i="1"/>
  <c r="AG13" i="1"/>
  <c r="AE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AE7" i="1"/>
  <c r="AF7" i="1"/>
  <c r="AG7" i="1"/>
  <c r="AI7" i="1"/>
  <c r="H11" i="2"/>
  <c r="E11" i="2"/>
  <c r="D11" i="2"/>
  <c r="H2" i="1"/>
  <c r="H3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W2" i="7"/>
  <c r="U2" i="7"/>
  <c r="V3" i="1"/>
  <c r="V2" i="1"/>
  <c r="T3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<sst xmlns="http://schemas.openxmlformats.org/spreadsheetml/2006/main" count="920" uniqueCount="412">
  <si>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</si>
  <si>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</si>
  <si>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</si>
  <si>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</si>
  <si>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</si>
  <si>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</si>
  <si>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</si>
  <si>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</si>
  <si>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</si>
  <si>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</si>
  <si>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</si>
  <si>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</si>
  <si>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</si>
  <si>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</si>
  <si>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</si>
  <si>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</si>
  <si>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</si>
  <si>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</si>
  <si>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</si>
  <si>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</si>
  <si>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</si>
  <si>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</si>
  <si>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</si>
  <si>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</si>
  <si>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</si>
  <si>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</si>
  <si>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</si>
  <si>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</si>
  <si>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</si>
  <si>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</si>
  <si>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</si>
  <si>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</si>
  <si>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</si>
  <si>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</si>
  <si>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</si>
  <si>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</si>
  <si>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</si>
  <si>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</si>
  <si>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</si>
  <si>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</si>
  <si>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</si>
  <si>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</si>
  <si>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</si>
  <si>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</si>
  <si>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</si>
  <si>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</si>
  <si>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</si>
  <si>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</si>
  <si>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</si>
  <si>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</si>
  <si>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</si>
  <si>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</si>
  <si>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</si>
  <si>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</si>
  <si>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</si>
  <si>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</si>
  <si>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</si>
  <si>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</si>
  <si>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</si>
  <si>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</si>
  <si>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</si>
  <si>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</si>
  <si>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</si>
  <si>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</si>
  <si>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</si>
  <si>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</si>
  <si>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</si>
  <si>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</si>
  <si>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</si>
  <si>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</si>
  <si>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</si>
  <si>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</si>
  <si>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</si>
  <si>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</si>
  <si>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</si>
  <si>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</si>
  <si>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</si>
  <si>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</si>
  <si>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</si>
  <si>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</si>
  <si>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</si>
  <si>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</si>
  <si>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</si>
  <si>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</si>
  <si>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</si>
  <si>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</si>
  <si>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</si>
  <si>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</si>
  <si>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</si>
  <si>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</si>
  <si>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</si>
  <si>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</si>
  <si>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</si>
  <si>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</si>
  <si>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</si>
  <si>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</si>
  <si>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</si>
  <si>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</si>
  <si>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</si>
  <si>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</si>
  <si>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</si>
  <si>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</si>
  <si>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</si>
  <si>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</si>
  <si>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</si>
  <si>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</si>
  <si>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</si>
  <si>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</si>
  <si>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</si>
  <si>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</si>
  <si>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</si>
  <si>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</si>
  <si>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</si>
  <si>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</si>
  <si>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</si>
  <si>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</si>
  <si>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</si>
  <si>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</si>
  <si>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</si>
  <si>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</si>
  <si>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</si>
  <si>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</si>
  <si>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</si>
  <si>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</si>
  <si>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</si>
  <si>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</si>
  <si>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</si>
  <si>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</si>
  <si>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</si>
  <si>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</si>
  <si>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</si>
  <si>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</si>
  <si>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</si>
  <si>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</si>
  <si>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</si>
  <si>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</si>
  <si>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</si>
  <si>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</si>
  <si>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</si>
  <si>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</si>
  <si>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</si>
  <si>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</si>
  <si>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</si>
  <si>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</si>
  <si>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</si>
  <si>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</si>
  <si>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</si>
  <si>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</si>
  <si>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</si>
  <si>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</si>
  <si>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</si>
  <si>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</si>
  <si>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</si>
  <si>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</si>
  <si>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</si>
  <si>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</si>
  <si>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</si>
  <si>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</si>
  <si>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</si>
  <si>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</si>
  <si>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</si>
  <si>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</si>
  <si>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</si>
  <si>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</si>
  <si>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</si>
  <si>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</si>
  <si>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</si>
  <si>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</si>
  <si>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</si>
  <si>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</si>
  <si>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</si>
  <si>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</si>
  <si>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</si>
  <si>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</si>
  <si>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</si>
  <si>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</si>
  <si>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</si>
  <si>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</si>
  <si>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</si>
  <si>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</si>
  <si>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</si>
  <si>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</si>
  <si>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</si>
  <si>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</si>
  <si>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</si>
  <si>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</si>
  <si>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</si>
  <si>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</si>
  <si>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</si>
  <si>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</si>
  <si>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</si>
  <si>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</si>
  <si>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</si>
  <si>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</si>
  <si>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</si>
  <si>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</si>
  <si>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</si>
  <si>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</si>
  <si>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</si>
  <si>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</si>
  <si>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</si>
  <si>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</si>
  <si>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</si>
  <si>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</si>
  <si>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</si>
  <si>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</si>
  <si>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</si>
  <si>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</si>
  <si>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</si>
  <si>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</si>
  <si>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</si>
  <si>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</si>
  <si>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</si>
  <si>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</si>
  <si>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</si>
  <si>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</si>
  <si>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</si>
  <si>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</si>
  <si>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</si>
  <si>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</si>
  <si>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</si>
  <si>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</si>
  <si>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</si>
  <si>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</si>
  <si>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</si>
  <si>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</si>
  <si>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</si>
  <si>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</si>
  <si>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</si>
  <si>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</si>
  <si>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</si>
  <si>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</si>
  <si>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</si>
  <si>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</si>
  <si>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</si>
  <si>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</si>
  <si>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</si>
  <si>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</si>
  <si>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</si>
  <si>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</si>
  <si>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</si>
  <si>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</si>
  <si>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</si>
  <si>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</si>
  <si>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</si>
  <si>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</si>
  <si>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</si>
  <si>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</si>
  <si>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</si>
  <si>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</si>
  <si>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</si>
  <si>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</si>
  <si>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weight</t>
    <phoneticPr fontId="5"/>
  </si>
  <si>
    <t>full_member</t>
    <phoneticPr fontId="5"/>
  </si>
  <si>
    <t>old</t>
  </si>
  <si>
    <t>彼のこと、お願いするわね…</t>
    <phoneticPr fontId="5"/>
  </si>
  <si>
    <t>努力家ね…素晴らしいわ</t>
    <phoneticPr fontId="5"/>
  </si>
  <si>
    <t>堅実ね…素敵だわ</t>
    <phoneticPr fontId="5"/>
  </si>
  <si>
    <t>慎重ね…良いことだわ</t>
    <phoneticPr fontId="5"/>
  </si>
  <si>
    <t>天才的…！すごいわ！</t>
    <phoneticPr fontId="5"/>
  </si>
  <si>
    <t>あれ？おかしいなぁ</t>
    <phoneticPr fontId="5"/>
  </si>
  <si>
    <t>ぐぅっ……頭が痛い！</t>
    <phoneticPr fontId="5"/>
  </si>
  <si>
    <t>あぁ…どうしましょう…</t>
    <phoneticPr fontId="5"/>
  </si>
  <si>
    <t>[effect:drop_freeze, turn:-1, block_type:normal, block_color:block_red, frozen_count:1, rate:0.8, animation:drop_protect]</t>
    <phoneticPr fontId="5"/>
  </si>
  <si>
    <t xml:space="preserve">[effect:drop_freeze, turn:-1, block_type:normal, block_color:block_green, frozen_count:1, rate:0.8, animation:drop_protect]    </t>
    <phoneticPr fontId="5"/>
  </si>
  <si>
    <t xml:space="preserve">[effect:break_attack_fix, target:unit_all, val:150, lowest_val:1000, count:-1, color:blue, block01:block_red]    </t>
    <phoneticPr fontId="5"/>
  </si>
  <si>
    <t>修復エラー？なんだこれ</t>
    <phoneticPr fontId="5"/>
  </si>
  <si>
    <t xml:space="preserve">[effect:fix_speed, target:myself, turn:1],[effect:enemy_message, val1:1.2, val2:2]    </t>
    <phoneticPr fontId="5"/>
  </si>
  <si>
    <t xml:space="preserve">[effect:fix_speed, target:myself, turn:1],[effect:enemy_message, val1:1.2, val2:2]    </t>
    <phoneticPr fontId="5"/>
  </si>
  <si>
    <t>デリートってなんだっけ？</t>
    <phoneticPr fontId="5"/>
  </si>
  <si>
    <t>てか…修復ってなんだっけ？</t>
    <phoneticPr fontId="5"/>
  </si>
  <si>
    <t xml:space="preserve">[effect:tolerance, target:myself, turn:-1, tolerance_effect:all, count:-1, animation:enemy_tolerance],[effect:dark, target:unit_all, turn:2, animation:enemy_dark]    </t>
    <phoneticPr fontId="5"/>
  </si>
  <si>
    <t>[effect:break_attack_fix, target:unit_all, val:150, lowest_val:1000, count:-1, color:blue, block01:block_blue]</t>
    <phoneticPr fontId="5"/>
  </si>
  <si>
    <t xml:space="preserve">[effect:virus, target:unit_all, turn:3, rate:1, val:0.15, animation:enemy_virus]    </t>
    <phoneticPr fontId="5"/>
  </si>
  <si>
    <t>[effect:degrade_unit, target:unit_all, turn:5, status:attack, val:0.5, calc:mul],[effect:spread, val:0.28]</t>
    <phoneticPr fontId="5"/>
  </si>
  <si>
    <t>[effect:enhance_enemy, target:myself, turn:-1, status:defense, val:5000, calc:add, animation:enemy_enhance_defense]</t>
    <phoneticPr fontId="5"/>
  </si>
  <si>
    <t>[effect:degrade_unit, target:unit_all, turn:1, status:attack, val:0.5, calc:mul],[effect:spread, val:0.28]</t>
    <phoneticPr fontId="5"/>
  </si>
  <si>
    <t>[effect:damage_gravity, val:0.5, animation:fevergauge_down]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</si>
  <si>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</si>
  <si>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</si>
  <si>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</si>
  <si>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</si>
  <si>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[effect:hungup, target:unit_all, turn:3, rate:1, animation:hungup01]</t>
    <phoneticPr fontId="5"/>
  </si>
  <si>
    <t>マジックダガー</t>
    <phoneticPr fontId="5"/>
  </si>
  <si>
    <t>[effect:critical, val:1.7]</t>
    <phoneticPr fontId="5"/>
  </si>
  <si>
    <t>スティッキーバブル</t>
    <phoneticPr fontId="5"/>
  </si>
  <si>
    <t>最近ブラフマーの様子がおかしいの…</t>
    <phoneticPr fontId="5"/>
  </si>
  <si>
    <t>あなた、強いのね</t>
    <phoneticPr fontId="5"/>
  </si>
  <si>
    <t>サイレンスダガー</t>
    <phoneticPr fontId="5"/>
  </si>
  <si>
    <t>レッドトリック</t>
    <phoneticPr fontId="5"/>
  </si>
  <si>
    <t>[effect:spread, val:0.28],[effect:panel_freeze, target:block_all, count:4]</t>
    <phoneticPr fontId="5"/>
  </si>
  <si>
    <t>[effect:enemy_message, val1:1.5, val2:0, dead_type:escape]</t>
    <phoneticPr fontId="5"/>
  </si>
  <si>
    <t>（なし）</t>
    <phoneticPr fontId="5"/>
  </si>
  <si>
    <t>助けてくれ…僕を…サラを…</t>
    <phoneticPr fontId="5"/>
  </si>
  <si>
    <t>＜＜修復エラー！＞＞</t>
    <phoneticPr fontId="5"/>
  </si>
  <si>
    <t>そうか…僕は暴走していたんだね</t>
    <phoneticPr fontId="5"/>
  </si>
  <si>
    <t>ウィルス注意？まぁいっか</t>
    <phoneticPr fontId="5"/>
  </si>
  <si>
    <t>フォーカード</t>
    <phoneticPr fontId="5"/>
  </si>
  <si>
    <t>[effect:critical, val:2.5]</t>
    <phoneticPr fontId="5"/>
  </si>
  <si>
    <t>＜＜強制終了シマスカ？＞＞</t>
    <phoneticPr fontId="5"/>
  </si>
  <si>
    <t>ぐっ…バグが溢れる…！</t>
    <phoneticPr fontId="5"/>
  </si>
  <si>
    <t>君たちも修復する？</t>
    <phoneticPr fontId="5"/>
  </si>
  <si>
    <t>沈めてあげるわ…</t>
    <phoneticPr fontId="5"/>
  </si>
  <si>
    <t>これを…！</t>
    <phoneticPr fontId="5"/>
  </si>
  <si>
    <t>ダメだ…逃げて…くれ…！</t>
    <phoneticPr fontId="5"/>
  </si>
  <si>
    <t>[effect:panel_freeze, target:block_all, count:15],[effect:rush, count:1, val:1]</t>
    <phoneticPr fontId="5"/>
  </si>
  <si>
    <t>え…体が消えていく…！？</t>
    <phoneticPr fontId="5"/>
  </si>
  <si>
    <t>[effect:enemy_message, val1:2, val2:2],[effect:suicide, val:1]</t>
    <phoneticPr fontId="5"/>
  </si>
  <si>
    <t>サラを修復したはずなのに…</t>
    <phoneticPr fontId="5"/>
  </si>
  <si>
    <t>ブラフマー…どうして…！</t>
    <phoneticPr fontId="5"/>
  </si>
  <si>
    <t>僕は…僕は何を…？</t>
    <phoneticPr fontId="5"/>
  </si>
  <si>
    <t>ダーク・バミューダ</t>
    <phoneticPr fontId="5"/>
  </si>
  <si>
    <t>プリズンリーフ</t>
    <phoneticPr fontId="5"/>
  </si>
  <si>
    <t>[effect:panel_freeze, target:normal, color:block_blue, count:6],[effect:rush, count:1, val:1]</t>
    <phoneticPr fontId="5"/>
  </si>
  <si>
    <t>サラって…誰だっけ…</t>
    <phoneticPr fontId="5"/>
  </si>
  <si>
    <t>[effect:critical, val:1.55]</t>
    <phoneticPr fontId="5"/>
  </si>
  <si>
    <t>赤パネルを吸収し、攻撃</t>
    <phoneticPr fontId="5"/>
  </si>
  <si>
    <t>全体に3ターンスキルバインド</t>
    <phoneticPr fontId="5"/>
  </si>
  <si>
    <t>null</t>
  </si>
  <si>
    <t>「自己修復アプリ起動」</t>
    <phoneticPr fontId="5"/>
  </si>
  <si>
    <t>null</t>
    <phoneticPr fontId="5"/>
  </si>
  <si>
    <t>null</t>
    <phoneticPr fontId="5"/>
  </si>
  <si>
    <t>[effect:critical, val:1.55]</t>
    <phoneticPr fontId="5"/>
  </si>
  <si>
    <t>[effect:critical, val:1.55]</t>
    <phoneticPr fontId="5"/>
  </si>
  <si>
    <t>null</t>
    <phoneticPr fontId="5"/>
  </si>
  <si>
    <t>[effect:drop_freeze, turn:-1, block_type:normal, block_color:block_red, frozen_count:1, rate:0.2, animation:drop_protect]</t>
    <phoneticPr fontId="5"/>
  </si>
  <si>
    <t xml:space="preserve">[effect:drop_freeze, turn:-1, block_type:normal, block_color:block_green, frozen_count:1, rate:0.2, animation:drop_protect]    </t>
    <phoneticPr fontId="5"/>
  </si>
  <si>
    <t xml:space="preserve">[effect:break_attack_fix, target:unit_all, val:130, lowest_val:1000, count:-1, color:blue, block01:block_red]    </t>
    <phoneticPr fontId="5"/>
  </si>
  <si>
    <t>[effect:panel_freeze, target:block_all, count:6],[effect:rush, count:1, val:1]</t>
    <phoneticPr fontId="5"/>
  </si>
  <si>
    <t>[effect:panel_freeze, target:block_all, count:6],[effect:rush, count:1, val:1]</t>
    <phoneticPr fontId="5"/>
  </si>
  <si>
    <t>ありがとう　サラのところに行くよ…！</t>
    <phoneticPr fontId="5"/>
  </si>
  <si>
    <t>3ターンウィルス</t>
    <phoneticPr fontId="5"/>
  </si>
  <si>
    <t>【1ターンで出来る限りダメージを与えよう！】</t>
    <phoneticPr fontId="5"/>
  </si>
  <si>
    <t xml:space="preserve">[effect:enemy_message, val1:1.2, val2:2.5, dead_type:escape]    </t>
    <phoneticPr fontId="5"/>
  </si>
  <si>
    <t>女神の試練・序</t>
    <phoneticPr fontId="5"/>
  </si>
  <si>
    <t>女神の試練・極</t>
    <phoneticPr fontId="5"/>
  </si>
  <si>
    <t>僕が…サラを消した…？</t>
    <phoneticPr fontId="5"/>
  </si>
  <si>
    <t xml:space="preserve">[effect:fix_speed, target:myself, turn:1],[effect:enemy_message, val1:1.2, val2:3.1]    </t>
    <phoneticPr fontId="5"/>
  </si>
  <si>
    <t>[effect:damage_anti_tribe, target:unit_all, tribe:human, val1:0.35, val2:0.25]</t>
    <phoneticPr fontId="5"/>
  </si>
  <si>
    <t>種族ヒューマンに大ダメージの全体攻撃</t>
    <phoneticPr fontId="5"/>
  </si>
  <si>
    <t>[effect:break_attack_fix, target:unit_all, val:100, lowest_val:1000, count:-1, color:blue, block01:block_red]</t>
    <phoneticPr fontId="5"/>
  </si>
  <si>
    <t>null</t>
    <phoneticPr fontId="5"/>
  </si>
  <si>
    <t>[effect:break_attack_fix, target:unit_all, val:180, lowest_val:1100, count:-1, color:blue, block01:block_red]</t>
    <phoneticPr fontId="5"/>
  </si>
  <si>
    <t xml:space="preserve">青パネルを吸収し、攻撃 </t>
    <phoneticPr fontId="5"/>
  </si>
  <si>
    <t>赤パネルを吸収し、攻撃</t>
    <phoneticPr fontId="5"/>
  </si>
  <si>
    <t>自身の防御力UP</t>
    <phoneticPr fontId="5"/>
  </si>
  <si>
    <t>ボムパネルを3個生成</t>
    <phoneticPr fontId="5"/>
  </si>
  <si>
    <t>ボムパネルを1個生成</t>
    <phoneticPr fontId="5"/>
  </si>
  <si>
    <t>5ターン攻撃力を50％DOWN</t>
    <phoneticPr fontId="5"/>
  </si>
  <si>
    <t>残りHPの50％ダメージ！</t>
    <phoneticPr fontId="5"/>
  </si>
  <si>
    <t>緑パネルを吸収し、攻撃</t>
    <phoneticPr fontId="5"/>
  </si>
  <si>
    <t>青パネルを吸収し、攻撃</t>
    <phoneticPr fontId="5"/>
  </si>
  <si>
    <t>クリティカル！</t>
  </si>
  <si>
    <t>null</t>
    <phoneticPr fontId="5"/>
  </si>
  <si>
    <t>link</t>
  </si>
  <si>
    <t>unit</t>
  </si>
  <si>
    <t>デリート、っと</t>
    <phoneticPr fontId="5"/>
  </si>
  <si>
    <t>デフラグするね</t>
    <phoneticPr fontId="5"/>
  </si>
  <si>
    <t>おとなしくしててね</t>
    <phoneticPr fontId="5"/>
  </si>
  <si>
    <t>インドラ、修復が必要かい？</t>
    <phoneticPr fontId="5"/>
  </si>
  <si>
    <t>インドラ、修復が必要かい？</t>
    <phoneticPr fontId="5"/>
  </si>
  <si>
    <t>あなたは…シヴァ…？</t>
    <phoneticPr fontId="5"/>
  </si>
  <si>
    <t>シルベールとリリアンブルーの
パネルプロテクトドロップは永続効果です
有効なアビリティを使用しましょう</t>
    <phoneticPr fontId="5"/>
  </si>
  <si>
    <t>フロア3のサラスヴァティは
1ターン目に与えたダメージが多いほど
味方に有利な効果を付与します</t>
    <phoneticPr fontId="5"/>
  </si>
  <si>
    <t>フロア3のブラフマーは
パネルプロテクトとクリティカル攻撃を
交互に繰り返します</t>
    <phoneticPr fontId="5"/>
  </si>
  <si>
    <t>クラーケンは青パネルプロテクトと
青パネル吸収攻撃をランダムに行います</t>
    <phoneticPr fontId="5"/>
  </si>
  <si>
    <t>フロア5のブラフマーは
赤パネルと緑パネル吸収して攻撃します</t>
    <phoneticPr fontId="5"/>
  </si>
  <si>
    <t>フロア5のブラフマーは
攻撃力DOWNスキルを使います
攻撃力UPスキルで対抗できるように
準備しておきましょう</t>
    <phoneticPr fontId="5"/>
  </si>
  <si>
    <t>フロア5のブラフマーの2ゲージ目は
毎ターン20％以上ダメージを与えると
クリティカル攻撃を回避できます</t>
    <phoneticPr fontId="5"/>
  </si>
  <si>
    <t>フロア1のサラスヴァティは
種族ヒューマンにキラー攻撃をします</t>
    <phoneticPr fontId="5"/>
  </si>
  <si>
    <t>解除されるまで自身の攻撃力UP
+黄属性以外に大ダメージの全体攻撃</t>
  </si>
  <si>
    <t>状態異常耐性+2ターン暗闇</t>
  </si>
  <si>
    <t xml:space="preserve">[effect:enemy_message, val1:1.2, val2:2],[effect:regenerate, turn:5, val:0.08, type:hp_ratio, animation:heal01],[effect:sleep, target:unit_all, turn:1, rate:1, calc_type:target_all]    </t>
    <phoneticPr fontId="5"/>
  </si>
  <si>
    <t xml:space="preserve">[effect:enemy_message, val1:1.2, val2:2],[effect:regenerate, turn:5, val:0.06, type:hp_ratio, animation:heal01],[effect:sleep, target:unit_all, turn:1, rate:1, calc_type:target_all]    </t>
    <phoneticPr fontId="5"/>
  </si>
  <si>
    <t xml:space="preserve">[effect:enemy_message, val1:1.2, val2:2.2],[effect:tolerance, target:myself, turn:-1, tolerance_effect:all, count:-1, animation:enemy_tolerance],[effect:drop_freeze, turn:-1, block_type:normal, frozen_count:1, rate:0.8, animation:drop_protect]    </t>
    <phoneticPr fontId="5"/>
  </si>
  <si>
    <t>[effect:break_attack_fix, target:unit_all, val:130, lowest_val:1000, count:-1, color:blue, block01:block_blue]</t>
    <phoneticPr fontId="5"/>
  </si>
  <si>
    <t xml:space="preserve">[effect:enemy_message, val1:1.2, val2:2.2],[effect:tolerance, target:myself, turn:-1, tolerance_effect:all, count:-1, animation:enemy_tolerance],[effect:drop_freeze, turn:-1, block_type:normal, frozen_count:1, rate:0.2, animation:drop_protect]    </t>
    <phoneticPr fontId="5"/>
  </si>
  <si>
    <t>[effect:enemy_message, val1:1.2, val2:2.2],[effect:tolerance, target:myself, turn:-1, tolerance_effect:all, count:-1, animation:enemy_tolerance],[effect:drop_freeze, turn:-1, block_type:normal, frozen_count:1, rate:0.4, animation:drop_protect]</t>
    <phoneticPr fontId="5"/>
  </si>
  <si>
    <t xml:space="preserve">[effect:enemy_message, val1:1.2, val2:2.2],[effect:tolerance, target:myself, turn:-1, tolerance_effect:all, count:-1, animation:enemy_tolerance],[effect:drop_freeze, turn:-1, block_type:normal, frozen_count:1, rate:0.8, animation:drop_protect]    </t>
    <phoneticPr fontId="5"/>
  </si>
  <si>
    <t xml:space="preserve">[effect:enemy_message, val1:1.2, val2:2.2],[effect:tolerance, target:myself, turn:-1, tolerance_effect:all, count:-1, animation:enemy_tolerance],[effect:drop_freeze, turn:-1, block_type:normal, frozen_count:1, rate:0.2, animation:drop_protect]    </t>
    <phoneticPr fontId="5"/>
  </si>
  <si>
    <t>5ターン回復効果を付与+1ターン行動不能</t>
    <phoneticPr fontId="5"/>
  </si>
  <si>
    <t>5ターン回復効果を付与+1ターン行動不能</t>
    <phoneticPr fontId="5"/>
  </si>
  <si>
    <t>5ターン回復効果を付与+ボムパネル生成
+1ターン行動不能</t>
    <phoneticPr fontId="5"/>
  </si>
  <si>
    <t>5ターン回復効果を付与+ボムパネル生成
+1ターン行動不能</t>
    <phoneticPr fontId="5"/>
  </si>
  <si>
    <t>ブラフマーは強力なデータ修復能力を持ち
ヴェーダ・アーカイブでサラスヴァティや
インドラ　シヴァとともに働いています</t>
    <phoneticPr fontId="5"/>
  </si>
  <si>
    <t>ブラフマー</t>
    <phoneticPr fontId="5"/>
  </si>
  <si>
    <t>データ修復能力を疎ましく思ったカーリーに
よって　ブラフマーは能力を封じられ
思考能力も低下するよう改造されていました</t>
    <phoneticPr fontId="5"/>
  </si>
  <si>
    <t>カーリーによる改造</t>
    <phoneticPr fontId="5"/>
  </si>
  <si>
    <t>アナタの力によって正気に戻った
ブラフマーは　サラスヴァティの
データを復元・修復しに行きました</t>
    <phoneticPr fontId="5"/>
  </si>
  <si>
    <t>サラスヴァティの修復</t>
    <phoneticPr fontId="5"/>
  </si>
  <si>
    <t>[effect:break_attack_fix, target:unit_all, val:180, lowest_val:1100, count:-1, color:blue, block01:block_green]</t>
    <phoneticPr fontId="5"/>
  </si>
  <si>
    <t>[effect:break_attack_fix, target:unit_all, val:100, lowest_val:1000, count:-1, color:blue, block01:block_green]</t>
    <phoneticPr fontId="5"/>
  </si>
  <si>
    <t xml:space="preserve">[effect:enemy_message, val1:1.3, val2:2.2],[effect:tolerance, target:myself, turn:-1, tolerance_effect:all, count:-1, animation:enemy_tolerance],[effect:drop_freeze, turn:-1, block_type:normal, frozen_count:1, rate:0.9, animation:drop_protect]    </t>
    <phoneticPr fontId="5"/>
  </si>
  <si>
    <t>ハッ…僕は…ぐ…グァァ！</t>
    <phoneticPr fontId="5"/>
  </si>
  <si>
    <t>1ターン攻撃力を50%DOWN+全体攻撃</t>
    <phoneticPr fontId="5"/>
  </si>
  <si>
    <t>逆転してみせるさ</t>
    <phoneticPr fontId="5"/>
  </si>
  <si>
    <t>[effect:enemy_message, val1:2, val2:2.2]</t>
    <phoneticPr fontId="5"/>
  </si>
  <si>
    <t>[effect:enemy_message, val1:1.2],[effect:damage_anti_color, target:unit_all, color:yellow, val1:0.25, val2:0.6],[effect:enhance_enemy, target:myself, turn:-1, status:attack, val:0.4, calc:mul, animation:enemy_enhance_attack]</t>
    <phoneticPr fontId="5"/>
  </si>
  <si>
    <t>緑パネルは確率でプロテクトされてドロップ</t>
    <phoneticPr fontId="5"/>
  </si>
  <si>
    <t>赤パネルは確率でプロテクトされてドロップ</t>
    <phoneticPr fontId="5"/>
  </si>
  <si>
    <t>パネルをプロテクト(最大15個)</t>
    <phoneticPr fontId="5"/>
  </si>
  <si>
    <t>パネルをプロテクト(最大15個)</t>
    <phoneticPr fontId="5"/>
  </si>
  <si>
    <t>パネルをプロテクト(最大4個)+全体攻撃</t>
    <phoneticPr fontId="5"/>
  </si>
  <si>
    <t>青パネルをプロテクト(最大6個)</t>
    <phoneticPr fontId="5"/>
  </si>
  <si>
    <t>パネルをプロテクト(最大6個)</t>
    <phoneticPr fontId="5"/>
  </si>
  <si>
    <t>赤パネルは確率でプロテクトされてドロップ</t>
    <phoneticPr fontId="5"/>
  </si>
  <si>
    <t>緑パネルは確率でプロテクトされてドロップ</t>
    <phoneticPr fontId="5"/>
  </si>
  <si>
    <t>状態異常耐性
+属性パネルは確率でプロテクトされてドロップ</t>
    <phoneticPr fontId="5"/>
  </si>
  <si>
    <t xml:space="preserve">[effect:enemy_message, val1:1.2, val2:2.2],[effect:regenerate, turn:5, val:0.1, type:hp_ratio, animation:heal01],[effect:force_change_block, new_block:crack_bomb, target:block_all, ignore01:block_positive, ignore02:block_heart, color:block_yellow, count:1, val:12, animation:change_block],[effect:sleep, target:unit_all, turn:1, rate:1, calc_type:target_all]    </t>
  </si>
  <si>
    <t>[effect:enemy_message, val1:1.2, val2:2.2],[effect:regenerate, turn:5, val:0.12, type:hp_ratio, animation:heal01],[effect:force_change_block, new_block:crack_bomb, target:block_all, ignore01:block_positive, ignore02:block_heart, color:block_yellow, count:2, val:15, animation:change_block],[effect:sleep, target:unit_all, turn:1, rate:1, calc_type:target_all]</t>
  </si>
  <si>
    <t>[effect:force_change_block, new_block:crack_bomb, target:block_all, ignore01:block_positive, ignore02:block_heart, color:block_yellow, count:3, val:15, animation:change_block]</t>
  </si>
  <si>
    <t>[effect:force_change_block, new_block:crack_bomb, target:block_all, ignore01:block_positive, ignore02:block_heart, color:block_yellow, count:1, val:22, animation:change_block]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</si>
</sst>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176" fontId="4" fillId="0" borderId="25" xfId="0" applyNumberFormat="1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176" fontId="4" fillId="0" borderId="29" xfId="0" applyNumberFormat="1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6" fillId="5" borderId="35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0" fillId="0" borderId="36" xfId="0" applyBorder="1"/>
    <xf numFmtId="0" fontId="0" fillId="0" borderId="37" xfId="0" applyBorder="1"/>
    <xf numFmtId="0" fontId="0" fillId="3" borderId="38" xfId="0" applyFill="1" applyBorder="1"/>
    <xf numFmtId="0" fontId="6" fillId="5" borderId="38" xfId="0" applyFont="1" applyFill="1" applyBorder="1" applyAlignment="1">
      <alignment vertical="center"/>
    </xf>
    <xf numFmtId="0" fontId="0" fillId="0" borderId="38" xfId="0" applyBorder="1"/>
    <xf numFmtId="0" fontId="0" fillId="0" borderId="39" xfId="0" applyBorder="1"/>
    <xf numFmtId="0" fontId="0" fillId="0" borderId="10" xfId="0" applyBorder="1"/>
    <xf numFmtId="0" fontId="0" fillId="0" borderId="8" xfId="0" applyBorder="1"/>
    <xf numFmtId="0" fontId="0" fillId="0" borderId="40" xfId="0" applyBorder="1"/>
    <xf numFmtId="0" fontId="0" fillId="3" borderId="41" xfId="0" applyFill="1" applyBorder="1"/>
    <xf numFmtId="0" fontId="6" fillId="5" borderId="41" xfId="0" applyFont="1" applyFill="1" applyBorder="1" applyAlignment="1">
      <alignment vertical="center"/>
    </xf>
    <xf numFmtId="0" fontId="0" fillId="0" borderId="41" xfId="0" applyBorder="1"/>
    <xf numFmtId="0" fontId="0" fillId="0" borderId="42" xfId="0" applyBorder="1"/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0" fillId="0" borderId="12" xfId="0" applyBorder="1"/>
    <xf numFmtId="0" fontId="27" fillId="0" borderId="24" xfId="0" applyFont="1" applyFill="1" applyBorder="1"/>
    <xf numFmtId="0" fontId="28" fillId="0" borderId="24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30" fillId="14" borderId="24" xfId="0" applyFont="1" applyFill="1" applyBorder="1"/>
    <xf numFmtId="0" fontId="31" fillId="0" borderId="24" xfId="0" applyFont="1" applyFill="1" applyBorder="1"/>
    <xf numFmtId="38" fontId="16" fillId="0" borderId="24" xfId="628" applyFont="1" applyFill="1" applyBorder="1" applyAlignment="1">
      <alignment wrapText="1"/>
    </xf>
    <xf numFmtId="0" fontId="0" fillId="0" borderId="24" xfId="0" applyBorder="1"/>
    <xf numFmtId="0" fontId="29" fillId="3" borderId="43" xfId="0" applyFont="1" applyFill="1" applyBorder="1" applyAlignment="1">
      <alignment vertical="center"/>
    </xf>
    <xf numFmtId="0" fontId="29" fillId="0" borderId="43" xfId="0" applyFont="1" applyFill="1" applyBorder="1" applyAlignment="1">
      <alignment vertical="center"/>
    </xf>
    <xf numFmtId="0" fontId="27" fillId="0" borderId="2" xfId="0" applyFont="1" applyFill="1" applyBorder="1"/>
    <xf numFmtId="0" fontId="28" fillId="0" borderId="2" xfId="0" applyFont="1" applyFill="1" applyBorder="1"/>
    <xf numFmtId="0" fontId="30" fillId="0" borderId="2" xfId="0" applyFont="1" applyFill="1" applyBorder="1"/>
    <xf numFmtId="0" fontId="30" fillId="30" borderId="2" xfId="0" applyFont="1" applyFill="1" applyBorder="1"/>
    <xf numFmtId="0" fontId="30" fillId="14" borderId="2" xfId="0" applyFont="1" applyFill="1" applyBorder="1"/>
    <xf numFmtId="0" fontId="31" fillId="0" borderId="2" xfId="0" applyFont="1" applyFill="1" applyBorder="1"/>
    <xf numFmtId="38" fontId="16" fillId="0" borderId="2" xfId="628" applyFont="1" applyFill="1" applyBorder="1" applyAlignment="1">
      <alignment wrapText="1"/>
    </xf>
    <xf numFmtId="0" fontId="0" fillId="0" borderId="2" xfId="0" applyBorder="1"/>
    <xf numFmtId="0" fontId="0" fillId="0" borderId="0" xfId="0" applyBorder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0" borderId="44" xfId="0" applyFont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9" sqref="C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254</v>
      </c>
      <c r="B2" s="57" t="s">
        <v>105</v>
      </c>
      <c r="C2" s="63">
        <v>40035</v>
      </c>
      <c r="D2" s="57" t="s">
        <v>106</v>
      </c>
      <c r="E2" s="56" t="str">
        <f>B2&amp;C2&amp;D2</f>
        <v>floors_40035.tmp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254</v>
      </c>
      <c r="B3" s="57" t="s">
        <v>108</v>
      </c>
      <c r="C3" s="63">
        <f>C$2</f>
        <v>40035</v>
      </c>
      <c r="D3" s="57" t="s">
        <v>106</v>
      </c>
      <c r="E3" s="56" t="str">
        <f>B3&amp;C3&amp;D3</f>
        <v>enemy_habitats_40035.tmp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254</v>
      </c>
      <c r="B4" s="57" t="s">
        <v>110</v>
      </c>
      <c r="C4" s="63">
        <f t="shared" ref="C4:C13" si="0">C$2</f>
        <v>40035</v>
      </c>
      <c r="D4" s="57" t="s">
        <v>106</v>
      </c>
      <c r="E4" s="56" t="str">
        <f>B4&amp;C4&amp;D4</f>
        <v>enemy_habitat_S_40035.tmp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254</v>
      </c>
      <c r="B5" s="57" t="s">
        <v>112</v>
      </c>
      <c r="C5" s="63">
        <f t="shared" si="0"/>
        <v>40035</v>
      </c>
      <c r="D5" s="57" t="s">
        <v>106</v>
      </c>
      <c r="E5" s="56" t="str">
        <f>B5&amp;C5&amp;D5</f>
        <v>enemy_skill_sets_40035.tmp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254</v>
      </c>
      <c r="B6" s="57" t="s">
        <v>114</v>
      </c>
      <c r="C6" s="63">
        <f t="shared" si="0"/>
        <v>40035</v>
      </c>
      <c r="D6" s="57" t="s">
        <v>115</v>
      </c>
      <c r="E6" s="56" t="str">
        <f t="shared" ref="E6:E10" si="1">B6&amp;C6&amp;D6</f>
        <v>enemy_skills_tmp_40035.tmp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254</v>
      </c>
      <c r="B7" s="57" t="s">
        <v>116</v>
      </c>
      <c r="C7" s="63">
        <f t="shared" si="0"/>
        <v>40035</v>
      </c>
      <c r="D7" s="57" t="s">
        <v>106</v>
      </c>
      <c r="E7" s="56" t="str">
        <f>B7&amp;C7&amp;D7</f>
        <v>enemy_skills_i18n_40035.tmp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254</v>
      </c>
      <c r="B8" s="57" t="s">
        <v>118</v>
      </c>
      <c r="C8" s="63">
        <f t="shared" si="0"/>
        <v>40035</v>
      </c>
      <c r="D8" s="57" t="s">
        <v>119</v>
      </c>
      <c r="E8" s="56" t="str">
        <f t="shared" si="1"/>
        <v>enemy_skill_triggers_40035.tmp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254</v>
      </c>
      <c r="B9" s="68" t="s">
        <v>176</v>
      </c>
      <c r="C9" s="63">
        <f t="shared" si="0"/>
        <v>40035</v>
      </c>
      <c r="D9" s="68" t="s">
        <v>170</v>
      </c>
      <c r="E9" s="69" t="str">
        <f t="shared" si="1"/>
        <v>stage_bug_bonuses_40035.tmp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254</v>
      </c>
      <c r="B10" s="68" t="s">
        <v>200</v>
      </c>
      <c r="C10" s="63">
        <f>C$2</f>
        <v>40035</v>
      </c>
      <c r="D10" s="68" t="s">
        <v>179</v>
      </c>
      <c r="E10" s="69" t="str">
        <f t="shared" si="1"/>
        <v>stage_hints_data_c_40035.tmp</v>
      </c>
      <c r="F10" s="68" t="s">
        <v>208</v>
      </c>
      <c r="G10" s="74" t="s">
        <v>180</v>
      </c>
      <c r="H10" s="74" t="s">
        <v>172</v>
      </c>
      <c r="I10" s="75" t="s">
        <v>181</v>
      </c>
      <c r="J10" s="67" t="s">
        <v>182</v>
      </c>
      <c r="K10" s="67" t="s">
        <v>183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254</v>
      </c>
      <c r="B11" s="68" t="s">
        <v>201</v>
      </c>
      <c r="C11" s="63">
        <f t="shared" si="0"/>
        <v>40035</v>
      </c>
      <c r="D11" s="68" t="s">
        <v>170</v>
      </c>
      <c r="E11" s="69" t="str">
        <f t="shared" ref="E11:E13" si="2">B11&amp;C11&amp;D11</f>
        <v>stage_hints_data_f_40035.tmp</v>
      </c>
      <c r="F11" s="68" t="s">
        <v>209</v>
      </c>
      <c r="G11" s="74" t="s">
        <v>180</v>
      </c>
      <c r="H11" s="74" t="s">
        <v>172</v>
      </c>
      <c r="I11" s="75" t="s">
        <v>181</v>
      </c>
      <c r="J11" s="67" t="s">
        <v>182</v>
      </c>
      <c r="K11" s="67" t="s">
        <v>183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254</v>
      </c>
      <c r="B12" s="68" t="s">
        <v>202</v>
      </c>
      <c r="C12" s="63">
        <f t="shared" si="0"/>
        <v>40035</v>
      </c>
      <c r="D12" s="68" t="s">
        <v>170</v>
      </c>
      <c r="E12" s="69" t="str">
        <f t="shared" si="2"/>
        <v>stage_hints_i18n_40035.tmp</v>
      </c>
      <c r="F12" s="68" t="s">
        <v>210</v>
      </c>
      <c r="G12" s="75" t="s">
        <v>203</v>
      </c>
      <c r="H12" s="94" t="s">
        <v>204</v>
      </c>
      <c r="I12" s="74" t="s">
        <v>205</v>
      </c>
      <c r="J12" s="102" t="s">
        <v>206</v>
      </c>
      <c r="K12" s="67" t="s">
        <v>207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254</v>
      </c>
      <c r="B13" s="68" t="s">
        <v>249</v>
      </c>
      <c r="C13" s="63">
        <f t="shared" si="0"/>
        <v>40035</v>
      </c>
      <c r="D13" s="68" t="s">
        <v>230</v>
      </c>
      <c r="E13" s="69" t="str">
        <f t="shared" si="2"/>
        <v>stage_bonuses_40035.tmp</v>
      </c>
      <c r="F13" s="68" t="s">
        <v>229</v>
      </c>
      <c r="G13" s="74" t="s">
        <v>231</v>
      </c>
      <c r="H13" s="74" t="s">
        <v>232</v>
      </c>
      <c r="I13" s="74" t="s">
        <v>233</v>
      </c>
      <c r="J13" s="74" t="s">
        <v>234</v>
      </c>
      <c r="K13" s="74" t="s">
        <v>235</v>
      </c>
      <c r="L13" s="74" t="s">
        <v>236</v>
      </c>
      <c r="M13" s="74" t="s">
        <v>237</v>
      </c>
      <c r="N13" s="74" t="s">
        <v>238</v>
      </c>
      <c r="O13" s="74" t="s">
        <v>239</v>
      </c>
      <c r="P13" s="74" t="s">
        <v>240</v>
      </c>
      <c r="Q13" s="74" t="s">
        <v>241</v>
      </c>
      <c r="R13" s="74" t="s">
        <v>242</v>
      </c>
      <c r="S13" s="74" t="s">
        <v>243</v>
      </c>
      <c r="T13" s="74" t="s">
        <v>244</v>
      </c>
      <c r="U13" s="74" t="s">
        <v>245</v>
      </c>
      <c r="V13" s="74" t="s">
        <v>246</v>
      </c>
      <c r="W13" s="74" t="s">
        <v>247</v>
      </c>
      <c r="X13" s="74" t="s">
        <v>248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H21" sqref="H2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40035_1-1</v>
      </c>
      <c r="B2" s="16" t="str">
        <f>IF(COUNTIF(enemy_habitats!$H:$H,A2),"OK","NG")</f>
        <v>OK</v>
      </c>
      <c r="C2" s="7">
        <v>40035</v>
      </c>
      <c r="D2" s="11" t="str">
        <f ca="1">VLOOKUP($C2,OFFSET([2]quests!$A$1,0,0,COUNTA([2]quests!$A:$A),MATCH(D$1,[2]quests!$1:$1,0)-MATCH($C$1,[2]quests!$1:$1,0)+1),MATCH(D$1,[2]quests!$1:$1,0)-MATCH($C$1,[2]quests!$1:$1,0)+1,FALSE)</f>
        <v>ブラフマー襲来！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降臨35</v>
      </c>
      <c r="F2" s="21">
        <v>1</v>
      </c>
      <c r="G2" s="23" t="str">
        <f>C2&amp;"_"&amp;F2</f>
        <v>40035_1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【超絶級】ブラフマー襲来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6" si="0">G3&amp;"-"&amp;I3</f>
        <v>40035_1-2</v>
      </c>
      <c r="B3" s="16" t="str">
        <f>IF(COUNTIF(enemy_habitats!$H:$H,A3),"OK","NG")</f>
        <v>OK</v>
      </c>
      <c r="C3" s="7">
        <v>40035</v>
      </c>
      <c r="D3" s="11" t="str">
        <f ca="1">VLOOKUP($C3,OFFSET([2]quests!$A$1,0,0,COUNTA([2]quests!$A:$A),MATCH(D$1,[2]quests!$1:$1,0)-MATCH($C$1,[2]quests!$1:$1,0)+1),MATCH(D$1,[2]quests!$1:$1,0)-MATCH($C$1,[2]quests!$1:$1,0)+1,FALSE)</f>
        <v>ブラフマー襲来！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降臨35</v>
      </c>
      <c r="F3" s="21">
        <v>1</v>
      </c>
      <c r="G3" s="23" t="str">
        <f t="shared" ref="G3:G6" si="1">C3&amp;"_"&amp;F3</f>
        <v>40035_1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【超絶級】ブラフマー襲来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40035_1-3</v>
      </c>
      <c r="B4" s="16" t="str">
        <f>IF(COUNTIF(enemy_habitats!$H:$H,A4),"OK","NG")</f>
        <v>OK</v>
      </c>
      <c r="C4" s="7">
        <v>40035</v>
      </c>
      <c r="D4" s="11" t="str">
        <f ca="1">VLOOKUP($C4,OFFSET([2]quests!$A$1,0,0,COUNTA([2]quests!$A:$A),MATCH(D$1,[2]quests!$1:$1,0)-MATCH($C$1,[2]quests!$1:$1,0)+1),MATCH(D$1,[2]quests!$1:$1,0)-MATCH($C$1,[2]quests!$1:$1,0)+1,FALSE)</f>
        <v>ブラフマー襲来！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降臨35</v>
      </c>
      <c r="F4" s="21">
        <v>1</v>
      </c>
      <c r="G4" s="23" t="str">
        <f t="shared" si="1"/>
        <v>40035_1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【超絶級】ブラフマー襲来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40035_1-4</v>
      </c>
      <c r="B5" s="16" t="str">
        <f>IF(COUNTIF(enemy_habitats!$H:$H,A5),"OK","NG")</f>
        <v>OK</v>
      </c>
      <c r="C5" s="106">
        <v>40035</v>
      </c>
      <c r="D5" s="107" t="str">
        <f ca="1">VLOOKUP($C5,OFFSET([2]quests!$A$1,0,0,COUNTA([2]quests!$A:$A),MATCH(D$1,[2]quests!$1:$1,0)-MATCH($C$1,[2]quests!$1:$1,0)+1),MATCH(D$1,[2]quests!$1:$1,0)-MATCH($C$1,[2]quests!$1:$1,0)+1,FALSE)</f>
        <v>ブラフマー襲来！</v>
      </c>
      <c r="E5" s="107" t="str">
        <f ca="1">VLOOKUP($C5,OFFSET([2]quests!$A$1,0,0,COUNTA([2]quests!$A:$A),MATCH(E$1,[2]quests!$1:$1,0)-MATCH($C$1,[2]quests!$1:$1,0)+1),MATCH(E$1,[2]quests!$1:$1,0)-MATCH($C$1,[2]quests!$1:$1,0)+1,FALSE)</f>
        <v>降臨35</v>
      </c>
      <c r="F5" s="108">
        <v>1</v>
      </c>
      <c r="G5" s="109" t="str">
        <f t="shared" si="1"/>
        <v>40035_1</v>
      </c>
      <c r="H5" s="110" t="str">
        <f ca="1">VLOOKUP($G5,OFFSET([2]stages!$A$1,0,0,COUNTA([2]stages!$A:$A),MATCH(H$1,[2]stages!$2:$2,0)-MATCH($G$1,[2]stages!$2:$2,0)+1),MATCH(H$1,[2]stages!$2:$2,0)-MATCH($G$1,[2]stages!$2:$2,0)+1,FALSE)</f>
        <v>【超絶級】ブラフマー襲来</v>
      </c>
      <c r="I5" s="108">
        <v>4</v>
      </c>
      <c r="J5" s="111">
        <v>60</v>
      </c>
      <c r="K5" s="111">
        <v>60</v>
      </c>
    </row>
    <row r="6" spans="1:11" ht="21" customHeight="1" thickBot="1" x14ac:dyDescent="0.2">
      <c r="A6" s="118" t="str">
        <f t="shared" si="0"/>
        <v>40035_1-5</v>
      </c>
      <c r="B6" s="118" t="str">
        <f>IF(COUNTIF(enemy_habitats!$H:$H,A6),"OK","NG")</f>
        <v>OK</v>
      </c>
      <c r="C6" s="119">
        <v>40035</v>
      </c>
      <c r="D6" s="120" t="str">
        <f ca="1">VLOOKUP($C6,OFFSET([2]quests!$A$1,0,0,COUNTA([2]quests!$A:$A),MATCH(D$1,[2]quests!$1:$1,0)-MATCH($C$1,[2]quests!$1:$1,0)+1),MATCH(D$1,[2]quests!$1:$1,0)-MATCH($C$1,[2]quests!$1:$1,0)+1,FALSE)</f>
        <v>ブラフマー襲来！</v>
      </c>
      <c r="E6" s="120" t="str">
        <f ca="1">VLOOKUP($C6,OFFSET([2]quests!$A$1,0,0,COUNTA([2]quests!$A:$A),MATCH(E$1,[2]quests!$1:$1,0)-MATCH($C$1,[2]quests!$1:$1,0)+1),MATCH(E$1,[2]quests!$1:$1,0)-MATCH($C$1,[2]quests!$1:$1,0)+1,FALSE)</f>
        <v>降臨35</v>
      </c>
      <c r="F6" s="121">
        <v>1</v>
      </c>
      <c r="G6" s="122" t="str">
        <f t="shared" si="1"/>
        <v>40035_1</v>
      </c>
      <c r="H6" s="123" t="str">
        <f ca="1">VLOOKUP($G6,OFFSET([2]stages!$A$1,0,0,COUNTA([2]stages!$A:$A),MATCH(H$1,[2]stages!$2:$2,0)-MATCH($G$1,[2]stages!$2:$2,0)+1),MATCH(H$1,[2]stages!$2:$2,0)-MATCH($G$1,[2]stages!$2:$2,0)+1,FALSE)</f>
        <v>【超絶級】ブラフマー襲来</v>
      </c>
      <c r="I6" s="121">
        <v>5</v>
      </c>
      <c r="J6" s="124">
        <v>60</v>
      </c>
      <c r="K6" s="124">
        <v>60</v>
      </c>
    </row>
    <row r="7" spans="1:11" ht="21" customHeight="1" thickTop="1" x14ac:dyDescent="0.15">
      <c r="A7" s="16" t="str">
        <f>G7&amp;"-"&amp;I7</f>
        <v>40035_2-1</v>
      </c>
      <c r="B7" s="16" t="str">
        <f>IF(COUNTIF(enemy_habitats!$H:$H,A7),"OK","NG")</f>
        <v>OK</v>
      </c>
      <c r="C7" s="112">
        <v>40035</v>
      </c>
      <c r="D7" s="113" t="str">
        <f ca="1">VLOOKUP($C7,OFFSET([2]quests!$A$1,0,0,COUNTA([2]quests!$A:$A),MATCH(D$1,[2]quests!$1:$1,0)-MATCH($C$1,[2]quests!$1:$1,0)+1),MATCH(D$1,[2]quests!$1:$1,0)-MATCH($C$1,[2]quests!$1:$1,0)+1,FALSE)</f>
        <v>ブラフマー襲来！</v>
      </c>
      <c r="E7" s="113" t="str">
        <f ca="1">VLOOKUP($C7,OFFSET([2]quests!$A$1,0,0,COUNTA([2]quests!$A:$A),MATCH(E$1,[2]quests!$1:$1,0)-MATCH($C$1,[2]quests!$1:$1,0)+1),MATCH(E$1,[2]quests!$1:$1,0)-MATCH($C$1,[2]quests!$1:$1,0)+1,FALSE)</f>
        <v>降臨35</v>
      </c>
      <c r="F7" s="114">
        <v>2</v>
      </c>
      <c r="G7" s="115" t="str">
        <f>C7&amp;"_"&amp;F7</f>
        <v>40035_2</v>
      </c>
      <c r="H7" s="116" t="str">
        <f ca="1">VLOOKUP($G7,OFFSET([2]stages!$A$1,0,0,COUNTA([2]stages!$A:$A),MATCH(H$1,[2]stages!$2:$2,0)-MATCH($G$1,[2]stages!$2:$2,0)+1),MATCH(H$1,[2]stages!$2:$2,0)-MATCH($G$1,[2]stages!$2:$2,0)+1,FALSE)</f>
        <v>【ウィザード級】ブラフマー襲来</v>
      </c>
      <c r="I7" s="114">
        <v>1</v>
      </c>
      <c r="J7" s="117">
        <v>60</v>
      </c>
      <c r="K7" s="117">
        <v>60</v>
      </c>
    </row>
    <row r="8" spans="1:11" ht="21" customHeight="1" x14ac:dyDescent="0.15">
      <c r="A8" s="16" t="str">
        <f t="shared" ref="A8:A11" si="2">G8&amp;"-"&amp;I8</f>
        <v>40035_2-2</v>
      </c>
      <c r="B8" s="16" t="str">
        <f>IF(COUNTIF(enemy_habitats!$H:$H,A8),"OK","NG")</f>
        <v>OK</v>
      </c>
      <c r="C8" s="7">
        <v>40035</v>
      </c>
      <c r="D8" s="11" t="str">
        <f ca="1">VLOOKUP($C8,OFFSET([2]quests!$A$1,0,0,COUNTA([2]quests!$A:$A),MATCH(D$1,[2]quests!$1:$1,0)-MATCH($C$1,[2]quests!$1:$1,0)+1),MATCH(D$1,[2]quests!$1:$1,0)-MATCH($C$1,[2]quests!$1:$1,0)+1,FALSE)</f>
        <v>ブラフマー襲来！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降臨35</v>
      </c>
      <c r="F8" s="21">
        <v>2</v>
      </c>
      <c r="G8" s="23" t="str">
        <f t="shared" ref="G8:G11" si="3">C8&amp;"_"&amp;F8</f>
        <v>40035_2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【ウィザード級】ブラフマー襲来</v>
      </c>
      <c r="I8" s="21">
        <v>2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40035_2-3</v>
      </c>
      <c r="B9" s="16" t="str">
        <f>IF(COUNTIF(enemy_habitats!$H:$H,A9),"OK","NG")</f>
        <v>OK</v>
      </c>
      <c r="C9" s="7">
        <v>40035</v>
      </c>
      <c r="D9" s="11" t="str">
        <f ca="1">VLOOKUP($C9,OFFSET([2]quests!$A$1,0,0,COUNTA([2]quests!$A:$A),MATCH(D$1,[2]quests!$1:$1,0)-MATCH($C$1,[2]quests!$1:$1,0)+1),MATCH(D$1,[2]quests!$1:$1,0)-MATCH($C$1,[2]quests!$1:$1,0)+1,FALSE)</f>
        <v>ブラフマー襲来！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降臨35</v>
      </c>
      <c r="F9" s="21">
        <v>2</v>
      </c>
      <c r="G9" s="23" t="str">
        <f t="shared" si="3"/>
        <v>40035_2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【ウィザード級】ブラフマー襲来</v>
      </c>
      <c r="I9" s="21">
        <v>3</v>
      </c>
      <c r="J9" s="12">
        <v>60</v>
      </c>
      <c r="K9" s="12">
        <v>60</v>
      </c>
    </row>
    <row r="10" spans="1:11" ht="21" customHeight="1" x14ac:dyDescent="0.15">
      <c r="A10" s="16" t="str">
        <f t="shared" si="2"/>
        <v>40035_2-4</v>
      </c>
      <c r="B10" s="16" t="str">
        <f>IF(COUNTIF(enemy_habitats!$H:$H,A10),"OK","NG")</f>
        <v>OK</v>
      </c>
      <c r="C10" s="7">
        <v>40035</v>
      </c>
      <c r="D10" s="11" t="str">
        <f ca="1">VLOOKUP($C10,OFFSET([2]quests!$A$1,0,0,COUNTA([2]quests!$A:$A),MATCH(D$1,[2]quests!$1:$1,0)-MATCH($C$1,[2]quests!$1:$1,0)+1),MATCH(D$1,[2]quests!$1:$1,0)-MATCH($C$1,[2]quests!$1:$1,0)+1,FALSE)</f>
        <v>ブラフマー襲来！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降臨35</v>
      </c>
      <c r="F10" s="21">
        <v>2</v>
      </c>
      <c r="G10" s="23" t="str">
        <f t="shared" si="3"/>
        <v>40035_2</v>
      </c>
      <c r="H10" s="15" t="str">
        <f ca="1">VLOOKUP($G10,OFFSET([2]stages!$A$1,0,0,COUNTA([2]stages!$A:$A),MATCH(H$1,[2]stages!$2:$2,0)-MATCH($G$1,[2]stages!$2:$2,0)+1),MATCH(H$1,[2]stages!$2:$2,0)-MATCH($G$1,[2]stages!$2:$2,0)+1,FALSE)</f>
        <v>【ウィザード級】ブラフマー襲来</v>
      </c>
      <c r="I10" s="21">
        <v>4</v>
      </c>
      <c r="J10" s="12">
        <v>60</v>
      </c>
      <c r="K10" s="12">
        <v>60</v>
      </c>
    </row>
    <row r="11" spans="1:11" ht="21" customHeight="1" x14ac:dyDescent="0.15">
      <c r="A11" s="16" t="str">
        <f t="shared" si="2"/>
        <v>40035_2-5</v>
      </c>
      <c r="B11" s="16" t="str">
        <f>IF(COUNTIF(enemy_habitats!$H:$H,A11),"OK","NG")</f>
        <v>OK</v>
      </c>
      <c r="C11" s="7">
        <v>40035</v>
      </c>
      <c r="D11" s="11" t="str">
        <f ca="1">VLOOKUP($C11,OFFSET([2]quests!$A$1,0,0,COUNTA([2]quests!$A:$A),MATCH(D$1,[2]quests!$1:$1,0)-MATCH($C$1,[2]quests!$1:$1,0)+1),MATCH(D$1,[2]quests!$1:$1,0)-MATCH($C$1,[2]quests!$1:$1,0)+1,FALSE)</f>
        <v>ブラフマー襲来！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降臨35</v>
      </c>
      <c r="F11" s="21">
        <v>2</v>
      </c>
      <c r="G11" s="23" t="str">
        <f t="shared" si="3"/>
        <v>40035_2</v>
      </c>
      <c r="H11" s="15" t="str">
        <f ca="1">VLOOKUP($G11,OFFSET([2]stages!$A$1,0,0,COUNTA([2]stages!$A:$A),MATCH(H$1,[2]stages!$2:$2,0)-MATCH($G$1,[2]stages!$2:$2,0)+1),MATCH(H$1,[2]stages!$2:$2,0)-MATCH($G$1,[2]stages!$2:$2,0)+1,FALSE)</f>
        <v>【ウィザード級】ブラフマー襲来</v>
      </c>
      <c r="I11" s="21">
        <v>5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AH23" sqref="AH2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4.66406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250</v>
      </c>
      <c r="U1" s="26" t="s">
        <v>50</v>
      </c>
      <c r="V1" s="103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40035_1-1/675&lt;lv80&gt;s1</v>
      </c>
      <c r="B2" s="22">
        <v>40035</v>
      </c>
      <c r="C2" s="21">
        <v>1</v>
      </c>
      <c r="D2" s="2" t="str">
        <f>B2&amp;"_"&amp;C2</f>
        <v>40035_1</v>
      </c>
      <c r="E2" s="4" t="str">
        <f ca="1">VLOOKUP($B2,OFFSET([2]quests!$A$1,0,0,COUNTA([2]quests!$A:$A),MATCH(E$1,[2]quests!$1:$1,0)-MATCH($B$1,[2]quests!$1:$1,0)+1),MATCH(E$1,[2]quests!$1:$1,0)-MATCH($B$1,[2]quests!$1:$1,0)+1,FALSE)</f>
        <v>ブラフマー襲来！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【超絶級】ブラフマー襲来</v>
      </c>
      <c r="G2" s="21">
        <v>1</v>
      </c>
      <c r="H2" s="15" t="str">
        <f>B2&amp;"_"&amp;C2&amp;"-"&amp;G2</f>
        <v>40035_1-1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675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芸楽の奔流 サラスヴァティ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136">
        <v>0.9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119707.2</v>
      </c>
      <c r="U2" s="25">
        <v>0.6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5337.5999999999995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最近ブラフマーの様子がおかしいの…</v>
      </c>
      <c r="Y2" s="62">
        <v>40035100</v>
      </c>
      <c r="Z2" s="138">
        <v>1</v>
      </c>
      <c r="AA2" s="138">
        <v>100</v>
      </c>
      <c r="AB2" s="138">
        <v>1</v>
      </c>
      <c r="AC2" s="17">
        <v>1</v>
      </c>
      <c r="AD2" s="24">
        <f>L2</f>
        <v>675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芸楽の奔流 サラスヴァティ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40035_1-2/272&lt;lv75&gt;s2</v>
      </c>
      <c r="B3" s="22">
        <v>40035</v>
      </c>
      <c r="C3" s="21">
        <v>1</v>
      </c>
      <c r="D3" s="2" t="str">
        <f>B3&amp;"_"&amp;C3</f>
        <v>40035_1</v>
      </c>
      <c r="E3" s="4" t="str">
        <f ca="1">VLOOKUP($B3,OFFSET([2]quests!$A$1,0,0,COUNTA([2]quests!$A:$A),MATCH(E$1,[2]quests!$1:$1,0)-MATCH($B$1,[2]quests!$1:$1,0)+1),MATCH(E$1,[2]quests!$1:$1,0)-MATCH($B$1,[2]quests!$1:$1,0)+1,FALSE)</f>
        <v>ブラフマー襲来！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【超絶級】ブラフマー襲来</v>
      </c>
      <c r="G3" s="21">
        <v>2</v>
      </c>
      <c r="H3" s="15" t="str">
        <f>B3&amp;"_"&amp;C3&amp;"-"&amp;G3</f>
        <v>40035_1-2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魔札のシルベール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75</v>
      </c>
      <c r="S3" s="25">
        <v>2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168270</v>
      </c>
      <c r="U3" s="25">
        <v>1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6773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赤パネルは確率でプロテクトされてドロップ</v>
      </c>
      <c r="Y3" s="62">
        <v>40035109</v>
      </c>
      <c r="Z3" s="6">
        <v>1</v>
      </c>
      <c r="AA3" s="6">
        <v>100</v>
      </c>
      <c r="AB3" s="6">
        <v>2</v>
      </c>
      <c r="AC3" s="17">
        <v>2</v>
      </c>
      <c r="AD3" s="24">
        <f>L3</f>
        <v>272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魔札のシルベール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ref="A4:A7" si="0">B4&amp;"_"&amp;C4&amp;"-"&amp;G4&amp;"/"&amp;L4&amp;"&lt;lv"&amp;R4&amp;"&gt;s"&amp;AC4</f>
        <v>40035_1-2/267&lt;lv75&gt;s1</v>
      </c>
      <c r="B4" s="22">
        <v>40035</v>
      </c>
      <c r="C4" s="21">
        <v>1</v>
      </c>
      <c r="D4" s="2" t="str">
        <f t="shared" ref="D4:D7" si="1">B4&amp;"_"&amp;C4</f>
        <v>40035_1</v>
      </c>
      <c r="E4" s="4" t="str">
        <f ca="1">VLOOKUP($B4,OFFSET([2]quests!$A$1,0,0,COUNTA([2]quests!$A:$A),MATCH(E$1,[2]quests!$1:$1,0)-MATCH($B$1,[2]quests!$1:$1,0)+1),MATCH(E$1,[2]quests!$1:$1,0)-MATCH($B$1,[2]quests!$1:$1,0)+1,FALSE)</f>
        <v>ブラフマー襲来！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【超絶級】ブラフマー襲来</v>
      </c>
      <c r="G4" s="21">
        <v>2</v>
      </c>
      <c r="H4" s="15" t="str">
        <f t="shared" ref="H4:H7" si="2">B4&amp;"_"&amp;C4&amp;"-"&amp;G4</f>
        <v>40035_1-2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267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奇術猫 リリアンブルー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75</v>
      </c>
      <c r="S4" s="25">
        <v>2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198900</v>
      </c>
      <c r="U4" s="25">
        <v>0.9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7525.8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緑パネルは確率でプロテクトされてドロップ</v>
      </c>
      <c r="Y4" s="62">
        <v>40035110</v>
      </c>
      <c r="Z4" s="6">
        <v>1</v>
      </c>
      <c r="AA4" s="6">
        <v>100</v>
      </c>
      <c r="AB4" s="6">
        <v>1</v>
      </c>
      <c r="AC4" s="17">
        <v>1</v>
      </c>
      <c r="AD4" s="24">
        <f t="shared" ref="AD4:AD6" si="3">L4</f>
        <v>267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奇術猫 リリアンブルー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7">
        <v>1</v>
      </c>
      <c r="AI4" s="24">
        <f t="shared" ref="AI4:AI7" ca="1" si="4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40035_1-3/675&lt;lv80&gt;s1</v>
      </c>
      <c r="B5" s="22">
        <v>40035</v>
      </c>
      <c r="C5" s="21">
        <v>1</v>
      </c>
      <c r="D5" s="2" t="str">
        <f t="shared" si="1"/>
        <v>40035_1</v>
      </c>
      <c r="E5" s="4" t="str">
        <f ca="1">VLOOKUP($B5,OFFSET([2]quests!$A$1,0,0,COUNTA([2]quests!$A:$A),MATCH(E$1,[2]quests!$1:$1,0)-MATCH($B$1,[2]quests!$1:$1,0)+1),MATCH(E$1,[2]quests!$1:$1,0)-MATCH($B$1,[2]quests!$1:$1,0)+1,FALSE)</f>
        <v>ブラフマー襲来！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【超絶級】ブラフマー襲来</v>
      </c>
      <c r="G5" s="21">
        <v>3</v>
      </c>
      <c r="H5" s="15" t="str">
        <f t="shared" si="2"/>
        <v>40035_1-3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675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芸楽の奔流 サラスヴァティ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4.8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638438.40000000002</v>
      </c>
      <c r="U5" s="25">
        <v>1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8896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【1ターンで出来る限りダメージを与えよう！】</v>
      </c>
      <c r="Y5" s="62">
        <v>40035104</v>
      </c>
      <c r="Z5" s="6">
        <v>1</v>
      </c>
      <c r="AA5" s="6">
        <v>100</v>
      </c>
      <c r="AB5" s="6">
        <v>1</v>
      </c>
      <c r="AC5" s="17">
        <v>1</v>
      </c>
      <c r="AD5" s="24">
        <f t="shared" si="3"/>
        <v>675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芸楽の奔流 サラスヴァティ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4"/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40035_1-4/186&lt;lv80&gt;s1</v>
      </c>
      <c r="B6" s="125">
        <v>40035</v>
      </c>
      <c r="C6" s="108">
        <v>1</v>
      </c>
      <c r="D6" s="110" t="str">
        <f t="shared" si="1"/>
        <v>40035_1</v>
      </c>
      <c r="E6" s="126" t="str">
        <f ca="1">VLOOKUP($B6,OFFSET([2]quests!$A$1,0,0,COUNTA([2]quests!$A:$A),MATCH(E$1,[2]quests!$1:$1,0)-MATCH($B$1,[2]quests!$1:$1,0)+1),MATCH(E$1,[2]quests!$1:$1,0)-MATCH($B$1,[2]quests!$1:$1,0)+1,FALSE)</f>
        <v>ブラフマー襲来！</v>
      </c>
      <c r="F6" s="126" t="str">
        <f ca="1">VLOOKUP($D6,OFFSET([2]stages!$A$1,0,0,COUNTA([2]stages!$A:$A),MATCH(F$1,[2]stages!$2:$2,0)-MATCH($D$1,[2]stages!$2:$2,0)+1),MATCH(F$1,[2]stages!$2:$2,0)-MATCH($D$1,[2]stages!$2:$2,0)+1,FALSE)</f>
        <v>【超絶級】ブラフマー襲来</v>
      </c>
      <c r="G6" s="108">
        <v>4</v>
      </c>
      <c r="H6" s="110" t="str">
        <f t="shared" si="2"/>
        <v>40035_1-4</v>
      </c>
      <c r="I6" s="126">
        <f ca="1">VLOOKUP($H6,OFFSET(floors!$A$1,0,0,COUNTA(floors!$A:$A),MATCH(I$1,floors!$1:$1,0)-MATCH($H$1,floors!$1:$1,0)+1),MATCH(I$1,floors!$1:$1,0)-MATCH($H$1,floors!$1:$1,0)+1,FALSE)</f>
        <v>60</v>
      </c>
      <c r="J6" s="126">
        <f ca="1">VLOOKUP($H6,OFFSET(floors!$A$1,0,0,COUNTA(floors!$A:$A),MATCH(J$1,floors!$1:$1,0)-MATCH($H$1,floors!$1:$1,0)+1),MATCH(J$1,floors!$1:$1,0)-MATCH($H$1,floors!$1:$1,0)+1,FALSE)</f>
        <v>60</v>
      </c>
      <c r="K6" s="111" t="s">
        <v>53</v>
      </c>
      <c r="L6" s="127">
        <v>186</v>
      </c>
      <c r="M6" s="128" t="str">
        <f ca="1">VLOOKUP($L6,OFFSET([3]enemies!$A$1,0,0,COUNTA([3]enemies!$A:$A),MATCH(M$1,[3]enemies!$1:$1,0)-MATCH($L$1,[3]enemies!$1:$1,0)+1),MATCH(M$1,[3]enemies!$1:$1,0)-MATCH($L$1,[3]enemies!$1:$1,0)+1,FALSE)</f>
        <v>誇り高き多触姫・クラーケン</v>
      </c>
      <c r="N6" s="128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28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28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28">
        <f ca="1">VLOOKUP($L6,OFFSET([3]enemies!$A$1,0,0,COUNTA([3]enemies!$A:$A),MATCH(Q$1,[3]enemies!$1:$1,0)-MATCH($L$1,[3]enemies!$1:$1,0)+1),MATCH(Q$1,[3]enemies!$1:$1,0)-MATCH($L$1,[3]enemies!$1:$1,0)+1,FALSE)</f>
        <v>60</v>
      </c>
      <c r="R6" s="129">
        <v>80</v>
      </c>
      <c r="S6" s="25">
        <v>2.8</v>
      </c>
      <c r="T6" s="13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310352</v>
      </c>
      <c r="U6" s="130">
        <v>1</v>
      </c>
      <c r="V6" s="13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7483</v>
      </c>
      <c r="W6" s="129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状態異常耐性+2ターン暗闇</v>
      </c>
      <c r="Y6" s="62">
        <v>40035112</v>
      </c>
      <c r="Z6" s="6">
        <v>1</v>
      </c>
      <c r="AA6" s="6">
        <v>100</v>
      </c>
      <c r="AB6" s="6">
        <v>1</v>
      </c>
      <c r="AC6" s="17">
        <v>1</v>
      </c>
      <c r="AD6" s="132">
        <f t="shared" si="3"/>
        <v>186</v>
      </c>
      <c r="AE6" s="126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誇り高き多触姫・クラーケン</v>
      </c>
      <c r="AF6" s="126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26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6" s="106">
        <v>1</v>
      </c>
      <c r="AI6" s="132">
        <f t="shared" ca="1" si="4"/>
        <v>5</v>
      </c>
      <c r="AJ6" s="8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1</v>
      </c>
      <c r="AP6" s="133">
        <v>1</v>
      </c>
    </row>
    <row r="7" spans="1:42" s="150" customFormat="1" ht="21" customHeight="1" thickBot="1" x14ac:dyDescent="0.2">
      <c r="A7" s="118" t="str">
        <f t="shared" si="0"/>
        <v>40035_1-5/1149&lt;lv80&gt;s1</v>
      </c>
      <c r="B7" s="141">
        <v>40035</v>
      </c>
      <c r="C7" s="121">
        <v>1</v>
      </c>
      <c r="D7" s="123" t="str">
        <f t="shared" si="1"/>
        <v>40035_1</v>
      </c>
      <c r="E7" s="142" t="str">
        <f ca="1">VLOOKUP($B7,OFFSET([2]quests!$A$1,0,0,COUNTA([2]quests!$A:$A),MATCH(E$1,[2]quests!$1:$1,0)-MATCH($B$1,[2]quests!$1:$1,0)+1),MATCH(E$1,[2]quests!$1:$1,0)-MATCH($B$1,[2]quests!$1:$1,0)+1,FALSE)</f>
        <v>ブラフマー襲来！</v>
      </c>
      <c r="F7" s="142" t="str">
        <f ca="1">VLOOKUP($D7,OFFSET([2]stages!$A$1,0,0,COUNTA([2]stages!$A:$A),MATCH(F$1,[2]stages!$2:$2,0)-MATCH($D$1,[2]stages!$2:$2,0)+1),MATCH(F$1,[2]stages!$2:$2,0)-MATCH($D$1,[2]stages!$2:$2,0)+1,FALSE)</f>
        <v>【超絶級】ブラフマー襲来</v>
      </c>
      <c r="G7" s="121">
        <v>5</v>
      </c>
      <c r="H7" s="123" t="str">
        <f t="shared" si="2"/>
        <v>40035_1-5</v>
      </c>
      <c r="I7" s="142">
        <f ca="1">VLOOKUP($H7,OFFSET(floors!$A$1,0,0,COUNTA(floors!$A:$A),MATCH(I$1,floors!$1:$1,0)-MATCH($H$1,floors!$1:$1,0)+1),MATCH(I$1,floors!$1:$1,0)-MATCH($H$1,floors!$1:$1,0)+1,FALSE)</f>
        <v>60</v>
      </c>
      <c r="J7" s="142">
        <f ca="1">VLOOKUP($H7,OFFSET(floors!$A$1,0,0,COUNTA(floors!$A:$A),MATCH(J$1,floors!$1:$1,0)-MATCH($H$1,floors!$1:$1,0)+1),MATCH(J$1,floors!$1:$1,0)-MATCH($H$1,floors!$1:$1,0)+1,FALSE)</f>
        <v>60</v>
      </c>
      <c r="K7" s="124">
        <v>2</v>
      </c>
      <c r="L7" s="143">
        <v>1149</v>
      </c>
      <c r="M7" s="144" t="str">
        <f ca="1">VLOOKUP($L7,OFFSET([3]enemies!$A$1,0,0,COUNTA([3]enemies!$A:$A),MATCH(M$1,[3]enemies!$1:$1,0)-MATCH($L$1,[3]enemies!$1:$1,0)+1),MATCH(M$1,[3]enemies!$1:$1,0)-MATCH($L$1,[3]enemies!$1:$1,0)+1,FALSE)</f>
        <v>ブラフマー</v>
      </c>
      <c r="N7" s="144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44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44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44">
        <f ca="1">VLOOKUP($L7,OFFSET([3]enemies!$A$1,0,0,COUNTA([3]enemies!$A:$A),MATCH(Q$1,[3]enemies!$1:$1,0)-MATCH($L$1,[3]enemies!$1:$1,0)+1),MATCH(Q$1,[3]enemies!$1:$1,0)-MATCH($L$1,[3]enemies!$1:$1,0)+1,FALSE)</f>
        <v>60</v>
      </c>
      <c r="R7" s="145">
        <v>80</v>
      </c>
      <c r="S7" s="25">
        <v>3</v>
      </c>
      <c r="T7" s="14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359121</v>
      </c>
      <c r="U7" s="146">
        <v>1</v>
      </c>
      <c r="V7" s="14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8007</v>
      </c>
      <c r="W7" s="145">
        <v>0</v>
      </c>
      <c r="X7" s="15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状態異常耐性_x000D_+属性パネルは確率でプロテクトされてドロップ</v>
      </c>
      <c r="Y7" s="62">
        <v>40035113</v>
      </c>
      <c r="Z7" s="155">
        <v>1</v>
      </c>
      <c r="AA7" s="155">
        <v>100</v>
      </c>
      <c r="AB7" s="155">
        <v>1</v>
      </c>
      <c r="AC7" s="156">
        <v>1</v>
      </c>
      <c r="AD7" s="148">
        <v>1149</v>
      </c>
      <c r="AE7" s="142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ブラフマー</v>
      </c>
      <c r="AF7" s="142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42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19">
        <v>1</v>
      </c>
      <c r="AI7" s="148">
        <f t="shared" ca="1" si="4"/>
        <v>5</v>
      </c>
      <c r="AJ7" s="204">
        <v>15</v>
      </c>
      <c r="AK7" s="119">
        <v>0</v>
      </c>
      <c r="AL7" s="119">
        <v>0</v>
      </c>
      <c r="AM7" s="119">
        <v>0</v>
      </c>
      <c r="AN7" s="119">
        <v>0</v>
      </c>
      <c r="AO7" s="119">
        <v>1</v>
      </c>
      <c r="AP7" s="149">
        <v>1</v>
      </c>
    </row>
    <row r="8" spans="1:42" ht="21" customHeight="1" thickTop="1" x14ac:dyDescent="0.15">
      <c r="A8" s="16" t="str">
        <f>B8&amp;"_"&amp;C8&amp;"-"&amp;G8&amp;"/"&amp;L8&amp;"&lt;lv"&amp;R8&amp;"&gt;s"&amp;AC8</f>
        <v>40035_2-1/675&lt;lv85&gt;s1</v>
      </c>
      <c r="B8" s="22">
        <v>40035</v>
      </c>
      <c r="C8" s="114">
        <v>2</v>
      </c>
      <c r="D8" s="116" t="str">
        <f>B8&amp;"_"&amp;C8</f>
        <v>40035_2</v>
      </c>
      <c r="E8" s="4" t="str">
        <f ca="1">VLOOKUP($B8,OFFSET([2]quests!$A$1,0,0,COUNTA([2]quests!$A:$A),MATCH(E$1,[2]quests!$1:$1,0)-MATCH($B$1,[2]quests!$1:$1,0)+1),MATCH(E$1,[2]quests!$1:$1,0)-MATCH($B$1,[2]quests!$1:$1,0)+1,FALSE)</f>
        <v>ブラフマー襲来！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【ウィザード級】ブラフマー襲来</v>
      </c>
      <c r="G8" s="114">
        <v>1</v>
      </c>
      <c r="H8" s="116" t="str">
        <f>B8&amp;"_"&amp;C8&amp;"-"&amp;G8</f>
        <v>40035_2-1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17" t="s">
        <v>53</v>
      </c>
      <c r="L8" s="134">
        <v>675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芸楽の奔流 サラスヴァティ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135">
        <v>85</v>
      </c>
      <c r="S8" s="136">
        <v>0.9</v>
      </c>
      <c r="T8" s="13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127051.2</v>
      </c>
      <c r="U8" s="136">
        <v>0.7</v>
      </c>
      <c r="V8" s="13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6609.4</v>
      </c>
      <c r="W8" s="13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最近ブラフマーの様子がおかしいの…</v>
      </c>
      <c r="Y8" s="62">
        <v>40035100</v>
      </c>
      <c r="Z8" s="138">
        <v>1</v>
      </c>
      <c r="AA8" s="138">
        <v>100</v>
      </c>
      <c r="AB8" s="138">
        <v>1</v>
      </c>
      <c r="AC8" s="17">
        <v>1</v>
      </c>
      <c r="AD8" s="139">
        <f>L8</f>
        <v>675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芸楽の奔流 サラスヴァティ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8" s="112">
        <v>1</v>
      </c>
      <c r="AI8" s="139">
        <f ca="1">AF8</f>
        <v>5</v>
      </c>
      <c r="AJ8" s="203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1</v>
      </c>
      <c r="AP8" s="140">
        <v>1</v>
      </c>
    </row>
    <row r="9" spans="1:42" ht="21" customHeight="1" x14ac:dyDescent="0.15">
      <c r="A9" s="16" t="str">
        <f>B9&amp;"_"&amp;C9&amp;"-"&amp;G9&amp;"/"&amp;L9&amp;"&lt;lv"&amp;R9&amp;"&gt;s"&amp;AC9</f>
        <v>40035_2-2/272&lt;lv95&gt;s2</v>
      </c>
      <c r="B9" s="22">
        <v>40035</v>
      </c>
      <c r="C9" s="21">
        <v>2</v>
      </c>
      <c r="D9" s="2" t="str">
        <f>B9&amp;"_"&amp;C9</f>
        <v>40035_2</v>
      </c>
      <c r="E9" s="4" t="str">
        <f ca="1">VLOOKUP($B9,OFFSET([2]quests!$A$1,0,0,COUNTA([2]quests!$A:$A),MATCH(E$1,[2]quests!$1:$1,0)-MATCH($B$1,[2]quests!$1:$1,0)+1),MATCH(E$1,[2]quests!$1:$1,0)-MATCH($B$1,[2]quests!$1:$1,0)+1,FALSE)</f>
        <v>ブラフマー襲来！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【ウィザード級】ブラフマー襲来</v>
      </c>
      <c r="G9" s="21">
        <v>2</v>
      </c>
      <c r="H9" s="15" t="str">
        <f>B9&amp;"_"&amp;C9&amp;"-"&amp;G9</f>
        <v>40035_2-2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272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魔札のシルベール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95</v>
      </c>
      <c r="S9" s="25">
        <v>2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212262</v>
      </c>
      <c r="U9" s="25">
        <v>1.1000000000000001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9398.4000000000015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赤パネルは確率でプロテクトされてドロップ</v>
      </c>
      <c r="Y9" s="62">
        <v>40035102</v>
      </c>
      <c r="Z9" s="6">
        <v>1</v>
      </c>
      <c r="AA9" s="6">
        <v>100</v>
      </c>
      <c r="AB9" s="6">
        <v>2</v>
      </c>
      <c r="AC9" s="17">
        <v>2</v>
      </c>
      <c r="AD9" s="24">
        <f>L9</f>
        <v>272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魔札のシルベール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ca="1">AF9</f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ref="A10:A13" si="5">B10&amp;"_"&amp;C10&amp;"-"&amp;G10&amp;"/"&amp;L10&amp;"&lt;lv"&amp;R10&amp;"&gt;s"&amp;AC10</f>
        <v>40035_2-2/267&lt;lv95&gt;s1</v>
      </c>
      <c r="B10" s="22">
        <v>40035</v>
      </c>
      <c r="C10" s="21">
        <v>2</v>
      </c>
      <c r="D10" s="2" t="str">
        <f t="shared" ref="D10:D13" si="6">B10&amp;"_"&amp;C10</f>
        <v>40035_2</v>
      </c>
      <c r="E10" s="4" t="str">
        <f ca="1">VLOOKUP($B10,OFFSET([2]quests!$A$1,0,0,COUNTA([2]quests!$A:$A),MATCH(E$1,[2]quests!$1:$1,0)-MATCH($B$1,[2]quests!$1:$1,0)+1),MATCH(E$1,[2]quests!$1:$1,0)-MATCH($B$1,[2]quests!$1:$1,0)+1,FALSE)</f>
        <v>ブラフマー襲来！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【ウィザード級】ブラフマー襲来</v>
      </c>
      <c r="G10" s="21">
        <v>2</v>
      </c>
      <c r="H10" s="15" t="str">
        <f t="shared" ref="H10:H13" si="7">B10&amp;"_"&amp;C10&amp;"-"&amp;G10</f>
        <v>40035_2-2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267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奇術猫 リリアンブルー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95</v>
      </c>
      <c r="S10" s="25">
        <v>2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250900</v>
      </c>
      <c r="U10" s="25">
        <v>0.8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8438.4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緑パネルは確率でプロテクトされてドロップ</v>
      </c>
      <c r="Y10" s="62">
        <v>40035103</v>
      </c>
      <c r="Z10" s="6">
        <v>1</v>
      </c>
      <c r="AA10" s="6">
        <v>100</v>
      </c>
      <c r="AB10" s="6">
        <v>1</v>
      </c>
      <c r="AC10" s="17">
        <v>1</v>
      </c>
      <c r="AD10" s="24">
        <f t="shared" ref="AD10:AD12" si="8">L10</f>
        <v>267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奇術猫 リリアンブルー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Drop2W</v>
      </c>
      <c r="AH10" s="7">
        <v>1</v>
      </c>
      <c r="AI10" s="24">
        <f t="shared" ref="AI10:AI13" ca="1" si="9">AF10</f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40035_2-3/675&lt;lv99&gt;s1</v>
      </c>
      <c r="B11" s="22">
        <v>40035</v>
      </c>
      <c r="C11" s="21">
        <v>2</v>
      </c>
      <c r="D11" s="2" t="str">
        <f t="shared" si="6"/>
        <v>40035_2</v>
      </c>
      <c r="E11" s="4" t="str">
        <f ca="1">VLOOKUP($B11,OFFSET([2]quests!$A$1,0,0,COUNTA([2]quests!$A:$A),MATCH(E$1,[2]quests!$1:$1,0)-MATCH($B$1,[2]quests!$1:$1,0)+1),MATCH(E$1,[2]quests!$1:$1,0)-MATCH($B$1,[2]quests!$1:$1,0)+1,FALSE)</f>
        <v>ブラフマー襲来！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【ウィザード級】ブラフマー襲来</v>
      </c>
      <c r="G11" s="21">
        <v>3</v>
      </c>
      <c r="H11" s="15" t="str">
        <f t="shared" si="7"/>
        <v>40035_2-3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3</v>
      </c>
      <c r="L11" s="20">
        <v>675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芸楽の奔流 サラスヴァティ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99</v>
      </c>
      <c r="S11" s="25">
        <v>5.0999999999999996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836481.6</v>
      </c>
      <c r="U11" s="25">
        <v>1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10970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【1ターンで出来る限りダメージを与えよう！】</v>
      </c>
      <c r="Y11" s="62">
        <v>40035104</v>
      </c>
      <c r="Z11" s="6">
        <v>1</v>
      </c>
      <c r="AA11" s="6">
        <v>100</v>
      </c>
      <c r="AB11" s="6">
        <v>1</v>
      </c>
      <c r="AC11" s="17">
        <v>1</v>
      </c>
      <c r="AD11" s="24">
        <f t="shared" si="8"/>
        <v>675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芸楽の奔流 サラスヴァティ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7">
        <v>1</v>
      </c>
      <c r="AI11" s="24">
        <f t="shared" ca="1" si="9"/>
        <v>5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40035_2-4/186&lt;lv99&gt;s1</v>
      </c>
      <c r="B12" s="22">
        <v>40035</v>
      </c>
      <c r="C12" s="21">
        <v>2</v>
      </c>
      <c r="D12" s="2" t="str">
        <f t="shared" si="6"/>
        <v>40035_2</v>
      </c>
      <c r="E12" s="4" t="str">
        <f ca="1">VLOOKUP($B12,OFFSET([2]quests!$A$1,0,0,COUNTA([2]quests!$A:$A),MATCH(E$1,[2]quests!$1:$1,0)-MATCH($B$1,[2]quests!$1:$1,0)+1),MATCH(E$1,[2]quests!$1:$1,0)-MATCH($B$1,[2]quests!$1:$1,0)+1,FALSE)</f>
        <v>ブラフマー襲来！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【ウィザード級】ブラフマー襲来</v>
      </c>
      <c r="G12" s="21">
        <v>4</v>
      </c>
      <c r="H12" s="15" t="str">
        <f t="shared" si="7"/>
        <v>40035_2-4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186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誇り高き多触姫・クラーケン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99</v>
      </c>
      <c r="S12" s="25">
        <v>3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410040</v>
      </c>
      <c r="U12" s="25">
        <v>1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9228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状態異常耐性+2ターン暗闇</v>
      </c>
      <c r="Y12" s="62">
        <v>40035106</v>
      </c>
      <c r="Z12" s="6">
        <v>1</v>
      </c>
      <c r="AA12" s="6">
        <v>100</v>
      </c>
      <c r="AB12" s="6">
        <v>1</v>
      </c>
      <c r="AC12" s="17">
        <v>1</v>
      </c>
      <c r="AD12" s="24">
        <f t="shared" si="8"/>
        <v>186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誇り高き多触姫・クラーケン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2" s="7">
        <v>1</v>
      </c>
      <c r="AI12" s="24">
        <f t="shared" ca="1" si="9"/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40035_2-5/1149&lt;lv99&gt;s1</v>
      </c>
      <c r="B13" s="22">
        <v>40035</v>
      </c>
      <c r="C13" s="21">
        <v>2</v>
      </c>
      <c r="D13" s="2" t="str">
        <f t="shared" si="6"/>
        <v>40035_2</v>
      </c>
      <c r="E13" s="4" t="str">
        <f ca="1">VLOOKUP($B13,OFFSET([2]quests!$A$1,0,0,COUNTA([2]quests!$A:$A),MATCH(E$1,[2]quests!$1:$1,0)-MATCH($B$1,[2]quests!$1:$1,0)+1),MATCH(E$1,[2]quests!$1:$1,0)-MATCH($B$1,[2]quests!$1:$1,0)+1,FALSE)</f>
        <v>ブラフマー襲来！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【ウィザード級】ブラフマー襲来</v>
      </c>
      <c r="G13" s="21">
        <v>5</v>
      </c>
      <c r="H13" s="15" t="str">
        <f t="shared" si="7"/>
        <v>40035_2-5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4</v>
      </c>
      <c r="L13" s="20">
        <v>1149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ブラフマー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99</v>
      </c>
      <c r="S13" s="25">
        <v>4</v>
      </c>
      <c r="T13" s="10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590456</v>
      </c>
      <c r="U13" s="25">
        <v>1</v>
      </c>
      <c r="V13" s="10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9873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状態異常耐性_x000D_+属性パネルは確率でプロテクトされてドロップ</v>
      </c>
      <c r="Y13" s="62">
        <v>40035107</v>
      </c>
      <c r="Z13" s="6">
        <v>1</v>
      </c>
      <c r="AA13" s="6">
        <v>100</v>
      </c>
      <c r="AB13" s="6">
        <v>1</v>
      </c>
      <c r="AC13" s="17">
        <v>1</v>
      </c>
      <c r="AD13" s="24">
        <v>1149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ブラフマー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26" sqref="M2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250</v>
      </c>
      <c r="V1" s="26" t="s">
        <v>50</v>
      </c>
      <c r="W1" s="103" t="s">
        <v>251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40035_1-3/1149&lt;lv80&gt;sq1st2</v>
      </c>
      <c r="B2" s="125">
        <v>40035</v>
      </c>
      <c r="C2" s="108">
        <v>1</v>
      </c>
      <c r="D2" s="110" t="str">
        <f>B2&amp;"_"&amp;C2</f>
        <v>40035_1</v>
      </c>
      <c r="E2" s="126" t="str">
        <f ca="1">VLOOKUP($B2,OFFSET([2]quests!$A$1,0,0,COUNTA([2]quests!$A:$A),MATCH(E$1,[2]quests!$1:$1,0)-MATCH($B$1,[2]quests!$1:$1,0)+1),MATCH(E$1,[2]quests!$1:$1,0)-MATCH($B$1,[2]quests!$1:$1,0)+1,FALSE)</f>
        <v>ブラフマー襲来！</v>
      </c>
      <c r="F2" s="126" t="str">
        <f ca="1">VLOOKUP($D2,OFFSET([2]stages!$A$1,0,0,COUNTA([2]stages!$A:$A),MATCH(F$1,[2]stages!$2:$2,0)-MATCH($D$1,[2]stages!$2:$2,0)+1),MATCH(F$1,[2]stages!$2:$2,0)-MATCH($D$1,[2]stages!$2:$2,0)+1,FALSE)</f>
        <v>【超絶級】ブラフマー襲来</v>
      </c>
      <c r="G2" s="108">
        <v>3</v>
      </c>
      <c r="H2" s="110" t="str">
        <f>B2&amp;"_"&amp;C2&amp;"-"&amp;G2</f>
        <v>40035_1-3</v>
      </c>
      <c r="I2" s="126">
        <f ca="1">VLOOKUP($H2,OFFSET(floors!$A$1,0,0,COUNTA(floors!$A:$A),MATCH(I$1,floors!$1:$1,0)-MATCH($H$1,floors!$1:$1,0)+1),MATCH(I$1,floors!$1:$1,0)-MATCH($H$1,floors!$1:$1,0)+1,FALSE)</f>
        <v>60</v>
      </c>
      <c r="J2" s="126">
        <f ca="1">VLOOKUP($H2,OFFSET(floors!$A$1,0,0,COUNTA(floors!$A:$A),MATCH(J$1,floors!$1:$1,0)-MATCH($H$1,floors!$1:$1,0)+1),MATCH(J$1,floors!$1:$1,0)-MATCH($H$1,floors!$1:$1,0)+1,FALSE)</f>
        <v>60</v>
      </c>
      <c r="K2" s="111">
        <v>1</v>
      </c>
      <c r="L2" s="111">
        <v>2</v>
      </c>
      <c r="M2" s="127">
        <v>1149</v>
      </c>
      <c r="N2" s="128" t="str">
        <f ca="1">VLOOKUP($M2,OFFSET([3]enemies!$A$1,0,0,COUNTA([3]enemies!$A:$A),MATCH(N$1,[3]enemies!$1:$1,0)-MATCH($M$1,[3]enemies!$1:$1,0)+1),MATCH(N$1,[3]enemies!$1:$1,0)-MATCH($M$1,[3]enemies!$1:$1,0)+1,FALSE)</f>
        <v>ブラフマー</v>
      </c>
      <c r="O2" s="128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28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28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28">
        <f ca="1">VLOOKUP($M2,OFFSET([3]enemies!$A$1,0,0,COUNTA([3]enemies!$A:$A),MATCH(R$1,[3]enemies!$1:$1,0)-MATCH($M$1,[3]enemies!$1:$1,0)+1),MATCH(R$1,[3]enemies!$1:$1,0)-MATCH($M$1,[3]enemies!$1:$1,0)+1,FALSE)</f>
        <v>60</v>
      </c>
      <c r="S2" s="129">
        <v>80</v>
      </c>
      <c r="T2" s="130">
        <v>2</v>
      </c>
      <c r="U2" s="13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239414</v>
      </c>
      <c r="V2" s="130">
        <v>1</v>
      </c>
      <c r="W2" s="13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8007</v>
      </c>
      <c r="X2" s="129">
        <v>0</v>
      </c>
      <c r="Y2" s="126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7">
        <v>40035111</v>
      </c>
      <c r="AA2" s="151">
        <v>1</v>
      </c>
    </row>
    <row r="3" spans="1:27" ht="21" customHeight="1" thickBot="1" x14ac:dyDescent="0.2">
      <c r="A3" s="118" t="str">
        <f t="shared" ref="A3:A5" si="0">B3&amp;"_"&amp;C3&amp;"-"&amp;G3&amp;"/"&amp;M3&amp;"&lt;lv"&amp;S3&amp;"&gt;sq"&amp;K3&amp;"st"&amp;L3</f>
        <v>40035_1-5/1150&lt;lv80&gt;sq2st2</v>
      </c>
      <c r="B3" s="141">
        <v>40035</v>
      </c>
      <c r="C3" s="121">
        <v>1</v>
      </c>
      <c r="D3" s="123" t="str">
        <f t="shared" ref="D3:D5" si="1">B3&amp;"_"&amp;C3</f>
        <v>40035_1</v>
      </c>
      <c r="E3" s="142" t="str">
        <f ca="1">VLOOKUP($B3,OFFSET([2]quests!$A$1,0,0,COUNTA([2]quests!$A:$A),MATCH(E$1,[2]quests!$1:$1,0)-MATCH($B$1,[2]quests!$1:$1,0)+1),MATCH(E$1,[2]quests!$1:$1,0)-MATCH($B$1,[2]quests!$1:$1,0)+1,FALSE)</f>
        <v>ブラフマー襲来！</v>
      </c>
      <c r="F3" s="142" t="str">
        <f ca="1">VLOOKUP($D3,OFFSET([2]stages!$A$1,0,0,COUNTA([2]stages!$A:$A),MATCH(F$1,[2]stages!$2:$2,0)-MATCH($D$1,[2]stages!$2:$2,0)+1),MATCH(F$1,[2]stages!$2:$2,0)-MATCH($D$1,[2]stages!$2:$2,0)+1,FALSE)</f>
        <v>【超絶級】ブラフマー襲来</v>
      </c>
      <c r="G3" s="121">
        <v>5</v>
      </c>
      <c r="H3" s="123" t="str">
        <f t="shared" ref="H3:H5" si="2">B3&amp;"_"&amp;C3&amp;"-"&amp;G3</f>
        <v>40035_1-5</v>
      </c>
      <c r="I3" s="142">
        <f ca="1">VLOOKUP($H3,OFFSET(floors!$A$1,0,0,COUNTA(floors!$A:$A),MATCH(I$1,floors!$1:$1,0)-MATCH($H$1,floors!$1:$1,0)+1),MATCH(I$1,floors!$1:$1,0)-MATCH($H$1,floors!$1:$1,0)+1,FALSE)</f>
        <v>60</v>
      </c>
      <c r="J3" s="142">
        <f ca="1">VLOOKUP($H3,OFFSET(floors!$A$1,0,0,COUNTA(floors!$A:$A),MATCH(J$1,floors!$1:$1,0)-MATCH($H$1,floors!$1:$1,0)+1),MATCH(J$1,floors!$1:$1,0)-MATCH($H$1,floors!$1:$1,0)+1,FALSE)</f>
        <v>60</v>
      </c>
      <c r="K3" s="124">
        <v>2</v>
      </c>
      <c r="L3" s="124">
        <v>2</v>
      </c>
      <c r="M3" s="143">
        <v>1150</v>
      </c>
      <c r="N3" s="144" t="str">
        <f ca="1">VLOOKUP($M3,OFFSET([3]enemies!$A$1,0,0,COUNTA([3]enemies!$A:$A),MATCH(N$1,[3]enemies!$1:$1,0)-MATCH($M$1,[3]enemies!$1:$1,0)+1),MATCH(N$1,[3]enemies!$1:$1,0)-MATCH($M$1,[3]enemies!$1:$1,0)+1,FALSE)</f>
        <v>封智の元創神 ブラフマー</v>
      </c>
      <c r="O3" s="144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44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44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44">
        <f ca="1">VLOOKUP($M3,OFFSET([3]enemies!$A$1,0,0,COUNTA([3]enemies!$A:$A),MATCH(R$1,[3]enemies!$1:$1,0)-MATCH($M$1,[3]enemies!$1:$1,0)+1),MATCH(R$1,[3]enemies!$1:$1,0)-MATCH($M$1,[3]enemies!$1:$1,0)+1,FALSE)</f>
        <v>60</v>
      </c>
      <c r="S3" s="145">
        <v>80</v>
      </c>
      <c r="T3" s="146">
        <v>3.5</v>
      </c>
      <c r="U3" s="14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418974.5</v>
      </c>
      <c r="V3" s="146">
        <v>1.1000000000000001</v>
      </c>
      <c r="W3" s="14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8807.7000000000007</v>
      </c>
      <c r="X3" s="145">
        <v>0</v>
      </c>
      <c r="Y3" s="142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7">
        <v>40035114</v>
      </c>
      <c r="AA3" s="153">
        <v>1</v>
      </c>
    </row>
    <row r="4" spans="1:27" ht="21" customHeight="1" thickTop="1" x14ac:dyDescent="0.15">
      <c r="A4" s="16" t="str">
        <f t="shared" si="0"/>
        <v>40035_2-3/1149&lt;lv99&gt;sq3st2</v>
      </c>
      <c r="B4" s="22">
        <v>40035</v>
      </c>
      <c r="C4" s="114">
        <v>2</v>
      </c>
      <c r="D4" s="116" t="str">
        <f t="shared" si="1"/>
        <v>40035_2</v>
      </c>
      <c r="E4" s="4" t="str">
        <f ca="1">VLOOKUP($B4,OFFSET([2]quests!$A$1,0,0,COUNTA([2]quests!$A:$A),MATCH(E$1,[2]quests!$1:$1,0)-MATCH($B$1,[2]quests!$1:$1,0)+1),MATCH(E$1,[2]quests!$1:$1,0)-MATCH($B$1,[2]quests!$1:$1,0)+1,FALSE)</f>
        <v>ブラフマー襲来！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【ウィザード級】ブラフマー襲来</v>
      </c>
      <c r="G4" s="114">
        <v>3</v>
      </c>
      <c r="H4" s="116" t="str">
        <f t="shared" si="2"/>
        <v>40035_2-3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17">
        <v>3</v>
      </c>
      <c r="L4" s="117">
        <v>2</v>
      </c>
      <c r="M4" s="134">
        <v>1149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ブラフマー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35">
        <v>99</v>
      </c>
      <c r="T4" s="136">
        <v>3.2</v>
      </c>
      <c r="U4" s="13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472364.80000000005</v>
      </c>
      <c r="V4" s="136">
        <v>1.3</v>
      </c>
      <c r="W4" s="13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12834.9</v>
      </c>
      <c r="X4" s="13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7">
        <v>40035105</v>
      </c>
      <c r="AA4" s="152">
        <v>1</v>
      </c>
    </row>
    <row r="5" spans="1:27" ht="21" customHeight="1" x14ac:dyDescent="0.15">
      <c r="A5" s="16" t="str">
        <f t="shared" si="0"/>
        <v>40035_2-5/1150&lt;lv99&gt;sq4st2</v>
      </c>
      <c r="B5" s="22">
        <v>40035</v>
      </c>
      <c r="C5" s="21">
        <v>2</v>
      </c>
      <c r="D5" s="2" t="str">
        <f t="shared" si="1"/>
        <v>40035_2</v>
      </c>
      <c r="E5" s="4" t="str">
        <f ca="1">VLOOKUP($B5,OFFSET([2]quests!$A$1,0,0,COUNTA([2]quests!$A:$A),MATCH(E$1,[2]quests!$1:$1,0)-MATCH($B$1,[2]quests!$1:$1,0)+1),MATCH(E$1,[2]quests!$1:$1,0)-MATCH($B$1,[2]quests!$1:$1,0)+1,FALSE)</f>
        <v>ブラフマー襲来！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【ウィザード級】ブラフマー襲来</v>
      </c>
      <c r="G5" s="21">
        <v>5</v>
      </c>
      <c r="H5" s="15" t="str">
        <f t="shared" si="2"/>
        <v>40035_2-5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1150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封智の元創神 ブラフマー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99</v>
      </c>
      <c r="T5" s="25">
        <v>5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738070</v>
      </c>
      <c r="V5" s="25">
        <v>1.1000000000000001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10860.300000000001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7">
        <v>40035108</v>
      </c>
      <c r="AA5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8"/>
  <sheetViews>
    <sheetView showGridLines="0" zoomScale="115" zoomScaleNormal="115" zoomScalePageLayoutView="115" workbookViewId="0">
      <pane xSplit="5" ySplit="1" topLeftCell="F57" activePane="bottomRight" state="frozen"/>
      <selection pane="topRight"/>
      <selection pane="bottomLeft"/>
      <selection pane="bottomRight" activeCell="B78" sqref="B7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3.832031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40035100_40035100</v>
      </c>
      <c r="B2" s="47">
        <v>40035100</v>
      </c>
      <c r="C2" s="47">
        <v>40035100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あぁ…どうしましょう…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最近ブラフマーの様子がおかしいの…</v>
      </c>
      <c r="F2" s="47">
        <v>40035100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20" si="1">B3&amp;"_"&amp;C3</f>
        <v>40035100_40035101</v>
      </c>
      <c r="B3" s="47">
        <v>40035100</v>
      </c>
      <c r="C3" s="47">
        <v>40035101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女神の試練・序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種族ヒューマンに大ダメージの全体攻撃</v>
      </c>
      <c r="F3" s="47">
        <v>40035101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40035100_40035102</v>
      </c>
      <c r="B4" s="47">
        <v>40035100</v>
      </c>
      <c r="C4" s="47">
        <v>40035102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あなた、強いのね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彼のこと、お願いするわね…</v>
      </c>
      <c r="F4" s="47">
        <v>40035102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40035102_40035103</v>
      </c>
      <c r="B5" s="47">
        <v>40035102</v>
      </c>
      <c r="C5" s="47">
        <v>40035103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レッドトリック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赤パネルは確率でプロテクトされてドロップ</v>
      </c>
      <c r="F5" s="47">
        <v>40035103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40035102_40035104</v>
      </c>
      <c r="B6" s="47">
        <v>40035102</v>
      </c>
      <c r="C6" s="47">
        <v>40035104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フォーカード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パネルをプロテクト(最大4個)+全体攻撃</v>
      </c>
      <c r="F6" s="47">
        <v>40035104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" s="47"/>
      <c r="Q6" s="47"/>
      <c r="R6" s="47"/>
    </row>
    <row r="7" spans="1:18" ht="21" customHeight="1" x14ac:dyDescent="0.15">
      <c r="A7" s="39" t="str">
        <f t="shared" si="1"/>
        <v>40035102_40035105</v>
      </c>
      <c r="B7" s="47">
        <v>40035102</v>
      </c>
      <c r="C7" s="47">
        <v>40035105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逆転してみせるさ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解除されるまで自身の攻撃力UP_x000D_+黄属性以外に大ダメージの全体攻撃</v>
      </c>
      <c r="F7" s="47">
        <v>40035105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40035103_40035106</v>
      </c>
      <c r="B8" s="47">
        <v>40035103</v>
      </c>
      <c r="C8" s="47">
        <v>40035106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プリズンリーフ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緑パネルは確率でプロテクトされてドロップ</v>
      </c>
      <c r="F8" s="47">
        <v>40035106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40035103_40035107</v>
      </c>
      <c r="B9" s="47">
        <v>40035103</v>
      </c>
      <c r="C9" s="47">
        <v>40035107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マジックダガー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9" s="47">
        <v>40035107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40035103_40035108</v>
      </c>
      <c r="B10" s="47">
        <v>40035103</v>
      </c>
      <c r="C10" s="47">
        <v>40035108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サイレンスダガー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全体に3ターンスキルバインド</v>
      </c>
      <c r="F10" s="47">
        <v>40035108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40035104_40035109</v>
      </c>
      <c r="B11" s="47">
        <v>40035104</v>
      </c>
      <c r="C11" s="47">
        <v>40035109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女神の試練・極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【1ターンで出来る限りダメージを与えよう！】</v>
      </c>
      <c r="F11" s="47">
        <v>40035109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40035104_40035110</v>
      </c>
      <c r="B12" s="47">
        <v>40035104</v>
      </c>
      <c r="C12" s="47">
        <v>40035110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慎重ね…良いことだわ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5ターン回復効果を付与+1ターン行動不能</v>
      </c>
      <c r="F12" s="47">
        <v>40035110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8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76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40035104_40035111</v>
      </c>
      <c r="B13" s="47">
        <v>40035104</v>
      </c>
      <c r="C13" s="47">
        <v>40035111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堅実ね…素敵だわ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5ターン回復効果を付与+1ターン行動不能</v>
      </c>
      <c r="F13" s="47">
        <v>40035111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3" s="48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51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40035104_40035112</v>
      </c>
      <c r="B14" s="47">
        <v>40035104</v>
      </c>
      <c r="C14" s="47">
        <v>40035112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努力家ね…素晴らしいわ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5ターン回復効果を付与+ボムパネル生成_x000D_+1ターン行動不能</v>
      </c>
      <c r="F14" s="47">
        <v>40035112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26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40035104_40035113</v>
      </c>
      <c r="B15" s="47">
        <v>40035104</v>
      </c>
      <c r="C15" s="47">
        <v>40035113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天才的…！すごいわ！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5ターン回復効果を付与+ボムパネル生成_x000D_+1ターン行動不能</v>
      </c>
      <c r="F15" s="47">
        <v>40035113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5" s="48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1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40035104_40035114</v>
      </c>
      <c r="B16" s="47">
        <v>40035104</v>
      </c>
      <c r="C16" s="47">
        <v>40035114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え…体が消えていく…！？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ブラフマー…どうして…！</v>
      </c>
      <c r="F16" s="47">
        <v>40035114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40035105_40035115</v>
      </c>
      <c r="B17" s="47">
        <v>40035105</v>
      </c>
      <c r="C17" s="47">
        <v>40035115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あれ？おかしいなぁ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サラを修復したはずなのに…</v>
      </c>
      <c r="F17" s="47">
        <v>40035115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40035105_40035116</v>
      </c>
      <c r="B18" s="47">
        <v>40035105</v>
      </c>
      <c r="C18" s="47">
        <v>40035116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てか…修復ってなんだっけ？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パネルをプロテクト(最大15個)</v>
      </c>
      <c r="F18" s="47">
        <v>40035116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40035105_40035117</v>
      </c>
      <c r="B19" s="47">
        <v>40035105</v>
      </c>
      <c r="C19" s="47">
        <v>40035117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僕が…サラを消した…？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47">
        <v>40035117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40035105_40035118</v>
      </c>
      <c r="B20" s="47">
        <v>40035105</v>
      </c>
      <c r="C20" s="47">
        <v>40035118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デリートってなんだっけ？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パネルをプロテクト(最大15個)</v>
      </c>
      <c r="F20" s="47">
        <v>40035118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26" si="2">B21&amp;"_"&amp;C21</f>
        <v>40035105_40035119</v>
      </c>
      <c r="B21" s="47">
        <v>40035105</v>
      </c>
      <c r="C21" s="47">
        <v>40035119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サラって…誰だっけ…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47">
        <v>40035119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40035105_40035120</v>
      </c>
      <c r="B22" s="47">
        <v>40035105</v>
      </c>
      <c r="C22" s="47">
        <v>40035120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修復エラー？なんだこれ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パネルをプロテクト(最大15個)</v>
      </c>
      <c r="F22" s="47">
        <v>40035120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40035105_40035121</v>
      </c>
      <c r="B23" s="47">
        <v>40035105</v>
      </c>
      <c r="C23" s="47">
        <v>40035121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ぐぅっ……頭が痛い！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3" s="47">
        <v>40035121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3" s="47"/>
      <c r="Q23" s="47"/>
      <c r="R23" s="47"/>
    </row>
    <row r="24" spans="1:18" ht="21" customHeight="1" x14ac:dyDescent="0.15">
      <c r="A24" s="39" t="str">
        <f t="shared" si="2"/>
        <v>40035105_40035122</v>
      </c>
      <c r="B24" s="47">
        <v>40035105</v>
      </c>
      <c r="C24" s="47">
        <v>40035122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僕は…僕は何を…？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（なし）</v>
      </c>
      <c r="F24" s="47">
        <v>40035122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40035106_40035123</v>
      </c>
      <c r="B25" s="47">
        <v>40035106</v>
      </c>
      <c r="C25" s="47">
        <v>40035123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ダーク・バミューダ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状態異常耐性+2ターン暗闇</v>
      </c>
      <c r="F25" s="47">
        <v>40035123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40035106_40035124</v>
      </c>
      <c r="B26" s="47">
        <v>40035106</v>
      </c>
      <c r="C26" s="47">
        <v>40035124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スティッキーバブル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青パネルをプロテクト(最大6個)</v>
      </c>
      <c r="F26" s="47">
        <v>40035124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6" s="47"/>
      <c r="Q26" s="47"/>
      <c r="R26" s="47"/>
    </row>
    <row r="27" spans="1:18" ht="21" customHeight="1" x14ac:dyDescent="0.15">
      <c r="A27" s="39" t="str">
        <f t="shared" ref="A27:A45" si="3">B27&amp;"_"&amp;C27</f>
        <v>40035106_40035125</v>
      </c>
      <c r="B27" s="47">
        <v>40035106</v>
      </c>
      <c r="C27" s="47">
        <v>40035125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沈めてあげるわ…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 xml:space="preserve">青パネルを吸収し、攻撃 </v>
      </c>
      <c r="F27" s="47">
        <v>40035125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7" s="47"/>
      <c r="Q27" s="47"/>
      <c r="R27" s="47"/>
    </row>
    <row r="28" spans="1:18" ht="21" customHeight="1" x14ac:dyDescent="0.15">
      <c r="A28" s="39" t="str">
        <f t="shared" ref="A28:A29" si="4">B28&amp;"_"&amp;C28</f>
        <v>40035107_40035151</v>
      </c>
      <c r="B28" s="47">
        <v>40035107</v>
      </c>
      <c r="C28" s="47">
        <v>40035151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インドラ、修復が必要かい？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28" s="47">
        <v>40035151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1158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40035107_40035152</v>
      </c>
      <c r="B29" s="47">
        <v>40035107</v>
      </c>
      <c r="C29" s="47">
        <v>40035152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あなたは…シヴァ…？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29" s="47">
        <v>40035152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3"/>
        <v>40035107_40035151</v>
      </c>
      <c r="B30" s="47">
        <v>40035107</v>
      </c>
      <c r="C30" s="47">
        <v>40035151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インドラ、修復が必要かい？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30" s="47">
        <v>40035153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1157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" si="5">B31&amp;"_"&amp;C31</f>
        <v>40035107_40035152</v>
      </c>
      <c r="B31" s="47">
        <v>40035107</v>
      </c>
      <c r="C31" s="47">
        <v>40035152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あなたは…シヴァ…？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31" s="47">
        <v>40035154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6">B32&amp;"_"&amp;C32</f>
        <v>40035107_40035152</v>
      </c>
      <c r="B32" s="47">
        <v>40035107</v>
      </c>
      <c r="C32" s="47">
        <v>40035152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あなたは…シヴァ…？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32" s="47">
        <v>40035155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40035107_40035126</v>
      </c>
      <c r="B33" s="47">
        <v>40035107</v>
      </c>
      <c r="C33" s="47">
        <v>40035126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君たちも修復する？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33" s="47">
        <v>40035126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40035107_40035127</v>
      </c>
      <c r="B34" s="47">
        <v>40035107</v>
      </c>
      <c r="C34" s="47">
        <v>40035127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ウィルス注意？まぁいっか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3ターンウィルス</v>
      </c>
      <c r="F34" s="47">
        <v>40035127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40035107_40035149</v>
      </c>
      <c r="B35" s="47">
        <v>40035107</v>
      </c>
      <c r="C35" s="47">
        <v>40035149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デフラグするね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緑パネルを吸収し、攻撃</v>
      </c>
      <c r="F35" s="47">
        <v>40035149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" si="7">B36&amp;"_"&amp;C36</f>
        <v>40035107_40035128</v>
      </c>
      <c r="B36" s="47">
        <v>40035107</v>
      </c>
      <c r="C36" s="47">
        <v>40035128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デリート、っと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36" s="47">
        <v>40035128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40035107_40035129</v>
      </c>
      <c r="B37" s="47">
        <v>40035107</v>
      </c>
      <c r="C37" s="47">
        <v>40035129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おとなしくしててね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5ターン攻撃力を50％DOWN</v>
      </c>
      <c r="F37" s="47">
        <v>40035129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40035108_40035130</v>
      </c>
      <c r="B38" s="47">
        <v>40035108</v>
      </c>
      <c r="C38" s="47">
        <v>40035130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ハッ…僕は…ぐ…グァァ！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38" s="47">
        <v>40035130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40035108_40035131</v>
      </c>
      <c r="B39" s="47">
        <v>40035108</v>
      </c>
      <c r="C39" s="47">
        <v>40035131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「自己修復アプリ起動」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自身の防御力UP</v>
      </c>
      <c r="F39" s="47">
        <v>40035131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" si="8">B40&amp;"_"&amp;C40</f>
        <v>40035108_40035136</v>
      </c>
      <c r="B40" s="47">
        <v>40035108</v>
      </c>
      <c r="C40" s="47">
        <v>40035136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0" s="47">
        <v>40035132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3"/>
        <v>40035108_40035132</v>
      </c>
      <c r="B41" s="47">
        <v>40035108</v>
      </c>
      <c r="C41" s="47">
        <v>40035132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助けてくれ…僕を…サラを…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ボムパネルを3個生成</v>
      </c>
      <c r="F41" s="47">
        <v>40035133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3"/>
        <v>40035108_40035136</v>
      </c>
      <c r="B42" s="47">
        <v>40035108</v>
      </c>
      <c r="C42" s="47">
        <v>40035136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2" s="47">
        <v>40035134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40035108_40035133</v>
      </c>
      <c r="B43" s="47">
        <v>40035108</v>
      </c>
      <c r="C43" s="47">
        <v>40035133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ぐっ…バグが溢れる…！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1ターン攻撃力を50%DOWN+全体攻撃</v>
      </c>
      <c r="F43" s="47">
        <v>40035135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40035108_40035134</v>
      </c>
      <c r="B44" s="47">
        <v>40035108</v>
      </c>
      <c r="C44" s="47">
        <v>40035134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これを…！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ボムパネルを1個生成</v>
      </c>
      <c r="F44" s="47">
        <v>40035136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40035108_40035136</v>
      </c>
      <c r="B45" s="47">
        <v>40035108</v>
      </c>
      <c r="C45" s="47">
        <v>40035136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5" s="47">
        <v>40035137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9" si="9">B46&amp;"_"&amp;C46</f>
        <v>40035108_40035135</v>
      </c>
      <c r="B46" s="47">
        <v>40035108</v>
      </c>
      <c r="C46" s="47">
        <v>40035135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ダメだ…逃げて…くれ…！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46" s="47">
        <v>40035138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9"/>
        <v>40035108_40035137</v>
      </c>
      <c r="B47" s="47">
        <v>40035108</v>
      </c>
      <c r="C47" s="47">
        <v>40035137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＜＜強制終了シマスカ？＞＞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7" s="47">
        <v>40035139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9"/>
        <v>40035108_40035138</v>
      </c>
      <c r="B48" s="47">
        <v>40035108</v>
      </c>
      <c r="C48" s="47">
        <v>40035138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そうか…僕は暴走していたんだね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ありがとう　サラのところに行くよ…！</v>
      </c>
      <c r="F48" s="47">
        <v>40035140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9"/>
        <v>40035108_40035136</v>
      </c>
      <c r="B49" s="47">
        <v>40035108</v>
      </c>
      <c r="C49" s="47">
        <v>40035136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9" s="47">
        <v>40035141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:A55" si="10">B50&amp;"_"&amp;C50</f>
        <v>40035109_40035139</v>
      </c>
      <c r="B50" s="47">
        <v>40035109</v>
      </c>
      <c r="C50" s="47">
        <v>40035139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レッドトリック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赤パネルは確率でプロテクトされてドロップ</v>
      </c>
      <c r="F50" s="47">
        <v>40035103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0"/>
        <v>40035109_40035104</v>
      </c>
      <c r="B51" s="47">
        <v>40035109</v>
      </c>
      <c r="C51" s="47">
        <v>40035104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フォーカード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パネルをプロテクト(最大4個)+全体攻撃</v>
      </c>
      <c r="F51" s="47">
        <v>40035104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1" s="47"/>
      <c r="Q51" s="47"/>
      <c r="R51" s="47"/>
    </row>
    <row r="52" spans="1:18" ht="21" customHeight="1" x14ac:dyDescent="0.15">
      <c r="A52" s="39" t="str">
        <f t="shared" si="10"/>
        <v>40035109_40035105</v>
      </c>
      <c r="B52" s="47">
        <v>40035109</v>
      </c>
      <c r="C52" s="47">
        <v>40035105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逆転してみせるさ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解除されるまで自身の攻撃力UP_x000D_+黄属性以外に大ダメージの全体攻撃</v>
      </c>
      <c r="F52" s="47">
        <v>40035105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0"/>
        <v>40035110_40035140</v>
      </c>
      <c r="B53" s="47">
        <v>40035110</v>
      </c>
      <c r="C53" s="47">
        <v>40035140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プリズンリーフ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緑パネルは確率でプロテクトされてドロップ</v>
      </c>
      <c r="F53" s="47">
        <v>40035106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0"/>
        <v>40035110_40035141</v>
      </c>
      <c r="B54" s="47">
        <v>40035110</v>
      </c>
      <c r="C54" s="47">
        <v>40035141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マジックダガー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54" s="47">
        <v>40035107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0"/>
        <v>40035110_40035108</v>
      </c>
      <c r="B55" s="47">
        <v>40035110</v>
      </c>
      <c r="C55" s="47">
        <v>40035108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サイレンスダガー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全体に3ターンスキルバインド</v>
      </c>
      <c r="F55" s="47">
        <v>40035108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ref="A56:A63" si="11">B56&amp;"_"&amp;C56</f>
        <v>40035111_40035115</v>
      </c>
      <c r="B56" s="47">
        <v>40035111</v>
      </c>
      <c r="C56" s="47">
        <v>40035115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あれ？おかしいなぁ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サラを修復したはずなのに…</v>
      </c>
      <c r="F56" s="47">
        <v>40035115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1"/>
        <v>40035111_40035142</v>
      </c>
      <c r="B57" s="47">
        <v>40035111</v>
      </c>
      <c r="C57" s="47">
        <v>40035142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てか…修復ってなんだっけ？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パネルをプロテクト(最大6個)</v>
      </c>
      <c r="F57" s="47">
        <v>40035116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1"/>
        <v>40035111_40035117</v>
      </c>
      <c r="B58" s="47">
        <v>40035111</v>
      </c>
      <c r="C58" s="47">
        <v>40035117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僕が…サラを消した…？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8" s="47">
        <v>40035117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1"/>
        <v>40035111_40035143</v>
      </c>
      <c r="B59" s="47">
        <v>40035111</v>
      </c>
      <c r="C59" s="47">
        <v>40035143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デリートってなんだっけ？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パネルをプロテクト(最大6個)</v>
      </c>
      <c r="F59" s="47">
        <v>40035118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1"/>
        <v>40035111_40035119</v>
      </c>
      <c r="B60" s="47">
        <v>40035111</v>
      </c>
      <c r="C60" s="47">
        <v>40035119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サラって…誰だっけ…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0" s="47">
        <v>40035119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1"/>
        <v>40035111_40035144</v>
      </c>
      <c r="B61" s="47">
        <v>40035111</v>
      </c>
      <c r="C61" s="47">
        <v>40035144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修復エラー？なんだこれ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パネルをプロテクト(最大6個)</v>
      </c>
      <c r="F61" s="47">
        <v>40035120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1"/>
        <v>40035111_40035121</v>
      </c>
      <c r="B62" s="47">
        <v>40035111</v>
      </c>
      <c r="C62" s="47">
        <v>40035121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ぐぅっ……頭が痛い！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2" s="47">
        <v>40035121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2" s="47"/>
      <c r="Q62" s="47"/>
      <c r="R62" s="47"/>
    </row>
    <row r="63" spans="1:18" ht="21" customHeight="1" x14ac:dyDescent="0.15">
      <c r="A63" s="39" t="str">
        <f t="shared" si="11"/>
        <v>40035111_40035122</v>
      </c>
      <c r="B63" s="47">
        <v>40035111</v>
      </c>
      <c r="C63" s="47">
        <v>40035122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僕は…僕は何を…？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（なし）</v>
      </c>
      <c r="F63" s="47">
        <v>40035122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:A88" si="12">B64&amp;"_"&amp;C64</f>
        <v>40035112_40035123</v>
      </c>
      <c r="B64" s="47">
        <v>40035112</v>
      </c>
      <c r="C64" s="47">
        <v>40035123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ダーク・バミューダ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状態異常耐性+2ターン暗闇</v>
      </c>
      <c r="F64" s="47">
        <v>40035123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2"/>
        <v>40035112_40035124</v>
      </c>
      <c r="B65" s="47">
        <v>40035112</v>
      </c>
      <c r="C65" s="47">
        <v>40035124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スティッキーバブル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青パネルをプロテクト(最大6個)</v>
      </c>
      <c r="F65" s="47">
        <v>40035124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65" s="47"/>
      <c r="Q65" s="47"/>
      <c r="R65" s="47"/>
    </row>
    <row r="66" spans="1:18" ht="21" customHeight="1" x14ac:dyDescent="0.15">
      <c r="A66" s="39" t="str">
        <f t="shared" si="12"/>
        <v>40035112_40035145</v>
      </c>
      <c r="B66" s="47">
        <v>40035112</v>
      </c>
      <c r="C66" s="47">
        <v>40035145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沈めてあげるわ…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青パネルを吸収し、攻撃</v>
      </c>
      <c r="F66" s="47">
        <v>40035125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6" s="47"/>
      <c r="Q66" s="47"/>
      <c r="R66" s="47"/>
    </row>
    <row r="67" spans="1:18" ht="21" customHeight="1" x14ac:dyDescent="0.15">
      <c r="A67" s="39" t="str">
        <f t="shared" si="12"/>
        <v>40035113_40035153</v>
      </c>
      <c r="B67" s="47">
        <v>40035113</v>
      </c>
      <c r="C67" s="47">
        <v>40035153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インドラ、修復が必要かい？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67" s="47">
        <v>40035151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1158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40035113_40035154</v>
      </c>
      <c r="B68" s="47">
        <v>40035113</v>
      </c>
      <c r="C68" s="47">
        <v>40035154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あなたは…シヴァ…？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68" s="47">
        <v>40035152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2"/>
        <v>40035113_40035153</v>
      </c>
      <c r="B69" s="47">
        <v>40035113</v>
      </c>
      <c r="C69" s="47">
        <v>40035153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インドラ、修復が必要かい？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69" s="47">
        <v>40035153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1157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2"/>
        <v>40035113_40035154</v>
      </c>
      <c r="B70" s="47">
        <v>40035113</v>
      </c>
      <c r="C70" s="47">
        <v>40035154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あなたは…シヴァ…？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70" s="47">
        <v>40035154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2"/>
        <v>40035113_40035154</v>
      </c>
      <c r="B71" s="47">
        <v>40035113</v>
      </c>
      <c r="C71" s="47">
        <v>40035154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あなたは…シヴァ…？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71" s="47">
        <v>40035155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2"/>
        <v>40035113_40035146</v>
      </c>
      <c r="B72" s="47">
        <v>40035113</v>
      </c>
      <c r="C72" s="47">
        <v>40035146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君たちも修復する？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72" s="47">
        <v>40035126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2"/>
        <v>40035113_40035127</v>
      </c>
      <c r="B73" s="47">
        <v>40035113</v>
      </c>
      <c r="C73" s="47">
        <v>40035127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ウィルス注意？まぁいっか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3ターンウィルス</v>
      </c>
      <c r="F73" s="47">
        <v>40035127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2"/>
        <v>40035113_40035149</v>
      </c>
      <c r="B74" s="47">
        <v>40035113</v>
      </c>
      <c r="C74" s="47">
        <v>40035149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デフラグするね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緑パネルを吸収し、攻撃</v>
      </c>
      <c r="F74" s="47">
        <v>40035149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2"/>
        <v>40035113_40035147</v>
      </c>
      <c r="B75" s="47">
        <v>40035113</v>
      </c>
      <c r="C75" s="47">
        <v>40035147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デリート、っと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75" s="47">
        <v>40035128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2"/>
        <v>40035113_40035129</v>
      </c>
      <c r="B76" s="47">
        <v>40035113</v>
      </c>
      <c r="C76" s="47">
        <v>40035129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おとなしくしててね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5ターン攻撃力を50％DOWN</v>
      </c>
      <c r="F76" s="47">
        <v>40035129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2"/>
        <v>40035114_40035148</v>
      </c>
      <c r="B77" s="47">
        <v>40035114</v>
      </c>
      <c r="C77" s="47">
        <v>40035148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ハッ…僕は…ぐ…グァァ！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状態異常耐性_x000D_+属性パネルは確率でプロテクトされてドロップ</v>
      </c>
      <c r="F77" s="47">
        <v>40035130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2"/>
        <v>40035114_40035131</v>
      </c>
      <c r="B78" s="47">
        <v>40035114</v>
      </c>
      <c r="C78" s="47">
        <v>40035131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「自己修復アプリ起動」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自身の防御力UP</v>
      </c>
      <c r="F78" s="47">
        <v>40035131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2"/>
        <v>40035114_40035136</v>
      </c>
      <c r="B79" s="47">
        <v>40035114</v>
      </c>
      <c r="C79" s="47">
        <v>40035136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9" s="47">
        <v>40035132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2"/>
        <v>40035114_40035132</v>
      </c>
      <c r="B80" s="47">
        <v>40035114</v>
      </c>
      <c r="C80" s="47">
        <v>40035132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助けてくれ…僕を…サラを…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ボムパネルを3個生成</v>
      </c>
      <c r="F80" s="47">
        <v>40035133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2"/>
        <v>40035114_40035136</v>
      </c>
      <c r="B81" s="47">
        <v>40035114</v>
      </c>
      <c r="C81" s="47">
        <v>40035136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1" s="47">
        <v>40035134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2"/>
        <v>40035114_40035133</v>
      </c>
      <c r="B82" s="47">
        <v>40035114</v>
      </c>
      <c r="C82" s="47">
        <v>40035133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ぐっ…バグが溢れる…！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1ターン攻撃力を50%DOWN+全体攻撃</v>
      </c>
      <c r="F82" s="47">
        <v>40035135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2"/>
        <v>40035114_40035134</v>
      </c>
      <c r="B83" s="47">
        <v>40035114</v>
      </c>
      <c r="C83" s="47">
        <v>40035134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これを…！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ボムパネルを1個生成</v>
      </c>
      <c r="F83" s="47">
        <v>40035136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2"/>
        <v>40035114_40035136</v>
      </c>
      <c r="B84" s="47">
        <v>40035114</v>
      </c>
      <c r="C84" s="47">
        <v>40035136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4" s="47">
        <v>40035137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2"/>
        <v>40035114_40035135</v>
      </c>
      <c r="B85" s="47">
        <v>40035114</v>
      </c>
      <c r="C85" s="47">
        <v>40035135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ダメだ…逃げて…くれ…！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残りHPの50％ダメージ！</v>
      </c>
      <c r="F85" s="47">
        <v>40035138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2"/>
        <v>40035114_40035137</v>
      </c>
      <c r="B86" s="47">
        <v>40035114</v>
      </c>
      <c r="C86" s="47">
        <v>40035137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＜＜強制終了シマスカ？＞＞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6" s="47">
        <v>40035139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2"/>
        <v>40035114_40035138</v>
      </c>
      <c r="B87" s="47">
        <v>40035114</v>
      </c>
      <c r="C87" s="47">
        <v>40035138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そうか…僕は暴走していたんだね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ありがとう　サラのところに行くよ…！</v>
      </c>
      <c r="F87" s="47">
        <v>40035140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2"/>
        <v>40035114_40035136</v>
      </c>
      <c r="B88" s="47">
        <v>40035114</v>
      </c>
      <c r="C88" s="47">
        <v>40035136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＜＜修復エラー！＞＞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8" s="47">
        <v>40035141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6"/>
  <sheetViews>
    <sheetView showGridLines="0" tabSelected="1" zoomScale="126" zoomScaleNormal="126" zoomScalePageLayoutView="126" workbookViewId="0">
      <pane ySplit="1" topLeftCell="A25" activePane="bottomLeft" state="frozenSplit"/>
      <selection pane="bottomLeft" activeCell="B34" sqref="B3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3.5" style="49" customWidth="1"/>
    <col min="3" max="4" width="8.33203125" style="49" customWidth="1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40035100</v>
      </c>
      <c r="B2" s="47" t="s">
        <v>267</v>
      </c>
      <c r="C2" s="50">
        <v>3</v>
      </c>
      <c r="D2" s="50" t="s">
        <v>126</v>
      </c>
      <c r="E2" s="51" t="s">
        <v>262</v>
      </c>
      <c r="F2" s="51" t="s">
        <v>286</v>
      </c>
      <c r="G2" s="64" t="str">
        <f>IFERROR(LEFT(B2,FIND("],",B2)),B2)</f>
        <v>[effect:fix_speed, target:myself, turn:1]</v>
      </c>
      <c r="H2" s="64">
        <f>FIND("effect:",G2)+7</f>
        <v>9</v>
      </c>
      <c r="I2" s="64">
        <f>IFERROR(FIND(",",G2),LEN(G2))</f>
        <v>18</v>
      </c>
      <c r="J2" s="64">
        <f>FIND("target:",G2)+7</f>
        <v>27</v>
      </c>
      <c r="K2" s="64">
        <f>FIND(",",G2,I2+1)</f>
        <v>33</v>
      </c>
      <c r="L2" s="64" t="str">
        <f>IFERROR(VLOOKUP(MID(G2,J2,K2-J2),[6]skilldef!$C:$D,2,FALSE),"-") &amp; " / " &amp; IFERROR(VLOOKUP(MID(G2,H2,I2-H2),[6]skilldef!$A:$B,2,FALSE),"-")</f>
        <v>自分自身に / 行動値設定</v>
      </c>
      <c r="M2" s="64" t="str">
        <f>IFERROR(RIGHT(B2,LEN(B2)-FIND("],",B2)-1),"none")</f>
        <v xml:space="preserve">[effect:enemy_message, val1:1.2, val2:2]    </v>
      </c>
      <c r="N2" s="48" t="str">
        <f>IFERROR(LEFT(M2,FIND("],",M2)+S12),M2)</f>
        <v xml:space="preserve">[effect:enemy_message, val1:1.2, val2:2]    </v>
      </c>
      <c r="O2" s="64">
        <f>FIND("effect:",N2)+7</f>
        <v>9</v>
      </c>
      <c r="P2" s="64">
        <f>IFERROR(FIND(",",N2),LEN(N2))</f>
        <v>22</v>
      </c>
      <c r="Q2" s="64" t="e">
        <f>FIND("target:",N2)+7</f>
        <v>#VALUE!</v>
      </c>
      <c r="R2" s="64">
        <f>FIND(",",N2,P2+1)</f>
        <v>32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40035101</v>
      </c>
      <c r="B3" s="47" t="s">
        <v>338</v>
      </c>
      <c r="C3" s="50">
        <v>3</v>
      </c>
      <c r="D3" s="50" t="s">
        <v>126</v>
      </c>
      <c r="E3" s="51" t="s">
        <v>334</v>
      </c>
      <c r="F3" s="51" t="s">
        <v>339</v>
      </c>
      <c r="G3" s="64" t="str">
        <f t="shared" ref="G3:G28" si="0">IFERROR(LEFT(B3,FIND("],",B3)),B3)</f>
        <v>[effect:damage_anti_tribe, target:unit_all, tribe:human, val1:0.35, val2:0.25]</v>
      </c>
      <c r="H3" s="64">
        <f t="shared" ref="H3:H28" si="1">FIND("effect:",G3)+7</f>
        <v>9</v>
      </c>
      <c r="I3" s="64">
        <f t="shared" ref="I3:I28" si="2">IFERROR(FIND(",",G3),LEN(G3))</f>
        <v>26</v>
      </c>
      <c r="J3" s="64">
        <f t="shared" ref="J3:J28" si="3">FIND("target:",G3)+7</f>
        <v>35</v>
      </c>
      <c r="K3" s="64">
        <f t="shared" ref="K3:K28" si="4">FIND(",",G3,I3+1)</f>
        <v>43</v>
      </c>
      <c r="L3" s="64" t="str">
        <f>IFERROR(VLOOKUP(MID(G3,J3,K3-J3),[6]skilldef!$C:$D,2,FALSE),"-") &amp; " / " &amp; IFERROR(VLOOKUP(MID(G3,H3,I3-H3),[6]skilldef!$A:$B,2,FALSE),"-")</f>
        <v>味方全体に / 種族キラー</v>
      </c>
      <c r="M3" s="64" t="str">
        <f t="shared" ref="M3:M28" si="5">IFERROR(RIGHT(B3,LEN(B3)-FIND("],",B3)-1),"none")</f>
        <v>none</v>
      </c>
      <c r="N3" s="48" t="str">
        <f t="shared" ref="N3:N28" si="6">IFERROR(LEFT(M3,FIND("],",M3)+S13),M3)</f>
        <v>none</v>
      </c>
      <c r="O3" s="64" t="e">
        <f t="shared" ref="O3:O28" si="7">FIND("effect:",N3)+7</f>
        <v>#VALUE!</v>
      </c>
      <c r="P3" s="64">
        <f t="shared" ref="P3:P28" si="8">IFERROR(FIND(",",N3),LEN(N3))</f>
        <v>4</v>
      </c>
      <c r="Q3" s="64" t="e">
        <f t="shared" ref="Q3:Q28" si="9">FIND("target:",N3)+7</f>
        <v>#VALUE!</v>
      </c>
      <c r="R3" s="64" t="e">
        <f t="shared" ref="R3:R28" si="10"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28" si="11">IFERROR(RIGHT(M3,LEN(M3)-FIND("],",M3)-1),"none")</f>
        <v>none</v>
      </c>
      <c r="U3" s="64" t="e">
        <f t="shared" ref="U3:U28" si="12">FIND("effect:",T3)+7</f>
        <v>#VALUE!</v>
      </c>
      <c r="V3" s="64">
        <f t="shared" ref="V3:V28" si="13">IFERROR(FIND(",",T3),LEN(T3))</f>
        <v>4</v>
      </c>
      <c r="W3" s="64" t="e">
        <f t="shared" ref="W3:W28" si="14">FIND("target:",T3)+7</f>
        <v>#VALUE!</v>
      </c>
      <c r="X3" s="64" t="e">
        <f t="shared" ref="X3:X28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40035102</v>
      </c>
      <c r="B4" s="47" t="s">
        <v>333</v>
      </c>
      <c r="C4" s="50">
        <v>3</v>
      </c>
      <c r="D4" s="50" t="s">
        <v>126</v>
      </c>
      <c r="E4" s="51" t="s">
        <v>287</v>
      </c>
      <c r="F4" s="51" t="s">
        <v>255</v>
      </c>
      <c r="G4" s="64" t="str">
        <f t="shared" si="0"/>
        <v xml:space="preserve">[effect:enemy_message, val1:1.2, val2:2.5, dead_type:escape]    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40035103</v>
      </c>
      <c r="B5" s="47" t="s">
        <v>263</v>
      </c>
      <c r="C5" s="50">
        <v>3</v>
      </c>
      <c r="D5" s="50" t="s">
        <v>126</v>
      </c>
      <c r="E5" s="51" t="s">
        <v>289</v>
      </c>
      <c r="F5" s="51" t="s">
        <v>399</v>
      </c>
      <c r="G5" s="64" t="str">
        <f t="shared" si="0"/>
        <v>[effect:drop_freeze, turn:-1, block_type:normal, block_color:block_red, frozen_count:1, rate:0.8, animation:drop_protect]</v>
      </c>
      <c r="H5" s="64">
        <f t="shared" si="1"/>
        <v>9</v>
      </c>
      <c r="I5" s="64">
        <f t="shared" si="2"/>
        <v>20</v>
      </c>
      <c r="J5" s="64" t="e">
        <f t="shared" si="3"/>
        <v>#VALUE!</v>
      </c>
      <c r="K5" s="64">
        <f t="shared" si="4"/>
        <v>29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40035104</v>
      </c>
      <c r="B6" s="47" t="s">
        <v>290</v>
      </c>
      <c r="C6" s="50">
        <v>3</v>
      </c>
      <c r="D6" s="50" t="s">
        <v>126</v>
      </c>
      <c r="E6" s="51" t="s">
        <v>297</v>
      </c>
      <c r="F6" s="51" t="s">
        <v>402</v>
      </c>
      <c r="G6" s="64" t="str">
        <f t="shared" si="0"/>
        <v>[effect:spread, val:0.28]</v>
      </c>
      <c r="H6" s="64">
        <f t="shared" si="1"/>
        <v>9</v>
      </c>
      <c r="I6" s="64">
        <f t="shared" si="2"/>
        <v>15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全体攻撃</v>
      </c>
      <c r="M6" s="64" t="str">
        <f t="shared" si="5"/>
        <v>[effect:panel_freeze, target:block_all, count:4]</v>
      </c>
      <c r="N6" s="48" t="str">
        <f t="shared" si="6"/>
        <v>[effect:panel_freeze, target:block_all, count:4]</v>
      </c>
      <c r="O6" s="64">
        <f t="shared" si="7"/>
        <v>9</v>
      </c>
      <c r="P6" s="64">
        <f t="shared" si="8"/>
        <v>21</v>
      </c>
      <c r="Q6" s="64">
        <f t="shared" si="9"/>
        <v>30</v>
      </c>
      <c r="R6" s="64">
        <f t="shared" si="10"/>
        <v>39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40035105</v>
      </c>
      <c r="B7" s="47" t="s">
        <v>397</v>
      </c>
      <c r="C7" s="50">
        <v>3</v>
      </c>
      <c r="D7" s="50" t="s">
        <v>126</v>
      </c>
      <c r="E7" s="51" t="s">
        <v>395</v>
      </c>
      <c r="F7" s="51" t="s">
        <v>370</v>
      </c>
      <c r="G7" s="64" t="str">
        <f t="shared" si="0"/>
        <v>[effect:enemy_message, val1:1.2]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 t="e">
        <f t="shared" si="4"/>
        <v>#VALUE!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[effect:damage_anti_color, target:unit_all, color:yellow, val1:0.25, val2:0.6],[effect:enhance_enemy, target:myself, turn:-1, status:attack, val:0.4, calc:mul, animation:enemy_enhance_attack]</v>
      </c>
      <c r="N7" s="48" t="str">
        <f t="shared" si="6"/>
        <v>[effect:damage_anti_color, target:unit_all, color:yellow, val1:0.25, val2:0.6],[effect:enhance_enemy, target:myself, turn:-1, status:attack, val:0.4, calc:mul, animation:enemy_enhance_attack]</v>
      </c>
      <c r="O7" s="64">
        <f t="shared" si="7"/>
        <v>9</v>
      </c>
      <c r="P7" s="64">
        <f t="shared" si="8"/>
        <v>26</v>
      </c>
      <c r="Q7" s="64">
        <f t="shared" si="9"/>
        <v>35</v>
      </c>
      <c r="R7" s="64">
        <f t="shared" si="10"/>
        <v>43</v>
      </c>
      <c r="S7" s="64" t="str">
        <f>IFERROR(VLOOKUP(MID(N7,Q7,R7-Q7),[6]skilldef!$C:$D,2,FALSE),"-") &amp; " / " &amp; IFERROR(VLOOKUP(MID(N7,O7,P7-O7),[6]skilldef!$A:$B,2,FALSE),"-")</f>
        <v>味方全体に / 属性キラー</v>
      </c>
      <c r="T7" s="48" t="str">
        <f t="shared" si="11"/>
        <v>[effect:enhance_enemy, target:myself, turn:-1, status:attack, val:0.4, calc:mul, animation:enemy_enhance_attack]</v>
      </c>
      <c r="U7" s="64">
        <f t="shared" si="12"/>
        <v>9</v>
      </c>
      <c r="V7" s="64">
        <f t="shared" si="13"/>
        <v>22</v>
      </c>
      <c r="W7" s="64">
        <f t="shared" si="14"/>
        <v>31</v>
      </c>
      <c r="X7" s="64">
        <f t="shared" si="15"/>
        <v>37</v>
      </c>
      <c r="Y7" s="64" t="str">
        <f>IFERROR(VLOOKUP(MID(T7,W7,X7-W7),[6]skilldef!$C:$D,2,FALSE),"-") &amp; " / " &amp; IFERROR(VLOOKUP(MID(T7,U7,V7-U7),[6]skilldef!$A:$B,2,FALSE),"-")</f>
        <v>自分自身に / ステータス強化</v>
      </c>
      <c r="Z7" s="50"/>
      <c r="AA7" s="52"/>
      <c r="AB7" s="50"/>
    </row>
    <row r="8" spans="1:28" ht="21" customHeight="1" x14ac:dyDescent="0.15">
      <c r="A8" s="47">
        <v>40035106</v>
      </c>
      <c r="B8" s="47" t="s">
        <v>264</v>
      </c>
      <c r="C8" s="50">
        <v>3</v>
      </c>
      <c r="D8" s="50" t="s">
        <v>126</v>
      </c>
      <c r="E8" s="51" t="s">
        <v>312</v>
      </c>
      <c r="F8" s="51" t="s">
        <v>398</v>
      </c>
      <c r="G8" s="64" t="str">
        <f t="shared" si="0"/>
        <v xml:space="preserve">[effect:drop_freeze, turn:-1, block_type:normal, block_color:block_green, frozen_count:1, rate:0.8, animation:drop_protect]    </v>
      </c>
      <c r="H8" s="64">
        <f t="shared" si="1"/>
        <v>9</v>
      </c>
      <c r="I8" s="64">
        <f t="shared" si="2"/>
        <v>20</v>
      </c>
      <c r="J8" s="64" t="e">
        <f t="shared" si="3"/>
        <v>#VALUE!</v>
      </c>
      <c r="K8" s="64">
        <f t="shared" si="4"/>
        <v>29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none</v>
      </c>
      <c r="N8" s="48" t="str">
        <f t="shared" si="6"/>
        <v>none</v>
      </c>
      <c r="O8" s="64" t="e">
        <f t="shared" si="7"/>
        <v>#VALUE!</v>
      </c>
      <c r="P8" s="64">
        <f t="shared" si="8"/>
        <v>4</v>
      </c>
      <c r="Q8" s="64" t="e">
        <f t="shared" si="9"/>
        <v>#VALUE!</v>
      </c>
      <c r="R8" s="64" t="e">
        <f t="shared" si="10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40035107</v>
      </c>
      <c r="B9" s="47" t="s">
        <v>265</v>
      </c>
      <c r="C9" s="50">
        <v>3</v>
      </c>
      <c r="D9" s="50" t="s">
        <v>126</v>
      </c>
      <c r="E9" s="51" t="s">
        <v>283</v>
      </c>
      <c r="F9" s="51" t="s">
        <v>316</v>
      </c>
      <c r="G9" s="64" t="str">
        <f t="shared" si="0"/>
        <v xml:space="preserve">[effect:break_attack_fix, target:unit_all, val:150, lowest_val:1000, count:-1, color:blue, block01:block_red]    </v>
      </c>
      <c r="H9" s="64">
        <f t="shared" si="1"/>
        <v>9</v>
      </c>
      <c r="I9" s="64">
        <f t="shared" si="2"/>
        <v>25</v>
      </c>
      <c r="J9" s="64">
        <f t="shared" si="3"/>
        <v>34</v>
      </c>
      <c r="K9" s="64">
        <f t="shared" si="4"/>
        <v>42</v>
      </c>
      <c r="L9" s="64" t="str">
        <f>IFERROR(VLOOKUP(MID(G9,J9,K9-J9),[6]skilldef!$C:$D,2,FALSE),"-") &amp; " / " &amp; IFERROR(VLOOKUP(MID(G9,H9,I9-H9),[6]skilldef!$A:$B,2,FALSE),"-")</f>
        <v>味方全体に / -</v>
      </c>
      <c r="M9" s="64" t="str">
        <f t="shared" si="5"/>
        <v>none</v>
      </c>
      <c r="N9" s="48" t="str">
        <f t="shared" si="6"/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40035108</v>
      </c>
      <c r="B10" s="47" t="s">
        <v>282</v>
      </c>
      <c r="C10" s="50">
        <v>3</v>
      </c>
      <c r="D10" s="50" t="s">
        <v>126</v>
      </c>
      <c r="E10" s="51" t="s">
        <v>288</v>
      </c>
      <c r="F10" s="51" t="s">
        <v>317</v>
      </c>
      <c r="G10" s="64" t="str">
        <f t="shared" si="0"/>
        <v>[effect:hungup, target:unit_all, turn:3, rate:1, animation:hungup01]</v>
      </c>
      <c r="H10" s="64">
        <f t="shared" si="1"/>
        <v>9</v>
      </c>
      <c r="I10" s="64">
        <f t="shared" si="2"/>
        <v>15</v>
      </c>
      <c r="J10" s="64">
        <f t="shared" si="3"/>
        <v>24</v>
      </c>
      <c r="K10" s="64">
        <f t="shared" si="4"/>
        <v>32</v>
      </c>
      <c r="L10" s="64" t="str">
        <f>IFERROR(VLOOKUP(MID(G10,J10,K10-J10),[6]skilldef!$C:$D,2,FALSE),"-") &amp; " / " &amp; IFERROR(VLOOKUP(MID(G10,H10,I10-H10),[6]skilldef!$A:$B,2,FALSE),"-")</f>
        <v>味方全体に / ハングアップ</v>
      </c>
      <c r="M10" s="64" t="str">
        <f t="shared" si="5"/>
        <v>none</v>
      </c>
      <c r="N10" s="48" t="str">
        <f t="shared" si="6"/>
        <v>none</v>
      </c>
      <c r="O10" s="64" t="e">
        <f t="shared" si="7"/>
        <v>#VALUE!</v>
      </c>
      <c r="P10" s="64">
        <f t="shared" si="8"/>
        <v>4</v>
      </c>
      <c r="Q10" s="64" t="e">
        <f t="shared" si="9"/>
        <v>#VALUE!</v>
      </c>
      <c r="R10" s="64" t="e">
        <f t="shared" si="10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40035109</v>
      </c>
      <c r="B11" s="47" t="s">
        <v>337</v>
      </c>
      <c r="C11" s="50">
        <v>3</v>
      </c>
      <c r="D11" s="50" t="s">
        <v>126</v>
      </c>
      <c r="E11" s="51" t="s">
        <v>335</v>
      </c>
      <c r="F11" s="51" t="s">
        <v>332</v>
      </c>
      <c r="G11" s="64" t="str">
        <f t="shared" si="0"/>
        <v>[effect:fix_speed, target:myself, turn:1]</v>
      </c>
      <c r="H11" s="64">
        <f t="shared" si="1"/>
        <v>9</v>
      </c>
      <c r="I11" s="64">
        <f t="shared" si="2"/>
        <v>18</v>
      </c>
      <c r="J11" s="64">
        <f t="shared" si="3"/>
        <v>27</v>
      </c>
      <c r="K11" s="64">
        <f t="shared" si="4"/>
        <v>33</v>
      </c>
      <c r="L11" s="64" t="str">
        <f>IFERROR(VLOOKUP(MID(G11,J11,K11-J11),[6]skilldef!$C:$D,2,FALSE),"-") &amp; " / " &amp; IFERROR(VLOOKUP(MID(G11,H11,I11-H11),[6]skilldef!$A:$B,2,FALSE),"-")</f>
        <v>自分自身に / 行動値設定</v>
      </c>
      <c r="M11" s="64" t="str">
        <f t="shared" si="5"/>
        <v xml:space="preserve">[effect:enemy_message, val1:1.2, val2:3.1]    </v>
      </c>
      <c r="N11" s="48" t="str">
        <f t="shared" si="6"/>
        <v xml:space="preserve">[effect:enemy_message, val1:1.2, val2:3.1]    </v>
      </c>
      <c r="O11" s="64">
        <f t="shared" si="7"/>
        <v>9</v>
      </c>
      <c r="P11" s="64">
        <f t="shared" si="8"/>
        <v>22</v>
      </c>
      <c r="Q11" s="64" t="e">
        <f t="shared" si="9"/>
        <v>#VALUE!</v>
      </c>
      <c r="R11" s="64">
        <f t="shared" si="10"/>
        <v>32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40035110</v>
      </c>
      <c r="B12" s="47" t="s">
        <v>373</v>
      </c>
      <c r="C12" s="50">
        <v>3</v>
      </c>
      <c r="D12" s="50" t="s">
        <v>126</v>
      </c>
      <c r="E12" s="51" t="s">
        <v>258</v>
      </c>
      <c r="F12" s="51" t="s">
        <v>380</v>
      </c>
      <c r="G12" s="64" t="str">
        <f t="shared" si="0"/>
        <v>[effect:enemy_message, val1:1.2, val2:2]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 xml:space="preserve">[effect:regenerate, turn:5, val:0.06, type:hp_ratio, animation:heal01],[effect:sleep, target:unit_all, turn:1, rate:1, calc_type:target_all]    </v>
      </c>
      <c r="N12" s="48" t="str">
        <f t="shared" si="6"/>
        <v xml:space="preserve">[effect:regenerate, turn:5, val:0.06, type:hp_ratio, animation:heal01],[effect:sleep, target:unit_all, turn:1, rate:1, calc_type:target_all]    </v>
      </c>
      <c r="O12" s="64">
        <f t="shared" si="7"/>
        <v>9</v>
      </c>
      <c r="P12" s="64">
        <f t="shared" si="8"/>
        <v>19</v>
      </c>
      <c r="Q12" s="64">
        <f t="shared" si="9"/>
        <v>94</v>
      </c>
      <c r="R12" s="64">
        <f t="shared" si="10"/>
        <v>27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 xml:space="preserve">[effect:sleep, target:unit_all, turn:1, rate:1, calc_type:target_all]    </v>
      </c>
      <c r="U12" s="64">
        <f t="shared" si="12"/>
        <v>9</v>
      </c>
      <c r="V12" s="64">
        <f t="shared" si="13"/>
        <v>14</v>
      </c>
      <c r="W12" s="64">
        <f t="shared" si="14"/>
        <v>23</v>
      </c>
      <c r="X12" s="64">
        <f t="shared" si="15"/>
        <v>31</v>
      </c>
      <c r="Y12" s="64" t="str">
        <f>IFERROR(VLOOKUP(MID(T12,W12,X12-W12),[6]skilldef!$C:$D,2,FALSE),"-") &amp; " / " &amp; IFERROR(VLOOKUP(MID(T12,U12,V12-U12),[6]skilldef!$A:$B,2,FALSE),"-")</f>
        <v>味方全体に / スリープ</v>
      </c>
      <c r="Z12" s="50"/>
      <c r="AA12" s="52"/>
      <c r="AB12" s="50"/>
    </row>
    <row r="13" spans="1:28" ht="21" customHeight="1" x14ac:dyDescent="0.15">
      <c r="A13" s="47">
        <v>40035111</v>
      </c>
      <c r="B13" s="47" t="s">
        <v>372</v>
      </c>
      <c r="C13" s="50">
        <v>3</v>
      </c>
      <c r="D13" s="50" t="s">
        <v>126</v>
      </c>
      <c r="E13" s="51" t="s">
        <v>257</v>
      </c>
      <c r="F13" s="51" t="s">
        <v>381</v>
      </c>
      <c r="G13" s="64" t="str">
        <f t="shared" si="0"/>
        <v>[effect:enemy_message, val1:1.2, val2:2]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 xml:space="preserve">[effect:regenerate, turn:5, val:0.08, type:hp_ratio, animation:heal01],[effect:sleep, target:unit_all, turn:1, rate:1, calc_type:target_all]    </v>
      </c>
      <c r="N13" s="48" t="str">
        <f t="shared" si="6"/>
        <v xml:space="preserve">[effect:regenerate, turn:5, val:0.08, type:hp_ratio, animation:heal01],[effect:sleep, target:unit_all, turn:1, rate:1, calc_type:target_all]    </v>
      </c>
      <c r="O13" s="64">
        <f t="shared" si="7"/>
        <v>9</v>
      </c>
      <c r="P13" s="64">
        <f t="shared" si="8"/>
        <v>19</v>
      </c>
      <c r="Q13" s="64">
        <f t="shared" si="9"/>
        <v>94</v>
      </c>
      <c r="R13" s="64">
        <f t="shared" si="10"/>
        <v>27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 xml:space="preserve">[effect:sleep, target:unit_all, turn:1, rate:1, calc_type:target_all]    </v>
      </c>
      <c r="U13" s="64">
        <f t="shared" si="12"/>
        <v>9</v>
      </c>
      <c r="V13" s="64">
        <f t="shared" si="13"/>
        <v>14</v>
      </c>
      <c r="W13" s="64">
        <f t="shared" si="14"/>
        <v>23</v>
      </c>
      <c r="X13" s="64">
        <f t="shared" si="15"/>
        <v>31</v>
      </c>
      <c r="Y13" s="64" t="str">
        <f>IFERROR(VLOOKUP(MID(T13,W13,X13-W13),[6]skilldef!$C:$D,2,FALSE),"-") &amp; " / " &amp; IFERROR(VLOOKUP(MID(T13,U13,V13-U13),[6]skilldef!$A:$B,2,FALSE),"-")</f>
        <v>味方全体に / スリープ</v>
      </c>
      <c r="Z13" s="50"/>
      <c r="AA13" s="52"/>
      <c r="AB13" s="50"/>
    </row>
    <row r="14" spans="1:28" ht="21" customHeight="1" x14ac:dyDescent="0.15">
      <c r="A14" s="47">
        <v>40035112</v>
      </c>
      <c r="B14" s="47" t="s">
        <v>408</v>
      </c>
      <c r="C14" s="50">
        <v>3</v>
      </c>
      <c r="D14" s="50" t="s">
        <v>126</v>
      </c>
      <c r="E14" s="51" t="s">
        <v>256</v>
      </c>
      <c r="F14" s="51" t="s">
        <v>382</v>
      </c>
      <c r="G14" s="64" t="str">
        <f t="shared" si="0"/>
        <v>[effect:enemy_message, val1:1.2, val2:2.2]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 xml:space="preserve">[effect:regenerate, turn:5, val:0.1, type:hp_ratio, animation:heal01],[effect:force_change_block, new_block:crack_bomb, target:block_all, ignore01:block_positive, ignore02:block_heart, color:block_yellow, count:1, val:12, animation:change_block],[effect:sleep, target:unit_all, turn:1, rate:1, calc_type:target_all]    </v>
      </c>
      <c r="N14" s="48" t="str">
        <f t="shared" si="6"/>
        <v xml:space="preserve">[effect:regenerate, turn:5, val:0.1, type:hp_ratio, animation:heal01],[effect:force_change_block, new_block:crack_bomb, target:block_all, ignore01:block_positive, ignore02:block_heart, color:block_yellow, count:1, val:12, animation:change_block],[effect:sleep, target:unit_all, turn:1, rate:1, calc_type:target_all]    </v>
      </c>
      <c r="O14" s="64">
        <f t="shared" si="7"/>
        <v>9</v>
      </c>
      <c r="P14" s="64">
        <f t="shared" si="8"/>
        <v>19</v>
      </c>
      <c r="Q14" s="64">
        <f t="shared" si="9"/>
        <v>128</v>
      </c>
      <c r="R14" s="64">
        <f t="shared" si="10"/>
        <v>27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 xml:space="preserve">[effect:force_change_block, new_block:crack_bomb, target:block_all, ignore01:block_positive, ignore02:block_heart, color:block_yellow, count:1, val:12, animation:change_block],[effect:sleep, target:unit_all, turn:1, rate:1, calc_type:target_all]    </v>
      </c>
      <c r="U14" s="64">
        <f t="shared" si="12"/>
        <v>9</v>
      </c>
      <c r="V14" s="64">
        <f t="shared" si="13"/>
        <v>27</v>
      </c>
      <c r="W14" s="64">
        <f t="shared" si="14"/>
        <v>58</v>
      </c>
      <c r="X14" s="64">
        <f t="shared" si="15"/>
        <v>49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40035113</v>
      </c>
      <c r="B15" s="47" t="s">
        <v>409</v>
      </c>
      <c r="C15" s="50">
        <v>3</v>
      </c>
      <c r="D15" s="50" t="s">
        <v>126</v>
      </c>
      <c r="E15" s="51" t="s">
        <v>259</v>
      </c>
      <c r="F15" s="51" t="s">
        <v>383</v>
      </c>
      <c r="G15" s="64" t="str">
        <f t="shared" si="0"/>
        <v>[effect:enemy_message, val1:1.2, val2:2.2]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5"/>
        <v>[effect:regenerate, turn:5, val:0.12, type:hp_ratio, animation:heal01],[effect:force_change_block, new_block:crack_bomb, target:block_all, ignore01:block_positive, ignore02:block_heart, color:block_yellow, count:2, val:15, animation:change_block],[effect:sleep, target:unit_all, turn:1, rate:1, calc_type:target_all]</v>
      </c>
      <c r="N15" s="48" t="str">
        <f t="shared" si="6"/>
        <v>[effect:regenerate, turn:5, val:0.12, type:hp_ratio, animation:heal01],[effect:force_change_block, new_block:crack_bomb, target:block_all, ignore01:block_positive, ignore02:block_heart, color:block_yellow, count:2, val:15, animation:change_block],[effect:sleep, target:unit_all, turn:1, rate:1, calc_type:target_all]</v>
      </c>
      <c r="O15" s="64">
        <f t="shared" si="7"/>
        <v>9</v>
      </c>
      <c r="P15" s="64">
        <f t="shared" si="8"/>
        <v>19</v>
      </c>
      <c r="Q15" s="64">
        <f t="shared" si="9"/>
        <v>129</v>
      </c>
      <c r="R15" s="64">
        <f t="shared" si="10"/>
        <v>27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[effect:force_change_block, new_block:crack_bomb, target:block_all, ignore01:block_positive, ignore02:block_heart, color:block_yellow, count:2, val:15, animation:change_block],[effect:sleep, target:unit_all, turn:1, rate:1, calc_type:target_all]</v>
      </c>
      <c r="U15" s="64">
        <f t="shared" si="12"/>
        <v>9</v>
      </c>
      <c r="V15" s="64">
        <f t="shared" si="13"/>
        <v>27</v>
      </c>
      <c r="W15" s="64">
        <f t="shared" si="14"/>
        <v>58</v>
      </c>
      <c r="X15" s="64">
        <f t="shared" si="15"/>
        <v>49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40035114</v>
      </c>
      <c r="B16" s="47" t="s">
        <v>307</v>
      </c>
      <c r="C16" s="50">
        <v>3</v>
      </c>
      <c r="D16" s="50" t="s">
        <v>126</v>
      </c>
      <c r="E16" s="51" t="s">
        <v>306</v>
      </c>
      <c r="F16" s="51" t="s">
        <v>309</v>
      </c>
      <c r="G16" s="64" t="str">
        <f t="shared" si="0"/>
        <v>[effect:enemy_message, val1:2, val2:2]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>
        <f t="shared" si="4"/>
        <v>30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[effect:suicide, val:1]</v>
      </c>
      <c r="N16" s="48" t="str">
        <f t="shared" si="6"/>
        <v>[effect:suicide, val:1]</v>
      </c>
      <c r="O16" s="64">
        <f t="shared" si="7"/>
        <v>9</v>
      </c>
      <c r="P16" s="64">
        <f t="shared" si="8"/>
        <v>16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40035115</v>
      </c>
      <c r="B17" s="47" t="s">
        <v>268</v>
      </c>
      <c r="C17" s="50">
        <v>3</v>
      </c>
      <c r="D17" s="50" t="s">
        <v>126</v>
      </c>
      <c r="E17" s="51" t="s">
        <v>260</v>
      </c>
      <c r="F17" s="51" t="s">
        <v>308</v>
      </c>
      <c r="G17" s="64" t="str">
        <f t="shared" si="0"/>
        <v>[effect:fix_speed, target:myself, turn:1]</v>
      </c>
      <c r="H17" s="64">
        <f t="shared" si="1"/>
        <v>9</v>
      </c>
      <c r="I17" s="64">
        <f t="shared" si="2"/>
        <v>18</v>
      </c>
      <c r="J17" s="64">
        <f t="shared" si="3"/>
        <v>27</v>
      </c>
      <c r="K17" s="64">
        <f t="shared" si="4"/>
        <v>33</v>
      </c>
      <c r="L17" s="64" t="str">
        <f>IFERROR(VLOOKUP(MID(G17,J17,K17-J17),[6]skilldef!$C:$D,2,FALSE),"-") &amp; " / " &amp; IFERROR(VLOOKUP(MID(G17,H17,I17-H17),[6]skilldef!$A:$B,2,FALSE),"-")</f>
        <v>自分自身に / 行動値設定</v>
      </c>
      <c r="M17" s="64" t="str">
        <f t="shared" si="5"/>
        <v xml:space="preserve">[effect:enemy_message, val1:1.2, val2:2]    </v>
      </c>
      <c r="N17" s="48" t="str">
        <f t="shared" si="6"/>
        <v xml:space="preserve">[effect:enemy_message, val1:1.2, val2:2]    </v>
      </c>
      <c r="O17" s="64">
        <f t="shared" si="7"/>
        <v>9</v>
      </c>
      <c r="P17" s="64">
        <f t="shared" si="8"/>
        <v>22</v>
      </c>
      <c r="Q17" s="64" t="e">
        <f t="shared" si="9"/>
        <v>#VALUE!</v>
      </c>
      <c r="R17" s="64">
        <f t="shared" si="10"/>
        <v>32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40035116</v>
      </c>
      <c r="B18" s="47" t="s">
        <v>305</v>
      </c>
      <c r="C18" s="50">
        <v>3</v>
      </c>
      <c r="D18" s="50" t="s">
        <v>126</v>
      </c>
      <c r="E18" s="49" t="s">
        <v>270</v>
      </c>
      <c r="F18" s="51" t="s">
        <v>400</v>
      </c>
      <c r="G18" s="64" t="str">
        <f t="shared" si="0"/>
        <v>[effect:panel_freeze, target:block_all, count:15]</v>
      </c>
      <c r="H18" s="64">
        <f t="shared" si="1"/>
        <v>9</v>
      </c>
      <c r="I18" s="64">
        <f t="shared" si="2"/>
        <v>21</v>
      </c>
      <c r="J18" s="64">
        <f t="shared" si="3"/>
        <v>30</v>
      </c>
      <c r="K18" s="64">
        <f t="shared" si="4"/>
        <v>39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>[effect:rush, count:1, val:1]</v>
      </c>
      <c r="N18" s="48" t="str">
        <f t="shared" si="6"/>
        <v>[effect:rush, count:1, val:1]</v>
      </c>
      <c r="O18" s="64">
        <f t="shared" si="7"/>
        <v>9</v>
      </c>
      <c r="P18" s="64">
        <f t="shared" si="8"/>
        <v>13</v>
      </c>
      <c r="Q18" s="64" t="e">
        <f t="shared" si="9"/>
        <v>#VALUE!</v>
      </c>
      <c r="R18" s="64">
        <f t="shared" si="10"/>
        <v>22</v>
      </c>
      <c r="S18" s="64" t="str">
        <f>IFERROR(VLOOKUP(MID(N18,Q18,R18-Q18),[6]skilldef!$C:$D,2,FALSE),"-") &amp; " / " &amp; IFERROR(VLOOKUP(MID(N18,O18,P18-O18),[6]skilldef!$A:$B,2,FALSE),"-")</f>
        <v>- / 連続攻撃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40035117</v>
      </c>
      <c r="B19" s="47" t="s">
        <v>315</v>
      </c>
      <c r="C19" s="50">
        <v>3</v>
      </c>
      <c r="D19" s="50" t="s">
        <v>126</v>
      </c>
      <c r="E19" s="51" t="s">
        <v>336</v>
      </c>
      <c r="F19" s="51" t="s">
        <v>352</v>
      </c>
      <c r="G19" s="64" t="str">
        <f t="shared" si="0"/>
        <v>[effect:critical, val:1.55]</v>
      </c>
      <c r="H19" s="64">
        <f t="shared" si="1"/>
        <v>9</v>
      </c>
      <c r="I19" s="64">
        <f t="shared" si="2"/>
        <v>17</v>
      </c>
      <c r="J19" s="64" t="e">
        <f t="shared" si="3"/>
        <v>#VALUE!</v>
      </c>
      <c r="K19" s="64" t="e">
        <f t="shared" si="4"/>
        <v>#VALUE!</v>
      </c>
      <c r="L19" s="64" t="str">
        <f>IFERROR(VLOOKUP(MID(G19,J19,K19-J19),[6]skilldef!$C:$D,2,FALSE),"-") &amp; " / " &amp; IFERROR(VLOOKUP(MID(G19,H19,I19-H19),[6]skilldef!$A:$B,2,FALSE),"-")</f>
        <v>- / 大攻撃</v>
      </c>
      <c r="M19" s="64" t="str">
        <f t="shared" si="5"/>
        <v>none</v>
      </c>
      <c r="N19" s="48" t="str">
        <f t="shared" si="6"/>
        <v>none</v>
      </c>
      <c r="O19" s="64" t="e">
        <f t="shared" si="7"/>
        <v>#VALUE!</v>
      </c>
      <c r="P19" s="64">
        <f t="shared" si="8"/>
        <v>4</v>
      </c>
      <c r="Q19" s="64" t="e">
        <f t="shared" si="9"/>
        <v>#VALUE!</v>
      </c>
      <c r="R19" s="64" t="e">
        <f t="shared" si="10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4" t="e">
        <f t="shared" si="12"/>
        <v>#VALUE!</v>
      </c>
      <c r="V19" s="64">
        <f t="shared" si="13"/>
        <v>4</v>
      </c>
      <c r="W19" s="64" t="e">
        <f t="shared" si="14"/>
        <v>#VALUE!</v>
      </c>
      <c r="X19" s="64" t="e">
        <f t="shared" si="15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40035118</v>
      </c>
      <c r="B20" s="47" t="s">
        <v>305</v>
      </c>
      <c r="C20" s="50">
        <v>3</v>
      </c>
      <c r="D20" s="50" t="s">
        <v>126</v>
      </c>
      <c r="E20" s="51" t="s">
        <v>269</v>
      </c>
      <c r="F20" s="51" t="s">
        <v>401</v>
      </c>
      <c r="G20" s="64" t="str">
        <f t="shared" si="0"/>
        <v>[effect:panel_freeze, target:block_all, count:15]</v>
      </c>
      <c r="H20" s="64">
        <f t="shared" si="1"/>
        <v>9</v>
      </c>
      <c r="I20" s="64">
        <f t="shared" si="2"/>
        <v>21</v>
      </c>
      <c r="J20" s="64">
        <f t="shared" si="3"/>
        <v>30</v>
      </c>
      <c r="K20" s="64">
        <f t="shared" si="4"/>
        <v>39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"/>
        <v>[effect:rush, count:1, val:1]</v>
      </c>
      <c r="N20" s="48" t="str">
        <f t="shared" si="6"/>
        <v>[effect:rush, count:1, val:1]</v>
      </c>
      <c r="O20" s="64">
        <f t="shared" si="7"/>
        <v>9</v>
      </c>
      <c r="P20" s="64">
        <f t="shared" si="8"/>
        <v>13</v>
      </c>
      <c r="Q20" s="64" t="e">
        <f t="shared" si="9"/>
        <v>#VALUE!</v>
      </c>
      <c r="R20" s="64">
        <f t="shared" si="10"/>
        <v>22</v>
      </c>
      <c r="S20" s="64" t="str">
        <f>IFERROR(VLOOKUP(MID(N20,Q20,R20-Q20),[6]skilldef!$C:$D,2,FALSE),"-") &amp; " / " &amp; IFERROR(VLOOKUP(MID(N20,O20,P20-O20),[6]skilldef!$A:$B,2,FALSE),"-")</f>
        <v>- / 連続攻撃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40035119</v>
      </c>
      <c r="B21" s="47" t="s">
        <v>322</v>
      </c>
      <c r="C21" s="50">
        <v>3</v>
      </c>
      <c r="D21" s="50" t="s">
        <v>126</v>
      </c>
      <c r="E21" s="51" t="s">
        <v>314</v>
      </c>
      <c r="F21" s="51" t="s">
        <v>352</v>
      </c>
      <c r="G21" s="64" t="str">
        <f t="shared" si="0"/>
        <v>[effect:critical, val:1.55]</v>
      </c>
      <c r="H21" s="64">
        <f t="shared" si="1"/>
        <v>9</v>
      </c>
      <c r="I21" s="64">
        <f t="shared" si="2"/>
        <v>17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IFERROR(VLOOKUP(MID(G21,J21,K21-J21),[6]skilldef!$C:$D,2,FALSE),"-") &amp; " / " &amp; IFERROR(VLOOKUP(MID(G21,H21,I21-H21),[6]skilldef!$A:$B,2,FALSE),"-")</f>
        <v>- / 大攻撃</v>
      </c>
      <c r="M21" s="64" t="str">
        <f t="shared" si="5"/>
        <v>none</v>
      </c>
      <c r="N21" s="48" t="str">
        <f t="shared" si="6"/>
        <v>none</v>
      </c>
      <c r="O21" s="64" t="e">
        <f t="shared" si="7"/>
        <v>#VALUE!</v>
      </c>
      <c r="P21" s="64">
        <f t="shared" si="8"/>
        <v>4</v>
      </c>
      <c r="Q21" s="64" t="e">
        <f t="shared" si="9"/>
        <v>#VALUE!</v>
      </c>
      <c r="R21" s="64" t="e">
        <f t="shared" si="10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4" t="e">
        <f t="shared" si="12"/>
        <v>#VALUE!</v>
      </c>
      <c r="V21" s="64">
        <f t="shared" si="13"/>
        <v>4</v>
      </c>
      <c r="W21" s="64" t="e">
        <f t="shared" si="14"/>
        <v>#VALUE!</v>
      </c>
      <c r="X21" s="64" t="e">
        <f t="shared" si="15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40035120</v>
      </c>
      <c r="B22" s="47" t="s">
        <v>305</v>
      </c>
      <c r="C22" s="50">
        <v>3</v>
      </c>
      <c r="D22" s="50" t="s">
        <v>126</v>
      </c>
      <c r="E22" s="51" t="s">
        <v>266</v>
      </c>
      <c r="F22" s="51" t="s">
        <v>400</v>
      </c>
      <c r="G22" s="64" t="str">
        <f t="shared" si="0"/>
        <v>[effect:panel_freeze, target:block_all, count:15]</v>
      </c>
      <c r="H22" s="64">
        <f t="shared" si="1"/>
        <v>9</v>
      </c>
      <c r="I22" s="64">
        <f t="shared" si="2"/>
        <v>21</v>
      </c>
      <c r="J22" s="64">
        <f t="shared" si="3"/>
        <v>30</v>
      </c>
      <c r="K22" s="64">
        <f t="shared" si="4"/>
        <v>39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[effect:rush, count:1, val:1]</v>
      </c>
      <c r="N22" s="48" t="str">
        <f t="shared" si="6"/>
        <v>[effect:rush, count:1, val:1]</v>
      </c>
      <c r="O22" s="64">
        <f t="shared" si="7"/>
        <v>9</v>
      </c>
      <c r="P22" s="64">
        <f t="shared" si="8"/>
        <v>13</v>
      </c>
      <c r="Q22" s="64" t="e">
        <f t="shared" si="9"/>
        <v>#VALUE!</v>
      </c>
      <c r="R22" s="64">
        <f t="shared" si="10"/>
        <v>22</v>
      </c>
      <c r="S22" s="64" t="str">
        <f>IFERROR(VLOOKUP(MID(N22,Q22,R22-Q22),[6]skilldef!$C:$D,2,FALSE),"-") &amp; " / " &amp; IFERROR(VLOOKUP(MID(N22,O22,P22-O22),[6]skilldef!$A:$B,2,FALSE),"-")</f>
        <v>- / 連続攻撃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40035121</v>
      </c>
      <c r="B23" s="47" t="s">
        <v>323</v>
      </c>
      <c r="C23" s="50">
        <v>3</v>
      </c>
      <c r="D23" s="50" t="s">
        <v>126</v>
      </c>
      <c r="E23" s="51" t="s">
        <v>261</v>
      </c>
      <c r="F23" s="51" t="s">
        <v>352</v>
      </c>
      <c r="G23" s="64" t="str">
        <f t="shared" si="0"/>
        <v>[effect:critical, val:1.55]</v>
      </c>
      <c r="H23" s="64">
        <f t="shared" si="1"/>
        <v>9</v>
      </c>
      <c r="I23" s="64">
        <f t="shared" si="2"/>
        <v>17</v>
      </c>
      <c r="J23" s="64" t="e">
        <f t="shared" si="3"/>
        <v>#VALUE!</v>
      </c>
      <c r="K23" s="64" t="e">
        <f t="shared" si="4"/>
        <v>#VALUE!</v>
      </c>
      <c r="L23" s="64" t="str">
        <f>IFERROR(VLOOKUP(MID(G23,J23,K23-J23),[6]skilldef!$C:$D,2,FALSE),"-") &amp; " / " &amp; IFERROR(VLOOKUP(MID(G23,H23,I23-H23),[6]skilldef!$A:$B,2,FALSE),"-")</f>
        <v>- / 大攻撃</v>
      </c>
      <c r="M23" s="64" t="str">
        <f t="shared" si="5"/>
        <v>none</v>
      </c>
      <c r="N23" s="48" t="str">
        <f t="shared" si="6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40035122</v>
      </c>
      <c r="B24" s="47" t="s">
        <v>291</v>
      </c>
      <c r="C24" s="50">
        <v>3</v>
      </c>
      <c r="D24" s="50" t="s">
        <v>126</v>
      </c>
      <c r="E24" s="51" t="s">
        <v>310</v>
      </c>
      <c r="F24" s="51" t="s">
        <v>292</v>
      </c>
      <c r="G24" s="64" t="str">
        <f t="shared" si="0"/>
        <v>[effect:enemy_message, val1:1.5, val2:0, dead_type:escape]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32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>none</v>
      </c>
      <c r="N24" s="48" t="str">
        <f t="shared" si="6"/>
        <v>none</v>
      </c>
      <c r="O24" s="64" t="e">
        <f t="shared" si="7"/>
        <v>#VALUE!</v>
      </c>
      <c r="P24" s="64">
        <f t="shared" si="8"/>
        <v>4</v>
      </c>
      <c r="Q24" s="64" t="e">
        <f t="shared" si="9"/>
        <v>#VALUE!</v>
      </c>
      <c r="R24" s="64" t="e">
        <f t="shared" si="10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4" t="e">
        <f t="shared" si="12"/>
        <v>#VALUE!</v>
      </c>
      <c r="V24" s="64">
        <f t="shared" si="13"/>
        <v>4</v>
      </c>
      <c r="W24" s="64" t="e">
        <f t="shared" si="14"/>
        <v>#VALUE!</v>
      </c>
      <c r="X24" s="64" t="e">
        <f t="shared" si="15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40035123</v>
      </c>
      <c r="B25" s="47" t="s">
        <v>271</v>
      </c>
      <c r="C25" s="50">
        <v>3</v>
      </c>
      <c r="D25" s="50" t="s">
        <v>126</v>
      </c>
      <c r="E25" s="51" t="s">
        <v>311</v>
      </c>
      <c r="F25" s="51" t="s">
        <v>371</v>
      </c>
      <c r="G25" s="64" t="str">
        <f t="shared" si="0"/>
        <v>[effect:tolerance, target:myself, turn:-1, tolerance_effect:all, count:-1, animation:enemy_tolerance]</v>
      </c>
      <c r="H25" s="64">
        <f t="shared" si="1"/>
        <v>9</v>
      </c>
      <c r="I25" s="64">
        <f t="shared" si="2"/>
        <v>18</v>
      </c>
      <c r="J25" s="64">
        <f t="shared" si="3"/>
        <v>27</v>
      </c>
      <c r="K25" s="64">
        <f t="shared" si="4"/>
        <v>33</v>
      </c>
      <c r="L25" s="64" t="str">
        <f>IFERROR(VLOOKUP(MID(G25,J25,K25-J25),[6]skilldef!$C:$D,2,FALSE),"-") &amp; " / " &amp; IFERROR(VLOOKUP(MID(G25,H25,I25-H25),[6]skilldef!$A:$B,2,FALSE),"-")</f>
        <v>自分自身に / 状態異常耐性</v>
      </c>
      <c r="M25" s="64" t="str">
        <f t="shared" si="5"/>
        <v xml:space="preserve">[effect:dark, target:unit_all, turn:2, animation:enemy_dark]    </v>
      </c>
      <c r="N25" s="48" t="str">
        <f t="shared" si="6"/>
        <v xml:space="preserve">[effect:dark, target:unit_all, turn:2, animation:enemy_dark]    </v>
      </c>
      <c r="O25" s="64">
        <f t="shared" si="7"/>
        <v>9</v>
      </c>
      <c r="P25" s="64">
        <f t="shared" si="8"/>
        <v>13</v>
      </c>
      <c r="Q25" s="64">
        <f t="shared" si="9"/>
        <v>22</v>
      </c>
      <c r="R25" s="64">
        <f t="shared" si="10"/>
        <v>30</v>
      </c>
      <c r="S25" s="64" t="str">
        <f>IFERROR(VLOOKUP(MID(N25,Q25,R25-Q25),[6]skilldef!$C:$D,2,FALSE),"-") &amp; " / " &amp; IFERROR(VLOOKUP(MID(N25,O25,P25-O25),[6]skilldef!$A:$B,2,FALSE),"-")</f>
        <v>味方全体に / 暗黒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40035124</v>
      </c>
      <c r="B26" s="47" t="s">
        <v>313</v>
      </c>
      <c r="C26" s="50">
        <v>3</v>
      </c>
      <c r="D26" s="50" t="s">
        <v>126</v>
      </c>
      <c r="E26" s="51" t="s">
        <v>285</v>
      </c>
      <c r="F26" s="51" t="s">
        <v>403</v>
      </c>
      <c r="G26" s="64" t="str">
        <f t="shared" si="0"/>
        <v>[effect:panel_freeze, target:normal, color:block_blue, count:6]</v>
      </c>
      <c r="H26" s="64">
        <f t="shared" si="1"/>
        <v>9</v>
      </c>
      <c r="I26" s="64">
        <f t="shared" si="2"/>
        <v>21</v>
      </c>
      <c r="J26" s="64">
        <f t="shared" si="3"/>
        <v>30</v>
      </c>
      <c r="K26" s="64">
        <f t="shared" si="4"/>
        <v>36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"/>
        <v>[effect:rush, count:1, val:1]</v>
      </c>
      <c r="N26" s="48" t="str">
        <f t="shared" si="6"/>
        <v>[effect:rush, count:1, val:1]</v>
      </c>
      <c r="O26" s="64">
        <f t="shared" si="7"/>
        <v>9</v>
      </c>
      <c r="P26" s="64">
        <f t="shared" si="8"/>
        <v>13</v>
      </c>
      <c r="Q26" s="64" t="e">
        <f t="shared" si="9"/>
        <v>#VALUE!</v>
      </c>
      <c r="R26" s="64">
        <f t="shared" si="10"/>
        <v>22</v>
      </c>
      <c r="S26" s="64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40035125</v>
      </c>
      <c r="B27" s="47" t="s">
        <v>272</v>
      </c>
      <c r="C27" s="50">
        <v>3</v>
      </c>
      <c r="D27" s="50" t="s">
        <v>126</v>
      </c>
      <c r="E27" s="51" t="s">
        <v>302</v>
      </c>
      <c r="F27" s="51" t="s">
        <v>343</v>
      </c>
      <c r="G27" s="64" t="str">
        <f t="shared" si="0"/>
        <v>[effect:break_attack_fix, target:unit_all, val:150, lowest_val:1000, count:-1, color:blue, block01:block_blue]</v>
      </c>
      <c r="H27" s="64">
        <f t="shared" si="1"/>
        <v>9</v>
      </c>
      <c r="I27" s="64">
        <f t="shared" si="2"/>
        <v>25</v>
      </c>
      <c r="J27" s="64">
        <f t="shared" si="3"/>
        <v>34</v>
      </c>
      <c r="K27" s="64">
        <f t="shared" si="4"/>
        <v>42</v>
      </c>
      <c r="L27" s="64" t="str">
        <f>IFERROR(VLOOKUP(MID(G27,J27,K27-J27),[6]skilldef!$C:$D,2,FALSE),"-") &amp; " / " &amp; IFERROR(VLOOKUP(MID(G27,H27,I27-H27),[6]skilldef!$A:$B,2,FALSE),"-")</f>
        <v>味方全体に / -</v>
      </c>
      <c r="M27" s="64" t="str">
        <f t="shared" si="5"/>
        <v>none</v>
      </c>
      <c r="N27" s="48" t="str">
        <f t="shared" si="6"/>
        <v>none</v>
      </c>
      <c r="O27" s="64" t="e">
        <f t="shared" si="7"/>
        <v>#VALUE!</v>
      </c>
      <c r="P27" s="64">
        <f t="shared" si="8"/>
        <v>4</v>
      </c>
      <c r="Q27" s="64" t="e">
        <f t="shared" si="9"/>
        <v>#VALUE!</v>
      </c>
      <c r="R27" s="64" t="e">
        <f t="shared" si="10"/>
        <v>#VALUE!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40035126</v>
      </c>
      <c r="B28" s="47" t="s">
        <v>374</v>
      </c>
      <c r="C28" s="50">
        <v>3</v>
      </c>
      <c r="D28" s="50" t="s">
        <v>126</v>
      </c>
      <c r="E28" s="51" t="s">
        <v>301</v>
      </c>
      <c r="F28" s="51" t="s">
        <v>407</v>
      </c>
      <c r="G28" s="64" t="str">
        <f t="shared" si="0"/>
        <v>[effect:enemy_message, val1:1.2, val2:2.2]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 xml:space="preserve">[effect:tolerance, target:myself, turn:-1, tolerance_effect:all, count:-1, animation:enemy_tolerance],[effect:drop_freeze, turn:-1, block_type:normal, frozen_count:1, rate:0.8, animation:drop_protect]    </v>
      </c>
      <c r="N28" s="48" t="str">
        <f t="shared" si="6"/>
        <v xml:space="preserve">[effect:tolerance, target:myself, turn:-1, tolerance_effect:all, count:-1, animation:enemy_tolerance],[effect:drop_freeze, turn:-1, block_type:normal, frozen_count:1, rate:0.8, animation:drop_protect]    </v>
      </c>
      <c r="O28" s="64">
        <f t="shared" si="7"/>
        <v>9</v>
      </c>
      <c r="P28" s="64">
        <f t="shared" si="8"/>
        <v>18</v>
      </c>
      <c r="Q28" s="64">
        <f t="shared" si="9"/>
        <v>27</v>
      </c>
      <c r="R28" s="64">
        <f t="shared" si="10"/>
        <v>33</v>
      </c>
      <c r="S28" s="64" t="str">
        <f>IFERROR(VLOOKUP(MID(N28,Q28,R28-Q28),[6]skilldef!$C:$D,2,FALSE),"-") &amp; " / " &amp; IFERROR(VLOOKUP(MID(N28,O28,P28-O28),[6]skilldef!$A:$B,2,FALSE),"-")</f>
        <v>自分自身に / 状態異常耐性</v>
      </c>
      <c r="T28" s="48" t="str">
        <f t="shared" si="11"/>
        <v xml:space="preserve">[effect:drop_freeze, turn:-1, block_type:normal, frozen_count:1, rate:0.8, animation:drop_protect]    </v>
      </c>
      <c r="U28" s="64">
        <f t="shared" si="12"/>
        <v>9</v>
      </c>
      <c r="V28" s="64">
        <f t="shared" si="13"/>
        <v>20</v>
      </c>
      <c r="W28" s="64" t="e">
        <f t="shared" si="14"/>
        <v>#VALUE!</v>
      </c>
      <c r="X28" s="64">
        <f t="shared" si="15"/>
        <v>29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40035127</v>
      </c>
      <c r="B29" s="47" t="s">
        <v>273</v>
      </c>
      <c r="C29" s="50">
        <v>3</v>
      </c>
      <c r="D29" s="50" t="s">
        <v>126</v>
      </c>
      <c r="E29" s="51" t="s">
        <v>296</v>
      </c>
      <c r="F29" s="51" t="s">
        <v>331</v>
      </c>
      <c r="G29" s="64" t="str">
        <f t="shared" ref="G29:G38" si="16">IFERROR(LEFT(B29,FIND("],",B29)),B29)</f>
        <v xml:space="preserve">[effect:virus, target:unit_all, turn:3, rate:1, val:0.15, animation:enemy_virus]    </v>
      </c>
      <c r="H29" s="64">
        <f t="shared" ref="H29:H38" si="17">FIND("effect:",G29)+7</f>
        <v>9</v>
      </c>
      <c r="I29" s="64">
        <f t="shared" ref="I29:I38" si="18">IFERROR(FIND(",",G29),LEN(G29))</f>
        <v>14</v>
      </c>
      <c r="J29" s="64">
        <f t="shared" ref="J29:J38" si="19">FIND("target:",G29)+7</f>
        <v>23</v>
      </c>
      <c r="K29" s="64">
        <f t="shared" ref="K29:K38" si="20">FIND(",",G29,I29+1)</f>
        <v>31</v>
      </c>
      <c r="L29" s="64" t="str">
        <f>IFERROR(VLOOKUP(MID(G29,J29,K29-J29),[6]skilldef!$C:$D,2,FALSE),"-") &amp; " / " &amp; IFERROR(VLOOKUP(MID(G29,H29,I29-H29),[6]skilldef!$A:$B,2,FALSE),"-")</f>
        <v>味方全体に / ウィルス</v>
      </c>
      <c r="M29" s="64" t="str">
        <f t="shared" ref="M29:M38" si="21">IFERROR(RIGHT(B29,LEN(B29)-FIND("],",B29)-1),"none")</f>
        <v>none</v>
      </c>
      <c r="N29" s="48" t="str">
        <f t="shared" ref="N29:N30" si="22">IFERROR(LEFT(M29,FIND("],",M29)+S39),M29)</f>
        <v>none</v>
      </c>
      <c r="O29" s="64" t="e">
        <f t="shared" ref="O29:O38" si="23">FIND("effect:",N29)+7</f>
        <v>#VALUE!</v>
      </c>
      <c r="P29" s="64">
        <f t="shared" ref="P29:P38" si="24">IFERROR(FIND(",",N29),LEN(N29))</f>
        <v>4</v>
      </c>
      <c r="Q29" s="64" t="e">
        <f t="shared" ref="Q29:Q38" si="25">FIND("target:",N29)+7</f>
        <v>#VALUE!</v>
      </c>
      <c r="R29" s="64" t="e">
        <f t="shared" ref="R29:R38" si="26">FIND(",",N29,P29+1)</f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ref="T29:T38" si="27">IFERROR(RIGHT(M29,LEN(M29)-FIND("],",M29)-1),"none")</f>
        <v>none</v>
      </c>
      <c r="U29" s="64" t="e">
        <f t="shared" ref="U29:U38" si="28">FIND("effect:",T29)+7</f>
        <v>#VALUE!</v>
      </c>
      <c r="V29" s="64">
        <f t="shared" ref="V29:V38" si="29">IFERROR(FIND(",",T29),LEN(T29))</f>
        <v>4</v>
      </c>
      <c r="W29" s="64" t="e">
        <f t="shared" ref="W29:W38" si="30">FIND("target:",T29)+7</f>
        <v>#VALUE!</v>
      </c>
      <c r="X29" s="64" t="e">
        <f t="shared" ref="X29:X38" si="31">FIND(",",T29,V29+1)</f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40035128</v>
      </c>
      <c r="B30" s="47" t="s">
        <v>342</v>
      </c>
      <c r="C30" s="50">
        <v>3</v>
      </c>
      <c r="D30" s="50" t="s">
        <v>126</v>
      </c>
      <c r="E30" s="51" t="s">
        <v>356</v>
      </c>
      <c r="F30" s="51" t="s">
        <v>344</v>
      </c>
      <c r="G30" s="64" t="str">
        <f t="shared" si="16"/>
        <v>[effect:break_attack_fix, target:unit_all, val:180, lowest_val:1100, count:-1, color:blue, block01:block_red]</v>
      </c>
      <c r="H30" s="64">
        <f t="shared" si="17"/>
        <v>9</v>
      </c>
      <c r="I30" s="64">
        <f t="shared" si="18"/>
        <v>25</v>
      </c>
      <c r="J30" s="64">
        <f t="shared" si="19"/>
        <v>34</v>
      </c>
      <c r="K30" s="64">
        <f t="shared" si="20"/>
        <v>42</v>
      </c>
      <c r="L30" s="64" t="str">
        <f>IFERROR(VLOOKUP(MID(G30,J30,K30-J30),[6]skilldef!$C:$D,2,FALSE),"-") &amp; " / " &amp; IFERROR(VLOOKUP(MID(G30,H30,I30-H30),[6]skilldef!$A:$B,2,FALSE),"-")</f>
        <v>味方全体に / -</v>
      </c>
      <c r="M30" s="64" t="str">
        <f t="shared" si="21"/>
        <v>none</v>
      </c>
      <c r="N30" s="48" t="str">
        <f t="shared" si="22"/>
        <v>none</v>
      </c>
      <c r="O30" s="64" t="e">
        <f t="shared" si="23"/>
        <v>#VALUE!</v>
      </c>
      <c r="P30" s="64">
        <f t="shared" si="24"/>
        <v>4</v>
      </c>
      <c r="Q30" s="64" t="e">
        <f t="shared" si="25"/>
        <v>#VALUE!</v>
      </c>
      <c r="R30" s="64" t="e">
        <f t="shared" si="26"/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27"/>
        <v>none</v>
      </c>
      <c r="U30" s="64" t="e">
        <f t="shared" si="28"/>
        <v>#VALUE!</v>
      </c>
      <c r="V30" s="64">
        <f t="shared" si="29"/>
        <v>4</v>
      </c>
      <c r="W30" s="64" t="e">
        <f t="shared" si="30"/>
        <v>#VALUE!</v>
      </c>
      <c r="X30" s="64" t="e">
        <f t="shared" si="31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40035129</v>
      </c>
      <c r="B31" s="47" t="s">
        <v>274</v>
      </c>
      <c r="C31" s="50">
        <v>3</v>
      </c>
      <c r="D31" s="50" t="s">
        <v>196</v>
      </c>
      <c r="E31" s="51" t="s">
        <v>358</v>
      </c>
      <c r="F31" s="51" t="s">
        <v>348</v>
      </c>
      <c r="G31" s="64" t="str">
        <f t="shared" si="16"/>
        <v>[effect:degrade_unit, target:unit_all, turn:5, status:attack, val:0.5, calc:mul]</v>
      </c>
      <c r="H31" s="64">
        <f t="shared" si="17"/>
        <v>9</v>
      </c>
      <c r="I31" s="64">
        <f t="shared" si="18"/>
        <v>21</v>
      </c>
      <c r="J31" s="64">
        <f t="shared" si="19"/>
        <v>30</v>
      </c>
      <c r="K31" s="64">
        <f t="shared" si="20"/>
        <v>38</v>
      </c>
      <c r="L31" s="64" t="str">
        <f>IFERROR(VLOOKUP(MID(G31,J31,K31-J31),[6]skilldef!$C:$D,2,FALSE),"-") &amp; " / " &amp; IFERROR(VLOOKUP(MID(G31,H31,I31-H31),[6]skilldef!$A:$B,2,FALSE),"-")</f>
        <v>味方全体に / ステータスDOWN</v>
      </c>
      <c r="M31" s="64" t="str">
        <f t="shared" si="21"/>
        <v>[effect:spread, val:0.28]</v>
      </c>
      <c r="N31" s="48" t="str">
        <f>IFERROR(LEFT(M31,FIND("],",M31)+#REF!),M31)</f>
        <v>[effect:spread, val:0.28]</v>
      </c>
      <c r="O31" s="64">
        <f t="shared" si="23"/>
        <v>9</v>
      </c>
      <c r="P31" s="64">
        <f t="shared" si="24"/>
        <v>15</v>
      </c>
      <c r="Q31" s="64" t="e">
        <f t="shared" si="25"/>
        <v>#VALUE!</v>
      </c>
      <c r="R31" s="64" t="e">
        <f t="shared" si="26"/>
        <v>#VALUE!</v>
      </c>
      <c r="S31" s="64" t="str">
        <f>IFERROR(VLOOKUP(MID(N31,Q31,R31-Q31),[6]skilldef!$C:$D,2,FALSE),"-") &amp; " / " &amp; IFERROR(VLOOKUP(MID(N31,O31,P31-O31),[6]skilldef!$A:$B,2,FALSE),"-")</f>
        <v>- / 全体攻撃</v>
      </c>
      <c r="T31" s="48" t="str">
        <f t="shared" si="27"/>
        <v>none</v>
      </c>
      <c r="U31" s="64" t="e">
        <f t="shared" si="28"/>
        <v>#VALUE!</v>
      </c>
      <c r="V31" s="64">
        <f t="shared" si="29"/>
        <v>4</v>
      </c>
      <c r="W31" s="64" t="e">
        <f t="shared" si="30"/>
        <v>#VALUE!</v>
      </c>
      <c r="X31" s="64" t="e">
        <f t="shared" si="31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40035130</v>
      </c>
      <c r="B32" s="47" t="s">
        <v>392</v>
      </c>
      <c r="C32" s="50">
        <v>3</v>
      </c>
      <c r="D32" s="50" t="s">
        <v>126</v>
      </c>
      <c r="E32" s="51" t="s">
        <v>393</v>
      </c>
      <c r="F32" s="51" t="s">
        <v>407</v>
      </c>
      <c r="G32" s="64" t="str">
        <f t="shared" si="16"/>
        <v>[effect:enemy_message, val1:1.3, val2:2.2]</v>
      </c>
      <c r="H32" s="64">
        <f t="shared" si="17"/>
        <v>9</v>
      </c>
      <c r="I32" s="64">
        <f t="shared" si="18"/>
        <v>22</v>
      </c>
      <c r="J32" s="64" t="e">
        <f t="shared" si="19"/>
        <v>#VALUE!</v>
      </c>
      <c r="K32" s="64">
        <f t="shared" si="20"/>
        <v>32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21"/>
        <v xml:space="preserve">[effect:tolerance, target:myself, turn:-1, tolerance_effect:all, count:-1, animation:enemy_tolerance],[effect:drop_freeze, turn:-1, block_type:normal, frozen_count:1, rate:0.9, animation:drop_protect]    </v>
      </c>
      <c r="N32" s="48" t="str">
        <f t="shared" ref="N32:N37" si="32">IFERROR(LEFT(M32,FIND("],",M32)+S41),M32)</f>
        <v xml:space="preserve">[effect:tolerance, target:myself, turn:-1, tolerance_effect:all, count:-1, animation:enemy_tolerance],[effect:drop_freeze, turn:-1, block_type:normal, frozen_count:1, rate:0.9, animation:drop_protect]    </v>
      </c>
      <c r="O32" s="64">
        <f t="shared" si="23"/>
        <v>9</v>
      </c>
      <c r="P32" s="64">
        <f t="shared" si="24"/>
        <v>18</v>
      </c>
      <c r="Q32" s="64">
        <f t="shared" si="25"/>
        <v>27</v>
      </c>
      <c r="R32" s="64">
        <f t="shared" si="26"/>
        <v>33</v>
      </c>
      <c r="S32" s="64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si="27"/>
        <v xml:space="preserve">[effect:drop_freeze, turn:-1, block_type:normal, frozen_count:1, rate:0.9, animation:drop_protect]    </v>
      </c>
      <c r="U32" s="64">
        <f t="shared" si="28"/>
        <v>9</v>
      </c>
      <c r="V32" s="64">
        <f t="shared" si="29"/>
        <v>20</v>
      </c>
      <c r="W32" s="64" t="e">
        <f t="shared" si="30"/>
        <v>#VALUE!</v>
      </c>
      <c r="X32" s="64">
        <f t="shared" si="31"/>
        <v>29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40035131</v>
      </c>
      <c r="B33" s="47" t="s">
        <v>275</v>
      </c>
      <c r="C33" s="50">
        <v>3</v>
      </c>
      <c r="D33" s="50" t="s">
        <v>126</v>
      </c>
      <c r="E33" s="51" t="s">
        <v>319</v>
      </c>
      <c r="F33" s="51" t="s">
        <v>345</v>
      </c>
      <c r="G33" s="64" t="str">
        <f t="shared" si="16"/>
        <v>[effect:enhance_enemy, target:myself, turn:-1, status:defense, val:5000, calc:add, animation:enemy_enhance_defense]</v>
      </c>
      <c r="H33" s="64">
        <f t="shared" si="17"/>
        <v>9</v>
      </c>
      <c r="I33" s="64">
        <f t="shared" si="18"/>
        <v>22</v>
      </c>
      <c r="J33" s="64">
        <f t="shared" si="19"/>
        <v>31</v>
      </c>
      <c r="K33" s="64">
        <f t="shared" si="20"/>
        <v>37</v>
      </c>
      <c r="L33" s="64" t="str">
        <f>IFERROR(VLOOKUP(MID(G33,J33,K33-J33),[6]skilldef!$C:$D,2,FALSE),"-") &amp; " / " &amp; IFERROR(VLOOKUP(MID(G33,H33,I33-H33),[6]skilldef!$A:$B,2,FALSE),"-")</f>
        <v>自分自身に / ステータス強化</v>
      </c>
      <c r="M33" s="64" t="str">
        <f t="shared" si="21"/>
        <v>none</v>
      </c>
      <c r="N33" s="48" t="str">
        <f t="shared" si="32"/>
        <v>none</v>
      </c>
      <c r="O33" s="64" t="e">
        <f t="shared" si="23"/>
        <v>#VALUE!</v>
      </c>
      <c r="P33" s="64">
        <f t="shared" si="24"/>
        <v>4</v>
      </c>
      <c r="Q33" s="64" t="e">
        <f t="shared" si="25"/>
        <v>#VALUE!</v>
      </c>
      <c r="R33" s="64" t="e">
        <f t="shared" si="26"/>
        <v>#VALUE!</v>
      </c>
      <c r="S33" s="64" t="str">
        <f>IFERROR(VLOOKUP(MID(N33,Q33,R33-Q33),[6]skilldef!$C:$D,2,FALSE),"-") &amp; " / " &amp; IFERROR(VLOOKUP(MID(N33,O33,P33-O33),[6]skilldef!$A:$B,2,FALSE),"-")</f>
        <v>- / -</v>
      </c>
      <c r="T33" s="48" t="str">
        <f t="shared" si="27"/>
        <v>none</v>
      </c>
      <c r="U33" s="64" t="e">
        <f t="shared" si="28"/>
        <v>#VALUE!</v>
      </c>
      <c r="V33" s="64">
        <f t="shared" si="29"/>
        <v>4</v>
      </c>
      <c r="W33" s="64" t="e">
        <f t="shared" si="30"/>
        <v>#VALUE!</v>
      </c>
      <c r="X33" s="64" t="e">
        <f t="shared" si="31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40035132</v>
      </c>
      <c r="B34" s="47" t="s">
        <v>410</v>
      </c>
      <c r="C34" s="50">
        <v>3</v>
      </c>
      <c r="D34" s="50" t="s">
        <v>126</v>
      </c>
      <c r="E34" s="51" t="s">
        <v>293</v>
      </c>
      <c r="F34" s="51" t="s">
        <v>346</v>
      </c>
      <c r="G34" s="64" t="str">
        <f t="shared" si="16"/>
        <v>[effect:force_change_block, new_block:crack_bomb, target:block_all, ignore01:block_positive, ignore02:block_heart, color:block_yellow, count:3, val:15, animation:change_block]</v>
      </c>
      <c r="H34" s="64">
        <f t="shared" si="17"/>
        <v>9</v>
      </c>
      <c r="I34" s="64">
        <f t="shared" si="18"/>
        <v>27</v>
      </c>
      <c r="J34" s="64">
        <f t="shared" si="19"/>
        <v>58</v>
      </c>
      <c r="K34" s="64">
        <f t="shared" si="20"/>
        <v>49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21"/>
        <v>none</v>
      </c>
      <c r="N34" s="48" t="str">
        <f t="shared" si="32"/>
        <v>none</v>
      </c>
      <c r="O34" s="64" t="e">
        <f t="shared" si="23"/>
        <v>#VALUE!</v>
      </c>
      <c r="P34" s="64">
        <f t="shared" si="24"/>
        <v>4</v>
      </c>
      <c r="Q34" s="64" t="e">
        <f t="shared" si="25"/>
        <v>#VALUE!</v>
      </c>
      <c r="R34" s="64" t="e">
        <f t="shared" si="26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27"/>
        <v>none</v>
      </c>
      <c r="U34" s="64" t="e">
        <f t="shared" si="28"/>
        <v>#VALUE!</v>
      </c>
      <c r="V34" s="64">
        <f t="shared" si="29"/>
        <v>4</v>
      </c>
      <c r="W34" s="64" t="e">
        <f t="shared" si="30"/>
        <v>#VALUE!</v>
      </c>
      <c r="X34" s="64" t="e">
        <f t="shared" si="31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40035133</v>
      </c>
      <c r="B35" s="47" t="s">
        <v>276</v>
      </c>
      <c r="C35" s="50">
        <v>3</v>
      </c>
      <c r="D35" s="50" t="s">
        <v>126</v>
      </c>
      <c r="E35" s="51" t="s">
        <v>300</v>
      </c>
      <c r="F35" s="51" t="s">
        <v>394</v>
      </c>
      <c r="G35" s="64" t="str">
        <f t="shared" si="16"/>
        <v>[effect:degrade_unit, target:unit_all, turn:1, status:attack, val:0.5, calc:mul]</v>
      </c>
      <c r="H35" s="64">
        <f t="shared" si="17"/>
        <v>9</v>
      </c>
      <c r="I35" s="64">
        <f t="shared" si="18"/>
        <v>21</v>
      </c>
      <c r="J35" s="64">
        <f t="shared" si="19"/>
        <v>30</v>
      </c>
      <c r="K35" s="64">
        <f t="shared" si="20"/>
        <v>38</v>
      </c>
      <c r="L35" s="64" t="str">
        <f>IFERROR(VLOOKUP(MID(G35,J35,K35-J35),[6]skilldef!$C:$D,2,FALSE),"-") &amp; " / " &amp; IFERROR(VLOOKUP(MID(G35,H35,I35-H35),[6]skilldef!$A:$B,2,FALSE),"-")</f>
        <v>味方全体に / ステータスDOWN</v>
      </c>
      <c r="M35" s="64" t="str">
        <f t="shared" si="21"/>
        <v>[effect:spread, val:0.28]</v>
      </c>
      <c r="N35" s="48" t="str">
        <f t="shared" si="32"/>
        <v>[effect:spread, val:0.28]</v>
      </c>
      <c r="O35" s="64">
        <f t="shared" si="23"/>
        <v>9</v>
      </c>
      <c r="P35" s="64">
        <f t="shared" si="24"/>
        <v>15</v>
      </c>
      <c r="Q35" s="64" t="e">
        <f t="shared" si="25"/>
        <v>#VALUE!</v>
      </c>
      <c r="R35" s="64" t="e">
        <f t="shared" si="26"/>
        <v>#VALUE!</v>
      </c>
      <c r="S35" s="64" t="str">
        <f>IFERROR(VLOOKUP(MID(N35,Q35,R35-Q35),[6]skilldef!$C:$D,2,FALSE),"-") &amp; " / " &amp; IFERROR(VLOOKUP(MID(N35,O35,P35-O35),[6]skilldef!$A:$B,2,FALSE),"-")</f>
        <v>- / 全体攻撃</v>
      </c>
      <c r="T35" s="48" t="str">
        <f t="shared" si="27"/>
        <v>none</v>
      </c>
      <c r="U35" s="64" t="e">
        <f t="shared" si="28"/>
        <v>#VALUE!</v>
      </c>
      <c r="V35" s="64">
        <f t="shared" si="29"/>
        <v>4</v>
      </c>
      <c r="W35" s="64" t="e">
        <f t="shared" si="30"/>
        <v>#VALUE!</v>
      </c>
      <c r="X35" s="64" t="e">
        <f t="shared" si="31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40035134</v>
      </c>
      <c r="B36" s="47" t="s">
        <v>411</v>
      </c>
      <c r="C36" s="50">
        <v>3</v>
      </c>
      <c r="D36" s="50" t="s">
        <v>126</v>
      </c>
      <c r="E36" s="51" t="s">
        <v>303</v>
      </c>
      <c r="F36" s="51" t="s">
        <v>347</v>
      </c>
      <c r="G36" s="64" t="str">
        <f t="shared" si="16"/>
        <v>[effect:force_change_block, new_block:crack_bomb, target:block_all, ignore01:block_positive, ignore02:block_heart, color:block_yellow, count:1, val:22, animation:change_block]</v>
      </c>
      <c r="H36" s="64">
        <f t="shared" si="17"/>
        <v>9</v>
      </c>
      <c r="I36" s="64">
        <f t="shared" si="18"/>
        <v>27</v>
      </c>
      <c r="J36" s="64">
        <f t="shared" si="19"/>
        <v>58</v>
      </c>
      <c r="K36" s="64">
        <f t="shared" si="20"/>
        <v>49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si="21"/>
        <v>none</v>
      </c>
      <c r="N36" s="48" t="str">
        <f t="shared" si="32"/>
        <v>none</v>
      </c>
      <c r="O36" s="64" t="e">
        <f t="shared" si="23"/>
        <v>#VALUE!</v>
      </c>
      <c r="P36" s="64">
        <f t="shared" si="24"/>
        <v>4</v>
      </c>
      <c r="Q36" s="64" t="e">
        <f t="shared" si="25"/>
        <v>#VALUE!</v>
      </c>
      <c r="R36" s="64" t="e">
        <f t="shared" si="26"/>
        <v>#VALUE!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si="27"/>
        <v>none</v>
      </c>
      <c r="U36" s="64" t="e">
        <f t="shared" si="28"/>
        <v>#VALUE!</v>
      </c>
      <c r="V36" s="64">
        <f t="shared" si="29"/>
        <v>4</v>
      </c>
      <c r="W36" s="64" t="e">
        <f t="shared" si="30"/>
        <v>#VALUE!</v>
      </c>
      <c r="X36" s="64" t="e">
        <f t="shared" si="31"/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40035135</v>
      </c>
      <c r="B37" s="47" t="s">
        <v>277</v>
      </c>
      <c r="C37" s="50">
        <v>3</v>
      </c>
      <c r="D37" s="50" t="s">
        <v>126</v>
      </c>
      <c r="E37" s="51" t="s">
        <v>304</v>
      </c>
      <c r="F37" s="51" t="s">
        <v>349</v>
      </c>
      <c r="G37" s="64" t="str">
        <f t="shared" si="16"/>
        <v>[effect:damage_gravity, val:0.5, animation:fevergauge_down]</v>
      </c>
      <c r="H37" s="64">
        <f t="shared" si="17"/>
        <v>9</v>
      </c>
      <c r="I37" s="64">
        <f t="shared" si="18"/>
        <v>23</v>
      </c>
      <c r="J37" s="64" t="e">
        <f t="shared" si="19"/>
        <v>#VALUE!</v>
      </c>
      <c r="K37" s="64">
        <f t="shared" si="20"/>
        <v>32</v>
      </c>
      <c r="L37" s="64" t="str">
        <f>IFERROR(VLOOKUP(MID(G37,J37,K37-J37),[6]skilldef!$C:$D,2,FALSE),"-") &amp; " / " &amp; IFERROR(VLOOKUP(MID(G37,H37,I37-H37),[6]skilldef!$A:$B,2,FALSE),"-")</f>
        <v>- / 割合ダメージ</v>
      </c>
      <c r="M37" s="64" t="str">
        <f t="shared" si="21"/>
        <v>none</v>
      </c>
      <c r="N37" s="48" t="str">
        <f t="shared" si="32"/>
        <v>none</v>
      </c>
      <c r="O37" s="64" t="e">
        <f t="shared" si="23"/>
        <v>#VALUE!</v>
      </c>
      <c r="P37" s="64">
        <f t="shared" si="24"/>
        <v>4</v>
      </c>
      <c r="Q37" s="64" t="e">
        <f t="shared" si="25"/>
        <v>#VALUE!</v>
      </c>
      <c r="R37" s="64" t="e">
        <f t="shared" si="26"/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27"/>
        <v>none</v>
      </c>
      <c r="U37" s="64" t="e">
        <f t="shared" si="28"/>
        <v>#VALUE!</v>
      </c>
      <c r="V37" s="64">
        <f t="shared" si="29"/>
        <v>4</v>
      </c>
      <c r="W37" s="64" t="e">
        <f t="shared" si="30"/>
        <v>#VALUE!</v>
      </c>
      <c r="X37" s="64" t="e">
        <f t="shared" si="31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40035136</v>
      </c>
      <c r="B38" s="47" t="s">
        <v>284</v>
      </c>
      <c r="C38" s="50">
        <v>3</v>
      </c>
      <c r="D38" s="50" t="s">
        <v>126</v>
      </c>
      <c r="E38" s="51" t="s">
        <v>294</v>
      </c>
      <c r="F38" s="51" t="s">
        <v>352</v>
      </c>
      <c r="G38" s="64" t="str">
        <f t="shared" si="16"/>
        <v>[effect:critical, val:1.7]</v>
      </c>
      <c r="H38" s="64">
        <f t="shared" si="17"/>
        <v>9</v>
      </c>
      <c r="I38" s="64">
        <f t="shared" si="18"/>
        <v>17</v>
      </c>
      <c r="J38" s="64" t="e">
        <f t="shared" si="19"/>
        <v>#VALUE!</v>
      </c>
      <c r="K38" s="64" t="e">
        <f t="shared" si="20"/>
        <v>#VALUE!</v>
      </c>
      <c r="L38" s="64" t="str">
        <f>IFERROR(VLOOKUP(MID(G38,J38,K38-J38),[6]skilldef!$C:$D,2,FALSE),"-") &amp; " / " &amp; IFERROR(VLOOKUP(MID(G38,H38,I38-H38),[6]skilldef!$A:$B,2,FALSE),"-")</f>
        <v>- / 大攻撃</v>
      </c>
      <c r="M38" s="64" t="str">
        <f t="shared" si="21"/>
        <v>none</v>
      </c>
      <c r="N38" s="48" t="str">
        <f>IFERROR(LEFT(M38,FIND("],",M38)+#REF!),M38)</f>
        <v>none</v>
      </c>
      <c r="O38" s="64" t="e">
        <f t="shared" si="23"/>
        <v>#VALUE!</v>
      </c>
      <c r="P38" s="64">
        <f t="shared" si="24"/>
        <v>4</v>
      </c>
      <c r="Q38" s="64" t="e">
        <f t="shared" si="25"/>
        <v>#VALUE!</v>
      </c>
      <c r="R38" s="64" t="e">
        <f t="shared" si="26"/>
        <v>#VALUE!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27"/>
        <v>none</v>
      </c>
      <c r="U38" s="64" t="e">
        <f t="shared" si="28"/>
        <v>#VALUE!</v>
      </c>
      <c r="V38" s="64">
        <f t="shared" si="29"/>
        <v>4</v>
      </c>
      <c r="W38" s="64" t="e">
        <f t="shared" si="30"/>
        <v>#VALUE!</v>
      </c>
      <c r="X38" s="64" t="e">
        <f t="shared" si="31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40035137</v>
      </c>
      <c r="B39" s="47" t="s">
        <v>298</v>
      </c>
      <c r="C39" s="50">
        <v>3</v>
      </c>
      <c r="D39" s="50" t="s">
        <v>126</v>
      </c>
      <c r="E39" s="51" t="s">
        <v>299</v>
      </c>
      <c r="F39" s="51" t="s">
        <v>352</v>
      </c>
      <c r="G39" s="64" t="str">
        <f t="shared" ref="G39" si="33">IFERROR(LEFT(B39,FIND("],",B39)),B39)</f>
        <v>[effect:critical, val:2.5]</v>
      </c>
      <c r="H39" s="64">
        <f t="shared" ref="H39" si="34">FIND("effect:",G39)+7</f>
        <v>9</v>
      </c>
      <c r="I39" s="64">
        <f t="shared" ref="I39" si="35">IFERROR(FIND(",",G39),LEN(G39))</f>
        <v>17</v>
      </c>
      <c r="J39" s="64" t="e">
        <f t="shared" ref="J39" si="36">FIND("target:",G39)+7</f>
        <v>#VALUE!</v>
      </c>
      <c r="K39" s="64" t="e">
        <f t="shared" ref="K39" si="37">FIND(",",G39,I39+1)</f>
        <v>#VALUE!</v>
      </c>
      <c r="L39" s="64" t="str">
        <f>IFERROR(VLOOKUP(MID(G39,J39,K39-J39),[6]skilldef!$C:$D,2,FALSE),"-") &amp; " / " &amp; IFERROR(VLOOKUP(MID(G39,H39,I39-H39),[6]skilldef!$A:$B,2,FALSE),"-")</f>
        <v>- / 大攻撃</v>
      </c>
      <c r="M39" s="64" t="str">
        <f t="shared" ref="M39" si="38">IFERROR(RIGHT(B39,LEN(B39)-FIND("],",B39)-1),"none")</f>
        <v>none</v>
      </c>
      <c r="N39" s="48" t="str">
        <f>IFERROR(LEFT(M39,FIND("],",M39)+S47),M39)</f>
        <v>none</v>
      </c>
      <c r="O39" s="64" t="e">
        <f t="shared" ref="O39" si="39">FIND("effect:",N39)+7</f>
        <v>#VALUE!</v>
      </c>
      <c r="P39" s="64">
        <f t="shared" ref="P39" si="40">IFERROR(FIND(",",N39),LEN(N39))</f>
        <v>4</v>
      </c>
      <c r="Q39" s="64" t="e">
        <f t="shared" ref="Q39" si="41">FIND("target:",N39)+7</f>
        <v>#VALUE!</v>
      </c>
      <c r="R39" s="64" t="e">
        <f t="shared" ref="R39" si="42">FIND(",",N39,P39+1)</f>
        <v>#VALUE!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ref="T39" si="43">IFERROR(RIGHT(M39,LEN(M39)-FIND("],",M39)-1),"none")</f>
        <v>none</v>
      </c>
      <c r="U39" s="64" t="e">
        <f t="shared" ref="U39" si="44">FIND("effect:",T39)+7</f>
        <v>#VALUE!</v>
      </c>
      <c r="V39" s="64">
        <f t="shared" ref="V39" si="45">IFERROR(FIND(",",T39),LEN(T39))</f>
        <v>4</v>
      </c>
      <c r="W39" s="64" t="e">
        <f t="shared" ref="W39" si="46">FIND("target:",T39)+7</f>
        <v>#VALUE!</v>
      </c>
      <c r="X39" s="64" t="e">
        <f t="shared" ref="X39" si="47">FIND(",",T39,V39+1)</f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40035138</v>
      </c>
      <c r="B40" s="47" t="s">
        <v>396</v>
      </c>
      <c r="C40" s="50">
        <v>3</v>
      </c>
      <c r="D40" s="50" t="s">
        <v>126</v>
      </c>
      <c r="E40" s="51" t="s">
        <v>295</v>
      </c>
      <c r="F40" s="51" t="s">
        <v>330</v>
      </c>
      <c r="G40" s="64" t="str">
        <f t="shared" ref="G40" si="48">IFERROR(LEFT(B40,FIND("],",B40)),B40)</f>
        <v>[effect:enemy_message, val1:2, val2:2.2]</v>
      </c>
      <c r="H40" s="64">
        <f t="shared" ref="H40" si="49">FIND("effect:",G40)+7</f>
        <v>9</v>
      </c>
      <c r="I40" s="64">
        <f t="shared" ref="I40" si="50">IFERROR(FIND(",",G40),LEN(G40))</f>
        <v>22</v>
      </c>
      <c r="J40" s="64" t="e">
        <f t="shared" ref="J40" si="51">FIND("target:",G40)+7</f>
        <v>#VALUE!</v>
      </c>
      <c r="K40" s="64">
        <f t="shared" ref="K40" si="52">FIND(",",G40,I40+1)</f>
        <v>30</v>
      </c>
      <c r="L40" s="64" t="str">
        <f>IFERROR(VLOOKUP(MID(G40,J40,K40-J40),[6]skilldef!$C:$D,2,FALSE),"-") &amp; " / " &amp; IFERROR(VLOOKUP(MID(G40,H40,I40-H40),[6]skilldef!$A:$B,2,FALSE),"-")</f>
        <v>- / -</v>
      </c>
      <c r="M40" s="64" t="str">
        <f t="shared" ref="M40" si="53">IFERROR(RIGHT(B40,LEN(B40)-FIND("],",B40)-1),"none")</f>
        <v>none</v>
      </c>
      <c r="N40" s="48" t="str">
        <f>IFERROR(LEFT(M40,FIND("],",M40)+S48),M40)</f>
        <v>none</v>
      </c>
      <c r="O40" s="64" t="e">
        <f t="shared" ref="O40" si="54">FIND("effect:",N40)+7</f>
        <v>#VALUE!</v>
      </c>
      <c r="P40" s="64">
        <f t="shared" ref="P40" si="55">IFERROR(FIND(",",N40),LEN(N40))</f>
        <v>4</v>
      </c>
      <c r="Q40" s="64" t="e">
        <f t="shared" ref="Q40" si="56">FIND("target:",N40)+7</f>
        <v>#VALUE!</v>
      </c>
      <c r="R40" s="64" t="e">
        <f t="shared" ref="R40" si="57">FIND(",",N40,P40+1)</f>
        <v>#VALUE!</v>
      </c>
      <c r="S40" s="64" t="str">
        <f>IFERROR(VLOOKUP(MID(N40,Q40,R40-Q40),[6]skilldef!$C:$D,2,FALSE),"-") &amp; " / " &amp; IFERROR(VLOOKUP(MID(N40,O40,P40-O40),[6]skilldef!$A:$B,2,FALSE),"-")</f>
        <v>- / -</v>
      </c>
      <c r="T40" s="48" t="str">
        <f t="shared" ref="T40" si="58">IFERROR(RIGHT(M40,LEN(M40)-FIND("],",M40)-1),"none")</f>
        <v>none</v>
      </c>
      <c r="U40" s="64" t="e">
        <f t="shared" ref="U40" si="59">FIND("effect:",T40)+7</f>
        <v>#VALUE!</v>
      </c>
      <c r="V40" s="64">
        <f t="shared" ref="V40" si="60">IFERROR(FIND(",",T40),LEN(T40))</f>
        <v>4</v>
      </c>
      <c r="W40" s="64" t="e">
        <f t="shared" ref="W40" si="61">FIND("target:",T40)+7</f>
        <v>#VALUE!</v>
      </c>
      <c r="X40" s="64" t="e">
        <f t="shared" ref="X40" si="62">FIND(",",T40,V40+1)</f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40035139</v>
      </c>
      <c r="B41" s="47" t="s">
        <v>325</v>
      </c>
      <c r="C41" s="50">
        <v>3</v>
      </c>
      <c r="D41" s="50" t="s">
        <v>126</v>
      </c>
      <c r="E41" s="51" t="s">
        <v>289</v>
      </c>
      <c r="F41" s="51" t="s">
        <v>405</v>
      </c>
      <c r="G41" s="64" t="str">
        <f t="shared" ref="G41:G49" si="63">IFERROR(LEFT(B41,FIND("],",B41)),B41)</f>
        <v>[effect:drop_freeze, turn:-1, block_type:normal, block_color:block_red, frozen_count:1, rate:0.2, animation:drop_protect]</v>
      </c>
      <c r="H41" s="64">
        <f t="shared" ref="H41:H49" si="64">FIND("effect:",G41)+7</f>
        <v>9</v>
      </c>
      <c r="I41" s="64">
        <f t="shared" ref="I41:I49" si="65">IFERROR(FIND(",",G41),LEN(G41))</f>
        <v>20</v>
      </c>
      <c r="J41" s="64" t="e">
        <f t="shared" ref="J41:J49" si="66">FIND("target:",G41)+7</f>
        <v>#VALUE!</v>
      </c>
      <c r="K41" s="64">
        <f t="shared" ref="K41:K49" si="67">FIND(",",G41,I41+1)</f>
        <v>29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ref="M41:M49" si="68">IFERROR(RIGHT(B41,LEN(B41)-FIND("],",B41)-1),"none")</f>
        <v>none</v>
      </c>
      <c r="N41" s="48" t="str">
        <f t="shared" ref="N41:N43" si="69">IFERROR(LEFT(M41,FIND("],",M41)+S50),M41)</f>
        <v>none</v>
      </c>
      <c r="O41" s="64" t="e">
        <f t="shared" ref="O41:O49" si="70">FIND("effect:",N41)+7</f>
        <v>#VALUE!</v>
      </c>
      <c r="P41" s="64">
        <f t="shared" ref="P41:P49" si="71">IFERROR(FIND(",",N41),LEN(N41))</f>
        <v>4</v>
      </c>
      <c r="Q41" s="64" t="e">
        <f t="shared" ref="Q41:Q49" si="72">FIND("target:",N41)+7</f>
        <v>#VALUE!</v>
      </c>
      <c r="R41" s="64" t="e">
        <f t="shared" ref="R41:R49" si="73">FIND(",",N41,P41+1)</f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ref="T41:T49" si="74">IFERROR(RIGHT(M41,LEN(M41)-FIND("],",M41)-1),"none")</f>
        <v>none</v>
      </c>
      <c r="U41" s="64" t="e">
        <f t="shared" ref="U41:U49" si="75">FIND("effect:",T41)+7</f>
        <v>#VALUE!</v>
      </c>
      <c r="V41" s="64">
        <f t="shared" ref="V41:V49" si="76">IFERROR(FIND(",",T41),LEN(T41))</f>
        <v>4</v>
      </c>
      <c r="W41" s="64" t="e">
        <f t="shared" ref="W41:W49" si="77">FIND("target:",T41)+7</f>
        <v>#VALUE!</v>
      </c>
      <c r="X41" s="64" t="e">
        <f t="shared" ref="X41:X49" si="78">FIND(",",T41,V41+1)</f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40035140</v>
      </c>
      <c r="B42" s="47" t="s">
        <v>326</v>
      </c>
      <c r="C42" s="50">
        <v>3</v>
      </c>
      <c r="D42" s="50" t="s">
        <v>126</v>
      </c>
      <c r="E42" s="51" t="s">
        <v>312</v>
      </c>
      <c r="F42" s="51" t="s">
        <v>406</v>
      </c>
      <c r="G42" s="64" t="str">
        <f t="shared" si="63"/>
        <v xml:space="preserve">[effect:drop_freeze, turn:-1, block_type:normal, block_color:block_green, frozen_count:1, rate:0.2, animation:drop_protect]    </v>
      </c>
      <c r="H42" s="64">
        <f t="shared" si="64"/>
        <v>9</v>
      </c>
      <c r="I42" s="64">
        <f t="shared" si="65"/>
        <v>20</v>
      </c>
      <c r="J42" s="64" t="e">
        <f t="shared" si="66"/>
        <v>#VALUE!</v>
      </c>
      <c r="K42" s="64">
        <f t="shared" si="67"/>
        <v>29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si="68"/>
        <v>none</v>
      </c>
      <c r="N42" s="48" t="str">
        <f t="shared" si="69"/>
        <v>none</v>
      </c>
      <c r="O42" s="64" t="e">
        <f t="shared" si="70"/>
        <v>#VALUE!</v>
      </c>
      <c r="P42" s="64">
        <f t="shared" si="71"/>
        <v>4</v>
      </c>
      <c r="Q42" s="64" t="e">
        <f t="shared" si="72"/>
        <v>#VALUE!</v>
      </c>
      <c r="R42" s="64" t="e">
        <f t="shared" si="73"/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74"/>
        <v>none</v>
      </c>
      <c r="U42" s="64" t="e">
        <f t="shared" si="75"/>
        <v>#VALUE!</v>
      </c>
      <c r="V42" s="64">
        <f t="shared" si="76"/>
        <v>4</v>
      </c>
      <c r="W42" s="64" t="e">
        <f t="shared" si="77"/>
        <v>#VALUE!</v>
      </c>
      <c r="X42" s="64" t="e">
        <f t="shared" si="78"/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40035141</v>
      </c>
      <c r="B43" s="47" t="s">
        <v>327</v>
      </c>
      <c r="C43" s="50">
        <v>3</v>
      </c>
      <c r="D43" s="50" t="s">
        <v>126</v>
      </c>
      <c r="E43" s="51" t="s">
        <v>283</v>
      </c>
      <c r="F43" s="51" t="s">
        <v>316</v>
      </c>
      <c r="G43" s="64" t="str">
        <f t="shared" si="63"/>
        <v xml:space="preserve">[effect:break_attack_fix, target:unit_all, val:130, lowest_val:1000, count:-1, color:blue, block01:block_red]    </v>
      </c>
      <c r="H43" s="64">
        <f t="shared" si="64"/>
        <v>9</v>
      </c>
      <c r="I43" s="64">
        <f t="shared" si="65"/>
        <v>25</v>
      </c>
      <c r="J43" s="64">
        <f t="shared" si="66"/>
        <v>34</v>
      </c>
      <c r="K43" s="64">
        <f t="shared" si="67"/>
        <v>42</v>
      </c>
      <c r="L43" s="64" t="str">
        <f>IFERROR(VLOOKUP(MID(G43,J43,K43-J43),[6]skilldef!$C:$D,2,FALSE),"-") &amp; " / " &amp; IFERROR(VLOOKUP(MID(G43,H43,I43-H43),[6]skilldef!$A:$B,2,FALSE),"-")</f>
        <v>味方全体に / -</v>
      </c>
      <c r="M43" s="64" t="str">
        <f t="shared" si="68"/>
        <v>none</v>
      </c>
      <c r="N43" s="48" t="str">
        <f t="shared" si="69"/>
        <v>none</v>
      </c>
      <c r="O43" s="64" t="e">
        <f t="shared" si="70"/>
        <v>#VALUE!</v>
      </c>
      <c r="P43" s="64">
        <f t="shared" si="71"/>
        <v>4</v>
      </c>
      <c r="Q43" s="64" t="e">
        <f t="shared" si="72"/>
        <v>#VALUE!</v>
      </c>
      <c r="R43" s="64" t="e">
        <f t="shared" si="73"/>
        <v>#VALUE!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si="74"/>
        <v>none</v>
      </c>
      <c r="U43" s="64" t="e">
        <f t="shared" si="75"/>
        <v>#VALUE!</v>
      </c>
      <c r="V43" s="64">
        <f t="shared" si="76"/>
        <v>4</v>
      </c>
      <c r="W43" s="64" t="e">
        <f t="shared" si="77"/>
        <v>#VALUE!</v>
      </c>
      <c r="X43" s="64" t="e">
        <f t="shared" si="78"/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40035142</v>
      </c>
      <c r="B44" s="47" t="s">
        <v>328</v>
      </c>
      <c r="C44" s="50">
        <v>3</v>
      </c>
      <c r="D44" s="50" t="s">
        <v>126</v>
      </c>
      <c r="E44" s="49" t="s">
        <v>270</v>
      </c>
      <c r="F44" s="51" t="s">
        <v>404</v>
      </c>
      <c r="G44" s="64" t="str">
        <f t="shared" si="63"/>
        <v>[effect:panel_freeze, target:block_all, count:6]</v>
      </c>
      <c r="H44" s="64">
        <f t="shared" si="64"/>
        <v>9</v>
      </c>
      <c r="I44" s="64">
        <f t="shared" si="65"/>
        <v>21</v>
      </c>
      <c r="J44" s="64">
        <f t="shared" si="66"/>
        <v>30</v>
      </c>
      <c r="K44" s="64">
        <f t="shared" si="67"/>
        <v>39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68"/>
        <v>[effect:rush, count:1, val:1]</v>
      </c>
      <c r="N44" s="48" t="str">
        <f>IFERROR(LEFT(M44,FIND("],",M44)+#REF!),M44)</f>
        <v>[effect:rush, count:1, val:1]</v>
      </c>
      <c r="O44" s="64">
        <f t="shared" si="70"/>
        <v>9</v>
      </c>
      <c r="P44" s="64">
        <f t="shared" si="71"/>
        <v>13</v>
      </c>
      <c r="Q44" s="64" t="e">
        <f t="shared" si="72"/>
        <v>#VALUE!</v>
      </c>
      <c r="R44" s="64">
        <f t="shared" si="73"/>
        <v>22</v>
      </c>
      <c r="S44" s="64" t="str">
        <f>IFERROR(VLOOKUP(MID(N44,Q44,R44-Q44),[6]skilldef!$C:$D,2,FALSE),"-") &amp; " / " &amp; IFERROR(VLOOKUP(MID(N44,O44,P44-O44),[6]skilldef!$A:$B,2,FALSE),"-")</f>
        <v>- / 連続攻撃</v>
      </c>
      <c r="T44" s="48" t="str">
        <f t="shared" si="74"/>
        <v>none</v>
      </c>
      <c r="U44" s="64" t="e">
        <f t="shared" si="75"/>
        <v>#VALUE!</v>
      </c>
      <c r="V44" s="64">
        <f t="shared" si="76"/>
        <v>4</v>
      </c>
      <c r="W44" s="64" t="e">
        <f t="shared" si="77"/>
        <v>#VALUE!</v>
      </c>
      <c r="X44" s="64" t="e">
        <f t="shared" si="78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40035143</v>
      </c>
      <c r="B45" s="47" t="s">
        <v>329</v>
      </c>
      <c r="C45" s="50">
        <v>3</v>
      </c>
      <c r="D45" s="50" t="s">
        <v>126</v>
      </c>
      <c r="E45" s="51" t="s">
        <v>269</v>
      </c>
      <c r="F45" s="51" t="s">
        <v>404</v>
      </c>
      <c r="G45" s="64" t="str">
        <f t="shared" si="63"/>
        <v>[effect:panel_freeze, target:block_all, count:6]</v>
      </c>
      <c r="H45" s="64">
        <f t="shared" si="64"/>
        <v>9</v>
      </c>
      <c r="I45" s="64">
        <f t="shared" si="65"/>
        <v>21</v>
      </c>
      <c r="J45" s="64">
        <f t="shared" si="66"/>
        <v>30</v>
      </c>
      <c r="K45" s="64">
        <f t="shared" si="67"/>
        <v>39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68"/>
        <v>[effect:rush, count:1, val:1]</v>
      </c>
      <c r="N45" s="48" t="str">
        <f>IFERROR(LEFT(M45,FIND("],",M45)+#REF!),M45)</f>
        <v>[effect:rush, count:1, val:1]</v>
      </c>
      <c r="O45" s="64">
        <f t="shared" si="70"/>
        <v>9</v>
      </c>
      <c r="P45" s="64">
        <f t="shared" si="71"/>
        <v>13</v>
      </c>
      <c r="Q45" s="64" t="e">
        <f t="shared" si="72"/>
        <v>#VALUE!</v>
      </c>
      <c r="R45" s="64">
        <f t="shared" si="73"/>
        <v>22</v>
      </c>
      <c r="S45" s="64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74"/>
        <v>none</v>
      </c>
      <c r="U45" s="64" t="e">
        <f t="shared" si="75"/>
        <v>#VALUE!</v>
      </c>
      <c r="V45" s="64">
        <f t="shared" si="76"/>
        <v>4</v>
      </c>
      <c r="W45" s="64" t="e">
        <f t="shared" si="77"/>
        <v>#VALUE!</v>
      </c>
      <c r="X45" s="64" t="e">
        <f t="shared" si="78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40035144</v>
      </c>
      <c r="B46" s="47" t="s">
        <v>329</v>
      </c>
      <c r="C46" s="50">
        <v>3</v>
      </c>
      <c r="D46" s="50" t="s">
        <v>126</v>
      </c>
      <c r="E46" s="51" t="s">
        <v>266</v>
      </c>
      <c r="F46" s="51" t="s">
        <v>404</v>
      </c>
      <c r="G46" s="64" t="str">
        <f t="shared" si="63"/>
        <v>[effect:panel_freeze, target:block_all, count:6]</v>
      </c>
      <c r="H46" s="64">
        <f t="shared" si="64"/>
        <v>9</v>
      </c>
      <c r="I46" s="64">
        <f t="shared" si="65"/>
        <v>21</v>
      </c>
      <c r="J46" s="64">
        <f t="shared" si="66"/>
        <v>30</v>
      </c>
      <c r="K46" s="64">
        <f t="shared" si="67"/>
        <v>39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68"/>
        <v>[effect:rush, count:1, val:1]</v>
      </c>
      <c r="N46" s="48" t="str">
        <f>IFERROR(LEFT(M46,FIND("],",M46)+#REF!),M46)</f>
        <v>[effect:rush, count:1, val:1]</v>
      </c>
      <c r="O46" s="64">
        <f t="shared" si="70"/>
        <v>9</v>
      </c>
      <c r="P46" s="64">
        <f t="shared" si="71"/>
        <v>13</v>
      </c>
      <c r="Q46" s="64" t="e">
        <f t="shared" si="72"/>
        <v>#VALUE!</v>
      </c>
      <c r="R46" s="64">
        <f t="shared" si="73"/>
        <v>22</v>
      </c>
      <c r="S46" s="64" t="str">
        <f>IFERROR(VLOOKUP(MID(N46,Q46,R46-Q46),[6]skilldef!$C:$D,2,FALSE),"-") &amp; " / " &amp; IFERROR(VLOOKUP(MID(N46,O46,P46-O46),[6]skilldef!$A:$B,2,FALSE),"-")</f>
        <v>- / 連続攻撃</v>
      </c>
      <c r="T46" s="48" t="str">
        <f t="shared" si="74"/>
        <v>none</v>
      </c>
      <c r="U46" s="64" t="e">
        <f t="shared" si="75"/>
        <v>#VALUE!</v>
      </c>
      <c r="V46" s="64">
        <f t="shared" si="76"/>
        <v>4</v>
      </c>
      <c r="W46" s="64" t="e">
        <f t="shared" si="77"/>
        <v>#VALUE!</v>
      </c>
      <c r="X46" s="64" t="e">
        <f t="shared" si="78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40035145</v>
      </c>
      <c r="B47" s="47" t="s">
        <v>375</v>
      </c>
      <c r="C47" s="50">
        <v>3</v>
      </c>
      <c r="D47" s="50" t="s">
        <v>126</v>
      </c>
      <c r="E47" s="51" t="s">
        <v>302</v>
      </c>
      <c r="F47" s="51" t="s">
        <v>351</v>
      </c>
      <c r="G47" s="64" t="str">
        <f t="shared" si="63"/>
        <v>[effect:break_attack_fix, target:unit_all, val:130, lowest_val:1000, count:-1, color:blue, block01:block_blue]</v>
      </c>
      <c r="H47" s="64">
        <f t="shared" si="64"/>
        <v>9</v>
      </c>
      <c r="I47" s="64">
        <f t="shared" si="65"/>
        <v>25</v>
      </c>
      <c r="J47" s="64">
        <f t="shared" si="66"/>
        <v>34</v>
      </c>
      <c r="K47" s="64">
        <f t="shared" si="67"/>
        <v>42</v>
      </c>
      <c r="L47" s="64" t="str">
        <f>IFERROR(VLOOKUP(MID(G47,J47,K47-J47),[6]skilldef!$C:$D,2,FALSE),"-") &amp; " / " &amp; IFERROR(VLOOKUP(MID(G47,H47,I47-H47),[6]skilldef!$A:$B,2,FALSE),"-")</f>
        <v>味方全体に / -</v>
      </c>
      <c r="M47" s="64" t="str">
        <f t="shared" si="68"/>
        <v>none</v>
      </c>
      <c r="N47" s="48" t="str">
        <f>IFERROR(LEFT(M47,FIND("],",M47)+#REF!),M47)</f>
        <v>none</v>
      </c>
      <c r="O47" s="64" t="e">
        <f t="shared" si="70"/>
        <v>#VALUE!</v>
      </c>
      <c r="P47" s="64">
        <f t="shared" si="71"/>
        <v>4</v>
      </c>
      <c r="Q47" s="64" t="e">
        <f t="shared" si="72"/>
        <v>#VALUE!</v>
      </c>
      <c r="R47" s="64" t="e">
        <f t="shared" si="73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74"/>
        <v>none</v>
      </c>
      <c r="U47" s="64" t="e">
        <f t="shared" si="75"/>
        <v>#VALUE!</v>
      </c>
      <c r="V47" s="64">
        <f t="shared" si="76"/>
        <v>4</v>
      </c>
      <c r="W47" s="64" t="e">
        <f t="shared" si="77"/>
        <v>#VALUE!</v>
      </c>
      <c r="X47" s="64" t="e">
        <f t="shared" si="78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40035146</v>
      </c>
      <c r="B48" s="47" t="s">
        <v>376</v>
      </c>
      <c r="C48" s="50">
        <v>3</v>
      </c>
      <c r="D48" s="50" t="s">
        <v>126</v>
      </c>
      <c r="E48" s="51" t="s">
        <v>301</v>
      </c>
      <c r="F48" s="51" t="s">
        <v>407</v>
      </c>
      <c r="G48" s="64" t="str">
        <f t="shared" si="63"/>
        <v>[effect:enemy_message, val1:1.2, val2:2.2]</v>
      </c>
      <c r="H48" s="64">
        <f t="shared" si="64"/>
        <v>9</v>
      </c>
      <c r="I48" s="64">
        <f t="shared" si="65"/>
        <v>22</v>
      </c>
      <c r="J48" s="64" t="e">
        <f t="shared" si="66"/>
        <v>#VALUE!</v>
      </c>
      <c r="K48" s="64">
        <f t="shared" si="67"/>
        <v>32</v>
      </c>
      <c r="L48" s="64" t="str">
        <f>IFERROR(VLOOKUP(MID(G48,J48,K48-J48),[6]skilldef!$C:$D,2,FALSE),"-") &amp; " / " &amp; IFERROR(VLOOKUP(MID(G48,H48,I48-H48),[6]skilldef!$A:$B,2,FALSE),"-")</f>
        <v>- / -</v>
      </c>
      <c r="M48" s="64" t="str">
        <f t="shared" si="68"/>
        <v xml:space="preserve">[effect:tolerance, target:myself, turn:-1, tolerance_effect:all, count:-1, animation:enemy_tolerance],[effect:drop_freeze, turn:-1, block_type:normal, frozen_count:1, rate:0.2, animation:drop_protect]    </v>
      </c>
      <c r="N48" s="48" t="str">
        <f>IFERROR(LEFT(M48,FIND("],",M48)+#REF!),M48)</f>
        <v xml:space="preserve">[effect:tolerance, target:myself, turn:-1, tolerance_effect:all, count:-1, animation:enemy_tolerance],[effect:drop_freeze, turn:-1, block_type:normal, frozen_count:1, rate:0.2, animation:drop_protect]    </v>
      </c>
      <c r="O48" s="64">
        <f t="shared" si="70"/>
        <v>9</v>
      </c>
      <c r="P48" s="64">
        <f t="shared" si="71"/>
        <v>18</v>
      </c>
      <c r="Q48" s="64">
        <f t="shared" si="72"/>
        <v>27</v>
      </c>
      <c r="R48" s="64">
        <f t="shared" si="73"/>
        <v>33</v>
      </c>
      <c r="S48" s="64" t="str">
        <f>IFERROR(VLOOKUP(MID(N48,Q48,R48-Q48),[6]skilldef!$C:$D,2,FALSE),"-") &amp; " / " &amp; IFERROR(VLOOKUP(MID(N48,O48,P48-O48),[6]skilldef!$A:$B,2,FALSE),"-")</f>
        <v>自分自身に / 状態異常耐性</v>
      </c>
      <c r="T48" s="48" t="str">
        <f t="shared" si="74"/>
        <v xml:space="preserve">[effect:drop_freeze, turn:-1, block_type:normal, frozen_count:1, rate:0.2, animation:drop_protect]    </v>
      </c>
      <c r="U48" s="64">
        <f t="shared" si="75"/>
        <v>9</v>
      </c>
      <c r="V48" s="64">
        <f t="shared" si="76"/>
        <v>20</v>
      </c>
      <c r="W48" s="64" t="e">
        <f t="shared" si="77"/>
        <v>#VALUE!</v>
      </c>
      <c r="X48" s="64">
        <f t="shared" si="78"/>
        <v>29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40035147</v>
      </c>
      <c r="B49" s="47" t="s">
        <v>340</v>
      </c>
      <c r="C49" s="50">
        <v>3</v>
      </c>
      <c r="D49" s="50" t="s">
        <v>126</v>
      </c>
      <c r="E49" s="51" t="s">
        <v>356</v>
      </c>
      <c r="F49" s="51" t="s">
        <v>344</v>
      </c>
      <c r="G49" s="64" t="str">
        <f t="shared" si="63"/>
        <v>[effect:break_attack_fix, target:unit_all, val:100, lowest_val:1000, count:-1, color:blue, block01:block_red]</v>
      </c>
      <c r="H49" s="64">
        <f t="shared" si="64"/>
        <v>9</v>
      </c>
      <c r="I49" s="64">
        <f t="shared" si="65"/>
        <v>25</v>
      </c>
      <c r="J49" s="64">
        <f t="shared" si="66"/>
        <v>34</v>
      </c>
      <c r="K49" s="64">
        <f t="shared" si="67"/>
        <v>42</v>
      </c>
      <c r="L49" s="64" t="str">
        <f>IFERROR(VLOOKUP(MID(G49,J49,K49-J49),[6]skilldef!$C:$D,2,FALSE),"-") &amp; " / " &amp; IFERROR(VLOOKUP(MID(G49,H49,I49-H49),[6]skilldef!$A:$B,2,FALSE),"-")</f>
        <v>味方全体に / -</v>
      </c>
      <c r="M49" s="64" t="str">
        <f t="shared" si="68"/>
        <v>none</v>
      </c>
      <c r="N49" s="48" t="str">
        <f>IFERROR(LEFT(M49,FIND("],",M49)+#REF!),M49)</f>
        <v>none</v>
      </c>
      <c r="O49" s="64" t="e">
        <f t="shared" si="70"/>
        <v>#VALUE!</v>
      </c>
      <c r="P49" s="64">
        <f t="shared" si="71"/>
        <v>4</v>
      </c>
      <c r="Q49" s="64" t="e">
        <f t="shared" si="72"/>
        <v>#VALUE!</v>
      </c>
      <c r="R49" s="64" t="e">
        <f t="shared" si="73"/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si="74"/>
        <v>none</v>
      </c>
      <c r="U49" s="64" t="e">
        <f t="shared" si="75"/>
        <v>#VALUE!</v>
      </c>
      <c r="V49" s="64">
        <f t="shared" si="76"/>
        <v>4</v>
      </c>
      <c r="W49" s="64" t="e">
        <f t="shared" si="77"/>
        <v>#VALUE!</v>
      </c>
      <c r="X49" s="64" t="e">
        <f t="shared" si="78"/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40035148</v>
      </c>
      <c r="B50" s="47" t="s">
        <v>377</v>
      </c>
      <c r="C50" s="50">
        <v>3</v>
      </c>
      <c r="D50" s="50" t="s">
        <v>126</v>
      </c>
      <c r="E50" s="51" t="s">
        <v>393</v>
      </c>
      <c r="F50" s="51" t="s">
        <v>407</v>
      </c>
      <c r="G50" s="64" t="str">
        <f t="shared" ref="G50:G52" si="79">IFERROR(LEFT(B50,FIND("],",B50)),B50)</f>
        <v>[effect:enemy_message, val1:1.2, val2:2.2]</v>
      </c>
      <c r="H50" s="64">
        <f t="shared" ref="H50:H52" si="80">FIND("effect:",G50)+7</f>
        <v>9</v>
      </c>
      <c r="I50" s="64">
        <f t="shared" ref="I50:I52" si="81">IFERROR(FIND(",",G50),LEN(G50))</f>
        <v>22</v>
      </c>
      <c r="J50" s="64" t="e">
        <f t="shared" ref="J50:J52" si="82">FIND("target:",G50)+7</f>
        <v>#VALUE!</v>
      </c>
      <c r="K50" s="64">
        <f t="shared" ref="K50:K52" si="83">FIND(",",G50,I50+1)</f>
        <v>32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ref="M50:M52" si="84">IFERROR(RIGHT(B50,LEN(B50)-FIND("],",B50)-1),"none")</f>
        <v>[effect:tolerance, target:myself, turn:-1, tolerance_effect:all, count:-1, animation:enemy_tolerance],[effect:drop_freeze, turn:-1, block_type:normal, frozen_count:1, rate:0.4, animation:drop_protect]</v>
      </c>
      <c r="N50" s="48" t="str">
        <f>IFERROR(LEFT(M50,FIND("],",M50)+#REF!),M50)</f>
        <v>[effect:tolerance, target:myself, turn:-1, tolerance_effect:all, count:-1, animation:enemy_tolerance],[effect:drop_freeze, turn:-1, block_type:normal, frozen_count:1, rate:0.4, animation:drop_protect]</v>
      </c>
      <c r="O50" s="64">
        <f t="shared" ref="O50:O52" si="85">FIND("effect:",N50)+7</f>
        <v>9</v>
      </c>
      <c r="P50" s="64">
        <f t="shared" ref="P50:P52" si="86">IFERROR(FIND(",",N50),LEN(N50))</f>
        <v>18</v>
      </c>
      <c r="Q50" s="64">
        <f t="shared" ref="Q50:Q52" si="87">FIND("target:",N50)+7</f>
        <v>27</v>
      </c>
      <c r="R50" s="64">
        <f t="shared" ref="R50:R52" si="88">FIND(",",N50,P50+1)</f>
        <v>33</v>
      </c>
      <c r="S50" s="64" t="str">
        <f>IFERROR(VLOOKUP(MID(N50,Q50,R50-Q50),[6]skilldef!$C:$D,2,FALSE),"-") &amp; " / " &amp; IFERROR(VLOOKUP(MID(N50,O50,P50-O50),[6]skilldef!$A:$B,2,FALSE),"-")</f>
        <v>自分自身に / 状態異常耐性</v>
      </c>
      <c r="T50" s="48" t="str">
        <f t="shared" ref="T50:T52" si="89">IFERROR(RIGHT(M50,LEN(M50)-FIND("],",M50)-1),"none")</f>
        <v>[effect:drop_freeze, turn:-1, block_type:normal, frozen_count:1, rate:0.4, animation:drop_protect]</v>
      </c>
      <c r="U50" s="64">
        <f t="shared" ref="U50:U52" si="90">FIND("effect:",T50)+7</f>
        <v>9</v>
      </c>
      <c r="V50" s="64">
        <f t="shared" ref="V50:V52" si="91">IFERROR(FIND(",",T50),LEN(T50))</f>
        <v>20</v>
      </c>
      <c r="W50" s="64" t="e">
        <f t="shared" ref="W50:W52" si="92">FIND("target:",T50)+7</f>
        <v>#VALUE!</v>
      </c>
      <c r="X50" s="64">
        <f t="shared" ref="X50:X52" si="93">FIND(",",T50,V50+1)</f>
        <v>29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40035149</v>
      </c>
      <c r="B51" s="47" t="s">
        <v>390</v>
      </c>
      <c r="C51" s="50">
        <v>3</v>
      </c>
      <c r="D51" s="50" t="s">
        <v>126</v>
      </c>
      <c r="E51" s="51" t="s">
        <v>357</v>
      </c>
      <c r="F51" s="51" t="s">
        <v>350</v>
      </c>
      <c r="G51" s="64" t="str">
        <f t="shared" si="79"/>
        <v>[effect:break_attack_fix, target:unit_all, val:180, lowest_val:1100, count:-1, color:blue, block01:block_green]</v>
      </c>
      <c r="H51" s="64">
        <f t="shared" si="80"/>
        <v>9</v>
      </c>
      <c r="I51" s="64">
        <f t="shared" si="81"/>
        <v>25</v>
      </c>
      <c r="J51" s="64">
        <f t="shared" si="82"/>
        <v>34</v>
      </c>
      <c r="K51" s="64">
        <f t="shared" si="83"/>
        <v>42</v>
      </c>
      <c r="L51" s="64" t="str">
        <f>IFERROR(VLOOKUP(MID(G51,J51,K51-J51),[6]skilldef!$C:$D,2,FALSE),"-") &amp; " / " &amp; IFERROR(VLOOKUP(MID(G51,H51,I51-H51),[6]skilldef!$A:$B,2,FALSE),"-")</f>
        <v>味方全体に / -</v>
      </c>
      <c r="M51" s="64" t="str">
        <f t="shared" si="84"/>
        <v>none</v>
      </c>
      <c r="N51" s="48" t="str">
        <f>IFERROR(LEFT(M51,FIND("],",M51)+S54),M51)</f>
        <v>none</v>
      </c>
      <c r="O51" s="64" t="e">
        <f t="shared" si="85"/>
        <v>#VALUE!</v>
      </c>
      <c r="P51" s="64">
        <f t="shared" si="86"/>
        <v>4</v>
      </c>
      <c r="Q51" s="64" t="e">
        <f t="shared" si="87"/>
        <v>#VALUE!</v>
      </c>
      <c r="R51" s="64" t="e">
        <f t="shared" si="88"/>
        <v>#VALUE!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si="89"/>
        <v>none</v>
      </c>
      <c r="U51" s="64" t="e">
        <f t="shared" si="90"/>
        <v>#VALUE!</v>
      </c>
      <c r="V51" s="64">
        <f t="shared" si="91"/>
        <v>4</v>
      </c>
      <c r="W51" s="64" t="e">
        <f t="shared" si="92"/>
        <v>#VALUE!</v>
      </c>
      <c r="X51" s="64" t="e">
        <f t="shared" si="93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40035150</v>
      </c>
      <c r="B52" s="47" t="s">
        <v>391</v>
      </c>
      <c r="C52" s="50">
        <v>3</v>
      </c>
      <c r="D52" s="50" t="s">
        <v>126</v>
      </c>
      <c r="E52" s="51" t="s">
        <v>357</v>
      </c>
      <c r="F52" s="51" t="s">
        <v>350</v>
      </c>
      <c r="G52" s="64" t="str">
        <f t="shared" si="79"/>
        <v>[effect:break_attack_fix, target:unit_all, val:100, lowest_val:1000, count:-1, color:blue, block01:block_green]</v>
      </c>
      <c r="H52" s="64">
        <f t="shared" si="80"/>
        <v>9</v>
      </c>
      <c r="I52" s="64">
        <f t="shared" si="81"/>
        <v>25</v>
      </c>
      <c r="J52" s="64">
        <f t="shared" si="82"/>
        <v>34</v>
      </c>
      <c r="K52" s="64">
        <f t="shared" si="83"/>
        <v>42</v>
      </c>
      <c r="L52" s="64" t="str">
        <f>IFERROR(VLOOKUP(MID(G52,J52,K52-J52),[6]skilldef!$C:$D,2,FALSE),"-") &amp; " / " &amp; IFERROR(VLOOKUP(MID(G52,H52,I52-H52),[6]skilldef!$A:$B,2,FALSE),"-")</f>
        <v>味方全体に / -</v>
      </c>
      <c r="M52" s="64" t="str">
        <f t="shared" si="84"/>
        <v>none</v>
      </c>
      <c r="N52" s="48" t="str">
        <f>IFERROR(LEFT(M52,FIND("],",M52)+#REF!),M52)</f>
        <v>none</v>
      </c>
      <c r="O52" s="64" t="e">
        <f t="shared" si="85"/>
        <v>#VALUE!</v>
      </c>
      <c r="P52" s="64">
        <f t="shared" si="86"/>
        <v>4</v>
      </c>
      <c r="Q52" s="64" t="e">
        <f t="shared" si="87"/>
        <v>#VALUE!</v>
      </c>
      <c r="R52" s="64" t="e">
        <f t="shared" si="88"/>
        <v>#VALUE!</v>
      </c>
      <c r="S52" s="64" t="str">
        <f>IFERROR(VLOOKUP(MID(N52,Q52,R52-Q52),[6]skilldef!$C:$D,2,FALSE),"-") &amp; " / " &amp; IFERROR(VLOOKUP(MID(N52,O52,P52-O52),[6]skilldef!$A:$B,2,FALSE),"-")</f>
        <v>- / -</v>
      </c>
      <c r="T52" s="48" t="str">
        <f t="shared" si="89"/>
        <v>none</v>
      </c>
      <c r="U52" s="64" t="e">
        <f t="shared" si="90"/>
        <v>#VALUE!</v>
      </c>
      <c r="V52" s="64">
        <f t="shared" si="91"/>
        <v>4</v>
      </c>
      <c r="W52" s="64" t="e">
        <f t="shared" si="92"/>
        <v>#VALUE!</v>
      </c>
      <c r="X52" s="64" t="e">
        <f t="shared" si="93"/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40035151</v>
      </c>
      <c r="B53" s="47" t="s">
        <v>378</v>
      </c>
      <c r="C53" s="50">
        <v>3</v>
      </c>
      <c r="D53" s="50" t="s">
        <v>126</v>
      </c>
      <c r="E53" s="51" t="s">
        <v>359</v>
      </c>
      <c r="F53" s="51" t="s">
        <v>407</v>
      </c>
      <c r="G53" s="64" t="str">
        <f t="shared" ref="G53" si="94">IFERROR(LEFT(B53,FIND("],",B53)),B53)</f>
        <v>[effect:enemy_message, val1:1.2, val2:2.2]</v>
      </c>
      <c r="H53" s="64">
        <f t="shared" ref="H53" si="95">FIND("effect:",G53)+7</f>
        <v>9</v>
      </c>
      <c r="I53" s="64">
        <f t="shared" ref="I53" si="96">IFERROR(FIND(",",G53),LEN(G53))</f>
        <v>22</v>
      </c>
      <c r="J53" s="64" t="e">
        <f t="shared" ref="J53" si="97">FIND("target:",G53)+7</f>
        <v>#VALUE!</v>
      </c>
      <c r="K53" s="64">
        <f t="shared" ref="K53" si="98">FIND(",",G53,I53+1)</f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ref="M53" si="99">IFERROR(RIGHT(B53,LEN(B53)-FIND("],",B53)-1),"none")</f>
        <v xml:space="preserve">[effect:tolerance, target:myself, turn:-1, tolerance_effect:all, count:-1, animation:enemy_tolerance],[effect:drop_freeze, turn:-1, block_type:normal, frozen_count:1, rate:0.8, animation:drop_protect]    </v>
      </c>
      <c r="N53" s="48" t="str">
        <f>IFERROR(LEFT(M53,FIND("],",M53)+#REF!),M53)</f>
        <v xml:space="preserve">[effect:tolerance, target:myself, turn:-1, tolerance_effect:all, count:-1, animation:enemy_tolerance],[effect:drop_freeze, turn:-1, block_type:normal, frozen_count:1, rate:0.8, animation:drop_protect]    </v>
      </c>
      <c r="O53" s="64">
        <f t="shared" ref="O53" si="100">FIND("effect:",N53)+7</f>
        <v>9</v>
      </c>
      <c r="P53" s="64">
        <f t="shared" ref="P53" si="101">IFERROR(FIND(",",N53),LEN(N53))</f>
        <v>18</v>
      </c>
      <c r="Q53" s="64">
        <f t="shared" ref="Q53" si="102">FIND("target:",N53)+7</f>
        <v>27</v>
      </c>
      <c r="R53" s="64">
        <f t="shared" ref="R53" si="103">FIND(",",N53,P53+1)</f>
        <v>33</v>
      </c>
      <c r="S53" s="64" t="str">
        <f>IFERROR(VLOOKUP(MID(N53,Q53,R53-Q53),[6]skilldef!$C:$D,2,FALSE),"-") &amp; " / " &amp; IFERROR(VLOOKUP(MID(N53,O53,P53-O53),[6]skilldef!$A:$B,2,FALSE),"-")</f>
        <v>自分自身に / 状態異常耐性</v>
      </c>
      <c r="T53" s="48" t="str">
        <f t="shared" ref="T53" si="104">IFERROR(RIGHT(M53,LEN(M53)-FIND("],",M53)-1),"none")</f>
        <v xml:space="preserve">[effect:drop_freeze, turn:-1, block_type:normal, frozen_count:1, rate:0.8, animation:drop_protect]    </v>
      </c>
      <c r="U53" s="64">
        <f t="shared" ref="U53" si="105">FIND("effect:",T53)+7</f>
        <v>9</v>
      </c>
      <c r="V53" s="64">
        <f t="shared" ref="V53" si="106">IFERROR(FIND(",",T53),LEN(T53))</f>
        <v>20</v>
      </c>
      <c r="W53" s="64" t="e">
        <f t="shared" ref="W53" si="107">FIND("target:",T53)+7</f>
        <v>#VALUE!</v>
      </c>
      <c r="X53" s="64">
        <f t="shared" ref="X53" si="108">FIND(",",T53,V53+1)</f>
        <v>29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40035152</v>
      </c>
      <c r="B54" s="47" t="s">
        <v>374</v>
      </c>
      <c r="C54" s="50">
        <v>3</v>
      </c>
      <c r="D54" s="50" t="s">
        <v>126</v>
      </c>
      <c r="E54" s="51" t="s">
        <v>361</v>
      </c>
      <c r="F54" s="51" t="s">
        <v>407</v>
      </c>
      <c r="G54" s="64" t="str">
        <f t="shared" ref="G54" si="109">IFERROR(LEFT(B54,FIND("],",B54)),B54)</f>
        <v>[effect:enemy_message, val1:1.2, val2:2.2]</v>
      </c>
      <c r="H54" s="64">
        <f t="shared" ref="H54" si="110">FIND("effect:",G54)+7</f>
        <v>9</v>
      </c>
      <c r="I54" s="64">
        <f t="shared" ref="I54" si="111">IFERROR(FIND(",",G54),LEN(G54))</f>
        <v>22</v>
      </c>
      <c r="J54" s="64" t="e">
        <f t="shared" ref="J54" si="112">FIND("target:",G54)+7</f>
        <v>#VALUE!</v>
      </c>
      <c r="K54" s="64">
        <f t="shared" ref="K54" si="113">FIND(",",G54,I54+1)</f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ref="M54" si="114">IFERROR(RIGHT(B54,LEN(B54)-FIND("],",B54)-1),"none")</f>
        <v xml:space="preserve">[effect:tolerance, target:myself, turn:-1, tolerance_effect:all, count:-1, animation:enemy_tolerance],[effect:drop_freeze, turn:-1, block_type:normal, frozen_count:1, rate:0.8, animation:drop_protect]    </v>
      </c>
      <c r="N54" s="48" t="str">
        <f>IFERROR(LEFT(M54,FIND("],",M54)+#REF!),M54)</f>
        <v xml:space="preserve">[effect:tolerance, target:myself, turn:-1, tolerance_effect:all, count:-1, animation:enemy_tolerance],[effect:drop_freeze, turn:-1, block_type:normal, frozen_count:1, rate:0.8, animation:drop_protect]    </v>
      </c>
      <c r="O54" s="64">
        <f t="shared" ref="O54" si="115">FIND("effect:",N54)+7</f>
        <v>9</v>
      </c>
      <c r="P54" s="64">
        <f t="shared" ref="P54" si="116">IFERROR(FIND(",",N54),LEN(N54))</f>
        <v>18</v>
      </c>
      <c r="Q54" s="64">
        <f t="shared" ref="Q54" si="117">FIND("target:",N54)+7</f>
        <v>27</v>
      </c>
      <c r="R54" s="64">
        <f t="shared" ref="R54" si="118">FIND(",",N54,P54+1)</f>
        <v>33</v>
      </c>
      <c r="S54" s="64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ref="T54" si="119">IFERROR(RIGHT(M54,LEN(M54)-FIND("],",M54)-1),"none")</f>
        <v xml:space="preserve">[effect:drop_freeze, turn:-1, block_type:normal, frozen_count:1, rate:0.8, animation:drop_protect]    </v>
      </c>
      <c r="U54" s="64">
        <f t="shared" ref="U54" si="120">FIND("effect:",T54)+7</f>
        <v>9</v>
      </c>
      <c r="V54" s="64">
        <f t="shared" ref="V54" si="121">IFERROR(FIND(",",T54),LEN(T54))</f>
        <v>20</v>
      </c>
      <c r="W54" s="64" t="e">
        <f t="shared" ref="W54" si="122">FIND("target:",T54)+7</f>
        <v>#VALUE!</v>
      </c>
      <c r="X54" s="64">
        <f t="shared" ref="X54" si="123">FIND(",",T54,V54+1)</f>
        <v>29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40035153</v>
      </c>
      <c r="B55" s="47" t="s">
        <v>379</v>
      </c>
      <c r="C55" s="50">
        <v>3</v>
      </c>
      <c r="D55" s="50" t="s">
        <v>126</v>
      </c>
      <c r="E55" s="51" t="s">
        <v>360</v>
      </c>
      <c r="F55" s="51" t="s">
        <v>407</v>
      </c>
      <c r="G55" s="64" t="str">
        <f t="shared" ref="G55" si="124">IFERROR(LEFT(B55,FIND("],",B55)),B55)</f>
        <v>[effect:enemy_message, val1:1.2, val2:2.2]</v>
      </c>
      <c r="H55" s="64">
        <f t="shared" ref="H55" si="125">FIND("effect:",G55)+7</f>
        <v>9</v>
      </c>
      <c r="I55" s="64">
        <f t="shared" ref="I55" si="126">IFERROR(FIND(",",G55),LEN(G55))</f>
        <v>22</v>
      </c>
      <c r="J55" s="64" t="e">
        <f t="shared" ref="J55" si="127">FIND("target:",G55)+7</f>
        <v>#VALUE!</v>
      </c>
      <c r="K55" s="64">
        <f t="shared" ref="K55" si="128">FIND(",",G55,I55+1)</f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ref="M55" si="129">IFERROR(RIGHT(B55,LEN(B55)-FIND("],",B55)-1),"none")</f>
        <v xml:space="preserve">[effect:tolerance, target:myself, turn:-1, tolerance_effect:all, count:-1, animation:enemy_tolerance],[effect:drop_freeze, turn:-1, block_type:normal, frozen_count:1, rate:0.2, animation:drop_protect]    </v>
      </c>
      <c r="N55" s="48" t="str">
        <f>IFERROR(LEFT(M55,FIND("],",M55)+#REF!),M55)</f>
        <v xml:space="preserve">[effect:tolerance, target:myself, turn:-1, tolerance_effect:all, count:-1, animation:enemy_tolerance],[effect:drop_freeze, turn:-1, block_type:normal, frozen_count:1, rate:0.2, animation:drop_protect]    </v>
      </c>
      <c r="O55" s="64">
        <f t="shared" ref="O55" si="130">FIND("effect:",N55)+7</f>
        <v>9</v>
      </c>
      <c r="P55" s="64">
        <f t="shared" ref="P55" si="131">IFERROR(FIND(",",N55),LEN(N55))</f>
        <v>18</v>
      </c>
      <c r="Q55" s="64">
        <f t="shared" ref="Q55" si="132">FIND("target:",N55)+7</f>
        <v>27</v>
      </c>
      <c r="R55" s="64">
        <f t="shared" ref="R55" si="133">FIND(",",N55,P55+1)</f>
        <v>33</v>
      </c>
      <c r="S55" s="64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ref="T55" si="134">IFERROR(RIGHT(M55,LEN(M55)-FIND("],",M55)-1),"none")</f>
        <v xml:space="preserve">[effect:drop_freeze, turn:-1, block_type:normal, frozen_count:1, rate:0.2, animation:drop_protect]    </v>
      </c>
      <c r="U55" s="64">
        <f t="shared" ref="U55" si="135">FIND("effect:",T55)+7</f>
        <v>9</v>
      </c>
      <c r="V55" s="64">
        <f t="shared" ref="V55" si="136">IFERROR(FIND(",",T55),LEN(T55))</f>
        <v>20</v>
      </c>
      <c r="W55" s="64" t="e">
        <f t="shared" ref="W55" si="137">FIND("target:",T55)+7</f>
        <v>#VALUE!</v>
      </c>
      <c r="X55" s="64">
        <f t="shared" ref="X55" si="138">FIND(",",T55,V55+1)</f>
        <v>29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40035154</v>
      </c>
      <c r="B56" s="47" t="s">
        <v>376</v>
      </c>
      <c r="C56" s="50">
        <v>3</v>
      </c>
      <c r="D56" s="50" t="s">
        <v>126</v>
      </c>
      <c r="E56" s="51" t="s">
        <v>361</v>
      </c>
      <c r="F56" s="51" t="s">
        <v>407</v>
      </c>
      <c r="G56" s="64" t="str">
        <f t="shared" ref="G56" si="139">IFERROR(LEFT(B56,FIND("],",B56)),B56)</f>
        <v>[effect:enemy_message, val1:1.2, val2:2.2]</v>
      </c>
      <c r="H56" s="64">
        <f t="shared" ref="H56" si="140">FIND("effect:",G56)+7</f>
        <v>9</v>
      </c>
      <c r="I56" s="64">
        <f t="shared" ref="I56" si="141">IFERROR(FIND(",",G56),LEN(G56))</f>
        <v>22</v>
      </c>
      <c r="J56" s="64" t="e">
        <f t="shared" ref="J56" si="142">FIND("target:",G56)+7</f>
        <v>#VALUE!</v>
      </c>
      <c r="K56" s="64">
        <f t="shared" ref="K56" si="143">FIND(",",G56,I56+1)</f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ref="M56" si="144">IFERROR(RIGHT(B56,LEN(B56)-FIND("],",B56)-1),"none")</f>
        <v xml:space="preserve">[effect:tolerance, target:myself, turn:-1, tolerance_effect:all, count:-1, animation:enemy_tolerance],[effect:drop_freeze, turn:-1, block_type:normal, frozen_count:1, rate:0.2, animation:drop_protect]    </v>
      </c>
      <c r="N56" s="48" t="str">
        <f>IFERROR(LEFT(M56,FIND("],",M56)+#REF!),M56)</f>
        <v xml:space="preserve">[effect:tolerance, target:myself, turn:-1, tolerance_effect:all, count:-1, animation:enemy_tolerance],[effect:drop_freeze, turn:-1, block_type:normal, frozen_count:1, rate:0.2, animation:drop_protect]    </v>
      </c>
      <c r="O56" s="64">
        <f t="shared" ref="O56" si="145">FIND("effect:",N56)+7</f>
        <v>9</v>
      </c>
      <c r="P56" s="64">
        <f t="shared" ref="P56" si="146">IFERROR(FIND(",",N56),LEN(N56))</f>
        <v>18</v>
      </c>
      <c r="Q56" s="64">
        <f t="shared" ref="Q56" si="147">FIND("target:",N56)+7</f>
        <v>27</v>
      </c>
      <c r="R56" s="64">
        <f t="shared" ref="R56" si="148">FIND(",",N56,P56+1)</f>
        <v>33</v>
      </c>
      <c r="S56" s="64" t="str">
        <f>IFERROR(VLOOKUP(MID(N56,Q56,R56-Q56),[6]skilldef!$C:$D,2,FALSE),"-") &amp; " / " &amp; IFERROR(VLOOKUP(MID(N56,O56,P56-O56),[6]skilldef!$A:$B,2,FALSE),"-")</f>
        <v>自分自身に / 状態異常耐性</v>
      </c>
      <c r="T56" s="48" t="str">
        <f t="shared" ref="T56" si="149">IFERROR(RIGHT(M56,LEN(M56)-FIND("],",M56)-1),"none")</f>
        <v xml:space="preserve">[effect:drop_freeze, turn:-1, block_type:normal, frozen_count:1, rate:0.2, animation:drop_protect]    </v>
      </c>
      <c r="U56" s="64">
        <f t="shared" ref="U56" si="150">FIND("effect:",T56)+7</f>
        <v>9</v>
      </c>
      <c r="V56" s="64">
        <f t="shared" ref="V56" si="151">IFERROR(FIND(",",T56),LEN(T56))</f>
        <v>20</v>
      </c>
      <c r="W56" s="64" t="e">
        <f t="shared" ref="W56" si="152">FIND("target:",T56)+7</f>
        <v>#VALUE!</v>
      </c>
      <c r="X56" s="64">
        <f t="shared" ref="X56" si="153">FIND(",",T56,V56+1)</f>
        <v>29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9"/>
  <sheetViews>
    <sheetView showGridLines="0" zoomScale="119" zoomScaleNormal="119" zoomScalePageLayoutView="119" workbookViewId="0">
      <pane ySplit="1" topLeftCell="A23" activePane="bottomLeft" state="frozenSplit"/>
      <selection pane="bottomLeft" activeCell="J48" sqref="J48:J4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40035100</v>
      </c>
      <c r="B2" s="157">
        <v>1</v>
      </c>
      <c r="C2" s="157">
        <v>100</v>
      </c>
      <c r="D2" s="157">
        <v>100</v>
      </c>
      <c r="E2" s="157" t="s">
        <v>280</v>
      </c>
      <c r="F2" s="157" t="s">
        <v>279</v>
      </c>
      <c r="G2" s="157">
        <v>1</v>
      </c>
      <c r="H2" s="157" t="s">
        <v>281</v>
      </c>
      <c r="I2" s="157" t="s">
        <v>53</v>
      </c>
      <c r="J2" s="48">
        <f t="shared" ref="J2:J42" si="0">D2</f>
        <v>100</v>
      </c>
    </row>
    <row r="3" spans="1:11" ht="21" customHeight="1" x14ac:dyDescent="0.15">
      <c r="A3" s="47">
        <v>40035101</v>
      </c>
      <c r="B3" s="157">
        <v>0</v>
      </c>
      <c r="C3" s="157">
        <v>100</v>
      </c>
      <c r="D3" s="157">
        <v>100</v>
      </c>
      <c r="E3" s="157" t="s">
        <v>53</v>
      </c>
      <c r="F3" s="157" t="s">
        <v>278</v>
      </c>
      <c r="G3" s="157" t="s">
        <v>278</v>
      </c>
      <c r="H3" s="157">
        <v>2</v>
      </c>
      <c r="I3" s="157" t="s">
        <v>53</v>
      </c>
      <c r="J3" s="48">
        <f t="shared" si="0"/>
        <v>100</v>
      </c>
    </row>
    <row r="4" spans="1:11" ht="21" customHeight="1" x14ac:dyDescent="0.15">
      <c r="A4" s="47">
        <v>40035102</v>
      </c>
      <c r="B4" s="157">
        <v>0</v>
      </c>
      <c r="C4" s="157">
        <v>100</v>
      </c>
      <c r="D4" s="157">
        <v>100</v>
      </c>
      <c r="E4" s="157" t="s">
        <v>278</v>
      </c>
      <c r="F4" s="157" t="s">
        <v>278</v>
      </c>
      <c r="G4" s="157">
        <v>0</v>
      </c>
      <c r="H4" s="157" t="s">
        <v>278</v>
      </c>
      <c r="I4" s="157">
        <v>0</v>
      </c>
      <c r="J4" s="48">
        <f t="shared" si="0"/>
        <v>100</v>
      </c>
    </row>
    <row r="5" spans="1:11" ht="21" customHeight="1" x14ac:dyDescent="0.15">
      <c r="A5" s="47">
        <v>40035103</v>
      </c>
      <c r="B5" s="157">
        <v>1</v>
      </c>
      <c r="C5" s="157">
        <v>100</v>
      </c>
      <c r="D5" s="157">
        <v>100</v>
      </c>
      <c r="E5" s="157" t="s">
        <v>278</v>
      </c>
      <c r="F5" s="157" t="s">
        <v>278</v>
      </c>
      <c r="G5" s="157">
        <v>1</v>
      </c>
      <c r="H5" s="157" t="s">
        <v>278</v>
      </c>
      <c r="I5" s="157" t="s">
        <v>53</v>
      </c>
      <c r="J5" s="48">
        <f t="shared" si="0"/>
        <v>100</v>
      </c>
    </row>
    <row r="6" spans="1:11" ht="21" customHeight="1" x14ac:dyDescent="0.15">
      <c r="A6" s="47">
        <v>40035104</v>
      </c>
      <c r="B6" s="157">
        <v>0</v>
      </c>
      <c r="C6" s="157">
        <v>80</v>
      </c>
      <c r="D6" s="157">
        <v>75</v>
      </c>
      <c r="E6" s="157" t="s">
        <v>278</v>
      </c>
      <c r="F6" s="157" t="s">
        <v>278</v>
      </c>
      <c r="G6" s="157" t="s">
        <v>278</v>
      </c>
      <c r="H6" s="157" t="s">
        <v>278</v>
      </c>
      <c r="I6" s="157" t="s">
        <v>53</v>
      </c>
      <c r="J6" s="48">
        <f t="shared" si="0"/>
        <v>75</v>
      </c>
    </row>
    <row r="7" spans="1:11" ht="21" customHeight="1" x14ac:dyDescent="0.15">
      <c r="A7" s="47">
        <v>40035105</v>
      </c>
      <c r="B7" s="157">
        <v>0</v>
      </c>
      <c r="C7" s="157">
        <v>90</v>
      </c>
      <c r="D7" s="157">
        <v>100</v>
      </c>
      <c r="E7" s="157">
        <v>50</v>
      </c>
      <c r="F7" s="157" t="s">
        <v>278</v>
      </c>
      <c r="G7" s="157">
        <v>1</v>
      </c>
      <c r="H7" s="157" t="s">
        <v>278</v>
      </c>
      <c r="I7" s="157" t="s">
        <v>53</v>
      </c>
      <c r="J7" s="48">
        <f t="shared" si="0"/>
        <v>100</v>
      </c>
    </row>
    <row r="8" spans="1:11" ht="21" customHeight="1" x14ac:dyDescent="0.15">
      <c r="A8" s="47">
        <v>40035106</v>
      </c>
      <c r="B8" s="157">
        <v>1</v>
      </c>
      <c r="C8" s="157">
        <v>100</v>
      </c>
      <c r="D8" s="157">
        <v>100</v>
      </c>
      <c r="E8" s="157" t="s">
        <v>278</v>
      </c>
      <c r="F8" s="157" t="s">
        <v>278</v>
      </c>
      <c r="G8" s="157">
        <v>1</v>
      </c>
      <c r="H8" s="157" t="s">
        <v>278</v>
      </c>
      <c r="I8" s="157" t="s">
        <v>53</v>
      </c>
      <c r="J8" s="48">
        <f t="shared" si="0"/>
        <v>100</v>
      </c>
    </row>
    <row r="9" spans="1:11" ht="21" customHeight="1" x14ac:dyDescent="0.15">
      <c r="A9" s="47">
        <v>40035107</v>
      </c>
      <c r="B9" s="157">
        <v>0</v>
      </c>
      <c r="C9" s="157">
        <v>80</v>
      </c>
      <c r="D9" s="157">
        <v>100</v>
      </c>
      <c r="E9" s="157" t="s">
        <v>278</v>
      </c>
      <c r="F9" s="157" t="s">
        <v>278</v>
      </c>
      <c r="G9" s="157" t="s">
        <v>278</v>
      </c>
      <c r="H9" s="157">
        <v>2</v>
      </c>
      <c r="I9" s="157" t="s">
        <v>53</v>
      </c>
      <c r="J9" s="48">
        <f t="shared" si="0"/>
        <v>100</v>
      </c>
    </row>
    <row r="10" spans="1:11" ht="21" customHeight="1" x14ac:dyDescent="0.15">
      <c r="A10" s="47">
        <v>40035108</v>
      </c>
      <c r="B10" s="157">
        <v>0</v>
      </c>
      <c r="C10" s="157">
        <v>90</v>
      </c>
      <c r="D10" s="157">
        <v>100</v>
      </c>
      <c r="E10" s="157">
        <v>50</v>
      </c>
      <c r="F10" s="157" t="s">
        <v>278</v>
      </c>
      <c r="G10" s="157">
        <v>1</v>
      </c>
      <c r="H10" s="157">
        <v>1</v>
      </c>
      <c r="I10" s="157" t="s">
        <v>53</v>
      </c>
      <c r="J10" s="48">
        <f t="shared" si="0"/>
        <v>100</v>
      </c>
    </row>
    <row r="11" spans="1:11" ht="21" customHeight="1" x14ac:dyDescent="0.15">
      <c r="A11" s="47">
        <v>40035109</v>
      </c>
      <c r="B11" s="157">
        <v>1</v>
      </c>
      <c r="C11" s="157">
        <v>100</v>
      </c>
      <c r="D11" s="157">
        <v>100</v>
      </c>
      <c r="E11" s="157" t="s">
        <v>278</v>
      </c>
      <c r="F11" s="157" t="s">
        <v>278</v>
      </c>
      <c r="G11" s="157">
        <v>1</v>
      </c>
      <c r="H11" s="157" t="s">
        <v>278</v>
      </c>
      <c r="I11" s="157" t="s">
        <v>53</v>
      </c>
      <c r="J11" s="48">
        <f t="shared" si="0"/>
        <v>100</v>
      </c>
    </row>
    <row r="12" spans="1:11" ht="21" customHeight="1" x14ac:dyDescent="0.15">
      <c r="A12" s="47">
        <v>40035110</v>
      </c>
      <c r="B12" s="157">
        <v>0</v>
      </c>
      <c r="C12" s="157">
        <v>90</v>
      </c>
      <c r="D12" s="157">
        <v>100</v>
      </c>
      <c r="E12" s="157">
        <v>100</v>
      </c>
      <c r="F12" s="157">
        <v>76</v>
      </c>
      <c r="G12" s="157">
        <v>1</v>
      </c>
      <c r="H12" s="157">
        <v>1</v>
      </c>
      <c r="I12" s="157" t="s">
        <v>53</v>
      </c>
      <c r="J12" s="48">
        <f t="shared" si="0"/>
        <v>100</v>
      </c>
    </row>
    <row r="13" spans="1:11" ht="21" customHeight="1" x14ac:dyDescent="0.15">
      <c r="A13" s="47">
        <v>40035111</v>
      </c>
      <c r="B13" s="157">
        <v>0</v>
      </c>
      <c r="C13" s="157">
        <v>100</v>
      </c>
      <c r="D13" s="157">
        <v>100</v>
      </c>
      <c r="E13" s="157">
        <v>75</v>
      </c>
      <c r="F13" s="157">
        <v>51</v>
      </c>
      <c r="G13" s="157">
        <v>1</v>
      </c>
      <c r="H13" s="157">
        <v>1</v>
      </c>
      <c r="I13" s="157" t="s">
        <v>53</v>
      </c>
      <c r="J13" s="48">
        <f t="shared" si="0"/>
        <v>100</v>
      </c>
    </row>
    <row r="14" spans="1:11" ht="21" customHeight="1" x14ac:dyDescent="0.15">
      <c r="A14" s="47">
        <v>40035112</v>
      </c>
      <c r="B14" s="157">
        <v>0</v>
      </c>
      <c r="C14" s="157">
        <v>120</v>
      </c>
      <c r="D14" s="157">
        <v>100</v>
      </c>
      <c r="E14" s="157">
        <v>50</v>
      </c>
      <c r="F14" s="157">
        <v>26</v>
      </c>
      <c r="G14" s="157">
        <v>1</v>
      </c>
      <c r="H14" s="157">
        <v>1</v>
      </c>
      <c r="I14" s="157" t="s">
        <v>53</v>
      </c>
      <c r="J14" s="48">
        <f t="shared" si="0"/>
        <v>100</v>
      </c>
    </row>
    <row r="15" spans="1:11" ht="21" customHeight="1" x14ac:dyDescent="0.15">
      <c r="A15" s="47">
        <v>40035113</v>
      </c>
      <c r="B15" s="157">
        <v>0</v>
      </c>
      <c r="C15" s="157">
        <v>130</v>
      </c>
      <c r="D15" s="157">
        <v>100</v>
      </c>
      <c r="E15" s="157">
        <v>25</v>
      </c>
      <c r="F15" s="157">
        <v>1</v>
      </c>
      <c r="G15" s="157">
        <v>1</v>
      </c>
      <c r="H15" s="157">
        <v>1</v>
      </c>
      <c r="I15" s="157" t="s">
        <v>53</v>
      </c>
      <c r="J15" s="48">
        <f t="shared" si="0"/>
        <v>100</v>
      </c>
    </row>
    <row r="16" spans="1:11" ht="21" customHeight="1" x14ac:dyDescent="0.15">
      <c r="A16" s="47">
        <v>40035114</v>
      </c>
      <c r="B16" s="157">
        <v>0</v>
      </c>
      <c r="C16" s="157">
        <v>80</v>
      </c>
      <c r="D16" s="157">
        <v>100</v>
      </c>
      <c r="E16" s="157" t="s">
        <v>278</v>
      </c>
      <c r="F16" s="157" t="s">
        <v>278</v>
      </c>
      <c r="G16" s="157">
        <v>1</v>
      </c>
      <c r="H16" s="157">
        <v>1</v>
      </c>
      <c r="I16" s="157" t="s">
        <v>278</v>
      </c>
      <c r="J16" s="48">
        <f t="shared" si="0"/>
        <v>100</v>
      </c>
    </row>
    <row r="17" spans="1:10" ht="21" customHeight="1" x14ac:dyDescent="0.15">
      <c r="A17" s="47">
        <v>40035115</v>
      </c>
      <c r="B17" s="157">
        <v>1</v>
      </c>
      <c r="C17" s="157">
        <v>100</v>
      </c>
      <c r="D17" s="157">
        <v>100</v>
      </c>
      <c r="E17" s="157" t="s">
        <v>278</v>
      </c>
      <c r="F17" s="157" t="s">
        <v>278</v>
      </c>
      <c r="G17" s="157">
        <v>1</v>
      </c>
      <c r="H17" s="157" t="s">
        <v>278</v>
      </c>
      <c r="I17" s="157" t="s">
        <v>53</v>
      </c>
      <c r="J17" s="48">
        <f t="shared" si="0"/>
        <v>100</v>
      </c>
    </row>
    <row r="18" spans="1:10" ht="21" customHeight="1" x14ac:dyDescent="0.15">
      <c r="A18" s="47">
        <v>40035116</v>
      </c>
      <c r="B18" s="157">
        <v>0</v>
      </c>
      <c r="C18" s="157">
        <v>120</v>
      </c>
      <c r="D18" s="157">
        <v>100</v>
      </c>
      <c r="E18" s="157" t="s">
        <v>278</v>
      </c>
      <c r="F18" s="157" t="s">
        <v>278</v>
      </c>
      <c r="G18" s="157">
        <v>1</v>
      </c>
      <c r="H18" s="157">
        <v>1</v>
      </c>
      <c r="I18" s="157" t="s">
        <v>53</v>
      </c>
      <c r="J18" s="48">
        <f t="shared" si="0"/>
        <v>100</v>
      </c>
    </row>
    <row r="19" spans="1:10" ht="21" customHeight="1" x14ac:dyDescent="0.15">
      <c r="A19" s="47">
        <v>40035117</v>
      </c>
      <c r="B19" s="157">
        <v>0</v>
      </c>
      <c r="C19" s="157">
        <v>110</v>
      </c>
      <c r="D19" s="157">
        <v>100</v>
      </c>
      <c r="E19" s="157" t="s">
        <v>278</v>
      </c>
      <c r="F19" s="157" t="s">
        <v>278</v>
      </c>
      <c r="G19" s="157">
        <v>1</v>
      </c>
      <c r="H19" s="157">
        <v>2</v>
      </c>
      <c r="I19" s="157" t="s">
        <v>53</v>
      </c>
      <c r="J19" s="48">
        <f t="shared" si="0"/>
        <v>100</v>
      </c>
    </row>
    <row r="20" spans="1:10" ht="21" customHeight="1" x14ac:dyDescent="0.15">
      <c r="A20" s="47">
        <v>40035118</v>
      </c>
      <c r="B20" s="157">
        <v>0</v>
      </c>
      <c r="C20" s="157">
        <v>100</v>
      </c>
      <c r="D20" s="157">
        <v>100</v>
      </c>
      <c r="E20" s="157" t="s">
        <v>278</v>
      </c>
      <c r="F20" s="157" t="s">
        <v>278</v>
      </c>
      <c r="G20" s="157">
        <v>1</v>
      </c>
      <c r="H20" s="157">
        <v>3</v>
      </c>
      <c r="I20" s="157" t="s">
        <v>53</v>
      </c>
      <c r="J20" s="48">
        <f t="shared" si="0"/>
        <v>100</v>
      </c>
    </row>
    <row r="21" spans="1:10" ht="21" customHeight="1" x14ac:dyDescent="0.15">
      <c r="A21" s="47">
        <v>40035119</v>
      </c>
      <c r="B21" s="157">
        <v>0</v>
      </c>
      <c r="C21" s="157">
        <v>90</v>
      </c>
      <c r="D21" s="157">
        <v>100</v>
      </c>
      <c r="E21" s="157" t="s">
        <v>278</v>
      </c>
      <c r="F21" s="157" t="s">
        <v>278</v>
      </c>
      <c r="G21" s="157">
        <v>1</v>
      </c>
      <c r="H21" s="157">
        <v>4</v>
      </c>
      <c r="I21" s="157" t="s">
        <v>53</v>
      </c>
      <c r="J21" s="48">
        <f t="shared" si="0"/>
        <v>100</v>
      </c>
    </row>
    <row r="22" spans="1:10" ht="21" customHeight="1" x14ac:dyDescent="0.15">
      <c r="A22" s="47">
        <v>40035120</v>
      </c>
      <c r="B22" s="157">
        <v>0</v>
      </c>
      <c r="C22" s="157">
        <v>80</v>
      </c>
      <c r="D22" s="157">
        <v>100</v>
      </c>
      <c r="E22" s="157" t="s">
        <v>278</v>
      </c>
      <c r="F22" s="157" t="s">
        <v>278</v>
      </c>
      <c r="G22" s="157">
        <v>1</v>
      </c>
      <c r="H22" s="157">
        <v>5</v>
      </c>
      <c r="I22" s="157" t="s">
        <v>53</v>
      </c>
      <c r="J22" s="48">
        <f t="shared" si="0"/>
        <v>100</v>
      </c>
    </row>
    <row r="23" spans="1:10" ht="21" customHeight="1" x14ac:dyDescent="0.15">
      <c r="A23" s="47">
        <v>40035121</v>
      </c>
      <c r="B23" s="157">
        <v>0</v>
      </c>
      <c r="C23" s="157">
        <v>20</v>
      </c>
      <c r="D23" s="157">
        <v>75</v>
      </c>
      <c r="E23" s="157" t="s">
        <v>278</v>
      </c>
      <c r="F23" s="157" t="s">
        <v>53</v>
      </c>
      <c r="G23" s="157" t="s">
        <v>278</v>
      </c>
      <c r="H23" s="157">
        <v>1</v>
      </c>
      <c r="I23" s="157" t="s">
        <v>53</v>
      </c>
      <c r="J23" s="48">
        <f t="shared" si="0"/>
        <v>75</v>
      </c>
    </row>
    <row r="24" spans="1:10" ht="21" customHeight="1" x14ac:dyDescent="0.15">
      <c r="A24" s="47">
        <v>40035122</v>
      </c>
      <c r="B24" s="157">
        <v>0</v>
      </c>
      <c r="C24" s="157">
        <v>100</v>
      </c>
      <c r="D24" s="157">
        <v>100</v>
      </c>
      <c r="E24" s="157" t="s">
        <v>278</v>
      </c>
      <c r="F24" s="157" t="s">
        <v>278</v>
      </c>
      <c r="G24" s="157">
        <v>0</v>
      </c>
      <c r="H24" s="157" t="s">
        <v>278</v>
      </c>
      <c r="I24" s="157">
        <v>0</v>
      </c>
      <c r="J24" s="48">
        <f t="shared" si="0"/>
        <v>100</v>
      </c>
    </row>
    <row r="25" spans="1:10" ht="21" customHeight="1" x14ac:dyDescent="0.15">
      <c r="A25" s="47">
        <v>40035123</v>
      </c>
      <c r="B25" s="157">
        <v>1</v>
      </c>
      <c r="C25" s="157">
        <v>100</v>
      </c>
      <c r="D25" s="157">
        <v>100</v>
      </c>
      <c r="E25" s="157" t="s">
        <v>278</v>
      </c>
      <c r="F25" s="157" t="s">
        <v>278</v>
      </c>
      <c r="G25" s="157">
        <v>1</v>
      </c>
      <c r="H25" s="157" t="s">
        <v>278</v>
      </c>
      <c r="I25" s="157" t="s">
        <v>53</v>
      </c>
      <c r="J25" s="48">
        <f t="shared" si="0"/>
        <v>100</v>
      </c>
    </row>
    <row r="26" spans="1:10" ht="21" customHeight="1" x14ac:dyDescent="0.15">
      <c r="A26" s="47">
        <v>40035124</v>
      </c>
      <c r="B26" s="157">
        <v>0</v>
      </c>
      <c r="C26" s="157">
        <v>100</v>
      </c>
      <c r="D26" s="157">
        <v>65</v>
      </c>
      <c r="E26" s="157" t="s">
        <v>278</v>
      </c>
      <c r="F26" s="157" t="s">
        <v>278</v>
      </c>
      <c r="G26" s="157" t="s">
        <v>278</v>
      </c>
      <c r="H26" s="157" t="s">
        <v>278</v>
      </c>
      <c r="I26" s="157" t="s">
        <v>53</v>
      </c>
      <c r="J26" s="48">
        <f t="shared" si="0"/>
        <v>65</v>
      </c>
    </row>
    <row r="27" spans="1:10" ht="21" customHeight="1" x14ac:dyDescent="0.15">
      <c r="A27" s="47">
        <v>40035125</v>
      </c>
      <c r="B27" s="157">
        <v>0</v>
      </c>
      <c r="C27" s="157">
        <v>80</v>
      </c>
      <c r="D27" s="157">
        <v>70</v>
      </c>
      <c r="E27" s="157" t="s">
        <v>278</v>
      </c>
      <c r="F27" s="157" t="s">
        <v>278</v>
      </c>
      <c r="G27" s="157" t="s">
        <v>53</v>
      </c>
      <c r="H27" s="157" t="s">
        <v>278</v>
      </c>
      <c r="I27" s="157" t="s">
        <v>53</v>
      </c>
      <c r="J27" s="48">
        <f t="shared" si="0"/>
        <v>70</v>
      </c>
    </row>
    <row r="28" spans="1:10" ht="21" customHeight="1" x14ac:dyDescent="0.15">
      <c r="A28" s="47">
        <v>40035126</v>
      </c>
      <c r="B28" s="157">
        <v>1</v>
      </c>
      <c r="C28" s="157">
        <v>100</v>
      </c>
      <c r="D28" s="157">
        <v>100</v>
      </c>
      <c r="E28" s="157" t="s">
        <v>278</v>
      </c>
      <c r="F28" s="157" t="s">
        <v>278</v>
      </c>
      <c r="G28" s="157">
        <v>1</v>
      </c>
      <c r="H28" s="157" t="s">
        <v>278</v>
      </c>
      <c r="I28" s="157" t="s">
        <v>53</v>
      </c>
      <c r="J28" s="48">
        <f t="shared" si="0"/>
        <v>100</v>
      </c>
    </row>
    <row r="29" spans="1:10" ht="21" customHeight="1" x14ac:dyDescent="0.15">
      <c r="A29" s="47">
        <v>40035127</v>
      </c>
      <c r="B29" s="157">
        <v>0</v>
      </c>
      <c r="C29" s="157">
        <v>100</v>
      </c>
      <c r="D29" s="157">
        <v>100</v>
      </c>
      <c r="E29" s="157" t="s">
        <v>278</v>
      </c>
      <c r="F29" s="157" t="s">
        <v>278</v>
      </c>
      <c r="G29" s="157">
        <v>1</v>
      </c>
      <c r="H29" s="157">
        <v>1</v>
      </c>
      <c r="I29" s="157" t="s">
        <v>53</v>
      </c>
      <c r="J29" s="48">
        <f t="shared" si="0"/>
        <v>100</v>
      </c>
    </row>
    <row r="30" spans="1:10" ht="21" customHeight="1" x14ac:dyDescent="0.15">
      <c r="A30" s="47">
        <v>40035128</v>
      </c>
      <c r="B30" s="157">
        <v>0</v>
      </c>
      <c r="C30" s="157">
        <v>100</v>
      </c>
      <c r="D30" s="157">
        <v>100</v>
      </c>
      <c r="E30" s="157" t="s">
        <v>53</v>
      </c>
      <c r="F30" s="157" t="s">
        <v>278</v>
      </c>
      <c r="G30" s="157" t="s">
        <v>278</v>
      </c>
      <c r="H30" s="157">
        <v>2</v>
      </c>
      <c r="I30" s="157" t="s">
        <v>53</v>
      </c>
      <c r="J30" s="48">
        <f t="shared" si="0"/>
        <v>100</v>
      </c>
    </row>
    <row r="31" spans="1:10" ht="21" customHeight="1" x14ac:dyDescent="0.15">
      <c r="A31" s="47">
        <v>40035129</v>
      </c>
      <c r="B31" s="157">
        <v>0</v>
      </c>
      <c r="C31" s="157">
        <v>110</v>
      </c>
      <c r="D31" s="157">
        <v>100</v>
      </c>
      <c r="E31" s="157">
        <v>50</v>
      </c>
      <c r="F31" s="157" t="s">
        <v>278</v>
      </c>
      <c r="G31" s="157">
        <v>1</v>
      </c>
      <c r="H31" s="157">
        <v>1</v>
      </c>
      <c r="I31" s="157" t="s">
        <v>53</v>
      </c>
      <c r="J31" s="48">
        <f t="shared" si="0"/>
        <v>100</v>
      </c>
    </row>
    <row r="32" spans="1:10" ht="21" customHeight="1" x14ac:dyDescent="0.15">
      <c r="A32" s="47">
        <v>40035130</v>
      </c>
      <c r="B32" s="157">
        <v>1</v>
      </c>
      <c r="C32" s="157">
        <v>100</v>
      </c>
      <c r="D32" s="157">
        <v>100</v>
      </c>
      <c r="E32" s="157" t="s">
        <v>278</v>
      </c>
      <c r="F32" s="157" t="s">
        <v>278</v>
      </c>
      <c r="G32" s="157">
        <v>1</v>
      </c>
      <c r="H32" s="157" t="s">
        <v>278</v>
      </c>
      <c r="I32" s="157" t="s">
        <v>53</v>
      </c>
      <c r="J32" s="48">
        <f t="shared" si="0"/>
        <v>100</v>
      </c>
    </row>
    <row r="33" spans="1:10" ht="21" customHeight="1" x14ac:dyDescent="0.15">
      <c r="A33" s="47">
        <v>40035131</v>
      </c>
      <c r="B33" s="157">
        <v>0</v>
      </c>
      <c r="C33" s="157">
        <v>30</v>
      </c>
      <c r="D33" s="157">
        <v>100</v>
      </c>
      <c r="E33" s="157">
        <v>80</v>
      </c>
      <c r="F33" s="157" t="s">
        <v>278</v>
      </c>
      <c r="G33" s="157">
        <v>1</v>
      </c>
      <c r="H33" s="157">
        <v>1</v>
      </c>
      <c r="I33" s="157" t="s">
        <v>318</v>
      </c>
      <c r="J33" s="48">
        <f t="shared" si="0"/>
        <v>100</v>
      </c>
    </row>
    <row r="34" spans="1:10" ht="21" customHeight="1" x14ac:dyDescent="0.15">
      <c r="A34" s="47">
        <v>40035132</v>
      </c>
      <c r="B34" s="157">
        <v>0</v>
      </c>
      <c r="C34" s="157">
        <v>30</v>
      </c>
      <c r="D34" s="157">
        <v>100</v>
      </c>
      <c r="E34" s="157" t="s">
        <v>320</v>
      </c>
      <c r="F34" s="157">
        <v>80</v>
      </c>
      <c r="G34" s="157">
        <v>1</v>
      </c>
      <c r="H34" s="157">
        <v>1</v>
      </c>
      <c r="I34" s="157" t="s">
        <v>318</v>
      </c>
      <c r="J34" s="48">
        <f t="shared" si="0"/>
        <v>100</v>
      </c>
    </row>
    <row r="35" spans="1:10" ht="21" customHeight="1" x14ac:dyDescent="0.15">
      <c r="A35" s="47">
        <v>40035133</v>
      </c>
      <c r="B35" s="157">
        <v>0</v>
      </c>
      <c r="C35" s="157">
        <v>50</v>
      </c>
      <c r="D35" s="157">
        <v>100</v>
      </c>
      <c r="E35" s="157">
        <v>60</v>
      </c>
      <c r="F35" s="157" t="s">
        <v>320</v>
      </c>
      <c r="G35" s="157">
        <v>1</v>
      </c>
      <c r="H35" s="157">
        <v>2</v>
      </c>
      <c r="I35" s="157" t="s">
        <v>318</v>
      </c>
      <c r="J35" s="48">
        <f t="shared" si="0"/>
        <v>100</v>
      </c>
    </row>
    <row r="36" spans="1:10" ht="21" customHeight="1" x14ac:dyDescent="0.15">
      <c r="A36" s="47">
        <v>40035134</v>
      </c>
      <c r="B36" s="157">
        <v>0</v>
      </c>
      <c r="C36" s="157">
        <v>50</v>
      </c>
      <c r="D36" s="157">
        <v>100</v>
      </c>
      <c r="E36" s="157" t="s">
        <v>321</v>
      </c>
      <c r="F36" s="157">
        <v>60</v>
      </c>
      <c r="G36" s="157">
        <v>1</v>
      </c>
      <c r="H36" s="157">
        <v>2</v>
      </c>
      <c r="I36" s="157" t="s">
        <v>318</v>
      </c>
      <c r="J36" s="48">
        <f t="shared" si="0"/>
        <v>100</v>
      </c>
    </row>
    <row r="37" spans="1:10" ht="21" customHeight="1" x14ac:dyDescent="0.15">
      <c r="A37" s="47">
        <v>40035135</v>
      </c>
      <c r="B37" s="157">
        <v>0</v>
      </c>
      <c r="C37" s="157">
        <v>70</v>
      </c>
      <c r="D37" s="157">
        <v>100</v>
      </c>
      <c r="E37" s="157">
        <v>40</v>
      </c>
      <c r="F37" s="157" t="s">
        <v>278</v>
      </c>
      <c r="G37" s="157">
        <v>1</v>
      </c>
      <c r="H37" s="157">
        <v>3</v>
      </c>
      <c r="I37" s="157" t="s">
        <v>318</v>
      </c>
      <c r="J37" s="48">
        <f t="shared" si="0"/>
        <v>100</v>
      </c>
    </row>
    <row r="38" spans="1:10" ht="21" customHeight="1" x14ac:dyDescent="0.15">
      <c r="A38" s="47">
        <v>40035136</v>
      </c>
      <c r="B38" s="157">
        <v>0</v>
      </c>
      <c r="C38" s="157">
        <v>70</v>
      </c>
      <c r="D38" s="157">
        <v>100</v>
      </c>
      <c r="E38" s="157" t="s">
        <v>320</v>
      </c>
      <c r="F38" s="157">
        <v>40</v>
      </c>
      <c r="G38" s="157">
        <v>1</v>
      </c>
      <c r="H38" s="157">
        <v>3</v>
      </c>
      <c r="I38" s="157" t="s">
        <v>318</v>
      </c>
      <c r="J38" s="48">
        <f t="shared" si="0"/>
        <v>100</v>
      </c>
    </row>
    <row r="39" spans="1:10" ht="21" customHeight="1" x14ac:dyDescent="0.15">
      <c r="A39" s="47">
        <v>40035137</v>
      </c>
      <c r="B39" s="157">
        <v>0</v>
      </c>
      <c r="C39" s="157">
        <v>90</v>
      </c>
      <c r="D39" s="157">
        <v>100</v>
      </c>
      <c r="E39" s="157">
        <v>20</v>
      </c>
      <c r="F39" s="157" t="s">
        <v>278</v>
      </c>
      <c r="G39" s="157">
        <v>1</v>
      </c>
      <c r="H39" s="157">
        <v>4</v>
      </c>
      <c r="I39" s="157" t="s">
        <v>318</v>
      </c>
      <c r="J39" s="48">
        <f t="shared" si="0"/>
        <v>100</v>
      </c>
    </row>
    <row r="40" spans="1:10" ht="21" customHeight="1" x14ac:dyDescent="0.15">
      <c r="A40" s="47">
        <v>40035138</v>
      </c>
      <c r="B40" s="157">
        <v>0</v>
      </c>
      <c r="C40" s="157">
        <v>90</v>
      </c>
      <c r="D40" s="157">
        <v>100</v>
      </c>
      <c r="E40" s="157" t="s">
        <v>278</v>
      </c>
      <c r="F40" s="157">
        <v>20</v>
      </c>
      <c r="G40" s="157">
        <v>1</v>
      </c>
      <c r="H40" s="157">
        <v>4</v>
      </c>
      <c r="I40" s="157" t="s">
        <v>318</v>
      </c>
      <c r="J40" s="48">
        <f t="shared" si="0"/>
        <v>100</v>
      </c>
    </row>
    <row r="41" spans="1:10" ht="21" customHeight="1" x14ac:dyDescent="0.15">
      <c r="A41" s="47">
        <v>40035139</v>
      </c>
      <c r="B41" s="157">
        <v>0</v>
      </c>
      <c r="C41" s="157">
        <v>100</v>
      </c>
      <c r="D41" s="157">
        <v>100</v>
      </c>
      <c r="E41" s="157" t="s">
        <v>318</v>
      </c>
      <c r="F41" s="157" t="s">
        <v>318</v>
      </c>
      <c r="G41" s="157" t="s">
        <v>318</v>
      </c>
      <c r="H41" s="157">
        <v>5</v>
      </c>
      <c r="I41" s="157" t="s">
        <v>318</v>
      </c>
      <c r="J41" s="48">
        <f t="shared" si="0"/>
        <v>100</v>
      </c>
    </row>
    <row r="42" spans="1:10" ht="21" customHeight="1" x14ac:dyDescent="0.15">
      <c r="A42" s="47">
        <v>40035140</v>
      </c>
      <c r="B42" s="157">
        <v>0</v>
      </c>
      <c r="C42" s="157">
        <v>120</v>
      </c>
      <c r="D42" s="157">
        <v>100</v>
      </c>
      <c r="E42" s="157" t="s">
        <v>278</v>
      </c>
      <c r="F42" s="157" t="s">
        <v>278</v>
      </c>
      <c r="G42" s="157">
        <v>0</v>
      </c>
      <c r="H42" s="157" t="s">
        <v>278</v>
      </c>
      <c r="I42" s="157">
        <v>0</v>
      </c>
      <c r="J42" s="48">
        <f t="shared" si="0"/>
        <v>100</v>
      </c>
    </row>
    <row r="43" spans="1:10" ht="21" customHeight="1" x14ac:dyDescent="0.15">
      <c r="A43" s="47">
        <v>40035141</v>
      </c>
      <c r="B43" s="157">
        <v>0</v>
      </c>
      <c r="C43" s="157">
        <v>20</v>
      </c>
      <c r="D43" s="157">
        <v>100</v>
      </c>
      <c r="E43" s="157" t="s">
        <v>278</v>
      </c>
      <c r="F43" s="157" t="s">
        <v>278</v>
      </c>
      <c r="G43" s="157" t="s">
        <v>324</v>
      </c>
      <c r="H43" s="157">
        <v>1</v>
      </c>
      <c r="I43" s="157" t="s">
        <v>318</v>
      </c>
      <c r="J43" s="48">
        <f t="shared" ref="J43:J49" si="1">D43</f>
        <v>100</v>
      </c>
    </row>
    <row r="44" spans="1:10" ht="21" customHeight="1" x14ac:dyDescent="0.15">
      <c r="A44" s="47">
        <v>40035149</v>
      </c>
      <c r="B44" s="48">
        <v>0</v>
      </c>
      <c r="C44" s="48">
        <v>105</v>
      </c>
      <c r="D44" s="48">
        <v>100</v>
      </c>
      <c r="E44" s="48" t="s">
        <v>341</v>
      </c>
      <c r="F44" s="48" t="s">
        <v>341</v>
      </c>
      <c r="G44" s="48" t="s">
        <v>341</v>
      </c>
      <c r="H44" s="48">
        <v>4</v>
      </c>
      <c r="I44" s="48" t="s">
        <v>53</v>
      </c>
      <c r="J44" s="48">
        <f t="shared" si="1"/>
        <v>100</v>
      </c>
    </row>
    <row r="45" spans="1:10" ht="21" customHeight="1" x14ac:dyDescent="0.15">
      <c r="A45" s="47">
        <v>40035151</v>
      </c>
      <c r="B45" s="48">
        <v>1</v>
      </c>
      <c r="C45" s="48">
        <v>180</v>
      </c>
      <c r="D45" s="48">
        <v>100</v>
      </c>
      <c r="E45" s="48" t="s">
        <v>318</v>
      </c>
      <c r="F45" s="48" t="s">
        <v>318</v>
      </c>
      <c r="G45" s="48">
        <v>1</v>
      </c>
      <c r="H45" s="48" t="s">
        <v>318</v>
      </c>
      <c r="I45" s="48">
        <v>1158</v>
      </c>
      <c r="J45" s="48">
        <f t="shared" si="1"/>
        <v>100</v>
      </c>
    </row>
    <row r="46" spans="1:10" ht="21" customHeight="1" x14ac:dyDescent="0.15">
      <c r="A46" s="47">
        <v>40035152</v>
      </c>
      <c r="B46" s="48">
        <v>1</v>
      </c>
      <c r="C46" s="48">
        <v>170</v>
      </c>
      <c r="D46" s="48">
        <v>100</v>
      </c>
      <c r="E46" s="48" t="s">
        <v>318</v>
      </c>
      <c r="F46" s="48" t="s">
        <v>318</v>
      </c>
      <c r="G46" s="48">
        <v>1</v>
      </c>
      <c r="H46" s="48" t="s">
        <v>318</v>
      </c>
      <c r="I46" s="48">
        <v>834</v>
      </c>
      <c r="J46" s="48">
        <f t="shared" si="1"/>
        <v>100</v>
      </c>
    </row>
    <row r="47" spans="1:10" ht="21" customHeight="1" x14ac:dyDescent="0.15">
      <c r="A47" s="47">
        <v>40035153</v>
      </c>
      <c r="B47" s="48">
        <v>1</v>
      </c>
      <c r="C47" s="48">
        <v>160</v>
      </c>
      <c r="D47" s="48">
        <v>100</v>
      </c>
      <c r="E47" s="48" t="s">
        <v>318</v>
      </c>
      <c r="F47" s="48" t="s">
        <v>318</v>
      </c>
      <c r="G47" s="48">
        <v>1</v>
      </c>
      <c r="H47" s="48" t="s">
        <v>318</v>
      </c>
      <c r="I47" s="48">
        <v>1157</v>
      </c>
      <c r="J47" s="48">
        <f t="shared" si="1"/>
        <v>100</v>
      </c>
    </row>
    <row r="48" spans="1:10" ht="21" customHeight="1" x14ac:dyDescent="0.15">
      <c r="A48" s="47">
        <v>40035154</v>
      </c>
      <c r="B48" s="48">
        <v>1</v>
      </c>
      <c r="C48" s="48">
        <v>150</v>
      </c>
      <c r="D48" s="48">
        <v>100</v>
      </c>
      <c r="E48" s="48" t="s">
        <v>318</v>
      </c>
      <c r="F48" s="48" t="s">
        <v>318</v>
      </c>
      <c r="G48" s="48">
        <v>1</v>
      </c>
      <c r="H48" s="48" t="s">
        <v>318</v>
      </c>
      <c r="I48" s="48">
        <v>657</v>
      </c>
      <c r="J48" s="48">
        <f t="shared" si="1"/>
        <v>100</v>
      </c>
    </row>
    <row r="49" spans="1:10" ht="21" customHeight="1" x14ac:dyDescent="0.15">
      <c r="A49" s="47">
        <v>40035155</v>
      </c>
      <c r="B49" s="48">
        <v>1</v>
      </c>
      <c r="C49" s="48">
        <v>150</v>
      </c>
      <c r="D49" s="48">
        <v>100</v>
      </c>
      <c r="E49" s="48" t="s">
        <v>318</v>
      </c>
      <c r="F49" s="48" t="s">
        <v>318</v>
      </c>
      <c r="G49" s="48">
        <v>1</v>
      </c>
      <c r="H49" s="48" t="s">
        <v>318</v>
      </c>
      <c r="I49" s="48">
        <v>656</v>
      </c>
      <c r="J49" s="48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J48" sqref="J48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ht="16" thickBot="1" x14ac:dyDescent="0.2">
      <c r="A2" s="158">
        <v>40035</v>
      </c>
      <c r="B2" s="159">
        <v>1</v>
      </c>
      <c r="C2" s="160" t="str">
        <f>A2&amp; "_"&amp;B2</f>
        <v>40035_1</v>
      </c>
      <c r="D2" s="16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2">
        <v>1</v>
      </c>
      <c r="F2" s="162" t="s">
        <v>167</v>
      </c>
      <c r="G2" s="162">
        <v>40000</v>
      </c>
      <c r="H2" s="162" t="s">
        <v>353</v>
      </c>
      <c r="I2" s="162">
        <v>1</v>
      </c>
      <c r="J2" s="162">
        <v>1</v>
      </c>
      <c r="K2" s="162">
        <v>0</v>
      </c>
      <c r="L2" s="162">
        <v>0</v>
      </c>
      <c r="M2" s="162">
        <v>0</v>
      </c>
      <c r="N2" s="162">
        <v>0</v>
      </c>
      <c r="O2" s="162">
        <v>1</v>
      </c>
      <c r="P2" s="162">
        <v>150</v>
      </c>
      <c r="Q2" s="162" t="s">
        <v>168</v>
      </c>
      <c r="R2" s="163" t="s">
        <v>169</v>
      </c>
    </row>
    <row r="3" spans="1:18" ht="16" thickBot="1" x14ac:dyDescent="0.2">
      <c r="A3" s="158">
        <v>40035</v>
      </c>
      <c r="B3" s="164">
        <v>1</v>
      </c>
      <c r="C3" s="72" t="str">
        <f t="shared" ref="C3:C18" si="0">A3&amp; "_"&amp;B3</f>
        <v>40035_1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354</v>
      </c>
      <c r="G3" s="57">
        <v>30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168</v>
      </c>
      <c r="R3" s="165" t="s">
        <v>169</v>
      </c>
    </row>
    <row r="4" spans="1:18" ht="16" thickBot="1" x14ac:dyDescent="0.2">
      <c r="A4" s="158">
        <v>40035</v>
      </c>
      <c r="B4" s="164">
        <v>1</v>
      </c>
      <c r="C4" s="72" t="str">
        <f t="shared" si="0"/>
        <v>40035_1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355</v>
      </c>
      <c r="G4" s="57">
        <v>341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168</v>
      </c>
      <c r="R4" s="165" t="s">
        <v>169</v>
      </c>
    </row>
    <row r="5" spans="1:18" ht="16" thickBot="1" x14ac:dyDescent="0.2">
      <c r="A5" s="158">
        <v>40035</v>
      </c>
      <c r="B5" s="164">
        <v>1</v>
      </c>
      <c r="C5" s="72" t="str">
        <f t="shared" si="0"/>
        <v>40035_1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355</v>
      </c>
      <c r="G5" s="57">
        <v>342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168</v>
      </c>
      <c r="R5" s="165" t="s">
        <v>169</v>
      </c>
    </row>
    <row r="6" spans="1:18" ht="16" thickBot="1" x14ac:dyDescent="0.2">
      <c r="A6" s="158">
        <v>40035</v>
      </c>
      <c r="B6" s="164">
        <v>1</v>
      </c>
      <c r="C6" s="72" t="str">
        <f t="shared" si="0"/>
        <v>40035_1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355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168</v>
      </c>
      <c r="R6" s="165" t="s">
        <v>169</v>
      </c>
    </row>
    <row r="7" spans="1:18" ht="16" thickBot="1" x14ac:dyDescent="0.2">
      <c r="A7" s="158">
        <v>40035</v>
      </c>
      <c r="B7" s="164">
        <v>1</v>
      </c>
      <c r="C7" s="72" t="str">
        <f t="shared" si="0"/>
        <v>40035_1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355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168</v>
      </c>
      <c r="R7" s="165" t="s">
        <v>169</v>
      </c>
    </row>
    <row r="8" spans="1:18" ht="16" thickBot="1" x14ac:dyDescent="0.2">
      <c r="A8" s="158">
        <v>40035</v>
      </c>
      <c r="B8" s="164">
        <v>1</v>
      </c>
      <c r="C8" s="72" t="str">
        <f t="shared" si="0"/>
        <v>40035_1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355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168</v>
      </c>
      <c r="R8" s="165" t="s">
        <v>169</v>
      </c>
    </row>
    <row r="9" spans="1:18" ht="16" thickBot="1" x14ac:dyDescent="0.2">
      <c r="A9" s="158">
        <v>40035</v>
      </c>
      <c r="B9" s="164">
        <v>1</v>
      </c>
      <c r="C9" s="72" t="str">
        <f t="shared" si="0"/>
        <v>40035_1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355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168</v>
      </c>
      <c r="R9" s="165" t="s">
        <v>169</v>
      </c>
    </row>
    <row r="10" spans="1:18" ht="16" thickBot="1" x14ac:dyDescent="0.2">
      <c r="A10" s="158">
        <v>40035</v>
      </c>
      <c r="B10" s="164">
        <v>1</v>
      </c>
      <c r="C10" s="72" t="str">
        <f t="shared" si="0"/>
        <v>40035_1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355</v>
      </c>
      <c r="G10" s="57">
        <v>352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150</v>
      </c>
      <c r="Q10" s="57" t="s">
        <v>168</v>
      </c>
      <c r="R10" s="165" t="s">
        <v>169</v>
      </c>
    </row>
    <row r="11" spans="1:18" ht="16" thickBot="1" x14ac:dyDescent="0.2">
      <c r="A11" s="158">
        <v>40035</v>
      </c>
      <c r="B11" s="166">
        <v>1</v>
      </c>
      <c r="C11" s="167" t="str">
        <f t="shared" si="0"/>
        <v>40035_1</v>
      </c>
      <c r="D11" s="16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9">
        <v>10</v>
      </c>
      <c r="F11" s="169" t="s">
        <v>355</v>
      </c>
      <c r="G11" s="169">
        <v>1149</v>
      </c>
      <c r="H11" s="169">
        <v>1</v>
      </c>
      <c r="I11" s="169">
        <v>1</v>
      </c>
      <c r="J11" s="169">
        <v>1</v>
      </c>
      <c r="K11" s="169">
        <v>0</v>
      </c>
      <c r="L11" s="169">
        <v>0</v>
      </c>
      <c r="M11" s="169">
        <v>0</v>
      </c>
      <c r="N11" s="169">
        <v>0</v>
      </c>
      <c r="O11" s="169">
        <v>1</v>
      </c>
      <c r="P11" s="169">
        <v>100</v>
      </c>
      <c r="Q11" s="169" t="s">
        <v>168</v>
      </c>
      <c r="R11" s="170" t="s">
        <v>169</v>
      </c>
    </row>
    <row r="12" spans="1:18" ht="16" thickBot="1" x14ac:dyDescent="0.2">
      <c r="A12" s="158">
        <v>40035</v>
      </c>
      <c r="B12" s="159">
        <v>2</v>
      </c>
      <c r="C12" s="160" t="str">
        <f t="shared" si="0"/>
        <v>40035_2</v>
      </c>
      <c r="D12" s="16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2">
        <v>11</v>
      </c>
      <c r="F12" s="162" t="s">
        <v>355</v>
      </c>
      <c r="G12" s="162">
        <v>342</v>
      </c>
      <c r="H12" s="162">
        <v>1</v>
      </c>
      <c r="I12" s="162">
        <v>1</v>
      </c>
      <c r="J12" s="162">
        <v>1</v>
      </c>
      <c r="K12" s="162">
        <v>0</v>
      </c>
      <c r="L12" s="162">
        <v>0</v>
      </c>
      <c r="M12" s="162">
        <v>0</v>
      </c>
      <c r="N12" s="162">
        <v>0</v>
      </c>
      <c r="O12" s="162">
        <v>1</v>
      </c>
      <c r="P12" s="162">
        <v>50</v>
      </c>
      <c r="Q12" s="162" t="s">
        <v>168</v>
      </c>
      <c r="R12" s="163" t="s">
        <v>169</v>
      </c>
    </row>
    <row r="13" spans="1:18" ht="16" thickBot="1" x14ac:dyDescent="0.2">
      <c r="A13" s="158">
        <v>40035</v>
      </c>
      <c r="B13" s="164">
        <v>2</v>
      </c>
      <c r="C13" s="72" t="str">
        <f t="shared" si="0"/>
        <v>40035_2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355</v>
      </c>
      <c r="G13" s="57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168</v>
      </c>
      <c r="R13" s="165" t="s">
        <v>169</v>
      </c>
    </row>
    <row r="14" spans="1:18" ht="16" thickBot="1" x14ac:dyDescent="0.2">
      <c r="A14" s="158">
        <v>40035</v>
      </c>
      <c r="B14" s="164">
        <v>2</v>
      </c>
      <c r="C14" s="72" t="str">
        <f t="shared" si="0"/>
        <v>40035_2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355</v>
      </c>
      <c r="G14" s="57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168</v>
      </c>
      <c r="R14" s="165" t="s">
        <v>169</v>
      </c>
    </row>
    <row r="15" spans="1:18" ht="16" thickBot="1" x14ac:dyDescent="0.2">
      <c r="A15" s="158">
        <v>40035</v>
      </c>
      <c r="B15" s="164">
        <v>2</v>
      </c>
      <c r="C15" s="72" t="str">
        <f t="shared" si="0"/>
        <v>40035_2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355</v>
      </c>
      <c r="G15" s="57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168</v>
      </c>
      <c r="R15" s="165" t="s">
        <v>169</v>
      </c>
    </row>
    <row r="16" spans="1:18" ht="16" thickBot="1" x14ac:dyDescent="0.2">
      <c r="A16" s="158">
        <v>40035</v>
      </c>
      <c r="B16" s="164">
        <v>2</v>
      </c>
      <c r="C16" s="72" t="str">
        <f t="shared" si="0"/>
        <v>40035_2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355</v>
      </c>
      <c r="G16" s="57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168</v>
      </c>
      <c r="R16" s="165" t="s">
        <v>169</v>
      </c>
    </row>
    <row r="17" spans="1:18" ht="16" thickBot="1" x14ac:dyDescent="0.2">
      <c r="A17" s="158">
        <v>40035</v>
      </c>
      <c r="B17" s="164">
        <v>2</v>
      </c>
      <c r="C17" s="72" t="str">
        <f t="shared" si="0"/>
        <v>40035_2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355</v>
      </c>
      <c r="G17" s="57">
        <v>1149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168</v>
      </c>
      <c r="R17" s="165" t="s">
        <v>169</v>
      </c>
    </row>
    <row r="18" spans="1:18" ht="16" thickBot="1" x14ac:dyDescent="0.2">
      <c r="A18" s="158">
        <v>40035</v>
      </c>
      <c r="B18" s="166">
        <v>2</v>
      </c>
      <c r="C18" s="167" t="str">
        <f t="shared" si="0"/>
        <v>40035_2</v>
      </c>
      <c r="D18" s="16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9">
        <v>17</v>
      </c>
      <c r="F18" s="169" t="s">
        <v>355</v>
      </c>
      <c r="G18" s="169">
        <v>352</v>
      </c>
      <c r="H18" s="169">
        <v>1</v>
      </c>
      <c r="I18" s="169">
        <v>1</v>
      </c>
      <c r="J18" s="169">
        <v>1</v>
      </c>
      <c r="K18" s="169">
        <v>0</v>
      </c>
      <c r="L18" s="169">
        <v>0</v>
      </c>
      <c r="M18" s="169">
        <v>0</v>
      </c>
      <c r="N18" s="169">
        <v>0</v>
      </c>
      <c r="O18" s="169">
        <v>1</v>
      </c>
      <c r="P18" s="169">
        <v>120</v>
      </c>
      <c r="Q18" s="169" t="s">
        <v>168</v>
      </c>
      <c r="R18" s="170" t="s">
        <v>169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7" sqref="A2:XFD2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186</v>
      </c>
      <c r="B1" s="74" t="s">
        <v>187</v>
      </c>
      <c r="C1" s="78" t="s">
        <v>188</v>
      </c>
      <c r="D1" s="78" t="s">
        <v>33</v>
      </c>
      <c r="E1" s="74" t="s">
        <v>189</v>
      </c>
      <c r="F1" s="78" t="s">
        <v>190</v>
      </c>
      <c r="G1" s="78" t="s">
        <v>33</v>
      </c>
      <c r="H1" s="74" t="s">
        <v>191</v>
      </c>
      <c r="I1" s="92" t="s">
        <v>193</v>
      </c>
      <c r="J1" s="80" t="s">
        <v>125</v>
      </c>
      <c r="K1" s="79" t="s">
        <v>185</v>
      </c>
      <c r="L1" s="93" t="s">
        <v>184</v>
      </c>
      <c r="M1" s="81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3"/>
  <sheetViews>
    <sheetView showGridLines="0" zoomScale="138" zoomScaleNormal="138" zoomScalePageLayoutView="138" workbookViewId="0">
      <pane ySplit="1" topLeftCell="A12" activePane="bottomLeft" state="frozen"/>
      <selection pane="bottomLeft" activeCell="H11" sqref="H1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186</v>
      </c>
      <c r="B1" s="74" t="s">
        <v>149</v>
      </c>
      <c r="C1" s="78" t="s">
        <v>188</v>
      </c>
      <c r="D1" s="78" t="s">
        <v>33</v>
      </c>
      <c r="E1" s="74" t="s">
        <v>189</v>
      </c>
      <c r="F1" s="78" t="s">
        <v>18</v>
      </c>
      <c r="G1" s="78" t="s">
        <v>33</v>
      </c>
      <c r="H1" s="74" t="s">
        <v>191</v>
      </c>
      <c r="I1" s="90" t="s">
        <v>192</v>
      </c>
      <c r="J1" s="92" t="s">
        <v>193</v>
      </c>
      <c r="K1" s="80" t="s">
        <v>125</v>
      </c>
      <c r="L1" s="79" t="s">
        <v>185</v>
      </c>
      <c r="M1" s="93" t="s">
        <v>184</v>
      </c>
      <c r="N1" s="81" t="s">
        <v>194</v>
      </c>
    </row>
    <row r="2" spans="1:14" ht="28" x14ac:dyDescent="0.15">
      <c r="A2" s="82" t="s">
        <v>195</v>
      </c>
      <c r="B2" s="83">
        <f>floors!$C$2</f>
        <v>40035</v>
      </c>
      <c r="C2" s="84" t="str">
        <f ca="1">VLOOKUP($B2,OFFSET([2]quests!$A$1,0,0,COUNTA([2]quests!$A:$A),MATCH(C$1,[2]quests!$1:$1,0)-MATCH($B$1,[2]quests!$1:$1,0)+1),MATCH(C$1,[2]quests!$1:$1,0)-MATCH($B$1,[2]quests!$1:$1,0)+1,FALSE)</f>
        <v>ブラフマー襲来！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降臨35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【超絶級】ブラフマー襲来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降臨35</v>
      </c>
      <c r="H2" s="86">
        <v>1</v>
      </c>
      <c r="I2" s="91">
        <f>ROW()-1</f>
        <v>1</v>
      </c>
      <c r="J2" s="87" t="str">
        <f>B2&amp;TEXT(I2,"00")</f>
        <v>4003501</v>
      </c>
      <c r="K2" s="85" t="s">
        <v>196</v>
      </c>
      <c r="L2" s="88" t="s">
        <v>197</v>
      </c>
      <c r="M2" s="171" t="s">
        <v>369</v>
      </c>
      <c r="N2" s="57" t="s">
        <v>198</v>
      </c>
    </row>
    <row r="3" spans="1:14" ht="42" x14ac:dyDescent="0.15">
      <c r="A3" s="82" t="s">
        <v>195</v>
      </c>
      <c r="B3" s="83">
        <f>floors!$C$2</f>
        <v>40035</v>
      </c>
      <c r="C3" s="84" t="str">
        <f ca="1">VLOOKUP($B3,OFFSET([2]quests!$A$1,0,0,COUNTA([2]quests!$A:$A),MATCH(C$1,[2]quests!$1:$1,0)-MATCH($B$1,[2]quests!$1:$1,0)+1),MATCH(C$1,[2]quests!$1:$1,0)-MATCH($B$1,[2]quests!$1:$1,0)+1,FALSE)</f>
        <v>ブラフマー襲来！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降臨35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【超絶級】ブラフマー襲来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降臨35</v>
      </c>
      <c r="H3" s="86">
        <v>2</v>
      </c>
      <c r="I3" s="91">
        <f t="shared" ref="I3:I23" si="0">ROW()-1</f>
        <v>2</v>
      </c>
      <c r="J3" s="87" t="str">
        <f t="shared" ref="J3:J12" si="1">B3&amp;TEXT(I3,"00")</f>
        <v>4003502</v>
      </c>
      <c r="K3" s="85" t="s">
        <v>196</v>
      </c>
      <c r="L3" s="88" t="s">
        <v>197</v>
      </c>
      <c r="M3" s="171" t="s">
        <v>362</v>
      </c>
      <c r="N3" s="57" t="s">
        <v>198</v>
      </c>
    </row>
    <row r="4" spans="1:14" ht="42" x14ac:dyDescent="0.15">
      <c r="A4" s="82" t="s">
        <v>195</v>
      </c>
      <c r="B4" s="83">
        <f>floors!$C$2</f>
        <v>40035</v>
      </c>
      <c r="C4" s="84" t="str">
        <f ca="1">VLOOKUP($B4,OFFSET([2]quests!$A$1,0,0,COUNTA([2]quests!$A:$A),MATCH(C$1,[2]quests!$1:$1,0)-MATCH($B$1,[2]quests!$1:$1,0)+1),MATCH(C$1,[2]quests!$1:$1,0)-MATCH($B$1,[2]quests!$1:$1,0)+1,FALSE)</f>
        <v>ブラフマー襲来！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降臨35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【超絶級】ブラフマー襲来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降臨35</v>
      </c>
      <c r="H4" s="86">
        <v>3</v>
      </c>
      <c r="I4" s="91">
        <f t="shared" si="0"/>
        <v>3</v>
      </c>
      <c r="J4" s="87" t="str">
        <f t="shared" si="1"/>
        <v>4003503</v>
      </c>
      <c r="K4" s="85" t="s">
        <v>196</v>
      </c>
      <c r="L4" s="88" t="s">
        <v>197</v>
      </c>
      <c r="M4" s="171" t="s">
        <v>363</v>
      </c>
      <c r="N4" s="57" t="s">
        <v>198</v>
      </c>
    </row>
    <row r="5" spans="1:14" ht="42" x14ac:dyDescent="0.15">
      <c r="A5" s="82" t="s">
        <v>195</v>
      </c>
      <c r="B5" s="83">
        <f>floors!$C$2</f>
        <v>40035</v>
      </c>
      <c r="C5" s="84" t="str">
        <f ca="1">VLOOKUP($B5,OFFSET([2]quests!$A$1,0,0,COUNTA([2]quests!$A:$A),MATCH(C$1,[2]quests!$1:$1,0)-MATCH($B$1,[2]quests!$1:$1,0)+1),MATCH(C$1,[2]quests!$1:$1,0)-MATCH($B$1,[2]quests!$1:$1,0)+1,FALSE)</f>
        <v>ブラフマー襲来！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降臨35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【超絶級】ブラフマー襲来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降臨35</v>
      </c>
      <c r="H5" s="86">
        <v>3</v>
      </c>
      <c r="I5" s="91">
        <f t="shared" si="0"/>
        <v>4</v>
      </c>
      <c r="J5" s="87" t="str">
        <f t="shared" si="1"/>
        <v>4003504</v>
      </c>
      <c r="K5" s="85" t="s">
        <v>196</v>
      </c>
      <c r="L5" s="88" t="s">
        <v>197</v>
      </c>
      <c r="M5" s="171" t="s">
        <v>364</v>
      </c>
      <c r="N5" s="57" t="s">
        <v>198</v>
      </c>
    </row>
    <row r="6" spans="1:14" ht="28" x14ac:dyDescent="0.15">
      <c r="A6" s="82" t="s">
        <v>195</v>
      </c>
      <c r="B6" s="83">
        <f>floors!$C$2</f>
        <v>40035</v>
      </c>
      <c r="C6" s="84" t="str">
        <f ca="1">VLOOKUP($B6,OFFSET([2]quests!$A$1,0,0,COUNTA([2]quests!$A:$A),MATCH(C$1,[2]quests!$1:$1,0)-MATCH($B$1,[2]quests!$1:$1,0)+1),MATCH(C$1,[2]quests!$1:$1,0)-MATCH($B$1,[2]quests!$1:$1,0)+1,FALSE)</f>
        <v>ブラフマー襲来！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降臨35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【超絶級】ブラフマー襲来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降臨35</v>
      </c>
      <c r="H6" s="86">
        <v>4</v>
      </c>
      <c r="I6" s="91">
        <f t="shared" si="0"/>
        <v>5</v>
      </c>
      <c r="J6" s="87" t="str">
        <f t="shared" si="1"/>
        <v>4003505</v>
      </c>
      <c r="K6" s="85" t="s">
        <v>196</v>
      </c>
      <c r="L6" s="88" t="s">
        <v>197</v>
      </c>
      <c r="M6" s="171" t="s">
        <v>365</v>
      </c>
      <c r="N6" s="57" t="s">
        <v>198</v>
      </c>
    </row>
    <row r="7" spans="1:14" ht="28" x14ac:dyDescent="0.15">
      <c r="A7" s="82" t="s">
        <v>195</v>
      </c>
      <c r="B7" s="83">
        <f>floors!$C$2</f>
        <v>40035</v>
      </c>
      <c r="C7" s="84" t="str">
        <f ca="1">VLOOKUP($B7,OFFSET([2]quests!$A$1,0,0,COUNTA([2]quests!$A:$A),MATCH(C$1,[2]quests!$1:$1,0)-MATCH($B$1,[2]quests!$1:$1,0)+1),MATCH(C$1,[2]quests!$1:$1,0)-MATCH($B$1,[2]quests!$1:$1,0)+1,FALSE)</f>
        <v>ブラフマー襲来！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降臨35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【超絶級】ブラフマー襲来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降臨35</v>
      </c>
      <c r="H7" s="86">
        <v>5</v>
      </c>
      <c r="I7" s="91">
        <f t="shared" si="0"/>
        <v>6</v>
      </c>
      <c r="J7" s="87" t="str">
        <f t="shared" si="1"/>
        <v>4003506</v>
      </c>
      <c r="K7" s="85" t="s">
        <v>196</v>
      </c>
      <c r="L7" s="88" t="s">
        <v>197</v>
      </c>
      <c r="M7" s="171" t="s">
        <v>366</v>
      </c>
      <c r="N7" s="57" t="s">
        <v>198</v>
      </c>
    </row>
    <row r="8" spans="1:14" ht="56" x14ac:dyDescent="0.15">
      <c r="A8" s="192" t="s">
        <v>195</v>
      </c>
      <c r="B8" s="193">
        <f>floors!$C$2</f>
        <v>40035</v>
      </c>
      <c r="C8" s="190" t="str">
        <f ca="1">VLOOKUP($B8,OFFSET([2]quests!$A$1,0,0,COUNTA([2]quests!$A:$A),MATCH(C$1,[2]quests!$1:$1,0)-MATCH($B$1,[2]quests!$1:$1,0)+1),MATCH(C$1,[2]quests!$1:$1,0)-MATCH($B$1,[2]quests!$1:$1,0)+1,FALSE)</f>
        <v>ブラフマー襲来！</v>
      </c>
      <c r="D8" s="190" t="str">
        <f ca="1">VLOOKUP($B8,OFFSET([2]quests!$A$1,0,0,COUNTA([2]quests!$A:$A),MATCH(D$1,[2]quests!$1:$1,0)-MATCH($B$1,[2]quests!$1:$1,0)+1),MATCH(D$1,[2]quests!$1:$1,0)-MATCH($B$1,[2]quests!$1:$1,0)+1,FALSE)</f>
        <v>降臨35</v>
      </c>
      <c r="E8" s="194">
        <v>1</v>
      </c>
      <c r="F8" s="19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【超絶級】ブラフマー襲来</v>
      </c>
      <c r="G8" s="190" t="str">
        <f ca="1">VLOOKUP($B8&amp;"_"&amp;$E8,OFFSET([2]stages!$A$1,0,0,COUNTA([2]stages!$A:$A),MATCH(G$1,[2]stages!$2:$2,0)-MATCH("temp_stage",[2]stages!$2:$2,0)+1),MATCH(G$1,[2]stages!$2:$2,0)-MATCH("temp_stage",[2]stages!$2:$2,0)+1,FALSE)</f>
        <v>降臨35</v>
      </c>
      <c r="H8" s="191">
        <v>5</v>
      </c>
      <c r="I8" s="195">
        <f t="shared" si="0"/>
        <v>7</v>
      </c>
      <c r="J8" s="196" t="str">
        <f t="shared" si="1"/>
        <v>4003507</v>
      </c>
      <c r="K8" s="194" t="s">
        <v>196</v>
      </c>
      <c r="L8" s="197" t="s">
        <v>197</v>
      </c>
      <c r="M8" s="198" t="s">
        <v>367</v>
      </c>
      <c r="N8" s="199" t="s">
        <v>198</v>
      </c>
    </row>
    <row r="9" spans="1:14" s="200" customFormat="1" ht="42" x14ac:dyDescent="0.15">
      <c r="A9" s="82" t="s">
        <v>195</v>
      </c>
      <c r="B9" s="83">
        <f>floors!$C$2</f>
        <v>40035</v>
      </c>
      <c r="C9" s="201" t="str">
        <f ca="1">VLOOKUP($B9,OFFSET([2]quests!$A$1,0,0,COUNTA([2]quests!$A:$A),MATCH(C$1,[2]quests!$1:$1,0)-MATCH($B$1,[2]quests!$1:$1,0)+1),MATCH(C$1,[2]quests!$1:$1,0)-MATCH($B$1,[2]quests!$1:$1,0)+1,FALSE)</f>
        <v>ブラフマー襲来！</v>
      </c>
      <c r="D9" s="201" t="str">
        <f ca="1">VLOOKUP($B9,OFFSET([2]quests!$A$1,0,0,COUNTA([2]quests!$A:$A),MATCH(D$1,[2]quests!$1:$1,0)-MATCH($B$1,[2]quests!$1:$1,0)+1),MATCH(D$1,[2]quests!$1:$1,0)-MATCH($B$1,[2]quests!$1:$1,0)+1,FALSE)</f>
        <v>降臨35</v>
      </c>
      <c r="E9" s="85">
        <v>1</v>
      </c>
      <c r="F9" s="20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【超絶級】ブラフマー襲来</v>
      </c>
      <c r="G9" s="201" t="str">
        <f ca="1">VLOOKUP($B9&amp;"_"&amp;$E9,OFFSET([2]stages!$A$1,0,0,COUNTA([2]stages!$A:$A),MATCH(G$1,[2]stages!$2:$2,0)-MATCH("temp_stage",[2]stages!$2:$2,0)+1),MATCH(G$1,[2]stages!$2:$2,0)-MATCH("temp_stage",[2]stages!$2:$2,0)+1,FALSE)</f>
        <v>降臨35</v>
      </c>
      <c r="H9" s="202">
        <v>5</v>
      </c>
      <c r="I9" s="91">
        <f t="shared" si="0"/>
        <v>8</v>
      </c>
      <c r="J9" s="87" t="str">
        <f t="shared" si="1"/>
        <v>4003508</v>
      </c>
      <c r="K9" s="85" t="s">
        <v>196</v>
      </c>
      <c r="L9" s="88" t="s">
        <v>197</v>
      </c>
      <c r="M9" s="171" t="s">
        <v>368</v>
      </c>
      <c r="N9" s="57" t="s">
        <v>198</v>
      </c>
    </row>
    <row r="10" spans="1:14" ht="42" x14ac:dyDescent="0.15">
      <c r="A10" s="172" t="s">
        <v>199</v>
      </c>
      <c r="B10" s="173">
        <f>floors!$C$2</f>
        <v>40035</v>
      </c>
      <c r="C10" s="84" t="str">
        <f ca="1">VLOOKUP($B10,OFFSET([2]quests!$A$1,0,0,COUNTA([2]quests!$A:$A),MATCH(C$1,[2]quests!$1:$1,0)-MATCH($B$1,[2]quests!$1:$1,0)+1),MATCH(C$1,[2]quests!$1:$1,0)-MATCH($B$1,[2]quests!$1:$1,0)+1,FALSE)</f>
        <v>ブラフマー襲来！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降臨35</v>
      </c>
      <c r="E10" s="174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【超絶級】ブラフマー襲来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降臨35</v>
      </c>
      <c r="H10" s="86">
        <v>0</v>
      </c>
      <c r="I10" s="175">
        <f t="shared" si="0"/>
        <v>9</v>
      </c>
      <c r="J10" s="176" t="str">
        <f t="shared" si="1"/>
        <v>4003509</v>
      </c>
      <c r="K10" s="174" t="s">
        <v>126</v>
      </c>
      <c r="L10" s="177" t="s">
        <v>385</v>
      </c>
      <c r="M10" s="178" t="s">
        <v>384</v>
      </c>
      <c r="N10" s="179" t="s">
        <v>198</v>
      </c>
    </row>
    <row r="11" spans="1:14" ht="42" x14ac:dyDescent="0.15">
      <c r="A11" s="82" t="s">
        <v>199</v>
      </c>
      <c r="B11" s="83">
        <f>floors!$C$2</f>
        <v>40035</v>
      </c>
      <c r="C11" s="84" t="str">
        <f ca="1">VLOOKUP($B11,OFFSET([2]quests!$A$1,0,0,COUNTA([2]quests!$A:$A),MATCH(C$1,[2]quests!$1:$1,0)-MATCH($B$1,[2]quests!$1:$1,0)+1),MATCH(C$1,[2]quests!$1:$1,0)-MATCH($B$1,[2]quests!$1:$1,0)+1,FALSE)</f>
        <v>ブラフマー襲来！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降臨35</v>
      </c>
      <c r="E11" s="85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【超絶級】ブラフマー襲来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降臨35</v>
      </c>
      <c r="H11" s="86">
        <v>0</v>
      </c>
      <c r="I11" s="91">
        <f t="shared" si="0"/>
        <v>10</v>
      </c>
      <c r="J11" s="87" t="str">
        <f t="shared" si="1"/>
        <v>4003510</v>
      </c>
      <c r="K11" s="85" t="s">
        <v>126</v>
      </c>
      <c r="L11" s="88" t="s">
        <v>387</v>
      </c>
      <c r="M11" s="171" t="s">
        <v>386</v>
      </c>
      <c r="N11" s="57" t="s">
        <v>198</v>
      </c>
    </row>
    <row r="12" spans="1:14" ht="43" thickBot="1" x14ac:dyDescent="0.2">
      <c r="A12" s="180" t="s">
        <v>199</v>
      </c>
      <c r="B12" s="181">
        <f>floors!$C$2</f>
        <v>40035</v>
      </c>
      <c r="C12" s="182" t="str">
        <f ca="1">VLOOKUP($B12,OFFSET([2]quests!$A$1,0,0,COUNTA([2]quests!$A:$A),MATCH(C$1,[2]quests!$1:$1,0)-MATCH($B$1,[2]quests!$1:$1,0)+1),MATCH(C$1,[2]quests!$1:$1,0)-MATCH($B$1,[2]quests!$1:$1,0)+1,FALSE)</f>
        <v>ブラフマー襲来！</v>
      </c>
      <c r="D12" s="182" t="str">
        <f ca="1">VLOOKUP($B12,OFFSET([2]quests!$A$1,0,0,COUNTA([2]quests!$A:$A),MATCH(D$1,[2]quests!$1:$1,0)-MATCH($B$1,[2]quests!$1:$1,0)+1),MATCH(D$1,[2]quests!$1:$1,0)-MATCH($B$1,[2]quests!$1:$1,0)+1,FALSE)</f>
        <v>降臨35</v>
      </c>
      <c r="E12" s="183">
        <v>1</v>
      </c>
      <c r="F12" s="182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【超絶級】ブラフマー襲来</v>
      </c>
      <c r="G12" s="182" t="str">
        <f ca="1">VLOOKUP($B12&amp;"_"&amp;$E12,OFFSET([2]stages!$A$1,0,0,COUNTA([2]stages!$A:$A),MATCH(G$1,[2]stages!$2:$2,0)-MATCH("temp_stage",[2]stages!$2:$2,0)+1),MATCH(G$1,[2]stages!$2:$2,0)-MATCH("temp_stage",[2]stages!$2:$2,0)+1,FALSE)</f>
        <v>降臨35</v>
      </c>
      <c r="H12" s="184">
        <v>0</v>
      </c>
      <c r="I12" s="185">
        <f t="shared" si="0"/>
        <v>11</v>
      </c>
      <c r="J12" s="186" t="str">
        <f t="shared" si="1"/>
        <v>4003511</v>
      </c>
      <c r="K12" s="183" t="s">
        <v>126</v>
      </c>
      <c r="L12" s="187" t="s">
        <v>389</v>
      </c>
      <c r="M12" s="188" t="s">
        <v>388</v>
      </c>
      <c r="N12" s="189" t="s">
        <v>198</v>
      </c>
    </row>
    <row r="13" spans="1:14" ht="29" thickTop="1" x14ac:dyDescent="0.15">
      <c r="A13" s="172" t="s">
        <v>195</v>
      </c>
      <c r="B13" s="173">
        <f>floors!$C$2</f>
        <v>40035</v>
      </c>
      <c r="C13" s="84" t="str">
        <f ca="1">VLOOKUP($B13,OFFSET([2]quests!$A$1,0,0,COUNTA([2]quests!$A:$A),MATCH(C$1,[2]quests!$1:$1,0)-MATCH($B$1,[2]quests!$1:$1,0)+1),MATCH(C$1,[2]quests!$1:$1,0)-MATCH($B$1,[2]quests!$1:$1,0)+1,FALSE)</f>
        <v>ブラフマー襲来！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降臨35</v>
      </c>
      <c r="E13" s="174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降臨35</v>
      </c>
      <c r="H13" s="86">
        <v>1</v>
      </c>
      <c r="I13" s="175">
        <f>ROW()-1</f>
        <v>12</v>
      </c>
      <c r="J13" s="176" t="str">
        <f>B13&amp;TEXT(I13,"00")</f>
        <v>4003512</v>
      </c>
      <c r="K13" s="174" t="s">
        <v>126</v>
      </c>
      <c r="L13" s="177" t="s">
        <v>197</v>
      </c>
      <c r="M13" s="178" t="s">
        <v>369</v>
      </c>
      <c r="N13" s="179" t="s">
        <v>198</v>
      </c>
    </row>
    <row r="14" spans="1:14" ht="42" x14ac:dyDescent="0.15">
      <c r="A14" s="82" t="s">
        <v>195</v>
      </c>
      <c r="B14" s="83">
        <f>floors!$C$2</f>
        <v>40035</v>
      </c>
      <c r="C14" s="84" t="str">
        <f ca="1">VLOOKUP($B14,OFFSET([2]quests!$A$1,0,0,COUNTA([2]quests!$A:$A),MATCH(C$1,[2]quests!$1:$1,0)-MATCH($B$1,[2]quests!$1:$1,0)+1),MATCH(C$1,[2]quests!$1:$1,0)-MATCH($B$1,[2]quests!$1:$1,0)+1,FALSE)</f>
        <v>ブラフマー襲来！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降臨35</v>
      </c>
      <c r="E14" s="85">
        <v>2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降臨35</v>
      </c>
      <c r="H14" s="86">
        <v>2</v>
      </c>
      <c r="I14" s="91">
        <f t="shared" si="0"/>
        <v>13</v>
      </c>
      <c r="J14" s="87" t="str">
        <f t="shared" ref="J14:J20" si="2">B14&amp;TEXT(I14,"00")</f>
        <v>4003513</v>
      </c>
      <c r="K14" s="85" t="s">
        <v>126</v>
      </c>
      <c r="L14" s="88" t="s">
        <v>197</v>
      </c>
      <c r="M14" s="171" t="s">
        <v>362</v>
      </c>
      <c r="N14" s="57" t="s">
        <v>198</v>
      </c>
    </row>
    <row r="15" spans="1:14" ht="42" x14ac:dyDescent="0.15">
      <c r="A15" s="82" t="s">
        <v>195</v>
      </c>
      <c r="B15" s="83">
        <f>floors!$C$2</f>
        <v>40035</v>
      </c>
      <c r="C15" s="84" t="str">
        <f ca="1">VLOOKUP($B15,OFFSET([2]quests!$A$1,0,0,COUNTA([2]quests!$A:$A),MATCH(C$1,[2]quests!$1:$1,0)-MATCH($B$1,[2]quests!$1:$1,0)+1),MATCH(C$1,[2]quests!$1:$1,0)-MATCH($B$1,[2]quests!$1:$1,0)+1,FALSE)</f>
        <v>ブラフマー襲来！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降臨35</v>
      </c>
      <c r="E15" s="85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降臨35</v>
      </c>
      <c r="H15" s="86">
        <v>3</v>
      </c>
      <c r="I15" s="91">
        <f t="shared" si="0"/>
        <v>14</v>
      </c>
      <c r="J15" s="87" t="str">
        <f t="shared" si="2"/>
        <v>4003514</v>
      </c>
      <c r="K15" s="85" t="s">
        <v>126</v>
      </c>
      <c r="L15" s="88" t="s">
        <v>197</v>
      </c>
      <c r="M15" s="171" t="s">
        <v>363</v>
      </c>
      <c r="N15" s="57" t="s">
        <v>198</v>
      </c>
    </row>
    <row r="16" spans="1:14" ht="42" x14ac:dyDescent="0.15">
      <c r="A16" s="82" t="s">
        <v>195</v>
      </c>
      <c r="B16" s="83">
        <f>floors!$C$2</f>
        <v>40035</v>
      </c>
      <c r="C16" s="84" t="str">
        <f ca="1">VLOOKUP($B16,OFFSET([2]quests!$A$1,0,0,COUNTA([2]quests!$A:$A),MATCH(C$1,[2]quests!$1:$1,0)-MATCH($B$1,[2]quests!$1:$1,0)+1),MATCH(C$1,[2]quests!$1:$1,0)-MATCH($B$1,[2]quests!$1:$1,0)+1,FALSE)</f>
        <v>ブラフマー襲来！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降臨35</v>
      </c>
      <c r="E16" s="85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降臨35</v>
      </c>
      <c r="H16" s="86">
        <v>3</v>
      </c>
      <c r="I16" s="91">
        <f t="shared" si="0"/>
        <v>15</v>
      </c>
      <c r="J16" s="87" t="str">
        <f t="shared" si="2"/>
        <v>4003515</v>
      </c>
      <c r="K16" s="85" t="s">
        <v>126</v>
      </c>
      <c r="L16" s="88" t="s">
        <v>197</v>
      </c>
      <c r="M16" s="171" t="s">
        <v>364</v>
      </c>
      <c r="N16" s="57" t="s">
        <v>198</v>
      </c>
    </row>
    <row r="17" spans="1:14" ht="28" x14ac:dyDescent="0.15">
      <c r="A17" s="82" t="s">
        <v>195</v>
      </c>
      <c r="B17" s="83">
        <f>floors!$C$2</f>
        <v>40035</v>
      </c>
      <c r="C17" s="84" t="str">
        <f ca="1">VLOOKUP($B17,OFFSET([2]quests!$A$1,0,0,COUNTA([2]quests!$A:$A),MATCH(C$1,[2]quests!$1:$1,0)-MATCH($B$1,[2]quests!$1:$1,0)+1),MATCH(C$1,[2]quests!$1:$1,0)-MATCH($B$1,[2]quests!$1:$1,0)+1,FALSE)</f>
        <v>ブラフマー襲来！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降臨35</v>
      </c>
      <c r="E17" s="85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降臨35</v>
      </c>
      <c r="H17" s="86">
        <v>4</v>
      </c>
      <c r="I17" s="91">
        <f t="shared" si="0"/>
        <v>16</v>
      </c>
      <c r="J17" s="87" t="str">
        <f t="shared" si="2"/>
        <v>4003516</v>
      </c>
      <c r="K17" s="85" t="s">
        <v>126</v>
      </c>
      <c r="L17" s="88" t="s">
        <v>197</v>
      </c>
      <c r="M17" s="171" t="s">
        <v>365</v>
      </c>
      <c r="N17" s="57" t="s">
        <v>198</v>
      </c>
    </row>
    <row r="18" spans="1:14" ht="28" x14ac:dyDescent="0.15">
      <c r="A18" s="82" t="s">
        <v>195</v>
      </c>
      <c r="B18" s="83">
        <f>floors!$C$2</f>
        <v>40035</v>
      </c>
      <c r="C18" s="84" t="str">
        <f ca="1">VLOOKUP($B18,OFFSET([2]quests!$A$1,0,0,COUNTA([2]quests!$A:$A),MATCH(C$1,[2]quests!$1:$1,0)-MATCH($B$1,[2]quests!$1:$1,0)+1),MATCH(C$1,[2]quests!$1:$1,0)-MATCH($B$1,[2]quests!$1:$1,0)+1,FALSE)</f>
        <v>ブラフマー襲来！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降臨35</v>
      </c>
      <c r="E18" s="85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降臨35</v>
      </c>
      <c r="H18" s="86">
        <v>5</v>
      </c>
      <c r="I18" s="91">
        <f t="shared" si="0"/>
        <v>17</v>
      </c>
      <c r="J18" s="87" t="str">
        <f t="shared" si="2"/>
        <v>4003517</v>
      </c>
      <c r="K18" s="85" t="s">
        <v>126</v>
      </c>
      <c r="L18" s="88" t="s">
        <v>197</v>
      </c>
      <c r="M18" s="171" t="s">
        <v>366</v>
      </c>
      <c r="N18" s="57" t="s">
        <v>198</v>
      </c>
    </row>
    <row r="19" spans="1:14" ht="56" x14ac:dyDescent="0.15">
      <c r="A19" s="82" t="s">
        <v>195</v>
      </c>
      <c r="B19" s="83">
        <f>floors!$C$2</f>
        <v>40035</v>
      </c>
      <c r="C19" s="84" t="str">
        <f ca="1">VLOOKUP($B19,OFFSET([2]quests!$A$1,0,0,COUNTA([2]quests!$A:$A),MATCH(C$1,[2]quests!$1:$1,0)-MATCH($B$1,[2]quests!$1:$1,0)+1),MATCH(C$1,[2]quests!$1:$1,0)-MATCH($B$1,[2]quests!$1:$1,0)+1,FALSE)</f>
        <v>ブラフマー襲来！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降臨35</v>
      </c>
      <c r="E19" s="85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降臨35</v>
      </c>
      <c r="H19" s="86">
        <v>5</v>
      </c>
      <c r="I19" s="91">
        <f t="shared" si="0"/>
        <v>18</v>
      </c>
      <c r="J19" s="87" t="str">
        <f t="shared" si="2"/>
        <v>4003518</v>
      </c>
      <c r="K19" s="85" t="s">
        <v>126</v>
      </c>
      <c r="L19" s="88" t="s">
        <v>197</v>
      </c>
      <c r="M19" s="171" t="s">
        <v>367</v>
      </c>
      <c r="N19" s="57" t="s">
        <v>198</v>
      </c>
    </row>
    <row r="20" spans="1:14" ht="42" x14ac:dyDescent="0.15">
      <c r="A20" s="82" t="s">
        <v>195</v>
      </c>
      <c r="B20" s="83">
        <f>floors!$C$2</f>
        <v>40035</v>
      </c>
      <c r="C20" s="84" t="str">
        <f ca="1">VLOOKUP($B20,OFFSET([2]quests!$A$1,0,0,COUNTA([2]quests!$A:$A),MATCH(C$1,[2]quests!$1:$1,0)-MATCH($B$1,[2]quests!$1:$1,0)+1),MATCH(C$1,[2]quests!$1:$1,0)-MATCH($B$1,[2]quests!$1:$1,0)+1,FALSE)</f>
        <v>ブラフマー襲来！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降臨35</v>
      </c>
      <c r="E20" s="85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降臨35</v>
      </c>
      <c r="H20" s="86">
        <v>5</v>
      </c>
      <c r="I20" s="91">
        <f t="shared" si="0"/>
        <v>19</v>
      </c>
      <c r="J20" s="87" t="str">
        <f t="shared" si="2"/>
        <v>4003519</v>
      </c>
      <c r="K20" s="85" t="s">
        <v>126</v>
      </c>
      <c r="L20" s="88" t="s">
        <v>197</v>
      </c>
      <c r="M20" s="171" t="s">
        <v>368</v>
      </c>
      <c r="N20" s="57" t="s">
        <v>198</v>
      </c>
    </row>
    <row r="21" spans="1:14" ht="42" x14ac:dyDescent="0.15">
      <c r="A21" s="82" t="s">
        <v>199</v>
      </c>
      <c r="B21" s="83">
        <f>floors!$C$2</f>
        <v>40035</v>
      </c>
      <c r="C21" s="84" t="str">
        <f ca="1">VLOOKUP($B21,OFFSET([2]quests!$A$1,0,0,COUNTA([2]quests!$A:$A),MATCH(C$1,[2]quests!$1:$1,0)-MATCH($B$1,[2]quests!$1:$1,0)+1),MATCH(C$1,[2]quests!$1:$1,0)-MATCH($B$1,[2]quests!$1:$1,0)+1,FALSE)</f>
        <v>ブラフマー襲来！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降臨35</v>
      </c>
      <c r="E21" s="85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降臨35</v>
      </c>
      <c r="H21" s="86">
        <v>0</v>
      </c>
      <c r="I21" s="91">
        <f t="shared" si="0"/>
        <v>20</v>
      </c>
      <c r="J21" s="87" t="str">
        <f t="shared" ref="J21:J23" si="3">B21&amp;TEXT(I21,"00")</f>
        <v>4003520</v>
      </c>
      <c r="K21" s="85" t="s">
        <v>126</v>
      </c>
      <c r="L21" s="88" t="s">
        <v>385</v>
      </c>
      <c r="M21" s="171" t="s">
        <v>384</v>
      </c>
      <c r="N21" s="57" t="s">
        <v>198</v>
      </c>
    </row>
    <row r="22" spans="1:14" ht="42" x14ac:dyDescent="0.15">
      <c r="A22" s="82" t="s">
        <v>199</v>
      </c>
      <c r="B22" s="83">
        <f>floors!$C$2</f>
        <v>40035</v>
      </c>
      <c r="C22" s="84" t="str">
        <f ca="1">VLOOKUP($B22,OFFSET([2]quests!$A$1,0,0,COUNTA([2]quests!$A:$A),MATCH(C$1,[2]quests!$1:$1,0)-MATCH($B$1,[2]quests!$1:$1,0)+1),MATCH(C$1,[2]quests!$1:$1,0)-MATCH($B$1,[2]quests!$1:$1,0)+1,FALSE)</f>
        <v>ブラフマー襲来！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降臨35</v>
      </c>
      <c r="E22" s="85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降臨35</v>
      </c>
      <c r="H22" s="86">
        <v>0</v>
      </c>
      <c r="I22" s="91">
        <f t="shared" si="0"/>
        <v>21</v>
      </c>
      <c r="J22" s="87" t="str">
        <f t="shared" si="3"/>
        <v>4003521</v>
      </c>
      <c r="K22" s="85" t="s">
        <v>126</v>
      </c>
      <c r="L22" s="88" t="s">
        <v>387</v>
      </c>
      <c r="M22" s="171" t="s">
        <v>386</v>
      </c>
      <c r="N22" s="57" t="s">
        <v>198</v>
      </c>
    </row>
    <row r="23" spans="1:14" ht="42" x14ac:dyDescent="0.15">
      <c r="A23" s="82" t="s">
        <v>199</v>
      </c>
      <c r="B23" s="83">
        <f>floors!$C$2</f>
        <v>40035</v>
      </c>
      <c r="C23" s="84" t="str">
        <f ca="1">VLOOKUP($B23,OFFSET([2]quests!$A$1,0,0,COUNTA([2]quests!$A:$A),MATCH(C$1,[2]quests!$1:$1,0)-MATCH($B$1,[2]quests!$1:$1,0)+1),MATCH(C$1,[2]quests!$1:$1,0)-MATCH($B$1,[2]quests!$1:$1,0)+1,FALSE)</f>
        <v>ブラフマー襲来！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降臨35</v>
      </c>
      <c r="E23" s="85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降臨35</v>
      </c>
      <c r="H23" s="86">
        <v>0</v>
      </c>
      <c r="I23" s="91">
        <f t="shared" si="0"/>
        <v>22</v>
      </c>
      <c r="J23" s="87" t="str">
        <f t="shared" si="3"/>
        <v>4003522</v>
      </c>
      <c r="K23" s="85" t="s">
        <v>126</v>
      </c>
      <c r="L23" s="88" t="s">
        <v>389</v>
      </c>
      <c r="M23" s="171" t="s">
        <v>388</v>
      </c>
      <c r="N23" s="57" t="s">
        <v>198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J3" sqref="J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211</v>
      </c>
      <c r="B1" s="96" t="s">
        <v>212</v>
      </c>
      <c r="C1" s="78" t="s">
        <v>213</v>
      </c>
      <c r="D1" s="78" t="s">
        <v>33</v>
      </c>
      <c r="E1" s="96" t="s">
        <v>214</v>
      </c>
      <c r="F1" s="78" t="s">
        <v>215</v>
      </c>
      <c r="G1" s="78" t="s">
        <v>33</v>
      </c>
      <c r="H1" s="96" t="s">
        <v>216</v>
      </c>
      <c r="I1" s="96" t="s">
        <v>217</v>
      </c>
      <c r="J1" s="96" t="s">
        <v>218</v>
      </c>
      <c r="K1" s="74" t="s">
        <v>252</v>
      </c>
      <c r="L1" s="74" t="s">
        <v>219</v>
      </c>
      <c r="M1" s="74" t="s">
        <v>155</v>
      </c>
      <c r="N1" s="78" t="s">
        <v>16</v>
      </c>
      <c r="O1" s="74" t="s">
        <v>220</v>
      </c>
      <c r="P1" s="74" t="s">
        <v>57</v>
      </c>
      <c r="Q1" s="74" t="s">
        <v>221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222</v>
      </c>
      <c r="X1" s="74" t="s">
        <v>223</v>
      </c>
    </row>
    <row r="2" spans="1:24" x14ac:dyDescent="0.15">
      <c r="A2" s="97" t="str">
        <f>B2&amp;"_"&amp;E2&amp;"_"&amp;H2&amp;"_"&amp;I2&amp;"_"&amp;J2</f>
        <v>40035_2_everyone_full_member_1</v>
      </c>
      <c r="B2" s="83">
        <v>40035</v>
      </c>
      <c r="C2" s="84" t="str">
        <f ca="1">VLOOKUP($B2,OFFSET([2]quests!$A$1,0,0,COUNTA([2]quests!$A:$A),MATCH(C$1,[2]quests!$1:$1,0)-MATCH($B$1,[2]quests!$1:$1,0)+1),MATCH(C$1,[2]quests!$1:$1,0)-MATCH($B$1,[2]quests!$1:$1,0)+1,FALSE)</f>
        <v>ブラフマー襲来！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降臨35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降臨35</v>
      </c>
      <c r="H2" s="86" t="s">
        <v>224</v>
      </c>
      <c r="I2" s="85" t="s">
        <v>253</v>
      </c>
      <c r="J2" s="85">
        <v>1</v>
      </c>
      <c r="K2" s="85">
        <v>100</v>
      </c>
      <c r="L2" s="85" t="s">
        <v>225</v>
      </c>
      <c r="M2" s="85">
        <v>1149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ブラフマー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226</v>
      </c>
      <c r="X2" s="100" t="s">
        <v>227</v>
      </c>
    </row>
    <row r="3" spans="1:24" x14ac:dyDescent="0.15">
      <c r="A3" s="97" t="str">
        <f>B3&amp;"_"&amp;E3&amp;"_"&amp;H3&amp;"_"&amp;I3&amp;"_"&amp;J3</f>
        <v>40035_2_everyone_no_continue_1</v>
      </c>
      <c r="B3" s="83">
        <v>40035</v>
      </c>
      <c r="C3" s="84" t="str">
        <f ca="1">VLOOKUP($B3,OFFSET([2]quests!$A$1,0,0,COUNTA([2]quests!$A:$A),MATCH(C$1,[2]quests!$1:$1,0)-MATCH($B$1,[2]quests!$1:$1,0)+1),MATCH(C$1,[2]quests!$1:$1,0)-MATCH($B$1,[2]quests!$1:$1,0)+1,FALSE)</f>
        <v>ブラフマー襲来！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降臨35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【ウィザード級】ブラフマー襲来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降臨35</v>
      </c>
      <c r="H3" s="86" t="s">
        <v>224</v>
      </c>
      <c r="I3" s="85" t="s">
        <v>228</v>
      </c>
      <c r="J3" s="85">
        <v>1</v>
      </c>
      <c r="K3" s="85">
        <v>100</v>
      </c>
      <c r="L3" s="85" t="s">
        <v>225</v>
      </c>
      <c r="M3" s="85">
        <v>1149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ブラフマー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99" t="s">
        <v>226</v>
      </c>
      <c r="X3" s="100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2017-03-28T02:19:26Z</dcterms:modified>
</cp:coreProperties>
</file>