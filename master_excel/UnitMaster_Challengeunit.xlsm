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3800" yWindow="640" windowWidth="25000" windowHeight="1526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チェックシート" sheetId="55" r:id="rId16"/>
  </sheets>
  <externalReferences>
    <externalReference r:id="rId17"/>
    <externalReference r:id="rId18"/>
    <externalReference r:id="rId19"/>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4" i="3" l="1"/>
  <c r="J3" i="3"/>
  <c r="J2" i="3"/>
  <c r="J13" i="3"/>
  <c r="H13" i="3"/>
  <c r="C13" i="3"/>
  <c r="F13" i="3"/>
  <c r="E13" i="3"/>
  <c r="D13" i="3"/>
  <c r="A13" i="3"/>
  <c r="E15" i="54"/>
  <c r="D15" i="54"/>
  <c r="B15" i="54"/>
  <c r="E14" i="54"/>
  <c r="D14" i="54"/>
  <c r="B14" i="54"/>
  <c r="E13" i="54"/>
  <c r="D13" i="54"/>
  <c r="B13" i="54"/>
  <c r="E12" i="54"/>
  <c r="D12" i="54"/>
  <c r="B12" i="54"/>
  <c r="E11" i="54"/>
  <c r="D11" i="54"/>
  <c r="B11" i="54"/>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5" i="58"/>
  <c r="U5" i="58"/>
  <c r="S3" i="58"/>
  <c r="S5" i="58"/>
  <c r="T5" i="58"/>
  <c r="R5" i="58"/>
  <c r="P5" i="58"/>
  <c r="O5" i="58"/>
  <c r="N5" i="58"/>
  <c r="M5" i="58"/>
  <c r="L5" i="58"/>
  <c r="J5" i="58"/>
  <c r="K5" i="58"/>
  <c r="I5" i="58"/>
  <c r="H5" i="58"/>
  <c r="F5" i="58"/>
  <c r="E5" i="58"/>
  <c r="D5" i="58"/>
  <c r="C5" i="58"/>
  <c r="B5" i="58"/>
  <c r="G4" i="58"/>
  <c r="U4" i="58"/>
  <c r="S2" i="58"/>
  <c r="S4" i="58"/>
  <c r="T4" i="58"/>
  <c r="R4" i="58"/>
  <c r="P4" i="58"/>
  <c r="O4" i="58"/>
  <c r="N4" i="58"/>
  <c r="M4" i="58"/>
  <c r="L4" i="58"/>
  <c r="J4" i="58"/>
  <c r="K4" i="58"/>
  <c r="I4" i="58"/>
  <c r="H4" i="58"/>
  <c r="F4" i="58"/>
  <c r="E4" i="58"/>
  <c r="D4" i="58"/>
  <c r="C4" i="58"/>
  <c r="B4" i="58"/>
  <c r="G3" i="58"/>
  <c r="U3" i="58"/>
  <c r="T3" i="58"/>
  <c r="R3" i="58"/>
  <c r="P3" i="58"/>
  <c r="O3" i="58"/>
  <c r="N3" i="58"/>
  <c r="M3" i="58"/>
  <c r="L3" i="58"/>
  <c r="J3" i="58"/>
  <c r="K3" i="58"/>
  <c r="I3" i="58"/>
  <c r="H3" i="58"/>
  <c r="F3" i="58"/>
  <c r="E3" i="58"/>
  <c r="D3" i="58"/>
  <c r="C3" i="58"/>
  <c r="B3" i="58"/>
  <c r="I2" i="56"/>
  <c r="F4" i="57"/>
  <c r="E4" i="57"/>
  <c r="B4" i="57"/>
  <c r="J5" i="3"/>
  <c r="H5" i="3"/>
  <c r="C5" i="3"/>
  <c r="F5" i="3"/>
  <c r="E5" i="3"/>
  <c r="D5" i="3"/>
  <c r="A5" i="3"/>
  <c r="C3" i="3"/>
  <c r="A3" i="3"/>
  <c r="D3" i="3"/>
  <c r="E3" i="3"/>
  <c r="F3" i="3"/>
  <c r="H3" i="3"/>
  <c r="A4" i="3"/>
  <c r="C4" i="3"/>
  <c r="D4" i="3"/>
  <c r="E4" i="3"/>
  <c r="F4" i="3"/>
  <c r="H4" i="3"/>
  <c r="H2" i="3"/>
  <c r="C2" i="3"/>
  <c r="D2" i="3"/>
  <c r="F2" i="57"/>
  <c r="E2" i="57"/>
  <c r="F3" i="57"/>
  <c r="E3" i="57"/>
  <c r="B3" i="57"/>
  <c r="B2" i="57"/>
  <c r="G2" i="58"/>
  <c r="U2" i="58"/>
  <c r="T2" i="58"/>
  <c r="R2" i="58"/>
  <c r="B2" i="58"/>
  <c r="E10" i="54"/>
  <c r="D10" i="54"/>
  <c r="B10" i="54"/>
  <c r="H3" i="23"/>
  <c r="G3" i="23"/>
  <c r="BC3" i="23"/>
  <c r="BD3" i="23"/>
  <c r="Q3" i="23"/>
  <c r="V3" i="23"/>
  <c r="W3" i="23"/>
  <c r="AD3" i="23"/>
  <c r="I3" i="23"/>
  <c r="M3" i="23"/>
  <c r="BN3" i="23"/>
  <c r="H4" i="23"/>
  <c r="G4" i="23"/>
  <c r="BC4" i="23"/>
  <c r="BD4" i="23"/>
  <c r="Q4" i="23"/>
  <c r="T4" i="23"/>
  <c r="W4" i="23"/>
  <c r="AB4" i="23"/>
  <c r="I4" i="23"/>
  <c r="K4" i="23"/>
  <c r="BL4" i="23"/>
  <c r="T3" i="23"/>
  <c r="AB3" i="23"/>
  <c r="K3" i="23"/>
  <c r="BL3" i="23"/>
  <c r="H2" i="23"/>
  <c r="G2" i="23"/>
  <c r="BC2" i="23"/>
  <c r="BD2" i="23"/>
  <c r="Q2" i="23"/>
  <c r="T2" i="23"/>
  <c r="W2" i="23"/>
  <c r="AB2" i="23"/>
  <c r="I2" i="23"/>
  <c r="K2" i="23"/>
  <c r="BL2" i="23"/>
  <c r="S4" i="23"/>
  <c r="AA4" i="23"/>
  <c r="J4" i="23"/>
  <c r="BK4" i="23"/>
  <c r="S3" i="23"/>
  <c r="AA3" i="23"/>
  <c r="J3" i="23"/>
  <c r="BK3" i="23"/>
  <c r="S2" i="23"/>
  <c r="AA2" i="23"/>
  <c r="J2" i="23"/>
  <c r="BK2" i="23"/>
  <c r="B2" i="54"/>
  <c r="B3" i="54"/>
  <c r="H4" i="53"/>
  <c r="G4" i="53"/>
  <c r="E4" i="53"/>
  <c r="K4" i="52"/>
  <c r="J4" i="52"/>
  <c r="H4" i="52"/>
  <c r="E4" i="52"/>
  <c r="B3" i="23"/>
  <c r="V4" i="23"/>
  <c r="AD4" i="23"/>
  <c r="M4" i="23"/>
  <c r="BN4" i="23"/>
  <c r="U4" i="23"/>
  <c r="AC4" i="23"/>
  <c r="L4" i="23"/>
  <c r="BM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G8" i="13"/>
  <c r="N4" i="23"/>
  <c r="F4" i="23"/>
  <c r="E4" i="23"/>
  <c r="D4" i="23"/>
  <c r="C4" i="23"/>
  <c r="B4" i="23"/>
  <c r="B2" i="23"/>
  <c r="AR3" i="23"/>
  <c r="AV3" i="23"/>
  <c r="U3" i="23"/>
  <c r="AC3" i="23"/>
  <c r="L3" i="23"/>
  <c r="BM3" i="23"/>
  <c r="BE3" i="23"/>
  <c r="BJ3" i="23"/>
  <c r="BI3" i="23"/>
  <c r="BH3" i="23"/>
  <c r="BG3" i="23"/>
  <c r="BF3" i="23"/>
  <c r="AX3" i="23"/>
  <c r="AW3" i="23"/>
  <c r="AU3" i="23"/>
  <c r="AS3" i="23"/>
  <c r="AQ3" i="23"/>
  <c r="AN3" i="23"/>
  <c r="AM3" i="23"/>
  <c r="AL3" i="23"/>
  <c r="AK3" i="23"/>
  <c r="AI3" i="23"/>
  <c r="AH3" i="23"/>
  <c r="AF3" i="23"/>
  <c r="Y3" i="23"/>
  <c r="Z3" i="23"/>
  <c r="X3" i="23"/>
  <c r="R3" i="23"/>
  <c r="P3" i="23"/>
  <c r="O3" i="23"/>
  <c r="N3" i="23"/>
  <c r="F3" i="23"/>
  <c r="E3" i="23"/>
  <c r="D3" i="23"/>
  <c r="C3" i="23"/>
  <c r="V2" i="23"/>
  <c r="AD2" i="23"/>
  <c r="M2" i="23"/>
  <c r="BN2" i="23"/>
  <c r="U2" i="23"/>
  <c r="AC2" i="23"/>
  <c r="L2" i="23"/>
  <c r="BM2" i="23"/>
  <c r="BE2" i="23"/>
  <c r="BJ2" i="23"/>
  <c r="BI2" i="23"/>
  <c r="BH2" i="23"/>
  <c r="BG2" i="23"/>
  <c r="BF2" i="23"/>
  <c r="AX2" i="23"/>
  <c r="AW2" i="23"/>
  <c r="AV2" i="23"/>
  <c r="AU2" i="23"/>
  <c r="AS2" i="23"/>
  <c r="AR2" i="23"/>
  <c r="AQ2" i="23"/>
  <c r="AN2" i="23"/>
  <c r="AM2" i="23"/>
  <c r="AL2" i="23"/>
  <c r="AK2" i="23"/>
  <c r="AI2" i="23"/>
  <c r="AH2" i="23"/>
  <c r="AF2" i="23"/>
  <c r="Y2" i="23"/>
  <c r="Z2" i="23"/>
  <c r="X2" i="23"/>
  <c r="R2" i="23"/>
  <c r="P2" i="23"/>
  <c r="O2" i="23"/>
  <c r="N2" i="23"/>
  <c r="F2" i="23"/>
  <c r="E2" i="23"/>
  <c r="D2" i="23"/>
  <c r="C2" i="23"/>
  <c r="P2" i="58"/>
  <c r="E9" i="54"/>
  <c r="E8" i="54"/>
  <c r="E7" i="54"/>
  <c r="E6" i="54"/>
  <c r="E5" i="54"/>
  <c r="E4" i="54"/>
  <c r="E3" i="54"/>
  <c r="E2" i="54"/>
  <c r="D9" i="54"/>
  <c r="B9" i="54"/>
  <c r="D8" i="54"/>
  <c r="B8" i="54"/>
  <c r="D5" i="54"/>
  <c r="B5" i="54"/>
  <c r="D4" i="54"/>
  <c r="B4" i="54"/>
  <c r="D3" i="54"/>
  <c r="D6" i="54"/>
  <c r="D7" i="54"/>
  <c r="B7" i="54"/>
  <c r="J2" i="52"/>
  <c r="G2" i="53"/>
  <c r="H2" i="53"/>
  <c r="H3" i="53"/>
  <c r="G3" i="53"/>
  <c r="E3" i="53"/>
  <c r="K3" i="52"/>
  <c r="J3" i="52"/>
  <c r="H3" i="52"/>
  <c r="E3" i="52"/>
  <c r="G9" i="13"/>
  <c r="K2" i="52"/>
  <c r="E3" i="49"/>
  <c r="E5" i="49"/>
  <c r="F2" i="3"/>
  <c r="E2" i="3"/>
  <c r="O2" i="58"/>
  <c r="N2" i="58"/>
  <c r="M2" i="58"/>
  <c r="L2" i="58"/>
  <c r="J2" i="58"/>
  <c r="K2" i="58"/>
  <c r="I2" i="58"/>
  <c r="H2" i="58"/>
  <c r="F2" i="58"/>
  <c r="E2" i="58"/>
  <c r="D2" i="58"/>
  <c r="C2" i="58"/>
  <c r="E15" i="49"/>
  <c r="E14" i="49"/>
  <c r="E13" i="49"/>
  <c r="G11" i="13"/>
  <c r="G10" i="13"/>
  <c r="G4" i="13"/>
  <c r="G3" i="13"/>
  <c r="G2" i="1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D2" i="54"/>
  <c r="B6" i="54"/>
  <c r="E2" i="53"/>
  <c r="H2" i="52"/>
  <c r="E2" i="52"/>
  <c r="E10" i="49"/>
  <c r="E9" i="49"/>
  <c r="E8" i="49"/>
  <c r="E7" i="49"/>
  <c r="E11" i="49"/>
  <c r="E12" i="49"/>
  <c r="E4" i="49"/>
  <c r="E6" i="49"/>
  <c r="E2" i="49"/>
</calcChain>
</file>

<file path=xl/sharedStrings.xml><?xml version="1.0" encoding="utf-8"?>
<sst xmlns="http://schemas.openxmlformats.org/spreadsheetml/2006/main" count="916" uniqueCount="369">
  <si>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</si>
  <si>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</si>
  <si>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</si>
  <si>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</si>
  <si>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</si>
  <si>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</si>
  <si>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</si>
  <si>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</si>
  <si>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</si>
  <si>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</si>
  <si>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</si>
  <si>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</si>
  <si>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</si>
  <si>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</si>
  <si>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</si>
  <si>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</si>
  <si>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</si>
  <si>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</si>
  <si>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</si>
  <si>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</si>
  <si>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</si>
  <si>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</si>
  <si>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</si>
  <si>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</si>
  <si>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</si>
  <si>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</si>
  <si>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</si>
  <si>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</si>
  <si>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</si>
  <si>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</si>
  <si>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</si>
  <si>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</si>
  <si>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</si>
  <si>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</si>
  <si>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</si>
  <si>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</si>
  <si>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</si>
  <si>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</si>
  <si>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</si>
  <si>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</si>
  <si>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</si>
  <si>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</si>
  <si>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</si>
  <si>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</si>
  <si>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</si>
  <si>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</si>
  <si>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</si>
  <si>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</si>
  <si>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</si>
  <si>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</si>
  <si>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</si>
  <si>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</si>
  <si>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</si>
  <si>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</si>
  <si>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</si>
  <si>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</si>
  <si>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</si>
  <si>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</si>
  <si>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</si>
  <si>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</si>
  <si>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</si>
  <si>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</si>
  <si>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</si>
  <si>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</si>
  <si>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</si>
  <si>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</si>
  <si>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</si>
  <si>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</si>
  <si>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</si>
  <si>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</si>
  <si>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</si>
  <si>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</si>
  <si>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</si>
  <si>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</si>
  <si>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</si>
  <si>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</si>
  <si>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</si>
  <si>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</si>
  <si>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</si>
  <si>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</si>
  <si>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</si>
  <si>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</si>
  <si>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</si>
  <si>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</si>
  <si>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</si>
  <si>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</si>
  <si>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</si>
  <si>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</si>
  <si>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</si>
  <si>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</si>
  <si>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</si>
  <si>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</si>
  <si>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</si>
  <si>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</si>
  <si>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</si>
  <si>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</si>
  <si>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</si>
  <si>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</si>
  <si>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</si>
  <si>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</si>
  <si>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</si>
  <si>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</si>
  <si>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</si>
  <si>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</si>
  <si>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</si>
  <si>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</si>
  <si>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</si>
  <si>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</si>
  <si>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</si>
  <si>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</si>
  <si>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</si>
  <si>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</si>
  <si>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</si>
  <si>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</si>
  <si>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</si>
  <si>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</si>
  <si>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</si>
  <si>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</si>
  <si>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</si>
  <si>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</si>
  <si>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</si>
  <si>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</si>
  <si>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</si>
  <si>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</si>
  <si>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</si>
  <si>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</si>
  <si>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</si>
  <si>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</si>
  <si>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</si>
  <si>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</si>
  <si>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</si>
  <si>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</si>
  <si>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</si>
  <si>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</si>
  <si>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</si>
  <si>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</si>
  <si>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</si>
  <si>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</si>
  <si>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</si>
  <si>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</si>
  <si>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</si>
  <si>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</si>
  <si>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</si>
  <si>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</si>
  <si>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</si>
  <si>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</si>
  <si>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</si>
  <si>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</si>
  <si>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</si>
  <si>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</si>
  <si>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</si>
  <si>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</si>
  <si>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</si>
  <si>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</si>
  <si>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</si>
  <si>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</si>
  <si>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</si>
  <si>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</si>
  <si>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</si>
  <si>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</si>
  <si>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</si>
  <si>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</si>
  <si>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</si>
  <si>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</si>
  <si>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</si>
  <si>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</si>
  <si>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</si>
  <si>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</si>
  <si>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</si>
  <si>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</si>
  <si>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</si>
  <si>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</si>
  <si>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</si>
  <si>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</si>
  <si>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</si>
  <si>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</si>
  <si>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</si>
  <si>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</si>
  <si>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</si>
  <si>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</si>
  <si>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</si>
  <si>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</si>
  <si>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</si>
  <si>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</si>
  <si>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</si>
  <si>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</si>
  <si>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</si>
  <si>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</si>
  <si>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</si>
  <si>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</si>
  <si>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</si>
  <si>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</si>
  <si>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</si>
  <si>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</si>
  <si>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</si>
  <si>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</si>
  <si>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</si>
  <si>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</si>
  <si>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</si>
  <si>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</si>
  <si>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</si>
  <si>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</si>
  <si>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</si>
  <si>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</si>
  <si>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</si>
  <si>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</si>
  <si>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</si>
  <si>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</si>
  <si>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</si>
  <si>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</si>
  <si>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</si>
  <si>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</si>
  <si>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</si>
  <si>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</si>
  <si>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</si>
  <si>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</si>
  <si>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</si>
  <si>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</si>
  <si>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</si>
  <si>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</si>
  <si>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</si>
  <si>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</si>
  <si>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</si>
  <si>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</si>
  <si>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</si>
  <si>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</si>
  <si>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</si>
  <si>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</si>
  <si>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</si>
  <si>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</si>
  <si>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</si>
  <si>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</si>
  <si>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</si>
  <si>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</si>
  <si>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</si>
  <si>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</si>
  <si>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</si>
  <si>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</si>
  <si>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</si>
  <si>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</si>
  <si>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</si>
  <si>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</si>
  <si>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</si>
  <si>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</si>
  <si>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</si>
  <si>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</si>
  <si>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</si>
  <si>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</si>
  <si>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</si>
  <si>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</si>
  <si>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</si>
  <si>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</si>
  <si>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</si>
  <si>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</si>
  <si>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</si>
  <si>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</si>
  <si>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</si>
  <si>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</si>
  <si>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</si>
  <si>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</si>
  <si>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</si>
  <si>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</si>
  <si>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</si>
  <si>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</si>
  <si>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</si>
  <si>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</si>
  <si>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</si>
  <si>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</si>
  <si>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</si>
  <si>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</si>
  <si>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</si>
  <si>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</si>
  <si>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</si>
  <si>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</si>
  <si>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</si>
  <si>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</si>
  <si>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</si>
  <si>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</si>
  <si>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</si>
  <si>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</si>
  <si>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</si>
  <si>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</si>
  <si>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</si>
  <si>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</si>
  <si>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</si>
  <si>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</si>
  <si>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</si>
  <si>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</si>
  <si>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</si>
  <si>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</si>
  <si>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</si>
  <si>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</si>
  <si>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</si>
  <si>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</si>
  <si>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</si>
  <si>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</si>
  <si>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</si>
  <si>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</si>
  <si>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</si>
  <si>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</si>
  <si>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</si>
  <si>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</si>
  <si>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</si>
  <si>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</si>
  <si>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</si>
  <si>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</si>
  <si>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</si>
  <si>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</si>
  <si>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</si>
  <si>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</si>
  <si>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</si>
  <si>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</si>
  <si>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</si>
  <si>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</si>
  <si>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</si>
  <si>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old</t>
  </si>
  <si>
    <t>giza</t>
  </si>
  <si>
    <t>bug</t>
    <phoneticPr fontId="22"/>
  </si>
  <si>
    <t>1体に大ダメージ</t>
    <phoneticPr fontId="22"/>
  </si>
  <si>
    <t>1体に大ダメージ</t>
    <phoneticPr fontId="22"/>
  </si>
  <si>
    <t>old</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</si>
  <si>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</si>
  <si>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</si>
  <si>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</si>
  <si>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</si>
  <si>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</si>
  <si>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</si>
  <si>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</si>
  <si>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</si>
  <si>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</si>
  <si>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</si>
  <si>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</si>
  <si>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challengeunit</t>
    <phoneticPr fontId="22"/>
  </si>
  <si>
    <t>abilities_i18n_</t>
    <phoneticPr fontId="22"/>
  </si>
  <si>
    <t>ja</t>
    <phoneticPr fontId="22"/>
  </si>
  <si>
    <t>1.7.0</t>
    <phoneticPr fontId="22"/>
  </si>
  <si>
    <t>[effect:damage_up, target:myself, val:2.9, turn:1, type01:all, option:killer]</t>
    <phoneticPr fontId="22"/>
  </si>
  <si>
    <t>0</t>
    <phoneticPr fontId="22"/>
  </si>
  <si>
    <t>abilities_tmp_</t>
    <phoneticPr fontId="22"/>
  </si>
  <si>
    <t>1体に超大ダメージ</t>
    <phoneticPr fontId="22"/>
  </si>
  <si>
    <t>フロート・フラックス・フリー</t>
    <phoneticPr fontId="22"/>
  </si>
  <si>
    <t>フロート・フラックス・ゼロ</t>
    <phoneticPr fontId="22"/>
  </si>
  <si>
    <t>ニュートン・ディシプリン</t>
    <phoneticPr fontId="22"/>
  </si>
  <si>
    <t>ニュートン・ティーチング</t>
    <phoneticPr fontId="22"/>
  </si>
  <si>
    <t>浮遊感を味わってクダサイ</t>
    <phoneticPr fontId="22"/>
  </si>
  <si>
    <t>基礎からやり直しデスネ</t>
    <phoneticPr fontId="22"/>
  </si>
  <si>
    <t>ワタシ、名誉守りマス！</t>
    <phoneticPr fontId="22"/>
  </si>
  <si>
    <t>じっくり教えてあげマス</t>
    <phoneticPr fontId="22"/>
  </si>
  <si>
    <t>自由には代償が必要デスネ</t>
    <phoneticPr fontId="22"/>
  </si>
  <si>
    <t>研鑽の成果デスヨ〜！</t>
    <phoneticPr fontId="22"/>
  </si>
  <si>
    <t>ぶっ飛んじゃってクダサイ！</t>
    <phoneticPr fontId="22"/>
  </si>
  <si>
    <t>みっちり指導しマスヨ〜！</t>
    <phoneticPr fontId="22"/>
  </si>
  <si>
    <t>kumo</t>
    <phoneticPr fontId="22"/>
  </si>
  <si>
    <t>緑パネルを赤ボムパネルに変換+Cパネル特大強化、1ターン全ユニットのCパネル生成短縮(特大)</t>
    <phoneticPr fontId="22"/>
  </si>
  <si>
    <t>緑パネルを赤ボムパネルに変換+Cパネル特大強化、2ターン全ユニットのCパネル生成短縮(特大)</t>
    <phoneticPr fontId="22"/>
  </si>
  <si>
    <t>チューリングチャレンジ ダメージUP</t>
    <phoneticPr fontId="22"/>
  </si>
  <si>
    <t>[effect:force_change_block, new_block:crack_bomb, target:block_blue,color:block_red , count:0, val:12, animation:change_block],[effect:enhance_unit, target:unit_red, turn:3, status:attack, val:0.21, calc:mul, animation:enhance_unit_all_attack04],[effect:enhance_unit, target:unit_red, turn:3, status:heal, val:0.45, calc:mul, animation:enhance_unit_all_heal04],[effect:enhance_unit, target:unit_red, turn:3, status:action, val:1.0, calc:add, animation:enhance_unit_one_action01]</t>
    <phoneticPr fontId="22"/>
  </si>
  <si>
    <t>[effect:damage, target:enemy_one, color:red, val:2.5, animation:damage_one_red04]</t>
    <phoneticPr fontId="22"/>
  </si>
  <si>
    <t>[effect:damage, target:enemy_one, color:red, val:2.0, animation:damage_one_red03]</t>
    <phoneticPr fontId="22"/>
  </si>
  <si>
    <t>青パネルを赤ボムパネルに変換、3ターンの間赤属性の攻撃力と回復力を特大UPし、タップ回数を1増やす</t>
    <phoneticPr fontId="22"/>
  </si>
  <si>
    <t>チューリングチャレンジ内で自身の全ての攻撃の威力を究極UP</t>
    <phoneticPr fontId="22"/>
  </si>
  <si>
    <t>[effect:force_change_block, new_block:crack_bomb, target:block_green,color:block_red, count:0, val:12, animation:change_block],[effect:crash_growth,count:-1, val:3, animation:change_block],[effect:crash_condition, target:unit_all, turn:1, val:-4, animation:crash_panel_reduce04]</t>
    <phoneticPr fontId="22"/>
  </si>
  <si>
    <t>[effect:force_change_block, new_block:crack_bomb, target:block_green,color:block_red, count:0, val:12, animation:change_block],[effect:crash_growth,count:-1, val:3, animation:change_block],[effect:crash_condition, target:unit_all, turn:2, val:-4, animation:crash_panel_reduce04]</t>
    <phoneticPr fontId="22"/>
  </si>
  <si>
    <t>sell_ghosts</t>
    <phoneticPr fontId="10"/>
  </si>
  <si>
    <t>sell_ghosts</t>
    <phoneticPr fontId="22"/>
  </si>
  <si>
    <t>フロート・フラックス</t>
    <phoneticPr fontId="22"/>
  </si>
  <si>
    <t>[condition:enclose,[condition:quest_id,quest:60027],[condition:unit_attack_target],logic:and]</t>
    <phoneticPr fontId="22"/>
  </si>
  <si>
    <t>クエスト特攻</t>
    <phoneticPr fontId="22"/>
  </si>
  <si>
    <t>category</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</si>
</sst>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49" fontId="12" fillId="0" borderId="4" xfId="0" applyNumberFormat="1" applyFont="1" applyFill="1" applyBorder="1" applyAlignment="1">
      <alignment vertical="center"/>
    </xf>
    <xf numFmtId="0" fontId="12" fillId="0" borderId="4" xfId="0" applyFont="1" applyFill="1" applyBorder="1" applyAlignment="1">
      <alignment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12" fillId="22" borderId="4" xfId="0" applyNumberFormat="1" applyFont="1" applyFill="1" applyBorder="1" applyAlignment="1">
      <alignment vertic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0" borderId="4" xfId="0" applyFont="1" applyFill="1" applyBorder="1"/>
    <xf numFmtId="0" fontId="13" fillId="0" borderId="0" xfId="0" applyFont="1" applyAlignment="1">
      <alignment vertical="center"/>
    </xf>
    <xf numFmtId="49" fontId="12" fillId="0" borderId="4" xfId="0" applyNumberFormat="1" applyFont="1" applyFill="1" applyBorder="1" applyAlignment="1">
      <alignment vertical="center" wrapText="1"/>
    </xf>
    <xf numFmtId="0" fontId="25" fillId="0" borderId="7" xfId="0" applyFont="1" applyFill="1" applyBorder="1" applyAlignment="1">
      <alignment vertical="center" wrapText="1"/>
    </xf>
    <xf numFmtId="0" fontId="0" fillId="25" borderId="4" xfId="0" applyFill="1" applyBorder="1" applyAlignment="1">
      <alignment horizont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G23" sqref="G23"/>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7" t="s">
        <v>125</v>
      </c>
      <c r="B1" s="107" t="s">
        <v>116</v>
      </c>
      <c r="C1" s="107" t="s">
        <v>117</v>
      </c>
      <c r="D1" s="107" t="s">
        <v>118</v>
      </c>
      <c r="E1" s="107" t="s">
        <v>119</v>
      </c>
      <c r="F1" s="107" t="s">
        <v>120</v>
      </c>
      <c r="G1" s="107" t="s">
        <v>121</v>
      </c>
      <c r="H1" s="107"/>
      <c r="I1" s="107"/>
      <c r="J1" s="107"/>
      <c r="K1" s="107"/>
      <c r="L1" s="108"/>
      <c r="M1" s="108"/>
      <c r="N1" s="108"/>
      <c r="O1" s="108"/>
      <c r="P1" s="108"/>
      <c r="Q1" s="108"/>
      <c r="R1" s="108"/>
      <c r="S1" s="108"/>
      <c r="T1" s="108"/>
      <c r="U1" s="108"/>
      <c r="V1" s="108"/>
      <c r="W1" s="108"/>
    </row>
    <row r="2" spans="1:29" x14ac:dyDescent="0.15">
      <c r="A2" s="109" t="s">
        <v>315</v>
      </c>
      <c r="B2" s="109" t="s">
        <v>129</v>
      </c>
      <c r="C2" s="167" t="s">
        <v>321</v>
      </c>
      <c r="D2" s="109" t="s">
        <v>128</v>
      </c>
      <c r="E2" s="108" t="str">
        <f>B2&amp;C2&amp;D2</f>
        <v>units_challengeunit.tmp</v>
      </c>
      <c r="F2" s="109" t="s">
        <v>124</v>
      </c>
      <c r="G2" s="63" t="s">
        <v>17</v>
      </c>
      <c r="H2" s="64" t="s">
        <v>96</v>
      </c>
      <c r="I2" s="64" t="s">
        <v>1</v>
      </c>
      <c r="J2" s="64" t="s">
        <v>3</v>
      </c>
      <c r="K2" s="64" t="s">
        <v>2</v>
      </c>
      <c r="L2" s="64" t="s">
        <v>98</v>
      </c>
      <c r="M2" s="64" t="s">
        <v>20</v>
      </c>
      <c r="N2" s="64" t="s">
        <v>103</v>
      </c>
      <c r="O2" s="64" t="s">
        <v>101</v>
      </c>
      <c r="P2" s="64" t="s">
        <v>39</v>
      </c>
      <c r="Q2" s="64" t="s">
        <v>57</v>
      </c>
      <c r="R2" s="109" t="s">
        <v>364</v>
      </c>
      <c r="S2" s="109"/>
      <c r="T2" s="109"/>
      <c r="U2" s="109"/>
      <c r="V2" s="109"/>
      <c r="W2" s="109"/>
    </row>
    <row r="3" spans="1:29" x14ac:dyDescent="0.15">
      <c r="A3" s="109" t="s">
        <v>315</v>
      </c>
      <c r="B3" s="109" t="s">
        <v>293</v>
      </c>
      <c r="C3" s="167" t="s">
        <v>322</v>
      </c>
      <c r="D3" s="109" t="s">
        <v>128</v>
      </c>
      <c r="E3" s="108" t="str">
        <f>B3&amp;C3&amp;D3</f>
        <v>fork_awake_units_challengeunit.tmp</v>
      </c>
      <c r="F3" s="109" t="s">
        <v>294</v>
      </c>
      <c r="G3" s="63" t="s">
        <v>17</v>
      </c>
      <c r="H3" s="64" t="s">
        <v>295</v>
      </c>
      <c r="I3" s="64" t="s">
        <v>296</v>
      </c>
      <c r="J3" s="64" t="s">
        <v>297</v>
      </c>
      <c r="K3" s="112"/>
      <c r="L3" s="112"/>
      <c r="M3" s="112"/>
      <c r="N3" s="112"/>
      <c r="O3" s="112"/>
      <c r="P3" s="112"/>
      <c r="Q3" s="112"/>
      <c r="R3" s="112"/>
      <c r="S3" s="112"/>
      <c r="T3" s="112"/>
      <c r="U3" s="112"/>
      <c r="V3" s="112"/>
      <c r="W3" s="112"/>
    </row>
    <row r="4" spans="1:29" x14ac:dyDescent="0.15">
      <c r="A4" s="109" t="s">
        <v>315</v>
      </c>
      <c r="B4" s="109" t="s">
        <v>130</v>
      </c>
      <c r="C4" s="167" t="s">
        <v>323</v>
      </c>
      <c r="D4" s="109" t="s">
        <v>128</v>
      </c>
      <c r="E4" s="108" t="str">
        <f>B4&amp;C4&amp;D4</f>
        <v>awake_materials_challengeunit.tmp</v>
      </c>
      <c r="F4" s="109" t="s">
        <v>123</v>
      </c>
      <c r="G4" s="110" t="s">
        <v>38</v>
      </c>
      <c r="H4" s="111" t="s">
        <v>36</v>
      </c>
      <c r="I4" s="111" t="s">
        <v>37</v>
      </c>
      <c r="J4" s="113" t="s">
        <v>126</v>
      </c>
      <c r="K4" s="112"/>
      <c r="L4" s="112"/>
      <c r="M4" s="112"/>
      <c r="N4" s="112"/>
      <c r="O4" s="112"/>
      <c r="P4" s="112"/>
      <c r="Q4" s="112"/>
      <c r="R4" s="112"/>
      <c r="S4" s="112"/>
      <c r="T4" s="112"/>
      <c r="U4" s="112"/>
      <c r="V4" s="112"/>
      <c r="W4" s="112"/>
    </row>
    <row r="5" spans="1:29" x14ac:dyDescent="0.15">
      <c r="A5" s="109" t="s">
        <v>315</v>
      </c>
      <c r="B5" s="109" t="s">
        <v>292</v>
      </c>
      <c r="C5" s="167" t="s">
        <v>321</v>
      </c>
      <c r="D5" s="109" t="s">
        <v>128</v>
      </c>
      <c r="E5" s="108" t="str">
        <f>B5&amp;C5&amp;D5</f>
        <v>fork_awake_materials_challengeunit.tmp</v>
      </c>
      <c r="F5" s="109" t="s">
        <v>123</v>
      </c>
      <c r="G5" s="189" t="s">
        <v>298</v>
      </c>
      <c r="H5" s="189" t="s">
        <v>299</v>
      </c>
      <c r="I5" s="189" t="s">
        <v>36</v>
      </c>
      <c r="J5" s="189" t="s">
        <v>37</v>
      </c>
      <c r="K5" s="189" t="s">
        <v>300</v>
      </c>
      <c r="L5" s="189" t="s">
        <v>301</v>
      </c>
      <c r="M5" s="112"/>
      <c r="N5" s="112"/>
      <c r="O5" s="112"/>
      <c r="P5" s="112"/>
      <c r="Q5" s="112"/>
      <c r="R5" s="112"/>
      <c r="S5" s="112"/>
      <c r="T5" s="112"/>
      <c r="U5" s="112"/>
      <c r="V5" s="112"/>
      <c r="W5" s="112"/>
    </row>
    <row r="6" spans="1:29" x14ac:dyDescent="0.15">
      <c r="A6" s="109" t="s">
        <v>315</v>
      </c>
      <c r="B6" s="109" t="s">
        <v>131</v>
      </c>
      <c r="C6" s="167" t="s">
        <v>324</v>
      </c>
      <c r="D6" s="109" t="s">
        <v>132</v>
      </c>
      <c r="E6" s="108" t="str">
        <f t="shared" ref="E6" si="0">B6&amp;C6&amp;D6</f>
        <v>unit_levels_calc_challengeunit.tmp</v>
      </c>
      <c r="F6" s="109" t="s">
        <v>122</v>
      </c>
      <c r="G6" s="59" t="s">
        <v>17</v>
      </c>
      <c r="H6" s="60" t="s">
        <v>2</v>
      </c>
      <c r="I6" s="61" t="s">
        <v>79</v>
      </c>
      <c r="J6" s="61" t="s">
        <v>80</v>
      </c>
      <c r="K6" s="61" t="s">
        <v>81</v>
      </c>
      <c r="L6" s="61" t="s">
        <v>82</v>
      </c>
      <c r="M6" s="61" t="s">
        <v>87</v>
      </c>
      <c r="N6" s="61" t="s">
        <v>88</v>
      </c>
      <c r="O6" s="61" t="s">
        <v>89</v>
      </c>
      <c r="P6" s="61" t="s">
        <v>90</v>
      </c>
      <c r="Q6" s="61" t="s">
        <v>91</v>
      </c>
      <c r="R6" s="61" t="s">
        <v>94</v>
      </c>
      <c r="S6" s="61" t="s">
        <v>92</v>
      </c>
      <c r="T6" s="61" t="s">
        <v>93</v>
      </c>
      <c r="U6" s="61" t="s">
        <v>83</v>
      </c>
      <c r="V6" s="61" t="s">
        <v>84</v>
      </c>
      <c r="W6" s="61" t="s">
        <v>85</v>
      </c>
    </row>
    <row r="7" spans="1:29" x14ac:dyDescent="0.15">
      <c r="A7" s="109" t="s">
        <v>315</v>
      </c>
      <c r="B7" s="109" t="s">
        <v>143</v>
      </c>
      <c r="C7" s="167" t="s">
        <v>325</v>
      </c>
      <c r="D7" s="109" t="s">
        <v>144</v>
      </c>
      <c r="E7" s="108" t="str">
        <f>B7&amp;C7&amp;D7</f>
        <v>unit_skills_data_challengeunit.tmp</v>
      </c>
      <c r="F7" s="109" t="s">
        <v>145</v>
      </c>
      <c r="G7" s="117" t="s">
        <v>20</v>
      </c>
      <c r="H7" s="117" t="s">
        <v>146</v>
      </c>
      <c r="I7" s="117" t="s">
        <v>2</v>
      </c>
      <c r="J7" s="117" t="s">
        <v>147</v>
      </c>
      <c r="K7" s="117" t="s">
        <v>148</v>
      </c>
      <c r="L7" s="117" t="s">
        <v>4</v>
      </c>
      <c r="M7" s="61"/>
      <c r="N7" s="61"/>
      <c r="O7" s="61"/>
      <c r="P7" s="61"/>
      <c r="Q7" s="61"/>
      <c r="R7" s="61"/>
      <c r="S7" s="61"/>
      <c r="T7" s="61"/>
      <c r="U7" s="61"/>
      <c r="V7" s="61"/>
      <c r="W7" s="61"/>
    </row>
    <row r="8" spans="1:29" x14ac:dyDescent="0.15">
      <c r="A8" s="109" t="s">
        <v>315</v>
      </c>
      <c r="B8" s="109" t="s">
        <v>149</v>
      </c>
      <c r="C8" s="167" t="s">
        <v>326</v>
      </c>
      <c r="D8" s="109" t="s">
        <v>128</v>
      </c>
      <c r="E8" s="108" t="str">
        <f>B8&amp;C8&amp;D8</f>
        <v>unit_skills_i18n_challengeunit.tmp</v>
      </c>
      <c r="F8" s="109" t="s">
        <v>145</v>
      </c>
      <c r="G8" s="117" t="s">
        <v>150</v>
      </c>
      <c r="H8" s="117" t="s">
        <v>134</v>
      </c>
      <c r="I8" s="117" t="s">
        <v>151</v>
      </c>
      <c r="J8" s="117" t="s">
        <v>152</v>
      </c>
      <c r="K8" s="112"/>
      <c r="L8" s="112"/>
      <c r="M8" s="61"/>
      <c r="N8" s="61"/>
      <c r="O8" s="61"/>
      <c r="P8" s="61"/>
      <c r="Q8" s="61"/>
      <c r="R8" s="61"/>
      <c r="S8" s="61"/>
      <c r="T8" s="61"/>
      <c r="U8" s="61"/>
      <c r="V8" s="61"/>
      <c r="W8" s="61"/>
    </row>
    <row r="9" spans="1:29" x14ac:dyDescent="0.15">
      <c r="A9" s="109" t="s">
        <v>315</v>
      </c>
      <c r="B9" s="109" t="s">
        <v>153</v>
      </c>
      <c r="C9" s="167" t="s">
        <v>327</v>
      </c>
      <c r="D9" s="109" t="s">
        <v>154</v>
      </c>
      <c r="E9" s="108" t="str">
        <f>B9&amp;C9&amp;D9</f>
        <v>crash_skills_data_challengeunit.tmp</v>
      </c>
      <c r="F9" s="109" t="s">
        <v>155</v>
      </c>
      <c r="G9" s="117" t="s">
        <v>156</v>
      </c>
      <c r="H9" s="117" t="s">
        <v>148</v>
      </c>
      <c r="I9" s="117" t="s">
        <v>4</v>
      </c>
      <c r="J9" s="112"/>
      <c r="K9" s="112"/>
      <c r="L9" s="112"/>
      <c r="M9" s="61"/>
      <c r="N9" s="61"/>
      <c r="O9" s="61"/>
      <c r="P9" s="61"/>
      <c r="Q9" s="61"/>
      <c r="R9" s="61"/>
      <c r="S9" s="61"/>
      <c r="T9" s="61"/>
      <c r="U9" s="61"/>
      <c r="V9" s="61"/>
      <c r="W9" s="61"/>
    </row>
    <row r="10" spans="1:29" x14ac:dyDescent="0.15">
      <c r="A10" s="109" t="s">
        <v>315</v>
      </c>
      <c r="B10" s="109" t="s">
        <v>157</v>
      </c>
      <c r="C10" s="167" t="s">
        <v>328</v>
      </c>
      <c r="D10" s="109" t="s">
        <v>158</v>
      </c>
      <c r="E10" s="108" t="str">
        <f t="shared" ref="E10" si="1">B10&amp;C10&amp;D10</f>
        <v>crash_skills_i18n_challengeunit.tmp</v>
      </c>
      <c r="F10" s="109" t="s">
        <v>155</v>
      </c>
      <c r="G10" s="117" t="s">
        <v>159</v>
      </c>
      <c r="H10" s="117" t="s">
        <v>160</v>
      </c>
      <c r="I10" s="117" t="s">
        <v>161</v>
      </c>
      <c r="J10" s="117" t="s">
        <v>162</v>
      </c>
      <c r="K10" s="118"/>
      <c r="L10" s="118"/>
      <c r="M10" s="61"/>
      <c r="N10" s="61"/>
      <c r="O10" s="61"/>
      <c r="P10" s="61"/>
      <c r="Q10" s="61"/>
      <c r="R10" s="61"/>
      <c r="S10" s="61"/>
      <c r="T10" s="61"/>
      <c r="U10" s="61"/>
      <c r="V10" s="61"/>
      <c r="W10" s="61"/>
    </row>
    <row r="11" spans="1:29" x14ac:dyDescent="0.15">
      <c r="A11" s="109" t="s">
        <v>315</v>
      </c>
      <c r="B11" s="112" t="s">
        <v>135</v>
      </c>
      <c r="C11" s="167" t="s">
        <v>329</v>
      </c>
      <c r="D11" s="109" t="s">
        <v>158</v>
      </c>
      <c r="E11" s="108" t="str">
        <f t="shared" ref="E11:E12" si="2">B11&amp;C11&amp;D11</f>
        <v>unit_serifs_data_challengeunit.tmp</v>
      </c>
      <c r="F11" s="112" t="s">
        <v>137</v>
      </c>
      <c r="G11" s="116" t="s">
        <v>138</v>
      </c>
      <c r="H11" s="117" t="s">
        <v>139</v>
      </c>
      <c r="I11" s="117" t="s">
        <v>133</v>
      </c>
      <c r="J11" s="115" t="s">
        <v>190</v>
      </c>
      <c r="K11" s="109"/>
      <c r="L11" s="109"/>
      <c r="M11" s="109"/>
      <c r="N11" s="109"/>
      <c r="O11" s="109"/>
      <c r="P11" s="109"/>
      <c r="Q11" s="109"/>
      <c r="R11" s="109"/>
      <c r="S11" s="109"/>
      <c r="T11" s="109"/>
      <c r="U11" s="109"/>
      <c r="V11" s="109"/>
      <c r="W11" s="109"/>
    </row>
    <row r="12" spans="1:29" x14ac:dyDescent="0.15">
      <c r="A12" s="109" t="s">
        <v>315</v>
      </c>
      <c r="B12" s="112" t="s">
        <v>136</v>
      </c>
      <c r="C12" s="167" t="s">
        <v>330</v>
      </c>
      <c r="D12" s="109" t="s">
        <v>158</v>
      </c>
      <c r="E12" s="108" t="str">
        <f t="shared" si="2"/>
        <v>unit_serifs_i18n_challengeunit.tmp</v>
      </c>
      <c r="F12" s="112" t="s">
        <v>137</v>
      </c>
      <c r="G12" s="116" t="s">
        <v>140</v>
      </c>
      <c r="H12" s="117" t="s">
        <v>141</v>
      </c>
      <c r="I12" s="117" t="s">
        <v>142</v>
      </c>
      <c r="J12" s="109"/>
      <c r="K12" s="109"/>
      <c r="L12" s="109"/>
      <c r="M12" s="109"/>
      <c r="N12" s="109"/>
      <c r="O12" s="109"/>
      <c r="P12" s="109"/>
      <c r="Q12" s="109"/>
      <c r="R12" s="109"/>
      <c r="S12" s="109"/>
      <c r="T12" s="109"/>
      <c r="U12" s="109"/>
      <c r="V12" s="109"/>
      <c r="W12" s="109"/>
    </row>
    <row r="13" spans="1:29" x14ac:dyDescent="0.15">
      <c r="A13" s="109" t="s">
        <v>320</v>
      </c>
      <c r="B13" s="109" t="s">
        <v>338</v>
      </c>
      <c r="C13" s="167" t="s">
        <v>324</v>
      </c>
      <c r="D13" s="109" t="s">
        <v>253</v>
      </c>
      <c r="E13" s="108" t="str">
        <f>B13&amp;C13&amp;D13</f>
        <v>abilities_tmp_challengeunit.tmp</v>
      </c>
      <c r="F13" s="109" t="s">
        <v>254</v>
      </c>
      <c r="G13" s="168" t="s">
        <v>255</v>
      </c>
      <c r="H13" s="168" t="s">
        <v>256</v>
      </c>
      <c r="I13" s="168" t="s">
        <v>257</v>
      </c>
      <c r="J13" s="168"/>
      <c r="K13" s="169"/>
      <c r="L13" s="109"/>
      <c r="M13" s="109"/>
      <c r="N13" s="109"/>
      <c r="O13" s="109"/>
      <c r="P13" s="109"/>
      <c r="Q13" s="109"/>
      <c r="R13" s="109"/>
      <c r="S13" s="109"/>
      <c r="T13" s="109"/>
      <c r="U13" s="109"/>
      <c r="V13" s="109"/>
      <c r="W13" s="109"/>
      <c r="X13" s="109"/>
      <c r="Y13" s="109"/>
      <c r="Z13" s="109"/>
      <c r="AA13" s="109"/>
      <c r="AB13" s="109"/>
      <c r="AC13" s="109"/>
    </row>
    <row r="14" spans="1:29" x14ac:dyDescent="0.15">
      <c r="A14" s="109" t="s">
        <v>315</v>
      </c>
      <c r="B14" s="109" t="s">
        <v>333</v>
      </c>
      <c r="C14" s="167" t="s">
        <v>331</v>
      </c>
      <c r="D14" s="109" t="s">
        <v>128</v>
      </c>
      <c r="E14" s="108" t="str">
        <f>B14&amp;C14&amp;D14</f>
        <v>abilities_i18n_challengeunit.tmp</v>
      </c>
      <c r="F14" s="109" t="s">
        <v>258</v>
      </c>
      <c r="G14" s="168" t="s">
        <v>255</v>
      </c>
      <c r="H14" s="168" t="s">
        <v>141</v>
      </c>
      <c r="I14" s="168" t="s">
        <v>259</v>
      </c>
      <c r="J14" s="168" t="s">
        <v>152</v>
      </c>
      <c r="K14" s="199" t="s">
        <v>368</v>
      </c>
      <c r="L14" s="109"/>
      <c r="M14" s="109"/>
      <c r="N14" s="109"/>
      <c r="O14" s="109"/>
      <c r="P14" s="109"/>
      <c r="Q14" s="109"/>
      <c r="R14" s="109"/>
      <c r="S14" s="109"/>
      <c r="T14" s="109"/>
      <c r="U14" s="109"/>
      <c r="V14" s="109"/>
      <c r="W14" s="109"/>
      <c r="X14" s="109"/>
      <c r="Y14" s="109"/>
      <c r="Z14" s="109"/>
      <c r="AA14" s="109"/>
      <c r="AB14" s="109"/>
      <c r="AC14" s="109"/>
    </row>
    <row r="15" spans="1:29" x14ac:dyDescent="0.15">
      <c r="A15" s="109" t="s">
        <v>315</v>
      </c>
      <c r="B15" s="109" t="s">
        <v>260</v>
      </c>
      <c r="C15" s="167" t="s">
        <v>332</v>
      </c>
      <c r="D15" s="109" t="s">
        <v>128</v>
      </c>
      <c r="E15" s="108" t="str">
        <f>B15&amp;C15&amp;D15</f>
        <v>unit_abilities_challengeunit.tmp</v>
      </c>
      <c r="F15" s="109" t="s">
        <v>261</v>
      </c>
      <c r="G15" s="168" t="s">
        <v>138</v>
      </c>
      <c r="H15" s="170" t="s">
        <v>262</v>
      </c>
      <c r="I15" s="170" t="s">
        <v>263</v>
      </c>
      <c r="J15" s="171" t="s">
        <v>264</v>
      </c>
      <c r="K15" s="168" t="s">
        <v>265</v>
      </c>
      <c r="L15" s="109"/>
      <c r="M15" s="109"/>
      <c r="N15" s="109"/>
      <c r="O15" s="109"/>
      <c r="P15" s="109"/>
      <c r="Q15" s="109"/>
      <c r="R15" s="109"/>
      <c r="S15" s="109"/>
      <c r="T15" s="109"/>
      <c r="U15" s="109"/>
      <c r="V15" s="109"/>
      <c r="W15" s="109"/>
      <c r="X15" s="109"/>
      <c r="Y15" s="109"/>
      <c r="Z15" s="109"/>
      <c r="AA15" s="109"/>
      <c r="AB15" s="109"/>
      <c r="AC15" s="109"/>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4"/>
  <sheetViews>
    <sheetView showGridLines="0" workbookViewId="0">
      <pane xSplit="9" ySplit="1" topLeftCell="BP2" activePane="bottomRight" state="frozen"/>
      <selection pane="topRight" activeCell="J1" sqref="J1"/>
      <selection pane="bottomLeft" activeCell="A3" sqref="A3"/>
      <selection pane="bottomRight" activeCell="BR1" sqref="BR1:BR4"/>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lapsed="1"/>
    <col min="19" max="19" width="12.33203125" style="13" hidden="1" customWidth="1" outlineLevel="1"/>
    <col min="20" max="22" width="13.6640625" style="13" hidden="1"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6"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1" t="s">
        <v>108</v>
      </c>
      <c r="B1" s="83" t="s">
        <v>44</v>
      </c>
      <c r="C1" s="86" t="s">
        <v>27</v>
      </c>
      <c r="D1" s="86" t="s">
        <v>30</v>
      </c>
      <c r="E1" s="86" t="s">
        <v>28</v>
      </c>
      <c r="F1" s="86" t="s">
        <v>29</v>
      </c>
      <c r="G1" s="81" t="s">
        <v>1</v>
      </c>
      <c r="H1" s="84" t="s">
        <v>19</v>
      </c>
      <c r="I1" s="85" t="s">
        <v>0</v>
      </c>
      <c r="J1" s="87" t="s">
        <v>49</v>
      </c>
      <c r="K1" s="87" t="s">
        <v>48</v>
      </c>
      <c r="L1" s="87" t="s">
        <v>50</v>
      </c>
      <c r="M1" s="87" t="s">
        <v>51</v>
      </c>
      <c r="N1" s="81" t="s">
        <v>3</v>
      </c>
      <c r="O1" s="88" t="s">
        <v>2</v>
      </c>
      <c r="P1" s="81" t="s">
        <v>97</v>
      </c>
      <c r="Q1" s="89" t="s">
        <v>18</v>
      </c>
      <c r="R1" s="80" t="s">
        <v>52</v>
      </c>
      <c r="S1" s="90" t="s">
        <v>23</v>
      </c>
      <c r="T1" s="90" t="s">
        <v>24</v>
      </c>
      <c r="U1" s="90" t="s">
        <v>26</v>
      </c>
      <c r="V1" s="90" t="s">
        <v>25</v>
      </c>
      <c r="W1" s="85" t="s">
        <v>32</v>
      </c>
      <c r="X1" s="86" t="s">
        <v>53</v>
      </c>
      <c r="Y1" s="85" t="s">
        <v>33</v>
      </c>
      <c r="Z1" s="86" t="s">
        <v>53</v>
      </c>
      <c r="AA1" s="87" t="s">
        <v>23</v>
      </c>
      <c r="AB1" s="87" t="s">
        <v>24</v>
      </c>
      <c r="AC1" s="87" t="s">
        <v>26</v>
      </c>
      <c r="AD1" s="87" t="s">
        <v>25</v>
      </c>
      <c r="AE1" s="91" t="s">
        <v>100</v>
      </c>
      <c r="AF1" s="80" t="s">
        <v>45</v>
      </c>
      <c r="AG1" s="92" t="s">
        <v>58</v>
      </c>
      <c r="AH1" s="80" t="s">
        <v>45</v>
      </c>
      <c r="AI1" s="92" t="s">
        <v>46</v>
      </c>
      <c r="AJ1" s="82" t="s">
        <v>67</v>
      </c>
      <c r="AK1" s="80" t="s">
        <v>21</v>
      </c>
      <c r="AL1" s="93" t="s">
        <v>68</v>
      </c>
      <c r="AM1" s="94" t="s">
        <v>66</v>
      </c>
      <c r="AN1" s="94" t="s">
        <v>69</v>
      </c>
      <c r="AO1" s="95" t="s">
        <v>31</v>
      </c>
      <c r="AP1" s="91" t="s">
        <v>20</v>
      </c>
      <c r="AQ1" s="96" t="s">
        <v>113</v>
      </c>
      <c r="AR1" s="96" t="s">
        <v>107</v>
      </c>
      <c r="AS1" s="80" t="s">
        <v>104</v>
      </c>
      <c r="AT1" s="91" t="s">
        <v>102</v>
      </c>
      <c r="AU1" s="80" t="s">
        <v>110</v>
      </c>
      <c r="AV1" s="96" t="s">
        <v>107</v>
      </c>
      <c r="AW1" s="80" t="s">
        <v>104</v>
      </c>
      <c r="AX1" s="86" t="s">
        <v>4</v>
      </c>
      <c r="AY1" s="97" t="s">
        <v>54</v>
      </c>
      <c r="AZ1" s="97" t="s">
        <v>55</v>
      </c>
      <c r="BA1" s="97" t="s">
        <v>114</v>
      </c>
      <c r="BB1" s="97" t="s">
        <v>56</v>
      </c>
      <c r="BC1" s="5" t="s">
        <v>22</v>
      </c>
      <c r="BD1" s="100" t="s">
        <v>34</v>
      </c>
      <c r="BE1" s="98" t="s">
        <v>5</v>
      </c>
      <c r="BF1" s="99" t="s">
        <v>6</v>
      </c>
      <c r="BG1" s="101" t="s">
        <v>70</v>
      </c>
      <c r="BH1" s="101" t="s">
        <v>71</v>
      </c>
      <c r="BI1" s="101" t="s">
        <v>72</v>
      </c>
      <c r="BJ1" s="101" t="s">
        <v>73</v>
      </c>
      <c r="BK1" s="102" t="s">
        <v>74</v>
      </c>
      <c r="BL1" s="102" t="s">
        <v>95</v>
      </c>
      <c r="BM1" s="102" t="s">
        <v>75</v>
      </c>
      <c r="BN1" s="102" t="s">
        <v>76</v>
      </c>
      <c r="BO1" s="103" t="s">
        <v>77</v>
      </c>
      <c r="BP1" s="104" t="s">
        <v>78</v>
      </c>
      <c r="BQ1" s="104" t="s">
        <v>86</v>
      </c>
      <c r="BR1" s="10" t="s">
        <v>363</v>
      </c>
    </row>
    <row r="2" spans="1:70" ht="26" customHeight="1" x14ac:dyDescent="0.15">
      <c r="A2" s="12">
        <v>955</v>
      </c>
      <c r="B2" s="57" t="str">
        <f ca="1">VLOOKUP($A2,OFFSET([1]characters!$A$1,0,0,COUNTA([1]characters!$A:$A),MATCH(B$1,[1]characters!$1:$1,0)-MATCH($A$1,[1]characters!$1:$1,0)+1),MATCH(B$1,[1]characters!$1:$1,0)-MATCH($A$1,[1]characters!$1:$1,0)+1,FALSE)</f>
        <v>マクローリン</v>
      </c>
      <c r="C2" s="57" t="str">
        <f ca="1">VLOOKUP($A2,OFFSET([1]characters!$A$1,0,0,COUNTA([1]characters!$A:$A),MATCH(C$1,[1]characters!$1:$1,0)-MATCH($A$1,[1]characters!$1:$1,0)+1),MATCH(C$1,[1]characters!$1:$1,0)-MATCH($A$1,[1]characters!$1:$1,0)+1,FALSE)</f>
        <v>各属性相性良3・黄・R559</v>
      </c>
      <c r="D2" s="57" t="str">
        <f ca="1">VLOOKUP($A2,OFFSET([1]characters!$A$1,0,0,COUNTA([1]characters!$A:$A),MATCH(D$1,[1]characters!$1:$1,0)-MATCH($A$1,[1]characters!$1:$1,0)+1),MATCH(D$1,[1]characters!$1:$1,0)-MATCH($A$1,[1]characters!$1:$1,0)+1,FALSE)</f>
        <v>執行者</v>
      </c>
      <c r="E2" s="57" t="str">
        <f ca="1">VLOOKUP($A2,OFFSET([1]characters!$A$1,0,0,COUNTA([1]characters!$A:$A),MATCH(E$1,[1]characters!$1:$1,0)-MATCH($A$1,[1]characters!$1:$1,0)+1),MATCH(E$1,[1]characters!$1:$1,0)-MATCH($A$1,[1]characters!$1:$1,0)+1,FALSE)</f>
        <v>格好いい</v>
      </c>
      <c r="F2" s="57" t="str">
        <f ca="1">VLOOKUP($A2,OFFSET([1]characters!$A$1,0,0,COUNTA([1]characters!$A:$A),MATCH(F$1,[1]characters!$1:$1,0)-MATCH($A$1,[1]characters!$1:$1,0)+1),MATCH(F$1,[1]characters!$1:$1,0)-MATCH($A$1,[1]characters!$1:$1,0)+1,FALSE)</f>
        <v>男性</v>
      </c>
      <c r="G2" s="57">
        <f ca="1">VLOOKUP($A2,OFFSET([1]characters!$A$1,0,0,COUNTA([1]characters!$A:$A),MATCH(G$1,[1]characters!$1:$1,0)-MATCH($A$1,[1]characters!$1:$1,0)+1),MATCH(G$1,[1]characters!$1:$1,0)-MATCH($A$1,[1]characters!$1:$1,0)+1,FALSE)</f>
        <v>5</v>
      </c>
      <c r="H2" s="57" t="str">
        <f ca="1">VLOOKUP($A2,OFFSET([1]characters!$A$1,0,0,COUNTA([1]characters!$A:$A),MATCH(H$1,[1]characters!$1:$1,0)-MATCH($A$1,[1]characters!$1:$1,0)+1),MATCH(H$1,[1]characters!$1:$1,0)-MATCH($A$1,[1]characters!$1:$1,0)+1,FALSE)</f>
        <v>PremiumSSS</v>
      </c>
      <c r="I2" s="57"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INDEX(コスト!$A$1:$I$21,MATCH(H2,コスト!$A$1:$A$21,FALSE),MATCH(G2,コスト!$A$1:$I$1,FALSE))</f>
        <v>40</v>
      </c>
      <c r="O2" s="11">
        <f ca="1">INDEX(レベル!$A$1:$I$22,MATCH(H2,レベル!$A$1:$A$22,FALSE),MATCH(G2,レベル!$A$1:$I$1,FALSE))</f>
        <v>80</v>
      </c>
      <c r="P2" s="48">
        <f ca="1">IF(G2 &gt;= 6, 99,G2*15)</f>
        <v>75</v>
      </c>
      <c r="Q2" s="57" t="str">
        <f ca="1">VLOOKUP($A2,OFFSET([1]characters!$A$1,0,0,COUNTA([1]characters!$A:$A),MATCH(Q$1,[1]characters!$1:$1,0)-MATCH($A$1,[1]characters!$1:$1,0)+1),MATCH(Q$1,[1]characters!$1:$1,0)-MATCH($A$1,[1]characters!$1:$1,0)+1,FALSE)</f>
        <v>technical</v>
      </c>
      <c r="R2" s="5" t="str">
        <f ca="1">VLOOKUP(Q2,[1]character_type_i18n!$A:$H,3,FALSE)</f>
        <v>テクニカルタイプ</v>
      </c>
      <c r="S2" s="11">
        <f ca="1">VLOOKUP(Q2,[1]character_type_i18n!$A:$H,4,FALSE)</f>
        <v>0.9</v>
      </c>
      <c r="T2" s="11">
        <f ca="1">VLOOKUP(Q2,[1]character_type_i18n!$A:$H,5,FALSE)</f>
        <v>0.9</v>
      </c>
      <c r="U2" s="11">
        <f ca="1">VLOOKUP(Q2,[1]character_type_i18n!$A:$H,6,FALSE)</f>
        <v>1</v>
      </c>
      <c r="V2" s="11">
        <f ca="1">VLOOKUP(Q2,[1]character_type_i18n!$A:$H,7,FALSE)</f>
        <v>0.9</v>
      </c>
      <c r="W2" s="57" t="str">
        <f ca="1">VLOOKUP($A2,OFFSET([1]characters!$A$1,0,0,COUNTA([1]characters!$A:$A),MATCH(W$1,[1]characters!$1:$1,0)-MATCH($A$1,[1]characters!$1:$1,0)+1),MATCH(W$1,[1]characters!$1:$1,0)-MATCH($A$1,[1]characters!$1:$1,0)+1,FALSE)</f>
        <v>academia</v>
      </c>
      <c r="X2" s="5" t="str">
        <f ca="1">VLOOKUP(W2,[1]character_tribe_i18n!$A:$H,3,FALSE)</f>
        <v>アカデミア</v>
      </c>
      <c r="Y2" s="57" t="str">
        <f ca="1">VLOOKUP($A2,OFFSET([1]characters!$A$1,0,0,COUNTA([1]characters!$A:$A),MATCH(Y$1,[1]characters!$1:$1,0)-MATCH($A$1,[1]characters!$1:$1,0)+1),MATCH(Y$1,[1]characters!$1:$1,0)-MATCH($A$1,[1]characters!$1:$1,0)+1,FALSE)</f>
        <v>animal</v>
      </c>
      <c r="Z2" s="5" t="str">
        <f ca="1">VLOOKUP(Y2,[1]character_tribe_i18n!$A:$H,3,FALSE)</f>
        <v>アニマル</v>
      </c>
      <c r="AA2" s="11">
        <f ca="1">VLOOKUP(W2,[1]character_tribe_i18n!$A:$H,4,FALSE)</f>
        <v>1</v>
      </c>
      <c r="AB2" s="11">
        <f ca="1">VLOOKUP(W2,[1]character_tribe_i18n!$A:$H,5,FALSE)</f>
        <v>1</v>
      </c>
      <c r="AC2" s="11">
        <f ca="1">VLOOKUP(W2,[1]character_tribe_i18n!$A:$H,6,FALSE)</f>
        <v>1</v>
      </c>
      <c r="AD2" s="11">
        <f ca="1">VLOOKUP(W2,[1]character_tribe_i18n!$A:$H,7,FALSE)</f>
        <v>1</v>
      </c>
      <c r="AE2" s="9" t="s">
        <v>183</v>
      </c>
      <c r="AF2" s="62" t="str">
        <f ca="1">IF(AE2="NULL","",VLOOKUP($AE2,OFFSET([1]characters!$A$1,0,0,COUNTA([1]characters!$A:$A),MATCH(AF$1,[1]characters!$1:$1,0)-MATCH($A$1,[1]characters!$1:$1,0)+1),MATCH(AF$1,[1]characters!$1:$1,0)-MATCH($A$1,[1]characters!$1:$1,0)+1,FALSE))</f>
        <v/>
      </c>
      <c r="AG2" s="5">
        <v>955</v>
      </c>
      <c r="AH2" s="62" t="str">
        <f ca="1">VLOOKUP($AG2,OFFSET([1]characters!$A$1,0,0,COUNTA([1]characters!$A:$A),MATCH(AH$1,[1]characters!$1:$1,0)-MATCH($A$1,[1]characters!$1:$1,0)+1),MATCH(AH$1,[1]characters!$1:$1,0)-MATCH($A$1,[1]characters!$1:$1,0)+1,FALSE)</f>
        <v>マクローリン</v>
      </c>
      <c r="AI2" s="11" t="str">
        <f>IF(AE2="NULL","NULL",VLOOKUP(G2,ビット!$A$2:$B$7,2))</f>
        <v>NULL</v>
      </c>
      <c r="AJ2" s="6">
        <v>2</v>
      </c>
      <c r="AK2" s="7" t="str">
        <f t="shared" ref="AK2" si="0">IF(AJ2=1,"早熟",IF(AJ2=2,"普通",IF(AJ2=3,"晩成","")))</f>
        <v>普通</v>
      </c>
      <c r="AL2" s="11" t="str">
        <f ca="1">INDEX(経験値!$A$1:$I$21,MATCH(H2,経験値!$A$1:$A$21,FALSE),MATCH(G2,経験値!$A$1:$I$1,FALSE))</f>
        <v>required_exp_250</v>
      </c>
      <c r="AM2" s="8">
        <f ca="1">VLOOKUP(G2,経験値!$A$28:$B$32,2)</f>
        <v>6400</v>
      </c>
      <c r="AN2" s="17">
        <f ca="1">VLOOKUP(G2,ビット!$G$2:$H$7,2)</f>
        <v>900</v>
      </c>
      <c r="AO2" s="45"/>
      <c r="AP2" s="67">
        <v>955</v>
      </c>
      <c r="AQ2" s="57" t="str">
        <f ca="1">VLOOKUP($AP2,OFFSET(unit_skills!$A$1,0,0,COUNTA(unit_skills!$A:$A),MATCH(AQ$1,unit_skills!$1:$1,0)-MATCH($AP$1,unit_skills!$1:$1,0)+1),MATCH(AQ$1,unit_skills!$1:$1,0)-MATCH($AP$1,unit_skills!$1:$1,0)+1,FALSE)</f>
        <v>フロート・フラックス</v>
      </c>
      <c r="AR2" s="57" t="str">
        <f ca="1">VLOOKUP($AP2,OFFSET(unit_skills!$A$1,0,0,COUNTA(unit_skills!$A:$A),MATCH(AR$1,unit_skills!$1:$1,0)-MATCH($AP$1,unit_skills!$1:$1,0)+1),MATCH(AR$1,unit_skills!$1:$1,0)-MATCH($AP$1,unit_skills!$1:$1,0)+1,FALSE)</f>
        <v>緑パネルを赤ボムパネルに変換+Cパネル特大強化、1ターン全ユニットのCパネル生成短縮(特大)</v>
      </c>
      <c r="AS2" s="57">
        <f ca="1">VLOOKUP($AP2,OFFSET(unit_skills!$A$1,0,0,COUNTA(unit_skills!$A:$A),MATCH(AS$1,unit_skills!$1:$1,0)-MATCH($AP$1,unit_skills!$1:$1,0)+1),MATCH(AS$1,unit_skills!$1:$1,0)-MATCH($AP$1,unit_skills!$1:$1,0)+1,FALSE)</f>
        <v>0</v>
      </c>
      <c r="AT2" s="41">
        <v>955</v>
      </c>
      <c r="AU2" s="57" t="str">
        <f ca="1">VLOOKUP($AT2,OFFSET(crash_skills!$A$1,0,0,COUNTA(crash_skills!$A:$A),MATCH(AU$1,crash_skills!$1:$1,0)-MATCH($AT$1,crash_skills!$1:$1,0)+1),MATCH(AU$1,crash_skills!$1:$1,0)-MATCH($AT$1,crash_skills!$1:$1,0)+1,FALSE)</f>
        <v>ニュートン・ディシプリン</v>
      </c>
      <c r="AV2" s="57" t="str">
        <f ca="1">VLOOKUP($AT2,OFFSET(crash_skills!$A$1,0,0,COUNTA(crash_skills!$A:$A),MATCH(AV$1,crash_skills!$1:$1,0)-MATCH($AT$1,crash_skills!$1:$1,0)+1),MATCH(AV$1,crash_skills!$1:$1,0)-MATCH($AT$1,crash_skills!$1:$1,0)+1,FALSE)</f>
        <v>1体に大ダメージ</v>
      </c>
      <c r="AW2" s="57">
        <f ca="1">VLOOKUP($AT2,OFFSET(crash_skills!$A$1,0,0,COUNTA(crash_skills!$A:$A),MATCH(AW$1,crash_skills!$1:$1,0)-MATCH($AT$1,crash_skills!$1:$1,0)+1),MATCH(AW$1,crash_skills!$1:$1,0)-MATCH($AT$1,crash_skills!$1:$1,0)+1,FALSE)</f>
        <v>0</v>
      </c>
      <c r="AX2" s="58">
        <f ca="1">VLOOKUP($A2,OFFSET([1]characters!$A$1,0,0,COUNTA([1]characters!$A:$A),MATCH(AX$1,[1]characters!$1:$1,0)-MATCH($A$1,[1]characters!$1:$1,0)+1),MATCH(AX$1,[1]characters!$1:$1,0)-MATCH($A$1,[1]characters!$1:$1,0)+1,FALSE)</f>
        <v>3</v>
      </c>
      <c r="AY2" s="68">
        <v>1.05</v>
      </c>
      <c r="AZ2" s="68">
        <v>1.1000000000000001</v>
      </c>
      <c r="BA2" s="68">
        <v>0</v>
      </c>
      <c r="BB2" s="68">
        <v>1</v>
      </c>
      <c r="BC2" s="11">
        <f ca="1">INDEX('RC6SV'!$A$1:$G$21,MATCH(H2,'RC6SV'!$A$1:$A$21,FALSE),MATCH(G2,'RC6SV'!$A$1:$G$1,FALSE))</f>
        <v>10000</v>
      </c>
      <c r="BD2" s="48">
        <f t="shared" ref="BD2" ca="1" si="1">ROUND(BC2*IF(AJ2=1,0.95,IF(AJ2=2,1,IF(AJ2,1.05,0))),0)</f>
        <v>10000</v>
      </c>
      <c r="BE2" s="11">
        <f ca="1">ROUND(IFERROR(INDIRECT(ADDRESS(MATCH($A2,$AE:$AE,0),MATCH($BC$1,$1:$1,0))),0),0)</f>
        <v>0</v>
      </c>
      <c r="BF2" s="11">
        <f ca="1">ROUND(IFERROR(INDIRECT(ADDRESS(MATCH($A2,$AE:$AE,0),10)),INDIRECT(ADDRESS(MATCH($A2,$A:$A,0),10))),0)</f>
        <v>1</v>
      </c>
      <c r="BG2" s="16">
        <f ca="1">IF($BE2&lt;=0,ROUND(BK2*0.5,0), ROUND($BE2*S2*AA2*J2*AY2*0.8*[1]ステータス!$B$2,0))</f>
        <v>2363</v>
      </c>
      <c r="BH2" s="16">
        <f ca="1">IF($BE2&lt;=0,ROUND(BL2*0.5,0), ROUND($BE2*T2*AB2*K2*AZ2*0.8*[1]ステータス!$C$2,0))</f>
        <v>1515</v>
      </c>
      <c r="BI2" s="16">
        <f ca="1">IF($BE2&lt;=0,ROUND(BM2*0.5,0), ROUND($BE2*U2*AC2*L2*BA2*0.8*[1]ステータス!$D$2,0))</f>
        <v>0</v>
      </c>
      <c r="BJ2" s="16">
        <f ca="1">IF($BE2&lt;=0,ROUND(BN2*0.5,0), ROUND($BE2*V2*AD2*M2*BB2*0.8*[1]ステータス!$E$2,0))</f>
        <v>1103</v>
      </c>
      <c r="BK2" s="11">
        <f ca="1">ROUND(BD2*S2*AA2*J2*AY2*[1]ステータス!$B$2,0)</f>
        <v>4725</v>
      </c>
      <c r="BL2" s="11">
        <f ca="1">ROUND(BD2*T2*AB2*K2*AZ2*[1]ステータス!$C$2,0)</f>
        <v>3029</v>
      </c>
      <c r="BM2" s="11">
        <f ca="1">ROUND(BD2*U2*AC2*L2*BA2*[1]ステータス!$D$2,0)</f>
        <v>0</v>
      </c>
      <c r="BN2" s="11">
        <f ca="1">ROUND(BD2*V2*AD2*M2*BB2*[1]ステータス!$E$2,0)</f>
        <v>2205</v>
      </c>
      <c r="BO2" s="10">
        <v>0</v>
      </c>
      <c r="BP2" s="10">
        <v>1</v>
      </c>
      <c r="BQ2" s="38" t="s">
        <v>47</v>
      </c>
      <c r="BR2" s="10">
        <v>5500</v>
      </c>
    </row>
    <row r="3" spans="1:70" ht="26" customHeight="1" x14ac:dyDescent="0.15">
      <c r="A3" s="12">
        <v>956</v>
      </c>
      <c r="B3" s="57" t="str">
        <f ca="1">VLOOKUP($A3,OFFSET([1]characters!$A$1,0,0,COUNTA([1]characters!$A:$A),MATCH(B$1,[1]characters!$1:$1,0)-MATCH($A$1,[1]characters!$1:$1,0)+1),MATCH(B$1,[1]characters!$1:$1,0)-MATCH($A$1,[1]characters!$1:$1,0)+1,FALSE)</f>
        <v>導環の崇論 マクローリン</v>
      </c>
      <c r="C3" s="57" t="str">
        <f ca="1">VLOOKUP($A3,OFFSET([1]characters!$A$1,0,0,COUNTA([1]characters!$A:$A),MATCH(C$1,[1]characters!$1:$1,0)-MATCH($A$1,[1]characters!$1:$1,0)+1),MATCH(C$1,[1]characters!$1:$1,0)-MATCH($A$1,[1]characters!$1:$1,0)+1,FALSE)</f>
        <v>各属性相性良3・黄・R560</v>
      </c>
      <c r="D3" s="57" t="str">
        <f ca="1">VLOOKUP($A3,OFFSET([1]characters!$A$1,0,0,COUNTA([1]characters!$A:$A),MATCH(D$1,[1]characters!$1:$1,0)-MATCH($A$1,[1]characters!$1:$1,0)+1),MATCH(D$1,[1]characters!$1:$1,0)-MATCH($A$1,[1]characters!$1:$1,0)+1,FALSE)</f>
        <v>執行者</v>
      </c>
      <c r="E3" s="57" t="str">
        <f ca="1">VLOOKUP($A3,OFFSET([1]characters!$A$1,0,0,COUNTA([1]characters!$A:$A),MATCH(E$1,[1]characters!$1:$1,0)-MATCH($A$1,[1]characters!$1:$1,0)+1),MATCH(E$1,[1]characters!$1:$1,0)-MATCH($A$1,[1]characters!$1:$1,0)+1,FALSE)</f>
        <v>格好いい</v>
      </c>
      <c r="F3" s="57" t="str">
        <f ca="1">VLOOKUP($A3,OFFSET([1]characters!$A$1,0,0,COUNTA([1]characters!$A:$A),MATCH(F$1,[1]characters!$1:$1,0)-MATCH($A$1,[1]characters!$1:$1,0)+1),MATCH(F$1,[1]characters!$1:$1,0)-MATCH($A$1,[1]characters!$1:$1,0)+1,FALSE)</f>
        <v>男性</v>
      </c>
      <c r="G3" s="57">
        <f ca="1">VLOOKUP($A3,OFFSET([1]characters!$A$1,0,0,COUNTA([1]characters!$A:$A),MATCH(G$1,[1]characters!$1:$1,0)-MATCH($A$1,[1]characters!$1:$1,0)+1),MATCH(G$1,[1]characters!$1:$1,0)-MATCH($A$1,[1]characters!$1:$1,0)+1,FALSE)</f>
        <v>6</v>
      </c>
      <c r="H3" s="57" t="str">
        <f ca="1">VLOOKUP($A3,OFFSET([1]characters!$A$1,0,0,COUNTA([1]characters!$A:$A),MATCH(H$1,[1]characters!$1:$1,0)-MATCH($A$1,[1]characters!$1:$1,0)+1),MATCH(H$1,[1]characters!$1:$1,0)-MATCH($A$1,[1]characters!$1:$1,0)+1,FALSE)</f>
        <v>PremiumSSS</v>
      </c>
      <c r="I3" s="57" t="str">
        <f ca="1">VLOOKUP($A3,OFFSET([1]characters!$A$1,0,0,COUNTA([1]characters!$A:$A),MATCH(I$1,[1]characters!$1:$1,0)-MATCH($A$1,[1]characters!$1:$1,0)+1),MATCH(I$1,[1]characters!$1:$1,0)-MATCH($A$1,[1]characters!$1:$1,0)+1,FALSE)</f>
        <v>red</v>
      </c>
      <c r="J3" s="11">
        <f ca="1">VLOOKUP(I3,[1]属性!$A:$E,2,FALSE)</f>
        <v>1</v>
      </c>
      <c r="K3" s="11">
        <f ca="1">VLOOKUP(I3,[1]属性!$A:$E,3,FALSE)</f>
        <v>1.02</v>
      </c>
      <c r="L3" s="11">
        <f ca="1">VLOOKUP(I3,[1]属性!$A:$E,4,FALSE)</f>
        <v>1</v>
      </c>
      <c r="M3" s="11">
        <f ca="1">VLOOKUP(I3,[1]属性!$A:$E,5,FALSE)</f>
        <v>0.98</v>
      </c>
      <c r="N3" s="11">
        <f ca="1">INDEX(コスト!$A$1:$I$21,MATCH(H3,コスト!$A$1:$A$21,FALSE),MATCH(G3,コスト!$A$1:$I$1,FALSE))</f>
        <v>55</v>
      </c>
      <c r="O3" s="11">
        <f ca="1">INDEX(レベル!$A$1:$I$22,MATCH(H3,レベル!$A$1:$A$22,FALSE),MATCH(G3,レベル!$A$1:$I$1,FALSE))</f>
        <v>99</v>
      </c>
      <c r="P3" s="48">
        <f ca="1">IF(G3 &gt;= 6, 99,G3*15)</f>
        <v>99</v>
      </c>
      <c r="Q3" s="57" t="str">
        <f ca="1">VLOOKUP($A3,OFFSET([1]characters!$A$1,0,0,COUNTA([1]characters!$A:$A),MATCH(Q$1,[1]characters!$1:$1,0)-MATCH($A$1,[1]characters!$1:$1,0)+1),MATCH(Q$1,[1]characters!$1:$1,0)-MATCH($A$1,[1]characters!$1:$1,0)+1,FALSE)</f>
        <v>technical</v>
      </c>
      <c r="R3" s="5" t="str">
        <f ca="1">VLOOKUP(Q3,[1]character_type_i18n!$A:$H,3,FALSE)</f>
        <v>テクニカルタイプ</v>
      </c>
      <c r="S3" s="11">
        <f ca="1">VLOOKUP(Q3,[1]character_type_i18n!$A:$H,4,FALSE)</f>
        <v>0.9</v>
      </c>
      <c r="T3" s="11">
        <f ca="1">VLOOKUP(Q3,[1]character_type_i18n!$A:$H,5,FALSE)</f>
        <v>0.9</v>
      </c>
      <c r="U3" s="11">
        <f ca="1">VLOOKUP(Q3,[1]character_type_i18n!$A:$H,6,FALSE)</f>
        <v>1</v>
      </c>
      <c r="V3" s="11">
        <f ca="1">VLOOKUP(Q3,[1]character_type_i18n!$A:$H,7,FALSE)</f>
        <v>0.9</v>
      </c>
      <c r="W3" s="57" t="str">
        <f ca="1">VLOOKUP($A3,OFFSET([1]characters!$A$1,0,0,COUNTA([1]characters!$A:$A),MATCH(W$1,[1]characters!$1:$1,0)-MATCH($A$1,[1]characters!$1:$1,0)+1),MATCH(W$1,[1]characters!$1:$1,0)-MATCH($A$1,[1]characters!$1:$1,0)+1,FALSE)</f>
        <v>academia</v>
      </c>
      <c r="X3" s="5" t="str">
        <f ca="1">VLOOKUP(W3,[1]character_tribe_i18n!$A:$H,3,FALSE)</f>
        <v>アカデミア</v>
      </c>
      <c r="Y3" s="57" t="str">
        <f ca="1">VLOOKUP($A3,OFFSET([1]characters!$A$1,0,0,COUNTA([1]characters!$A:$A),MATCH(Y$1,[1]characters!$1:$1,0)-MATCH($A$1,[1]characters!$1:$1,0)+1),MATCH(Y$1,[1]characters!$1:$1,0)-MATCH($A$1,[1]characters!$1:$1,0)+1,FALSE)</f>
        <v>animal</v>
      </c>
      <c r="Z3" s="5" t="str">
        <f ca="1">VLOOKUP(Y3,[1]character_tribe_i18n!$A:$H,3,FALSE)</f>
        <v>アニマル</v>
      </c>
      <c r="AA3" s="11">
        <f ca="1">VLOOKUP(W3,[1]character_tribe_i18n!$A:$H,4,FALSE)</f>
        <v>1</v>
      </c>
      <c r="AB3" s="11">
        <f ca="1">VLOOKUP(W3,[1]character_tribe_i18n!$A:$H,5,FALSE)</f>
        <v>1</v>
      </c>
      <c r="AC3" s="11">
        <f ca="1">VLOOKUP(W3,[1]character_tribe_i18n!$A:$H,6,FALSE)</f>
        <v>1</v>
      </c>
      <c r="AD3" s="11">
        <f ca="1">VLOOKUP(W3,[1]character_tribe_i18n!$A:$H,7,FALSE)</f>
        <v>1</v>
      </c>
      <c r="AE3" s="9" t="s">
        <v>183</v>
      </c>
      <c r="AF3" s="62" t="str">
        <f ca="1">IF(AE3="NULL","",VLOOKUP($AE3,OFFSET([1]characters!$A$1,0,0,COUNTA([1]characters!$A:$A),MATCH(AF$1,[1]characters!$1:$1,0)-MATCH($A$1,[1]characters!$1:$1,0)+1),MATCH(AF$1,[1]characters!$1:$1,0)-MATCH($A$1,[1]characters!$1:$1,0)+1,FALSE))</f>
        <v/>
      </c>
      <c r="AG3" s="5">
        <v>955</v>
      </c>
      <c r="AH3" s="62" t="str">
        <f ca="1">VLOOKUP($AG3,OFFSET([1]characters!$A$1,0,0,COUNTA([1]characters!$A:$A),MATCH(AH$1,[1]characters!$1:$1,0)-MATCH($A$1,[1]characters!$1:$1,0)+1),MATCH(AH$1,[1]characters!$1:$1,0)-MATCH($A$1,[1]characters!$1:$1,0)+1,FALSE)</f>
        <v>マクローリン</v>
      </c>
      <c r="AI3" s="11" t="str">
        <f>IF(AE3="NULL","NULL",VLOOKUP(G3,ビット!$A$2:$B$7,2))</f>
        <v>NULL</v>
      </c>
      <c r="AJ3" s="6">
        <v>2</v>
      </c>
      <c r="AK3" s="7" t="str">
        <f t="shared" ref="AK3" si="2">IF(AJ3=1,"早熟",IF(AJ3=2,"普通",IF(AJ3=3,"晩成","")))</f>
        <v>普通</v>
      </c>
      <c r="AL3" s="11" t="str">
        <f ca="1">INDEX(経験値!$A$1:$I$21,MATCH(H3,経験値!$A$1:$A$21,FALSE),MATCH(G3,経験値!$A$1:$I$1,FALSE))</f>
        <v>required_exp_300</v>
      </c>
      <c r="AM3" s="8">
        <f ca="1">VLOOKUP(G3,経験値!$A$28:$B$32,2)</f>
        <v>6400</v>
      </c>
      <c r="AN3" s="17">
        <f ca="1">VLOOKUP(G3,ビット!$G$2:$H$7,2)</f>
        <v>900</v>
      </c>
      <c r="AO3" s="45"/>
      <c r="AP3" s="67">
        <v>956</v>
      </c>
      <c r="AQ3" s="57" t="str">
        <f ca="1">VLOOKUP($AP3,OFFSET(unit_skills!$A$1,0,0,COUNTA(unit_skills!$A:$A),MATCH(AQ$1,unit_skills!$1:$1,0)-MATCH($AP$1,unit_skills!$1:$1,0)+1),MATCH(AQ$1,unit_skills!$1:$1,0)-MATCH($AP$1,unit_skills!$1:$1,0)+1,FALSE)</f>
        <v>フロート・フラックス・フリー</v>
      </c>
      <c r="AR3" s="57" t="str">
        <f ca="1">VLOOKUP($AP3,OFFSET(unit_skills!$A$1,0,0,COUNTA(unit_skills!$A:$A),MATCH(AR$1,unit_skills!$1:$1,0)-MATCH($AP$1,unit_skills!$1:$1,0)+1),MATCH(AR$1,unit_skills!$1:$1,0)-MATCH($AP$1,unit_skills!$1:$1,0)+1,FALSE)</f>
        <v>緑パネルを赤ボムパネルに変換+Cパネル特大強化、2ターン全ユニットのCパネル生成短縮(特大)</v>
      </c>
      <c r="AS3" s="57">
        <f ca="1">VLOOKUP($AP3,OFFSET(unit_skills!$A$1,0,0,COUNTA(unit_skills!$A:$A),MATCH(AS$1,unit_skills!$1:$1,0)-MATCH($AP$1,unit_skills!$1:$1,0)+1),MATCH(AS$1,unit_skills!$1:$1,0)-MATCH($AP$1,unit_skills!$1:$1,0)+1,FALSE)</f>
        <v>0</v>
      </c>
      <c r="AT3" s="41">
        <v>956</v>
      </c>
      <c r="AU3" s="57" t="str">
        <f ca="1">VLOOKUP($AT3,OFFSET(crash_skills!$A$1,0,0,COUNTA(crash_skills!$A:$A),MATCH(AU$1,crash_skills!$1:$1,0)-MATCH($AT$1,crash_skills!$1:$1,0)+1),MATCH(AU$1,crash_skills!$1:$1,0)-MATCH($AT$1,crash_skills!$1:$1,0)+1,FALSE)</f>
        <v>ニュートン・ディシプリン</v>
      </c>
      <c r="AV3" s="57" t="str">
        <f ca="1">VLOOKUP($AT3,OFFSET(crash_skills!$A$1,0,0,COUNTA(crash_skills!$A:$A),MATCH(AV$1,crash_skills!$1:$1,0)-MATCH($AT$1,crash_skills!$1:$1,0)+1),MATCH(AV$1,crash_skills!$1:$1,0)-MATCH($AT$1,crash_skills!$1:$1,0)+1,FALSE)</f>
        <v>1体に大ダメージ</v>
      </c>
      <c r="AW3" s="57">
        <f ca="1">VLOOKUP($AT3,OFFSET(crash_skills!$A$1,0,0,COUNTA(crash_skills!$A:$A),MATCH(AW$1,crash_skills!$1:$1,0)-MATCH($AT$1,crash_skills!$1:$1,0)+1),MATCH(AW$1,crash_skills!$1:$1,0)-MATCH($AT$1,crash_skills!$1:$1,0)+1,FALSE)</f>
        <v>0</v>
      </c>
      <c r="AX3" s="58">
        <f ca="1">VLOOKUP($A3,OFFSET([1]characters!$A$1,0,0,COUNTA([1]characters!$A:$A),MATCH(AX$1,[1]characters!$1:$1,0)-MATCH($A$1,[1]characters!$1:$1,0)+1),MATCH(AX$1,[1]characters!$1:$1,0)-MATCH($A$1,[1]characters!$1:$1,0)+1,FALSE)</f>
        <v>3</v>
      </c>
      <c r="AY3" s="68">
        <v>1.05</v>
      </c>
      <c r="AZ3" s="68">
        <v>1.1000000000000001</v>
      </c>
      <c r="BA3" s="68">
        <v>0</v>
      </c>
      <c r="BB3" s="68">
        <v>1</v>
      </c>
      <c r="BC3" s="11">
        <f ca="1">INDEX('RC6SV'!$A$1:$G$21,MATCH(H3,'RC6SV'!$A$1:$A$21,FALSE),MATCH(G3,'RC6SV'!$A$1:$G$1,FALSE))</f>
        <v>14000</v>
      </c>
      <c r="BD3" s="48">
        <f t="shared" ref="BD3" ca="1" si="3">ROUND(BC3*IF(AJ3=1,0.95,IF(AJ3=2,1,IF(AJ3,1.05,0))),0)</f>
        <v>14000</v>
      </c>
      <c r="BE3" s="11">
        <f ca="1">ROUND(IFERROR(INDIRECT(ADDRESS(MATCH($A3,$AE:$AE,0),MATCH($BC$1,$1:$1,0))),0),0)</f>
        <v>0</v>
      </c>
      <c r="BF3" s="11">
        <f ca="1">ROUND(IFERROR(INDIRECT(ADDRESS(MATCH($A3,$AE:$AE,0),10)),INDIRECT(ADDRESS(MATCH($A3,$A:$A,0),10))),0)</f>
        <v>1</v>
      </c>
      <c r="BG3" s="16">
        <f ca="1">IF($BE3&lt;=0,ROUND(BK3*0.5,0), ROUND($BE3*S3*AA3*J3*AY3*0.8*[1]ステータス!$B$2,0))</f>
        <v>3308</v>
      </c>
      <c r="BH3" s="16">
        <f ca="1">IF($BE3&lt;=0,ROUND(BL3*0.5,0), ROUND($BE3*T3*AB3*K3*AZ3*0.8*[1]ステータス!$C$2,0))</f>
        <v>2121</v>
      </c>
      <c r="BI3" s="16">
        <f ca="1">IF($BE3&lt;=0,ROUND(BM3*0.5,0), ROUND($BE3*U3*AC3*L3*BA3*0.8*[1]ステータス!$D$2,0))</f>
        <v>0</v>
      </c>
      <c r="BJ3" s="16">
        <f ca="1">IF($BE3&lt;=0,ROUND(BN3*0.5,0), ROUND($BE3*V3*AD3*M3*BB3*0.8*[1]ステータス!$E$2,0))</f>
        <v>1544</v>
      </c>
      <c r="BK3" s="11">
        <f ca="1">ROUND(BD3*S3*AA3*J3*AY3*[1]ステータス!$B$2,0)</f>
        <v>6615</v>
      </c>
      <c r="BL3" s="11">
        <f ca="1">ROUND(BD3*T3*AB3*K3*AZ3*[1]ステータス!$C$2,0)</f>
        <v>4241</v>
      </c>
      <c r="BM3" s="11">
        <f ca="1">ROUND(BD3*U3*AC3*L3*BA3*[1]ステータス!$D$2,0)</f>
        <v>0</v>
      </c>
      <c r="BN3" s="11">
        <f ca="1">ROUND(BD3*V3*AD3*M3*BB3*[1]ステータス!$E$2,0)</f>
        <v>3087</v>
      </c>
      <c r="BO3" s="10">
        <v>0</v>
      </c>
      <c r="BP3" s="10">
        <v>1</v>
      </c>
      <c r="BQ3" s="10" t="s">
        <v>47</v>
      </c>
      <c r="BR3" s="10">
        <v>5500</v>
      </c>
    </row>
    <row r="4" spans="1:70" ht="26" customHeight="1" x14ac:dyDescent="0.15">
      <c r="A4" s="12">
        <v>957</v>
      </c>
      <c r="B4" s="57" t="str">
        <f ca="1">VLOOKUP($A4,OFFSET([1]characters!$A$1,0,0,COUNTA([1]characters!$A:$A),MATCH(B$1,[1]characters!$1:$1,0)-MATCH($A$1,[1]characters!$1:$1,0)+1),MATCH(B$1,[1]characters!$1:$1,0)-MATCH($A$1,[1]characters!$1:$1,0)+1,FALSE)</f>
        <v>浮環の流律論 マクローリン</v>
      </c>
      <c r="C4" s="57" t="str">
        <f ca="1">VLOOKUP($A4,OFFSET([1]characters!$A$1,0,0,COUNTA([1]characters!$A:$A),MATCH(C$1,[1]characters!$1:$1,0)-MATCH($A$1,[1]characters!$1:$1,0)+1),MATCH(C$1,[1]characters!$1:$1,0)-MATCH($A$1,[1]characters!$1:$1,0)+1,FALSE)</f>
        <v>各属性相性良3・黄・R561</v>
      </c>
      <c r="D4" s="57" t="str">
        <f ca="1">VLOOKUP($A4,OFFSET([1]characters!$A$1,0,0,COUNTA([1]characters!$A:$A),MATCH(D$1,[1]characters!$1:$1,0)-MATCH($A$1,[1]characters!$1:$1,0)+1),MATCH(D$1,[1]characters!$1:$1,0)-MATCH($A$1,[1]characters!$1:$1,0)+1,FALSE)</f>
        <v>執行者</v>
      </c>
      <c r="E4" s="57" t="str">
        <f ca="1">VLOOKUP($A4,OFFSET([1]characters!$A$1,0,0,COUNTA([1]characters!$A:$A),MATCH(E$1,[1]characters!$1:$1,0)-MATCH($A$1,[1]characters!$1:$1,0)+1),MATCH(E$1,[1]characters!$1:$1,0)-MATCH($A$1,[1]characters!$1:$1,0)+1,FALSE)</f>
        <v>格好いい</v>
      </c>
      <c r="F4" s="57" t="str">
        <f ca="1">VLOOKUP($A4,OFFSET([1]characters!$A$1,0,0,COUNTA([1]characters!$A:$A),MATCH(F$1,[1]characters!$1:$1,0)-MATCH($A$1,[1]characters!$1:$1,0)+1),MATCH(F$1,[1]characters!$1:$1,0)-MATCH($A$1,[1]characters!$1:$1,0)+1,FALSE)</f>
        <v>男性</v>
      </c>
      <c r="G4" s="57">
        <f ca="1">VLOOKUP($A4,OFFSET([1]characters!$A$1,0,0,COUNTA([1]characters!$A:$A),MATCH(G$1,[1]characters!$1:$1,0)-MATCH($A$1,[1]characters!$1:$1,0)+1),MATCH(G$1,[1]characters!$1:$1,0)-MATCH($A$1,[1]characters!$1:$1,0)+1,FALSE)</f>
        <v>6</v>
      </c>
      <c r="H4" s="57" t="str">
        <f ca="1">VLOOKUP($A4,OFFSET([1]characters!$A$1,0,0,COUNTA([1]characters!$A:$A),MATCH(H$1,[1]characters!$1:$1,0)-MATCH($A$1,[1]characters!$1:$1,0)+1),MATCH(H$1,[1]characters!$1:$1,0)-MATCH($A$1,[1]characters!$1:$1,0)+1,FALSE)</f>
        <v>PremiumSSS</v>
      </c>
      <c r="I4" s="57" t="str">
        <f ca="1">VLOOKUP($A4,OFFSET([1]characters!$A$1,0,0,COUNTA([1]characters!$A:$A),MATCH(I$1,[1]characters!$1:$1,0)-MATCH($A$1,[1]characters!$1:$1,0)+1),MATCH(I$1,[1]characters!$1:$1,0)-MATCH($A$1,[1]characters!$1:$1,0)+1,FALSE)</f>
        <v>red</v>
      </c>
      <c r="J4" s="11">
        <f ca="1">VLOOKUP(I4,[1]属性!$A:$E,2,FALSE)</f>
        <v>1</v>
      </c>
      <c r="K4" s="11">
        <f ca="1">VLOOKUP(I4,[1]属性!$A:$E,3,FALSE)</f>
        <v>1.02</v>
      </c>
      <c r="L4" s="11">
        <f ca="1">VLOOKUP(I4,[1]属性!$A:$E,4,FALSE)</f>
        <v>1</v>
      </c>
      <c r="M4" s="11">
        <f ca="1">VLOOKUP(I4,[1]属性!$A:$E,5,FALSE)</f>
        <v>0.98</v>
      </c>
      <c r="N4" s="11">
        <f ca="1">INDEX(コスト!$A$1:$I$21,MATCH(H4,コスト!$A$1:$A$21,FALSE),MATCH(G4,コスト!$A$1:$I$1,FALSE))</f>
        <v>55</v>
      </c>
      <c r="O4" s="11">
        <f ca="1">INDEX(レベル!$A$1:$I$22,MATCH(H4,レベル!$A$1:$A$22,FALSE),MATCH(G4,レベル!$A$1:$I$1,FALSE))</f>
        <v>99</v>
      </c>
      <c r="P4" s="48">
        <f ca="1">IF(G4 &gt;= 6, 99,G4*15)</f>
        <v>99</v>
      </c>
      <c r="Q4" s="57" t="str">
        <f ca="1">VLOOKUP($A4,OFFSET([1]characters!$A$1,0,0,COUNTA([1]characters!$A:$A),MATCH(Q$1,[1]characters!$1:$1,0)-MATCH($A$1,[1]characters!$1:$1,0)+1),MATCH(Q$1,[1]characters!$1:$1,0)-MATCH($A$1,[1]characters!$1:$1,0)+1,FALSE)</f>
        <v>hp</v>
      </c>
      <c r="R4" s="5" t="str">
        <f ca="1">VLOOKUP(Q4,[1]character_type_i18n!$A:$H,3,FALSE)</f>
        <v>体力タイプ</v>
      </c>
      <c r="S4" s="11">
        <f ca="1">VLOOKUP(Q4,[1]character_type_i18n!$A:$H,4,FALSE)</f>
        <v>1.45</v>
      </c>
      <c r="T4" s="11">
        <f ca="1">VLOOKUP(Q4,[1]character_type_i18n!$A:$H,5,FALSE)</f>
        <v>0.85</v>
      </c>
      <c r="U4" s="11">
        <f ca="1">VLOOKUP(Q4,[1]character_type_i18n!$A:$H,6,FALSE)</f>
        <v>1</v>
      </c>
      <c r="V4" s="11">
        <f ca="1">VLOOKUP(Q4,[1]character_type_i18n!$A:$H,7,FALSE)</f>
        <v>0.7</v>
      </c>
      <c r="W4" s="57" t="str">
        <f ca="1">VLOOKUP($A4,OFFSET([1]characters!$A$1,0,0,COUNTA([1]characters!$A:$A),MATCH(W$1,[1]characters!$1:$1,0)-MATCH($A$1,[1]characters!$1:$1,0)+1),MATCH(W$1,[1]characters!$1:$1,0)-MATCH($A$1,[1]characters!$1:$1,0)+1,FALSE)</f>
        <v>academia</v>
      </c>
      <c r="X4" s="5" t="str">
        <f ca="1">VLOOKUP(W4,[1]character_tribe_i18n!$A:$H,3,FALSE)</f>
        <v>アカデミア</v>
      </c>
      <c r="Y4" s="57" t="str">
        <f ca="1">VLOOKUP($A4,OFFSET([1]characters!$A$1,0,0,COUNTA([1]characters!$A:$A),MATCH(Y$1,[1]characters!$1:$1,0)-MATCH($A$1,[1]characters!$1:$1,0)+1),MATCH(Y$1,[1]characters!$1:$1,0)-MATCH($A$1,[1]characters!$1:$1,0)+1,FALSE)</f>
        <v>animal</v>
      </c>
      <c r="Z4" s="5" t="str">
        <f ca="1">VLOOKUP(Y4,[1]character_tribe_i18n!$A:$H,3,FALSE)</f>
        <v>アニマル</v>
      </c>
      <c r="AA4" s="11">
        <f ca="1">VLOOKUP(W4,[1]character_tribe_i18n!$A:$H,4,FALSE)</f>
        <v>1</v>
      </c>
      <c r="AB4" s="11">
        <f ca="1">VLOOKUP(W4,[1]character_tribe_i18n!$A:$H,5,FALSE)</f>
        <v>1</v>
      </c>
      <c r="AC4" s="11">
        <f ca="1">VLOOKUP(W4,[1]character_tribe_i18n!$A:$H,6,FALSE)</f>
        <v>1</v>
      </c>
      <c r="AD4" s="11">
        <f ca="1">VLOOKUP(W4,[1]character_tribe_i18n!$A:$H,7,FALSE)</f>
        <v>1</v>
      </c>
      <c r="AE4" s="9" t="s">
        <v>183</v>
      </c>
      <c r="AF4" s="62" t="str">
        <f ca="1">IF(AE4="NULL","",VLOOKUP($AE4,OFFSET([1]characters!$A$1,0,0,COUNTA([1]characters!$A:$A),MATCH(AF$1,[1]characters!$1:$1,0)-MATCH($A$1,[1]characters!$1:$1,0)+1),MATCH(AF$1,[1]characters!$1:$1,0)-MATCH($A$1,[1]characters!$1:$1,0)+1,FALSE))</f>
        <v/>
      </c>
      <c r="AG4" s="5">
        <v>955</v>
      </c>
      <c r="AH4" s="62" t="str">
        <f ca="1">VLOOKUP($AG4,OFFSET([1]characters!$A$1,0,0,COUNTA([1]characters!$A:$A),MATCH(AH$1,[1]characters!$1:$1,0)-MATCH($A$1,[1]characters!$1:$1,0)+1),MATCH(AH$1,[1]characters!$1:$1,0)-MATCH($A$1,[1]characters!$1:$1,0)+1,FALSE)</f>
        <v>マクローリン</v>
      </c>
      <c r="AI4" s="11" t="str">
        <f>IF(AE4="NULL","NULL",VLOOKUP(G4,ビット!$A$2:$B$7,2))</f>
        <v>NULL</v>
      </c>
      <c r="AJ4" s="6">
        <v>2</v>
      </c>
      <c r="AK4" s="7" t="str">
        <f t="shared" ref="AK4" si="4">IF(AJ4=1,"早熟",IF(AJ4=2,"普通",IF(AJ4=3,"晩成","")))</f>
        <v>普通</v>
      </c>
      <c r="AL4" s="11" t="str">
        <f ca="1">INDEX(経験値!$A$1:$I$21,MATCH(H4,経験値!$A$1:$A$21,FALSE),MATCH(G4,経験値!$A$1:$I$1,FALSE))</f>
        <v>required_exp_300</v>
      </c>
      <c r="AM4" s="8">
        <f ca="1">VLOOKUP(G4,経験値!$A$28:$B$32,2)</f>
        <v>6400</v>
      </c>
      <c r="AN4" s="17">
        <f ca="1">VLOOKUP(G4,ビット!$G$2:$H$7,2)</f>
        <v>900</v>
      </c>
      <c r="AO4" s="45"/>
      <c r="AP4" s="67">
        <v>957</v>
      </c>
      <c r="AQ4" s="57" t="str">
        <f ca="1">VLOOKUP($AP4,OFFSET(unit_skills!$A$1,0,0,COUNTA(unit_skills!$A:$A),MATCH(AQ$1,unit_skills!$1:$1,0)-MATCH($AP$1,unit_skills!$1:$1,0)+1),MATCH(AQ$1,unit_skills!$1:$1,0)-MATCH($AP$1,unit_skills!$1:$1,0)+1,FALSE)</f>
        <v>フロート・フラックス・ゼロ</v>
      </c>
      <c r="AR4" s="57" t="str">
        <f ca="1">VLOOKUP($AP4,OFFSET(unit_skills!$A$1,0,0,COUNTA(unit_skills!$A:$A),MATCH(AR$1,unit_skills!$1:$1,0)-MATCH($AP$1,unit_skills!$1:$1,0)+1),MATCH(AR$1,unit_skills!$1:$1,0)-MATCH($AP$1,unit_skills!$1:$1,0)+1,FALSE)</f>
        <v>青パネルを赤ボムパネルに変換、3ターンの間赤属性の攻撃力と回復力を特大UPし、タップ回数を1増やす</v>
      </c>
      <c r="AS4" s="57">
        <f ca="1">VLOOKUP($AP4,OFFSET(unit_skills!$A$1,0,0,COUNTA(unit_skills!$A:$A),MATCH(AS$1,unit_skills!$1:$1,0)-MATCH($AP$1,unit_skills!$1:$1,0)+1),MATCH(AS$1,unit_skills!$1:$1,0)-MATCH($AP$1,unit_skills!$1:$1,0)+1,FALSE)</f>
        <v>0</v>
      </c>
      <c r="AT4" s="41">
        <v>957</v>
      </c>
      <c r="AU4" s="57" t="str">
        <f ca="1">VLOOKUP($AT4,OFFSET(crash_skills!$A$1,0,0,COUNTA(crash_skills!$A:$A),MATCH(AU$1,crash_skills!$1:$1,0)-MATCH($AT$1,crash_skills!$1:$1,0)+1),MATCH(AU$1,crash_skills!$1:$1,0)-MATCH($AT$1,crash_skills!$1:$1,0)+1,FALSE)</f>
        <v>ニュートン・ティーチング</v>
      </c>
      <c r="AV4" s="57" t="str">
        <f ca="1">VLOOKUP($AT4,OFFSET(crash_skills!$A$1,0,0,COUNTA(crash_skills!$A:$A),MATCH(AV$1,crash_skills!$1:$1,0)-MATCH($AT$1,crash_skills!$1:$1,0)+1),MATCH(AV$1,crash_skills!$1:$1,0)-MATCH($AT$1,crash_skills!$1:$1,0)+1,FALSE)</f>
        <v>1体に超大ダメージ</v>
      </c>
      <c r="AW4" s="57">
        <f ca="1">VLOOKUP($AT4,OFFSET(crash_skills!$A$1,0,0,COUNTA(crash_skills!$A:$A),MATCH(AW$1,crash_skills!$1:$1,0)-MATCH($AT$1,crash_skills!$1:$1,0)+1),MATCH(AW$1,crash_skills!$1:$1,0)-MATCH($AT$1,crash_skills!$1:$1,0)+1,FALSE)</f>
        <v>0</v>
      </c>
      <c r="AX4" s="58">
        <f ca="1">VLOOKUP($A4,OFFSET([1]characters!$A$1,0,0,COUNTA([1]characters!$A:$A),MATCH(AX$1,[1]characters!$1:$1,0)-MATCH($A$1,[1]characters!$1:$1,0)+1),MATCH(AX$1,[1]characters!$1:$1,0)-MATCH($A$1,[1]characters!$1:$1,0)+1,FALSE)</f>
        <v>3</v>
      </c>
      <c r="AY4" s="68">
        <v>0.85</v>
      </c>
      <c r="AZ4" s="68">
        <v>1.1000000000000001</v>
      </c>
      <c r="BA4" s="68">
        <v>0</v>
      </c>
      <c r="BB4" s="68">
        <v>1.05</v>
      </c>
      <c r="BC4" s="11">
        <f ca="1">INDEX('RC6SV'!$A$1:$G$21,MATCH(H4,'RC6SV'!$A$1:$A$21,FALSE),MATCH(G4,'RC6SV'!$A$1:$G$1,FALSE))</f>
        <v>14000</v>
      </c>
      <c r="BD4" s="48">
        <f t="shared" ref="BD4" ca="1" si="5">ROUND(BC4*IF(AJ4=1,0.95,IF(AJ4=2,1,IF(AJ4,1.05,0))),0)</f>
        <v>14000</v>
      </c>
      <c r="BE4" s="11">
        <f ca="1">ROUND(IFERROR(INDIRECT(ADDRESS(MATCH($A4,$AE:$AE,0),MATCH($BC$1,$1:$1,0))),0),0)</f>
        <v>0</v>
      </c>
      <c r="BF4" s="11">
        <f ca="1">ROUND(IFERROR(INDIRECT(ADDRESS(MATCH($A4,$AE:$AE,0),10)),INDIRECT(ADDRESS(MATCH($A4,$A:$A,0),10))),0)</f>
        <v>1</v>
      </c>
      <c r="BG4" s="16">
        <f ca="1">IF($BE4&lt;=0,ROUND(BK4*0.5,0), ROUND($BE4*S4*AA4*J4*AY4*0.8*[1]ステータス!$B$2,0))</f>
        <v>4314</v>
      </c>
      <c r="BH4" s="16">
        <f ca="1">IF($BE4&lt;=0,ROUND(BL4*0.5,0), ROUND($BE4*T4*AB4*K4*AZ4*0.8*[1]ステータス!$C$2,0))</f>
        <v>2003</v>
      </c>
      <c r="BI4" s="16">
        <f ca="1">IF($BE4&lt;=0,ROUND(BM4*0.5,0), ROUND($BE4*U4*AC4*L4*BA4*0.8*[1]ステータス!$D$2,0))</f>
        <v>0</v>
      </c>
      <c r="BJ4" s="16">
        <f ca="1">IF($BE4&lt;=0,ROUND(BN4*0.5,0), ROUND($BE4*V4*AD4*M4*BB4*0.8*[1]ステータス!$E$2,0))</f>
        <v>1261</v>
      </c>
      <c r="BK4" s="11">
        <f ca="1">ROUND(BD4*S4*AA4*J4*AY4*[1]ステータス!$B$2,0)</f>
        <v>8628</v>
      </c>
      <c r="BL4" s="11">
        <f ca="1">ROUND(BD4*T4*AB4*K4*AZ4*[1]ステータス!$C$2,0)</f>
        <v>4006</v>
      </c>
      <c r="BM4" s="11">
        <f ca="1">ROUND(BD4*U4*AC4*L4*BA4*[1]ステータス!$D$2,0)</f>
        <v>0</v>
      </c>
      <c r="BN4" s="11">
        <f ca="1">ROUND(BD4*V4*AD4*M4*BB4*[1]ステータス!$E$2,0)</f>
        <v>2521</v>
      </c>
      <c r="BO4" s="10">
        <v>0</v>
      </c>
      <c r="BP4" s="10">
        <v>1</v>
      </c>
      <c r="BQ4" s="10" t="s">
        <v>47</v>
      </c>
      <c r="BR4" s="10">
        <v>5500</v>
      </c>
    </row>
  </sheetData>
  <autoFilter ref="A1:BQ1"/>
  <phoneticPr fontId="10"/>
  <conditionalFormatting sqref="BO1">
    <cfRule type="cellIs" dxfId="36" priority="120" stopIfTrue="1" operator="equal">
      <formula>1</formula>
    </cfRule>
  </conditionalFormatting>
  <conditionalFormatting sqref="BQ1">
    <cfRule type="cellIs" dxfId="3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4"/>
  <sheetViews>
    <sheetView showGridLines="0" workbookViewId="0">
      <pane xSplit="4" ySplit="1" topLeftCell="E2" activePane="bottomRight" state="frozen"/>
      <selection pane="topRight" activeCell="D1" sqref="D1"/>
      <selection pane="bottomLeft" activeCell="A2" sqref="A2"/>
      <selection pane="bottomRight" activeCell="C2" sqref="C2"/>
    </sheetView>
  </sheetViews>
  <sheetFormatPr baseColWidth="12" defaultColWidth="13" defaultRowHeight="21" customHeight="1" outlineLevelCol="1" x14ac:dyDescent="0.15"/>
  <cols>
    <col min="1" max="1" width="16.1640625" style="131" bestFit="1" customWidth="1"/>
    <col min="2" max="2" width="13" style="131" bestFit="1" customWidth="1"/>
    <col min="3" max="3" width="21.83203125" style="131" customWidth="1"/>
    <col min="4" max="4" width="41.83203125" style="131" customWidth="1"/>
    <col min="5" max="5" width="9" style="131" customWidth="1"/>
    <col min="6" max="6" width="7.83203125" style="131" bestFit="1" customWidth="1"/>
    <col min="7" max="7" width="8.1640625" style="131" bestFit="1" customWidth="1"/>
    <col min="8" max="8" width="13.6640625" style="131" bestFit="1" customWidth="1"/>
    <col min="9" max="10" width="51.6640625" style="131" customWidth="1"/>
    <col min="11" max="11" width="10.83203125" style="131" customWidth="1" outlineLevel="1"/>
    <col min="12" max="17" width="9.5" style="130" customWidth="1" outlineLevel="1"/>
    <col min="18" max="18" width="20.33203125" style="131" customWidth="1" outlineLevel="1"/>
    <col min="19" max="19" width="10.33203125" style="131" bestFit="1" customWidth="1"/>
    <col min="20" max="16384" width="13" style="131"/>
  </cols>
  <sheetData>
    <row r="1" spans="1:19" s="130" customFormat="1" ht="21" customHeight="1" x14ac:dyDescent="0.15">
      <c r="A1" s="119" t="s">
        <v>20</v>
      </c>
      <c r="B1" s="120" t="s">
        <v>134</v>
      </c>
      <c r="C1" s="121" t="s">
        <v>40</v>
      </c>
      <c r="D1" s="122" t="s">
        <v>163</v>
      </c>
      <c r="E1" s="122" t="s">
        <v>164</v>
      </c>
      <c r="F1" s="119" t="s">
        <v>146</v>
      </c>
      <c r="G1" s="123" t="s">
        <v>2</v>
      </c>
      <c r="H1" s="123" t="s">
        <v>165</v>
      </c>
      <c r="I1" s="123" t="s">
        <v>166</v>
      </c>
      <c r="J1" s="124" t="s">
        <v>184</v>
      </c>
      <c r="K1" s="123" t="s">
        <v>4</v>
      </c>
      <c r="L1" s="125" t="s">
        <v>167</v>
      </c>
      <c r="M1" s="126" t="s">
        <v>168</v>
      </c>
      <c r="N1" s="126" t="s">
        <v>169</v>
      </c>
      <c r="O1" s="126" t="s">
        <v>170</v>
      </c>
      <c r="P1" s="126" t="s">
        <v>171</v>
      </c>
      <c r="Q1" s="127" t="s">
        <v>172</v>
      </c>
      <c r="R1" s="128" t="s">
        <v>173</v>
      </c>
      <c r="S1" s="129" t="s">
        <v>174</v>
      </c>
    </row>
    <row r="2" spans="1:19" ht="21" customHeight="1" x14ac:dyDescent="0.15">
      <c r="A2" s="10">
        <v>955</v>
      </c>
      <c r="B2" s="134" t="s">
        <v>185</v>
      </c>
      <c r="C2" s="135" t="s">
        <v>365</v>
      </c>
      <c r="D2" s="135" t="s">
        <v>353</v>
      </c>
      <c r="E2" s="136">
        <f t="shared" ref="E2" si="0">LEN(D2)</f>
        <v>46</v>
      </c>
      <c r="F2" s="118">
        <v>13</v>
      </c>
      <c r="G2" s="118">
        <v>7</v>
      </c>
      <c r="H2" s="137">
        <f>2001</f>
        <v>2001</v>
      </c>
      <c r="I2" s="118" t="s">
        <v>361</v>
      </c>
      <c r="J2" s="57" t="str">
        <f ca="1">VLOOKUP($A2,OFFSET([1]characters!$A$1,0,0,COUNTA([1]characters!$A:$A),MATCH("name",[1]characters!$1:$1,0)-MATCH("character_id",[1]characters!$1:$1,0)+1),MATCH("name",[1]characters!$1:$1,0)-MATCH("character_id",[1]characters!$1:$1,0)+1,FALSE)</f>
        <v>マクローリン</v>
      </c>
      <c r="K2" s="138">
        <f>IFERROR(VLOOKUP(A2,[1]characters!$A:$R,18),0)</f>
        <v>3</v>
      </c>
      <c r="L2" s="139"/>
      <c r="M2" s="140"/>
      <c r="N2" s="140"/>
      <c r="O2" s="140"/>
      <c r="P2" s="140"/>
      <c r="Q2" s="140"/>
      <c r="R2" s="135"/>
      <c r="S2" s="141"/>
    </row>
    <row r="3" spans="1:19" ht="21" customHeight="1" x14ac:dyDescent="0.15">
      <c r="A3" s="10">
        <v>956</v>
      </c>
      <c r="B3" s="134" t="s">
        <v>185</v>
      </c>
      <c r="C3" s="135" t="s">
        <v>340</v>
      </c>
      <c r="D3" s="135" t="s">
        <v>354</v>
      </c>
      <c r="E3" s="136">
        <f t="shared" ref="E3" si="1">LEN(D3)</f>
        <v>46</v>
      </c>
      <c r="F3" s="118">
        <v>13</v>
      </c>
      <c r="G3" s="118">
        <v>7</v>
      </c>
      <c r="H3" s="137">
        <f>2001</f>
        <v>2001</v>
      </c>
      <c r="I3" s="118" t="s">
        <v>362</v>
      </c>
      <c r="J3" s="57" t="str">
        <f ca="1">VLOOKUP($A3,OFFSET([1]characters!$A$1,0,0,COUNTA([1]characters!$A:$A),MATCH("name",[1]characters!$1:$1,0)-MATCH("character_id",[1]characters!$1:$1,0)+1),MATCH("name",[1]characters!$1:$1,0)-MATCH("character_id",[1]characters!$1:$1,0)+1,FALSE)</f>
        <v>導環の崇論 マクローリン</v>
      </c>
      <c r="K3" s="138">
        <f>IFERROR(VLOOKUP(A3,[1]characters!$A:$R,18),0)</f>
        <v>3</v>
      </c>
      <c r="L3" s="139"/>
      <c r="M3" s="140"/>
      <c r="N3" s="140"/>
      <c r="O3" s="140"/>
      <c r="P3" s="140"/>
      <c r="Q3" s="140"/>
      <c r="R3" s="135"/>
      <c r="S3" s="141"/>
    </row>
    <row r="4" spans="1:19" ht="21" customHeight="1" x14ac:dyDescent="0.15">
      <c r="A4" s="10">
        <v>957</v>
      </c>
      <c r="B4" s="134" t="s">
        <v>185</v>
      </c>
      <c r="C4" s="135" t="s">
        <v>341</v>
      </c>
      <c r="D4" s="135" t="s">
        <v>359</v>
      </c>
      <c r="E4" s="136">
        <f t="shared" ref="E4" si="2">LEN(D4)</f>
        <v>49</v>
      </c>
      <c r="F4" s="118">
        <v>13</v>
      </c>
      <c r="G4" s="118">
        <v>7</v>
      </c>
      <c r="H4" s="137">
        <f>2001</f>
        <v>2001</v>
      </c>
      <c r="I4" s="118" t="s">
        <v>356</v>
      </c>
      <c r="J4" s="57" t="str">
        <f ca="1">VLOOKUP($A4,OFFSET([1]characters!$A$1,0,0,COUNTA([1]characters!$A:$A),MATCH("name",[1]characters!$1:$1,0)-MATCH("character_id",[1]characters!$1:$1,0)+1),MATCH("name",[1]characters!$1:$1,0)-MATCH("character_id",[1]characters!$1:$1,0)+1,FALSE)</f>
        <v>浮環の流律論 マクローリン</v>
      </c>
      <c r="K4" s="138">
        <f>IFERROR(VLOOKUP(A4,[1]characters!$A:$R,18),0)</f>
        <v>3</v>
      </c>
      <c r="L4" s="139"/>
      <c r="M4" s="140"/>
      <c r="N4" s="140"/>
      <c r="O4" s="140"/>
      <c r="P4" s="140"/>
      <c r="Q4" s="140"/>
      <c r="R4" s="135"/>
      <c r="S4" s="141"/>
    </row>
  </sheetData>
  <sheetProtection selectLockedCells="1" selectUnlockedCells="1"/>
  <autoFilter ref="A1:S1">
    <sortState ref="A2:T432">
      <sortCondition ref="A1:A432"/>
    </sortState>
  </autoFilter>
  <phoneticPr fontId="22"/>
  <conditionalFormatting sqref="E1 E5:E1048576">
    <cfRule type="cellIs" dxfId="34" priority="9" operator="greaterThan">
      <formula>41</formula>
    </cfRule>
  </conditionalFormatting>
  <conditionalFormatting sqref="E2">
    <cfRule type="cellIs" dxfId="33" priority="3" operator="greaterThan">
      <formula>41</formula>
    </cfRule>
  </conditionalFormatting>
  <conditionalFormatting sqref="E3">
    <cfRule type="cellIs" dxfId="32" priority="2" operator="greaterThan">
      <formula>41</formula>
    </cfRule>
  </conditionalFormatting>
  <conditionalFormatting sqref="E4">
    <cfRule type="cellIs" dxfId="31"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4"/>
  <sheetViews>
    <sheetView showGridLines="0" workbookViewId="0">
      <pane xSplit="4" ySplit="1" topLeftCell="F2" activePane="bottomRight" state="frozen"/>
      <selection pane="topRight" activeCell="D1" sqref="D1"/>
      <selection pane="bottomLeft" activeCell="A3" sqref="A3"/>
      <selection pane="bottomRight" activeCell="F2" sqref="F2"/>
    </sheetView>
  </sheetViews>
  <sheetFormatPr baseColWidth="12" defaultColWidth="13" defaultRowHeight="21" customHeight="1" x14ac:dyDescent="0.15"/>
  <cols>
    <col min="1" max="2" width="12.1640625" style="131" customWidth="1"/>
    <col min="3" max="3" width="48.83203125" style="132" customWidth="1"/>
    <col min="4" max="4" width="23.83203125" style="132" customWidth="1"/>
    <col min="5" max="5" width="10.5" style="132" customWidth="1"/>
    <col min="6" max="7" width="59.1640625" style="132" customWidth="1"/>
    <col min="8" max="8" width="6.83203125" style="131" bestFit="1" customWidth="1"/>
    <col min="9" max="9" width="20.33203125" style="131" customWidth="1"/>
    <col min="10" max="10" width="5" style="131" bestFit="1" customWidth="1"/>
    <col min="11" max="16384" width="13" style="131"/>
  </cols>
  <sheetData>
    <row r="1" spans="1:19" ht="21" customHeight="1" x14ac:dyDescent="0.15">
      <c r="A1" s="119" t="s">
        <v>182</v>
      </c>
      <c r="B1" s="120" t="s">
        <v>181</v>
      </c>
      <c r="C1" s="121" t="s">
        <v>180</v>
      </c>
      <c r="D1" s="122" t="s">
        <v>179</v>
      </c>
      <c r="E1" s="122" t="s">
        <v>178</v>
      </c>
      <c r="F1" s="123" t="s">
        <v>177</v>
      </c>
      <c r="G1" s="124" t="s">
        <v>184</v>
      </c>
      <c r="H1" s="123" t="s">
        <v>176</v>
      </c>
      <c r="I1" s="124" t="s">
        <v>175</v>
      </c>
      <c r="J1" s="128" t="s">
        <v>174</v>
      </c>
    </row>
    <row r="2" spans="1:19" ht="21" customHeight="1" x14ac:dyDescent="0.15">
      <c r="A2" s="10">
        <v>955</v>
      </c>
      <c r="B2" s="134" t="s">
        <v>186</v>
      </c>
      <c r="C2" s="135" t="s">
        <v>342</v>
      </c>
      <c r="D2" s="135" t="s">
        <v>318</v>
      </c>
      <c r="E2" s="136">
        <f t="shared" ref="E2" si="0">LEN(D2)</f>
        <v>8</v>
      </c>
      <c r="F2" s="196" t="s">
        <v>358</v>
      </c>
      <c r="G2" s="57" t="str">
        <f ca="1">VLOOKUP($A2,OFFSET([1]characters!$A$1,0,0,COUNTA([1]characters!$A:$A),MATCH("name",[1]characters!$1:$1,0)-MATCH("character_id",[1]characters!$1:$1,0)+1),MATCH("name",[1]characters!$1:$1,0)-MATCH("character_id",[1]characters!$1:$1,0)+1,FALSE)</f>
        <v>マクローリン</v>
      </c>
      <c r="H2" s="137">
        <f>IFERROR(VLOOKUP(A2,[1]characters!$A:$R,18),0)</f>
        <v>3</v>
      </c>
      <c r="I2" s="137"/>
      <c r="J2" s="142"/>
      <c r="K2" s="138">
        <v>1</v>
      </c>
      <c r="L2" s="139"/>
      <c r="M2" s="140"/>
      <c r="N2" s="140"/>
      <c r="O2" s="140"/>
      <c r="P2" s="140"/>
      <c r="Q2" s="140"/>
      <c r="R2" s="135"/>
      <c r="S2" s="141"/>
    </row>
    <row r="3" spans="1:19" ht="21" customHeight="1" x14ac:dyDescent="0.15">
      <c r="A3" s="10">
        <v>956</v>
      </c>
      <c r="B3" s="134" t="s">
        <v>186</v>
      </c>
      <c r="C3" s="135" t="s">
        <v>342</v>
      </c>
      <c r="D3" s="135" t="s">
        <v>319</v>
      </c>
      <c r="E3" s="136">
        <f t="shared" ref="E3" si="1">LEN(D3)</f>
        <v>8</v>
      </c>
      <c r="F3" s="118" t="s">
        <v>358</v>
      </c>
      <c r="G3" s="57" t="str">
        <f ca="1">VLOOKUP($A3,OFFSET([1]characters!$A$1,0,0,COUNTA([1]characters!$A:$A),MATCH("name",[1]characters!$1:$1,0)-MATCH("character_id",[1]characters!$1:$1,0)+1),MATCH("name",[1]characters!$1:$1,0)-MATCH("character_id",[1]characters!$1:$1,0)+1,FALSE)</f>
        <v>導環の崇論 マクローリン</v>
      </c>
      <c r="H3" s="137">
        <f>IFERROR(VLOOKUP(A3,[1]characters!$A:$R,18),0)</f>
        <v>3</v>
      </c>
      <c r="I3" s="137"/>
      <c r="J3" s="142"/>
      <c r="K3" s="138">
        <v>1</v>
      </c>
      <c r="L3" s="139"/>
      <c r="M3" s="140"/>
      <c r="N3" s="140"/>
      <c r="O3" s="140"/>
      <c r="P3" s="140"/>
      <c r="Q3" s="140"/>
      <c r="R3" s="135"/>
      <c r="S3" s="141"/>
    </row>
    <row r="4" spans="1:19" ht="21" customHeight="1" x14ac:dyDescent="0.15">
      <c r="A4" s="10">
        <v>957</v>
      </c>
      <c r="B4" s="134" t="s">
        <v>186</v>
      </c>
      <c r="C4" s="135" t="s">
        <v>343</v>
      </c>
      <c r="D4" s="135" t="s">
        <v>339</v>
      </c>
      <c r="E4" s="136">
        <f t="shared" ref="E4" si="2">LEN(D4)</f>
        <v>9</v>
      </c>
      <c r="F4" s="118" t="s">
        <v>357</v>
      </c>
      <c r="G4" s="57" t="str">
        <f ca="1">VLOOKUP($A4,OFFSET([1]characters!$A$1,0,0,COUNTA([1]characters!$A:$A),MATCH("name",[1]characters!$1:$1,0)-MATCH("character_id",[1]characters!$1:$1,0)+1),MATCH("name",[1]characters!$1:$1,0)-MATCH("character_id",[1]characters!$1:$1,0)+1,FALSE)</f>
        <v>浮環の流律論 マクローリン</v>
      </c>
      <c r="H4" s="137">
        <f>IFERROR(VLOOKUP(A4,[1]characters!$A:$R,18),0)</f>
        <v>3</v>
      </c>
      <c r="I4" s="137"/>
      <c r="J4" s="142"/>
      <c r="K4" s="138">
        <v>1</v>
      </c>
      <c r="L4" s="139"/>
      <c r="M4" s="140"/>
      <c r="N4" s="140"/>
      <c r="O4" s="140"/>
      <c r="P4" s="140"/>
      <c r="Q4" s="140"/>
      <c r="R4" s="135"/>
      <c r="S4" s="141"/>
    </row>
  </sheetData>
  <sheetProtection selectLockedCells="1" selectUnlockedCells="1"/>
  <autoFilter ref="A1:J1"/>
  <phoneticPr fontId="22"/>
  <conditionalFormatting sqref="E2">
    <cfRule type="cellIs" dxfId="30" priority="3" operator="greaterThan">
      <formula>41</formula>
    </cfRule>
  </conditionalFormatting>
  <conditionalFormatting sqref="E3">
    <cfRule type="cellIs" dxfId="29" priority="2" operator="greaterThan">
      <formula>41</formula>
    </cfRule>
  </conditionalFormatting>
  <conditionalFormatting sqref="E4">
    <cfRule type="cellIs" dxfId="28"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31"/>
  <sheetViews>
    <sheetView workbookViewId="0">
      <selection activeCell="A16" sqref="A16"/>
    </sheetView>
  </sheetViews>
  <sheetFormatPr baseColWidth="12" defaultRowHeight="15" outlineLevelCol="1" x14ac:dyDescent="0.15"/>
  <cols>
    <col min="2" max="2" width="12.83203125" style="144"/>
    <col min="4" max="4" width="12.83203125" style="144" customWidth="1" outlineLevel="1"/>
    <col min="5" max="5" width="12.83203125" style="144"/>
    <col min="8" max="8" width="26.33203125" bestFit="1" customWidth="1"/>
  </cols>
  <sheetData>
    <row r="1" spans="1:8" x14ac:dyDescent="0.15">
      <c r="A1" s="115" t="s">
        <v>187</v>
      </c>
      <c r="B1" s="143" t="s">
        <v>188</v>
      </c>
      <c r="C1" s="115" t="s">
        <v>189</v>
      </c>
      <c r="D1" s="143" t="s">
        <v>191</v>
      </c>
      <c r="E1" s="143" t="s">
        <v>192</v>
      </c>
      <c r="F1" s="113" t="s">
        <v>193</v>
      </c>
      <c r="G1" s="115" t="s">
        <v>190</v>
      </c>
      <c r="H1" s="113" t="s">
        <v>194</v>
      </c>
    </row>
    <row r="2" spans="1:8" x14ac:dyDescent="0.15">
      <c r="A2" s="109">
        <v>955</v>
      </c>
      <c r="B2" s="143" t="str">
        <f>VLOOKUP(A2,[1]characters!$A:$C,3,FALSE)</f>
        <v>マクローリン</v>
      </c>
      <c r="C2" s="109" t="s">
        <v>195</v>
      </c>
      <c r="D2" s="143" t="str">
        <f t="shared" ref="D2:D9" si="0">A2&amp;C2</f>
        <v>955skill</v>
      </c>
      <c r="E2" s="143" t="str">
        <f>A2&amp;+(COUNTIF(A2:A$40,A2)-1)</f>
        <v>9553</v>
      </c>
      <c r="F2" s="109" t="s">
        <v>197</v>
      </c>
      <c r="G2" s="109" t="s">
        <v>196</v>
      </c>
      <c r="H2" s="109" t="s">
        <v>344</v>
      </c>
    </row>
    <row r="3" spans="1:8" x14ac:dyDescent="0.15">
      <c r="A3" s="109">
        <v>955</v>
      </c>
      <c r="B3" s="143" t="str">
        <f>VLOOKUP(A3,[1]characters!$A:$C,3,FALSE)</f>
        <v>マクローリン</v>
      </c>
      <c r="C3" s="109" t="s">
        <v>198</v>
      </c>
      <c r="D3" s="143" t="str">
        <f t="shared" si="0"/>
        <v>955cskill</v>
      </c>
      <c r="E3" s="143" t="str">
        <f>A3&amp;+(COUNTIF(A3:A$40,A3)-1)</f>
        <v>9552</v>
      </c>
      <c r="F3" s="109" t="s">
        <v>186</v>
      </c>
      <c r="G3" s="109" t="s">
        <v>196</v>
      </c>
      <c r="H3" s="109" t="s">
        <v>345</v>
      </c>
    </row>
    <row r="4" spans="1:8" x14ac:dyDescent="0.15">
      <c r="A4" s="109">
        <v>955</v>
      </c>
      <c r="B4" s="143" t="str">
        <f>VLOOKUP(A4,[1]characters!$A:$C,3,FALSE)</f>
        <v>マクローリン</v>
      </c>
      <c r="C4" s="109" t="s">
        <v>198</v>
      </c>
      <c r="D4" s="143" t="str">
        <f t="shared" si="0"/>
        <v>955cskill</v>
      </c>
      <c r="E4" s="143" t="str">
        <f>A4&amp;+(COUNTIF(A4:A$40,A4)-1)</f>
        <v>9551</v>
      </c>
      <c r="F4" s="109" t="s">
        <v>186</v>
      </c>
      <c r="G4" s="109" t="s">
        <v>316</v>
      </c>
      <c r="H4" s="109" t="s">
        <v>346</v>
      </c>
    </row>
    <row r="5" spans="1:8" x14ac:dyDescent="0.15">
      <c r="A5" s="109">
        <v>955</v>
      </c>
      <c r="B5" s="143" t="str">
        <f>VLOOKUP(A5,[1]characters!$A:$C,3,FALSE)</f>
        <v>マクローリン</v>
      </c>
      <c r="C5" s="109" t="s">
        <v>198</v>
      </c>
      <c r="D5" s="143" t="str">
        <f t="shared" si="0"/>
        <v>955cskill</v>
      </c>
      <c r="E5" s="143" t="str">
        <f>A5&amp;+(COUNTIF(A5:A$40,A5)-1)</f>
        <v>9550</v>
      </c>
      <c r="F5" s="109" t="s">
        <v>186</v>
      </c>
      <c r="G5" s="109" t="s">
        <v>196</v>
      </c>
      <c r="H5" s="109" t="s">
        <v>347</v>
      </c>
    </row>
    <row r="6" spans="1:8" x14ac:dyDescent="0.15">
      <c r="A6" s="109">
        <v>956</v>
      </c>
      <c r="B6" s="143" t="str">
        <f>VLOOKUP(A6,[1]characters!$A:$C,3,FALSE)</f>
        <v>導環の崇論 マクローリン</v>
      </c>
      <c r="C6" s="109" t="s">
        <v>195</v>
      </c>
      <c r="D6" s="143" t="str">
        <f t="shared" si="0"/>
        <v>956skill</v>
      </c>
      <c r="E6" s="143" t="str">
        <f>A6&amp;+(COUNTIF(A6:A$40,A6)-1)</f>
        <v>9564</v>
      </c>
      <c r="F6" s="109" t="s">
        <v>197</v>
      </c>
      <c r="G6" s="109" t="s">
        <v>196</v>
      </c>
      <c r="H6" s="109" t="s">
        <v>348</v>
      </c>
    </row>
    <row r="7" spans="1:8" x14ac:dyDescent="0.15">
      <c r="A7" s="109">
        <v>956</v>
      </c>
      <c r="B7" s="143" t="str">
        <f>VLOOKUP(A7,[1]characters!$A:$C,3,FALSE)</f>
        <v>導環の崇論 マクローリン</v>
      </c>
      <c r="C7" s="109" t="s">
        <v>198</v>
      </c>
      <c r="D7" s="143" t="str">
        <f t="shared" si="0"/>
        <v>956cskill</v>
      </c>
      <c r="E7" s="143" t="str">
        <f>A7&amp;+(COUNTIF(A7:A$40,A7)-1)</f>
        <v>9563</v>
      </c>
      <c r="F7" s="109" t="s">
        <v>186</v>
      </c>
      <c r="G7" s="109" t="s">
        <v>196</v>
      </c>
      <c r="H7" s="109" t="s">
        <v>345</v>
      </c>
    </row>
    <row r="8" spans="1:8" x14ac:dyDescent="0.15">
      <c r="A8" s="109">
        <v>956</v>
      </c>
      <c r="B8" s="143" t="str">
        <f>VLOOKUP(A8,[1]characters!$A:$C,3,FALSE)</f>
        <v>導環の崇論 マクローリン</v>
      </c>
      <c r="C8" s="109" t="s">
        <v>198</v>
      </c>
      <c r="D8" s="143" t="str">
        <f t="shared" si="0"/>
        <v>956cskill</v>
      </c>
      <c r="E8" s="143" t="str">
        <f>A8&amp;+(COUNTIF(A8:A$40,A8)-1)</f>
        <v>9562</v>
      </c>
      <c r="F8" s="109" t="s">
        <v>186</v>
      </c>
      <c r="G8" s="109" t="s">
        <v>316</v>
      </c>
      <c r="H8" s="109" t="s">
        <v>346</v>
      </c>
    </row>
    <row r="9" spans="1:8" x14ac:dyDescent="0.15">
      <c r="A9" s="109">
        <v>956</v>
      </c>
      <c r="B9" s="143" t="str">
        <f>VLOOKUP(A9,[1]characters!$A:$C,3,FALSE)</f>
        <v>導環の崇論 マクローリン</v>
      </c>
      <c r="C9" s="109" t="s">
        <v>198</v>
      </c>
      <c r="D9" s="143" t="str">
        <f t="shared" si="0"/>
        <v>956cskill</v>
      </c>
      <c r="E9" s="143" t="str">
        <f>A9&amp;+(COUNTIF(A9:A$40,A9)-1)</f>
        <v>9561</v>
      </c>
      <c r="F9" s="109" t="s">
        <v>186</v>
      </c>
      <c r="G9" s="109" t="s">
        <v>196</v>
      </c>
      <c r="H9" s="109" t="s">
        <v>347</v>
      </c>
    </row>
    <row r="10" spans="1:8" x14ac:dyDescent="0.15">
      <c r="A10" s="109">
        <v>956</v>
      </c>
      <c r="B10" s="143" t="str">
        <f>VLOOKUP(A10,[1]characters!$A:$C,3,FALSE)</f>
        <v>導環の崇論 マクローリン</v>
      </c>
      <c r="C10" s="109" t="s">
        <v>198</v>
      </c>
      <c r="D10" s="143" t="str">
        <f t="shared" ref="D10:D14" si="1">A10&amp;C10</f>
        <v>956cskill</v>
      </c>
      <c r="E10" s="143" t="str">
        <f>A10&amp;+(COUNTIF(A10:A$40,A10)-1)</f>
        <v>9560</v>
      </c>
      <c r="F10" s="109" t="s">
        <v>186</v>
      </c>
      <c r="G10" s="109" t="s">
        <v>316</v>
      </c>
      <c r="H10" s="109" t="s">
        <v>349</v>
      </c>
    </row>
    <row r="11" spans="1:8" x14ac:dyDescent="0.15">
      <c r="A11" s="109">
        <v>957</v>
      </c>
      <c r="B11" s="143" t="str">
        <f>VLOOKUP(A11,[1]characters!$A:$C,3,FALSE)</f>
        <v>浮環の流律論 マクローリン</v>
      </c>
      <c r="C11" s="109" t="s">
        <v>195</v>
      </c>
      <c r="D11" s="143" t="str">
        <f t="shared" si="1"/>
        <v>957skill</v>
      </c>
      <c r="E11" s="143" t="str">
        <f>A11&amp;+(COUNTIF(A11:A$40,A11)-1)</f>
        <v>9574</v>
      </c>
      <c r="F11" s="109" t="s">
        <v>197</v>
      </c>
      <c r="G11" s="109" t="s">
        <v>316</v>
      </c>
      <c r="H11" s="109" t="s">
        <v>350</v>
      </c>
    </row>
    <row r="12" spans="1:8" x14ac:dyDescent="0.15">
      <c r="A12" s="109">
        <v>957</v>
      </c>
      <c r="B12" s="143" t="str">
        <f>VLOOKUP(A12,[1]characters!$A:$C,3,FALSE)</f>
        <v>浮環の流律論 マクローリン</v>
      </c>
      <c r="C12" s="109" t="s">
        <v>198</v>
      </c>
      <c r="D12" s="143" t="str">
        <f t="shared" si="1"/>
        <v>957cskill</v>
      </c>
      <c r="E12" s="143" t="str">
        <f>A12&amp;+(COUNTIF(A12:A$40,A12)-1)</f>
        <v>9573</v>
      </c>
      <c r="F12" s="109" t="s">
        <v>185</v>
      </c>
      <c r="G12" s="109" t="s">
        <v>196</v>
      </c>
      <c r="H12" s="109" t="s">
        <v>345</v>
      </c>
    </row>
    <row r="13" spans="1:8" x14ac:dyDescent="0.15">
      <c r="A13" s="109">
        <v>957</v>
      </c>
      <c r="B13" s="143" t="str">
        <f>VLOOKUP(A13,[1]characters!$A:$C,3,FALSE)</f>
        <v>浮環の流律論 マクローリン</v>
      </c>
      <c r="C13" s="109" t="s">
        <v>198</v>
      </c>
      <c r="D13" s="143" t="str">
        <f t="shared" si="1"/>
        <v>957cskill</v>
      </c>
      <c r="E13" s="143" t="str">
        <f>A13&amp;+(COUNTIF(A13:A$40,A13)-1)</f>
        <v>9572</v>
      </c>
      <c r="F13" s="109" t="s">
        <v>185</v>
      </c>
      <c r="G13" s="109" t="s">
        <v>316</v>
      </c>
      <c r="H13" s="109" t="s">
        <v>346</v>
      </c>
    </row>
    <row r="14" spans="1:8" x14ac:dyDescent="0.15">
      <c r="A14" s="109">
        <v>957</v>
      </c>
      <c r="B14" s="143" t="str">
        <f>VLOOKUP(A14,[1]characters!$A:$C,3,FALSE)</f>
        <v>浮環の流律論 マクローリン</v>
      </c>
      <c r="C14" s="109" t="s">
        <v>198</v>
      </c>
      <c r="D14" s="143" t="str">
        <f t="shared" si="1"/>
        <v>957cskill</v>
      </c>
      <c r="E14" s="143" t="str">
        <f>A14&amp;+(COUNTIF(A14:A$40,A14)-1)</f>
        <v>9571</v>
      </c>
      <c r="F14" s="109" t="s">
        <v>185</v>
      </c>
      <c r="G14" s="109" t="s">
        <v>196</v>
      </c>
      <c r="H14" s="109" t="s">
        <v>347</v>
      </c>
    </row>
    <row r="15" spans="1:8" x14ac:dyDescent="0.15">
      <c r="A15" s="109">
        <v>957</v>
      </c>
      <c r="B15" s="143" t="str">
        <f>VLOOKUP(A15,[1]characters!$A:$C,3,FALSE)</f>
        <v>浮環の流律論 マクローリン</v>
      </c>
      <c r="C15" s="109" t="s">
        <v>198</v>
      </c>
      <c r="D15" s="143" t="str">
        <f t="shared" ref="D15" si="2">A15&amp;C15</f>
        <v>957cskill</v>
      </c>
      <c r="E15" s="143" t="str">
        <f>A15&amp;+(COUNTIF(A15:A$40,A15)-1)</f>
        <v>9570</v>
      </c>
      <c r="F15" s="109" t="s">
        <v>185</v>
      </c>
      <c r="G15" s="109" t="s">
        <v>352</v>
      </c>
      <c r="H15" s="109" t="s">
        <v>351</v>
      </c>
    </row>
    <row r="16" spans="1:8" x14ac:dyDescent="0.15">
      <c r="A16" s="109"/>
      <c r="B16" s="143"/>
      <c r="C16" s="109"/>
      <c r="D16" s="143"/>
      <c r="E16" s="143"/>
      <c r="F16" s="109"/>
      <c r="G16" s="109"/>
      <c r="H16" s="109"/>
    </row>
    <row r="17" spans="1:8" x14ac:dyDescent="0.15">
      <c r="A17" s="109"/>
      <c r="B17" s="143"/>
      <c r="C17" s="109"/>
      <c r="D17" s="143"/>
      <c r="E17" s="143"/>
      <c r="F17" s="109"/>
      <c r="G17" s="109"/>
      <c r="H17" s="109"/>
    </row>
    <row r="18" spans="1:8" x14ac:dyDescent="0.15">
      <c r="A18" s="109"/>
      <c r="B18" s="143"/>
      <c r="C18" s="109"/>
      <c r="D18" s="143"/>
      <c r="E18" s="143"/>
      <c r="F18" s="109"/>
      <c r="G18" s="109"/>
      <c r="H18" s="109"/>
    </row>
    <row r="19" spans="1:8" x14ac:dyDescent="0.15">
      <c r="A19" s="109"/>
      <c r="B19" s="143"/>
      <c r="C19" s="109"/>
      <c r="D19" s="143"/>
      <c r="E19" s="143"/>
      <c r="F19" s="109"/>
      <c r="G19" s="109"/>
      <c r="H19" s="109"/>
    </row>
    <row r="20" spans="1:8" x14ac:dyDescent="0.15">
      <c r="A20" s="109"/>
      <c r="B20" s="143"/>
      <c r="C20" s="109"/>
      <c r="D20" s="143"/>
      <c r="E20" s="143"/>
      <c r="F20" s="109"/>
      <c r="G20" s="109"/>
      <c r="H20" s="109"/>
    </row>
    <row r="21" spans="1:8" x14ac:dyDescent="0.15">
      <c r="A21" s="109"/>
      <c r="B21" s="143"/>
      <c r="C21" s="109"/>
      <c r="D21" s="143"/>
      <c r="E21" s="143"/>
      <c r="F21" s="109"/>
      <c r="G21" s="109"/>
      <c r="H21" s="109"/>
    </row>
    <row r="22" spans="1:8" x14ac:dyDescent="0.15">
      <c r="A22" s="109"/>
      <c r="B22" s="143"/>
      <c r="C22" s="109"/>
      <c r="D22" s="143"/>
      <c r="E22" s="143"/>
      <c r="F22" s="109"/>
      <c r="G22" s="109"/>
      <c r="H22" s="109"/>
    </row>
    <row r="23" spans="1:8" x14ac:dyDescent="0.15">
      <c r="A23" s="109"/>
      <c r="B23" s="143"/>
      <c r="C23" s="109"/>
      <c r="D23" s="143"/>
      <c r="E23" s="143"/>
      <c r="F23" s="109"/>
      <c r="G23" s="109"/>
      <c r="H23" s="109"/>
    </row>
    <row r="24" spans="1:8" x14ac:dyDescent="0.15">
      <c r="A24" s="109"/>
      <c r="B24" s="143"/>
      <c r="C24" s="109"/>
      <c r="D24" s="143"/>
      <c r="E24" s="143"/>
      <c r="F24" s="109"/>
      <c r="G24" s="109"/>
      <c r="H24" s="109"/>
    </row>
    <row r="25" spans="1:8" x14ac:dyDescent="0.15">
      <c r="A25" s="109"/>
      <c r="B25" s="143"/>
      <c r="C25" s="109"/>
      <c r="D25" s="143"/>
      <c r="E25" s="143"/>
      <c r="F25" s="109"/>
      <c r="G25" s="109"/>
      <c r="H25" s="109"/>
    </row>
    <row r="26" spans="1:8" x14ac:dyDescent="0.15">
      <c r="A26" s="109"/>
      <c r="B26" s="143"/>
      <c r="C26" s="109"/>
      <c r="D26" s="143"/>
      <c r="E26" s="143"/>
      <c r="F26" s="109"/>
      <c r="G26" s="109"/>
      <c r="H26" s="109"/>
    </row>
    <row r="27" spans="1:8" x14ac:dyDescent="0.15">
      <c r="A27" s="109"/>
      <c r="B27" s="143"/>
      <c r="C27" s="109"/>
      <c r="D27" s="143"/>
      <c r="E27" s="143"/>
      <c r="F27" s="109"/>
      <c r="G27" s="109"/>
      <c r="H27" s="109"/>
    </row>
    <row r="28" spans="1:8" x14ac:dyDescent="0.15">
      <c r="A28" s="109"/>
      <c r="B28" s="143"/>
      <c r="C28" s="109"/>
      <c r="D28" s="143"/>
      <c r="E28" s="143"/>
      <c r="F28" s="109"/>
      <c r="G28" s="109"/>
      <c r="H28" s="109"/>
    </row>
    <row r="29" spans="1:8" x14ac:dyDescent="0.15">
      <c r="A29" s="109"/>
      <c r="B29" s="143"/>
      <c r="C29" s="109"/>
      <c r="D29" s="143"/>
      <c r="E29" s="143"/>
      <c r="F29" s="109"/>
      <c r="G29" s="109"/>
      <c r="H29" s="109"/>
    </row>
    <row r="30" spans="1:8" x14ac:dyDescent="0.15">
      <c r="A30" s="109"/>
      <c r="B30" s="143"/>
      <c r="C30" s="109"/>
      <c r="D30" s="143"/>
      <c r="E30" s="143"/>
      <c r="F30" s="109"/>
      <c r="G30" s="109"/>
      <c r="H30" s="109"/>
    </row>
    <row r="31" spans="1:8" x14ac:dyDescent="0.15">
      <c r="A31" s="109"/>
      <c r="B31" s="143"/>
      <c r="C31" s="109"/>
      <c r="D31" s="143"/>
      <c r="E31" s="143"/>
      <c r="F31" s="109"/>
      <c r="G31" s="109"/>
      <c r="H31" s="109"/>
    </row>
  </sheetData>
  <phoneticPr fontId="22"/>
  <dataValidations count="2">
    <dataValidation type="list" allowBlank="1" showInputMessage="1" showErrorMessage="1" sqref="G2:G15">
      <formula1>"maru,giza,kumo"</formula1>
    </dataValidation>
    <dataValidation type="list" allowBlank="1" showInputMessage="1" showErrorMessage="1" sqref="C2:C15">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5"/>
  <sheetViews>
    <sheetView showGridLines="0" workbookViewId="0">
      <pane xSplit="9" ySplit="1" topLeftCell="P2" activePane="bottomRight" state="frozen"/>
      <selection pane="topRight" activeCell="J1" sqref="J1"/>
      <selection pane="bottomLeft" activeCell="A3" sqref="A3"/>
      <selection pane="bottomRight" activeCell="P5" sqref="P5"/>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81" t="s">
        <v>275</v>
      </c>
      <c r="B1" s="95" t="s">
        <v>276</v>
      </c>
      <c r="C1" s="86" t="s">
        <v>277</v>
      </c>
      <c r="D1" s="86" t="s">
        <v>278</v>
      </c>
      <c r="E1" s="86" t="s">
        <v>279</v>
      </c>
      <c r="F1" s="86" t="s">
        <v>280</v>
      </c>
      <c r="G1" s="86" t="s">
        <v>1</v>
      </c>
      <c r="H1" s="182" t="s">
        <v>19</v>
      </c>
      <c r="I1" s="86" t="s">
        <v>0</v>
      </c>
      <c r="J1" s="85" t="s">
        <v>281</v>
      </c>
      <c r="K1" s="86" t="s">
        <v>276</v>
      </c>
      <c r="L1" s="87" t="s">
        <v>49</v>
      </c>
      <c r="M1" s="87" t="s">
        <v>48</v>
      </c>
      <c r="N1" s="87" t="s">
        <v>282</v>
      </c>
      <c r="O1" s="87" t="s">
        <v>283</v>
      </c>
      <c r="P1" s="92" t="s">
        <v>284</v>
      </c>
      <c r="Q1" s="91" t="s">
        <v>285</v>
      </c>
      <c r="R1" s="80" t="s">
        <v>276</v>
      </c>
      <c r="S1" s="92" t="s">
        <v>286</v>
      </c>
      <c r="T1" s="80" t="s">
        <v>276</v>
      </c>
      <c r="U1" s="92" t="s">
        <v>287</v>
      </c>
    </row>
    <row r="2" spans="1:21" ht="21" customHeight="1" x14ac:dyDescent="0.15">
      <c r="A2" s="183">
        <v>955</v>
      </c>
      <c r="B2" s="57" t="str">
        <f ca="1">VLOOKUP($A2,OFFSET([1]characters!$A$1,0,0,COUNTA([1]characters!$A:$A),MATCH(B$1,[1]characters!$1:$1,0)-MATCH($A$1,[1]characters!$1:$1,0)+1),MATCH(B$1,[1]characters!$1:$1,0)-MATCH($A$1,[1]characters!$1:$1,0)+1,FALSE)</f>
        <v>マクローリン</v>
      </c>
      <c r="C2" s="57" t="str">
        <f ca="1">VLOOKUP($A2,OFFSET([1]characters!$A$1,0,0,COUNTA([1]characters!$A:$A),MATCH(C$1,[1]characters!$1:$1,0)-MATCH($A$1,[1]characters!$1:$1,0)+1),MATCH(C$1,[1]characters!$1:$1,0)-MATCH($A$1,[1]characters!$1:$1,0)+1,FALSE)</f>
        <v>各属性相性良3・黄・R559</v>
      </c>
      <c r="D2" s="57" t="str">
        <f ca="1">VLOOKUP($A2,OFFSET([1]characters!$A$1,0,0,COUNTA([1]characters!$A:$A),MATCH(D$1,[1]characters!$1:$1,0)-MATCH($A$1,[1]characters!$1:$1,0)+1),MATCH(D$1,[1]characters!$1:$1,0)-MATCH($A$1,[1]characters!$1:$1,0)+1,FALSE)</f>
        <v>執行者</v>
      </c>
      <c r="E2" s="57" t="str">
        <f ca="1">VLOOKUP($A2,OFFSET([1]characters!$A$1,0,0,COUNTA([1]characters!$A:$A),MATCH(E$1,[1]characters!$1:$1,0)-MATCH($A$1,[1]characters!$1:$1,0)+1),MATCH(E$1,[1]characters!$1:$1,0)-MATCH($A$1,[1]characters!$1:$1,0)+1,FALSE)</f>
        <v>格好いい</v>
      </c>
      <c r="F2" s="57" t="str">
        <f ca="1">VLOOKUP($A2,OFFSET([1]characters!$A$1,0,0,COUNTA([1]characters!$A:$A),MATCH(F$1,[1]characters!$1:$1,0)-MATCH($A$1,[1]characters!$1:$1,0)+1),MATCH(F$1,[1]characters!$1:$1,0)-MATCH($A$1,[1]characters!$1:$1,0)+1,FALSE)</f>
        <v>男性</v>
      </c>
      <c r="G2" s="57">
        <f ca="1">VLOOKUP($A2,OFFSET([1]characters!$A$1,0,0,COUNTA([1]characters!$A:$A),MATCH(G$1,[1]characters!$1:$1,0)-MATCH($A$1,[1]characters!$1:$1,0)+1),MATCH(G$1,[1]characters!$1:$1,0)-MATCH($A$1,[1]characters!$1:$1,0)+1,FALSE)</f>
        <v>5</v>
      </c>
      <c r="H2" s="57" t="str">
        <f ca="1">VLOOKUP($A2,OFFSET([1]characters!$A$1,0,0,COUNTA([1]characters!$A:$A),MATCH(H$1,[1]characters!$1:$1,0)-MATCH($A$1,[1]characters!$1:$1,0)+1),MATCH(H$1,[1]characters!$1:$1,0)-MATCH($A$1,[1]characters!$1:$1,0)+1,FALSE)</f>
        <v>PremiumSSS</v>
      </c>
      <c r="I2" s="57" t="str">
        <f ca="1">VLOOKUP($A2,OFFSET([1]characters!$A$1,0,0,COUNTA([1]characters!$A:$A),MATCH(I$1,[1]characters!$1:$1,0)-MATCH($A$1,[1]characters!$1:$1,0)+1),MATCH(I$1,[1]characters!$1:$1,0)-MATCH($A$1,[1]characters!$1:$1,0)+1,FALSE)</f>
        <v>red</v>
      </c>
      <c r="J2" s="57" t="str">
        <f ca="1">VLOOKUP($A2,OFFSET([1]characters!$A$1,0,0,COUNTA([1]characters!$A:$A),MATCH(J$1,[1]characters!$1:$1,0)-MATCH($A$1,[1]characters!$1:$1,0)+1),MATCH(J$1,[1]characters!$1:$1,0)-MATCH($A$1,[1]characters!$1:$1,0)+1,FALSE)</f>
        <v>animal</v>
      </c>
      <c r="K2" s="5" t="str">
        <f ca="1">VLOOKUP(J2,[1]character_tribe_i18n!$A:$H,3,FALSE)</f>
        <v>アニマル</v>
      </c>
      <c r="L2" s="11" t="e">
        <f>VLOOKUP(#REF!,[1]character_tribe_i18n!$A:$H,4,FALSE)</f>
        <v>#REF!</v>
      </c>
      <c r="M2" s="11" t="e">
        <f>VLOOKUP(#REF!,[1]character_tribe_i18n!$A:$H,5,FALSE)</f>
        <v>#REF!</v>
      </c>
      <c r="N2" s="11" t="e">
        <f>VLOOKUP(#REF!,[1]character_tribe_i18n!$A:$H,6,FALSE)</f>
        <v>#REF!</v>
      </c>
      <c r="O2" s="11" t="e">
        <f>VLOOKUP(#REF!,[1]character_tribe_i18n!$A:$H,7,FALSE)</f>
        <v>#REF!</v>
      </c>
      <c r="P2" s="183" t="str">
        <f>VLOOKUP(Q2,[1]characters!$A:$AC,20)</f>
        <v>normal</v>
      </c>
      <c r="Q2" s="9">
        <v>956</v>
      </c>
      <c r="R2" s="62" t="str">
        <f ca="1">IF(Q2="NULL","",VLOOKUP($Q2,OFFSET([1]characters!$A$1,0,0,COUNTA([1]characters!$A:$A),MATCH(R$1,[1]characters!$1:$1,0)-MATCH($A$1,[1]characters!$1:$1,0)+1),MATCH(R$1,[1]characters!$1:$1,0)-MATCH($A$1,[1]characters!$1:$1,0)+1,FALSE))</f>
        <v>導環の崇論 マクローリン</v>
      </c>
      <c r="S2" s="5">
        <f ca="1">IF(ISNA(MATCH(A2,Q:Q,0)),A2,INDIRECT(ADDRESS(MATCH(A2,Q:Q,0),COLUMN())))</f>
        <v>955</v>
      </c>
      <c r="T2" s="62" t="str">
        <f ca="1">VLOOKUP($S2,OFFSET([1]characters!$A$1,0,0,COUNTA([1]characters!$A:$A),MATCH(T$1,[1]characters!$1:$1,0)-MATCH($A$1,[1]characters!$1:$1,0)+1),MATCH(T$1,[1]characters!$1:$1,0)-MATCH($A$1,[1]characters!$1:$1,0)+1,FALSE)</f>
        <v>マクローリン</v>
      </c>
      <c r="U2" s="11">
        <f ca="1">IF(Q2="NULL","NULL",VLOOKUP(G2,[2]ビット!$A$2:$B$7,2))</f>
        <v>200000</v>
      </c>
    </row>
    <row r="3" spans="1:21" ht="21" customHeight="1" x14ac:dyDescent="0.15">
      <c r="A3" s="183">
        <v>955</v>
      </c>
      <c r="B3" s="57" t="str">
        <f ca="1">VLOOKUP($A3,OFFSET([1]characters!$A$1,0,0,COUNTA([1]characters!$A:$A),MATCH(B$1,[1]characters!$1:$1,0)-MATCH($A$1,[1]characters!$1:$1,0)+1),MATCH(B$1,[1]characters!$1:$1,0)-MATCH($A$1,[1]characters!$1:$1,0)+1,FALSE)</f>
        <v>マクローリン</v>
      </c>
      <c r="C3" s="57" t="str">
        <f ca="1">VLOOKUP($A3,OFFSET([1]characters!$A$1,0,0,COUNTA([1]characters!$A:$A),MATCH(C$1,[1]characters!$1:$1,0)-MATCH($A$1,[1]characters!$1:$1,0)+1),MATCH(C$1,[1]characters!$1:$1,0)-MATCH($A$1,[1]characters!$1:$1,0)+1,FALSE)</f>
        <v>各属性相性良3・黄・R559</v>
      </c>
      <c r="D3" s="57" t="str">
        <f ca="1">VLOOKUP($A3,OFFSET([1]characters!$A$1,0,0,COUNTA([1]characters!$A:$A),MATCH(D$1,[1]characters!$1:$1,0)-MATCH($A$1,[1]characters!$1:$1,0)+1),MATCH(D$1,[1]characters!$1:$1,0)-MATCH($A$1,[1]characters!$1:$1,0)+1,FALSE)</f>
        <v>執行者</v>
      </c>
      <c r="E3" s="57" t="str">
        <f ca="1">VLOOKUP($A3,OFFSET([1]characters!$A$1,0,0,COUNTA([1]characters!$A:$A),MATCH(E$1,[1]characters!$1:$1,0)-MATCH($A$1,[1]characters!$1:$1,0)+1),MATCH(E$1,[1]characters!$1:$1,0)-MATCH($A$1,[1]characters!$1:$1,0)+1,FALSE)</f>
        <v>格好いい</v>
      </c>
      <c r="F3" s="57" t="str">
        <f ca="1">VLOOKUP($A3,OFFSET([1]characters!$A$1,0,0,COUNTA([1]characters!$A:$A),MATCH(F$1,[1]characters!$1:$1,0)-MATCH($A$1,[1]characters!$1:$1,0)+1),MATCH(F$1,[1]characters!$1:$1,0)-MATCH($A$1,[1]characters!$1:$1,0)+1,FALSE)</f>
        <v>男性</v>
      </c>
      <c r="G3" s="57">
        <f ca="1">VLOOKUP($A3,OFFSET([1]characters!$A$1,0,0,COUNTA([1]characters!$A:$A),MATCH(G$1,[1]characters!$1:$1,0)-MATCH($A$1,[1]characters!$1:$1,0)+1),MATCH(G$1,[1]characters!$1:$1,0)-MATCH($A$1,[1]characters!$1:$1,0)+1,FALSE)</f>
        <v>5</v>
      </c>
      <c r="H3" s="57" t="str">
        <f ca="1">VLOOKUP($A3,OFFSET([1]characters!$A$1,0,0,COUNTA([1]characters!$A:$A),MATCH(H$1,[1]characters!$1:$1,0)-MATCH($A$1,[1]characters!$1:$1,0)+1),MATCH(H$1,[1]characters!$1:$1,0)-MATCH($A$1,[1]characters!$1:$1,0)+1,FALSE)</f>
        <v>PremiumSSS</v>
      </c>
      <c r="I3" s="57" t="str">
        <f ca="1">VLOOKUP($A3,OFFSET([1]characters!$A$1,0,0,COUNTA([1]characters!$A:$A),MATCH(I$1,[1]characters!$1:$1,0)-MATCH($A$1,[1]characters!$1:$1,0)+1),MATCH(I$1,[1]characters!$1:$1,0)-MATCH($A$1,[1]characters!$1:$1,0)+1,FALSE)</f>
        <v>red</v>
      </c>
      <c r="J3" s="57" t="str">
        <f ca="1">VLOOKUP($A3,OFFSET([1]characters!$A$1,0,0,COUNTA([1]characters!$A:$A),MATCH(J$1,[1]characters!$1:$1,0)-MATCH($A$1,[1]characters!$1:$1,0)+1),MATCH(J$1,[1]characters!$1:$1,0)-MATCH($A$1,[1]characters!$1:$1,0)+1,FALSE)</f>
        <v>animal</v>
      </c>
      <c r="K3" s="5" t="str">
        <f ca="1">VLOOKUP(J3,[1]character_tribe_i18n!$A:$H,3,FALSE)</f>
        <v>アニマル</v>
      </c>
      <c r="L3" s="11" t="e">
        <f>VLOOKUP(#REF!,[1]character_tribe_i18n!$A:$H,4,FALSE)</f>
        <v>#REF!</v>
      </c>
      <c r="M3" s="11" t="e">
        <f>VLOOKUP(#REF!,[1]character_tribe_i18n!$A:$H,5,FALSE)</f>
        <v>#REF!</v>
      </c>
      <c r="N3" s="11" t="e">
        <f>VLOOKUP(#REF!,[1]character_tribe_i18n!$A:$H,6,FALSE)</f>
        <v>#REF!</v>
      </c>
      <c r="O3" s="11" t="e">
        <f>VLOOKUP(#REF!,[1]character_tribe_i18n!$A:$H,7,FALSE)</f>
        <v>#REF!</v>
      </c>
      <c r="P3" s="183" t="str">
        <f>VLOOKUP(Q3,[1]characters!$A:$AC,20)</f>
        <v>super</v>
      </c>
      <c r="Q3" s="9">
        <v>957</v>
      </c>
      <c r="R3" s="62" t="str">
        <f ca="1">IF(Q3="NULL","",VLOOKUP($Q3,OFFSET([1]characters!$A$1,0,0,COUNTA([1]characters!$A:$A),MATCH(R$1,[1]characters!$1:$1,0)-MATCH($A$1,[1]characters!$1:$1,0)+1),MATCH(R$1,[1]characters!$1:$1,0)-MATCH($A$1,[1]characters!$1:$1,0)+1,FALSE))</f>
        <v>浮環の流律論 マクローリン</v>
      </c>
      <c r="S3" s="5">
        <f ca="1">IF(ISNA(MATCH(A3,Q:Q,0)),A3,INDIRECT(ADDRESS(MATCH(A3,Q:Q,0),COLUMN())))</f>
        <v>955</v>
      </c>
      <c r="T3" s="62" t="str">
        <f ca="1">VLOOKUP($S3,OFFSET([1]characters!$A$1,0,0,COUNTA([1]characters!$A:$A),MATCH(T$1,[1]characters!$1:$1,0)-MATCH($A$1,[1]characters!$1:$1,0)+1),MATCH(T$1,[1]characters!$1:$1,0)-MATCH($A$1,[1]characters!$1:$1,0)+1,FALSE)</f>
        <v>マクローリン</v>
      </c>
      <c r="U3" s="11">
        <f ca="1">IF(Q3="NULL","NULL",VLOOKUP(G3,[2]ビット!$A$2:$B$7,2))</f>
        <v>200000</v>
      </c>
    </row>
    <row r="4" spans="1:21" ht="21" customHeight="1" x14ac:dyDescent="0.15">
      <c r="A4" s="183">
        <v>956</v>
      </c>
      <c r="B4" s="57" t="str">
        <f ca="1">VLOOKUP($A4,OFFSET([1]characters!$A$1,0,0,COUNTA([1]characters!$A:$A),MATCH(B$1,[1]characters!$1:$1,0)-MATCH($A$1,[1]characters!$1:$1,0)+1),MATCH(B$1,[1]characters!$1:$1,0)-MATCH($A$1,[1]characters!$1:$1,0)+1,FALSE)</f>
        <v>導環の崇論 マクローリン</v>
      </c>
      <c r="C4" s="57" t="str">
        <f ca="1">VLOOKUP($A4,OFFSET([1]characters!$A$1,0,0,COUNTA([1]characters!$A:$A),MATCH(C$1,[1]characters!$1:$1,0)-MATCH($A$1,[1]characters!$1:$1,0)+1),MATCH(C$1,[1]characters!$1:$1,0)-MATCH($A$1,[1]characters!$1:$1,0)+1,FALSE)</f>
        <v>各属性相性良3・黄・R560</v>
      </c>
      <c r="D4" s="57" t="str">
        <f ca="1">VLOOKUP($A4,OFFSET([1]characters!$A$1,0,0,COUNTA([1]characters!$A:$A),MATCH(D$1,[1]characters!$1:$1,0)-MATCH($A$1,[1]characters!$1:$1,0)+1),MATCH(D$1,[1]characters!$1:$1,0)-MATCH($A$1,[1]characters!$1:$1,0)+1,FALSE)</f>
        <v>執行者</v>
      </c>
      <c r="E4" s="57" t="str">
        <f ca="1">VLOOKUP($A4,OFFSET([1]characters!$A$1,0,0,COUNTA([1]characters!$A:$A),MATCH(E$1,[1]characters!$1:$1,0)-MATCH($A$1,[1]characters!$1:$1,0)+1),MATCH(E$1,[1]characters!$1:$1,0)-MATCH($A$1,[1]characters!$1:$1,0)+1,FALSE)</f>
        <v>格好いい</v>
      </c>
      <c r="F4" s="57" t="str">
        <f ca="1">VLOOKUP($A4,OFFSET([1]characters!$A$1,0,0,COUNTA([1]characters!$A:$A),MATCH(F$1,[1]characters!$1:$1,0)-MATCH($A$1,[1]characters!$1:$1,0)+1),MATCH(F$1,[1]characters!$1:$1,0)-MATCH($A$1,[1]characters!$1:$1,0)+1,FALSE)</f>
        <v>男性</v>
      </c>
      <c r="G4" s="57">
        <f ca="1">VLOOKUP($A4,OFFSET([1]characters!$A$1,0,0,COUNTA([1]characters!$A:$A),MATCH(G$1,[1]characters!$1:$1,0)-MATCH($A$1,[1]characters!$1:$1,0)+1),MATCH(G$1,[1]characters!$1:$1,0)-MATCH($A$1,[1]characters!$1:$1,0)+1,FALSE)</f>
        <v>6</v>
      </c>
      <c r="H4" s="57" t="str">
        <f ca="1">VLOOKUP($A4,OFFSET([1]characters!$A$1,0,0,COUNTA([1]characters!$A:$A),MATCH(H$1,[1]characters!$1:$1,0)-MATCH($A$1,[1]characters!$1:$1,0)+1),MATCH(H$1,[1]characters!$1:$1,0)-MATCH($A$1,[1]characters!$1:$1,0)+1,FALSE)</f>
        <v>PremiumSSS</v>
      </c>
      <c r="I4" s="57" t="str">
        <f ca="1">VLOOKUP($A4,OFFSET([1]characters!$A$1,0,0,COUNTA([1]characters!$A:$A),MATCH(I$1,[1]characters!$1:$1,0)-MATCH($A$1,[1]characters!$1:$1,0)+1),MATCH(I$1,[1]characters!$1:$1,0)-MATCH($A$1,[1]characters!$1:$1,0)+1,FALSE)</f>
        <v>red</v>
      </c>
      <c r="J4" s="57" t="str">
        <f ca="1">VLOOKUP($A4,OFFSET([1]characters!$A$1,0,0,COUNTA([1]characters!$A:$A),MATCH(J$1,[1]characters!$1:$1,0)-MATCH($A$1,[1]characters!$1:$1,0)+1),MATCH(J$1,[1]characters!$1:$1,0)-MATCH($A$1,[1]characters!$1:$1,0)+1,FALSE)</f>
        <v>animal</v>
      </c>
      <c r="K4" s="5" t="str">
        <f ca="1">VLOOKUP(J4,[1]character_tribe_i18n!$A:$H,3,FALSE)</f>
        <v>アニマル</v>
      </c>
      <c r="L4" s="11" t="e">
        <f>VLOOKUP(#REF!,[1]character_tribe_i18n!$A:$H,4,FALSE)</f>
        <v>#REF!</v>
      </c>
      <c r="M4" s="11" t="e">
        <f>VLOOKUP(#REF!,[1]character_tribe_i18n!$A:$H,5,FALSE)</f>
        <v>#REF!</v>
      </c>
      <c r="N4" s="11" t="e">
        <f>VLOOKUP(#REF!,[1]character_tribe_i18n!$A:$H,6,FALSE)</f>
        <v>#REF!</v>
      </c>
      <c r="O4" s="11" t="e">
        <f>VLOOKUP(#REF!,[1]character_tribe_i18n!$A:$H,7,FALSE)</f>
        <v>#REF!</v>
      </c>
      <c r="P4" s="183" t="str">
        <f>VLOOKUP(Q4,[1]characters!$A:$AC,20)</f>
        <v>super</v>
      </c>
      <c r="Q4" s="9">
        <v>957</v>
      </c>
      <c r="R4" s="62" t="str">
        <f ca="1">IF(Q4="NULL","",VLOOKUP($Q4,OFFSET([1]characters!$A$1,0,0,COUNTA([1]characters!$A:$A),MATCH(R$1,[1]characters!$1:$1,0)-MATCH($A$1,[1]characters!$1:$1,0)+1),MATCH(R$1,[1]characters!$1:$1,0)-MATCH($A$1,[1]characters!$1:$1,0)+1,FALSE))</f>
        <v>浮環の流律論 マクローリン</v>
      </c>
      <c r="S4" s="5">
        <f ca="1">IF(ISNA(MATCH(A4,Q:Q,0)),A4,INDIRECT(ADDRESS(MATCH(A4,Q:Q,0),COLUMN())))</f>
        <v>955</v>
      </c>
      <c r="T4" s="62" t="str">
        <f ca="1">VLOOKUP($S4,OFFSET([1]characters!$A$1,0,0,COUNTA([1]characters!$A:$A),MATCH(T$1,[1]characters!$1:$1,0)-MATCH($A$1,[1]characters!$1:$1,0)+1),MATCH(T$1,[1]characters!$1:$1,0)-MATCH($A$1,[1]characters!$1:$1,0)+1,FALSE)</f>
        <v>マクローリン</v>
      </c>
      <c r="U4" s="11">
        <f ca="1">IF(Q4="NULL","NULL",VLOOKUP(G4,[2]ビット!$A$2:$B$7,2))</f>
        <v>200000</v>
      </c>
    </row>
    <row r="5" spans="1:21" ht="21" customHeight="1" x14ac:dyDescent="0.15">
      <c r="A5" s="183">
        <v>957</v>
      </c>
      <c r="B5" s="57" t="str">
        <f ca="1">VLOOKUP($A5,OFFSET([1]characters!$A$1,0,0,COUNTA([1]characters!$A:$A),MATCH(B$1,[1]characters!$1:$1,0)-MATCH($A$1,[1]characters!$1:$1,0)+1),MATCH(B$1,[1]characters!$1:$1,0)-MATCH($A$1,[1]characters!$1:$1,0)+1,FALSE)</f>
        <v>浮環の流律論 マクローリン</v>
      </c>
      <c r="C5" s="57" t="str">
        <f ca="1">VLOOKUP($A5,OFFSET([1]characters!$A$1,0,0,COUNTA([1]characters!$A:$A),MATCH(C$1,[1]characters!$1:$1,0)-MATCH($A$1,[1]characters!$1:$1,0)+1),MATCH(C$1,[1]characters!$1:$1,0)-MATCH($A$1,[1]characters!$1:$1,0)+1,FALSE)</f>
        <v>各属性相性良3・黄・R561</v>
      </c>
      <c r="D5" s="57" t="str">
        <f ca="1">VLOOKUP($A5,OFFSET([1]characters!$A$1,0,0,COUNTA([1]characters!$A:$A),MATCH(D$1,[1]characters!$1:$1,0)-MATCH($A$1,[1]characters!$1:$1,0)+1),MATCH(D$1,[1]characters!$1:$1,0)-MATCH($A$1,[1]characters!$1:$1,0)+1,FALSE)</f>
        <v>執行者</v>
      </c>
      <c r="E5" s="57" t="str">
        <f ca="1">VLOOKUP($A5,OFFSET([1]characters!$A$1,0,0,COUNTA([1]characters!$A:$A),MATCH(E$1,[1]characters!$1:$1,0)-MATCH($A$1,[1]characters!$1:$1,0)+1),MATCH(E$1,[1]characters!$1:$1,0)-MATCH($A$1,[1]characters!$1:$1,0)+1,FALSE)</f>
        <v>格好いい</v>
      </c>
      <c r="F5" s="57" t="str">
        <f ca="1">VLOOKUP($A5,OFFSET([1]characters!$A$1,0,0,COUNTA([1]characters!$A:$A),MATCH(F$1,[1]characters!$1:$1,0)-MATCH($A$1,[1]characters!$1:$1,0)+1),MATCH(F$1,[1]characters!$1:$1,0)-MATCH($A$1,[1]characters!$1:$1,0)+1,FALSE)</f>
        <v>男性</v>
      </c>
      <c r="G5" s="57">
        <f ca="1">VLOOKUP($A5,OFFSET([1]characters!$A$1,0,0,COUNTA([1]characters!$A:$A),MATCH(G$1,[1]characters!$1:$1,0)-MATCH($A$1,[1]characters!$1:$1,0)+1),MATCH(G$1,[1]characters!$1:$1,0)-MATCH($A$1,[1]characters!$1:$1,0)+1,FALSE)</f>
        <v>6</v>
      </c>
      <c r="H5" s="57" t="str">
        <f ca="1">VLOOKUP($A5,OFFSET([1]characters!$A$1,0,0,COUNTA([1]characters!$A:$A),MATCH(H$1,[1]characters!$1:$1,0)-MATCH($A$1,[1]characters!$1:$1,0)+1),MATCH(H$1,[1]characters!$1:$1,0)-MATCH($A$1,[1]characters!$1:$1,0)+1,FALSE)</f>
        <v>PremiumSSS</v>
      </c>
      <c r="I5" s="57" t="str">
        <f ca="1">VLOOKUP($A5,OFFSET([1]characters!$A$1,0,0,COUNTA([1]characters!$A:$A),MATCH(I$1,[1]characters!$1:$1,0)-MATCH($A$1,[1]characters!$1:$1,0)+1),MATCH(I$1,[1]characters!$1:$1,0)-MATCH($A$1,[1]characters!$1:$1,0)+1,FALSE)</f>
        <v>red</v>
      </c>
      <c r="J5" s="57" t="str">
        <f ca="1">VLOOKUP($A5,OFFSET([1]characters!$A$1,0,0,COUNTA([1]characters!$A:$A),MATCH(J$1,[1]characters!$1:$1,0)-MATCH($A$1,[1]characters!$1:$1,0)+1),MATCH(J$1,[1]characters!$1:$1,0)-MATCH($A$1,[1]characters!$1:$1,0)+1,FALSE)</f>
        <v>animal</v>
      </c>
      <c r="K5" s="5" t="str">
        <f ca="1">VLOOKUP(J5,[1]character_tribe_i18n!$A:$H,3,FALSE)</f>
        <v>アニマル</v>
      </c>
      <c r="L5" s="11" t="e">
        <f>VLOOKUP(#REF!,[1]character_tribe_i18n!$A:$H,4,FALSE)</f>
        <v>#REF!</v>
      </c>
      <c r="M5" s="11" t="e">
        <f>VLOOKUP(#REF!,[1]character_tribe_i18n!$A:$H,5,FALSE)</f>
        <v>#REF!</v>
      </c>
      <c r="N5" s="11" t="e">
        <f>VLOOKUP(#REF!,[1]character_tribe_i18n!$A:$H,6,FALSE)</f>
        <v>#REF!</v>
      </c>
      <c r="O5" s="11" t="e">
        <f>VLOOKUP(#REF!,[1]character_tribe_i18n!$A:$H,7,FALSE)</f>
        <v>#REF!</v>
      </c>
      <c r="P5" s="183" t="str">
        <f>VLOOKUP(Q5,[1]characters!$A:$AC,20)</f>
        <v>normal</v>
      </c>
      <c r="Q5" s="9">
        <v>956</v>
      </c>
      <c r="R5" s="62" t="str">
        <f ca="1">IF(Q5="NULL","",VLOOKUP($Q5,OFFSET([1]characters!$A$1,0,0,COUNTA([1]characters!$A:$A),MATCH(R$1,[1]characters!$1:$1,0)-MATCH($A$1,[1]characters!$1:$1,0)+1),MATCH(R$1,[1]characters!$1:$1,0)-MATCH($A$1,[1]characters!$1:$1,0)+1,FALSE))</f>
        <v>導環の崇論 マクローリン</v>
      </c>
      <c r="S5" s="5">
        <f ca="1">IF(ISNA(MATCH(A5,Q:Q,0)),A5,INDIRECT(ADDRESS(MATCH(A5,Q:Q,0),COLUMN())))</f>
        <v>955</v>
      </c>
      <c r="T5" s="62" t="str">
        <f ca="1">VLOOKUP($S5,OFFSET([1]characters!$A$1,0,0,COUNTA([1]characters!$A:$A),MATCH(T$1,[1]characters!$1:$1,0)-MATCH($A$1,[1]characters!$1:$1,0)+1),MATCH(T$1,[1]characters!$1:$1,0)-MATCH($A$1,[1]characters!$1:$1,0)+1,FALSE)</f>
        <v>マクローリン</v>
      </c>
      <c r="U5" s="11">
        <f ca="1">IF(Q5="NULL","NULL",VLOOKUP(G5,[2]ビット!$A$2:$B$7,2))</f>
        <v>200000</v>
      </c>
    </row>
  </sheetData>
  <autoFilter ref="A1:U2"/>
  <phoneticPr fontId="22"/>
  <conditionalFormatting sqref="W1:W2 W6:W1048576">
    <cfRule type="cellIs" dxfId="27" priority="7" operator="equal">
      <formula>"FALSE"</formula>
    </cfRule>
  </conditionalFormatting>
  <conditionalFormatting sqref="W3">
    <cfRule type="cellIs" dxfId="26" priority="3" operator="equal">
      <formula>"FALSE"</formula>
    </cfRule>
  </conditionalFormatting>
  <conditionalFormatting sqref="W4">
    <cfRule type="cellIs" dxfId="25" priority="2" operator="equal">
      <formula>"FALSE"</formula>
    </cfRule>
  </conditionalFormatting>
  <conditionalFormatting sqref="W5">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3"/>
  <sheetViews>
    <sheetView showGridLines="0" workbookViewId="0">
      <pane ySplit="1" topLeftCell="A2" activePane="bottomLeft" state="frozen"/>
      <selection pane="bottomLeft" activeCell="D14" sqref="D14"/>
    </sheetView>
  </sheetViews>
  <sheetFormatPr baseColWidth="12" defaultColWidth="13" defaultRowHeight="15" x14ac:dyDescent="0.15"/>
  <cols>
    <col min="1" max="1" width="11.5" style="65"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5" t="s">
        <v>99</v>
      </c>
      <c r="B1" s="42" t="s">
        <v>38</v>
      </c>
      <c r="C1" s="184" t="s">
        <v>288</v>
      </c>
      <c r="D1" s="20" t="s">
        <v>40</v>
      </c>
      <c r="E1" s="20" t="s">
        <v>42</v>
      </c>
      <c r="F1" s="20" t="s">
        <v>43</v>
      </c>
      <c r="G1" s="184" t="s">
        <v>289</v>
      </c>
      <c r="H1" s="20" t="s">
        <v>40</v>
      </c>
      <c r="I1" s="43" t="s">
        <v>36</v>
      </c>
      <c r="J1" s="20" t="s">
        <v>41</v>
      </c>
      <c r="K1" s="19" t="s">
        <v>37</v>
      </c>
      <c r="L1" s="187" t="s">
        <v>127</v>
      </c>
      <c r="M1" s="188" t="s">
        <v>291</v>
      </c>
    </row>
    <row r="2" spans="1:14" ht="21" customHeight="1" x14ac:dyDescent="0.15">
      <c r="A2" s="65" t="str">
        <f>B2&amp;"_"&amp;I2</f>
        <v>955_102</v>
      </c>
      <c r="B2" s="44">
        <v>955</v>
      </c>
      <c r="C2" s="185">
        <f>B2</f>
        <v>955</v>
      </c>
      <c r="D2" s="57" t="str">
        <f ca="1">VLOOKUP($C2,OFFSET([1]characters!$A$1,0,0,COUNTA([1]characters!$A:$A),MATCH(D$1,[1]characters!$1:$1,0)-MATCH($C$1,[1]characters!$1:$1,0)+1),MATCH(D$1,[1]characters!$1:$1,0)-MATCH($C$1,[1]characters!$1:$1,0)+1,FALSE)</f>
        <v>マクローリン</v>
      </c>
      <c r="E2" s="57">
        <f ca="1">VLOOKUP($C2,OFFSET([1]characters!$A$1,0,0,COUNTA([1]characters!$A:$A),MATCH(E$1,[1]characters!$1:$1,0)-MATCH($C$1,[1]characters!$1:$1,0)+1),MATCH(E$1,[1]characters!$1:$1,0)-MATCH($C$1,[1]characters!$1:$1,0)+1,FALSE)</f>
        <v>5</v>
      </c>
      <c r="F2" s="57" t="str">
        <f ca="1">VLOOKUP($C2,OFFSET([1]characters!$A$1,0,0,COUNTA([1]characters!$A:$A),MATCH(F$1,[1]characters!$1:$1,0)-MATCH($C$1,[1]characters!$1:$1,0)+1),MATCH(F$1,[1]characters!$1:$1,0)-MATCH($C$1,[1]characters!$1:$1,0)+1,FALSE)</f>
        <v>PremiumSSS</v>
      </c>
      <c r="G2" s="186">
        <v>956</v>
      </c>
      <c r="H2" s="57" t="str">
        <f ca="1">VLOOKUP($G2,OFFSET([1]characters!$A$1,0,0,COUNTA([1]characters!$A:$A),MATCH(H$1,[1]characters!$1:$1,0)-MATCH($C$1,[1]characters!$1:$1,0)+1),MATCH(H$1,[1]characters!$1:$1,0)-MATCH($C$1,[1]characters!$1:$1,0)+1,FALSE)</f>
        <v>導環の崇論 マクローリン</v>
      </c>
      <c r="I2" s="195">
        <v>102</v>
      </c>
      <c r="J2" s="57" t="str">
        <f ca="1">VLOOKUP($I2,OFFSET([1]characters!$A$1,0,0,COUNTA([1]characters!$A:$A),MATCH(J$1,[1]characters!$1:$1,0)-MATCH($C$1,[1]characters!$1:$1,0)+1),MATCH(J$1,[1]characters!$1:$1,0)-MATCH($C$1,[1]characters!$1:$1,0)+1,FALSE)</f>
        <v>レッドラビット</v>
      </c>
      <c r="K2" s="18">
        <v>1</v>
      </c>
      <c r="L2" s="114">
        <v>1</v>
      </c>
      <c r="M2" s="114">
        <v>10</v>
      </c>
      <c r="N2" s="2" t="s">
        <v>290</v>
      </c>
    </row>
    <row r="3" spans="1:14" ht="21" customHeight="1" x14ac:dyDescent="0.15">
      <c r="A3" s="65" t="str">
        <f t="shared" ref="A3:A4" si="0">B3&amp;"_"&amp;I3</f>
        <v>955_103</v>
      </c>
      <c r="B3" s="44">
        <v>955</v>
      </c>
      <c r="C3" s="185">
        <f>B3</f>
        <v>955</v>
      </c>
      <c r="D3" s="57" t="str">
        <f ca="1">VLOOKUP($C3,OFFSET([1]characters!$A$1,0,0,COUNTA([1]characters!$A:$A),MATCH(D$1,[1]characters!$1:$1,0)-MATCH($C$1,[1]characters!$1:$1,0)+1),MATCH(D$1,[1]characters!$1:$1,0)-MATCH($C$1,[1]characters!$1:$1,0)+1,FALSE)</f>
        <v>マクローリン</v>
      </c>
      <c r="E3" s="57">
        <f ca="1">VLOOKUP($C3,OFFSET([1]characters!$A$1,0,0,COUNTA([1]characters!$A:$A),MATCH(E$1,[1]characters!$1:$1,0)-MATCH($C$1,[1]characters!$1:$1,0)+1),MATCH(E$1,[1]characters!$1:$1,0)-MATCH($C$1,[1]characters!$1:$1,0)+1,FALSE)</f>
        <v>5</v>
      </c>
      <c r="F3" s="57" t="str">
        <f ca="1">VLOOKUP($C3,OFFSET([1]characters!$A$1,0,0,COUNTA([1]characters!$A:$A),MATCH(F$1,[1]characters!$1:$1,0)-MATCH($C$1,[1]characters!$1:$1,0)+1),MATCH(F$1,[1]characters!$1:$1,0)-MATCH($C$1,[1]characters!$1:$1,0)+1,FALSE)</f>
        <v>PremiumSSS</v>
      </c>
      <c r="G3" s="186">
        <v>956</v>
      </c>
      <c r="H3" s="57" t="str">
        <f ca="1">VLOOKUP($G3,OFFSET([1]characters!$A$1,0,0,COUNTA([1]characters!$A:$A),MATCH(H$1,[1]characters!$1:$1,0)-MATCH($C$1,[1]characters!$1:$1,0)+1),MATCH(H$1,[1]characters!$1:$1,0)-MATCH($C$1,[1]characters!$1:$1,0)+1,FALSE)</f>
        <v>導環の崇論 マクローリン</v>
      </c>
      <c r="I3" s="195">
        <v>103</v>
      </c>
      <c r="J3" s="57" t="str">
        <f ca="1">VLOOKUP($I3,OFFSET([1]characters!$A$1,0,0,COUNTA([1]characters!$A:$A),MATCH(J$1,[1]characters!$1:$1,0)-MATCH($C$1,[1]characters!$1:$1,0)+1),MATCH(J$1,[1]characters!$1:$1,0)-MATCH($C$1,[1]characters!$1:$1,0)+1,FALSE)</f>
        <v>レッドキャタップ</v>
      </c>
      <c r="K3" s="18">
        <v>1</v>
      </c>
      <c r="L3" s="114">
        <v>1</v>
      </c>
      <c r="M3" s="114">
        <v>100</v>
      </c>
      <c r="N3" s="2" t="s">
        <v>290</v>
      </c>
    </row>
    <row r="4" spans="1:14" ht="21" customHeight="1" x14ac:dyDescent="0.15">
      <c r="A4" s="65" t="str">
        <f t="shared" si="0"/>
        <v>955_356</v>
      </c>
      <c r="B4" s="44">
        <v>955</v>
      </c>
      <c r="C4" s="185">
        <f t="shared" ref="C4" si="1">B4</f>
        <v>955</v>
      </c>
      <c r="D4" s="57" t="str">
        <f ca="1">VLOOKUP($C4,OFFSET([1]characters!$A$1,0,0,COUNTA([1]characters!$A:$A),MATCH(D$1,[1]characters!$1:$1,0)-MATCH($C$1,[1]characters!$1:$1,0)+1),MATCH(D$1,[1]characters!$1:$1,0)-MATCH($C$1,[1]characters!$1:$1,0)+1,FALSE)</f>
        <v>マクローリン</v>
      </c>
      <c r="E4" s="57">
        <f ca="1">VLOOKUP($C4,OFFSET([1]characters!$A$1,0,0,COUNTA([1]characters!$A:$A),MATCH(E$1,[1]characters!$1:$1,0)-MATCH($C$1,[1]characters!$1:$1,0)+1),MATCH(E$1,[1]characters!$1:$1,0)-MATCH($C$1,[1]characters!$1:$1,0)+1,FALSE)</f>
        <v>5</v>
      </c>
      <c r="F4" s="57" t="str">
        <f ca="1">VLOOKUP($C4,OFFSET([1]characters!$A$1,0,0,COUNTA([1]characters!$A:$A),MATCH(F$1,[1]characters!$1:$1,0)-MATCH($C$1,[1]characters!$1:$1,0)+1),MATCH(F$1,[1]characters!$1:$1,0)-MATCH($C$1,[1]characters!$1:$1,0)+1,FALSE)</f>
        <v>PremiumSSS</v>
      </c>
      <c r="G4" s="186">
        <v>956</v>
      </c>
      <c r="H4" s="57" t="str">
        <f ca="1">VLOOKUP($G4,OFFSET([1]characters!$A$1,0,0,COUNTA([1]characters!$A:$A),MATCH(H$1,[1]characters!$1:$1,0)-MATCH($C$1,[1]characters!$1:$1,0)+1),MATCH(H$1,[1]characters!$1:$1,0)-MATCH($C$1,[1]characters!$1:$1,0)+1,FALSE)</f>
        <v>導環の崇論 マクローリン</v>
      </c>
      <c r="I4" s="195">
        <v>356</v>
      </c>
      <c r="J4" s="57" t="str">
        <f ca="1">VLOOKUP($I4,OFFSET([1]characters!$A$1,0,0,COUNTA([1]characters!$A:$A),MATCH(J$1,[1]characters!$1:$1,0)-MATCH($C$1,[1]characters!$1:$1,0)+1),MATCH(J$1,[1]characters!$1:$1,0)-MATCH($C$1,[1]characters!$1:$1,0)+1,FALSE)</f>
        <v>炎上のドードー</v>
      </c>
      <c r="K4" s="18">
        <v>1</v>
      </c>
      <c r="L4" s="114">
        <v>1</v>
      </c>
      <c r="M4" s="114">
        <v>100</v>
      </c>
      <c r="N4" s="2" t="s">
        <v>290</v>
      </c>
    </row>
    <row r="5" spans="1:14" ht="21" customHeight="1" x14ac:dyDescent="0.15">
      <c r="A5" s="65" t="str">
        <f t="shared" ref="A5" si="2">B5&amp;"_"&amp;I5</f>
        <v>955_837</v>
      </c>
      <c r="B5" s="44">
        <v>955</v>
      </c>
      <c r="C5" s="185">
        <f t="shared" ref="C5" si="3">B5</f>
        <v>955</v>
      </c>
      <c r="D5" s="57" t="str">
        <f ca="1">VLOOKUP($C5,OFFSET([1]characters!$A$1,0,0,COUNTA([1]characters!$A:$A),MATCH(D$1,[1]characters!$1:$1,0)-MATCH($C$1,[1]characters!$1:$1,0)+1),MATCH(D$1,[1]characters!$1:$1,0)-MATCH($C$1,[1]characters!$1:$1,0)+1,FALSE)</f>
        <v>マクローリン</v>
      </c>
      <c r="E5" s="57">
        <f ca="1">VLOOKUP($C5,OFFSET([1]characters!$A$1,0,0,COUNTA([1]characters!$A:$A),MATCH(E$1,[1]characters!$1:$1,0)-MATCH($C$1,[1]characters!$1:$1,0)+1),MATCH(E$1,[1]characters!$1:$1,0)-MATCH($C$1,[1]characters!$1:$1,0)+1,FALSE)</f>
        <v>5</v>
      </c>
      <c r="F5" s="57" t="str">
        <f ca="1">VLOOKUP($C5,OFFSET([1]characters!$A$1,0,0,COUNTA([1]characters!$A:$A),MATCH(F$1,[1]characters!$1:$1,0)-MATCH($C$1,[1]characters!$1:$1,0)+1),MATCH(F$1,[1]characters!$1:$1,0)-MATCH($C$1,[1]characters!$1:$1,0)+1,FALSE)</f>
        <v>PremiumSSS</v>
      </c>
      <c r="G5" s="186">
        <v>956</v>
      </c>
      <c r="H5" s="57" t="str">
        <f ca="1">VLOOKUP($G5,OFFSET([1]characters!$A$1,0,0,COUNTA([1]characters!$A:$A),MATCH(H$1,[1]characters!$1:$1,0)-MATCH($C$1,[1]characters!$1:$1,0)+1),MATCH(H$1,[1]characters!$1:$1,0)-MATCH($C$1,[1]characters!$1:$1,0)+1,FALSE)</f>
        <v>導環の崇論 マクローリン</v>
      </c>
      <c r="I5" s="195">
        <v>837</v>
      </c>
      <c r="J5" s="57" t="str">
        <f ca="1">VLOOKUP($I5,OFFSET([1]characters!$A$1,0,0,COUNTA([1]characters!$A:$A),MATCH(J$1,[1]characters!$1:$1,0)-MATCH($C$1,[1]characters!$1:$1,0)+1),MATCH(J$1,[1]characters!$1:$1,0)-MATCH($C$1,[1]characters!$1:$1,0)+1,FALSE)</f>
        <v>リトルハンプティ</v>
      </c>
      <c r="K5" s="18">
        <v>1</v>
      </c>
      <c r="L5" s="114">
        <v>1</v>
      </c>
      <c r="M5" s="114">
        <v>1000</v>
      </c>
      <c r="N5" s="2" t="s">
        <v>290</v>
      </c>
    </row>
    <row r="6" spans="1:14" ht="21" customHeight="1" x14ac:dyDescent="0.15">
      <c r="A6" s="65" t="str">
        <f>B6&amp;"_"&amp;I6</f>
        <v>955_840</v>
      </c>
      <c r="B6" s="44">
        <v>955</v>
      </c>
      <c r="C6" s="185">
        <f>B6</f>
        <v>955</v>
      </c>
      <c r="D6" s="57" t="str">
        <f ca="1">VLOOKUP($C6,OFFSET([1]characters!$A$1,0,0,COUNTA([1]characters!$A:$A),MATCH(D$1,[1]characters!$1:$1,0)-MATCH($C$1,[1]characters!$1:$1,0)+1),MATCH(D$1,[1]characters!$1:$1,0)-MATCH($C$1,[1]characters!$1:$1,0)+1,FALSE)</f>
        <v>マクローリン</v>
      </c>
      <c r="E6" s="57">
        <f ca="1">VLOOKUP($C6,OFFSET([1]characters!$A$1,0,0,COUNTA([1]characters!$A:$A),MATCH(E$1,[1]characters!$1:$1,0)-MATCH($C$1,[1]characters!$1:$1,0)+1),MATCH(E$1,[1]characters!$1:$1,0)-MATCH($C$1,[1]characters!$1:$1,0)+1,FALSE)</f>
        <v>5</v>
      </c>
      <c r="F6" s="57" t="str">
        <f ca="1">VLOOKUP($C6,OFFSET([1]characters!$A$1,0,0,COUNTA([1]characters!$A:$A),MATCH(F$1,[1]characters!$1:$1,0)-MATCH($C$1,[1]characters!$1:$1,0)+1),MATCH(F$1,[1]characters!$1:$1,0)-MATCH($C$1,[1]characters!$1:$1,0)+1,FALSE)</f>
        <v>PremiumSSS</v>
      </c>
      <c r="G6" s="186">
        <v>957</v>
      </c>
      <c r="H6" s="57" t="str">
        <f ca="1">VLOOKUP($G6,OFFSET([1]characters!$A$1,0,0,COUNTA([1]characters!$A:$A),MATCH(H$1,[1]characters!$1:$1,0)-MATCH($C$1,[1]characters!$1:$1,0)+1),MATCH(H$1,[1]characters!$1:$1,0)-MATCH($C$1,[1]characters!$1:$1,0)+1,FALSE)</f>
        <v>浮環の流律論 マクローリン</v>
      </c>
      <c r="I6" s="195">
        <v>840</v>
      </c>
      <c r="J6" s="57" t="str">
        <f ca="1">VLOOKUP($I6,OFFSET([1]characters!$A$1,0,0,COUNTA([1]characters!$A:$A),MATCH(J$1,[1]characters!$1:$1,0)-MATCH($C$1,[1]characters!$1:$1,0)+1),MATCH(J$1,[1]characters!$1:$1,0)-MATCH($C$1,[1]characters!$1:$1,0)+1,FALSE)</f>
        <v>フェニックス</v>
      </c>
      <c r="K6" s="18">
        <v>1</v>
      </c>
      <c r="L6" s="114">
        <v>3</v>
      </c>
      <c r="M6" s="114">
        <v>100</v>
      </c>
      <c r="N6" s="2" t="s">
        <v>290</v>
      </c>
    </row>
    <row r="7" spans="1:14" ht="21" customHeight="1" x14ac:dyDescent="0.15">
      <c r="A7" s="65" t="str">
        <f t="shared" ref="A7:A9" si="4">B7&amp;"_"&amp;I7</f>
        <v>955_654</v>
      </c>
      <c r="B7" s="44">
        <v>955</v>
      </c>
      <c r="C7" s="185">
        <f>B7</f>
        <v>955</v>
      </c>
      <c r="D7" s="57" t="str">
        <f ca="1">VLOOKUP($C7,OFFSET([1]characters!$A$1,0,0,COUNTA([1]characters!$A:$A),MATCH(D$1,[1]characters!$1:$1,0)-MATCH($C$1,[1]characters!$1:$1,0)+1),MATCH(D$1,[1]characters!$1:$1,0)-MATCH($C$1,[1]characters!$1:$1,0)+1,FALSE)</f>
        <v>マクローリン</v>
      </c>
      <c r="E7" s="57">
        <f ca="1">VLOOKUP($C7,OFFSET([1]characters!$A$1,0,0,COUNTA([1]characters!$A:$A),MATCH(E$1,[1]characters!$1:$1,0)-MATCH($C$1,[1]characters!$1:$1,0)+1),MATCH(E$1,[1]characters!$1:$1,0)-MATCH($C$1,[1]characters!$1:$1,0)+1,FALSE)</f>
        <v>5</v>
      </c>
      <c r="F7" s="57" t="str">
        <f ca="1">VLOOKUP($C7,OFFSET([1]characters!$A$1,0,0,COUNTA([1]characters!$A:$A),MATCH(F$1,[1]characters!$1:$1,0)-MATCH($C$1,[1]characters!$1:$1,0)+1),MATCH(F$1,[1]characters!$1:$1,0)-MATCH($C$1,[1]characters!$1:$1,0)+1,FALSE)</f>
        <v>PremiumSSS</v>
      </c>
      <c r="G7" s="186">
        <v>957</v>
      </c>
      <c r="H7" s="57" t="str">
        <f ca="1">VLOOKUP($G7,OFFSET([1]characters!$A$1,0,0,COUNTA([1]characters!$A:$A),MATCH(H$1,[1]characters!$1:$1,0)-MATCH($C$1,[1]characters!$1:$1,0)+1),MATCH(H$1,[1]characters!$1:$1,0)-MATCH($C$1,[1]characters!$1:$1,0)+1,FALSE)</f>
        <v>浮環の流律論 マクローリン</v>
      </c>
      <c r="I7" s="195">
        <v>654</v>
      </c>
      <c r="J7" s="57" t="str">
        <f ca="1">VLOOKUP($I7,OFFSET([1]characters!$A$1,0,0,COUNTA([1]characters!$A:$A),MATCH(J$1,[1]characters!$1:$1,0)-MATCH($C$1,[1]characters!$1:$1,0)+1),MATCH(J$1,[1]characters!$1:$1,0)-MATCH($C$1,[1]characters!$1:$1,0)+1,FALSE)</f>
        <v>酒呑童子 ヨミ</v>
      </c>
      <c r="K7" s="18">
        <v>1</v>
      </c>
      <c r="L7" s="114">
        <v>3</v>
      </c>
      <c r="M7" s="114">
        <v>100</v>
      </c>
      <c r="N7" s="2" t="s">
        <v>290</v>
      </c>
    </row>
    <row r="8" spans="1:14" ht="21" customHeight="1" x14ac:dyDescent="0.15">
      <c r="A8" s="65" t="str">
        <f t="shared" si="4"/>
        <v>955_575</v>
      </c>
      <c r="B8" s="44">
        <v>955</v>
      </c>
      <c r="C8" s="185">
        <f t="shared" ref="C8:C9" si="5">B8</f>
        <v>955</v>
      </c>
      <c r="D8" s="57" t="str">
        <f ca="1">VLOOKUP($C8,OFFSET([1]characters!$A$1,0,0,COUNTA([1]characters!$A:$A),MATCH(D$1,[1]characters!$1:$1,0)-MATCH($C$1,[1]characters!$1:$1,0)+1),MATCH(D$1,[1]characters!$1:$1,0)-MATCH($C$1,[1]characters!$1:$1,0)+1,FALSE)</f>
        <v>マクローリン</v>
      </c>
      <c r="E8" s="57">
        <f ca="1">VLOOKUP($C8,OFFSET([1]characters!$A$1,0,0,COUNTA([1]characters!$A:$A),MATCH(E$1,[1]characters!$1:$1,0)-MATCH($C$1,[1]characters!$1:$1,0)+1),MATCH(E$1,[1]characters!$1:$1,0)-MATCH($C$1,[1]characters!$1:$1,0)+1,FALSE)</f>
        <v>5</v>
      </c>
      <c r="F8" s="57" t="str">
        <f ca="1">VLOOKUP($C8,OFFSET([1]characters!$A$1,0,0,COUNTA([1]characters!$A:$A),MATCH(F$1,[1]characters!$1:$1,0)-MATCH($C$1,[1]characters!$1:$1,0)+1),MATCH(F$1,[1]characters!$1:$1,0)-MATCH($C$1,[1]characters!$1:$1,0)+1,FALSE)</f>
        <v>PremiumSSS</v>
      </c>
      <c r="G8" s="186">
        <v>957</v>
      </c>
      <c r="H8" s="57" t="str">
        <f ca="1">VLOOKUP($G8,OFFSET([1]characters!$A$1,0,0,COUNTA([1]characters!$A:$A),MATCH(H$1,[1]characters!$1:$1,0)-MATCH($C$1,[1]characters!$1:$1,0)+1),MATCH(H$1,[1]characters!$1:$1,0)-MATCH($C$1,[1]characters!$1:$1,0)+1,FALSE)</f>
        <v>浮環の流律論 マクローリン</v>
      </c>
      <c r="I8" s="195">
        <v>575</v>
      </c>
      <c r="J8" s="57" t="str">
        <f ca="1">VLOOKUP($I8,OFFSET([1]characters!$A$1,0,0,COUNTA([1]characters!$A:$A),MATCH(J$1,[1]characters!$1:$1,0)-MATCH($C$1,[1]characters!$1:$1,0)+1),MATCH(J$1,[1]characters!$1:$1,0)-MATCH($C$1,[1]characters!$1:$1,0)+1,FALSE)</f>
        <v>フレイ</v>
      </c>
      <c r="K8" s="18">
        <v>1</v>
      </c>
      <c r="L8" s="114">
        <v>1</v>
      </c>
      <c r="M8" s="114">
        <v>100</v>
      </c>
      <c r="N8" s="2" t="s">
        <v>290</v>
      </c>
    </row>
    <row r="9" spans="1:14" ht="21" customHeight="1" x14ac:dyDescent="0.15">
      <c r="A9" s="65" t="str">
        <f t="shared" si="4"/>
        <v>956_840</v>
      </c>
      <c r="B9" s="44">
        <v>956</v>
      </c>
      <c r="C9" s="185">
        <f t="shared" si="5"/>
        <v>956</v>
      </c>
      <c r="D9" s="57" t="str">
        <f ca="1">VLOOKUP($C9,OFFSET([1]characters!$A$1,0,0,COUNTA([1]characters!$A:$A),MATCH(D$1,[1]characters!$1:$1,0)-MATCH($C$1,[1]characters!$1:$1,0)+1),MATCH(D$1,[1]characters!$1:$1,0)-MATCH($C$1,[1]characters!$1:$1,0)+1,FALSE)</f>
        <v>導環の崇論 マクローリン</v>
      </c>
      <c r="E9" s="57">
        <f ca="1">VLOOKUP($C9,OFFSET([1]characters!$A$1,0,0,COUNTA([1]characters!$A:$A),MATCH(E$1,[1]characters!$1:$1,0)-MATCH($C$1,[1]characters!$1:$1,0)+1),MATCH(E$1,[1]characters!$1:$1,0)-MATCH($C$1,[1]characters!$1:$1,0)+1,FALSE)</f>
        <v>6</v>
      </c>
      <c r="F9" s="57" t="str">
        <f ca="1">VLOOKUP($C9,OFFSET([1]characters!$A$1,0,0,COUNTA([1]characters!$A:$A),MATCH(F$1,[1]characters!$1:$1,0)-MATCH($C$1,[1]characters!$1:$1,0)+1),MATCH(F$1,[1]characters!$1:$1,0)-MATCH($C$1,[1]characters!$1:$1,0)+1,FALSE)</f>
        <v>PremiumSSS</v>
      </c>
      <c r="G9" s="186">
        <v>957</v>
      </c>
      <c r="H9" s="57" t="str">
        <f ca="1">VLOOKUP($G9,OFFSET([1]characters!$A$1,0,0,COUNTA([1]characters!$A:$A),MATCH(H$1,[1]characters!$1:$1,0)-MATCH($C$1,[1]characters!$1:$1,0)+1),MATCH(H$1,[1]characters!$1:$1,0)-MATCH($C$1,[1]characters!$1:$1,0)+1,FALSE)</f>
        <v>浮環の流律論 マクローリン</v>
      </c>
      <c r="I9" s="195">
        <v>840</v>
      </c>
      <c r="J9" s="57" t="str">
        <f ca="1">VLOOKUP($I9,OFFSET([1]characters!$A$1,0,0,COUNTA([1]characters!$A:$A),MATCH(J$1,[1]characters!$1:$1,0)-MATCH($C$1,[1]characters!$1:$1,0)+1),MATCH(J$1,[1]characters!$1:$1,0)-MATCH($C$1,[1]characters!$1:$1,0)+1,FALSE)</f>
        <v>フェニックス</v>
      </c>
      <c r="K9" s="18">
        <v>1</v>
      </c>
      <c r="L9" s="114">
        <v>2</v>
      </c>
      <c r="M9" s="114">
        <v>100</v>
      </c>
      <c r="N9" s="2" t="s">
        <v>290</v>
      </c>
    </row>
    <row r="10" spans="1:14" ht="21" customHeight="1" x14ac:dyDescent="0.15">
      <c r="A10" s="65" t="str">
        <f t="shared" ref="A10" si="6">B10&amp;"_"&amp;I10</f>
        <v>956_654</v>
      </c>
      <c r="B10" s="44">
        <v>956</v>
      </c>
      <c r="C10" s="185">
        <f t="shared" ref="C10" si="7">B10</f>
        <v>956</v>
      </c>
      <c r="D10" s="57" t="str">
        <f ca="1">VLOOKUP($C10,OFFSET([1]characters!$A$1,0,0,COUNTA([1]characters!$A:$A),MATCH(D$1,[1]characters!$1:$1,0)-MATCH($C$1,[1]characters!$1:$1,0)+1),MATCH(D$1,[1]characters!$1:$1,0)-MATCH($C$1,[1]characters!$1:$1,0)+1,FALSE)</f>
        <v>導環の崇論 マクローリン</v>
      </c>
      <c r="E10" s="57">
        <f ca="1">VLOOKUP($C10,OFFSET([1]characters!$A$1,0,0,COUNTA([1]characters!$A:$A),MATCH(E$1,[1]characters!$1:$1,0)-MATCH($C$1,[1]characters!$1:$1,0)+1),MATCH(E$1,[1]characters!$1:$1,0)-MATCH($C$1,[1]characters!$1:$1,0)+1,FALSE)</f>
        <v>6</v>
      </c>
      <c r="F10" s="57" t="str">
        <f ca="1">VLOOKUP($C10,OFFSET([1]characters!$A$1,0,0,COUNTA([1]characters!$A:$A),MATCH(F$1,[1]characters!$1:$1,0)-MATCH($C$1,[1]characters!$1:$1,0)+1),MATCH(F$1,[1]characters!$1:$1,0)-MATCH($C$1,[1]characters!$1:$1,0)+1,FALSE)</f>
        <v>PremiumSSS</v>
      </c>
      <c r="G10" s="186">
        <v>957</v>
      </c>
      <c r="H10" s="57" t="str">
        <f ca="1">VLOOKUP($G10,OFFSET([1]characters!$A$1,0,0,COUNTA([1]characters!$A:$A),MATCH(H$1,[1]characters!$1:$1,0)-MATCH($C$1,[1]characters!$1:$1,0)+1),MATCH(H$1,[1]characters!$1:$1,0)-MATCH($C$1,[1]characters!$1:$1,0)+1,FALSE)</f>
        <v>浮環の流律論 マクローリン</v>
      </c>
      <c r="I10" s="195">
        <v>654</v>
      </c>
      <c r="J10" s="57" t="str">
        <f ca="1">VLOOKUP($I10,OFFSET([1]characters!$A$1,0,0,COUNTA([1]characters!$A:$A),MATCH(J$1,[1]characters!$1:$1,0)-MATCH($C$1,[1]characters!$1:$1,0)+1),MATCH(J$1,[1]characters!$1:$1,0)-MATCH($C$1,[1]characters!$1:$1,0)+1,FALSE)</f>
        <v>酒呑童子 ヨミ</v>
      </c>
      <c r="K10" s="18">
        <v>1</v>
      </c>
      <c r="L10" s="114">
        <v>2</v>
      </c>
      <c r="M10" s="114">
        <v>100</v>
      </c>
      <c r="N10" s="2" t="s">
        <v>290</v>
      </c>
    </row>
    <row r="11" spans="1:14" ht="21" customHeight="1" x14ac:dyDescent="0.15">
      <c r="A11" s="65" t="str">
        <f t="shared" ref="A11" si="8">B11&amp;"_"&amp;I11</f>
        <v>957_102</v>
      </c>
      <c r="B11" s="44">
        <v>957</v>
      </c>
      <c r="C11" s="185">
        <f t="shared" ref="C11" si="9">B11</f>
        <v>957</v>
      </c>
      <c r="D11" s="57" t="str">
        <f ca="1">VLOOKUP($C11,OFFSET([1]characters!$A$1,0,0,COUNTA([1]characters!$A:$A),MATCH(D$1,[1]characters!$1:$1,0)-MATCH($C$1,[1]characters!$1:$1,0)+1),MATCH(D$1,[1]characters!$1:$1,0)-MATCH($C$1,[1]characters!$1:$1,0)+1,FALSE)</f>
        <v>浮環の流律論 マクローリン</v>
      </c>
      <c r="E11" s="57">
        <f ca="1">VLOOKUP($C11,OFFSET([1]characters!$A$1,0,0,COUNTA([1]characters!$A:$A),MATCH(E$1,[1]characters!$1:$1,0)-MATCH($C$1,[1]characters!$1:$1,0)+1),MATCH(E$1,[1]characters!$1:$1,0)-MATCH($C$1,[1]characters!$1:$1,0)+1,FALSE)</f>
        <v>6</v>
      </c>
      <c r="F11" s="57" t="str">
        <f ca="1">VLOOKUP($C11,OFFSET([1]characters!$A$1,0,0,COUNTA([1]characters!$A:$A),MATCH(F$1,[1]characters!$1:$1,0)-MATCH($C$1,[1]characters!$1:$1,0)+1),MATCH(F$1,[1]characters!$1:$1,0)-MATCH($C$1,[1]characters!$1:$1,0)+1,FALSE)</f>
        <v>PremiumSSS</v>
      </c>
      <c r="G11" s="186">
        <v>956</v>
      </c>
      <c r="H11" s="57" t="str">
        <f ca="1">VLOOKUP($G11,OFFSET([1]characters!$A$1,0,0,COUNTA([1]characters!$A:$A),MATCH(H$1,[1]characters!$1:$1,0)-MATCH($C$1,[1]characters!$1:$1,0)+1),MATCH(H$1,[1]characters!$1:$1,0)-MATCH($C$1,[1]characters!$1:$1,0)+1,FALSE)</f>
        <v>導環の崇論 マクローリン</v>
      </c>
      <c r="I11" s="195">
        <v>102</v>
      </c>
      <c r="J11" s="57" t="str">
        <f ca="1">VLOOKUP($I11,OFFSET([1]characters!$A$1,0,0,COUNTA([1]characters!$A:$A),MATCH(J$1,[1]characters!$1:$1,0)-MATCH($C$1,[1]characters!$1:$1,0)+1),MATCH(J$1,[1]characters!$1:$1,0)-MATCH($C$1,[1]characters!$1:$1,0)+1,FALSE)</f>
        <v>レッドラビット</v>
      </c>
      <c r="K11" s="18">
        <v>1</v>
      </c>
      <c r="L11" s="114">
        <v>1</v>
      </c>
      <c r="M11" s="114">
        <v>10</v>
      </c>
      <c r="N11" s="2" t="s">
        <v>290</v>
      </c>
    </row>
    <row r="12" spans="1:14" ht="21" customHeight="1" x14ac:dyDescent="0.15">
      <c r="A12" s="65" t="str">
        <f t="shared" ref="A12" si="10">B12&amp;"_"&amp;I12</f>
        <v>957_103</v>
      </c>
      <c r="B12" s="44">
        <v>957</v>
      </c>
      <c r="C12" s="185">
        <f t="shared" ref="C12" si="11">B12</f>
        <v>957</v>
      </c>
      <c r="D12" s="57" t="str">
        <f ca="1">VLOOKUP($C12,OFFSET([1]characters!$A$1,0,0,COUNTA([1]characters!$A:$A),MATCH(D$1,[1]characters!$1:$1,0)-MATCH($C$1,[1]characters!$1:$1,0)+1),MATCH(D$1,[1]characters!$1:$1,0)-MATCH($C$1,[1]characters!$1:$1,0)+1,FALSE)</f>
        <v>浮環の流律論 マクローリン</v>
      </c>
      <c r="E12" s="57">
        <f ca="1">VLOOKUP($C12,OFFSET([1]characters!$A$1,0,0,COUNTA([1]characters!$A:$A),MATCH(E$1,[1]characters!$1:$1,0)-MATCH($C$1,[1]characters!$1:$1,0)+1),MATCH(E$1,[1]characters!$1:$1,0)-MATCH($C$1,[1]characters!$1:$1,0)+1,FALSE)</f>
        <v>6</v>
      </c>
      <c r="F12" s="57" t="str">
        <f ca="1">VLOOKUP($C12,OFFSET([1]characters!$A$1,0,0,COUNTA([1]characters!$A:$A),MATCH(F$1,[1]characters!$1:$1,0)-MATCH($C$1,[1]characters!$1:$1,0)+1),MATCH(F$1,[1]characters!$1:$1,0)-MATCH($C$1,[1]characters!$1:$1,0)+1,FALSE)</f>
        <v>PremiumSSS</v>
      </c>
      <c r="G12" s="186">
        <v>956</v>
      </c>
      <c r="H12" s="57" t="str">
        <f ca="1">VLOOKUP($G12,OFFSET([1]characters!$A$1,0,0,COUNTA([1]characters!$A:$A),MATCH(H$1,[1]characters!$1:$1,0)-MATCH($C$1,[1]characters!$1:$1,0)+1),MATCH(H$1,[1]characters!$1:$1,0)-MATCH($C$1,[1]characters!$1:$1,0)+1,FALSE)</f>
        <v>導環の崇論 マクローリン</v>
      </c>
      <c r="I12" s="195">
        <v>103</v>
      </c>
      <c r="J12" s="57" t="str">
        <f ca="1">VLOOKUP($I12,OFFSET([1]characters!$A$1,0,0,COUNTA([1]characters!$A:$A),MATCH(J$1,[1]characters!$1:$1,0)-MATCH($C$1,[1]characters!$1:$1,0)+1),MATCH(J$1,[1]characters!$1:$1,0)-MATCH($C$1,[1]characters!$1:$1,0)+1,FALSE)</f>
        <v>レッドキャタップ</v>
      </c>
      <c r="K12" s="18">
        <v>1</v>
      </c>
      <c r="L12" s="114">
        <v>1</v>
      </c>
      <c r="M12" s="114">
        <v>10</v>
      </c>
      <c r="N12" s="2" t="s">
        <v>290</v>
      </c>
    </row>
    <row r="13" spans="1:14" ht="21" customHeight="1" x14ac:dyDescent="0.15">
      <c r="A13" s="65" t="str">
        <f t="shared" ref="A13" si="12">B13&amp;"_"&amp;I13</f>
        <v>957_356</v>
      </c>
      <c r="B13" s="44">
        <v>957</v>
      </c>
      <c r="C13" s="185">
        <f t="shared" ref="C13" si="13">B13</f>
        <v>957</v>
      </c>
      <c r="D13" s="57" t="str">
        <f ca="1">VLOOKUP($C13,OFFSET([1]characters!$A$1,0,0,COUNTA([1]characters!$A:$A),MATCH(D$1,[1]characters!$1:$1,0)-MATCH($C$1,[1]characters!$1:$1,0)+1),MATCH(D$1,[1]characters!$1:$1,0)-MATCH($C$1,[1]characters!$1:$1,0)+1,FALSE)</f>
        <v>浮環の流律論 マクローリン</v>
      </c>
      <c r="E13" s="57">
        <f ca="1">VLOOKUP($C13,OFFSET([1]characters!$A$1,0,0,COUNTA([1]characters!$A:$A),MATCH(E$1,[1]characters!$1:$1,0)-MATCH($C$1,[1]characters!$1:$1,0)+1),MATCH(E$1,[1]characters!$1:$1,0)-MATCH($C$1,[1]characters!$1:$1,0)+1,FALSE)</f>
        <v>6</v>
      </c>
      <c r="F13" s="57" t="str">
        <f ca="1">VLOOKUP($C13,OFFSET([1]characters!$A$1,0,0,COUNTA([1]characters!$A:$A),MATCH(F$1,[1]characters!$1:$1,0)-MATCH($C$1,[1]characters!$1:$1,0)+1),MATCH(F$1,[1]characters!$1:$1,0)-MATCH($C$1,[1]characters!$1:$1,0)+1,FALSE)</f>
        <v>PremiumSSS</v>
      </c>
      <c r="G13" s="186">
        <v>956</v>
      </c>
      <c r="H13" s="57" t="str">
        <f ca="1">VLOOKUP($G13,OFFSET([1]characters!$A$1,0,0,COUNTA([1]characters!$A:$A),MATCH(H$1,[1]characters!$1:$1,0)-MATCH($C$1,[1]characters!$1:$1,0)+1),MATCH(H$1,[1]characters!$1:$1,0)-MATCH($C$1,[1]characters!$1:$1,0)+1,FALSE)</f>
        <v>導環の崇論 マクローリン</v>
      </c>
      <c r="I13" s="195">
        <v>356</v>
      </c>
      <c r="J13" s="57" t="str">
        <f ca="1">VLOOKUP($I13,OFFSET([1]characters!$A$1,0,0,COUNTA([1]characters!$A:$A),MATCH(J$1,[1]characters!$1:$1,0)-MATCH($C$1,[1]characters!$1:$1,0)+1),MATCH(J$1,[1]characters!$1:$1,0)-MATCH($C$1,[1]characters!$1:$1,0)+1,FALSE)</f>
        <v>炎上のドードー</v>
      </c>
      <c r="K13" s="18">
        <v>1</v>
      </c>
      <c r="L13" s="114">
        <v>1</v>
      </c>
      <c r="M13" s="114">
        <v>10</v>
      </c>
      <c r="N13"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topLeftCell="F1" workbookViewId="0">
      <selection activeCell="J2" sqref="J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6.33203125" customWidth="1"/>
    <col min="9" max="9" width="94.33203125" customWidth="1"/>
    <col min="10" max="10" width="7.5" bestFit="1" customWidth="1"/>
  </cols>
  <sheetData>
    <row r="1" spans="1:11" s="23" customFormat="1" ht="21" customHeight="1" x14ac:dyDescent="0.15">
      <c r="A1" s="172" t="s">
        <v>302</v>
      </c>
      <c r="B1" s="120" t="s">
        <v>303</v>
      </c>
      <c r="C1" s="121" t="s">
        <v>304</v>
      </c>
      <c r="D1" s="122" t="s">
        <v>305</v>
      </c>
      <c r="E1" s="122" t="s">
        <v>306</v>
      </c>
      <c r="F1" s="122" t="s">
        <v>307</v>
      </c>
      <c r="G1" s="122" t="s">
        <v>308</v>
      </c>
      <c r="H1" s="122" t="s">
        <v>309</v>
      </c>
      <c r="I1" s="180" t="s">
        <v>310</v>
      </c>
      <c r="J1" s="180" t="s">
        <v>368</v>
      </c>
      <c r="K1" s="173" t="s">
        <v>311</v>
      </c>
    </row>
    <row r="2" spans="1:11" s="23" customFormat="1" ht="47" customHeight="1" x14ac:dyDescent="0.15">
      <c r="A2" s="66">
        <v>95601</v>
      </c>
      <c r="B2" s="174" t="s">
        <v>334</v>
      </c>
      <c r="C2" s="175" t="s">
        <v>355</v>
      </c>
      <c r="D2" s="175" t="s">
        <v>360</v>
      </c>
      <c r="E2" s="175" t="s">
        <v>335</v>
      </c>
      <c r="F2" s="197" t="s">
        <v>366</v>
      </c>
      <c r="G2" s="198" t="s">
        <v>336</v>
      </c>
      <c r="H2" s="175" t="s">
        <v>337</v>
      </c>
      <c r="I2" s="190" t="str">
        <f>"{"&amp;""""&amp;$E$1&amp;""""&amp;":"&amp;""""&amp;E2&amp;""""&amp;","&amp;""""&amp;"type"&amp;""""&amp;":"&amp;""""&amp;"ability"&amp;""""&amp;","&amp;""""&amp;$G$1&amp;""""&amp;":"&amp;""""&amp;G2&amp;""""&amp;","&amp;""""&amp;$F$1&amp;""""&amp;":"&amp;""""&amp;F2&amp;""""&amp;","&amp;""""&amp;$H$1&amp;""""&amp;":"&amp;H2&amp;"}"</f>
        <v>{"ver":"1.7.0","type":"ability","effects":"[effect:damage_up, target:myself, val:2.9, turn:1, type01:all, option:killer]","conditions":"[condition:enclose,[condition:quest_id,quest:60027],[condition:unit_attack_target],logic:and]","priority":0}</v>
      </c>
      <c r="J2" s="190" t="s">
        <v>367</v>
      </c>
      <c r="K2" s="176">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4"/>
  <sheetViews>
    <sheetView workbookViewId="0">
      <selection activeCell="E4" sqref="E4"/>
    </sheetView>
  </sheetViews>
  <sheetFormatPr baseColWidth="12" defaultRowHeight="15" x14ac:dyDescent="0.15"/>
  <cols>
    <col min="5" max="5" width="22.6640625" customWidth="1"/>
    <col min="6" max="6" width="35.33203125" customWidth="1"/>
  </cols>
  <sheetData>
    <row r="1" spans="1:8" s="23" customFormat="1" ht="21" customHeight="1" x14ac:dyDescent="0.15">
      <c r="A1" s="172" t="s">
        <v>138</v>
      </c>
      <c r="B1" s="177" t="s">
        <v>266</v>
      </c>
      <c r="C1" s="120" t="s">
        <v>267</v>
      </c>
      <c r="D1" s="120" t="s">
        <v>268</v>
      </c>
      <c r="E1" s="178" t="s">
        <v>269</v>
      </c>
      <c r="F1" s="178" t="s">
        <v>270</v>
      </c>
      <c r="G1" s="123" t="s">
        <v>271</v>
      </c>
      <c r="H1" s="172" t="s">
        <v>272</v>
      </c>
    </row>
    <row r="2" spans="1:8" s="4" customFormat="1" ht="21" customHeight="1" x14ac:dyDescent="0.15">
      <c r="A2" s="174">
        <v>956</v>
      </c>
      <c r="B2" s="179" t="str">
        <f>VLOOKUP(A2,[1]characters!$A:$C,3)</f>
        <v>導環の崇論 マクローリン</v>
      </c>
      <c r="C2" s="174">
        <v>1</v>
      </c>
      <c r="D2" s="174">
        <v>95601</v>
      </c>
      <c r="E2" s="180" t="str">
        <f>IF(ISERROR(VLOOKUP(D2,[3]abilities!A:D,3,FALSE))=FALSE,VLOOKUP(D2,[3]abilities!A:D,3),IF(ISERROR(VLOOKUP(D2,abilities!A:D,3,FALSE))=FALSE,VLOOKUP(D2,abilities!A:D,3),"なし"))</f>
        <v>チューリングチャレンジ ダメージUP</v>
      </c>
      <c r="F2" s="180" t="str">
        <f>IF(ISERROR(VLOOKUP(D2,[3]abilities!A:D,4,FALSE))=FALSE,VLOOKUP(D2,[3]abilities!A:D,4),IF(ISERROR(VLOOKUP(D2,abilities!A:D,4,FALSE))=FALSE,VLOOKUP(D2,abilities!A:D,4),"なし"))</f>
        <v>チューリングチャレンジ内で自身の全ての攻撃の威力を究極UP</v>
      </c>
      <c r="G2" s="181" t="s">
        <v>273</v>
      </c>
      <c r="H2" s="181" t="s">
        <v>274</v>
      </c>
    </row>
    <row r="3" spans="1:8" s="4" customFormat="1" ht="21" customHeight="1" x14ac:dyDescent="0.15">
      <c r="A3" s="174">
        <v>956</v>
      </c>
      <c r="B3" s="179" t="str">
        <f>VLOOKUP(A3,[1]characters!$A:$C,3)</f>
        <v>導環の崇論 マクローリン</v>
      </c>
      <c r="C3" s="174">
        <v>2</v>
      </c>
      <c r="D3" s="174">
        <v>100</v>
      </c>
      <c r="E3" s="180" t="str">
        <f>IF(ISERROR(VLOOKUP(D3,[3]abilities!A:D,3,FALSE))=FALSE,VLOOKUP(D3,[3]abilities!A:D,3),IF(ISERROR(VLOOKUP(D3,abilities!A:D,3,FALSE))=FALSE,VLOOKUP(D3,abilities!A:D,3),"なし"))</f>
        <v>プロテクトブレイク</v>
      </c>
      <c r="F3" s="180" t="str">
        <f>IF(ISERROR(VLOOKUP(D3,[3]abilities!A:D,4,FALSE))=FALSE,VLOOKUP(D3,[3]abilities!A:D,4),IF(ISERROR(VLOOKUP(D3,abilities!A:D,4,FALSE))=FALSE,VLOOKUP(D3,abilities!A:D,4),"なし"))</f>
        <v>自身が先頭の時、プロテクトを無視してパネル破壊できる</v>
      </c>
      <c r="G3" s="181" t="s">
        <v>317</v>
      </c>
      <c r="H3" s="181" t="s">
        <v>274</v>
      </c>
    </row>
    <row r="4" spans="1:8" s="4" customFormat="1" ht="21" customHeight="1" x14ac:dyDescent="0.15">
      <c r="A4" s="174">
        <v>957</v>
      </c>
      <c r="B4" s="179" t="str">
        <f>VLOOKUP(A4,[1]characters!$A:$C,3)</f>
        <v>浮環の流律論 マクローリン</v>
      </c>
      <c r="C4" s="174">
        <v>1</v>
      </c>
      <c r="D4" s="174">
        <v>100</v>
      </c>
      <c r="E4" s="180" t="str">
        <f>IF(ISERROR(VLOOKUP(D4,[3]abilities!A:D,3,FALSE))=FALSE,VLOOKUP(D4,[3]abilities!A:D,3),IF(ISERROR(VLOOKUP(D4,abilities!A:D,3,FALSE))=FALSE,VLOOKUP(D4,abilities!A:D,3),"なし"))</f>
        <v>プロテクトブレイク</v>
      </c>
      <c r="F4" s="180" t="str">
        <f>IF(ISERROR(VLOOKUP(D4,[3]abilities!A:D,4,FALSE))=FALSE,VLOOKUP(D4,[3]abilities!A:D,4),IF(ISERROR(VLOOKUP(D4,abilities!A:D,4,FALSE))=FALSE,VLOOKUP(D4,abilities!A:D,4),"なし"))</f>
        <v>自身が先頭の時、プロテクトを無視してパネル破壊できる</v>
      </c>
      <c r="G4" s="181" t="s">
        <v>273</v>
      </c>
      <c r="H4" s="181" t="s">
        <v>274</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234</v>
      </c>
      <c r="B1" s="32">
        <v>1</v>
      </c>
      <c r="C1" s="32">
        <v>2</v>
      </c>
      <c r="D1" s="32">
        <v>3</v>
      </c>
      <c r="E1" s="32">
        <v>4</v>
      </c>
      <c r="F1" s="32">
        <v>5</v>
      </c>
      <c r="G1" s="32">
        <v>6</v>
      </c>
      <c r="H1" s="32">
        <v>7</v>
      </c>
      <c r="I1" s="32">
        <v>8</v>
      </c>
    </row>
    <row r="2" spans="1:9" s="4" customFormat="1" ht="21" customHeight="1" x14ac:dyDescent="0.15">
      <c r="A2" s="146" t="s">
        <v>235</v>
      </c>
      <c r="B2" s="147"/>
      <c r="C2" s="148"/>
      <c r="D2" s="149" t="s">
        <v>236</v>
      </c>
      <c r="E2" s="149">
        <v>30</v>
      </c>
      <c r="F2" s="149">
        <v>40</v>
      </c>
      <c r="G2" s="149">
        <f>15+F2</f>
        <v>55</v>
      </c>
      <c r="H2" s="148"/>
      <c r="I2" s="148"/>
    </row>
    <row r="3" spans="1:9" s="4" customFormat="1" ht="21" customHeight="1" x14ac:dyDescent="0.15">
      <c r="A3" s="146" t="s">
        <v>237</v>
      </c>
      <c r="B3" s="150"/>
      <c r="C3" s="151"/>
      <c r="D3" s="152" t="s">
        <v>236</v>
      </c>
      <c r="E3" s="152">
        <v>25</v>
      </c>
      <c r="F3" s="152">
        <v>35</v>
      </c>
      <c r="G3" s="149">
        <f t="shared" ref="G3:G4" si="0">15+F3</f>
        <v>50</v>
      </c>
      <c r="H3" s="151"/>
      <c r="I3" s="151"/>
    </row>
    <row r="4" spans="1:9" s="4" customFormat="1" ht="21" customHeight="1" x14ac:dyDescent="0.15">
      <c r="A4" s="146" t="s">
        <v>238</v>
      </c>
      <c r="B4" s="153"/>
      <c r="C4" s="154"/>
      <c r="D4" s="155">
        <v>10</v>
      </c>
      <c r="E4" s="155">
        <v>20</v>
      </c>
      <c r="F4" s="155">
        <v>30</v>
      </c>
      <c r="G4" s="155">
        <f t="shared" si="0"/>
        <v>45</v>
      </c>
      <c r="H4" s="154"/>
      <c r="I4" s="154"/>
    </row>
    <row r="5" spans="1:9" s="4" customFormat="1" ht="21" customHeight="1" x14ac:dyDescent="0.15">
      <c r="A5" s="165" t="s">
        <v>239</v>
      </c>
      <c r="B5" s="160"/>
      <c r="C5" s="161"/>
      <c r="D5" s="28">
        <v>9</v>
      </c>
      <c r="E5" s="28">
        <v>18</v>
      </c>
      <c r="F5" s="28">
        <v>28</v>
      </c>
      <c r="G5" s="39">
        <v>38</v>
      </c>
      <c r="H5" s="161"/>
      <c r="I5" s="161"/>
    </row>
    <row r="6" spans="1:9" s="4" customFormat="1" ht="21" customHeight="1" x14ac:dyDescent="0.15">
      <c r="A6" s="165" t="s">
        <v>240</v>
      </c>
      <c r="B6" s="160"/>
      <c r="C6" s="161"/>
      <c r="D6" s="28">
        <v>7</v>
      </c>
      <c r="E6" s="28">
        <v>16</v>
      </c>
      <c r="F6" s="69" t="s">
        <v>11</v>
      </c>
      <c r="G6" s="69" t="s">
        <v>11</v>
      </c>
      <c r="H6" s="161"/>
      <c r="I6" s="161"/>
    </row>
    <row r="7" spans="1:9" ht="21" customHeight="1" x14ac:dyDescent="0.15">
      <c r="A7" s="74" t="s">
        <v>241</v>
      </c>
      <c r="B7" s="47" t="s">
        <v>11</v>
      </c>
      <c r="C7" s="47" t="s">
        <v>11</v>
      </c>
      <c r="D7" s="39" t="s">
        <v>236</v>
      </c>
      <c r="E7" s="39" t="s">
        <v>236</v>
      </c>
      <c r="F7" s="39" t="s">
        <v>236</v>
      </c>
      <c r="G7" s="39" t="s">
        <v>236</v>
      </c>
      <c r="H7" s="39" t="s">
        <v>236</v>
      </c>
      <c r="I7" s="39" t="s">
        <v>236</v>
      </c>
    </row>
    <row r="8" spans="1:9" ht="21" customHeight="1" x14ac:dyDescent="0.15">
      <c r="A8" s="75" t="s">
        <v>242</v>
      </c>
      <c r="B8" s="47" t="s">
        <v>11</v>
      </c>
      <c r="C8" s="47" t="s">
        <v>11</v>
      </c>
      <c r="D8" s="39" t="s">
        <v>236</v>
      </c>
      <c r="E8" s="39">
        <v>30</v>
      </c>
      <c r="F8" s="39">
        <v>40</v>
      </c>
      <c r="G8" s="39">
        <f>15+F8</f>
        <v>55</v>
      </c>
      <c r="H8" s="39" t="s">
        <v>236</v>
      </c>
      <c r="I8" s="39" t="s">
        <v>236</v>
      </c>
    </row>
    <row r="9" spans="1:9" s="46" customFormat="1" ht="21" customHeight="1" x14ac:dyDescent="0.15">
      <c r="A9" s="76" t="s">
        <v>312</v>
      </c>
      <c r="B9" s="28" t="s">
        <v>11</v>
      </c>
      <c r="C9" s="28" t="s">
        <v>11</v>
      </c>
      <c r="D9" s="106" t="s">
        <v>109</v>
      </c>
      <c r="E9" s="106" t="s">
        <v>109</v>
      </c>
      <c r="F9" s="106">
        <v>38</v>
      </c>
      <c r="G9" s="39">
        <f>15+F9</f>
        <v>53</v>
      </c>
      <c r="H9" s="106" t="s">
        <v>109</v>
      </c>
      <c r="I9" s="106" t="s">
        <v>109</v>
      </c>
    </row>
    <row r="10" spans="1:9" s="46" customFormat="1" ht="21" customHeight="1" x14ac:dyDescent="0.15">
      <c r="A10" s="76" t="s">
        <v>243</v>
      </c>
      <c r="B10" s="28" t="s">
        <v>11</v>
      </c>
      <c r="C10" s="28" t="s">
        <v>11</v>
      </c>
      <c r="D10" s="106" t="s">
        <v>236</v>
      </c>
      <c r="E10" s="106">
        <v>25</v>
      </c>
      <c r="F10" s="106">
        <v>35</v>
      </c>
      <c r="G10" s="39">
        <f t="shared" ref="G10:G11" si="1">15+F10</f>
        <v>50</v>
      </c>
      <c r="H10" s="106" t="s">
        <v>236</v>
      </c>
      <c r="I10" s="106" t="s">
        <v>236</v>
      </c>
    </row>
    <row r="11" spans="1:9" ht="21" customHeight="1" x14ac:dyDescent="0.15">
      <c r="A11" s="76" t="s">
        <v>9</v>
      </c>
      <c r="B11" s="69" t="s">
        <v>11</v>
      </c>
      <c r="C11" s="69" t="s">
        <v>11</v>
      </c>
      <c r="D11" s="28">
        <v>10</v>
      </c>
      <c r="E11" s="28">
        <v>20</v>
      </c>
      <c r="F11" s="28">
        <v>30</v>
      </c>
      <c r="G11" s="39">
        <f t="shared" si="1"/>
        <v>45</v>
      </c>
      <c r="H11" s="69" t="s">
        <v>11</v>
      </c>
      <c r="I11" s="69" t="s">
        <v>11</v>
      </c>
    </row>
    <row r="12" spans="1:9" ht="21" customHeight="1" x14ac:dyDescent="0.15">
      <c r="A12" s="76" t="s">
        <v>244</v>
      </c>
      <c r="B12" s="69" t="s">
        <v>11</v>
      </c>
      <c r="C12" s="69" t="s">
        <v>11</v>
      </c>
      <c r="D12" s="28">
        <v>9</v>
      </c>
      <c r="E12" s="28">
        <v>18</v>
      </c>
      <c r="F12" s="28">
        <v>28</v>
      </c>
      <c r="G12" s="39">
        <v>38</v>
      </c>
      <c r="H12" s="69" t="s">
        <v>11</v>
      </c>
      <c r="I12" s="69" t="s">
        <v>11</v>
      </c>
    </row>
    <row r="13" spans="1:9" ht="21" customHeight="1" x14ac:dyDescent="0.15">
      <c r="A13" s="76" t="s">
        <v>245</v>
      </c>
      <c r="B13" s="69" t="s">
        <v>11</v>
      </c>
      <c r="C13" s="69" t="s">
        <v>11</v>
      </c>
      <c r="D13" s="28">
        <v>7</v>
      </c>
      <c r="E13" s="28">
        <v>16</v>
      </c>
      <c r="F13" s="192">
        <v>26</v>
      </c>
      <c r="G13" s="69" t="s">
        <v>11</v>
      </c>
      <c r="H13" s="69" t="s">
        <v>11</v>
      </c>
      <c r="I13" s="69" t="s">
        <v>11</v>
      </c>
    </row>
    <row r="14" spans="1:9" ht="21" customHeight="1" x14ac:dyDescent="0.15">
      <c r="A14" s="105" t="s">
        <v>246</v>
      </c>
      <c r="B14" s="69" t="s">
        <v>11</v>
      </c>
      <c r="C14" s="69" t="s">
        <v>11</v>
      </c>
      <c r="D14" s="28">
        <v>8</v>
      </c>
      <c r="E14" s="28">
        <v>17</v>
      </c>
      <c r="F14" s="28">
        <v>26</v>
      </c>
      <c r="G14" s="69" t="s">
        <v>11</v>
      </c>
      <c r="H14" s="69" t="s">
        <v>11</v>
      </c>
      <c r="I14" s="69" t="s">
        <v>11</v>
      </c>
    </row>
    <row r="15" spans="1:9" ht="21" customHeight="1" x14ac:dyDescent="0.15">
      <c r="A15" s="76" t="s">
        <v>247</v>
      </c>
      <c r="B15" s="69" t="s">
        <v>11</v>
      </c>
      <c r="C15" s="69" t="s">
        <v>11</v>
      </c>
      <c r="D15" s="28">
        <v>8</v>
      </c>
      <c r="E15" s="28">
        <v>17</v>
      </c>
      <c r="F15" s="28">
        <v>26</v>
      </c>
      <c r="G15" s="69" t="s">
        <v>11</v>
      </c>
      <c r="H15" s="69" t="s">
        <v>11</v>
      </c>
      <c r="I15" s="69" t="s">
        <v>11</v>
      </c>
    </row>
    <row r="16" spans="1:9" ht="21" customHeight="1" x14ac:dyDescent="0.15">
      <c r="A16" s="76" t="s">
        <v>248</v>
      </c>
      <c r="B16" s="69" t="s">
        <v>11</v>
      </c>
      <c r="C16" s="69" t="s">
        <v>11</v>
      </c>
      <c r="D16" s="28">
        <v>6</v>
      </c>
      <c r="E16" s="28">
        <v>14</v>
      </c>
      <c r="F16" s="69" t="s">
        <v>11</v>
      </c>
      <c r="G16" s="69" t="s">
        <v>11</v>
      </c>
      <c r="H16" s="69" t="s">
        <v>11</v>
      </c>
      <c r="I16" s="69" t="s">
        <v>11</v>
      </c>
    </row>
    <row r="17" spans="1:9" ht="21" customHeight="1" x14ac:dyDescent="0.15">
      <c r="A17" s="76" t="s">
        <v>249</v>
      </c>
      <c r="B17" s="69" t="s">
        <v>11</v>
      </c>
      <c r="C17" s="28">
        <v>4</v>
      </c>
      <c r="D17" s="28">
        <v>6</v>
      </c>
      <c r="E17" s="28">
        <v>14</v>
      </c>
      <c r="F17" s="69" t="s">
        <v>11</v>
      </c>
      <c r="G17" s="69" t="s">
        <v>11</v>
      </c>
      <c r="H17" s="69" t="s">
        <v>11</v>
      </c>
      <c r="I17" s="69" t="s">
        <v>11</v>
      </c>
    </row>
    <row r="18" spans="1:9" ht="21" customHeight="1" x14ac:dyDescent="0.15">
      <c r="A18" s="76" t="s">
        <v>8</v>
      </c>
      <c r="B18" s="28">
        <v>2</v>
      </c>
      <c r="C18" s="28">
        <v>4</v>
      </c>
      <c r="D18" s="28">
        <v>6</v>
      </c>
      <c r="E18" s="69" t="s">
        <v>11</v>
      </c>
      <c r="F18" s="69" t="s">
        <v>11</v>
      </c>
      <c r="G18" s="69" t="s">
        <v>11</v>
      </c>
      <c r="H18" s="69" t="s">
        <v>11</v>
      </c>
      <c r="I18" s="69" t="s">
        <v>11</v>
      </c>
    </row>
    <row r="19" spans="1:9" ht="21" customHeight="1" x14ac:dyDescent="0.15">
      <c r="A19" s="77" t="s">
        <v>7</v>
      </c>
      <c r="B19" s="31">
        <v>1</v>
      </c>
      <c r="C19" s="31">
        <v>2</v>
      </c>
      <c r="D19" s="70" t="s">
        <v>11</v>
      </c>
      <c r="E19" s="70" t="s">
        <v>11</v>
      </c>
      <c r="F19" s="70" t="s">
        <v>11</v>
      </c>
      <c r="G19" s="70" t="s">
        <v>11</v>
      </c>
      <c r="H19" s="70" t="s">
        <v>11</v>
      </c>
      <c r="I19" s="70" t="s">
        <v>11</v>
      </c>
    </row>
    <row r="20" spans="1:9" ht="21" customHeight="1" x14ac:dyDescent="0.15">
      <c r="A20" s="78" t="s">
        <v>250</v>
      </c>
      <c r="B20" s="26">
        <v>1</v>
      </c>
      <c r="C20" s="26">
        <v>1</v>
      </c>
      <c r="D20" s="70" t="s">
        <v>11</v>
      </c>
      <c r="E20" s="70" t="s">
        <v>11</v>
      </c>
      <c r="F20" s="70" t="s">
        <v>11</v>
      </c>
      <c r="G20" s="70" t="s">
        <v>11</v>
      </c>
      <c r="H20" s="70" t="s">
        <v>11</v>
      </c>
      <c r="I20" s="70" t="s">
        <v>11</v>
      </c>
    </row>
    <row r="21" spans="1:9" ht="21" customHeight="1" x14ac:dyDescent="0.15">
      <c r="A21" s="37" t="s">
        <v>251</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G13" sqref="G13"/>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6" t="s">
        <v>235</v>
      </c>
      <c r="B2" s="162"/>
      <c r="C2" s="148"/>
      <c r="D2" s="156" t="s">
        <v>109</v>
      </c>
      <c r="E2" s="156">
        <v>60</v>
      </c>
      <c r="F2" s="156">
        <v>80</v>
      </c>
      <c r="G2" s="156">
        <v>99</v>
      </c>
      <c r="H2" s="148"/>
      <c r="I2" s="148"/>
    </row>
    <row r="3" spans="1:9" s="4" customFormat="1" ht="21" customHeight="1" x14ac:dyDescent="0.15">
      <c r="A3" s="146" t="s">
        <v>237</v>
      </c>
      <c r="B3" s="163"/>
      <c r="C3" s="151"/>
      <c r="D3" s="156" t="s">
        <v>109</v>
      </c>
      <c r="E3" s="156">
        <v>60</v>
      </c>
      <c r="F3" s="156">
        <v>80</v>
      </c>
      <c r="G3" s="156">
        <v>99</v>
      </c>
      <c r="H3" s="151"/>
      <c r="I3" s="151"/>
    </row>
    <row r="4" spans="1:9" s="4" customFormat="1" ht="21" customHeight="1" x14ac:dyDescent="0.15">
      <c r="A4" s="146" t="s">
        <v>231</v>
      </c>
      <c r="B4" s="164"/>
      <c r="C4" s="154"/>
      <c r="D4" s="156">
        <v>40</v>
      </c>
      <c r="E4" s="156">
        <v>60</v>
      </c>
      <c r="F4" s="156">
        <v>80</v>
      </c>
      <c r="G4" s="156">
        <v>99</v>
      </c>
      <c r="H4" s="154"/>
      <c r="I4" s="154"/>
    </row>
    <row r="5" spans="1:9" s="4" customFormat="1" ht="21" customHeight="1" x14ac:dyDescent="0.15">
      <c r="A5" s="165" t="s">
        <v>239</v>
      </c>
      <c r="B5" s="160"/>
      <c r="C5" s="161"/>
      <c r="D5" s="156">
        <v>40</v>
      </c>
      <c r="E5" s="156">
        <v>60</v>
      </c>
      <c r="F5" s="156">
        <v>80</v>
      </c>
      <c r="G5" s="156">
        <v>99</v>
      </c>
      <c r="H5" s="161"/>
      <c r="I5" s="161"/>
    </row>
    <row r="6" spans="1:9" s="4" customFormat="1" ht="21" customHeight="1" x14ac:dyDescent="0.15">
      <c r="A6" s="165" t="s">
        <v>240</v>
      </c>
      <c r="B6" s="160"/>
      <c r="C6" s="161"/>
      <c r="D6" s="156">
        <v>40</v>
      </c>
      <c r="E6" s="156">
        <v>60</v>
      </c>
      <c r="F6" s="156" t="s">
        <v>109</v>
      </c>
      <c r="G6" s="156" t="s">
        <v>109</v>
      </c>
      <c r="H6" s="161"/>
      <c r="I6" s="161"/>
    </row>
    <row r="7" spans="1:9" ht="21" customHeight="1" x14ac:dyDescent="0.15">
      <c r="A7" s="74" t="s">
        <v>207</v>
      </c>
      <c r="B7" s="40" t="s">
        <v>109</v>
      </c>
      <c r="C7" s="40" t="s">
        <v>109</v>
      </c>
      <c r="D7" s="40" t="s">
        <v>109</v>
      </c>
      <c r="E7" s="40" t="s">
        <v>109</v>
      </c>
      <c r="F7" s="40" t="s">
        <v>109</v>
      </c>
      <c r="G7" s="40" t="s">
        <v>109</v>
      </c>
      <c r="H7" s="40" t="s">
        <v>109</v>
      </c>
      <c r="I7" s="40" t="s">
        <v>109</v>
      </c>
    </row>
    <row r="8" spans="1:9" ht="21" customHeight="1" x14ac:dyDescent="0.15">
      <c r="A8" s="75" t="s">
        <v>242</v>
      </c>
      <c r="B8" s="40" t="s">
        <v>109</v>
      </c>
      <c r="C8" s="40" t="s">
        <v>109</v>
      </c>
      <c r="D8" s="40" t="s">
        <v>109</v>
      </c>
      <c r="E8" s="40">
        <v>60</v>
      </c>
      <c r="F8" s="40">
        <v>80</v>
      </c>
      <c r="G8" s="40">
        <v>99</v>
      </c>
      <c r="H8" s="40" t="s">
        <v>109</v>
      </c>
      <c r="I8" s="40" t="s">
        <v>109</v>
      </c>
    </row>
    <row r="9" spans="1:9" s="46" customFormat="1" ht="21" customHeight="1" x14ac:dyDescent="0.15">
      <c r="A9" s="76" t="s">
        <v>313</v>
      </c>
      <c r="B9" s="66" t="s">
        <v>109</v>
      </c>
      <c r="C9" s="66" t="s">
        <v>109</v>
      </c>
      <c r="D9" s="66" t="s">
        <v>109</v>
      </c>
      <c r="E9" s="66" t="s">
        <v>109</v>
      </c>
      <c r="F9" s="66">
        <v>80</v>
      </c>
      <c r="G9" s="66">
        <v>99</v>
      </c>
      <c r="H9" s="66" t="s">
        <v>109</v>
      </c>
      <c r="I9" s="66" t="s">
        <v>109</v>
      </c>
    </row>
    <row r="10" spans="1:9" s="46" customFormat="1" ht="21" customHeight="1" x14ac:dyDescent="0.15">
      <c r="A10" s="76" t="s">
        <v>243</v>
      </c>
      <c r="B10" s="66" t="s">
        <v>109</v>
      </c>
      <c r="C10" s="66" t="s">
        <v>109</v>
      </c>
      <c r="D10" s="66" t="s">
        <v>109</v>
      </c>
      <c r="E10" s="66">
        <v>60</v>
      </c>
      <c r="F10" s="66">
        <v>80</v>
      </c>
      <c r="G10" s="66">
        <v>99</v>
      </c>
      <c r="H10" s="66" t="s">
        <v>109</v>
      </c>
      <c r="I10" s="66" t="s">
        <v>109</v>
      </c>
    </row>
    <row r="11" spans="1:9" ht="21" customHeight="1" x14ac:dyDescent="0.15">
      <c r="A11" s="76" t="s">
        <v>9</v>
      </c>
      <c r="B11" s="71" t="s">
        <v>109</v>
      </c>
      <c r="C11" s="71" t="s">
        <v>109</v>
      </c>
      <c r="D11" s="36">
        <v>40</v>
      </c>
      <c r="E11" s="36">
        <v>60</v>
      </c>
      <c r="F11" s="36">
        <v>80</v>
      </c>
      <c r="G11" s="40">
        <v>99</v>
      </c>
      <c r="H11" s="71" t="s">
        <v>109</v>
      </c>
      <c r="I11" s="71" t="s">
        <v>109</v>
      </c>
    </row>
    <row r="12" spans="1:9" ht="21" customHeight="1" x14ac:dyDescent="0.15">
      <c r="A12" s="76" t="s">
        <v>210</v>
      </c>
      <c r="B12" s="71" t="s">
        <v>109</v>
      </c>
      <c r="C12" s="71" t="s">
        <v>109</v>
      </c>
      <c r="D12" s="36">
        <v>40</v>
      </c>
      <c r="E12" s="36">
        <v>60</v>
      </c>
      <c r="F12" s="36">
        <v>80</v>
      </c>
      <c r="G12" s="66">
        <v>99</v>
      </c>
      <c r="H12" s="71" t="s">
        <v>109</v>
      </c>
      <c r="I12" s="71" t="s">
        <v>109</v>
      </c>
    </row>
    <row r="13" spans="1:9" ht="21" customHeight="1" x14ac:dyDescent="0.15">
      <c r="A13" s="76" t="s">
        <v>206</v>
      </c>
      <c r="B13" s="71" t="s">
        <v>109</v>
      </c>
      <c r="C13" s="71" t="s">
        <v>109</v>
      </c>
      <c r="D13" s="36">
        <v>40</v>
      </c>
      <c r="E13" s="36">
        <v>60</v>
      </c>
      <c r="F13" s="193">
        <v>80</v>
      </c>
      <c r="G13" s="71" t="s">
        <v>109</v>
      </c>
      <c r="H13" s="71" t="s">
        <v>109</v>
      </c>
      <c r="I13" s="71" t="s">
        <v>109</v>
      </c>
    </row>
    <row r="14" spans="1:9" ht="21" customHeight="1" x14ac:dyDescent="0.15">
      <c r="A14" s="105" t="s">
        <v>246</v>
      </c>
      <c r="B14" s="71" t="s">
        <v>109</v>
      </c>
      <c r="C14" s="71" t="s">
        <v>109</v>
      </c>
      <c r="D14" s="36">
        <v>40</v>
      </c>
      <c r="E14" s="36">
        <v>60</v>
      </c>
      <c r="F14" s="36">
        <v>80</v>
      </c>
      <c r="G14" s="71" t="s">
        <v>109</v>
      </c>
      <c r="H14" s="71" t="s">
        <v>109</v>
      </c>
      <c r="I14" s="71" t="s">
        <v>109</v>
      </c>
    </row>
    <row r="15" spans="1:9" ht="21" customHeight="1" x14ac:dyDescent="0.15">
      <c r="A15" s="76" t="s">
        <v>247</v>
      </c>
      <c r="B15" s="71" t="s">
        <v>109</v>
      </c>
      <c r="C15" s="71" t="s">
        <v>109</v>
      </c>
      <c r="D15" s="36">
        <v>40</v>
      </c>
      <c r="E15" s="36">
        <v>60</v>
      </c>
      <c r="F15" s="36">
        <v>80</v>
      </c>
      <c r="G15" s="71" t="s">
        <v>109</v>
      </c>
      <c r="H15" s="71" t="s">
        <v>109</v>
      </c>
      <c r="I15" s="71" t="s">
        <v>109</v>
      </c>
    </row>
    <row r="16" spans="1:9" ht="21" customHeight="1" x14ac:dyDescent="0.15">
      <c r="A16" s="76" t="s">
        <v>105</v>
      </c>
      <c r="B16" s="71" t="s">
        <v>109</v>
      </c>
      <c r="C16" s="36">
        <v>30</v>
      </c>
      <c r="D16" s="36">
        <v>40</v>
      </c>
      <c r="E16" s="36">
        <v>60</v>
      </c>
      <c r="F16" s="71" t="s">
        <v>109</v>
      </c>
      <c r="G16" s="71" t="s">
        <v>109</v>
      </c>
      <c r="H16" s="71" t="s">
        <v>109</v>
      </c>
      <c r="I16" s="71" t="s">
        <v>109</v>
      </c>
    </row>
    <row r="17" spans="1:9" ht="21" customHeight="1" x14ac:dyDescent="0.15">
      <c r="A17" s="76" t="s">
        <v>249</v>
      </c>
      <c r="B17" s="71" t="s">
        <v>109</v>
      </c>
      <c r="C17" s="36">
        <v>30</v>
      </c>
      <c r="D17" s="36">
        <v>40</v>
      </c>
      <c r="E17" s="36">
        <v>60</v>
      </c>
      <c r="F17" s="71" t="s">
        <v>109</v>
      </c>
      <c r="G17" s="71" t="s">
        <v>109</v>
      </c>
      <c r="H17" s="71" t="s">
        <v>109</v>
      </c>
      <c r="I17" s="71" t="s">
        <v>109</v>
      </c>
    </row>
    <row r="18" spans="1:9" ht="21" customHeight="1" x14ac:dyDescent="0.15">
      <c r="A18" s="76" t="s">
        <v>8</v>
      </c>
      <c r="B18" s="36">
        <v>15</v>
      </c>
      <c r="C18" s="36">
        <v>30</v>
      </c>
      <c r="D18" s="36">
        <v>40</v>
      </c>
      <c r="E18" s="71" t="s">
        <v>109</v>
      </c>
      <c r="F18" s="71" t="s">
        <v>109</v>
      </c>
      <c r="G18" s="71" t="s">
        <v>109</v>
      </c>
      <c r="H18" s="71" t="s">
        <v>109</v>
      </c>
      <c r="I18" s="71" t="s">
        <v>109</v>
      </c>
    </row>
    <row r="19" spans="1:9" ht="21" customHeight="1" x14ac:dyDescent="0.15">
      <c r="A19" s="77" t="s">
        <v>7</v>
      </c>
      <c r="B19" s="36">
        <v>15</v>
      </c>
      <c r="C19" s="36">
        <v>30</v>
      </c>
      <c r="D19" s="36">
        <v>40</v>
      </c>
      <c r="E19" s="71" t="s">
        <v>216</v>
      </c>
      <c r="F19" s="71" t="s">
        <v>216</v>
      </c>
      <c r="G19" s="71" t="s">
        <v>216</v>
      </c>
      <c r="H19" s="71" t="s">
        <v>216</v>
      </c>
      <c r="I19" s="71" t="s">
        <v>216</v>
      </c>
    </row>
    <row r="20" spans="1:9" ht="21" customHeight="1" x14ac:dyDescent="0.15">
      <c r="A20" s="78" t="s">
        <v>250</v>
      </c>
      <c r="B20" s="36">
        <v>10</v>
      </c>
      <c r="C20" s="36">
        <v>20</v>
      </c>
      <c r="D20" s="71" t="s">
        <v>216</v>
      </c>
      <c r="E20" s="71" t="s">
        <v>216</v>
      </c>
      <c r="F20" s="71" t="s">
        <v>216</v>
      </c>
      <c r="G20" s="71" t="s">
        <v>216</v>
      </c>
      <c r="H20" s="71" t="s">
        <v>216</v>
      </c>
      <c r="I20" s="71" t="s">
        <v>216</v>
      </c>
    </row>
    <row r="21" spans="1:9" ht="21" customHeight="1" x14ac:dyDescent="0.15">
      <c r="A21" s="37" t="s">
        <v>251</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3" sqref="F13"/>
    </sheetView>
  </sheetViews>
  <sheetFormatPr baseColWidth="12" defaultColWidth="13" defaultRowHeight="21" customHeight="1" x14ac:dyDescent="0.15"/>
  <cols>
    <col min="1" max="16384" width="13" style="23"/>
  </cols>
  <sheetData>
    <row r="1" spans="1:11" ht="21" customHeight="1" x14ac:dyDescent="0.15">
      <c r="A1" s="49" t="s">
        <v>10</v>
      </c>
      <c r="B1" s="50">
        <v>1</v>
      </c>
      <c r="C1" s="50">
        <v>2</v>
      </c>
      <c r="D1" s="50">
        <v>3</v>
      </c>
      <c r="E1" s="50">
        <v>4</v>
      </c>
      <c r="F1" s="50">
        <v>5</v>
      </c>
      <c r="G1" s="50">
        <v>6</v>
      </c>
      <c r="H1" s="50">
        <v>7</v>
      </c>
      <c r="I1" s="50">
        <v>8</v>
      </c>
    </row>
    <row r="2" spans="1:11" s="4" customFormat="1" ht="21" customHeight="1" x14ac:dyDescent="0.15">
      <c r="A2" s="146" t="s">
        <v>235</v>
      </c>
      <c r="B2" s="147"/>
      <c r="C2" s="148"/>
      <c r="D2" s="156" t="s">
        <v>109</v>
      </c>
      <c r="E2" s="157" t="s">
        <v>59</v>
      </c>
      <c r="F2" s="157" t="s">
        <v>59</v>
      </c>
      <c r="G2" s="157" t="s">
        <v>252</v>
      </c>
      <c r="H2" s="148"/>
      <c r="I2" s="148"/>
    </row>
    <row r="3" spans="1:11" s="4" customFormat="1" ht="21" customHeight="1" x14ac:dyDescent="0.15">
      <c r="A3" s="146" t="s">
        <v>237</v>
      </c>
      <c r="B3" s="150"/>
      <c r="C3" s="151"/>
      <c r="D3" s="157" t="s">
        <v>59</v>
      </c>
      <c r="E3" s="157" t="s">
        <v>59</v>
      </c>
      <c r="F3" s="157" t="s">
        <v>59</v>
      </c>
      <c r="G3" s="157" t="s">
        <v>230</v>
      </c>
      <c r="H3" s="151"/>
      <c r="I3" s="151"/>
    </row>
    <row r="4" spans="1:11" s="4" customFormat="1" ht="21" customHeight="1" x14ac:dyDescent="0.15">
      <c r="A4" s="146" t="s">
        <v>231</v>
      </c>
      <c r="B4" s="153"/>
      <c r="C4" s="154"/>
      <c r="D4" s="158" t="s">
        <v>59</v>
      </c>
      <c r="E4" s="158" t="s">
        <v>59</v>
      </c>
      <c r="F4" s="158" t="s">
        <v>59</v>
      </c>
      <c r="G4" s="157" t="s">
        <v>230</v>
      </c>
      <c r="H4" s="154"/>
      <c r="I4" s="154"/>
    </row>
    <row r="5" spans="1:11" s="4" customFormat="1" ht="21" customHeight="1" x14ac:dyDescent="0.15">
      <c r="A5" s="165" t="s">
        <v>239</v>
      </c>
      <c r="B5" s="160"/>
      <c r="C5" s="161"/>
      <c r="D5" s="158" t="s">
        <v>59</v>
      </c>
      <c r="E5" s="158" t="s">
        <v>59</v>
      </c>
      <c r="F5" s="158" t="s">
        <v>59</v>
      </c>
      <c r="G5" s="157" t="s">
        <v>220</v>
      </c>
      <c r="H5" s="161"/>
      <c r="I5" s="161"/>
    </row>
    <row r="6" spans="1:11" s="4" customFormat="1" ht="21" customHeight="1" x14ac:dyDescent="0.15">
      <c r="A6" s="165" t="s">
        <v>240</v>
      </c>
      <c r="B6" s="160"/>
      <c r="C6" s="161"/>
      <c r="D6" s="166" t="s">
        <v>60</v>
      </c>
      <c r="E6" s="166" t="s">
        <v>60</v>
      </c>
      <c r="F6" s="156" t="s">
        <v>109</v>
      </c>
      <c r="G6" s="156" t="s">
        <v>109</v>
      </c>
      <c r="H6" s="161"/>
      <c r="I6" s="161"/>
    </row>
    <row r="7" spans="1:11" ht="21" customHeight="1" x14ac:dyDescent="0.15">
      <c r="A7" s="74" t="s">
        <v>207</v>
      </c>
      <c r="B7" s="40" t="s">
        <v>109</v>
      </c>
      <c r="C7" s="40" t="s">
        <v>109</v>
      </c>
      <c r="D7" s="40" t="s">
        <v>109</v>
      </c>
      <c r="E7" s="40" t="s">
        <v>109</v>
      </c>
      <c r="F7" s="40" t="s">
        <v>109</v>
      </c>
      <c r="G7" s="40" t="s">
        <v>109</v>
      </c>
      <c r="H7" s="40" t="s">
        <v>109</v>
      </c>
      <c r="I7" s="40" t="s">
        <v>109</v>
      </c>
    </row>
    <row r="8" spans="1:11" ht="21" customHeight="1" x14ac:dyDescent="0.15">
      <c r="A8" s="75" t="s">
        <v>242</v>
      </c>
      <c r="B8" s="40" t="s">
        <v>109</v>
      </c>
      <c r="C8" s="40" t="s">
        <v>109</v>
      </c>
      <c r="D8" s="40" t="s">
        <v>217</v>
      </c>
      <c r="E8" s="52" t="s">
        <v>115</v>
      </c>
      <c r="F8" s="52" t="s">
        <v>115</v>
      </c>
      <c r="G8" s="52" t="s">
        <v>218</v>
      </c>
      <c r="H8" s="40" t="s">
        <v>217</v>
      </c>
      <c r="I8" s="40" t="s">
        <v>109</v>
      </c>
    </row>
    <row r="9" spans="1:11" s="46" customFormat="1" ht="21" customHeight="1" x14ac:dyDescent="0.15">
      <c r="A9" s="76" t="s">
        <v>312</v>
      </c>
      <c r="B9" s="66" t="s">
        <v>109</v>
      </c>
      <c r="C9" s="66" t="s">
        <v>109</v>
      </c>
      <c r="D9" s="66" t="s">
        <v>109</v>
      </c>
      <c r="E9" s="66" t="s">
        <v>109</v>
      </c>
      <c r="F9" s="52" t="s">
        <v>59</v>
      </c>
      <c r="G9" s="52" t="s">
        <v>115</v>
      </c>
      <c r="H9" s="66" t="s">
        <v>109</v>
      </c>
      <c r="I9" s="66" t="s">
        <v>109</v>
      </c>
    </row>
    <row r="10" spans="1:11" s="46" customFormat="1" ht="21" customHeight="1" x14ac:dyDescent="0.15">
      <c r="A10" s="76" t="s">
        <v>243</v>
      </c>
      <c r="B10" s="66" t="s">
        <v>109</v>
      </c>
      <c r="C10" s="66" t="s">
        <v>109</v>
      </c>
      <c r="D10" s="66" t="s">
        <v>109</v>
      </c>
      <c r="E10" s="52" t="s">
        <v>59</v>
      </c>
      <c r="F10" s="52" t="s">
        <v>59</v>
      </c>
      <c r="G10" s="52" t="s">
        <v>115</v>
      </c>
      <c r="H10" s="66" t="s">
        <v>219</v>
      </c>
      <c r="I10" s="66" t="s">
        <v>219</v>
      </c>
    </row>
    <row r="11" spans="1:11" ht="21" customHeight="1" x14ac:dyDescent="0.15">
      <c r="A11" s="76" t="s">
        <v>9</v>
      </c>
      <c r="B11" s="71" t="s">
        <v>109</v>
      </c>
      <c r="C11" s="71" t="s">
        <v>109</v>
      </c>
      <c r="D11" s="52" t="s">
        <v>59</v>
      </c>
      <c r="E11" s="52" t="s">
        <v>59</v>
      </c>
      <c r="F11" s="52" t="s">
        <v>59</v>
      </c>
      <c r="G11" s="52" t="s">
        <v>220</v>
      </c>
      <c r="H11" s="71" t="s">
        <v>219</v>
      </c>
      <c r="I11" s="71" t="s">
        <v>219</v>
      </c>
      <c r="K11" s="27" t="s">
        <v>12</v>
      </c>
    </row>
    <row r="12" spans="1:11" ht="21" customHeight="1" x14ac:dyDescent="0.15">
      <c r="A12" s="76" t="s">
        <v>210</v>
      </c>
      <c r="B12" s="71" t="s">
        <v>109</v>
      </c>
      <c r="C12" s="71" t="s">
        <v>109</v>
      </c>
      <c r="D12" s="53" t="s">
        <v>59</v>
      </c>
      <c r="E12" s="53" t="s">
        <v>59</v>
      </c>
      <c r="F12" s="53" t="s">
        <v>59</v>
      </c>
      <c r="G12" s="52" t="s">
        <v>220</v>
      </c>
      <c r="H12" s="71" t="s">
        <v>219</v>
      </c>
      <c r="I12" s="71" t="s">
        <v>219</v>
      </c>
      <c r="K12" s="29" t="s">
        <v>13</v>
      </c>
    </row>
    <row r="13" spans="1:11" ht="21" customHeight="1" x14ac:dyDescent="0.15">
      <c r="A13" s="76" t="s">
        <v>206</v>
      </c>
      <c r="B13" s="71" t="s">
        <v>109</v>
      </c>
      <c r="C13" s="71" t="s">
        <v>109</v>
      </c>
      <c r="D13" s="54" t="s">
        <v>60</v>
      </c>
      <c r="E13" s="54" t="s">
        <v>60</v>
      </c>
      <c r="F13" s="194" t="s">
        <v>59</v>
      </c>
      <c r="G13" s="71" t="s">
        <v>109</v>
      </c>
      <c r="H13" s="71" t="s">
        <v>109</v>
      </c>
      <c r="I13" s="71" t="s">
        <v>109</v>
      </c>
      <c r="K13" s="72" t="s">
        <v>35</v>
      </c>
    </row>
    <row r="14" spans="1:11" ht="21" customHeight="1" x14ac:dyDescent="0.15">
      <c r="A14" s="105" t="s">
        <v>246</v>
      </c>
      <c r="B14" s="71" t="s">
        <v>109</v>
      </c>
      <c r="C14" s="71" t="s">
        <v>109</v>
      </c>
      <c r="D14" s="55" t="s">
        <v>59</v>
      </c>
      <c r="E14" s="55" t="s">
        <v>59</v>
      </c>
      <c r="F14" s="55" t="s">
        <v>59</v>
      </c>
      <c r="G14" s="71" t="s">
        <v>109</v>
      </c>
      <c r="H14" s="71" t="s">
        <v>109</v>
      </c>
      <c r="I14" s="71" t="s">
        <v>109</v>
      </c>
      <c r="K14" s="73"/>
    </row>
    <row r="15" spans="1:11" ht="21" customHeight="1" x14ac:dyDescent="0.15">
      <c r="A15" s="76" t="s">
        <v>247</v>
      </c>
      <c r="B15" s="71" t="s">
        <v>109</v>
      </c>
      <c r="C15" s="71" t="s">
        <v>109</v>
      </c>
      <c r="D15" s="55" t="s">
        <v>59</v>
      </c>
      <c r="E15" s="55" t="s">
        <v>59</v>
      </c>
      <c r="F15" s="55" t="s">
        <v>59</v>
      </c>
      <c r="G15" s="71" t="s">
        <v>109</v>
      </c>
      <c r="H15" s="71" t="s">
        <v>109</v>
      </c>
      <c r="I15" s="71" t="s">
        <v>109</v>
      </c>
    </row>
    <row r="16" spans="1:11" ht="21" customHeight="1" x14ac:dyDescent="0.15">
      <c r="A16" s="76" t="s">
        <v>105</v>
      </c>
      <c r="B16" s="71" t="s">
        <v>109</v>
      </c>
      <c r="C16" s="71" t="s">
        <v>109</v>
      </c>
      <c r="D16" s="55" t="s">
        <v>60</v>
      </c>
      <c r="E16" s="55" t="s">
        <v>60</v>
      </c>
      <c r="F16" s="71" t="s">
        <v>109</v>
      </c>
      <c r="G16" s="71" t="s">
        <v>109</v>
      </c>
      <c r="H16" s="71" t="s">
        <v>109</v>
      </c>
      <c r="I16" s="71" t="s">
        <v>109</v>
      </c>
    </row>
    <row r="17" spans="1:9" ht="21" customHeight="1" x14ac:dyDescent="0.15">
      <c r="A17" s="76" t="s">
        <v>249</v>
      </c>
      <c r="B17" s="71" t="s">
        <v>109</v>
      </c>
      <c r="C17" s="55" t="s">
        <v>60</v>
      </c>
      <c r="D17" s="55" t="s">
        <v>60</v>
      </c>
      <c r="E17" s="55" t="s">
        <v>60</v>
      </c>
      <c r="F17" s="71" t="s">
        <v>109</v>
      </c>
      <c r="G17" s="71" t="s">
        <v>109</v>
      </c>
      <c r="H17" s="71" t="s">
        <v>109</v>
      </c>
      <c r="I17" s="71" t="s">
        <v>109</v>
      </c>
    </row>
    <row r="18" spans="1:9" ht="21" customHeight="1" x14ac:dyDescent="0.15">
      <c r="A18" s="76" t="s">
        <v>8</v>
      </c>
      <c r="B18" s="56" t="s">
        <v>61</v>
      </c>
      <c r="C18" s="56" t="s">
        <v>61</v>
      </c>
      <c r="D18" s="56" t="s">
        <v>61</v>
      </c>
      <c r="E18" s="71" t="s">
        <v>109</v>
      </c>
      <c r="F18" s="71" t="s">
        <v>109</v>
      </c>
      <c r="G18" s="71" t="s">
        <v>109</v>
      </c>
      <c r="H18" s="71" t="s">
        <v>109</v>
      </c>
      <c r="I18" s="71" t="s">
        <v>109</v>
      </c>
    </row>
    <row r="19" spans="1:9" ht="21" customHeight="1" x14ac:dyDescent="0.15">
      <c r="A19" s="77" t="s">
        <v>7</v>
      </c>
      <c r="B19" s="51" t="s">
        <v>62</v>
      </c>
      <c r="C19" s="51" t="s">
        <v>62</v>
      </c>
      <c r="D19" s="71" t="s">
        <v>109</v>
      </c>
      <c r="E19" s="71" t="s">
        <v>109</v>
      </c>
      <c r="F19" s="71" t="s">
        <v>109</v>
      </c>
      <c r="G19" s="71" t="s">
        <v>109</v>
      </c>
      <c r="H19" s="71" t="s">
        <v>109</v>
      </c>
      <c r="I19" s="71" t="s">
        <v>109</v>
      </c>
    </row>
    <row r="20" spans="1:9" ht="21" customHeight="1" x14ac:dyDescent="0.15">
      <c r="A20" s="78" t="s">
        <v>250</v>
      </c>
      <c r="B20" s="53" t="s">
        <v>63</v>
      </c>
      <c r="C20" s="53" t="s">
        <v>63</v>
      </c>
      <c r="D20" s="71" t="s">
        <v>109</v>
      </c>
      <c r="E20" s="71" t="s">
        <v>109</v>
      </c>
      <c r="F20" s="71" t="s">
        <v>109</v>
      </c>
      <c r="G20" s="71" t="s">
        <v>109</v>
      </c>
      <c r="H20" s="71" t="s">
        <v>109</v>
      </c>
      <c r="I20" s="71" t="s">
        <v>109</v>
      </c>
    </row>
    <row r="21" spans="1:9" ht="21" customHeight="1" x14ac:dyDescent="0.15">
      <c r="A21" s="37" t="s">
        <v>251</v>
      </c>
      <c r="B21" s="79" t="s">
        <v>47</v>
      </c>
      <c r="C21" s="79" t="s">
        <v>47</v>
      </c>
      <c r="D21" s="79" t="s">
        <v>47</v>
      </c>
      <c r="E21" s="79" t="s">
        <v>47</v>
      </c>
      <c r="F21" s="79" t="s">
        <v>47</v>
      </c>
      <c r="G21" s="79" t="s">
        <v>47</v>
      </c>
      <c r="H21" s="79" t="s">
        <v>47</v>
      </c>
      <c r="I21" s="79"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L21" sqref="L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6" t="s">
        <v>228</v>
      </c>
      <c r="B2" s="147"/>
      <c r="C2" s="148"/>
      <c r="D2" s="159" t="s">
        <v>11</v>
      </c>
      <c r="E2" s="159">
        <v>8000</v>
      </c>
      <c r="F2" s="159">
        <v>10000</v>
      </c>
      <c r="G2" s="159">
        <v>14000</v>
      </c>
      <c r="H2" s="148"/>
      <c r="I2" s="148"/>
    </row>
    <row r="3" spans="1:9" s="4" customFormat="1" ht="21" customHeight="1" x14ac:dyDescent="0.15">
      <c r="A3" s="146" t="s">
        <v>229</v>
      </c>
      <c r="B3" s="150"/>
      <c r="C3" s="151"/>
      <c r="D3" s="159" t="s">
        <v>11</v>
      </c>
      <c r="E3" s="159">
        <v>7500</v>
      </c>
      <c r="F3" s="159">
        <v>9500</v>
      </c>
      <c r="G3" s="159">
        <v>13000</v>
      </c>
      <c r="H3" s="151"/>
      <c r="I3" s="151"/>
    </row>
    <row r="4" spans="1:9" s="4" customFormat="1" ht="21" customHeight="1" x14ac:dyDescent="0.15">
      <c r="A4" s="146" t="s">
        <v>231</v>
      </c>
      <c r="B4" s="153"/>
      <c r="C4" s="154"/>
      <c r="D4" s="159">
        <v>5000</v>
      </c>
      <c r="E4" s="159">
        <v>7000</v>
      </c>
      <c r="F4" s="159">
        <v>9000</v>
      </c>
      <c r="G4" s="159">
        <v>12000</v>
      </c>
      <c r="H4" s="154"/>
      <c r="I4" s="154"/>
    </row>
    <row r="5" spans="1:9" s="4" customFormat="1" ht="21" customHeight="1" x14ac:dyDescent="0.15">
      <c r="A5" s="165" t="s">
        <v>232</v>
      </c>
      <c r="B5" s="160"/>
      <c r="C5" s="161"/>
      <c r="D5" s="159">
        <v>4900</v>
      </c>
      <c r="E5" s="159">
        <v>6700</v>
      </c>
      <c r="F5" s="159">
        <v>8500</v>
      </c>
      <c r="G5" s="159">
        <v>11000</v>
      </c>
      <c r="H5" s="161"/>
      <c r="I5" s="161"/>
    </row>
    <row r="6" spans="1:9" s="4" customFormat="1" ht="21" customHeight="1" x14ac:dyDescent="0.15">
      <c r="A6" s="165" t="s">
        <v>233</v>
      </c>
      <c r="B6" s="160"/>
      <c r="C6" s="161"/>
      <c r="D6" s="159">
        <v>4800</v>
      </c>
      <c r="E6" s="159">
        <v>6600</v>
      </c>
      <c r="F6" s="159" t="s">
        <v>11</v>
      </c>
      <c r="G6" s="159" t="s">
        <v>11</v>
      </c>
      <c r="H6" s="161"/>
      <c r="I6" s="161"/>
    </row>
    <row r="7" spans="1:9" ht="21" customHeight="1" x14ac:dyDescent="0.15">
      <c r="A7" s="74" t="s">
        <v>207</v>
      </c>
      <c r="B7" s="47" t="s">
        <v>11</v>
      </c>
      <c r="C7" s="47" t="s">
        <v>11</v>
      </c>
      <c r="D7" s="47" t="s">
        <v>11</v>
      </c>
      <c r="E7" s="47" t="s">
        <v>11</v>
      </c>
      <c r="F7" s="47" t="s">
        <v>11</v>
      </c>
      <c r="G7" s="47" t="s">
        <v>11</v>
      </c>
      <c r="H7" s="47" t="s">
        <v>11</v>
      </c>
      <c r="I7" s="47" t="s">
        <v>11</v>
      </c>
    </row>
    <row r="8" spans="1:9" ht="21" customHeight="1" x14ac:dyDescent="0.15">
      <c r="A8" s="75" t="s">
        <v>208</v>
      </c>
      <c r="B8" s="47" t="s">
        <v>11</v>
      </c>
      <c r="C8" s="47" t="s">
        <v>11</v>
      </c>
      <c r="D8" s="47" t="s">
        <v>11</v>
      </c>
      <c r="E8" s="47">
        <v>8000</v>
      </c>
      <c r="F8" s="28">
        <v>10000</v>
      </c>
      <c r="G8" s="47">
        <v>14000</v>
      </c>
      <c r="H8" s="47" t="s">
        <v>11</v>
      </c>
      <c r="I8" s="47" t="s">
        <v>11</v>
      </c>
    </row>
    <row r="9" spans="1:9" s="46" customFormat="1" ht="21" customHeight="1" x14ac:dyDescent="0.15">
      <c r="A9" s="191" t="s">
        <v>314</v>
      </c>
      <c r="B9" s="28" t="s">
        <v>11</v>
      </c>
      <c r="C9" s="28" t="s">
        <v>11</v>
      </c>
      <c r="D9" s="28" t="s">
        <v>11</v>
      </c>
      <c r="E9" s="28" t="s">
        <v>11</v>
      </c>
      <c r="F9" s="28">
        <v>10000</v>
      </c>
      <c r="G9" s="47">
        <v>14000</v>
      </c>
      <c r="H9" s="28" t="s">
        <v>11</v>
      </c>
      <c r="I9" s="28" t="s">
        <v>11</v>
      </c>
    </row>
    <row r="10" spans="1:9" s="46" customFormat="1" ht="21" customHeight="1" x14ac:dyDescent="0.15">
      <c r="A10" s="76" t="s">
        <v>209</v>
      </c>
      <c r="B10" s="28" t="s">
        <v>11</v>
      </c>
      <c r="C10" s="28" t="s">
        <v>11</v>
      </c>
      <c r="D10" s="28" t="s">
        <v>11</v>
      </c>
      <c r="E10" s="28">
        <v>7500</v>
      </c>
      <c r="F10" s="28">
        <v>9500</v>
      </c>
      <c r="G10" s="47">
        <v>13000</v>
      </c>
      <c r="H10" s="28" t="s">
        <v>11</v>
      </c>
      <c r="I10" s="28" t="s">
        <v>11</v>
      </c>
    </row>
    <row r="11" spans="1:9" ht="21" customHeight="1" x14ac:dyDescent="0.15">
      <c r="A11" s="76" t="s">
        <v>9</v>
      </c>
      <c r="B11" s="69" t="s">
        <v>11</v>
      </c>
      <c r="C11" s="69" t="s">
        <v>11</v>
      </c>
      <c r="D11" s="28">
        <v>5000</v>
      </c>
      <c r="E11" s="28">
        <v>7000</v>
      </c>
      <c r="F11" s="28">
        <v>9000</v>
      </c>
      <c r="G11" s="47">
        <v>12000</v>
      </c>
      <c r="H11" s="69" t="s">
        <v>11</v>
      </c>
      <c r="I11" s="69" t="s">
        <v>11</v>
      </c>
    </row>
    <row r="12" spans="1:9" ht="21" customHeight="1" x14ac:dyDescent="0.15">
      <c r="A12" s="76" t="s">
        <v>210</v>
      </c>
      <c r="B12" s="69" t="s">
        <v>11</v>
      </c>
      <c r="C12" s="69" t="s">
        <v>11</v>
      </c>
      <c r="D12" s="28">
        <v>4900</v>
      </c>
      <c r="E12" s="28">
        <v>6700</v>
      </c>
      <c r="F12" s="28">
        <v>8500</v>
      </c>
      <c r="G12" s="47">
        <v>11000</v>
      </c>
      <c r="H12" s="69" t="s">
        <v>11</v>
      </c>
      <c r="I12" s="69" t="s">
        <v>11</v>
      </c>
    </row>
    <row r="13" spans="1:9" ht="21" customHeight="1" x14ac:dyDescent="0.15">
      <c r="A13" s="76" t="s">
        <v>106</v>
      </c>
      <c r="B13" s="69" t="s">
        <v>11</v>
      </c>
      <c r="C13" s="69" t="s">
        <v>11</v>
      </c>
      <c r="D13" s="28">
        <v>4800</v>
      </c>
      <c r="E13" s="28">
        <v>6600</v>
      </c>
      <c r="F13" s="192">
        <v>9000</v>
      </c>
      <c r="G13" s="69" t="s">
        <v>11</v>
      </c>
      <c r="H13" s="69" t="s">
        <v>11</v>
      </c>
      <c r="I13" s="69" t="s">
        <v>11</v>
      </c>
    </row>
    <row r="14" spans="1:9" ht="21" customHeight="1" x14ac:dyDescent="0.15">
      <c r="A14" s="76" t="s">
        <v>211</v>
      </c>
      <c r="B14" s="69" t="s">
        <v>11</v>
      </c>
      <c r="C14" s="69" t="s">
        <v>11</v>
      </c>
      <c r="D14" s="69" t="s">
        <v>11</v>
      </c>
      <c r="E14" s="28">
        <v>6300</v>
      </c>
      <c r="F14" s="69" t="s">
        <v>11</v>
      </c>
      <c r="G14" s="69" t="s">
        <v>11</v>
      </c>
      <c r="H14" s="69" t="s">
        <v>11</v>
      </c>
      <c r="I14" s="69" t="s">
        <v>11</v>
      </c>
    </row>
    <row r="15" spans="1:9" ht="21" customHeight="1" x14ac:dyDescent="0.15">
      <c r="A15" s="76" t="s">
        <v>212</v>
      </c>
      <c r="B15" s="69" t="s">
        <v>11</v>
      </c>
      <c r="C15" s="69" t="s">
        <v>11</v>
      </c>
      <c r="D15" s="28">
        <v>4600</v>
      </c>
      <c r="E15" s="28">
        <v>5800</v>
      </c>
      <c r="F15" s="28">
        <v>7600</v>
      </c>
      <c r="G15" s="69" t="s">
        <v>11</v>
      </c>
      <c r="H15" s="69" t="s">
        <v>11</v>
      </c>
      <c r="I15" s="69" t="s">
        <v>11</v>
      </c>
    </row>
    <row r="16" spans="1:9" ht="21" customHeight="1" x14ac:dyDescent="0.15">
      <c r="A16" s="76" t="s">
        <v>105</v>
      </c>
      <c r="B16" s="69" t="s">
        <v>11</v>
      </c>
      <c r="C16" s="69" t="s">
        <v>11</v>
      </c>
      <c r="D16" s="28">
        <v>4400</v>
      </c>
      <c r="E16" s="28">
        <v>5600</v>
      </c>
      <c r="F16" s="69" t="s">
        <v>11</v>
      </c>
      <c r="G16" s="69" t="s">
        <v>11</v>
      </c>
      <c r="H16" s="69" t="s">
        <v>11</v>
      </c>
      <c r="I16" s="69" t="s">
        <v>11</v>
      </c>
    </row>
    <row r="17" spans="1:9" ht="21" customHeight="1" x14ac:dyDescent="0.15">
      <c r="A17" s="76" t="s">
        <v>213</v>
      </c>
      <c r="B17" s="69" t="s">
        <v>11</v>
      </c>
      <c r="C17" s="28">
        <v>3000</v>
      </c>
      <c r="D17" s="28">
        <v>4200</v>
      </c>
      <c r="E17" s="28">
        <v>5400</v>
      </c>
      <c r="F17" s="69" t="s">
        <v>11</v>
      </c>
      <c r="G17" s="69" t="s">
        <v>11</v>
      </c>
      <c r="H17" s="69" t="s">
        <v>11</v>
      </c>
      <c r="I17" s="69" t="s">
        <v>11</v>
      </c>
    </row>
    <row r="18" spans="1:9" ht="21" customHeight="1" x14ac:dyDescent="0.15">
      <c r="A18" s="76" t="s">
        <v>8</v>
      </c>
      <c r="B18" s="28">
        <v>2000</v>
      </c>
      <c r="C18" s="28">
        <v>2800</v>
      </c>
      <c r="D18" s="28">
        <v>4000</v>
      </c>
      <c r="E18" s="69" t="s">
        <v>11</v>
      </c>
      <c r="F18" s="69" t="s">
        <v>11</v>
      </c>
      <c r="G18" s="69" t="s">
        <v>11</v>
      </c>
      <c r="H18" s="69" t="s">
        <v>11</v>
      </c>
      <c r="I18" s="69" t="s">
        <v>11</v>
      </c>
    </row>
    <row r="19" spans="1:9" ht="21" customHeight="1" x14ac:dyDescent="0.15">
      <c r="A19" s="77" t="s">
        <v>7</v>
      </c>
      <c r="B19" s="28">
        <v>1750</v>
      </c>
      <c r="C19" s="28">
        <v>2550</v>
      </c>
      <c r="D19" s="69" t="s">
        <v>11</v>
      </c>
      <c r="E19" s="69" t="s">
        <v>11</v>
      </c>
      <c r="F19" s="69" t="s">
        <v>11</v>
      </c>
      <c r="G19" s="69" t="s">
        <v>11</v>
      </c>
      <c r="H19" s="69" t="s">
        <v>11</v>
      </c>
      <c r="I19" s="69" t="s">
        <v>11</v>
      </c>
    </row>
    <row r="20" spans="1:9" ht="21" customHeight="1" x14ac:dyDescent="0.15">
      <c r="A20" s="77" t="s">
        <v>214</v>
      </c>
      <c r="B20" s="28">
        <v>1500</v>
      </c>
      <c r="C20" s="28">
        <v>2300</v>
      </c>
      <c r="D20" s="69" t="s">
        <v>11</v>
      </c>
      <c r="E20" s="69" t="s">
        <v>11</v>
      </c>
      <c r="F20" s="69" t="s">
        <v>11</v>
      </c>
      <c r="G20" s="69" t="s">
        <v>11</v>
      </c>
      <c r="H20" s="69" t="s">
        <v>11</v>
      </c>
      <c r="I20" s="69" t="s">
        <v>11</v>
      </c>
    </row>
    <row r="21" spans="1:9" ht="21" customHeight="1" x14ac:dyDescent="0.15">
      <c r="A21" s="37" t="s">
        <v>215</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G18" sqref="G18"/>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2">
        <v>591</v>
      </c>
    </row>
    <row r="3" spans="1:4" x14ac:dyDescent="0.15">
      <c r="A3" t="s">
        <v>200</v>
      </c>
      <c r="B3" s="133">
        <v>592</v>
      </c>
    </row>
    <row r="4" spans="1:4" x14ac:dyDescent="0.15">
      <c r="A4" t="s">
        <v>201</v>
      </c>
      <c r="B4" s="133">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5"/>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2017-06-06T07:31:23Z</dcterms:modified>
</cp:coreProperties>
</file>