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8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<sst xmlns="http://schemas.openxmlformats.org/spreadsheetml/2006/main" count="885" uniqueCount="362">
  <si>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</si>
  <si>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</si>
  <si>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</si>
  <si>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</si>
  <si>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</si>
  <si>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</si>
  <si>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</si>
  <si>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</si>
  <si>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</si>
  <si>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</si>
  <si>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</si>
  <si>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</si>
  <si>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</si>
  <si>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</si>
  <si>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</si>
  <si>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</si>
  <si>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</si>
  <si>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</si>
  <si>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</si>
  <si>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</si>
  <si>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</si>
  <si>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</si>
  <si>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</si>
  <si>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</si>
  <si>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</si>
  <si>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</si>
  <si>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</si>
  <si>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</si>
  <si>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</si>
  <si>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</si>
  <si>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</si>
  <si>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</si>
  <si>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</si>
  <si>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</si>
  <si>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</si>
  <si>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</si>
  <si>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</si>
  <si>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</si>
  <si>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</si>
  <si>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</si>
  <si>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</si>
  <si>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</si>
  <si>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</si>
  <si>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</si>
  <si>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</si>
  <si>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</si>
  <si>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</si>
  <si>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</si>
  <si>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</si>
  <si>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</si>
  <si>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</si>
  <si>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</si>
  <si>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</si>
  <si>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</si>
  <si>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</si>
  <si>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</si>
  <si>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</si>
  <si>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</si>
  <si>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</si>
  <si>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</si>
  <si>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</si>
  <si>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</si>
  <si>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</si>
  <si>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</si>
  <si>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</si>
  <si>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</si>
  <si>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</si>
  <si>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</si>
  <si>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</si>
  <si>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</si>
  <si>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</si>
  <si>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</si>
  <si>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</si>
  <si>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</si>
  <si>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</si>
  <si>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</si>
  <si>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</si>
  <si>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</si>
  <si>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</si>
  <si>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</si>
  <si>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</si>
  <si>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</si>
  <si>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</si>
  <si>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</si>
  <si>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</si>
  <si>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</si>
  <si>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</si>
  <si>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</si>
  <si>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</si>
  <si>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</si>
  <si>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</si>
  <si>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</si>
  <si>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</si>
  <si>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</si>
  <si>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</si>
  <si>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</si>
  <si>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</si>
  <si>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</si>
  <si>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</si>
  <si>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</si>
  <si>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</si>
  <si>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</si>
  <si>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</si>
  <si>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</si>
  <si>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</si>
  <si>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</si>
  <si>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</si>
  <si>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</si>
  <si>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</si>
  <si>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</si>
  <si>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</si>
  <si>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</si>
  <si>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</si>
  <si>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</si>
  <si>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</si>
  <si>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</si>
  <si>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</si>
  <si>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</si>
  <si>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</si>
  <si>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</si>
  <si>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</si>
  <si>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</si>
  <si>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</si>
  <si>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</si>
  <si>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</si>
  <si>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</si>
  <si>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</si>
  <si>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</si>
  <si>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</si>
  <si>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</si>
  <si>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</si>
  <si>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</si>
  <si>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</si>
  <si>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</si>
  <si>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</si>
  <si>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</si>
  <si>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</si>
  <si>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</si>
  <si>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</si>
  <si>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</si>
  <si>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</si>
  <si>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</si>
  <si>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</si>
  <si>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</si>
  <si>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</si>
  <si>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</si>
  <si>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</si>
  <si>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</si>
  <si>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</si>
  <si>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</si>
  <si>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</si>
  <si>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</si>
  <si>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</si>
  <si>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</si>
  <si>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</si>
  <si>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</si>
  <si>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</si>
  <si>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</si>
  <si>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</si>
  <si>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</si>
  <si>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</si>
  <si>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</si>
  <si>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</si>
  <si>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</si>
  <si>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</si>
  <si>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</si>
  <si>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</si>
  <si>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</si>
  <si>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</si>
  <si>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</si>
  <si>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</si>
  <si>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</si>
  <si>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</si>
  <si>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</si>
  <si>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</si>
  <si>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</si>
  <si>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</si>
  <si>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</si>
  <si>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</si>
  <si>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</si>
  <si>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</si>
  <si>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</si>
  <si>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</si>
  <si>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</si>
  <si>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</si>
  <si>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</si>
  <si>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</si>
  <si>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</si>
  <si>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</si>
  <si>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</si>
  <si>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</si>
  <si>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</si>
  <si>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</si>
  <si>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</si>
  <si>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</si>
  <si>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</si>
  <si>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</si>
  <si>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</si>
  <si>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</si>
  <si>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</si>
  <si>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</si>
  <si>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</si>
  <si>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</si>
  <si>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</si>
  <si>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</si>
  <si>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</si>
  <si>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</si>
  <si>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</si>
  <si>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</si>
  <si>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</si>
  <si>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</si>
  <si>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</si>
  <si>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</si>
  <si>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</si>
  <si>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</si>
  <si>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</si>
  <si>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</si>
  <si>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</si>
  <si>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</si>
  <si>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</si>
  <si>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</si>
  <si>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</si>
  <si>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</si>
  <si>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</si>
  <si>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</si>
  <si>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</si>
  <si>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</si>
  <si>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</si>
  <si>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</si>
  <si>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</si>
  <si>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</si>
  <si>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</si>
  <si>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</si>
  <si>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</si>
  <si>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</si>
  <si>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</si>
  <si>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</si>
  <si>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</si>
  <si>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</si>
  <si>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</si>
  <si>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</si>
  <si>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</si>
  <si>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</si>
  <si>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</si>
  <si>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</si>
  <si>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</si>
  <si>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</si>
  <si>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</si>
  <si>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</si>
  <si>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</si>
  <si>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</si>
  <si>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</si>
  <si>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</si>
  <si>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</si>
  <si>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</si>
  <si>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</si>
  <si>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</si>
  <si>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</si>
  <si>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</si>
  <si>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</si>
  <si>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</si>
  <si>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</si>
  <si>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</si>
  <si>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</si>
  <si>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</si>
  <si>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</si>
  <si>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</si>
  <si>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</si>
  <si>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</si>
  <si>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</si>
  <si>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</si>
  <si>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</si>
  <si>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</si>
  <si>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</si>
  <si>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</si>
  <si>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</si>
  <si>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</si>
  <si>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</si>
  <si>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</si>
  <si>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</si>
  <si>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</si>
  <si>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</si>
  <si>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</si>
  <si>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</si>
  <si>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</si>
  <si>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</si>
  <si>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</si>
  <si>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</si>
  <si>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</si>
  <si>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</si>
  <si>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</si>
  <si>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</si>
  <si>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</si>
  <si>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</si>
  <si>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</si>
  <si>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</si>
  <si>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</si>
  <si>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</si>
  <si>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</si>
  <si>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</si>
  <si>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</si>
  <si>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</si>
  <si>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</si>
  <si>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</si>
  <si>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</si>
  <si>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</si>
  <si>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</si>
  <si>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</si>
  <si>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</si>
  <si>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</si>
  <si>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</si>
  <si>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</si>
  <si>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</si>
  <si>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</si>
  <si>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</si>
  <si>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</si>
  <si>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</si>
  <si>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</si>
  <si>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</si>
  <si>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</si>
  <si>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</si>
  <si>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</si>
  <si>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</si>
  <si>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</si>
  <si>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</si>
  <si>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</si>
  <si>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</si>
  <si>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</si>
  <si>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</si>
  <si>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</si>
  <si>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</si>
  <si>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</si>
  <si>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</si>
  <si>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</si>
  <si>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</si>
  <si>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</si>
  <si>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</si>
  <si>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</si>
  <si>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</si>
  <si>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fes06</t>
  </si>
  <si>
    <t>fes06</t>
    <phoneticPr fontId="22"/>
  </si>
  <si>
    <t>1</t>
    <phoneticPr fontId="22"/>
  </si>
  <si>
    <t>old</t>
    <phoneticPr fontId="22"/>
  </si>
  <si>
    <t>1体に特大ダメージ+
1ターン全ユニットの攻撃力小UP</t>
    <phoneticPr fontId="22"/>
  </si>
  <si>
    <t>1体に超大ダメージ+
1ターン全ユニットの攻撃力小UP</t>
    <phoneticPr fontId="22"/>
  </si>
  <si>
    <t>メロウ・オルゴール</t>
  </si>
  <si>
    <t>メロウ・メルト・オルゴール</t>
  </si>
  <si>
    <t>プライム・スプリット</t>
  </si>
  <si>
    <t>プライム・ステンドラッシュ</t>
  </si>
  <si>
    <t>ついつい歌っちゃうんです</t>
  </si>
  <si>
    <t>kumo</t>
  </si>
  <si>
    <t>数の並びは美しいですね♪</t>
  </si>
  <si>
    <t>この音律なら…♪</t>
  </si>
  <si>
    <t>この音色、海まで届け…！</t>
  </si>
  <si>
    <t>知りたいことがいっぱいです</t>
  </si>
  <si>
    <t>音も解くことができるんです</t>
  </si>
  <si>
    <t>青･緑をCPに、CPをランダムで味方CPに変換+1ターンダメージ30％軽減、黄パネル出現率大UP</t>
    <phoneticPr fontId="22"/>
  </si>
  <si>
    <t>青･緑をCPに、CPをランダムで味方CPに変換+1ターンダメージ30％軽減、黄パネル出現率大UP+3ターン青パネル出現率DOWN</t>
    <phoneticPr fontId="22"/>
  </si>
  <si>
    <t>[effect:force_change_block, new_block:crash, target:block_blue, count:0, val:6, animation:change_block],[effect:force_change_block, new_block:crash, target:block_green, count:0, val:6, animation:change_block],[effect:change_crash_panel, index:2, take_over:1, count:0, animation:change_block],[effect:reduction, target:unit_all, turn:1, color:all, val:0.3, animation:reduction_one03],[effect:change_panel_ratio, turn:1, block_type:yellow, val:0.6, animation:block_incidence04]</t>
    <phoneticPr fontId="22"/>
  </si>
  <si>
    <t>[effect:force_change_block, new_block:crash, target:block_blue, count:0, val:6, animation:change_block],[effect:force_change_block, new_block:crash, target:block_green, count:0, val:6, animation:change_block],[effect:change_crash_panel, index:2, take_over:1, count:0, animation:change_block],[effect:reduction, target:unit_all, turn:1, color:all, val:0.3, animation:reduction_one03],[effect:change_panel_ratio, turn:1, block_type:yellow, val:0.6],[effect:change_panel_ratio, turn:3, block_type:blue, val:0.1, animation:block_incidence04]</t>
    <phoneticPr fontId="22"/>
  </si>
  <si>
    <t>[effect:damage, target:enemy_one, color:yellow, val:1.5, animation:damage_one_yellow04],[effect:enhance_unit, target:unit_all, turn:1, status:attack, val:0.018, calc:mul, animation:enhance_unit_all_attack01_unit01]</t>
    <phoneticPr fontId="22"/>
  </si>
  <si>
    <t>[effect:damage, target:enemy_one, color:yellow, val:2, animation:damage_one_yellow04],[effect:enhance_unit, target:unit_all, turn:1, status:attack, val:0.018, calc:mul, animation:enhance_unit_all_attack01_unit01]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</si>
</sst>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29" borderId="0" xfId="0" applyFont="1" applyFill="1" applyAlignment="1">
      <alignment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618</v>
          </cell>
          <cell r="B118" t="str">
            <v>ja</v>
          </cell>
          <cell r="C118" t="str">
            <v>赤属性耐性8</v>
          </cell>
          <cell r="D118" t="str">
            <v>自身に対する赤属性の敵からの攻撃を8%軽減</v>
          </cell>
        </row>
        <row r="119">
          <cell r="A119">
            <v>619</v>
          </cell>
          <cell r="B119" t="str">
            <v>ja</v>
          </cell>
          <cell r="C119" t="str">
            <v>青属性耐性8</v>
          </cell>
          <cell r="D119" t="str">
            <v>自身に対する青属性の敵からの攻撃を8%軽減</v>
          </cell>
        </row>
        <row r="120">
          <cell r="A120">
            <v>620</v>
          </cell>
          <cell r="B120" t="str">
            <v>ja</v>
          </cell>
          <cell r="C120" t="str">
            <v>緑属性耐性8</v>
          </cell>
          <cell r="D120" t="str">
            <v>自身に対する緑属性の敵からの攻撃を8%軽減</v>
          </cell>
        </row>
        <row r="121">
          <cell r="A121">
            <v>621</v>
          </cell>
          <cell r="B121" t="str">
            <v>ja</v>
          </cell>
          <cell r="C121" t="str">
            <v>黄属性耐性8</v>
          </cell>
          <cell r="D121" t="str">
            <v>自身に対する黄属性の敵からの攻撃を8%軽減</v>
          </cell>
        </row>
        <row r="122">
          <cell r="A122">
            <v>700</v>
          </cell>
          <cell r="B122" t="str">
            <v>ja</v>
          </cell>
          <cell r="C122" t="str">
            <v>フロア 回復</v>
          </cell>
          <cell r="D122" t="str">
            <v>全フロアの1ターン目終了時にパーティの合計HPの20％を回復する</v>
          </cell>
        </row>
        <row r="123">
          <cell r="A123">
            <v>800</v>
          </cell>
          <cell r="B123" t="str">
            <v>ja</v>
          </cell>
          <cell r="C123" t="str">
            <v>パネルブレイク30 攻撃力UP</v>
          </cell>
          <cell r="D123" t="str">
            <v>自身が先頭の時、1ターンの間に合計30個以上パネルを破壊した場合に攻撃力UP</v>
          </cell>
        </row>
        <row r="124">
          <cell r="A124">
            <v>801</v>
          </cell>
          <cell r="B124" t="str">
            <v>ja</v>
          </cell>
          <cell r="C124" t="str">
            <v>パネルブレイク30 回復力UP</v>
          </cell>
          <cell r="D124" t="str">
            <v>自身が先頭の時、1ターンの間に合計30個以上パネルを破壊した場合に回復力UP</v>
          </cell>
        </row>
        <row r="125">
          <cell r="A125">
            <v>802</v>
          </cell>
          <cell r="B125" t="str">
            <v>ja</v>
          </cell>
          <cell r="C125" t="str">
            <v>パネルブレイク30 防御力小UP</v>
          </cell>
          <cell r="D125" t="str">
            <v>自身が先頭の時、1ターンの間に合計30個以上パネルを破壊した場合に防御力小UP</v>
          </cell>
        </row>
        <row r="126">
          <cell r="A126">
            <v>803</v>
          </cell>
          <cell r="B126" t="str">
            <v>ja</v>
          </cell>
          <cell r="C126" t="str">
            <v>パネルブレイク30 防御力UP</v>
          </cell>
          <cell r="D126" t="str">
            <v>自身が先頭の時、1ターンの間に合計30個以上パネルを破壊した場合に防御力UP</v>
          </cell>
        </row>
        <row r="127">
          <cell r="A127">
            <v>804</v>
          </cell>
          <cell r="B127" t="str">
            <v>ja</v>
          </cell>
          <cell r="C127" t="str">
            <v>パネルブレイク30 防御力大UP</v>
          </cell>
          <cell r="D127" t="str">
            <v>自身が先頭の時、1ターンの間に合計30個以上パネルを破壊した場合に防御力大UP</v>
          </cell>
        </row>
        <row r="128">
          <cell r="A128">
            <v>805</v>
          </cell>
          <cell r="B128" t="str">
            <v>ja</v>
          </cell>
          <cell r="C128" t="str">
            <v>パネルブレイク30 防御力特大UP</v>
          </cell>
          <cell r="D128" t="str">
            <v>自身が先頭の時、1ターンの間に合計30個以上パネルを破壊した場合に防御力特大UP</v>
          </cell>
        </row>
        <row r="129">
          <cell r="A129">
            <v>806</v>
          </cell>
          <cell r="B129" t="str">
            <v>ja</v>
          </cell>
          <cell r="C129" t="str">
            <v>ボムブレイク10 防御力UP</v>
          </cell>
          <cell r="D129" t="str">
            <v>自身または味方が1ターンの間に合計10個以上ボムパネルを破壊した場合に防御力UP</v>
          </cell>
        </row>
        <row r="130">
          <cell r="A130">
            <v>807</v>
          </cell>
          <cell r="B130" t="str">
            <v>ja</v>
          </cell>
          <cell r="C130" t="str">
            <v>パネル18 破壊フィーバーゲージ上昇</v>
          </cell>
          <cell r="D130" t="str">
            <v>自身が先頭の時、1ターンの間に合計18個以上パネルを破壊した場合にフィーバーゲージ上昇</v>
          </cell>
        </row>
        <row r="131">
          <cell r="A131">
            <v>808</v>
          </cell>
          <cell r="B131" t="str">
            <v>ja</v>
          </cell>
          <cell r="C131" t="str">
            <v>パネルブレイク40 防御力UP</v>
          </cell>
          <cell r="D131" t="str">
            <v>自身が先頭の時、1ターンの間に合計40個以上パネルを破壊した場合に青属性ユニットの防御力を400UP</v>
          </cell>
        </row>
        <row r="132">
          <cell r="A132">
            <v>809</v>
          </cell>
          <cell r="B132" t="str">
            <v>ja</v>
          </cell>
          <cell r="C132" t="str">
            <v>パネルブレイク40 攻撃力UP</v>
          </cell>
          <cell r="D132" t="str">
            <v>自身が先頭の時、1ターンの間に合計40個以上パネルを破壊した場合に攻撃力UP</v>
          </cell>
        </row>
        <row r="133">
          <cell r="A133">
            <v>810</v>
          </cell>
          <cell r="B133" t="str">
            <v>ja</v>
          </cell>
          <cell r="C133" t="str">
            <v>パネルブレイク40 攻撃力小UP</v>
          </cell>
          <cell r="D133" t="str">
            <v>自身が先頭の時、1ターンの間に合計40個以上パネルを破壊した場合に攻撃力小UP</v>
          </cell>
        </row>
        <row r="134">
          <cell r="A134">
            <v>811</v>
          </cell>
          <cell r="B134" t="str">
            <v>ja</v>
          </cell>
          <cell r="C134" t="str">
            <v>パネルブレイク30 攻撃力小UP</v>
          </cell>
          <cell r="D134" t="str">
            <v>自身が先頭の時、1ターンの間に合計30個以上パネルを破壊した場合に攻撃力小UP</v>
          </cell>
        </row>
        <row r="135">
          <cell r="A135">
            <v>812</v>
          </cell>
          <cell r="B135" t="str">
            <v>ja</v>
          </cell>
          <cell r="C135" t="str">
            <v>パネルブレイク40 HP小回復</v>
          </cell>
          <cell r="D135" t="str">
            <v>自身が先頭の時、1ターンの間に合計40個以上パネルを破壊した場合にターン終了時HP小回復</v>
          </cell>
        </row>
        <row r="136">
          <cell r="A136">
            <v>900</v>
          </cell>
          <cell r="B136" t="str">
            <v>ja</v>
          </cell>
          <cell r="C136" t="str">
            <v>チェイン12 攻撃力UP</v>
          </cell>
          <cell r="D136" t="str">
            <v>自身が先頭の時、1タップで12個以上パネルを繋げた場合に攻撃力UP</v>
          </cell>
        </row>
        <row r="137">
          <cell r="A137">
            <v>901</v>
          </cell>
          <cell r="B137" t="str">
            <v>ja</v>
          </cell>
          <cell r="C137" t="str">
            <v>チェイン12 回復力UP</v>
          </cell>
          <cell r="D137" t="str">
            <v>自身が先頭の時、1タップで12個以上パネルを繋げた場合に回復力UP</v>
          </cell>
        </row>
        <row r="138">
          <cell r="A138">
            <v>902</v>
          </cell>
          <cell r="B138" t="str">
            <v>ja</v>
          </cell>
          <cell r="C138" t="str">
            <v>チェイン12 タップ回数UP</v>
          </cell>
          <cell r="D138" t="str">
            <v>自身が先頭の時、1タップで12個以上パネルを繋げた場合にタップ回数を1回増やす</v>
          </cell>
        </row>
        <row r="139">
          <cell r="A139">
            <v>903</v>
          </cell>
          <cell r="B139" t="str">
            <v>ja</v>
          </cell>
          <cell r="C139" t="str">
            <v>チェイン18 スキルゲージUP</v>
          </cell>
          <cell r="D139" t="str">
            <v>自身が先頭の時、1タップで18個以上パネルを繋げた場合に自身のスキルゲージを1増やす(1ターンに1度だけ発動)</v>
          </cell>
        </row>
        <row r="140">
          <cell r="A140">
            <v>904</v>
          </cell>
          <cell r="B140" t="str">
            <v>ja</v>
          </cell>
          <cell r="C140" t="str">
            <v>チェイン17 回復力UP</v>
          </cell>
          <cell r="D140" t="str">
            <v>自身が先頭の時、1タップで17個以上パネルを繋げた場合に自身の回復力を2017UP</v>
          </cell>
        </row>
        <row r="141">
          <cell r="A141">
            <v>905</v>
          </cell>
          <cell r="B141" t="str">
            <v>ja</v>
          </cell>
          <cell r="C141" t="str">
            <v>チェイン12 攻撃力小UP</v>
          </cell>
          <cell r="D141" t="str">
            <v>自身が先頭の時、1タップで12個以上パネルを繋げた場合に攻撃力小UP</v>
          </cell>
        </row>
        <row r="142">
          <cell r="A142">
            <v>906</v>
          </cell>
          <cell r="B142" t="str">
            <v>ja</v>
          </cell>
          <cell r="C142" t="str">
            <v>チェイン14 回復力小UP</v>
          </cell>
          <cell r="D142" t="str">
            <v>自身が先頭の時、1タップで14個以上パネルを繋げた場合に回復力小UP</v>
          </cell>
        </row>
        <row r="143">
          <cell r="A143">
            <v>907</v>
          </cell>
          <cell r="B143" t="str">
            <v>ja</v>
          </cell>
          <cell r="C143" t="str">
            <v>チェイン14 攻撃力UP</v>
          </cell>
          <cell r="D143" t="str">
            <v>自身が先頭の時、1タップで14個以上パネルを繋げた場合に攻撃力UP</v>
          </cell>
        </row>
        <row r="144">
          <cell r="A144">
            <v>1100</v>
          </cell>
          <cell r="B144" t="str">
            <v>ja</v>
          </cell>
          <cell r="C144" t="str">
            <v>Cパネル生成短縮</v>
          </cell>
          <cell r="D144" t="str">
            <v>自身が先頭の時、Cパネル生成に必要なチェイン数を1短縮する</v>
          </cell>
        </row>
        <row r="145">
          <cell r="A145">
            <v>1101</v>
          </cell>
          <cell r="B145" t="str">
            <v>ja</v>
          </cell>
          <cell r="C145" t="str">
            <v>Cパネル生成短縮(大)</v>
          </cell>
          <cell r="D145" t="str">
            <v>自身が先頭の時、Cパネル生成に必要なチェイン数を2短縮する</v>
          </cell>
        </row>
        <row r="146">
          <cell r="A146">
            <v>1200</v>
          </cell>
          <cell r="B146" t="str">
            <v>ja</v>
          </cell>
          <cell r="C146" t="str">
            <v>フィーバー攻撃UP</v>
          </cell>
          <cell r="D146" t="str">
            <v>自身が先頭の時、フィーバー発動時に緑属性の攻撃力と回復力UP</v>
          </cell>
        </row>
        <row r="147">
          <cell r="A147">
            <v>1300</v>
          </cell>
          <cell r="B147" t="str">
            <v>ja</v>
          </cell>
          <cell r="C147" t="str">
            <v>チェイン12 HP回復</v>
          </cell>
          <cell r="D147" t="str">
            <v>自身が先頭の時、1タップで12個以上パネルを繋げた場合にHPを2000回復(1ターンに1度だけ発動)</v>
          </cell>
        </row>
        <row r="148">
          <cell r="A148">
            <v>1400</v>
          </cell>
          <cell r="B148" t="str">
            <v>ja</v>
          </cell>
          <cell r="C148" t="str">
            <v>カウンター威力UP</v>
          </cell>
          <cell r="D148" t="str">
            <v>4ターン毎に自身のカウンタースキルの威力が1ターンの間UP</v>
          </cell>
        </row>
        <row r="149">
          <cell r="A149">
            <v>1500</v>
          </cell>
          <cell r="B149" t="str">
            <v>ja</v>
          </cell>
          <cell r="C149" t="str">
            <v>バリア15000</v>
          </cell>
          <cell r="D149" t="str">
            <v>戦闘開始時に、自身への直接ダメージを15000まで防ぐバリアを一度だけ展開(バリアは破壊されると復活しない)</v>
          </cell>
        </row>
        <row r="150">
          <cell r="A150">
            <v>1501</v>
          </cell>
          <cell r="B150" t="str">
            <v>ja</v>
          </cell>
          <cell r="C150" t="str">
            <v>バリア</v>
          </cell>
          <cell r="D150" t="str">
            <v>戦闘開始時に、ダメージを25000まで防ぐバリアを一度だけ展開</v>
          </cell>
        </row>
        <row r="151">
          <cell r="A151">
            <v>1502</v>
          </cell>
          <cell r="B151" t="str">
            <v>ja</v>
          </cell>
          <cell r="C151" t="str">
            <v>バリア</v>
          </cell>
          <cell r="D151" t="str">
            <v>戦闘開始時に、ダメージを50000まで防ぐバリアを一度だけ展開</v>
          </cell>
        </row>
        <row r="152">
          <cell r="A152">
            <v>1503</v>
          </cell>
          <cell r="B152" t="str">
            <v>ja</v>
          </cell>
          <cell r="C152" t="str">
            <v>バリア8000</v>
          </cell>
          <cell r="D152" t="str">
            <v>戦闘開始時に、自身への直接ダメージを8000まで防ぐバリアを一度だけ展開(バリアは破壊されると復活しない)</v>
          </cell>
        </row>
        <row r="153">
          <cell r="A153">
            <v>1504</v>
          </cell>
          <cell r="B153" t="str">
            <v>ja</v>
          </cell>
          <cell r="C153" t="str">
            <v>バリア10000</v>
          </cell>
          <cell r="D153" t="str">
            <v>戦闘開始時に、自身への直接ダメージを10000まで防ぐバリアを一度だけ展開(バリアは破壊されると復活しない)</v>
          </cell>
        </row>
        <row r="154">
          <cell r="A154">
            <v>1505</v>
          </cell>
          <cell r="B154" t="str">
            <v>ja</v>
          </cell>
          <cell r="C154" t="str">
            <v>バリア3939</v>
          </cell>
          <cell r="D154" t="str">
            <v>戦闘開始時に、自身への直接ダメージを3939まで防ぐバリアを一度だけ展開(バリアは破壊されると復活しない)</v>
          </cell>
        </row>
        <row r="155">
          <cell r="A155">
            <v>1600</v>
          </cell>
          <cell r="B155" t="str">
            <v>ja</v>
          </cell>
          <cell r="C155" t="str">
            <v>攻撃力・回復力UP</v>
          </cell>
          <cell r="D155" t="str">
            <v>自身の攻撃力と回復力をUP</v>
          </cell>
        </row>
        <row r="156">
          <cell r="A156">
            <v>1700</v>
          </cell>
          <cell r="B156" t="str">
            <v>ja</v>
          </cell>
          <cell r="C156" t="str">
            <v>パネルブレイク30 ターンHP小回復</v>
          </cell>
          <cell r="D156" t="str">
            <v>自身が先頭の時、1ターンの間に合計30個以上パネルを破壊した場合に1ターン HP小回復</v>
          </cell>
        </row>
        <row r="157">
          <cell r="A157">
            <v>1800</v>
          </cell>
          <cell r="B157" t="str">
            <v>ja</v>
          </cell>
          <cell r="C157" t="str">
            <v>フィーバー強化</v>
          </cell>
          <cell r="D157" t="str">
            <v>フィーバー時自身の攻撃力、回復力を特大UP</v>
          </cell>
        </row>
        <row r="158">
          <cell r="A158">
            <v>1900</v>
          </cell>
          <cell r="B158" t="str">
            <v>ja</v>
          </cell>
          <cell r="C158" t="str">
            <v>ハート出現率UP</v>
          </cell>
          <cell r="D158" t="str">
            <v>自身が先頭の時、ハートパネルの出現率UP</v>
          </cell>
        </row>
        <row r="159">
          <cell r="A159">
            <v>2000</v>
          </cell>
          <cell r="B159" t="str">
            <v>ja</v>
          </cell>
          <cell r="C159" t="str">
            <v>赤パネル出現率UP</v>
          </cell>
          <cell r="D159" t="str">
            <v>自身が先頭の時、赤パネルの出現率UP</v>
          </cell>
        </row>
        <row r="160">
          <cell r="A160">
            <v>2100</v>
          </cell>
          <cell r="B160" t="str">
            <v>ja</v>
          </cell>
          <cell r="C160" t="str">
            <v>緑パネル出現率UP</v>
          </cell>
          <cell r="D160" t="str">
            <v>自身が先頭の時、緑パネルの出現率UP</v>
          </cell>
        </row>
        <row r="161">
          <cell r="A161">
            <v>2200</v>
          </cell>
          <cell r="B161" t="str">
            <v>ja</v>
          </cell>
          <cell r="C161" t="str">
            <v>青パネル出現率UP</v>
          </cell>
          <cell r="D161" t="str">
            <v>自身が先頭の時、青パネルの出現率UP</v>
          </cell>
        </row>
        <row r="162">
          <cell r="A162">
            <v>2300</v>
          </cell>
          <cell r="B162" t="str">
            <v>ja</v>
          </cell>
          <cell r="C162" t="str">
            <v>黄パネル出現率UP</v>
          </cell>
          <cell r="D162" t="str">
            <v>自身が先頭の時、黄パネルの出現率UP</v>
          </cell>
        </row>
        <row r="163">
          <cell r="A163">
            <v>2400</v>
          </cell>
          <cell r="B163" t="str">
            <v>ja</v>
          </cell>
          <cell r="C163" t="str">
            <v>ハートボムパネルドロップ</v>
          </cell>
          <cell r="D163" t="str">
            <v>自身が先頭の時、ハートパネルを確率でハートボムパネルに変換しドロップ</v>
          </cell>
        </row>
        <row r="164">
          <cell r="A164">
            <v>2500</v>
          </cell>
          <cell r="B164" t="str">
            <v>ja</v>
          </cell>
          <cell r="C164" t="str">
            <v>青パネルドロップ</v>
          </cell>
          <cell r="D164" t="str">
            <v>自身が先頭の時、緑パネルを確率で青パネルに変換しドロップ</v>
          </cell>
        </row>
        <row r="165">
          <cell r="A165">
            <v>2501</v>
          </cell>
          <cell r="B165" t="str">
            <v>ja</v>
          </cell>
          <cell r="C165" t="str">
            <v>黄パネルドロップ</v>
          </cell>
          <cell r="D165" t="str">
            <v>自身が先頭の時、青パネルを確率で黄パネルに変換しドロップ</v>
          </cell>
        </row>
        <row r="166">
          <cell r="A166">
            <v>2502</v>
          </cell>
          <cell r="B166" t="str">
            <v>ja</v>
          </cell>
          <cell r="C166" t="str">
            <v>赤パネルドロップ</v>
          </cell>
          <cell r="D166" t="str">
            <v>自身が先頭の時、黄パネルを確率で赤パネルに変換しドロップ</v>
          </cell>
        </row>
        <row r="167">
          <cell r="A167">
            <v>2503</v>
          </cell>
          <cell r="B167" t="str">
            <v>ja</v>
          </cell>
          <cell r="C167" t="str">
            <v>黄パネルドロップ</v>
          </cell>
          <cell r="D167" t="str">
            <v>自身が先頭の時、赤パネルを確率で黄パネルに変換しドロップ</v>
          </cell>
        </row>
        <row r="168">
          <cell r="A168">
            <v>2504</v>
          </cell>
          <cell r="B168" t="str">
            <v>ja</v>
          </cell>
          <cell r="C168" t="str">
            <v>SCパネルドロップ</v>
          </cell>
          <cell r="D168" t="str">
            <v>自身が先頭の時、緑パネルを確率でSCパネルに変換しドロップ</v>
          </cell>
        </row>
        <row r="169">
          <cell r="A169">
            <v>2505</v>
          </cell>
          <cell r="B169" t="str">
            <v>ja</v>
          </cell>
          <cell r="C169" t="str">
            <v>緑ボムパネル(大)ドロップ</v>
          </cell>
          <cell r="D169" t="str">
            <v>自身が先頭の時、低確率で緑ボムパネル(大)をドロップ</v>
          </cell>
        </row>
        <row r="170">
          <cell r="A170">
            <v>2600</v>
          </cell>
          <cell r="B170" t="str">
            <v>ja</v>
          </cell>
          <cell r="C170" t="str">
            <v>回復力400UP</v>
          </cell>
          <cell r="D170" t="str">
            <v>自身の回復力を400UP</v>
          </cell>
        </row>
        <row r="171">
          <cell r="A171">
            <v>2601</v>
          </cell>
          <cell r="B171" t="str">
            <v>ja</v>
          </cell>
          <cell r="C171" t="str">
            <v>回復力300UP</v>
          </cell>
          <cell r="D171" t="str">
            <v>自身の回復力を300UP</v>
          </cell>
        </row>
        <row r="172">
          <cell r="A172">
            <v>2700</v>
          </cell>
          <cell r="B172" t="str">
            <v>ja</v>
          </cell>
          <cell r="C172" t="str">
            <v>攻撃力UP</v>
          </cell>
          <cell r="D172" t="str">
            <v>自身の攻撃力を300UP</v>
          </cell>
        </row>
        <row r="173">
          <cell r="A173">
            <v>2701</v>
          </cell>
          <cell r="B173" t="str">
            <v>ja</v>
          </cell>
          <cell r="C173" t="str">
            <v>攻撃力UP</v>
          </cell>
          <cell r="D173" t="str">
            <v>自身の攻撃力を500UP</v>
          </cell>
        </row>
        <row r="174">
          <cell r="A174">
            <v>2800</v>
          </cell>
          <cell r="B174" t="str">
            <v>ja</v>
          </cell>
          <cell r="C174" t="str">
            <v>防御力UP</v>
          </cell>
          <cell r="D174" t="str">
            <v>自身の防御力を250UP</v>
          </cell>
        </row>
        <row r="175">
          <cell r="A175">
            <v>2801</v>
          </cell>
          <cell r="B175" t="str">
            <v>ja</v>
          </cell>
          <cell r="C175" t="str">
            <v>防御力UP</v>
          </cell>
          <cell r="D175" t="str">
            <v>自身の防御力を350UP</v>
          </cell>
        </row>
        <row r="176">
          <cell r="A176">
            <v>2900</v>
          </cell>
          <cell r="B176" t="str">
            <v>ja</v>
          </cell>
          <cell r="C176" t="str">
            <v>フィーバー50 攻撃力小UP</v>
          </cell>
          <cell r="D176" t="str">
            <v>フィーバーゲージが50％以上の時、自身の攻撃力小UP</v>
          </cell>
        </row>
        <row r="177">
          <cell r="A177">
            <v>2901</v>
          </cell>
          <cell r="B177" t="str">
            <v>ja</v>
          </cell>
          <cell r="C177" t="str">
            <v>フィーバー40 攻撃力UP</v>
          </cell>
          <cell r="D177" t="str">
            <v>フィーバーゲージが40％以上の時、自身の攻撃力UP</v>
          </cell>
        </row>
        <row r="178">
          <cell r="A178">
            <v>9000</v>
          </cell>
          <cell r="B178" t="str">
            <v>ja</v>
          </cell>
          <cell r="C178" t="str">
            <v>ハップルチャレンジ ダメージUP</v>
          </cell>
          <cell r="D178" t="str">
            <v>ハップルチャレンジ内で自身の全ての攻撃の威力をUP</v>
          </cell>
        </row>
        <row r="179">
          <cell r="A179">
            <v>119402</v>
          </cell>
          <cell r="B179" t="str">
            <v>ja</v>
          </cell>
          <cell r="C179" t="str">
            <v>ハロウィンナイトパニック！ 威力UP</v>
          </cell>
          <cell r="D179" t="str">
            <v>ハロウィンナイトパニック！内で自身の全ての攻撃の威力を究極UP</v>
          </cell>
        </row>
        <row r="180">
          <cell r="A180">
            <v>1101</v>
          </cell>
          <cell r="B180" t="str">
            <v>ja</v>
          </cell>
          <cell r="C180" t="str">
            <v>Cパネル生成短縮(大)</v>
          </cell>
          <cell r="D180" t="str">
            <v>自身が先頭の時、Cパネル生成に必要なチェイン数を2短縮する</v>
          </cell>
        </row>
        <row r="181">
          <cell r="A181">
            <v>1200</v>
          </cell>
          <cell r="B181" t="str">
            <v>ja</v>
          </cell>
          <cell r="C181" t="str">
            <v>フィーバー攻撃UP</v>
          </cell>
          <cell r="D181" t="str">
            <v>自身が先頭の時、フィーバー発動時に緑属性の攻撃力と回復力UP</v>
          </cell>
        </row>
        <row r="182">
          <cell r="A182">
            <v>1300</v>
          </cell>
          <cell r="B182" t="str">
            <v>ja</v>
          </cell>
          <cell r="C182" t="str">
            <v>チェイン12 HP回復</v>
          </cell>
          <cell r="D182" t="str">
            <v>自身が先頭の時、1タップで12個以上パネルを繋げた場合にHPを2000回復(1ターンに1度だけ発動)</v>
          </cell>
        </row>
        <row r="183">
          <cell r="A183">
            <v>1400</v>
          </cell>
          <cell r="B183" t="str">
            <v>ja</v>
          </cell>
          <cell r="C183" t="str">
            <v>カウンター威力UP</v>
          </cell>
          <cell r="D183" t="str">
            <v>4ターン毎に自身のカウンタースキルの威力が1ターンの間UP</v>
          </cell>
        </row>
        <row r="184">
          <cell r="A184">
            <v>1500</v>
          </cell>
          <cell r="B184" t="str">
            <v>ja</v>
          </cell>
          <cell r="C184" t="str">
            <v>バリア15000</v>
          </cell>
          <cell r="D184" t="str">
            <v>戦闘開始時に、自身への直接ダメージを15000まで防ぐバリアを一度だけ展開(バリアは破壊されると復活しない)</v>
          </cell>
        </row>
        <row r="185">
          <cell r="A185">
            <v>1501</v>
          </cell>
          <cell r="B185" t="str">
            <v>ja</v>
          </cell>
          <cell r="C185" t="str">
            <v>バリア</v>
          </cell>
          <cell r="D185" t="str">
            <v>戦闘開始時に、ダメージを25000まで防ぐバリアを一度だけ展開</v>
          </cell>
        </row>
        <row r="186">
          <cell r="A186">
            <v>1502</v>
          </cell>
          <cell r="B186" t="str">
            <v>ja</v>
          </cell>
          <cell r="C186" t="str">
            <v>バリア</v>
          </cell>
          <cell r="D186" t="str">
            <v>戦闘開始時に、ダメージを50000まで防ぐバリアを一度だけ展開</v>
          </cell>
        </row>
        <row r="187">
          <cell r="A187">
            <v>1503</v>
          </cell>
          <cell r="B187" t="str">
            <v>ja</v>
          </cell>
          <cell r="C187" t="str">
            <v>バリア8000</v>
          </cell>
          <cell r="D187" t="str">
            <v>戦闘開始時に、自身への直接ダメージを8000まで防ぐバリアを一度だけ展開(バリアは破壊されると復活しない)</v>
          </cell>
        </row>
        <row r="188">
          <cell r="A188">
            <v>1504</v>
          </cell>
          <cell r="B188" t="str">
            <v>ja</v>
          </cell>
          <cell r="C188" t="str">
            <v>バリア10000</v>
          </cell>
          <cell r="D188" t="str">
            <v>戦闘開始時に、自身への直接ダメージを10000まで防ぐバリアを一度だけ展開(バリアは破壊されると復活しない)</v>
          </cell>
        </row>
        <row r="189">
          <cell r="A189">
            <v>1505</v>
          </cell>
          <cell r="B189" t="str">
            <v>ja</v>
          </cell>
          <cell r="C189" t="str">
            <v>バリア3939</v>
          </cell>
          <cell r="D189" t="str">
            <v>戦闘開始時に、自身への直接ダメージを3939まで防ぐバリアを一度だけ展開(バリアは破壊されると復活しない)</v>
          </cell>
        </row>
        <row r="190">
          <cell r="A190">
            <v>1506</v>
          </cell>
          <cell r="B190" t="str">
            <v>ja</v>
          </cell>
          <cell r="C190" t="str">
            <v>バリア5000</v>
          </cell>
          <cell r="D190" t="str">
            <v>戦闘開始時に、自身への直接ダメージを5000まで防ぐバリアを一度だけ展開(バリアは破壊されると復活しない)</v>
          </cell>
        </row>
        <row r="191">
          <cell r="A191">
            <v>1600</v>
          </cell>
          <cell r="B191" t="str">
            <v>ja</v>
          </cell>
          <cell r="C191" t="str">
            <v>攻撃力・回復力UP</v>
          </cell>
          <cell r="D191" t="str">
            <v>自身の攻撃力と回復力をUP</v>
          </cell>
        </row>
        <row r="192">
          <cell r="A192">
            <v>1700</v>
          </cell>
          <cell r="B192" t="str">
            <v>ja</v>
          </cell>
          <cell r="C192" t="str">
            <v>パネルブレイク30 ターンHP小回復</v>
          </cell>
          <cell r="D192" t="str">
            <v>自身が先頭の時、1ターンの間に合計30個以上パネルを破壊した場合に1ターン HP小回復</v>
          </cell>
        </row>
        <row r="193">
          <cell r="A193">
            <v>1701</v>
          </cell>
          <cell r="B193" t="str">
            <v>ja</v>
          </cell>
          <cell r="C193" t="str">
            <v>ターン終了時HP回復</v>
          </cell>
          <cell r="D193" t="str">
            <v>最初の1ターン目と、その後3ターン毎のターン終了時、HPを1200回復する</v>
          </cell>
        </row>
        <row r="194">
          <cell r="A194">
            <v>1800</v>
          </cell>
          <cell r="B194" t="str">
            <v>ja</v>
          </cell>
          <cell r="C194" t="str">
            <v>フィーバー強化</v>
          </cell>
          <cell r="D194" t="str">
            <v>フィーバー時自身の攻撃力、回復力を特大UP</v>
          </cell>
        </row>
        <row r="195">
          <cell r="A195">
            <v>1900</v>
          </cell>
          <cell r="B195" t="str">
            <v>ja</v>
          </cell>
          <cell r="C195" t="str">
            <v>ハート出現率UP</v>
          </cell>
          <cell r="D195" t="str">
            <v>自身が先頭の時、ハートパネルの出現率UP</v>
          </cell>
        </row>
        <row r="196">
          <cell r="A196">
            <v>2000</v>
          </cell>
          <cell r="B196" t="str">
            <v>ja</v>
          </cell>
          <cell r="C196" t="str">
            <v>赤パネル出現率UP</v>
          </cell>
          <cell r="D196" t="str">
            <v>自身が先頭の時、赤パネルの出現率UP</v>
          </cell>
        </row>
        <row r="197">
          <cell r="A197">
            <v>2100</v>
          </cell>
          <cell r="B197" t="str">
            <v>ja</v>
          </cell>
          <cell r="C197" t="str">
            <v>緑パネル出現率UP</v>
          </cell>
          <cell r="D197" t="str">
            <v>自身が先頭の時、緑パネルの出現率UP</v>
          </cell>
        </row>
        <row r="198">
          <cell r="A198">
            <v>2101</v>
          </cell>
          <cell r="B198" t="str">
            <v>ja</v>
          </cell>
          <cell r="C198" t="str">
            <v>緑パネル出現率UP</v>
          </cell>
          <cell r="D198" t="str">
            <v>自身が先頭の時、緑パネルの出現率UP</v>
          </cell>
        </row>
        <row r="199">
          <cell r="A199">
            <v>2200</v>
          </cell>
          <cell r="B199" t="str">
            <v>ja</v>
          </cell>
          <cell r="C199" t="str">
            <v>青パネル出現率UP</v>
          </cell>
          <cell r="D199" t="str">
            <v>自身が先頭の時、青パネルの出現率UP</v>
          </cell>
        </row>
        <row r="200">
          <cell r="A200">
            <v>2201</v>
          </cell>
          <cell r="B200" t="str">
            <v>ja</v>
          </cell>
          <cell r="C200" t="str">
            <v>青パネル出現率UP</v>
          </cell>
          <cell r="D200" t="str">
            <v>自身が先頭の時、青パネルの出現率UP</v>
          </cell>
        </row>
        <row r="201">
          <cell r="A201">
            <v>2300</v>
          </cell>
          <cell r="B201" t="str">
            <v>ja</v>
          </cell>
          <cell r="C201" t="str">
            <v>黄パネル出現率UP</v>
          </cell>
          <cell r="D201" t="str">
            <v>自身が先頭の時、黄パネルの出現率UP</v>
          </cell>
        </row>
        <row r="202">
          <cell r="A202">
            <v>2400</v>
          </cell>
          <cell r="B202" t="str">
            <v>ja</v>
          </cell>
          <cell r="C202" t="str">
            <v>ハートボムパネルドロップ</v>
          </cell>
          <cell r="D202" t="str">
            <v>自身が先頭の時、ハートパネルを確率でハートボムパネルに変換しドロップ</v>
          </cell>
        </row>
        <row r="203">
          <cell r="A203">
            <v>2401</v>
          </cell>
          <cell r="B203" t="str">
            <v>ja</v>
          </cell>
          <cell r="C203" t="str">
            <v>赤ボムパネルドロップ</v>
          </cell>
          <cell r="D203" t="str">
            <v>自身が先頭の時、赤パネルを低確率で赤ボムパネルに変換しドロップ</v>
          </cell>
        </row>
        <row r="204">
          <cell r="A204">
            <v>2402</v>
          </cell>
          <cell r="B204" t="str">
            <v>ja</v>
          </cell>
          <cell r="C204" t="str">
            <v>緑ボムパネルドロップ</v>
          </cell>
          <cell r="D204" t="str">
            <v>自身が先頭の時、緑パネルを低確率で緑ボムパネルに変換しドロップ</v>
          </cell>
        </row>
        <row r="205">
          <cell r="A205">
            <v>2403</v>
          </cell>
          <cell r="B205" t="str">
            <v>ja</v>
          </cell>
          <cell r="C205" t="str">
            <v>青ボムパネルドロップ</v>
          </cell>
          <cell r="D205" t="str">
            <v>自身が先頭の時、青パネルを確率で青ボムパネルに変換しドロップ</v>
          </cell>
        </row>
        <row r="206">
          <cell r="A206">
            <v>2500</v>
          </cell>
          <cell r="B206" t="str">
            <v>ja</v>
          </cell>
          <cell r="C206" t="str">
            <v>青パネルドロップ</v>
          </cell>
          <cell r="D206" t="str">
            <v>自身が先頭の時、緑パネルを確率で青パネルに変換しドロップ</v>
          </cell>
        </row>
        <row r="207">
          <cell r="A207">
            <v>2501</v>
          </cell>
          <cell r="B207" t="str">
            <v>ja</v>
          </cell>
          <cell r="C207" t="str">
            <v>黄パネルドロップ</v>
          </cell>
          <cell r="D207" t="str">
            <v>自身が先頭の時、青パネルを確率で黄パネルに変換しドロップ</v>
          </cell>
        </row>
        <row r="208">
          <cell r="A208">
            <v>2502</v>
          </cell>
          <cell r="B208" t="str">
            <v>ja</v>
          </cell>
          <cell r="C208" t="str">
            <v>赤パネルドロップ</v>
          </cell>
          <cell r="D208" t="str">
            <v>自身が先頭の時、黄パネルを確率で赤パネルに変換しドロップ</v>
          </cell>
        </row>
        <row r="209">
          <cell r="A209">
            <v>2503</v>
          </cell>
          <cell r="B209" t="str">
            <v>ja</v>
          </cell>
          <cell r="C209" t="str">
            <v>黄パネルドロップ</v>
          </cell>
          <cell r="D209" t="str">
            <v>自身が先頭の時、赤パネルを確率で黄パネルに変換しドロップ</v>
          </cell>
        </row>
        <row r="210">
          <cell r="A210">
            <v>2504</v>
          </cell>
          <cell r="B210" t="str">
            <v>ja</v>
          </cell>
          <cell r="C210" t="str">
            <v>SCパネルドロップ</v>
          </cell>
          <cell r="D210" t="str">
            <v>自身が先頭の時、緑パネルを確率でSCパネルに変換しドロップ</v>
          </cell>
        </row>
        <row r="211">
          <cell r="A211">
            <v>2505</v>
          </cell>
          <cell r="B211" t="str">
            <v>ja</v>
          </cell>
          <cell r="C211" t="str">
            <v>緑ボムパネル(大)ドロップ</v>
          </cell>
          <cell r="D211" t="str">
            <v>自身が先頭の時、低確率で緑ボムパネル(大)をドロップ</v>
          </cell>
        </row>
        <row r="212">
          <cell r="A212">
            <v>2506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2507</v>
          </cell>
          <cell r="B213" t="str">
            <v>ja</v>
          </cell>
          <cell r="C213" t="str">
            <v>Cパネルドロップ</v>
          </cell>
          <cell r="D213" t="str">
            <v>自身が先頭の時、低確率でCパネルをドロップ</v>
          </cell>
        </row>
        <row r="214">
          <cell r="A214">
            <v>2508</v>
          </cell>
          <cell r="B214" t="str">
            <v>ja</v>
          </cell>
          <cell r="C214" t="str">
            <v>黄パネルドロップ</v>
          </cell>
          <cell r="D214" t="str">
            <v>自身が先頭の時、緑パネルを確率で黄パネルに変換しドロップ</v>
          </cell>
        </row>
        <row r="215">
          <cell r="A215">
            <v>2509</v>
          </cell>
          <cell r="B215" t="str">
            <v>ja</v>
          </cell>
          <cell r="C215" t="str">
            <v>赤ボムパネル(大)ドロップ</v>
          </cell>
          <cell r="D215" t="str">
            <v>自身が先頭の時、低確率で赤ボムパネル(大)をドロップ</v>
          </cell>
        </row>
        <row r="216">
          <cell r="A216">
            <v>2510</v>
          </cell>
          <cell r="B216" t="str">
            <v>ja</v>
          </cell>
          <cell r="C216" t="str">
            <v>青ボムパネル(大)ドロップ</v>
          </cell>
          <cell r="D216" t="str">
            <v>自身が先頭の時、低確率で青ボムパネル(大)をドロップ</v>
          </cell>
        </row>
        <row r="217">
          <cell r="A217">
            <v>2511</v>
          </cell>
          <cell r="B217" t="str">
            <v>ja</v>
          </cell>
          <cell r="C217" t="str">
            <v>緑ボムパネルドロップ</v>
          </cell>
          <cell r="D217" t="str">
            <v>自身が先頭の時、ハートパネルを確率で緑ボムパネルに変換しドロップ</v>
          </cell>
        </row>
        <row r="218">
          <cell r="A218">
            <v>2512</v>
          </cell>
          <cell r="B218" t="str">
            <v>ja</v>
          </cell>
          <cell r="C218" t="str">
            <v>ハートボムパネル(大)ドロップ</v>
          </cell>
          <cell r="D218" t="str">
            <v>自身が先頭の時、低確率でハートボムパネル(大)をドロップ</v>
          </cell>
        </row>
        <row r="219">
          <cell r="A219">
            <v>2513</v>
          </cell>
          <cell r="B219" t="str">
            <v>ja</v>
          </cell>
          <cell r="C219" t="str">
            <v>緑ボムパネル(大)ドロップ</v>
          </cell>
          <cell r="D219" t="str">
            <v>自身が先頭の時、低確率で緑ボムパネル(大)をドロップ</v>
          </cell>
        </row>
        <row r="220">
          <cell r="A220">
            <v>2600</v>
          </cell>
          <cell r="B220" t="str">
            <v>ja</v>
          </cell>
          <cell r="C220" t="str">
            <v>回復力400UP</v>
          </cell>
          <cell r="D220" t="str">
            <v>自身の回復力を400UP</v>
          </cell>
        </row>
        <row r="221">
          <cell r="A221">
            <v>2601</v>
          </cell>
          <cell r="B221" t="str">
            <v>ja</v>
          </cell>
          <cell r="C221" t="str">
            <v>回復力300UP</v>
          </cell>
          <cell r="D221" t="str">
            <v>自身の回復力を300UP</v>
          </cell>
        </row>
        <row r="222">
          <cell r="A222">
            <v>2700</v>
          </cell>
          <cell r="B222" t="str">
            <v>ja</v>
          </cell>
          <cell r="C222" t="str">
            <v>攻撃力UP</v>
          </cell>
          <cell r="D222" t="str">
            <v>自身の攻撃力を300UP</v>
          </cell>
        </row>
        <row r="223">
          <cell r="A223">
            <v>2701</v>
          </cell>
          <cell r="B223" t="str">
            <v>ja</v>
          </cell>
          <cell r="C223" t="str">
            <v>攻撃力UP</v>
          </cell>
          <cell r="D223" t="str">
            <v>自身の攻撃力を500UP</v>
          </cell>
        </row>
        <row r="224">
          <cell r="A224">
            <v>2800</v>
          </cell>
          <cell r="B224" t="str">
            <v>ja</v>
          </cell>
          <cell r="C224" t="str">
            <v>防御力UP</v>
          </cell>
          <cell r="D224" t="str">
            <v>自身の防御力を250UP</v>
          </cell>
        </row>
        <row r="225">
          <cell r="A225">
            <v>2801</v>
          </cell>
          <cell r="B225" t="str">
            <v>ja</v>
          </cell>
          <cell r="C225" t="str">
            <v>防御力UP</v>
          </cell>
          <cell r="D225" t="str">
            <v>自身の防御力を350UP</v>
          </cell>
        </row>
        <row r="226">
          <cell r="A226">
            <v>2802</v>
          </cell>
          <cell r="B226" t="str">
            <v>ja</v>
          </cell>
          <cell r="C226" t="str">
            <v>防御力UP</v>
          </cell>
          <cell r="D226" t="str">
            <v>自身の防御力を300UP</v>
          </cell>
        </row>
        <row r="227">
          <cell r="A227">
            <v>2803</v>
          </cell>
          <cell r="B227" t="str">
            <v>ja</v>
          </cell>
          <cell r="C227" t="str">
            <v>防御力UP</v>
          </cell>
          <cell r="D227" t="str">
            <v>自身の防御力を400UP</v>
          </cell>
        </row>
        <row r="228">
          <cell r="A228">
            <v>2804</v>
          </cell>
          <cell r="B228" t="str">
            <v>ja</v>
          </cell>
          <cell r="C228" t="str">
            <v>防御力UP</v>
          </cell>
          <cell r="D228" t="str">
            <v>自身の防御力を280UP</v>
          </cell>
        </row>
        <row r="229">
          <cell r="A229">
            <v>2805</v>
          </cell>
          <cell r="B229" t="str">
            <v>ja</v>
          </cell>
          <cell r="C229" t="str">
            <v>ターン経過防御力UP</v>
          </cell>
          <cell r="D229" t="str">
            <v>最初の1ターン目と、その後3ターン毎に1ターン緑属性ユニットの防御力を500UP</v>
          </cell>
        </row>
        <row r="230">
          <cell r="A230">
            <v>2900</v>
          </cell>
          <cell r="B230" t="str">
            <v>ja</v>
          </cell>
          <cell r="C230" t="str">
            <v>フィーバー50 攻撃力小UP</v>
          </cell>
          <cell r="D230" t="str">
            <v>フィーバーゲージが50％以上の時、自身の攻撃力小UP</v>
          </cell>
        </row>
        <row r="231">
          <cell r="A231">
            <v>2901</v>
          </cell>
          <cell r="B231" t="str">
            <v>ja</v>
          </cell>
          <cell r="C231" t="str">
            <v>フィーバー40 攻撃力UP</v>
          </cell>
          <cell r="D231" t="str">
            <v>フィーバーゲージが40％以上の時、自身の攻撃力UP</v>
          </cell>
        </row>
        <row r="232">
          <cell r="A232">
            <v>2902</v>
          </cell>
          <cell r="B232" t="str">
            <v>ja</v>
          </cell>
          <cell r="C232" t="str">
            <v>フィーバー80 攻撃力大UP</v>
          </cell>
          <cell r="D232" t="str">
            <v>フィーバーゲージが80％以上の時、自身の攻撃力大UP</v>
          </cell>
        </row>
        <row r="233">
          <cell r="A233">
            <v>2903</v>
          </cell>
          <cell r="B233" t="str">
            <v>ja</v>
          </cell>
          <cell r="C233" t="str">
            <v>フィーバー100 攻撃参加</v>
          </cell>
          <cell r="D233" t="str">
            <v>フィーバーゲージが100％の時、自身が先頭以外でも通常攻撃に参加する</v>
          </cell>
        </row>
        <row r="234">
          <cell r="A234">
            <v>3000</v>
          </cell>
          <cell r="B234" t="str">
            <v>ja</v>
          </cell>
          <cell r="C234" t="str">
            <v>攻撃参加</v>
          </cell>
          <cell r="D234" t="str">
            <v>最初の1ターン目と、その後7ターン毎に自身が先頭以外でも通常攻撃に参加する</v>
          </cell>
        </row>
        <row r="235">
          <cell r="A235">
            <v>3001</v>
          </cell>
          <cell r="B235" t="str">
            <v>ja</v>
          </cell>
          <cell r="C235" t="str">
            <v>攻撃参加</v>
          </cell>
          <cell r="D235" t="str">
            <v>最初の1ターン目と、その後6ターン毎に自身が先頭以外でも通常攻撃に参加する</v>
          </cell>
        </row>
        <row r="236">
          <cell r="A236">
            <v>3002</v>
          </cell>
          <cell r="B236" t="str">
            <v>ja</v>
          </cell>
          <cell r="C236" t="str">
            <v>攻撃参加</v>
          </cell>
          <cell r="D236" t="str">
            <v>最初の1ターン目と、その後9ターン毎に自身が先頭以外でも通常攻撃に参加する</v>
          </cell>
        </row>
        <row r="237">
          <cell r="A237">
            <v>3100</v>
          </cell>
          <cell r="B237" t="str">
            <v>ja</v>
          </cell>
          <cell r="C237" t="str">
            <v>ボスフロア Cパネル生成短縮(特大)</v>
          </cell>
          <cell r="D237" t="str">
            <v>ボスフロア内で自身が先頭の時、Cパネル生成に必要なチェイン数を短縮する</v>
          </cell>
        </row>
        <row r="238">
          <cell r="A238">
            <v>3101</v>
          </cell>
          <cell r="B238" t="str">
            <v>ja</v>
          </cell>
          <cell r="C238" t="str">
            <v>ボスフロア時 バリア3000</v>
          </cell>
          <cell r="D238" t="str">
            <v>ボスフロア到達時に自身への直接ダメージを3000まで防ぐバリアを一度だけ展開(バリアは破壊されると復活しない)</v>
          </cell>
        </row>
        <row r="239">
          <cell r="A239">
            <v>3102</v>
          </cell>
          <cell r="B239" t="str">
            <v>ja</v>
          </cell>
          <cell r="C239" t="str">
            <v>ボスフロア時 Cスキル威力UP</v>
          </cell>
          <cell r="D239" t="str">
            <v>ボスフロアの1ターン目終了時に自身のCスキルの威力をUP</v>
          </cell>
        </row>
        <row r="240">
          <cell r="A240">
            <v>3103</v>
          </cell>
          <cell r="B240" t="str">
            <v>ja</v>
          </cell>
          <cell r="C240" t="str">
            <v>ボスフロア 攻撃力UP</v>
          </cell>
          <cell r="D240" t="str">
            <v>ボスフロア内で自身の攻撃力を700UP</v>
          </cell>
        </row>
        <row r="241">
          <cell r="A241">
            <v>3104</v>
          </cell>
          <cell r="B241" t="str">
            <v>ja</v>
          </cell>
          <cell r="C241" t="str">
            <v>ボスフロア時 バリア5000</v>
          </cell>
          <cell r="D241" t="str">
            <v>ボスフロア到達時に自身への直接ダメージを5000まで防ぐバリアを一度だけ展開(バリアは破壊されると復活しない)</v>
          </cell>
        </row>
        <row r="242">
          <cell r="A242">
            <v>3200</v>
          </cell>
          <cell r="B242" t="str">
            <v>ja</v>
          </cell>
          <cell r="C242" t="str">
            <v>HP33%以下 攻撃力UP</v>
          </cell>
          <cell r="D242" t="str">
            <v>自身が先頭の時、残りHPが33%以下で攻撃力特大UP</v>
          </cell>
        </row>
        <row r="243">
          <cell r="A243">
            <v>3201</v>
          </cell>
          <cell r="B243" t="str">
            <v>ja</v>
          </cell>
          <cell r="C243" t="str">
            <v>HP35%以下 回復力UP</v>
          </cell>
          <cell r="D243" t="str">
            <v>自身が先頭の時、残りHPが35%以下で回復力40%UP</v>
          </cell>
        </row>
        <row r="244">
          <cell r="A244">
            <v>3202</v>
          </cell>
          <cell r="B244" t="str">
            <v>ja</v>
          </cell>
          <cell r="C244" t="str">
            <v>HP90%以上 全属性耐性15</v>
          </cell>
          <cell r="D244" t="str">
            <v>自身が先頭の時、残りHPが90%以上で全ユニットに対する全属性の敵からの攻撃を15％軽減</v>
          </cell>
        </row>
        <row r="245">
          <cell r="A245">
            <v>3203</v>
          </cell>
          <cell r="B245" t="str">
            <v>ja</v>
          </cell>
          <cell r="C245" t="str">
            <v>HP50%以下 防御力UP</v>
          </cell>
          <cell r="D245" t="str">
            <v>自身が先頭の時、残りHPが50%以下で防御力398UP</v>
          </cell>
        </row>
        <row r="246">
          <cell r="A246">
            <v>3204</v>
          </cell>
          <cell r="B246" t="str">
            <v>ja</v>
          </cell>
          <cell r="C246" t="str">
            <v>HP30%以下 攻撃力大UP</v>
          </cell>
          <cell r="D246" t="str">
            <v>自身が先頭の時、残りHPが30%以下で攻撃力大UP</v>
          </cell>
        </row>
        <row r="247">
          <cell r="A247">
            <v>3205</v>
          </cell>
          <cell r="B247" t="str">
            <v>ja</v>
          </cell>
          <cell r="C247" t="str">
            <v>HP90%以上 ダメージ軽減</v>
          </cell>
          <cell r="D247" t="str">
            <v>残りHPが90%以上の時、全ユニットが敵からの攻撃を15％軽減</v>
          </cell>
        </row>
        <row r="248">
          <cell r="A248">
            <v>4000</v>
          </cell>
          <cell r="B248" t="str">
            <v>ja</v>
          </cell>
          <cell r="C248" t="str">
            <v>被ダメージ時 HP回復</v>
          </cell>
          <cell r="D248" t="str">
            <v>自身が攻撃を受けた場合、次のターンの開始時にHP500回復する</v>
          </cell>
        </row>
        <row r="249">
          <cell r="A249">
            <v>8000</v>
          </cell>
          <cell r="B249" t="str">
            <v>ja</v>
          </cell>
          <cell r="C249" t="str">
            <v>ユニットが一番右にいるとき 攻撃力UP</v>
          </cell>
          <cell r="D249" t="str">
            <v>自身が一番右にいる場合、全ユニットの攻撃力UP</v>
          </cell>
        </row>
        <row r="250">
          <cell r="A250">
            <v>8001</v>
          </cell>
          <cell r="B250" t="str">
            <v>ja</v>
          </cell>
          <cell r="C250" t="str">
            <v>敵に青属性がいる場合 小カウンター</v>
          </cell>
          <cell r="D250" t="str">
            <v>敵に青属性がいる場合、小カウンター</v>
          </cell>
        </row>
        <row r="251">
          <cell r="A251">
            <v>8002</v>
          </cell>
          <cell r="B251" t="str">
            <v>ja</v>
          </cell>
          <cell r="C251" t="str">
            <v>テスト</v>
          </cell>
          <cell r="D251" t="str">
            <v>フロアスタート時、1ターン全ユニットの攻撃力UP</v>
          </cell>
        </row>
        <row r="252">
          <cell r="A252">
            <v>8003</v>
          </cell>
          <cell r="B252" t="str">
            <v>ja</v>
          </cell>
          <cell r="C252" t="str">
            <v>HP70%以上 ウィルス無効</v>
          </cell>
          <cell r="D252" t="str">
            <v>残りHPが70%以上で自身にかかるウィルスを無効化する</v>
          </cell>
        </row>
        <row r="253">
          <cell r="A253">
            <v>8004</v>
          </cell>
          <cell r="B253" t="str">
            <v>ja</v>
          </cell>
          <cell r="C253" t="str">
            <v>フロアスタート時 スキルブースト</v>
          </cell>
          <cell r="D253" t="str">
            <v>フロアスタート時、1ターンスキルブースト</v>
          </cell>
        </row>
        <row r="254">
          <cell r="A254">
            <v>9000</v>
          </cell>
          <cell r="B254" t="str">
            <v>ja</v>
          </cell>
          <cell r="C254" t="str">
            <v>ハップルチャレンジ ダメージUP</v>
          </cell>
          <cell r="D254" t="str">
            <v>ハップルチャレンジ内で自身の全ての攻撃の威力をUP</v>
          </cell>
        </row>
        <row r="255">
          <cell r="A255">
            <v>9001</v>
          </cell>
          <cell r="B255" t="str">
            <v>ja</v>
          </cell>
          <cell r="C255" t="str">
            <v>クロネッカーチャレンジ ダメージUP</v>
          </cell>
          <cell r="D255" t="str">
            <v>クロネッカーチャレンジ内で自身の全ての攻撃の威力をUP</v>
          </cell>
        </row>
        <row r="256">
          <cell r="A256">
            <v>9002</v>
          </cell>
          <cell r="B256" t="str">
            <v>ja</v>
          </cell>
          <cell r="C256" t="str">
            <v>クロネッカーチャレンジ ダメージUP</v>
          </cell>
          <cell r="D256" t="str">
            <v>クロネッカーチャレンジ内で自身の全ての攻撃+カウンターの威力をUP</v>
          </cell>
        </row>
        <row r="257">
          <cell r="A257">
            <v>9003</v>
          </cell>
          <cell r="B257" t="str">
            <v>ja</v>
          </cell>
          <cell r="C257" t="str">
            <v>オイラーチャレンジ ダメージUP</v>
          </cell>
          <cell r="D257" t="str">
            <v>オイラーチャレンジ内で自身の全ての攻撃の威力をUP</v>
          </cell>
        </row>
        <row r="258">
          <cell r="A258">
            <v>9004</v>
          </cell>
          <cell r="B258" t="str">
            <v>ja</v>
          </cell>
          <cell r="C258" t="str">
            <v>オイラーチャレンジ ダメージ究極UP</v>
          </cell>
          <cell r="D258" t="str">
            <v>オイラーチャレンジ内で自身の全ての攻撃の威力を究極UP</v>
          </cell>
        </row>
        <row r="259">
          <cell r="A259">
            <v>119402</v>
          </cell>
          <cell r="B259" t="str">
            <v>ja</v>
          </cell>
          <cell r="C259" t="str">
            <v>ハロウィンナイトパニック！ 威力UP</v>
          </cell>
          <cell r="D259" t="str">
            <v>ハロウィンナイトパニック！内で自身の全ての攻撃の威力を究極UP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A13" sqref="A13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342</v>
      </c>
      <c r="B2" s="105" t="s">
        <v>129</v>
      </c>
      <c r="C2" s="162" t="s">
        <v>340</v>
      </c>
      <c r="D2" s="105" t="s">
        <v>128</v>
      </c>
      <c r="E2" s="104" t="str">
        <f>B2&amp;C2&amp;D2</f>
        <v>units_fes06.tmp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342</v>
      </c>
      <c r="B3" s="105" t="s">
        <v>294</v>
      </c>
      <c r="C3" s="162" t="s">
        <v>340</v>
      </c>
      <c r="D3" s="105" t="s">
        <v>128</v>
      </c>
      <c r="E3" s="104" t="str">
        <f>B3&amp;C3&amp;D3</f>
        <v>fork_awake_units_fes06.tmp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342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awake_materials_fes06.tmp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342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fork_awake_materials_fes06.tmp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342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unit_levels_calc_fes06.tmp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342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unit_skills_data_fes06.tmp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342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unit_skills_i18n_fes06.tmp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342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crash_skills_data_fes06.tmp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342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crash_skills_i18n_fes06.tmp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342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unit_serifs_data_fes06.tmp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342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unit_serifs_i18n_fes06.tmp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abilities_tmp_fes06.tmp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abilities_i18n_fes06.tmp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342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unit_abilities_fes06.tmp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F2" activePane="bottomRight" state="frozen"/>
      <selection pane="topRight" activeCell="J1" sqref="J1"/>
      <selection pane="bottomLeft" activeCell="A3" sqref="A3"/>
      <selection pane="bottomRight" activeCell="AG4" sqref="AG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1452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メルセンヌ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0">
        <f ca="1">VLOOKUP(Q2,[1]character_type_i18n!$A:$H,4,FALSE)</f>
        <v>1.45</v>
      </c>
      <c r="T2" s="10">
        <f ca="1">VLOOKUP(Q2,[1]character_type_i18n!$A:$H,5,FALSE)</f>
        <v>0.85</v>
      </c>
      <c r="U2" s="10">
        <f ca="1">VLOOKUP(Q2,[1]character_type_i18n!$A:$H,6,FALSE)</f>
        <v>1</v>
      </c>
      <c r="V2" s="10">
        <f ca="1">VLOOKUP(Q2,[1]character_type_i18n!$A:$H,7,FALSE)</f>
        <v>0.7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1453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数解の自鳴琴 メルセンヌ</v>
      </c>
      <c r="AG2" s="187">
        <v>1452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メルセンヌ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1452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メロウ・オルゴール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青･緑をCPに、CPをランダムで味方CPに変換+1ターンダメージ30％軽減、黄パネル出現率大UP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1452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プライム・スプリット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1体に特大ダメージ+_x000D_1ターン全ユニットの攻撃力小UP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0.91020000000000001</v>
      </c>
      <c r="AZ2" s="64">
        <v>1.321</v>
      </c>
      <c r="BA2" s="64">
        <v>0</v>
      </c>
      <c r="BB2" s="64">
        <v>0.9758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3234</v>
      </c>
      <c r="BH2" s="15">
        <f ca="1">IF($BE2&lt;=0,ROUND(BL2*0.5,0), ROUND($BE2*T2*AB2*K2*AZ2*0.8*[1]ステータス!$C$2,0))</f>
        <v>1701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863</v>
      </c>
      <c r="BK2" s="10">
        <f ca="1">ROUND(BD2*S2*AA2*J2*AY2*[1]ステータス!$B$2,0)</f>
        <v>6467</v>
      </c>
      <c r="BL2" s="10">
        <f ca="1">ROUND(BD2*T2*AB2*K2*AZ2*[1]ステータス!$C$2,0)</f>
        <v>3402</v>
      </c>
      <c r="BM2" s="10">
        <f ca="1">ROUND(BD2*U2*AC2*L2*BA2*[1]ステータス!$D$2,0)</f>
        <v>0</v>
      </c>
      <c r="BN2" s="10">
        <f ca="1">ROUND(BD2*V2*AD2*M2*BB2*[1]ステータス!$E$2,0)</f>
        <v>1725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6">
        <v>1453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数解の自鳴琴 メルセンヌ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1452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メルセンヌ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1453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メロウ・メルト・オルゴール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青･緑をCPに、CPをランダムで味方CPに変換+1ターンダメージ30％軽減、黄パネル出現率大UP+3ターン青パネル出現率DOWN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1453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プライム・ステンドラッシュ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1体に超大ダメージ+_x000D_1ターン全ユニットの攻撃力小UP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0.91020000000000001</v>
      </c>
      <c r="AZ3" s="64">
        <v>1.321</v>
      </c>
      <c r="BA3" s="64">
        <v>0</v>
      </c>
      <c r="BB3" s="64">
        <v>0.9758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5174</v>
      </c>
      <c r="BH3" s="15">
        <f ca="1">IF($BE3&lt;=0,ROUND(BL3*0.5,0), ROUND($BE3*T3*AB3*K3*AZ3*0.8*[1]ステータス!$C$2,0))</f>
        <v>2722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1380</v>
      </c>
      <c r="BK3" s="10">
        <f ca="1">ROUND(BD3*S3*AA3*J3*AY3*[1]ステータス!$B$2,0)</f>
        <v>9054</v>
      </c>
      <c r="BL3" s="10">
        <f ca="1">ROUND(BD3*T3*AB3*K3*AZ3*[1]ステータス!$C$2,0)</f>
        <v>4763</v>
      </c>
      <c r="BM3" s="10">
        <f ca="1">ROUND(BD3*U3*AC3*L3*BA3*[1]ステータス!$D$2,0)</f>
        <v>0</v>
      </c>
      <c r="BN3" s="10">
        <f ca="1">ROUND(BD3*V3*AD3*M3*BB3*[1]ステータス!$E$2,0)</f>
        <v>2415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30000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33" workbookViewId="0">
      <pane xSplit="4" ySplit="1" topLeftCell="H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1452</v>
      </c>
      <c r="B2" s="129" t="s">
        <v>186</v>
      </c>
      <c r="C2" s="188" t="s">
        <v>345</v>
      </c>
      <c r="D2" s="188" t="s">
        <v>356</v>
      </c>
      <c r="E2" s="131">
        <f t="shared" ref="E2" si="0">LEN(D2)</f>
        <v>48</v>
      </c>
      <c r="F2" s="63">
        <v>14</v>
      </c>
      <c r="G2" s="113">
        <v>7</v>
      </c>
      <c r="H2" s="132">
        <f>2001</f>
        <v>2001</v>
      </c>
      <c r="I2" s="189" t="s">
        <v>358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メルセンヌ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1453</v>
      </c>
      <c r="B3" s="129" t="s">
        <v>186</v>
      </c>
      <c r="C3" s="188" t="s">
        <v>346</v>
      </c>
      <c r="D3" s="188" t="s">
        <v>357</v>
      </c>
      <c r="E3" s="131">
        <f t="shared" ref="E3" si="1">LEN(D3)</f>
        <v>64</v>
      </c>
      <c r="F3" s="63">
        <v>13</v>
      </c>
      <c r="G3" s="113">
        <v>7</v>
      </c>
      <c r="H3" s="132">
        <f>2001</f>
        <v>2001</v>
      </c>
      <c r="I3" s="189" t="s">
        <v>359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数解の自鳴琴 メルセンヌ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57</formula>
    </cfRule>
  </conditionalFormatting>
  <conditionalFormatting sqref="E3">
    <cfRule type="cellIs" dxfId="27" priority="17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9" sqref="F9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1452</v>
      </c>
      <c r="B2" s="129" t="s">
        <v>187</v>
      </c>
      <c r="C2" s="188" t="s">
        <v>347</v>
      </c>
      <c r="D2" s="188" t="s">
        <v>343</v>
      </c>
      <c r="E2" s="131">
        <f t="shared" ref="E2" si="0">LEN(D2)</f>
        <v>27</v>
      </c>
      <c r="F2" s="197" t="s">
        <v>360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メルセンヌ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1453</v>
      </c>
      <c r="B3" s="129" t="s">
        <v>187</v>
      </c>
      <c r="C3" s="188" t="s">
        <v>348</v>
      </c>
      <c r="D3" s="188" t="s">
        <v>344</v>
      </c>
      <c r="E3" s="131">
        <f t="shared" ref="E3" si="1">LEN(D3)</f>
        <v>27</v>
      </c>
      <c r="F3" s="197" t="s">
        <v>361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数解の自鳴琴 メルセンヌ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57</formula>
    </cfRule>
  </conditionalFormatting>
  <conditionalFormatting sqref="E3">
    <cfRule type="cellIs" dxfId="25" priority="17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F24" sqref="F24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1452</v>
      </c>
      <c r="B2" s="138" t="str">
        <f>VLOOKUP(A2,[1]characters!$A:$C,3,FALSE)</f>
        <v>メルセンヌ</v>
      </c>
      <c r="C2" s="105" t="s">
        <v>196</v>
      </c>
      <c r="D2" s="138" t="str">
        <f t="shared" ref="D2" si="0">A2&amp;C2</f>
        <v>1452skill</v>
      </c>
      <c r="E2" s="138" t="str">
        <f>A2&amp;+(COUNTIF(A2:A$100,A2)-1)</f>
        <v>14523</v>
      </c>
      <c r="F2" s="105" t="s">
        <v>198</v>
      </c>
      <c r="G2" s="162" t="s">
        <v>197</v>
      </c>
      <c r="H2" s="162" t="s">
        <v>354</v>
      </c>
    </row>
    <row r="3" spans="1:8" x14ac:dyDescent="0.15">
      <c r="A3" s="105">
        <v>1452</v>
      </c>
      <c r="B3" s="138" t="str">
        <f>VLOOKUP(A3,[1]characters!$A:$C,3,FALSE)</f>
        <v>メルセンヌ</v>
      </c>
      <c r="C3" s="105" t="s">
        <v>199</v>
      </c>
      <c r="D3" s="138" t="str">
        <f>A3&amp;C3</f>
        <v>1452cskill</v>
      </c>
      <c r="E3" s="138" t="str">
        <f>A3&amp;+(COUNTIF(A3:A$100,A3)-1)</f>
        <v>14522</v>
      </c>
      <c r="F3" s="105" t="s">
        <v>187</v>
      </c>
      <c r="G3" s="162" t="s">
        <v>197</v>
      </c>
      <c r="H3" s="162" t="s">
        <v>349</v>
      </c>
    </row>
    <row r="4" spans="1:8" x14ac:dyDescent="0.15">
      <c r="A4" s="105">
        <v>1452</v>
      </c>
      <c r="B4" s="138" t="str">
        <f>VLOOKUP(A4,[1]characters!$A:$C,3,FALSE)</f>
        <v>メルセンヌ</v>
      </c>
      <c r="C4" s="105" t="s">
        <v>199</v>
      </c>
      <c r="D4" s="138" t="str">
        <f>A4&amp;C4</f>
        <v>1452cskill</v>
      </c>
      <c r="E4" s="138" t="str">
        <f>A4&amp;+(COUNTIF(A4:A$100,A4)-1)</f>
        <v>14521</v>
      </c>
      <c r="F4" s="105" t="s">
        <v>187</v>
      </c>
      <c r="G4" s="162" t="s">
        <v>350</v>
      </c>
      <c r="H4" s="162" t="s">
        <v>351</v>
      </c>
    </row>
    <row r="5" spans="1:8" x14ac:dyDescent="0.15">
      <c r="A5" s="105">
        <v>1452</v>
      </c>
      <c r="B5" s="138" t="str">
        <f>VLOOKUP(A5,[1]characters!$A:$C,3,FALSE)</f>
        <v>メルセンヌ</v>
      </c>
      <c r="C5" s="105" t="s">
        <v>199</v>
      </c>
      <c r="D5" s="138" t="str">
        <f>A5&amp;C5</f>
        <v>1452cskill</v>
      </c>
      <c r="E5" s="138" t="str">
        <f>A5&amp;+(COUNTIF(A5:A$100,A5)-1)</f>
        <v>14520</v>
      </c>
      <c r="F5" s="105" t="s">
        <v>198</v>
      </c>
      <c r="G5" s="162" t="s">
        <v>350</v>
      </c>
      <c r="H5" s="162" t="s">
        <v>352</v>
      </c>
    </row>
    <row r="6" spans="1:8" x14ac:dyDescent="0.15">
      <c r="A6" s="105">
        <v>1453</v>
      </c>
      <c r="B6" s="138" t="str">
        <f>VLOOKUP(A6,[1]characters!$A:$C,3,FALSE)</f>
        <v>数解の自鳴琴 メルセンヌ</v>
      </c>
      <c r="C6" s="105" t="s">
        <v>196</v>
      </c>
      <c r="D6" s="138" t="str">
        <f t="shared" ref="D6" si="1">A6&amp;C6</f>
        <v>1453skill</v>
      </c>
      <c r="E6" s="138" t="str">
        <f>A6&amp;+(COUNTIF(A6:A$100,A6)-1)</f>
        <v>14534</v>
      </c>
      <c r="F6" s="105" t="s">
        <v>187</v>
      </c>
      <c r="G6" s="162" t="s">
        <v>350</v>
      </c>
      <c r="H6" s="162" t="s">
        <v>355</v>
      </c>
    </row>
    <row r="7" spans="1:8" x14ac:dyDescent="0.15">
      <c r="A7" s="105">
        <v>1453</v>
      </c>
      <c r="B7" s="138" t="str">
        <f>VLOOKUP(A7,[1]characters!$A:$C,3,FALSE)</f>
        <v>数解の自鳴琴 メルセンヌ</v>
      </c>
      <c r="C7" s="105" t="s">
        <v>199</v>
      </c>
      <c r="D7" s="138" t="str">
        <f>A7&amp;C7</f>
        <v>1453cskill</v>
      </c>
      <c r="E7" s="138" t="str">
        <f>A7&amp;+(COUNTIF(A7:A$100,A7)-1)</f>
        <v>14533</v>
      </c>
      <c r="F7" s="105" t="s">
        <v>187</v>
      </c>
      <c r="G7" s="162" t="s">
        <v>197</v>
      </c>
      <c r="H7" s="162" t="s">
        <v>349</v>
      </c>
    </row>
    <row r="8" spans="1:8" x14ac:dyDescent="0.15">
      <c r="A8" s="105">
        <v>1453</v>
      </c>
      <c r="B8" s="138" t="str">
        <f>VLOOKUP(A8,[1]characters!$A:$C,3,FALSE)</f>
        <v>数解の自鳴琴 メルセンヌ</v>
      </c>
      <c r="C8" s="105" t="s">
        <v>199</v>
      </c>
      <c r="D8" s="138" t="str">
        <f>A8&amp;C8</f>
        <v>1453cskill</v>
      </c>
      <c r="E8" s="138" t="str">
        <f>A8&amp;+(COUNTIF(A8:A$100,A8)-1)</f>
        <v>14532</v>
      </c>
      <c r="F8" s="105" t="s">
        <v>187</v>
      </c>
      <c r="G8" s="162" t="s">
        <v>350</v>
      </c>
      <c r="H8" s="162" t="s">
        <v>351</v>
      </c>
    </row>
    <row r="9" spans="1:8" x14ac:dyDescent="0.15">
      <c r="A9" s="105">
        <v>1453</v>
      </c>
      <c r="B9" s="138" t="str">
        <f>VLOOKUP(A9,[1]characters!$A:$C,3,FALSE)</f>
        <v>数解の自鳴琴 メルセンヌ</v>
      </c>
      <c r="C9" s="105" t="s">
        <v>199</v>
      </c>
      <c r="D9" s="138" t="str">
        <f>A9&amp;C9</f>
        <v>1453cskill</v>
      </c>
      <c r="E9" s="138" t="str">
        <f>A9&amp;+(COUNTIF(A9:A$100,A9)-1)</f>
        <v>14531</v>
      </c>
      <c r="F9" s="105" t="s">
        <v>187</v>
      </c>
      <c r="G9" s="162" t="s">
        <v>350</v>
      </c>
      <c r="H9" s="162" t="s">
        <v>352</v>
      </c>
    </row>
    <row r="10" spans="1:8" x14ac:dyDescent="0.15">
      <c r="A10" s="105">
        <v>1453</v>
      </c>
      <c r="B10" s="138" t="str">
        <f>VLOOKUP(A10,[1]characters!$A:$C,3,FALSE)</f>
        <v>数解の自鳴琴 メルセンヌ</v>
      </c>
      <c r="C10" s="105" t="s">
        <v>199</v>
      </c>
      <c r="D10" s="138" t="str">
        <f>A10&amp;C10</f>
        <v>1453cskill</v>
      </c>
      <c r="E10" s="138" t="str">
        <f>A10&amp;+(COUNTIF(A10:A$100,A10)-1)</f>
        <v>14530</v>
      </c>
      <c r="F10" s="105" t="s">
        <v>187</v>
      </c>
      <c r="G10" s="162" t="s">
        <v>350</v>
      </c>
      <c r="H10" s="162" t="s">
        <v>353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Q5" sqref="Q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0">
        <v>1452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メルセンヌ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1453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数解の自鳴琴 メルセンヌ</v>
      </c>
      <c r="S2" s="5">
        <f ca="1">IF(ISNA(MATCH(A2,Q:Q,0)),A2,INDIRECT(ADDRESS(MATCH(A2,Q:Q,0),COLUMN())))</f>
        <v>1452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メルセンヌ</v>
      </c>
      <c r="U2" s="10">
        <f ca="1">IF(Q2="NULL","NULL",VLOOKUP(G2,[3]ビット!$A$2:$B$7,2))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M6" sqref="M6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1452_116</v>
      </c>
      <c r="B2" s="194">
        <v>1452</v>
      </c>
      <c r="C2" s="178">
        <f>B2</f>
        <v>1452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メルセンヌ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4">
        <v>1453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数解の自鳴琴 メルセンヌ</v>
      </c>
      <c r="I2" s="193">
        <v>116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雷のマッドハッター</v>
      </c>
      <c r="K2" s="191">
        <v>1</v>
      </c>
      <c r="L2" s="192">
        <v>1</v>
      </c>
      <c r="M2" s="192">
        <v>10</v>
      </c>
      <c r="N2" s="2" t="s">
        <v>291</v>
      </c>
    </row>
    <row r="3" spans="1:14" ht="21" customHeight="1" x14ac:dyDescent="0.15">
      <c r="A3" s="61" t="str">
        <f>B3&amp;"_"&amp;I3</f>
        <v>1452_764</v>
      </c>
      <c r="B3" s="194">
        <v>1452</v>
      </c>
      <c r="C3" s="178">
        <f>B3</f>
        <v>1452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メルセンヌ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4">
        <v>1453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数解の自鳴琴 メルセンヌ</v>
      </c>
      <c r="I3" s="193">
        <v>764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ライオネル</v>
      </c>
      <c r="K3" s="191">
        <v>1</v>
      </c>
      <c r="L3" s="192">
        <v>2</v>
      </c>
      <c r="M3" s="192">
        <v>100</v>
      </c>
      <c r="N3" s="2" t="s">
        <v>291</v>
      </c>
    </row>
    <row r="4" spans="1:14" ht="21" customHeight="1" x14ac:dyDescent="0.15">
      <c r="A4" s="61" t="str">
        <f>B4&amp;"_"&amp;I4</f>
        <v>1452_738</v>
      </c>
      <c r="B4" s="194">
        <v>1452</v>
      </c>
      <c r="C4" s="178">
        <f>B4</f>
        <v>1452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メルセンヌ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4">
        <v>1453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数解の自鳴琴 メルセンヌ</v>
      </c>
      <c r="I4" s="193">
        <v>738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ラドン</v>
      </c>
      <c r="K4" s="191">
        <v>1</v>
      </c>
      <c r="L4" s="192">
        <v>2</v>
      </c>
      <c r="M4" s="192">
        <v>100</v>
      </c>
      <c r="N4" s="2" t="s">
        <v>291</v>
      </c>
    </row>
    <row r="5" spans="1:14" ht="21" customHeight="1" x14ac:dyDescent="0.15">
      <c r="A5" s="61" t="str">
        <f>B5&amp;"_"&amp;I5</f>
        <v>1452_837</v>
      </c>
      <c r="B5" s="194">
        <v>1452</v>
      </c>
      <c r="C5" s="178">
        <f>B5</f>
        <v>1452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メルセンヌ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4">
        <v>1453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数解の自鳴琴 メルセンヌ</v>
      </c>
      <c r="I5" s="193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1">
        <v>1</v>
      </c>
      <c r="L5" s="192">
        <v>1</v>
      </c>
      <c r="M5" s="192">
        <v>1000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G26" sqref="G2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D13" sqref="D13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1453</v>
      </c>
      <c r="B2" s="172" t="str">
        <f>VLOOKUP(A2,[1]characters!$A:$C,3)</f>
        <v>数解の自鳴琴 メルセンヌ</v>
      </c>
      <c r="C2" s="195">
        <v>1</v>
      </c>
      <c r="D2" s="195">
        <v>109</v>
      </c>
      <c r="E2" s="173" t="str">
        <f>IF(ISERROR(VLOOKUP(D2,[4]abilities!A:D,3,FALSE))=FALSE,VLOOKUP(D2,[4]abilities!A:D,3),IF(ISERROR(VLOOKUP(D2,abilities!A:D,3,FALSE))=FALSE,VLOOKUP(D2,abilities!A:D,3),"なし"))</f>
        <v>ダメージパネルブレイク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自身が先頭の時、ダメージを受けずにダメージパネルを破壊できる</v>
      </c>
      <c r="G2" s="174" t="s">
        <v>275</v>
      </c>
      <c r="H2" s="196" t="s">
        <v>341</v>
      </c>
    </row>
    <row r="3" spans="1:8" s="4" customFormat="1" ht="21" customHeight="1" x14ac:dyDescent="0.15">
      <c r="A3" s="169">
        <v>1453</v>
      </c>
      <c r="B3" s="172" t="str">
        <f>VLOOKUP(A3,[1]characters!$A:$C,3)</f>
        <v>数解の自鳴琴 メルセンヌ</v>
      </c>
      <c r="C3" s="195">
        <v>2</v>
      </c>
      <c r="D3" s="195">
        <v>824</v>
      </c>
      <c r="E3" s="173" t="str">
        <f>IF(ISERROR(VLOOKUP(D3,[4]abilities!A:D,3,FALSE))=FALSE,VLOOKUP(D3,[4]abilities!A:D,3),IF(ISERROR(VLOOKUP(D3,abilities!A:D,3,FALSE))=FALSE,VLOOKUP(D3,abilities!A:D,3),"なし"))</f>
        <v>なし</v>
      </c>
      <c r="F3" s="173" t="str">
        <f>IF(ISERROR(VLOOKUP(D3,[4]abilities!A:D,4,FALSE))=FALSE,VLOOKUP(D3,[4]abilities!A:D,4),IF(ISERROR(VLOOKUP(D3,abilities!A:D,4,FALSE))=FALSE,VLOOKUP(D3,abilities!A:D,4),"なし"))</f>
        <v>なし</v>
      </c>
      <c r="G3" s="174" t="s">
        <v>275</v>
      </c>
      <c r="H3" s="196" t="s">
        <v>341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G21" sqref="G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2017-06-06T08:15:38Z</dcterms:modified>
</cp:coreProperties>
</file>